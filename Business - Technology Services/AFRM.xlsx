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mon\Documents\models\Business - Technology Services\"/>
    </mc:Choice>
  </mc:AlternateContent>
  <xr:revisionPtr revIDLastSave="0" documentId="13_ncr:1_{35074C48-FEF2-4F65-8ABA-7CD2B26D01C1}" xr6:coauthVersionLast="47" xr6:coauthVersionMax="47" xr10:uidLastSave="{00000000-0000-0000-0000-000000000000}"/>
  <bookViews>
    <workbookView xWindow="-60" yWindow="45" windowWidth="14085" windowHeight="15345" activeTab="4" xr2:uid="{00000000-000D-0000-FFFF-FFFF00000000}"/>
  </bookViews>
  <sheets>
    <sheet name="Main" sheetId="1" r:id="rId1"/>
    <sheet name="Model" sheetId="2" r:id="rId2"/>
    <sheet name="Analysts" sheetId="7" r:id="rId3"/>
    <sheet name="Model-graph" sheetId="3" r:id="rId4"/>
    <sheet name="KPIs" sheetId="6" r:id="rId5"/>
    <sheet name="Catalysts" sheetId="4" r:id="rId6"/>
    <sheet name="DoR" sheetId="5" r:id="rId7"/>
  </sheets>
  <definedNames>
    <definedName name="_xlchart.v1.0" hidden="1">Model!$B$10</definedName>
    <definedName name="_xlchart.v1.1" hidden="1">Model!$B$9</definedName>
    <definedName name="_xlchart.v1.2" hidden="1">Model!$K$10:$V$10</definedName>
    <definedName name="_xlchart.v1.3" hidden="1">Model!$K$2:$R$2</definedName>
    <definedName name="_xlchart.v1.4" hidden="1">Model!$K$9:$V$9</definedName>
    <definedName name="_xlchart.v1.5" hidden="1">Model!$B$27</definedName>
    <definedName name="_xlchart.v1.6" hidden="1">Model!$B$28</definedName>
    <definedName name="_xlchart.v1.7" hidden="1">Model!$K$27:$V$27</definedName>
    <definedName name="_xlchart.v1.8" hidden="1">Model!$K$28:$V$28</definedName>
    <definedName name="_xlchart.v1.9" hidden="1">Model!$K$2:$R$2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C34" i="1"/>
  <c r="C30" i="1"/>
  <c r="C29" i="1"/>
  <c r="C27" i="1"/>
  <c r="C10" i="1"/>
  <c r="C9" i="1"/>
  <c r="C25" i="1"/>
  <c r="C24" i="1"/>
  <c r="C23" i="1"/>
  <c r="C22" i="1"/>
  <c r="C21" i="1"/>
  <c r="C20" i="1"/>
  <c r="C17" i="1"/>
  <c r="C16" i="1"/>
  <c r="C15" i="1"/>
  <c r="C14" i="1"/>
  <c r="C13" i="1"/>
  <c r="W40" i="2"/>
  <c r="V40" i="2"/>
  <c r="U40" i="2"/>
  <c r="T40" i="2"/>
  <c r="S40" i="2"/>
  <c r="R40" i="2"/>
  <c r="Q40" i="2"/>
  <c r="P40" i="2"/>
  <c r="O40" i="2"/>
  <c r="N40" i="2"/>
  <c r="M40" i="2"/>
  <c r="L40" i="2"/>
  <c r="K40" i="2"/>
  <c r="G40" i="2"/>
  <c r="F40" i="2"/>
  <c r="E40" i="2"/>
  <c r="D40" i="2"/>
  <c r="C7" i="1"/>
  <c r="U36" i="2" l="1"/>
  <c r="P24" i="2"/>
  <c r="P23" i="2"/>
  <c r="P21" i="2"/>
  <c r="P19" i="2"/>
  <c r="P18" i="2"/>
  <c r="P17" i="2"/>
  <c r="P16" i="2"/>
  <c r="P14" i="2"/>
  <c r="P13" i="2"/>
  <c r="P12" i="2"/>
  <c r="P11" i="2"/>
  <c r="P8" i="2"/>
  <c r="P7" i="2"/>
  <c r="P6" i="2"/>
  <c r="Q36" i="2" s="1"/>
  <c r="P4" i="2"/>
  <c r="P3" i="2"/>
  <c r="P5" i="2" s="1"/>
  <c r="N9" i="2"/>
  <c r="O9" i="2"/>
  <c r="O5" i="2"/>
  <c r="P15" i="2"/>
  <c r="M24" i="2"/>
  <c r="T24" i="2"/>
  <c r="T25" i="2" s="1"/>
  <c r="T23" i="2"/>
  <c r="T21" i="2"/>
  <c r="T19" i="2"/>
  <c r="T18" i="2"/>
  <c r="T17" i="2"/>
  <c r="T16" i="2"/>
  <c r="T14" i="2"/>
  <c r="T15" i="2" s="1"/>
  <c r="T13" i="2"/>
  <c r="T12" i="2"/>
  <c r="T11" i="2"/>
  <c r="T8" i="2"/>
  <c r="T7" i="2"/>
  <c r="T6" i="2"/>
  <c r="T4" i="2"/>
  <c r="T5" i="2" s="1"/>
  <c r="T3" i="2"/>
  <c r="N24" i="2"/>
  <c r="R24" i="2"/>
  <c r="P62" i="2"/>
  <c r="P61" i="2"/>
  <c r="P60" i="2"/>
  <c r="P58" i="2"/>
  <c r="P57" i="2"/>
  <c r="P56" i="2"/>
  <c r="P59" i="2" s="1"/>
  <c r="P63" i="2" s="1"/>
  <c r="P55" i="2"/>
  <c r="P53" i="2"/>
  <c r="P52" i="2"/>
  <c r="P51" i="2"/>
  <c r="P50" i="2"/>
  <c r="P49" i="2"/>
  <c r="P47" i="2"/>
  <c r="P46" i="2"/>
  <c r="P45" i="2"/>
  <c r="P44" i="2"/>
  <c r="P43" i="2"/>
  <c r="P42" i="2"/>
  <c r="P41" i="2"/>
  <c r="O24" i="2"/>
  <c r="S24" i="2"/>
  <c r="Q24" i="2"/>
  <c r="U24" i="2"/>
  <c r="T62" i="2"/>
  <c r="T61" i="2"/>
  <c r="T60" i="2"/>
  <c r="T58" i="2"/>
  <c r="T59" i="2" s="1"/>
  <c r="T63" i="2" s="1"/>
  <c r="T57" i="2"/>
  <c r="T56" i="2"/>
  <c r="T55" i="2"/>
  <c r="T53" i="2"/>
  <c r="T52" i="2"/>
  <c r="T51" i="2"/>
  <c r="T50" i="2"/>
  <c r="T49" i="2"/>
  <c r="T47" i="2"/>
  <c r="T46" i="2"/>
  <c r="T45" i="2"/>
  <c r="T44" i="2"/>
  <c r="T43" i="2"/>
  <c r="T42" i="2"/>
  <c r="T41" i="2"/>
  <c r="T48" i="2" s="1"/>
  <c r="W36" i="2"/>
  <c r="V36" i="2"/>
  <c r="T36" i="2"/>
  <c r="S36" i="2"/>
  <c r="R36" i="2"/>
  <c r="O36" i="2"/>
  <c r="N36" i="2"/>
  <c r="M36" i="2"/>
  <c r="L36" i="2"/>
  <c r="K36" i="2"/>
  <c r="W35" i="2"/>
  <c r="L35" i="2"/>
  <c r="K35" i="2"/>
  <c r="E35" i="2"/>
  <c r="F35" i="2"/>
  <c r="G35" i="2"/>
  <c r="H35" i="2"/>
  <c r="E36" i="2"/>
  <c r="F36" i="2"/>
  <c r="G36" i="2"/>
  <c r="H36" i="2"/>
  <c r="D36" i="2"/>
  <c r="D35" i="2"/>
  <c r="W48" i="2"/>
  <c r="W54" i="2" s="1"/>
  <c r="W64" i="2" s="1"/>
  <c r="W59" i="2"/>
  <c r="W63" i="2"/>
  <c r="W15" i="2"/>
  <c r="W5" i="2"/>
  <c r="V59" i="2"/>
  <c r="V63" i="2" s="1"/>
  <c r="U59" i="2"/>
  <c r="U63" i="2" s="1"/>
  <c r="S59" i="2"/>
  <c r="S63" i="2" s="1"/>
  <c r="R59" i="2"/>
  <c r="R63" i="2" s="1"/>
  <c r="Q59" i="2"/>
  <c r="Q63" i="2" s="1"/>
  <c r="O59" i="2"/>
  <c r="O63" i="2" s="1"/>
  <c r="N59" i="2"/>
  <c r="N63" i="2" s="1"/>
  <c r="M59" i="2"/>
  <c r="M63" i="2" s="1"/>
  <c r="L59" i="2"/>
  <c r="L63" i="2" s="1"/>
  <c r="K59" i="2"/>
  <c r="K63" i="2" s="1"/>
  <c r="V48" i="2"/>
  <c r="V54" i="2" s="1"/>
  <c r="U48" i="2"/>
  <c r="U54" i="2" s="1"/>
  <c r="S48" i="2"/>
  <c r="S54" i="2" s="1"/>
  <c r="R48" i="2"/>
  <c r="R54" i="2" s="1"/>
  <c r="Q48" i="2"/>
  <c r="Q54" i="2" s="1"/>
  <c r="O48" i="2"/>
  <c r="O54" i="2" s="1"/>
  <c r="N48" i="2"/>
  <c r="N54" i="2" s="1"/>
  <c r="N64" i="2" s="1"/>
  <c r="M48" i="2"/>
  <c r="M54" i="2" s="1"/>
  <c r="L48" i="2"/>
  <c r="L54" i="2" s="1"/>
  <c r="K48" i="2"/>
  <c r="K54" i="2" s="1"/>
  <c r="K64" i="2" s="1"/>
  <c r="H34" i="2"/>
  <c r="G34" i="2"/>
  <c r="H33" i="2"/>
  <c r="G33" i="2"/>
  <c r="F32" i="2"/>
  <c r="F24" i="2"/>
  <c r="H31" i="2"/>
  <c r="H32" i="2"/>
  <c r="H20" i="2"/>
  <c r="H15" i="2"/>
  <c r="H29" i="2" s="1"/>
  <c r="H5" i="2"/>
  <c r="E24" i="2"/>
  <c r="D24" i="2"/>
  <c r="C24" i="2"/>
  <c r="V5" i="2"/>
  <c r="U5" i="2"/>
  <c r="U9" i="2" s="1"/>
  <c r="U33" i="2" s="1"/>
  <c r="S5" i="2"/>
  <c r="S9" i="2" s="1"/>
  <c r="S34" i="2" s="1"/>
  <c r="R5" i="2"/>
  <c r="R9" i="2" s="1"/>
  <c r="R34" i="2" s="1"/>
  <c r="Q5" i="2"/>
  <c r="Q9" i="2" s="1"/>
  <c r="Q34" i="2" s="1"/>
  <c r="N5" i="2"/>
  <c r="M5" i="2"/>
  <c r="M9" i="2" s="1"/>
  <c r="M33" i="2" s="1"/>
  <c r="L5" i="2"/>
  <c r="L9" i="2" s="1"/>
  <c r="L33" i="2" s="1"/>
  <c r="K5" i="2"/>
  <c r="K9" i="2" s="1"/>
  <c r="K34" i="2" s="1"/>
  <c r="D5" i="2"/>
  <c r="D9" i="2" s="1"/>
  <c r="D33" i="2" s="1"/>
  <c r="E5" i="2"/>
  <c r="E9" i="2" s="1"/>
  <c r="E33" i="2" s="1"/>
  <c r="F5" i="2"/>
  <c r="F9" i="2" s="1"/>
  <c r="G5" i="2"/>
  <c r="C5" i="2"/>
  <c r="C9" i="2" s="1"/>
  <c r="C33" i="2" s="1"/>
  <c r="D59" i="2"/>
  <c r="D63" i="2" s="1"/>
  <c r="E48" i="2"/>
  <c r="E54" i="2" s="1"/>
  <c r="F48" i="2"/>
  <c r="F54" i="2" s="1"/>
  <c r="G48" i="2"/>
  <c r="G54" i="2" s="1"/>
  <c r="C48" i="2"/>
  <c r="D48" i="2"/>
  <c r="D54" i="2" s="1"/>
  <c r="C40" i="2"/>
  <c r="S15" i="2"/>
  <c r="U15" i="2"/>
  <c r="V15" i="2"/>
  <c r="Q15" i="2"/>
  <c r="R15" i="2"/>
  <c r="E59" i="2"/>
  <c r="E63" i="2" s="1"/>
  <c r="F59" i="2"/>
  <c r="F63" i="2" s="1"/>
  <c r="G59" i="2"/>
  <c r="G63" i="2" s="1"/>
  <c r="G15" i="2"/>
  <c r="O15" i="2"/>
  <c r="N15" i="2"/>
  <c r="M15" i="2"/>
  <c r="L15" i="2"/>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K15" i="2"/>
  <c r="C15" i="2"/>
  <c r="D15" i="2"/>
  <c r="E15" i="2"/>
  <c r="F15" i="2"/>
  <c r="P36" i="2" l="1"/>
  <c r="P9" i="2"/>
  <c r="N33" i="2"/>
  <c r="P35" i="2"/>
  <c r="M35" i="2"/>
  <c r="T9" i="2"/>
  <c r="T33" i="2" s="1"/>
  <c r="N35" i="2"/>
  <c r="P48" i="2"/>
  <c r="P54" i="2" s="1"/>
  <c r="P64" i="2" s="1"/>
  <c r="R64" i="2"/>
  <c r="O35" i="2"/>
  <c r="S33" i="2"/>
  <c r="T35" i="2"/>
  <c r="S35" i="2"/>
  <c r="S64" i="2"/>
  <c r="Q33" i="2"/>
  <c r="Q35" i="2"/>
  <c r="R35" i="2"/>
  <c r="U35" i="2"/>
  <c r="V35" i="2"/>
  <c r="T54" i="2"/>
  <c r="T64" i="2" s="1"/>
  <c r="W33" i="2"/>
  <c r="W32" i="2"/>
  <c r="W31" i="2"/>
  <c r="W20" i="2"/>
  <c r="W22" i="2" s="1"/>
  <c r="W25" i="2" s="1"/>
  <c r="W34" i="2"/>
  <c r="W29" i="2"/>
  <c r="L34" i="2"/>
  <c r="M64" i="2"/>
  <c r="E34" i="2"/>
  <c r="U64" i="2"/>
  <c r="O64" i="2"/>
  <c r="L32" i="2"/>
  <c r="T32" i="2"/>
  <c r="E32" i="2"/>
  <c r="K33" i="2"/>
  <c r="V33" i="2"/>
  <c r="V34" i="2"/>
  <c r="V32" i="2"/>
  <c r="Q64" i="2"/>
  <c r="C32" i="2"/>
  <c r="M32" i="2"/>
  <c r="U32" i="2"/>
  <c r="M34" i="2"/>
  <c r="U34" i="2"/>
  <c r="D32" i="2"/>
  <c r="D34" i="2"/>
  <c r="N32" i="2"/>
  <c r="R33" i="2"/>
  <c r="N34" i="2"/>
  <c r="L64" i="2"/>
  <c r="F34" i="2"/>
  <c r="Q32" i="2"/>
  <c r="R32" i="2"/>
  <c r="F33" i="2"/>
  <c r="K32" i="2"/>
  <c r="S32" i="2"/>
  <c r="V64" i="2"/>
  <c r="H22" i="2"/>
  <c r="H25" i="2" s="1"/>
  <c r="H30" i="2" s="1"/>
  <c r="T31" i="2"/>
  <c r="O20" i="2"/>
  <c r="O22" i="2" s="1"/>
  <c r="O25" i="2" s="1"/>
  <c r="U20" i="2"/>
  <c r="U22" i="2" s="1"/>
  <c r="S20" i="2"/>
  <c r="S22" i="2" s="1"/>
  <c r="V20" i="2"/>
  <c r="V22" i="2" s="1"/>
  <c r="E29" i="2"/>
  <c r="V29" i="2"/>
  <c r="F20" i="2"/>
  <c r="F22" i="2" s="1"/>
  <c r="G32" i="2"/>
  <c r="R20" i="2"/>
  <c r="R22" i="2" s="1"/>
  <c r="S29" i="2"/>
  <c r="Q29" i="2"/>
  <c r="F29" i="2"/>
  <c r="G20" i="2"/>
  <c r="G22" i="2" s="1"/>
  <c r="G25" i="2" s="1"/>
  <c r="V31" i="2"/>
  <c r="U31" i="2"/>
  <c r="U29" i="2"/>
  <c r="E20" i="2"/>
  <c r="G29" i="2"/>
  <c r="G31" i="2"/>
  <c r="F31" i="2"/>
  <c r="F64" i="2"/>
  <c r="E64" i="2"/>
  <c r="R31" i="2"/>
  <c r="G64" i="2"/>
  <c r="Q31" i="2"/>
  <c r="Q20" i="2"/>
  <c r="Q22" i="2" s="1"/>
  <c r="Q25" i="2" s="1"/>
  <c r="R29" i="2"/>
  <c r="L29" i="2"/>
  <c r="N29" i="2"/>
  <c r="L20" i="2"/>
  <c r="L22" i="2" s="1"/>
  <c r="L25" i="2" s="1"/>
  <c r="M20" i="2"/>
  <c r="M22" i="2" s="1"/>
  <c r="M25" i="2" s="1"/>
  <c r="N20" i="2"/>
  <c r="N22" i="2" s="1"/>
  <c r="N25" i="2" s="1"/>
  <c r="M29" i="2"/>
  <c r="K20" i="2"/>
  <c r="K22" i="2" s="1"/>
  <c r="C8" i="1"/>
  <c r="I31" i="5"/>
  <c r="I30" i="5"/>
  <c r="I29" i="5"/>
  <c r="I28" i="5"/>
  <c r="I26" i="5"/>
  <c r="I25" i="5"/>
  <c r="I24" i="5"/>
  <c r="I23" i="5"/>
  <c r="I22" i="5"/>
  <c r="I21" i="5"/>
  <c r="I20" i="5"/>
  <c r="I19" i="5"/>
  <c r="I65" i="5"/>
  <c r="I64" i="5"/>
  <c r="T34" i="2" l="1"/>
  <c r="T29" i="2"/>
  <c r="T20" i="2"/>
  <c r="T22" i="2" s="1"/>
  <c r="T27" i="2" s="1"/>
  <c r="S31" i="2"/>
  <c r="O31" i="2"/>
  <c r="P29" i="2"/>
  <c r="W30" i="2"/>
  <c r="K25" i="2"/>
  <c r="K27" i="2" s="1"/>
  <c r="V25" i="2"/>
  <c r="V30" i="2" s="1"/>
  <c r="P31" i="2"/>
  <c r="S25" i="2"/>
  <c r="S37" i="2" s="1"/>
  <c r="P20" i="2"/>
  <c r="P22" i="2" s="1"/>
  <c r="P25" i="2" s="1"/>
  <c r="P30" i="2" s="1"/>
  <c r="U25" i="2"/>
  <c r="U37" i="2" s="1"/>
  <c r="R25" i="2"/>
  <c r="R30" i="2" s="1"/>
  <c r="O29" i="2"/>
  <c r="O33" i="2"/>
  <c r="O34" i="2"/>
  <c r="O32" i="2"/>
  <c r="P33" i="2"/>
  <c r="P34" i="2"/>
  <c r="P32" i="2"/>
  <c r="F25" i="2"/>
  <c r="F27" i="2" s="1"/>
  <c r="E22" i="2"/>
  <c r="E25" i="2" s="1"/>
  <c r="G30" i="2"/>
  <c r="Q27" i="2"/>
  <c r="Q37" i="2"/>
  <c r="Q30" i="2"/>
  <c r="N30" i="2"/>
  <c r="N27" i="2"/>
  <c r="L27" i="2"/>
  <c r="L30" i="2"/>
  <c r="O30" i="2"/>
  <c r="O27" i="2"/>
  <c r="M30" i="2"/>
  <c r="M27"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20" i="2"/>
  <c r="C22" i="2" s="1"/>
  <c r="C25" i="2" s="1"/>
  <c r="C27" i="2" s="1"/>
  <c r="K29" i="2"/>
  <c r="P27" i="2" l="1"/>
  <c r="P37" i="2"/>
  <c r="W37" i="2"/>
  <c r="U30" i="2"/>
  <c r="T30" i="2"/>
  <c r="O37" i="2"/>
  <c r="R27" i="2"/>
  <c r="V37" i="2"/>
  <c r="T37" i="2"/>
  <c r="S27" i="2"/>
  <c r="S30" i="2"/>
  <c r="R37" i="2"/>
  <c r="U27" i="2"/>
  <c r="H37" i="2"/>
  <c r="F30" i="2"/>
  <c r="G37" i="2"/>
  <c r="E27" i="2"/>
  <c r="E30" i="2"/>
  <c r="D20" i="2"/>
  <c r="D22" i="2" s="1"/>
  <c r="D25" i="2" s="1"/>
  <c r="E31" i="2"/>
  <c r="K11" i="5"/>
  <c r="C34"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K30" i="2"/>
  <c r="C29" i="2"/>
  <c r="D29" i="2"/>
  <c r="D31" i="2"/>
  <c r="C54" i="2"/>
  <c r="F37" i="2" l="1"/>
  <c r="D64" i="2"/>
  <c r="C19" i="1"/>
  <c r="M5" i="5"/>
  <c r="M6" i="5" s="1"/>
  <c r="M7" i="5" s="1"/>
  <c r="M8" i="5" s="1"/>
  <c r="M9" i="5" s="1"/>
  <c r="M10" i="5" s="1"/>
  <c r="M11" i="5" s="1"/>
  <c r="M12" i="5" s="1"/>
  <c r="M13" i="5" s="1"/>
  <c r="M14" i="5" s="1"/>
  <c r="M15" i="5" s="1"/>
  <c r="C59" i="2"/>
  <c r="C63" i="2" l="1"/>
  <c r="C64" i="2" s="1"/>
  <c r="C18" i="1"/>
  <c r="D27" i="2"/>
  <c r="E37" i="2" s="1"/>
  <c r="D30" i="2"/>
  <c r="C37" i="2" l="1"/>
  <c r="C30" i="2"/>
  <c r="C11" i="1" s="1"/>
  <c r="D37" i="2" l="1"/>
  <c r="C12" i="1"/>
  <c r="C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<sst xmlns="http://schemas.openxmlformats.org/spreadsheetml/2006/main" count="223" uniqueCount="210">
  <si>
    <t>Price</t>
  </si>
  <si>
    <t>Shares</t>
  </si>
  <si>
    <t>MC</t>
  </si>
  <si>
    <t>CASH</t>
  </si>
  <si>
    <t>DEBT</t>
  </si>
  <si>
    <t>EV</t>
  </si>
  <si>
    <t>FY22</t>
  </si>
  <si>
    <t>FY23</t>
  </si>
  <si>
    <t>Revenue</t>
  </si>
  <si>
    <t>EBITDA</t>
  </si>
  <si>
    <t>Income Tax</t>
  </si>
  <si>
    <t>Net Income</t>
  </si>
  <si>
    <t>EPS</t>
  </si>
  <si>
    <t>Operational Income</t>
  </si>
  <si>
    <t>Cash</t>
  </si>
  <si>
    <t>AR</t>
  </si>
  <si>
    <t>Goodwill</t>
  </si>
  <si>
    <t>Total Assets</t>
  </si>
  <si>
    <t>Total Liablities</t>
  </si>
  <si>
    <t>AP</t>
  </si>
  <si>
    <t>Gross Margin</t>
  </si>
  <si>
    <t>Net Margin</t>
  </si>
  <si>
    <t>FY24</t>
  </si>
  <si>
    <t>Net CASH</t>
  </si>
  <si>
    <t>Main</t>
  </si>
  <si>
    <t>Net Cash</t>
  </si>
  <si>
    <t>Q323</t>
  </si>
  <si>
    <t>Q423</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</si>
  <si>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</si>
  <si>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</si>
  <si>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</si>
  <si>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</si>
  <si>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</si>
  <si>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</si>
  <si>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</si>
  <si>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</si>
  <si>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</si>
  <si>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</si>
  <si>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</si>
  <si>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</si>
  <si>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</si>
  <si>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</si>
  <si>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</si>
  <si>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</si>
  <si>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</si>
  <si>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</si>
  <si>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</si>
  <si>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</si>
  <si>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</si>
  <si>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Q124</t>
  </si>
  <si>
    <t>EPS exp.</t>
  </si>
  <si>
    <t>Rev. Exp.</t>
  </si>
  <si>
    <t>Sales &amp; Marketing / REV</t>
  </si>
  <si>
    <t>Q224</t>
  </si>
  <si>
    <t>FY25</t>
  </si>
  <si>
    <t>PEG1</t>
  </si>
  <si>
    <t>PEG2</t>
  </si>
  <si>
    <t>EBIT</t>
  </si>
  <si>
    <t>EV/EBITDA</t>
  </si>
  <si>
    <t>Notes</t>
  </si>
  <si>
    <t>Restricted Cash</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</si>
  <si>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</si>
  <si>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</si>
  <si>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</si>
  <si>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</si>
  <si>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</si>
  <si>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</si>
  <si>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</si>
  <si>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</si>
  <si>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</si>
  <si>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</si>
  <si>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</si>
  <si>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</si>
  <si>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</si>
  <si>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</si>
  <si>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</si>
  <si>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</si>
  <si>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</si>
  <si>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</si>
  <si>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</si>
  <si>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</si>
  <si>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</si>
  <si>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</si>
  <si>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</si>
  <si>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</si>
  <si>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</si>
  <si>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</si>
  <si>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</si>
  <si>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</si>
  <si>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</si>
  <si>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</si>
  <si>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</si>
  <si>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</si>
  <si>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</si>
  <si>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</si>
  <si>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</si>
  <si>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</si>
  <si>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</si>
  <si>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</si>
  <si>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</si>
  <si>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</si>
  <si>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</si>
  <si>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</si>
  <si>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</si>
  <si>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</si>
  <si>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</si>
  <si>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</si>
  <si>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</si>
  <si>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</si>
  <si>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</si>
  <si>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</si>
  <si>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</si>
  <si>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</si>
  <si>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</si>
  <si>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</si>
  <si>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</si>
  <si>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</si>
  <si>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R&amp;D / REV</t>
  </si>
  <si>
    <t>G&amp;A / REV</t>
  </si>
  <si>
    <t>G&amp;A</t>
  </si>
  <si>
    <t>Net Income before Tax</t>
  </si>
  <si>
    <t>Q324</t>
  </si>
  <si>
    <t>Q424</t>
  </si>
  <si>
    <t>EPS Growth</t>
  </si>
  <si>
    <t>Revenue Growth</t>
  </si>
  <si>
    <t>Sell</t>
  </si>
  <si>
    <t>Hold</t>
  </si>
  <si>
    <t>Buy</t>
  </si>
  <si>
    <t>Strong buy</t>
  </si>
  <si>
    <t>Price Targets</t>
  </si>
  <si>
    <t>FY26</t>
  </si>
  <si>
    <t>Q125</t>
  </si>
  <si>
    <t>Q225</t>
  </si>
  <si>
    <t>Q325</t>
  </si>
  <si>
    <t>Q425</t>
  </si>
  <si>
    <t>Q126</t>
  </si>
  <si>
    <t>Q226</t>
  </si>
  <si>
    <t>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</si>
  <si>
    <t>Mr. Max Roth Levchin</t>
  </si>
  <si>
    <t>Founder, CEO &amp; Chairman</t>
  </si>
  <si>
    <t>Mr. Libor Michalek</t>
  </si>
  <si>
    <t>President &amp; Director</t>
  </si>
  <si>
    <t>Mr. Robert W. O'Hare</t>
  </si>
  <si>
    <t>Chief Financial Officer</t>
  </si>
  <si>
    <t>Mr. Michael A. Linford</t>
  </si>
  <si>
    <t>Chief Operating Officer</t>
  </si>
  <si>
    <t>Ms. Katherine Adkins Esq.</t>
  </si>
  <si>
    <t>Chief Legal &amp; Compliance Officer and Secretary</t>
  </si>
  <si>
    <t>Ms. Siphelele Jiyane</t>
  </si>
  <si>
    <t>Chief Accounting Officer</t>
  </si>
  <si>
    <t>Mr. Zane Keller C.F.A.</t>
  </si>
  <si>
    <t>Head of Investor Relations</t>
  </si>
  <si>
    <t>Ms. Brooke E. Major-Reid</t>
  </si>
  <si>
    <t>Chief Capital Officer</t>
  </si>
  <si>
    <t>Dr. Wayne Pommen Ph.D.</t>
  </si>
  <si>
    <t>Chief Revenue Officer</t>
  </si>
  <si>
    <t>Pat Suh</t>
  </si>
  <si>
    <t>Senior Vice President of Revenue</t>
  </si>
  <si>
    <t>vanguar</t>
  </si>
  <si>
    <t>morgan stanley</t>
  </si>
  <si>
    <t>capital reseach</t>
  </si>
  <si>
    <t>usual banks/mms</t>
  </si>
  <si>
    <t>Durable Capital Partners</t>
  </si>
  <si>
    <t>BAILLIE GIFFORD &amp; CO</t>
  </si>
  <si>
    <t>MICHALEK LIBOR</t>
  </si>
  <si>
    <t>LEVCHIN MAX R</t>
  </si>
  <si>
    <t>LIEW JEREMY</t>
  </si>
  <si>
    <t>JIYANE SIPHELELE</t>
  </si>
  <si>
    <t>Securities available for sale</t>
  </si>
  <si>
    <t>Loans held for sales</t>
  </si>
  <si>
    <t>Loans held for investment</t>
  </si>
  <si>
    <t>Allowance for credit lossen</t>
  </si>
  <si>
    <t>Commercial agreement assets</t>
  </si>
  <si>
    <t>Other assets</t>
  </si>
  <si>
    <t>Payable to 3rd party loan owners</t>
  </si>
  <si>
    <t>Accrued interest payable</t>
  </si>
  <si>
    <t>Accrued expenses and other liab</t>
  </si>
  <si>
    <t>Convertiblae senior notes</t>
  </si>
  <si>
    <t>Notes issued by sec trusts</t>
  </si>
  <si>
    <t>Funding debt</t>
  </si>
  <si>
    <t>Merchant network revenue</t>
  </si>
  <si>
    <t>Card network revenue</t>
  </si>
  <si>
    <t>Total Network Revenue</t>
  </si>
  <si>
    <t>Interest Income</t>
  </si>
  <si>
    <t>Gain on sales of Loans</t>
  </si>
  <si>
    <t>Servicing income</t>
  </si>
  <si>
    <t>Loss on Loan purchase commitment</t>
  </si>
  <si>
    <t>Provision for credit losses</t>
  </si>
  <si>
    <t>Funding costs</t>
  </si>
  <si>
    <t>Processing and servicing</t>
  </si>
  <si>
    <t>Tech and Data analytics</t>
  </si>
  <si>
    <t>S&amp;M</t>
  </si>
  <si>
    <t>Restructuring</t>
  </si>
  <si>
    <t>Other income</t>
  </si>
  <si>
    <t>FX + other</t>
  </si>
  <si>
    <t>Shares (diluted)</t>
  </si>
  <si>
    <t>Year End June 30</t>
  </si>
  <si>
    <t>FY27</t>
  </si>
  <si>
    <t>Q326</t>
  </si>
  <si>
    <t>Network Revenue y/y</t>
  </si>
  <si>
    <t>Interest Income y/y</t>
  </si>
  <si>
    <t>Actual Price</t>
  </si>
  <si>
    <t>Consensus Target</t>
  </si>
  <si>
    <t>Competing with Credit Card Debt</t>
  </si>
  <si>
    <t>Affirm earns revenue from merchants when we help them facilitate a transaction and/or direct a consumer to a merchant. These are commonly referred to as our merchant discount rate and affiliate network revenue.</t>
  </si>
  <si>
    <t>Affirm earns interchange fees when consumers use Affirm’s
card products over established card networks</t>
  </si>
  <si>
    <t>We also sell a portion of the assets originated in our platform to third-party investors and recognize a gain or loss on the sale of these loans.</t>
  </si>
  <si>
    <t>We generate revenue through the simple interest bearing transactions we facilitate</t>
  </si>
  <si>
    <t>We make money by providing loan services on behalf of third-party investors that have purchased consumer loans from us. </t>
  </si>
  <si>
    <t>Because we don’t charge any late fees, our success is aligned with consumers successfully managing their finances.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</si>
</sst>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7" borderId="9" applyNumberFormat="0" applyAlignment="0" applyProtection="0"/>
  </cellStyleXfs>
  <cellXfs count="162">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5" fillId="0" borderId="0" xfId="0" applyNumberFormat="1" applyFont="1"/>
    <xf numFmtId="2" fontId="0" fillId="0" borderId="2" xfId="0" applyNumberFormat="1" applyBorder="1"/>
    <xf numFmtId="10" fontId="2" fillId="0" borderId="0" xfId="1" applyNumberFormat="1" applyFont="1"/>
    <xf numFmtId="0" fontId="7" fillId="0" borderId="0" xfId="0" applyFont="1" applyAlignment="1">
      <alignment horizontal="left" vertical="center" wrapText="1"/>
    </xf>
    <xf numFmtId="0" fontId="7" fillId="0" borderId="0" xfId="0" applyFont="1" applyAlignment="1">
      <alignment horizontal="left" vertical="center" indent="1"/>
    </xf>
    <xf numFmtId="0" fontId="7" fillId="0" borderId="0" xfId="0" applyFont="1" applyAlignment="1">
      <alignment horizontal="right" vertical="center" indent="1"/>
    </xf>
    <xf numFmtId="0" fontId="7" fillId="0" borderId="0" xfId="0" applyFont="1" applyAlignment="1">
      <alignment horizontal="right" vertical="center" wrapText="1"/>
    </xf>
    <xf numFmtId="0" fontId="0" fillId="3" borderId="7" xfId="0" applyFill="1" applyBorder="1" applyAlignment="1">
      <alignment horizontal="right"/>
    </xf>
    <xf numFmtId="0" fontId="12" fillId="9" borderId="13" xfId="0" applyFont="1" applyFill="1" applyBorder="1"/>
    <xf numFmtId="0" fontId="12" fillId="9" borderId="14" xfId="0" applyFont="1" applyFill="1" applyBorder="1"/>
    <xf numFmtId="0" fontId="12" fillId="9" borderId="15" xfId="0" applyFont="1" applyFill="1" applyBorder="1"/>
    <xf numFmtId="0" fontId="12" fillId="9" borderId="16" xfId="0" applyFont="1" applyFill="1" applyBorder="1"/>
    <xf numFmtId="0" fontId="13" fillId="9" borderId="17" xfId="0" applyFont="1" applyFill="1" applyBorder="1" applyAlignment="1">
      <alignment horizontal="center"/>
    </xf>
    <xf numFmtId="0" fontId="13" fillId="9" borderId="18" xfId="0" applyFont="1" applyFill="1" applyBorder="1" applyAlignment="1">
      <alignment horizontal="center"/>
    </xf>
    <xf numFmtId="0" fontId="12" fillId="9" borderId="19" xfId="0" applyFont="1" applyFill="1" applyBorder="1"/>
    <xf numFmtId="0" fontId="12" fillId="9" borderId="20" xfId="0" applyFont="1" applyFill="1" applyBorder="1"/>
    <xf numFmtId="166" fontId="12" fillId="9" borderId="21" xfId="0" applyNumberFormat="1" applyFont="1" applyFill="1" applyBorder="1"/>
    <xf numFmtId="166" fontId="12" fillId="9" borderId="22" xfId="0" applyNumberFormat="1" applyFont="1" applyFill="1" applyBorder="1"/>
    <xf numFmtId="0" fontId="12" fillId="9" borderId="22" xfId="0" applyFont="1" applyFill="1" applyBorder="1"/>
    <xf numFmtId="10" fontId="12" fillId="9" borderId="22" xfId="0" applyNumberFormat="1" applyFont="1" applyFill="1" applyBorder="1"/>
    <xf numFmtId="10" fontId="12" fillId="9" borderId="23" xfId="0" applyNumberFormat="1" applyFont="1" applyFill="1" applyBorder="1"/>
    <xf numFmtId="166" fontId="12" fillId="9" borderId="24" xfId="0" applyNumberFormat="1" applyFont="1" applyFill="1" applyBorder="1"/>
    <xf numFmtId="166" fontId="12" fillId="9" borderId="25" xfId="0" applyNumberFormat="1" applyFont="1" applyFill="1" applyBorder="1"/>
    <xf numFmtId="0" fontId="12" fillId="9" borderId="25" xfId="0" applyFont="1" applyFill="1" applyBorder="1"/>
    <xf numFmtId="0" fontId="12" fillId="9" borderId="25" xfId="0" quotePrefix="1" applyFont="1" applyFill="1" applyBorder="1"/>
    <xf numFmtId="10" fontId="12" fillId="9" borderId="25" xfId="0" applyNumberFormat="1" applyFont="1" applyFill="1" applyBorder="1"/>
    <xf numFmtId="10" fontId="12" fillId="9" borderId="26" xfId="0" applyNumberFormat="1" applyFont="1" applyFill="1" applyBorder="1"/>
    <xf numFmtId="0" fontId="12" fillId="9" borderId="27" xfId="0" applyFont="1" applyFill="1" applyBorder="1"/>
    <xf numFmtId="0" fontId="12" fillId="9" borderId="28" xfId="0" applyFont="1" applyFill="1" applyBorder="1"/>
    <xf numFmtId="10" fontId="12" fillId="9" borderId="29" xfId="0" applyNumberFormat="1" applyFont="1" applyFill="1" applyBorder="1"/>
    <xf numFmtId="166" fontId="12" fillId="9" borderId="30" xfId="0" applyNumberFormat="1" applyFont="1" applyFill="1" applyBorder="1"/>
    <xf numFmtId="0" fontId="12" fillId="9" borderId="31" xfId="0" applyFont="1" applyFill="1" applyBorder="1"/>
    <xf numFmtId="166" fontId="12" fillId="9" borderId="34" xfId="0" applyNumberFormat="1" applyFont="1" applyFill="1" applyBorder="1"/>
    <xf numFmtId="166" fontId="12" fillId="9" borderId="13" xfId="0" applyNumberFormat="1" applyFont="1" applyFill="1" applyBorder="1"/>
    <xf numFmtId="0" fontId="0" fillId="9" borderId="35" xfId="0" applyFill="1" applyBorder="1"/>
    <xf numFmtId="166" fontId="12" fillId="9" borderId="36" xfId="0" applyNumberFormat="1" applyFont="1" applyFill="1" applyBorder="1"/>
    <xf numFmtId="166" fontId="12" fillId="9" borderId="37" xfId="0" applyNumberFormat="1" applyFont="1" applyFill="1" applyBorder="1"/>
    <xf numFmtId="0" fontId="14" fillId="9" borderId="22" xfId="0" applyFont="1" applyFill="1" applyBorder="1"/>
    <xf numFmtId="0" fontId="14" fillId="9" borderId="23" xfId="0" applyFont="1" applyFill="1" applyBorder="1"/>
    <xf numFmtId="166" fontId="14" fillId="9" borderId="24" xfId="0" applyNumberFormat="1" applyFont="1" applyFill="1" applyBorder="1"/>
    <xf numFmtId="166" fontId="14" fillId="9" borderId="30" xfId="0" applyNumberFormat="1" applyFont="1" applyFill="1" applyBorder="1"/>
    <xf numFmtId="10" fontId="12" fillId="9" borderId="28" xfId="0" applyNumberFormat="1" applyFont="1" applyFill="1" applyBorder="1"/>
    <xf numFmtId="0" fontId="12" fillId="9" borderId="0" xfId="0" applyFont="1" applyFill="1"/>
    <xf numFmtId="1" fontId="12" fillId="9" borderId="24" xfId="0" applyNumberFormat="1" applyFont="1" applyFill="1" applyBorder="1"/>
    <xf numFmtId="10" fontId="12" fillId="9" borderId="38" xfId="0" applyNumberFormat="1" applyFont="1" applyFill="1" applyBorder="1"/>
    <xf numFmtId="9" fontId="14" fillId="9" borderId="39" xfId="0" applyNumberFormat="1" applyFont="1" applyFill="1" applyBorder="1"/>
    <xf numFmtId="10" fontId="0" fillId="9" borderId="41" xfId="0" applyNumberFormat="1" applyFill="1" applyBorder="1" applyAlignment="1">
      <alignment horizontal="centerContinuous"/>
    </xf>
    <xf numFmtId="9" fontId="14" fillId="9" borderId="42" xfId="0" applyNumberFormat="1" applyFont="1" applyFill="1" applyBorder="1"/>
    <xf numFmtId="10" fontId="0" fillId="9" borderId="40" xfId="0" applyNumberFormat="1" applyFill="1" applyBorder="1" applyAlignment="1">
      <alignment horizontal="centerContinuous"/>
    </xf>
    <xf numFmtId="9" fontId="14" fillId="9" borderId="34" xfId="0" applyNumberFormat="1" applyFont="1" applyFill="1" applyBorder="1"/>
    <xf numFmtId="10" fontId="0" fillId="9" borderId="2" xfId="0" applyNumberFormat="1" applyFill="1" applyBorder="1" applyAlignment="1">
      <alignment horizontal="centerContinuous"/>
    </xf>
    <xf numFmtId="9" fontId="14" fillId="9" borderId="1" xfId="0" applyNumberFormat="1" applyFont="1" applyFill="1" applyBorder="1"/>
    <xf numFmtId="10" fontId="0" fillId="9" borderId="31" xfId="0" applyNumberFormat="1" applyFill="1" applyBorder="1" applyAlignment="1">
      <alignment horizontal="centerContinuous"/>
    </xf>
    <xf numFmtId="9" fontId="14" fillId="9" borderId="13" xfId="0" applyNumberFormat="1" applyFont="1" applyFill="1" applyBorder="1"/>
    <xf numFmtId="10" fontId="0" fillId="9" borderId="35" xfId="0" applyNumberFormat="1" applyFill="1" applyBorder="1" applyAlignment="1">
      <alignment horizontal="centerContinuous"/>
    </xf>
    <xf numFmtId="0" fontId="12" fillId="9" borderId="43" xfId="0" applyFont="1" applyFill="1" applyBorder="1"/>
    <xf numFmtId="9" fontId="14" fillId="9" borderId="43" xfId="0" applyNumberFormat="1" applyFont="1" applyFill="1" applyBorder="1"/>
    <xf numFmtId="10" fontId="0" fillId="9" borderId="15" xfId="0" applyNumberFormat="1" applyFill="1" applyBorder="1" applyAlignment="1">
      <alignment horizontal="centerContinuous"/>
    </xf>
    <xf numFmtId="0" fontId="14" fillId="0" borderId="21" xfId="0" applyFont="1" applyBorder="1"/>
    <xf numFmtId="9" fontId="10" fillId="7" borderId="23" xfId="3" applyNumberFormat="1" applyBorder="1"/>
    <xf numFmtId="0" fontId="14" fillId="0" borderId="27" xfId="0" applyFont="1" applyBorder="1"/>
    <xf numFmtId="9" fontId="10" fillId="7" borderId="29" xfId="3" applyNumberFormat="1" applyBorder="1"/>
    <xf numFmtId="0" fontId="12" fillId="0" borderId="0" xfId="0" applyFont="1"/>
    <xf numFmtId="2" fontId="10" fillId="7"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9" borderId="31" xfId="0" applyNumberFormat="1" applyFont="1" applyFill="1" applyBorder="1"/>
    <xf numFmtId="2" fontId="12" fillId="9" borderId="31" xfId="0" applyNumberFormat="1" applyFont="1" applyFill="1" applyBorder="1"/>
    <xf numFmtId="3" fontId="5" fillId="0" borderId="2" xfId="0" applyNumberFormat="1" applyFont="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3" xfId="0" applyFill="1" applyBorder="1" applyAlignment="1">
      <alignment horizontal="center" vertical="center" wrapText="1"/>
    </xf>
    <xf numFmtId="0" fontId="0" fillId="6" borderId="7" xfId="0" applyFill="1" applyBorder="1" applyAlignment="1">
      <alignment horizontal="center" vertical="center"/>
    </xf>
    <xf numFmtId="0" fontId="0" fillId="6" borderId="4" xfId="0" applyFill="1" applyBorder="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vertical="center"/>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6" borderId="8" xfId="0" applyFill="1" applyBorder="1" applyAlignment="1">
      <alignment horizontal="center" vertical="center"/>
    </xf>
    <xf numFmtId="0" fontId="0" fillId="6" borderId="6" xfId="0" applyFill="1" applyBorder="1" applyAlignment="1">
      <alignment horizontal="center" vertical="center"/>
    </xf>
    <xf numFmtId="0" fontId="11" fillId="8" borderId="10" xfId="0" applyFont="1" applyFill="1" applyBorder="1" applyAlignment="1">
      <alignment horizontal="center"/>
    </xf>
    <xf numFmtId="0" fontId="11" fillId="8" borderId="11" xfId="0" applyFont="1" applyFill="1" applyBorder="1" applyAlignment="1">
      <alignment horizontal="center"/>
    </xf>
    <xf numFmtId="0" fontId="11" fillId="8" borderId="12" xfId="0" applyFont="1" applyFill="1" applyBorder="1" applyAlignment="1">
      <alignment horizontal="center"/>
    </xf>
    <xf numFmtId="166" fontId="12" fillId="9" borderId="32" xfId="0" applyNumberFormat="1" applyFont="1" applyFill="1" applyBorder="1" applyAlignment="1">
      <alignment horizontal="center"/>
    </xf>
    <xf numFmtId="166" fontId="12" fillId="9" borderId="44" xfId="0" applyNumberFormat="1" applyFont="1" applyFill="1" applyBorder="1" applyAlignment="1">
      <alignment horizontal="center"/>
    </xf>
    <xf numFmtId="166" fontId="12" fillId="9" borderId="33" xfId="0" applyNumberFormat="1" applyFont="1" applyFill="1" applyBorder="1" applyAlignment="1">
      <alignment horizontal="center"/>
    </xf>
    <xf numFmtId="166" fontId="12" fillId="9"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10" fontId="0" fillId="0" borderId="0" xfId="0" applyNumberFormat="1" applyAlignment="1">
      <alignment horizontal="right"/>
    </xf>
    <xf numFmtId="3" fontId="0" fillId="0" borderId="0" xfId="0" applyNumberFormat="1" applyFont="1"/>
    <xf numFmtId="3" fontId="0" fillId="0" borderId="2" xfId="0" applyNumberFormat="1" applyFont="1" applyBorder="1"/>
    <xf numFmtId="0" fontId="6" fillId="0" borderId="0" xfId="0" applyFont="1"/>
    <xf numFmtId="0" fontId="0" fillId="0" borderId="0" xfId="0" applyFill="1"/>
    <xf numFmtId="0" fontId="0" fillId="0" borderId="0" xfId="0" applyBorder="1"/>
    <xf numFmtId="3" fontId="0" fillId="0" borderId="0" xfId="0" applyNumberFormat="1" applyBorder="1"/>
    <xf numFmtId="3" fontId="2" fillId="0" borderId="0" xfId="0" applyNumberFormat="1" applyFont="1" applyBorder="1"/>
    <xf numFmtId="3" fontId="5" fillId="0" borderId="0" xfId="0" applyNumberFormat="1" applyFont="1" applyBorder="1"/>
    <xf numFmtId="2" fontId="2" fillId="0" borderId="0" xfId="0" applyNumberFormat="1" applyFont="1" applyBorder="1"/>
    <xf numFmtId="2" fontId="6" fillId="0" borderId="0" xfId="0" applyNumberFormat="1" applyFont="1" applyBorder="1"/>
    <xf numFmtId="9" fontId="0" fillId="0" borderId="0" xfId="0" applyNumberFormat="1" applyBorder="1"/>
    <xf numFmtId="3" fontId="0" fillId="0" borderId="0" xfId="0" applyNumberFormat="1" applyFont="1" applyBorder="1"/>
    <xf numFmtId="0" fontId="2" fillId="0" borderId="0" xfId="0" applyFont="1" applyBorder="1"/>
    <xf numFmtId="0" fontId="5" fillId="0" borderId="0" xfId="0" applyFont="1" applyBorder="1"/>
    <xf numFmtId="3" fontId="5" fillId="0" borderId="2" xfId="0" applyNumberFormat="1" applyFont="1" applyFill="1" applyBorder="1"/>
    <xf numFmtId="0" fontId="6" fillId="0" borderId="2" xfId="0" applyFont="1" applyFill="1" applyBorder="1"/>
    <xf numFmtId="0" fontId="0" fillId="2" borderId="0" xfId="0" applyFill="1"/>
    <xf numFmtId="3" fontId="5" fillId="2" borderId="0" xfId="0" applyNumberFormat="1" applyFont="1" applyFill="1"/>
    <xf numFmtId="3" fontId="0" fillId="2" borderId="0" xfId="0" applyNumberFormat="1" applyFill="1"/>
    <xf numFmtId="2" fontId="5" fillId="0" borderId="0" xfId="0" applyNumberFormat="1" applyFont="1" applyBorder="1"/>
    <xf numFmtId="14" fontId="0" fillId="0" borderId="0" xfId="0" applyNumberFormat="1" applyBorder="1"/>
    <xf numFmtId="2" fontId="6" fillId="2" borderId="0" xfId="0" applyNumberFormat="1" applyFont="1" applyFill="1"/>
    <xf numFmtId="0" fontId="6" fillId="2" borderId="0" xfId="0" applyFont="1" applyFill="1"/>
    <xf numFmtId="17" fontId="0" fillId="0" borderId="0" xfId="0" applyNumberFormat="1"/>
    <xf numFmtId="0" fontId="0" fillId="0" borderId="0" xfId="0" applyAlignment="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Analysts!$B$2:$U$2</c:f>
              <c:numCache>
                <c:formatCode>General</c:formatCode>
                <c:ptCount val="20"/>
                <c:pt idx="0">
                  <c:v>6</c:v>
                </c:pt>
                <c:pt idx="1">
                  <c:v>6</c:v>
                </c:pt>
                <c:pt idx="2">
                  <c:v>5</c:v>
                </c:pt>
                <c:pt idx="3">
                  <c:v>6</c:v>
                </c:pt>
                <c:pt idx="4">
                  <c:v>5</c:v>
                </c:pt>
                <c:pt idx="5">
                  <c:v>5</c:v>
                </c:pt>
                <c:pt idx="6">
                  <c:v>2</c:v>
                </c:pt>
                <c:pt idx="7">
                  <c:v>1</c:v>
                </c:pt>
                <c:pt idx="8">
                  <c:v>1</c:v>
                </c:pt>
                <c:pt idx="9">
                  <c:v>1</c:v>
                </c:pt>
              </c:numCache>
            </c:numRef>
          </c:val>
          <c:extLst>
            <c:ext xmlns:c16="http://schemas.microsoft.com/office/drawing/2014/chart" uri="{C3380CC4-5D6E-409C-BE32-E72D297353CC}">
              <c16:uniqueId val="{00000000-579C-4350-B83D-5F2E75DDA864}"/>
            </c:ext>
          </c:extLst>
        </c:ser>
        <c:ser>
          <c:idx val="2"/>
          <c:order val="1"/>
          <c:tx>
            <c:strRef>
              <c:f>Analysts!$A$3</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Analysts!$B$3:$U$3</c:f>
              <c:numCache>
                <c:formatCode>General</c:formatCode>
                <c:ptCount val="20"/>
                <c:pt idx="0">
                  <c:v>9</c:v>
                </c:pt>
                <c:pt idx="1">
                  <c:v>8</c:v>
                </c:pt>
                <c:pt idx="2">
                  <c:v>9</c:v>
                </c:pt>
                <c:pt idx="3">
                  <c:v>9</c:v>
                </c:pt>
                <c:pt idx="4">
                  <c:v>9</c:v>
                </c:pt>
                <c:pt idx="5">
                  <c:v>9</c:v>
                </c:pt>
                <c:pt idx="6">
                  <c:v>9</c:v>
                </c:pt>
                <c:pt idx="7">
                  <c:v>7</c:v>
                </c:pt>
                <c:pt idx="8">
                  <c:v>6</c:v>
                </c:pt>
                <c:pt idx="9">
                  <c:v>8</c:v>
                </c:pt>
                <c:pt idx="10">
                  <c:v>9</c:v>
                </c:pt>
                <c:pt idx="11">
                  <c:v>8</c:v>
                </c:pt>
                <c:pt idx="12">
                  <c:v>8</c:v>
                </c:pt>
                <c:pt idx="13">
                  <c:v>7</c:v>
                </c:pt>
                <c:pt idx="14">
                  <c:v>8</c:v>
                </c:pt>
                <c:pt idx="15">
                  <c:v>10</c:v>
                </c:pt>
                <c:pt idx="16">
                  <c:v>11</c:v>
                </c:pt>
                <c:pt idx="17">
                  <c:v>12</c:v>
                </c:pt>
                <c:pt idx="18">
                  <c:v>10</c:v>
                </c:pt>
                <c:pt idx="19">
                  <c:v>11</c:v>
                </c:pt>
              </c:numCache>
            </c:numRef>
          </c:val>
          <c:extLst>
            <c:ext xmlns:c16="http://schemas.microsoft.com/office/drawing/2014/chart" uri="{C3380CC4-5D6E-409C-BE32-E72D297353CC}">
              <c16:uniqueId val="{00000002-579C-4350-B83D-5F2E75DDA864}"/>
            </c:ext>
          </c:extLst>
        </c:ser>
        <c:ser>
          <c:idx val="3"/>
          <c:order val="2"/>
          <c:tx>
            <c:strRef>
              <c:f>Analysts!$A$4</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Analysts!$B$4:$U$4</c:f>
              <c:numCache>
                <c:formatCode>General</c:formatCode>
                <c:ptCount val="20"/>
                <c:pt idx="0">
                  <c:v>3</c:v>
                </c:pt>
                <c:pt idx="1">
                  <c:v>4</c:v>
                </c:pt>
                <c:pt idx="2">
                  <c:v>5</c:v>
                </c:pt>
                <c:pt idx="3">
                  <c:v>5</c:v>
                </c:pt>
                <c:pt idx="4">
                  <c:v>6</c:v>
                </c:pt>
                <c:pt idx="5">
                  <c:v>7</c:v>
                </c:pt>
                <c:pt idx="6">
                  <c:v>9</c:v>
                </c:pt>
                <c:pt idx="7">
                  <c:v>9</c:v>
                </c:pt>
                <c:pt idx="8">
                  <c:v>10</c:v>
                </c:pt>
                <c:pt idx="9">
                  <c:v>10</c:v>
                </c:pt>
                <c:pt idx="10">
                  <c:v>10</c:v>
                </c:pt>
                <c:pt idx="11">
                  <c:v>12</c:v>
                </c:pt>
                <c:pt idx="12">
                  <c:v>14</c:v>
                </c:pt>
                <c:pt idx="13">
                  <c:v>15</c:v>
                </c:pt>
                <c:pt idx="14">
                  <c:v>17</c:v>
                </c:pt>
                <c:pt idx="15">
                  <c:v>18</c:v>
                </c:pt>
                <c:pt idx="16">
                  <c:v>18</c:v>
                </c:pt>
                <c:pt idx="17">
                  <c:v>18</c:v>
                </c:pt>
                <c:pt idx="18">
                  <c:v>18</c:v>
                </c:pt>
                <c:pt idx="19">
                  <c:v>18</c:v>
                </c:pt>
              </c:numCache>
            </c:numRef>
          </c:val>
          <c:extLst>
            <c:ext xmlns:c16="http://schemas.microsoft.com/office/drawing/2014/chart" uri="{C3380CC4-5D6E-409C-BE32-E72D297353CC}">
              <c16:uniqueId val="{00000003-579C-4350-B83D-5F2E75DDA864}"/>
            </c:ext>
          </c:extLst>
        </c:ser>
        <c:ser>
          <c:idx val="4"/>
          <c:order val="3"/>
          <c:tx>
            <c:strRef>
              <c:f>Analysts!$A$5</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Analysts!$B$5:$U$5</c:f>
              <c:numCache>
                <c:formatCode>General</c:formatCode>
                <c:ptCount val="20"/>
                <c:pt idx="8">
                  <c:v>1</c:v>
                </c:pt>
                <c:pt idx="9">
                  <c:v>1</c:v>
                </c:pt>
                <c:pt idx="10">
                  <c:v>1</c:v>
                </c:pt>
                <c:pt idx="11">
                  <c:v>1</c:v>
                </c:pt>
                <c:pt idx="12">
                  <c:v>1</c:v>
                </c:pt>
                <c:pt idx="13">
                  <c:v>1</c:v>
                </c:pt>
                <c:pt idx="14">
                  <c:v>1</c:v>
                </c:pt>
                <c:pt idx="15">
                  <c:v>1</c:v>
                </c:pt>
                <c:pt idx="16">
                  <c:v>1</c:v>
                </c:pt>
                <c:pt idx="17">
                  <c:v>1</c:v>
                </c:pt>
                <c:pt idx="18">
                  <c:v>3</c:v>
                </c:pt>
                <c:pt idx="19">
                  <c:v>3</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Analysts!$A$9</c:f>
              <c:strCache>
                <c:ptCount val="1"/>
                <c:pt idx="0">
                  <c:v>Actual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Analysts!$B$9:$U$9</c:f>
              <c:numCache>
                <c:formatCode>General</c:formatCode>
                <c:ptCount val="20"/>
                <c:pt idx="0">
                  <c:v>32.65</c:v>
                </c:pt>
                <c:pt idx="1">
                  <c:v>30.97</c:v>
                </c:pt>
                <c:pt idx="2">
                  <c:v>32.659999999999997</c:v>
                </c:pt>
                <c:pt idx="3">
                  <c:v>32.85</c:v>
                </c:pt>
                <c:pt idx="4">
                  <c:v>37.24</c:v>
                </c:pt>
                <c:pt idx="5">
                  <c:v>43.1</c:v>
                </c:pt>
                <c:pt idx="6">
                  <c:v>46.38</c:v>
                </c:pt>
                <c:pt idx="7">
                  <c:v>67.849999999999994</c:v>
                </c:pt>
                <c:pt idx="8">
                  <c:v>62.39</c:v>
                </c:pt>
                <c:pt idx="9">
                  <c:v>64.790000000000006</c:v>
                </c:pt>
                <c:pt idx="10">
                  <c:v>70.239999999999995</c:v>
                </c:pt>
                <c:pt idx="11">
                  <c:v>43.85</c:v>
                </c:pt>
                <c:pt idx="12">
                  <c:v>48.67</c:v>
                </c:pt>
                <c:pt idx="13">
                  <c:v>65.05</c:v>
                </c:pt>
                <c:pt idx="14">
                  <c:v>65.95</c:v>
                </c:pt>
                <c:pt idx="15">
                  <c:v>70.86</c:v>
                </c:pt>
                <c:pt idx="16">
                  <c:v>82.97</c:v>
                </c:pt>
                <c:pt idx="17">
                  <c:v>78.709999999999994</c:v>
                </c:pt>
                <c:pt idx="18">
                  <c:v>72.59</c:v>
                </c:pt>
                <c:pt idx="19">
                  <c:v>67.77</c:v>
                </c:pt>
              </c:numCache>
            </c:numRef>
          </c:val>
          <c:smooth val="0"/>
          <c:extLst>
            <c:ext xmlns:c16="http://schemas.microsoft.com/office/drawing/2014/chart" uri="{C3380CC4-5D6E-409C-BE32-E72D297353CC}">
              <c16:uniqueId val="{00000000-056B-4CCB-ADAE-0606DD7B1945}"/>
            </c:ext>
          </c:extLst>
        </c:ser>
        <c:ser>
          <c:idx val="1"/>
          <c:order val="1"/>
          <c:tx>
            <c:strRef>
              <c:f>Analysts!$A$10</c:f>
              <c:strCache>
                <c:ptCount val="1"/>
                <c:pt idx="0">
                  <c:v>Consensus Target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Analysts!$B$1:$U$1</c:f>
              <c:numCache>
                <c:formatCode>[$-407]mmm/\ yy;@</c:formatCode>
                <c:ptCount val="20"/>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pt idx="15">
                  <c:v>45870</c:v>
                </c:pt>
                <c:pt idx="16">
                  <c:v>45901</c:v>
                </c:pt>
                <c:pt idx="17">
                  <c:v>45931</c:v>
                </c:pt>
                <c:pt idx="18">
                  <c:v>45962</c:v>
                </c:pt>
                <c:pt idx="19">
                  <c:v>45992</c:v>
                </c:pt>
              </c:numCache>
            </c:numRef>
          </c:cat>
          <c:val>
            <c:numRef>
              <c:f>Analysts!$B$10:$U$10</c:f>
              <c:numCache>
                <c:formatCode>General</c:formatCode>
                <c:ptCount val="20"/>
                <c:pt idx="0">
                  <c:v>27.86</c:v>
                </c:pt>
                <c:pt idx="1">
                  <c:v>27.53</c:v>
                </c:pt>
                <c:pt idx="2">
                  <c:v>30.1</c:v>
                </c:pt>
                <c:pt idx="3">
                  <c:v>27.15</c:v>
                </c:pt>
                <c:pt idx="4">
                  <c:v>34.32</c:v>
                </c:pt>
                <c:pt idx="5">
                  <c:v>35.53</c:v>
                </c:pt>
                <c:pt idx="6">
                  <c:v>43.08</c:v>
                </c:pt>
                <c:pt idx="7">
                  <c:v>52.53</c:v>
                </c:pt>
                <c:pt idx="8">
                  <c:v>60.94</c:v>
                </c:pt>
                <c:pt idx="9">
                  <c:v>62.88</c:v>
                </c:pt>
                <c:pt idx="10">
                  <c:v>62.41</c:v>
                </c:pt>
                <c:pt idx="11">
                  <c:v>69.760000000000005</c:v>
                </c:pt>
                <c:pt idx="12">
                  <c:v>66.739999999999995</c:v>
                </c:pt>
                <c:pt idx="13">
                  <c:v>54.49</c:v>
                </c:pt>
                <c:pt idx="14">
                  <c:v>65.67</c:v>
                </c:pt>
                <c:pt idx="15">
                  <c:v>68.09</c:v>
                </c:pt>
                <c:pt idx="16">
                  <c:v>77.349999999999994</c:v>
                </c:pt>
                <c:pt idx="17">
                  <c:v>82.97</c:v>
                </c:pt>
                <c:pt idx="18">
                  <c:v>87.35</c:v>
                </c:pt>
                <c:pt idx="19">
                  <c:v>86.57</c:v>
                </c:pt>
              </c:numCache>
            </c:numRef>
          </c:val>
          <c:smooth val="0"/>
          <c:extLst>
            <c:ext xmlns:c16="http://schemas.microsoft.com/office/drawing/2014/chart" uri="{C3380CC4-5D6E-409C-BE32-E72D297353CC}">
              <c16:uniqueId val="{00000001-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Model!$B$9</c:f>
              <c:strCache>
                <c:ptCount val="1"/>
                <c:pt idx="0">
                  <c:v>Revenue</c:v>
                </c:pt>
              </c:strCache>
            </c:strRef>
          </c:tx>
          <c:spPr>
            <a:solidFill>
              <a:schemeClr val="accent2"/>
            </a:solidFill>
            <a:ln>
              <a:noFill/>
            </a:ln>
            <a:effectLst/>
          </c:spPr>
          <c:invertIfNegative val="0"/>
          <c:dPt>
            <c:idx val="9"/>
            <c:invertIfNegative val="0"/>
            <c:bubble3D val="0"/>
            <c:spPr>
              <a:solidFill>
                <a:schemeClr val="accent2"/>
              </a:solidFill>
              <a:ln>
                <a:noFill/>
              </a:ln>
              <a:effectLst/>
            </c:spPr>
          </c:dPt>
          <c:dPt>
            <c:idx val="10"/>
            <c:invertIfNegative val="0"/>
            <c:bubble3D val="0"/>
            <c:spPr>
              <a:solidFill>
                <a:schemeClr val="bg2">
                  <a:lumMod val="9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Model!$K$2:$V$2</c:f>
              <c:strCache>
                <c:ptCount val="12"/>
                <c:pt idx="0">
                  <c:v>Q323</c:v>
                </c:pt>
                <c:pt idx="1">
                  <c:v>Q423</c:v>
                </c:pt>
                <c:pt idx="2">
                  <c:v>Q124</c:v>
                </c:pt>
                <c:pt idx="3">
                  <c:v>Q224</c:v>
                </c:pt>
                <c:pt idx="4">
                  <c:v>Q324</c:v>
                </c:pt>
                <c:pt idx="5">
                  <c:v>Q424</c:v>
                </c:pt>
                <c:pt idx="6">
                  <c:v>Q125</c:v>
                </c:pt>
                <c:pt idx="7">
                  <c:v>Q225</c:v>
                </c:pt>
                <c:pt idx="8">
                  <c:v>Q325</c:v>
                </c:pt>
                <c:pt idx="9">
                  <c:v>Q425</c:v>
                </c:pt>
                <c:pt idx="10">
                  <c:v>Q126</c:v>
                </c:pt>
                <c:pt idx="11">
                  <c:v>Q226</c:v>
                </c:pt>
              </c:strCache>
            </c:strRef>
          </c:cat>
          <c:val>
            <c:numRef>
              <c:f>Model!$K$9:$V$9</c:f>
              <c:numCache>
                <c:formatCode>#,##0</c:formatCode>
                <c:ptCount val="12"/>
                <c:pt idx="0">
                  <c:v>0</c:v>
                </c:pt>
                <c:pt idx="1">
                  <c:v>0</c:v>
                </c:pt>
                <c:pt idx="2">
                  <c:v>496.54699999999997</c:v>
                </c:pt>
                <c:pt idx="3">
                  <c:v>591.11</c:v>
                </c:pt>
                <c:pt idx="4">
                  <c:v>576.15700000000004</c:v>
                </c:pt>
                <c:pt idx="5">
                  <c:v>659.18499999999995</c:v>
                </c:pt>
                <c:pt idx="6">
                  <c:v>698.47900000000004</c:v>
                </c:pt>
                <c:pt idx="7">
                  <c:v>866.38100000000009</c:v>
                </c:pt>
                <c:pt idx="8">
                  <c:v>783.13400000000001</c:v>
                </c:pt>
                <c:pt idx="9">
                  <c:v>876.41700000000003</c:v>
                </c:pt>
                <c:pt idx="10">
                  <c:v>933.33699999999988</c:v>
                </c:pt>
                <c:pt idx="11">
                  <c:v>1060</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Model!$B$31</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Model!$K$31:$V$31</c:f>
              <c:numCache>
                <c:formatCode>0%</c:formatCode>
                <c:ptCount val="12"/>
                <c:pt idx="4">
                  <c:v>0</c:v>
                </c:pt>
                <c:pt idx="5">
                  <c:v>0</c:v>
                </c:pt>
                <c:pt idx="6">
                  <c:v>0.40667248014790158</c:v>
                </c:pt>
                <c:pt idx="7">
                  <c:v>0.46568489790394363</c:v>
                </c:pt>
                <c:pt idx="8">
                  <c:v>0.35923715237339815</c:v>
                </c:pt>
                <c:pt idx="9">
                  <c:v>0.32954633373028841</c:v>
                </c:pt>
                <c:pt idx="10">
                  <c:v>0.33624203447777212</c:v>
                </c:pt>
                <c:pt idx="11">
                  <c:v>0.22348020097393628</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Model!$B$9</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FF0-459B-A546-819F3C5FC9BE}"/>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9FF0-459B-A546-819F3C5FC9B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Model!$C$9:$G$9</c:f>
              <c:numCache>
                <c:formatCode>#,##0</c:formatCode>
                <c:ptCount val="5"/>
                <c:pt idx="0">
                  <c:v>1349.2919999999999</c:v>
                </c:pt>
                <c:pt idx="1">
                  <c:v>1587.9850000000001</c:v>
                </c:pt>
                <c:pt idx="2">
                  <c:v>2322.9990000000003</c:v>
                </c:pt>
                <c:pt idx="3">
                  <c:v>3224.4109999999996</c:v>
                </c:pt>
                <c:pt idx="4">
                  <c:v>4080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Model!$B$31</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Model!$C$31:$G$31</c:f>
              <c:numCache>
                <c:formatCode>0%</c:formatCode>
                <c:ptCount val="5"/>
                <c:pt idx="1">
                  <c:v>0.17690240511320021</c:v>
                </c:pt>
                <c:pt idx="2">
                  <c:v>0.46285953582684969</c:v>
                </c:pt>
                <c:pt idx="3">
                  <c:v>0.38803804909085171</c:v>
                </c:pt>
                <c:pt idx="4">
                  <c:v>0.26534737662165298</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Model!$B$27</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Model!$K$2:$R$2</c:f>
              <c:strCache>
                <c:ptCount val="8"/>
                <c:pt idx="0">
                  <c:v>Q323</c:v>
                </c:pt>
                <c:pt idx="1">
                  <c:v>Q423</c:v>
                </c:pt>
                <c:pt idx="2">
                  <c:v>Q124</c:v>
                </c:pt>
                <c:pt idx="3">
                  <c:v>Q224</c:v>
                </c:pt>
                <c:pt idx="4">
                  <c:v>Q324</c:v>
                </c:pt>
                <c:pt idx="5">
                  <c:v>Q424</c:v>
                </c:pt>
                <c:pt idx="6">
                  <c:v>Q125</c:v>
                </c:pt>
                <c:pt idx="7">
                  <c:v>Q225</c:v>
                </c:pt>
              </c:strCache>
            </c:strRef>
          </c:cat>
          <c:val>
            <c:numRef>
              <c:f>Model!$K$27:$V$27</c:f>
              <c:numCache>
                <c:formatCode>0.00</c:formatCode>
                <c:ptCount val="12"/>
                <c:pt idx="0">
                  <c:v>0</c:v>
                </c:pt>
                <c:pt idx="1">
                  <c:v>0</c:v>
                </c:pt>
                <c:pt idx="2">
                  <c:v>-0.59756844785935936</c:v>
                </c:pt>
                <c:pt idx="3">
                  <c:v>-0.48391658733175236</c:v>
                </c:pt>
                <c:pt idx="4">
                  <c:v>-0.41860782810670066</c:v>
                </c:pt>
                <c:pt idx="5">
                  <c:v>-0.1435110635932621</c:v>
                </c:pt>
                <c:pt idx="6">
                  <c:v>-0.27583113970762835</c:v>
                </c:pt>
                <c:pt idx="7">
                  <c:v>0.12146412765030767</c:v>
                </c:pt>
                <c:pt idx="8">
                  <c:v>1.871880896888635E-2</c:v>
                </c:pt>
                <c:pt idx="9">
                  <c:v>0.31563839928619269</c:v>
                </c:pt>
                <c:pt idx="10">
                  <c:v>0.20493088111466917</c:v>
                </c:pt>
                <c:pt idx="11">
                  <c:v>0.85</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Model!$B$37</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Model!$K$37:$V$37</c:f>
              <c:numCache>
                <c:formatCode>0%</c:formatCode>
                <c:ptCount val="12"/>
                <c:pt idx="4">
                  <c:v>0</c:v>
                </c:pt>
                <c:pt idx="5">
                  <c:v>0</c:v>
                </c:pt>
                <c:pt idx="6">
                  <c:v>-0.5165422851320467</c:v>
                </c:pt>
                <c:pt idx="7">
                  <c:v>-1.2817070794617011</c:v>
                </c:pt>
                <c:pt idx="8">
                  <c:v>-1.0406120961865435</c:v>
                </c:pt>
                <c:pt idx="9">
                  <c:v>-2.9975101214574824</c:v>
                </c:pt>
                <c:pt idx="10">
                  <c:v>-1.8130988049533476</c:v>
                </c:pt>
                <c:pt idx="11">
                  <c:v>24.280831882467911</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Model!$B$27</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Model!$C$27:$G$27</c:f>
              <c:numCache>
                <c:formatCode>0.00</c:formatCode>
                <c:ptCount val="5"/>
                <c:pt idx="0">
                  <c:v>-2.5606270944476788</c:v>
                </c:pt>
                <c:pt idx="1">
                  <c:v>-3.3640798405203243</c:v>
                </c:pt>
                <c:pt idx="2">
                  <c:v>-1.6907760092232713</c:v>
                </c:pt>
                <c:pt idx="3">
                  <c:v>0.1720672875727301</c:v>
                </c:pt>
                <c:pt idx="4" formatCode="General">
                  <c:v>3.11</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Model!$B$37</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Model!$C$37:$G$37</c:f>
              <c:numCache>
                <c:formatCode>0%</c:formatCode>
                <c:ptCount val="5"/>
                <c:pt idx="0">
                  <c:v>0</c:v>
                </c:pt>
                <c:pt idx="1">
                  <c:v>0.31377186776427068</c:v>
                </c:pt>
                <c:pt idx="2">
                  <c:v>-0.49740312674572018</c:v>
                </c:pt>
                <c:pt idx="3">
                  <c:v>-1.1017682334230519</c:v>
                </c:pt>
                <c:pt idx="4">
                  <c:v>17.074324549838984</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Model!$B$32</c:f>
              <c:strCache>
                <c:ptCount val="1"/>
                <c:pt idx="0">
                  <c:v>Sales &amp; Marketing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Model!$K$2:$R$2</c:f>
              <c:strCache>
                <c:ptCount val="8"/>
                <c:pt idx="0">
                  <c:v>Q323</c:v>
                </c:pt>
                <c:pt idx="1">
                  <c:v>Q423</c:v>
                </c:pt>
                <c:pt idx="2">
                  <c:v>Q124</c:v>
                </c:pt>
                <c:pt idx="3">
                  <c:v>Q224</c:v>
                </c:pt>
                <c:pt idx="4">
                  <c:v>Q324</c:v>
                </c:pt>
                <c:pt idx="5">
                  <c:v>Q424</c:v>
                </c:pt>
                <c:pt idx="6">
                  <c:v>Q125</c:v>
                </c:pt>
                <c:pt idx="7">
                  <c:v>Q225</c:v>
                </c:pt>
              </c:strCache>
            </c:strRef>
          </c:cat>
          <c:val>
            <c:numRef>
              <c:f>Model!$K$32:$V$32</c:f>
              <c:numCache>
                <c:formatCode>0%</c:formatCode>
                <c:ptCount val="12"/>
                <c:pt idx="0">
                  <c:v>0</c:v>
                </c:pt>
                <c:pt idx="1">
                  <c:v>0</c:v>
                </c:pt>
                <c:pt idx="2">
                  <c:v>0.2957746195224219</c:v>
                </c:pt>
                <c:pt idx="3">
                  <c:v>0.27281724213767317</c:v>
                </c:pt>
                <c:pt idx="4">
                  <c:v>0.23075307598449724</c:v>
                </c:pt>
                <c:pt idx="5">
                  <c:v>0.20528986551575051</c:v>
                </c:pt>
                <c:pt idx="6">
                  <c:v>0.20792751106332474</c:v>
                </c:pt>
                <c:pt idx="7">
                  <c:v>0.15701867884914372</c:v>
                </c:pt>
                <c:pt idx="8">
                  <c:v>9.452022259281298E-2</c:v>
                </c:pt>
                <c:pt idx="9">
                  <c:v>9.077185860155608E-2</c:v>
                </c:pt>
                <c:pt idx="10">
                  <c:v>8.4097169618262219E-2</c:v>
                </c:pt>
                <c:pt idx="11">
                  <c:v>0</c:v>
                </c:pt>
              </c:numCache>
            </c:numRef>
          </c:val>
          <c:smooth val="0"/>
          <c:extLst>
            <c:ext xmlns:c16="http://schemas.microsoft.com/office/drawing/2014/chart" uri="{C3380CC4-5D6E-409C-BE32-E72D297353CC}">
              <c16:uniqueId val="{00000001-35FE-4BEB-944F-3D772460C6A2}"/>
            </c:ext>
          </c:extLst>
        </c:ser>
        <c:ser>
          <c:idx val="0"/>
          <c:order val="1"/>
          <c:tx>
            <c:strRef>
              <c:f>Model!$B$33</c:f>
              <c:strCache>
                <c:ptCount val="1"/>
                <c:pt idx="0">
                  <c:v>R&amp;D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Model!$K$2:$R$2</c:f>
              <c:strCache>
                <c:ptCount val="8"/>
                <c:pt idx="0">
                  <c:v>Q323</c:v>
                </c:pt>
                <c:pt idx="1">
                  <c:v>Q423</c:v>
                </c:pt>
                <c:pt idx="2">
                  <c:v>Q124</c:v>
                </c:pt>
                <c:pt idx="3">
                  <c:v>Q224</c:v>
                </c:pt>
                <c:pt idx="4">
                  <c:v>Q324</c:v>
                </c:pt>
                <c:pt idx="5">
                  <c:v>Q424</c:v>
                </c:pt>
                <c:pt idx="6">
                  <c:v>Q125</c:v>
                </c:pt>
                <c:pt idx="7">
                  <c:v>Q225</c:v>
                </c:pt>
              </c:strCache>
            </c:strRef>
          </c:cat>
          <c:val>
            <c:numRef>
              <c:f>Model!$K$33:$V$33</c:f>
              <c:numCache>
                <c:formatCode>0%</c:formatCode>
                <c:ptCount val="12"/>
                <c:pt idx="0">
                  <c:v>0</c:v>
                </c:pt>
                <c:pt idx="1">
                  <c:v>0</c:v>
                </c:pt>
                <c:pt idx="2">
                  <c:v>0.26777928373346332</c:v>
                </c:pt>
                <c:pt idx="3">
                  <c:v>0.20272538106274635</c:v>
                </c:pt>
                <c:pt idx="4">
                  <c:v>0.21665622391119085</c:v>
                </c:pt>
                <c:pt idx="5">
                  <c:v>0.18846150928798447</c:v>
                </c:pt>
                <c:pt idx="6">
                  <c:v>0.19226061198690295</c:v>
                </c:pt>
                <c:pt idx="7">
                  <c:v>0.17107138776127359</c:v>
                </c:pt>
                <c:pt idx="8">
                  <c:v>0.19488363421840962</c:v>
                </c:pt>
                <c:pt idx="9">
                  <c:v>0.17640004700958561</c:v>
                </c:pt>
                <c:pt idx="10">
                  <c:v>0.18011286384232064</c:v>
                </c:pt>
                <c:pt idx="11">
                  <c:v>0</c:v>
                </c:pt>
              </c:numCache>
            </c:numRef>
          </c:val>
          <c:smooth val="0"/>
          <c:extLst>
            <c:ext xmlns:c16="http://schemas.microsoft.com/office/drawing/2014/chart" uri="{C3380CC4-5D6E-409C-BE32-E72D297353CC}">
              <c16:uniqueId val="{00000000-1CAA-4791-8C2B-1B9112E1C867}"/>
            </c:ext>
          </c:extLst>
        </c:ser>
        <c:ser>
          <c:idx val="2"/>
          <c:order val="2"/>
          <c:tx>
            <c:strRef>
              <c:f>Model!$B$34</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Model!$K$2:$R$2</c:f>
              <c:strCache>
                <c:ptCount val="8"/>
                <c:pt idx="0">
                  <c:v>Q323</c:v>
                </c:pt>
                <c:pt idx="1">
                  <c:v>Q423</c:v>
                </c:pt>
                <c:pt idx="2">
                  <c:v>Q124</c:v>
                </c:pt>
                <c:pt idx="3">
                  <c:v>Q224</c:v>
                </c:pt>
                <c:pt idx="4">
                  <c:v>Q324</c:v>
                </c:pt>
                <c:pt idx="5">
                  <c:v>Q424</c:v>
                </c:pt>
                <c:pt idx="6">
                  <c:v>Q125</c:v>
                </c:pt>
                <c:pt idx="7">
                  <c:v>Q225</c:v>
                </c:pt>
              </c:strCache>
            </c:strRef>
          </c:cat>
          <c:val>
            <c:numRef>
              <c:f>Model!$K$34:$V$34</c:f>
              <c:numCache>
                <c:formatCode>0%</c:formatCode>
                <c:ptCount val="12"/>
                <c:pt idx="0">
                  <c:v>0</c:v>
                </c:pt>
                <c:pt idx="1">
                  <c:v>0</c:v>
                </c:pt>
                <c:pt idx="2">
                  <c:v>0.28261977214644335</c:v>
                </c:pt>
                <c:pt idx="3">
                  <c:v>0.22462316658489956</c:v>
                </c:pt>
                <c:pt idx="4">
                  <c:v>0.22341306275893549</c:v>
                </c:pt>
                <c:pt idx="5">
                  <c:v>0.18729036613393824</c:v>
                </c:pt>
                <c:pt idx="6">
                  <c:v>0.19826222406113855</c:v>
                </c:pt>
                <c:pt idx="7">
                  <c:v>0.16091303941337587</c:v>
                </c:pt>
                <c:pt idx="8">
                  <c:v>0.17149427811843182</c:v>
                </c:pt>
                <c:pt idx="9">
                  <c:v>0.15158993949227362</c:v>
                </c:pt>
                <c:pt idx="10">
                  <c:v>0.15529331849053452</c:v>
                </c:pt>
                <c:pt idx="11">
                  <c:v>0</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Model!$B$32</c:f>
              <c:strCache>
                <c:ptCount val="1"/>
                <c:pt idx="0">
                  <c:v>Sales &amp; Marketing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Model!$C$32:$G$32</c:f>
              <c:numCache>
                <c:formatCode>0%</c:formatCode>
                <c:ptCount val="5"/>
                <c:pt idx="0">
                  <c:v>0.39453505986843468</c:v>
                </c:pt>
                <c:pt idx="1">
                  <c:v>0.40194334329354492</c:v>
                </c:pt>
                <c:pt idx="2">
                  <c:v>0.24812968064127444</c:v>
                </c:pt>
                <c:pt idx="3">
                  <c:v>0.13486090948083232</c:v>
                </c:pt>
                <c:pt idx="4">
                  <c:v>0</c:v>
                </c:pt>
              </c:numCache>
            </c:numRef>
          </c:val>
          <c:smooth val="0"/>
          <c:extLst>
            <c:ext xmlns:c16="http://schemas.microsoft.com/office/drawing/2014/chart" uri="{C3380CC4-5D6E-409C-BE32-E72D297353CC}">
              <c16:uniqueId val="{00000000-E79C-46D7-BBD0-0EABFCB1E143}"/>
            </c:ext>
          </c:extLst>
        </c:ser>
        <c:ser>
          <c:idx val="0"/>
          <c:order val="1"/>
          <c:tx>
            <c:strRef>
              <c:f>Model!$B$33</c:f>
              <c:strCache>
                <c:ptCount val="1"/>
                <c:pt idx="0">
                  <c:v>R&amp;D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Model!$C$33:$F$33</c:f>
              <c:numCache>
                <c:formatCode>0%</c:formatCode>
                <c:ptCount val="4"/>
                <c:pt idx="0">
                  <c:v>0.31026864459286796</c:v>
                </c:pt>
                <c:pt idx="1">
                  <c:v>0.38779837341032813</c:v>
                </c:pt>
                <c:pt idx="2">
                  <c:v>0.21603840552664894</c:v>
                </c:pt>
                <c:pt idx="3">
                  <c:v>0.18289324779006152</c:v>
                </c:pt>
              </c:numCache>
            </c:numRef>
          </c:val>
          <c:smooth val="0"/>
          <c:extLst>
            <c:ext xmlns:c16="http://schemas.microsoft.com/office/drawing/2014/chart" uri="{C3380CC4-5D6E-409C-BE32-E72D297353CC}">
              <c16:uniqueId val="{00000001-E79C-46D7-BBD0-0EABFCB1E143}"/>
            </c:ext>
          </c:extLst>
        </c:ser>
        <c:ser>
          <c:idx val="2"/>
          <c:order val="2"/>
          <c:tx>
            <c:strRef>
              <c:f>Model!$B$34</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Model!$C$34:$F$34</c:f>
              <c:numCache>
                <c:formatCode>0%</c:formatCode>
                <c:ptCount val="4"/>
                <c:pt idx="0">
                  <c:v>0</c:v>
                </c:pt>
                <c:pt idx="1">
                  <c:v>0.36927175004801682</c:v>
                </c:pt>
                <c:pt idx="2">
                  <c:v>0.22612622734663251</c:v>
                </c:pt>
                <c:pt idx="3">
                  <c:v>0.16903955482102004</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numRef>
              <c:f>DoR!$K$4:$K$15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DoR!$J$4:$J$15</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c:v>67</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_xlchart.v1.9</cx:f>
      </cx:strDim>
      <cx:numDim type="val">
        <cx:f dir="row">_xlchart.v1.8</cx:f>
      </cx:numDim>
    </cx:data>
    <cx:data id="1">
      <cx:strDim type="cat">
        <cx:f dir="row">_xlchart.v1.9</cx:f>
      </cx:strDim>
      <cx:numDim type="val">
        <cx:f dir="row">_xlchart.v1.7</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_xlchart.v1.2</cx:f>
      </cx:numDim>
    </cx:data>
    <cx:data id="1">
      <cx:strDim type="cat">
        <cx:f dir="row">_xlchart.v1.3</cx:f>
      </cx:strDim>
      <cx:numDim type="val">
        <cx:f dir="row">_xlchart.v1.4</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_xlchart.v1.0</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_xlchart.v1.1</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37</xdr:row>
      <xdr:rowOff>95250</xdr:rowOff>
    </xdr:from>
    <xdr:to>
      <xdr:col>6</xdr:col>
      <xdr:colOff>124720</xdr:colOff>
      <xdr:row>56</xdr:row>
      <xdr:rowOff>76703</xdr:rowOff>
    </xdr:to>
    <xdr:pic>
      <xdr:nvPicPr>
        <xdr:cNvPr id="2" name="Picture 1">
          <a:extLst>
            <a:ext uri="{FF2B5EF4-FFF2-40B4-BE49-F238E27FC236}">
              <a16:creationId xmlns:a16="http://schemas.microsoft.com/office/drawing/2014/main" id="{6D6ECB3B-5846-2FA4-2901-736E643D0051}"/>
            </a:ext>
          </a:extLst>
        </xdr:cNvPr>
        <xdr:cNvPicPr>
          <a:picLocks noChangeAspect="1"/>
        </xdr:cNvPicPr>
      </xdr:nvPicPr>
      <xdr:blipFill>
        <a:blip xmlns:r="http://schemas.openxmlformats.org/officeDocument/2006/relationships" r:embed="rId1"/>
        <a:stretch>
          <a:fillRect/>
        </a:stretch>
      </xdr:blipFill>
      <xdr:spPr>
        <a:xfrm>
          <a:off x="847725" y="7143750"/>
          <a:ext cx="6411220" cy="3600953"/>
        </a:xfrm>
        <a:prstGeom prst="rect">
          <a:avLst/>
        </a:prstGeom>
      </xdr:spPr>
    </xdr:pic>
    <xdr:clientData/>
  </xdr:twoCellAnchor>
  <xdr:twoCellAnchor editAs="oneCell">
    <xdr:from>
      <xdr:col>1</xdr:col>
      <xdr:colOff>383050</xdr:colOff>
      <xdr:row>57</xdr:row>
      <xdr:rowOff>19050</xdr:rowOff>
    </xdr:from>
    <xdr:to>
      <xdr:col>7</xdr:col>
      <xdr:colOff>420406</xdr:colOff>
      <xdr:row>82</xdr:row>
      <xdr:rowOff>181926</xdr:rowOff>
    </xdr:to>
    <xdr:pic>
      <xdr:nvPicPr>
        <xdr:cNvPr id="3" name="Picture 2">
          <a:extLst>
            <a:ext uri="{FF2B5EF4-FFF2-40B4-BE49-F238E27FC236}">
              <a16:creationId xmlns:a16="http://schemas.microsoft.com/office/drawing/2014/main" id="{3BFA1CE7-2EE7-30FC-1C12-568B2B84D705}"/>
            </a:ext>
          </a:extLst>
        </xdr:cNvPr>
        <xdr:cNvPicPr>
          <a:picLocks noChangeAspect="1"/>
        </xdr:cNvPicPr>
      </xdr:nvPicPr>
      <xdr:blipFill>
        <a:blip xmlns:r="http://schemas.openxmlformats.org/officeDocument/2006/relationships" r:embed="rId2"/>
        <a:stretch>
          <a:fillRect/>
        </a:stretch>
      </xdr:blipFill>
      <xdr:spPr>
        <a:xfrm>
          <a:off x="992650" y="10877550"/>
          <a:ext cx="6771531" cy="4925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200024</xdr:colOff>
      <xdr:row>12</xdr:row>
      <xdr:rowOff>123825</xdr:rowOff>
    </xdr:from>
    <xdr:to>
      <xdr:col>7</xdr:col>
      <xdr:colOff>609599</xdr:colOff>
      <xdr:row>29</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12</xdr:row>
      <xdr:rowOff>109536</xdr:rowOff>
    </xdr:from>
    <xdr:to>
      <xdr:col>16</xdr:col>
      <xdr:colOff>123825</xdr:colOff>
      <xdr:row>29</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4"/>
  <sheetViews>
    <sheetView workbookViewId="0">
      <selection activeCell="C33" sqref="C33"/>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c r="C2" s="19"/>
      <c r="E2" s="24" t="s">
        <v>35</v>
      </c>
      <c r="F2" s="49" t="s">
        <v>36</v>
      </c>
      <c r="G2" s="25"/>
      <c r="H2" s="26" t="s">
        <v>43</v>
      </c>
      <c r="I2" s="26" t="s">
        <v>1</v>
      </c>
      <c r="J2" s="27" t="s">
        <v>36</v>
      </c>
      <c r="L2" s="30" t="s">
        <v>29</v>
      </c>
      <c r="M2" s="31" t="s">
        <v>45</v>
      </c>
      <c r="N2" s="32" t="s">
        <v>44</v>
      </c>
    </row>
    <row r="3" spans="2:14" x14ac:dyDescent="0.25">
      <c r="B3" s="5" t="s">
        <v>28</v>
      </c>
      <c r="C3" s="20">
        <v>46001</v>
      </c>
      <c r="E3" s="5" t="s">
        <v>161</v>
      </c>
      <c r="F3" s="28"/>
      <c r="H3" t="s">
        <v>164</v>
      </c>
      <c r="I3" s="10">
        <v>1072240</v>
      </c>
      <c r="J3" s="38"/>
      <c r="L3" s="5" t="s">
        <v>138</v>
      </c>
      <c r="M3" t="s">
        <v>139</v>
      </c>
      <c r="N3" s="37"/>
    </row>
    <row r="4" spans="2:14" x14ac:dyDescent="0.25">
      <c r="B4" s="5"/>
      <c r="C4" s="21">
        <v>0.77152777777777781</v>
      </c>
      <c r="E4" s="5" t="s">
        <v>158</v>
      </c>
      <c r="F4" s="28"/>
      <c r="H4" t="s">
        <v>165</v>
      </c>
      <c r="I4" s="10">
        <v>735294</v>
      </c>
      <c r="J4" s="38"/>
      <c r="L4" s="5" t="s">
        <v>140</v>
      </c>
      <c r="M4" t="s">
        <v>141</v>
      </c>
      <c r="N4" s="13"/>
    </row>
    <row r="5" spans="2:14" x14ac:dyDescent="0.25">
      <c r="B5" s="5"/>
      <c r="C5" s="13"/>
      <c r="E5" s="5" t="s">
        <v>160</v>
      </c>
      <c r="F5" s="28"/>
      <c r="H5" t="s">
        <v>166</v>
      </c>
      <c r="I5" s="10">
        <v>312398</v>
      </c>
      <c r="J5" s="38"/>
      <c r="L5" s="5" t="s">
        <v>142</v>
      </c>
      <c r="M5" t="s">
        <v>143</v>
      </c>
      <c r="N5" s="13"/>
    </row>
    <row r="6" spans="2:14" x14ac:dyDescent="0.25">
      <c r="B6" s="5" t="s">
        <v>0</v>
      </c>
      <c r="C6" s="13">
        <v>68.7</v>
      </c>
      <c r="E6" s="5" t="s">
        <v>159</v>
      </c>
      <c r="F6" s="28"/>
      <c r="H6" t="s">
        <v>167</v>
      </c>
      <c r="I6" s="10">
        <v>220968</v>
      </c>
      <c r="J6" s="38"/>
      <c r="L6" s="5" t="s">
        <v>144</v>
      </c>
      <c r="M6" t="s">
        <v>145</v>
      </c>
      <c r="N6" s="13"/>
    </row>
    <row r="7" spans="2:14" x14ac:dyDescent="0.25">
      <c r="B7" s="5" t="s">
        <v>1</v>
      </c>
      <c r="C7" s="15">
        <f>Model!F26</f>
        <v>341.02356600000002</v>
      </c>
      <c r="E7" s="5" t="s">
        <v>162</v>
      </c>
      <c r="F7" s="136">
        <v>2.1700000000000001E-2</v>
      </c>
      <c r="I7" s="10"/>
      <c r="J7" s="38"/>
      <c r="L7" s="5" t="s">
        <v>146</v>
      </c>
      <c r="M7" t="s">
        <v>147</v>
      </c>
      <c r="N7" s="13"/>
    </row>
    <row r="8" spans="2:14" x14ac:dyDescent="0.25">
      <c r="B8" s="5" t="s">
        <v>2</v>
      </c>
      <c r="C8" s="15">
        <f>C6*C7</f>
        <v>23428.318984200003</v>
      </c>
      <c r="E8" s="5" t="s">
        <v>163</v>
      </c>
      <c r="F8" s="136">
        <v>2.0400000000000001E-2</v>
      </c>
      <c r="I8" s="10"/>
      <c r="J8" s="38"/>
      <c r="L8" s="5" t="s">
        <v>148</v>
      </c>
      <c r="M8" t="s">
        <v>149</v>
      </c>
      <c r="N8" s="13"/>
    </row>
    <row r="9" spans="2:14" x14ac:dyDescent="0.25">
      <c r="B9" s="5" t="s">
        <v>3</v>
      </c>
      <c r="C9" s="15">
        <f>Model!U41+Model!U45+Model!U43</f>
        <v>9476.4670000000006</v>
      </c>
      <c r="E9" s="5"/>
      <c r="F9" s="28"/>
      <c r="I9" s="10"/>
      <c r="J9" s="38"/>
      <c r="L9" s="5" t="s">
        <v>150</v>
      </c>
      <c r="M9" t="s">
        <v>151</v>
      </c>
      <c r="N9" s="13"/>
    </row>
    <row r="10" spans="2:14" x14ac:dyDescent="0.25">
      <c r="B10" s="5" t="s">
        <v>4</v>
      </c>
      <c r="C10" s="15">
        <f>Model!U60+Model!U61+Model!U62</f>
        <v>7736.393</v>
      </c>
      <c r="E10" s="5"/>
      <c r="F10" s="28"/>
      <c r="I10" s="10"/>
      <c r="J10" s="38"/>
      <c r="L10" s="5" t="s">
        <v>152</v>
      </c>
      <c r="M10" t="s">
        <v>153</v>
      </c>
      <c r="N10" s="13"/>
    </row>
    <row r="11" spans="2:14" x14ac:dyDescent="0.25">
      <c r="B11" s="5" t="s">
        <v>23</v>
      </c>
      <c r="C11" s="15">
        <f>C9-C10</f>
        <v>1740.0740000000005</v>
      </c>
      <c r="E11" s="5"/>
      <c r="F11" s="28"/>
      <c r="I11" s="10"/>
      <c r="J11" s="38"/>
      <c r="L11" s="5" t="s">
        <v>154</v>
      </c>
      <c r="M11" t="s">
        <v>155</v>
      </c>
      <c r="N11" s="13"/>
    </row>
    <row r="12" spans="2:14" x14ac:dyDescent="0.25">
      <c r="B12" s="5" t="s">
        <v>5</v>
      </c>
      <c r="C12" s="15">
        <f>C8-C9+C10</f>
        <v>21688.244984200002</v>
      </c>
      <c r="E12" s="5"/>
      <c r="F12" s="28"/>
      <c r="J12" s="13"/>
      <c r="L12" s="5" t="s">
        <v>156</v>
      </c>
      <c r="M12" t="s">
        <v>157</v>
      </c>
      <c r="N12" s="13"/>
    </row>
    <row r="13" spans="2:14" x14ac:dyDescent="0.25">
      <c r="B13" s="5" t="s">
        <v>34</v>
      </c>
      <c r="C13" s="36">
        <f>C6/Model!F27</f>
        <v>399.26241047393512</v>
      </c>
      <c r="E13" s="5"/>
      <c r="J13" s="13"/>
      <c r="L13" s="5"/>
      <c r="N13" s="13"/>
    </row>
    <row r="14" spans="2:14" x14ac:dyDescent="0.25">
      <c r="B14" s="5" t="s">
        <v>32</v>
      </c>
      <c r="C14" s="36">
        <f>C6/Model!G27</f>
        <v>22.09003215434084</v>
      </c>
      <c r="E14" s="22"/>
      <c r="F14" s="29"/>
      <c r="G14" s="29"/>
      <c r="H14" s="29"/>
      <c r="I14" s="29"/>
      <c r="J14" s="23"/>
      <c r="L14" s="22"/>
      <c r="M14" s="29"/>
      <c r="N14" s="23"/>
    </row>
    <row r="15" spans="2:14" x14ac:dyDescent="0.25">
      <c r="B15" s="5" t="s">
        <v>33</v>
      </c>
      <c r="C15" s="36">
        <f>C6/Model!H27</f>
        <v>17.93733681462141</v>
      </c>
    </row>
    <row r="16" spans="2:14" x14ac:dyDescent="0.25">
      <c r="B16" s="5" t="s">
        <v>30</v>
      </c>
      <c r="C16" s="6">
        <f>Model!G28/Model!F27-1</f>
        <v>17.074324549838984</v>
      </c>
    </row>
    <row r="17" spans="2:14" x14ac:dyDescent="0.25">
      <c r="B17" s="5" t="s">
        <v>31</v>
      </c>
      <c r="C17" s="6">
        <f>Model!H28/Model!G28-1</f>
        <v>0.23151125401929273</v>
      </c>
      <c r="E17" s="33" t="s">
        <v>41</v>
      </c>
      <c r="L17" s="117" t="s">
        <v>137</v>
      </c>
      <c r="M17" s="118"/>
      <c r="N17" s="119"/>
    </row>
    <row r="18" spans="2:14" x14ac:dyDescent="0.25">
      <c r="B18" s="5" t="s">
        <v>55</v>
      </c>
      <c r="C18" s="43">
        <f>C14/(C16*100)</f>
        <v>1.2937573073453822E-2</v>
      </c>
      <c r="E18" s="161" t="s">
        <v>204</v>
      </c>
      <c r="F18" s="161"/>
      <c r="G18" s="161"/>
      <c r="H18" s="161"/>
      <c r="L18" s="120"/>
      <c r="M18" s="121"/>
      <c r="N18" s="122"/>
    </row>
    <row r="19" spans="2:14" x14ac:dyDescent="0.25">
      <c r="B19" s="5" t="s">
        <v>56</v>
      </c>
      <c r="C19" s="43">
        <f>C15/(C17*100)</f>
        <v>0.77479329852045209</v>
      </c>
      <c r="E19" s="161" t="s">
        <v>205</v>
      </c>
      <c r="L19" s="120"/>
      <c r="M19" s="121"/>
      <c r="N19" s="122"/>
    </row>
    <row r="20" spans="2:14" x14ac:dyDescent="0.25">
      <c r="B20" s="5" t="s">
        <v>65</v>
      </c>
      <c r="C20" s="6">
        <f>Model!G9/Model!F9-1</f>
        <v>0.26534737662165298</v>
      </c>
      <c r="E20" t="s">
        <v>206</v>
      </c>
      <c r="L20" s="120"/>
      <c r="M20" s="121"/>
      <c r="N20" s="122"/>
    </row>
    <row r="21" spans="2:14" x14ac:dyDescent="0.25">
      <c r="B21" s="5" t="s">
        <v>66</v>
      </c>
      <c r="C21" s="6">
        <f>Model!H9/Model!G9-1</f>
        <v>0.24019607843137258</v>
      </c>
      <c r="E21" t="s">
        <v>207</v>
      </c>
      <c r="L21" s="120"/>
      <c r="M21" s="121"/>
      <c r="N21" s="122"/>
    </row>
    <row r="22" spans="2:14" x14ac:dyDescent="0.25">
      <c r="B22" s="5" t="s">
        <v>57</v>
      </c>
      <c r="C22" s="15">
        <f>AVERAGE(Model!R20:U20)</f>
        <v>27.252249999999975</v>
      </c>
      <c r="E22" t="s">
        <v>208</v>
      </c>
      <c r="L22" s="120"/>
      <c r="M22" s="121"/>
      <c r="N22" s="122"/>
    </row>
    <row r="23" spans="2:14" x14ac:dyDescent="0.25">
      <c r="B23" s="5" t="s">
        <v>9</v>
      </c>
      <c r="C23" s="15">
        <f>AVERAGE(Model!R20:U20)</f>
        <v>27.252249999999975</v>
      </c>
      <c r="E23" t="s">
        <v>209</v>
      </c>
      <c r="L23" s="120"/>
      <c r="M23" s="121"/>
      <c r="N23" s="122"/>
    </row>
    <row r="24" spans="2:14" x14ac:dyDescent="0.25">
      <c r="B24" s="5" t="s">
        <v>20</v>
      </c>
      <c r="C24" s="7">
        <f>AVERAGE(Model!R29:U29)</f>
        <v>0.47675058696379324</v>
      </c>
      <c r="L24" s="120"/>
      <c r="M24" s="121"/>
      <c r="N24" s="122"/>
    </row>
    <row r="25" spans="2:14" x14ac:dyDescent="0.25">
      <c r="B25" s="5" t="s">
        <v>21</v>
      </c>
      <c r="C25" s="7">
        <f>AVERAGE(Model!R30:U30)</f>
        <v>6.1232564680924736E-2</v>
      </c>
      <c r="L25" s="120"/>
      <c r="M25" s="121"/>
      <c r="N25" s="122"/>
    </row>
    <row r="26" spans="2:14" x14ac:dyDescent="0.25">
      <c r="B26" s="5" t="s">
        <v>58</v>
      </c>
      <c r="C26" s="36">
        <f>C12/C23</f>
        <v>795.83318750561966</v>
      </c>
      <c r="L26" s="120"/>
      <c r="M26" s="121"/>
      <c r="N26" s="122"/>
    </row>
    <row r="27" spans="2:14" x14ac:dyDescent="0.25">
      <c r="B27" s="5" t="s">
        <v>67</v>
      </c>
      <c r="C27" s="109">
        <f>C10/Model!U64</f>
        <v>2.3451538929062394</v>
      </c>
      <c r="E27" t="s">
        <v>59</v>
      </c>
      <c r="L27" s="120"/>
      <c r="M27" s="121"/>
      <c r="N27" s="122"/>
    </row>
    <row r="28" spans="2:14" x14ac:dyDescent="0.25">
      <c r="B28" s="5" t="s">
        <v>68</v>
      </c>
      <c r="C28" s="36"/>
      <c r="E28" t="s">
        <v>203</v>
      </c>
      <c r="L28" s="123"/>
      <c r="M28" s="124"/>
      <c r="N28" s="125"/>
    </row>
    <row r="29" spans="2:14" x14ac:dyDescent="0.25">
      <c r="B29" s="5" t="s">
        <v>69</v>
      </c>
      <c r="C29" s="36">
        <f>Model!U48/Model!U59</f>
        <v>22.565839815199151</v>
      </c>
    </row>
    <row r="30" spans="2:14" x14ac:dyDescent="0.25">
      <c r="B30" s="5" t="s">
        <v>70</v>
      </c>
      <c r="C30" s="36">
        <f>(Model!U41+Model!U43+Model!U47)/Model!U59</f>
        <v>5.6961072711194527</v>
      </c>
    </row>
    <row r="31" spans="2:14" x14ac:dyDescent="0.25">
      <c r="B31" s="5" t="s">
        <v>71</v>
      </c>
      <c r="C31" s="6"/>
    </row>
    <row r="32" spans="2:14" x14ac:dyDescent="0.25">
      <c r="B32" s="5" t="s">
        <v>72</v>
      </c>
      <c r="C32" s="36"/>
    </row>
    <row r="33" spans="2:9" x14ac:dyDescent="0.25">
      <c r="B33" s="5" t="s">
        <v>73</v>
      </c>
      <c r="C33" s="36"/>
    </row>
    <row r="34" spans="2:9" x14ac:dyDescent="0.25">
      <c r="B34" s="5" t="s">
        <v>74</v>
      </c>
      <c r="C34" s="38">
        <f>SUM(Model!R25:U25)/Model!U48</f>
        <v>2.1776205653290158E-2</v>
      </c>
    </row>
    <row r="35" spans="2:9" x14ac:dyDescent="0.25">
      <c r="B35" s="5" t="s">
        <v>75</v>
      </c>
      <c r="C35" s="38">
        <f>SUM(Model!R25:U25)/Model!U64</f>
        <v>6.6031704651723214E-2</v>
      </c>
    </row>
    <row r="36" spans="2:9" x14ac:dyDescent="0.25">
      <c r="B36" s="22" t="s">
        <v>76</v>
      </c>
      <c r="C36" s="23"/>
    </row>
    <row r="41" spans="2:9" x14ac:dyDescent="0.25">
      <c r="E41" s="45"/>
      <c r="F41" s="45"/>
      <c r="G41" s="48"/>
      <c r="H41" s="48"/>
      <c r="I41" s="48"/>
    </row>
    <row r="42" spans="2:9" x14ac:dyDescent="0.25">
      <c r="E42" s="45"/>
      <c r="F42" s="45"/>
      <c r="G42" s="48"/>
      <c r="H42" s="48"/>
      <c r="I42" s="48"/>
    </row>
    <row r="43" spans="2:9" x14ac:dyDescent="0.25">
      <c r="E43" s="45"/>
      <c r="F43" s="45"/>
      <c r="G43" s="48"/>
      <c r="H43" s="48"/>
      <c r="I43" s="48"/>
    </row>
    <row r="44" spans="2:9" x14ac:dyDescent="0.25">
      <c r="E44" s="45"/>
      <c r="F44" s="45"/>
      <c r="G44" s="48"/>
      <c r="H44" s="48"/>
      <c r="I44" s="48"/>
    </row>
    <row r="45" spans="2:9" x14ac:dyDescent="0.25">
      <c r="E45" s="45"/>
      <c r="F45" s="45"/>
      <c r="G45" s="48"/>
      <c r="H45" s="48"/>
      <c r="I45" s="48"/>
    </row>
    <row r="46" spans="2:9" x14ac:dyDescent="0.25">
      <c r="E46" s="45"/>
      <c r="F46" s="45"/>
      <c r="G46" s="48"/>
      <c r="H46" s="48"/>
      <c r="I46" s="48"/>
    </row>
    <row r="47" spans="2:9" x14ac:dyDescent="0.25">
      <c r="E47" s="45"/>
      <c r="F47" s="45"/>
      <c r="G47" s="48"/>
      <c r="H47" s="48"/>
      <c r="I47" s="48"/>
    </row>
    <row r="48" spans="2:9" x14ac:dyDescent="0.25">
      <c r="E48" s="45"/>
      <c r="F48" s="45"/>
      <c r="G48" s="48"/>
      <c r="H48" s="48"/>
      <c r="I48" s="48"/>
    </row>
    <row r="49" spans="5:9" x14ac:dyDescent="0.25">
      <c r="E49" s="45"/>
      <c r="F49" s="45"/>
      <c r="G49" s="48"/>
      <c r="H49" s="48"/>
      <c r="I49" s="48"/>
    </row>
    <row r="50" spans="5:9" x14ac:dyDescent="0.25">
      <c r="E50" s="45"/>
      <c r="F50" s="45"/>
      <c r="G50" s="48"/>
      <c r="H50" s="48"/>
      <c r="I50" s="48"/>
    </row>
    <row r="51" spans="5:9" x14ac:dyDescent="0.25">
      <c r="E51" s="45"/>
      <c r="F51" s="45"/>
      <c r="G51" s="48"/>
      <c r="H51" s="48"/>
      <c r="I51" s="48"/>
    </row>
    <row r="52" spans="5:9" x14ac:dyDescent="0.25">
      <c r="E52" s="46"/>
      <c r="F52" s="47"/>
      <c r="G52" s="47"/>
    </row>
    <row r="53" spans="5:9" x14ac:dyDescent="0.25">
      <c r="E53" s="46"/>
      <c r="F53" s="47"/>
      <c r="G53" s="47"/>
    </row>
    <row r="54" spans="5:9" x14ac:dyDescent="0.25">
      <c r="E54" s="46"/>
      <c r="F54" s="47"/>
      <c r="G54" s="47"/>
    </row>
  </sheetData>
  <mergeCells count="1">
    <mergeCell ref="L17:N28"/>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X85"/>
  <sheetViews>
    <sheetView zoomScaleNormal="100" workbookViewId="0">
      <pane xSplit="2" ySplit="2" topLeftCell="E42" activePane="bottomRight" state="frozen"/>
      <selection pane="topRight" activeCell="B1" sqref="B1"/>
      <selection pane="bottomLeft" activeCell="A3" sqref="A3"/>
      <selection pane="bottomRight" activeCell="X39" sqref="X39"/>
    </sheetView>
  </sheetViews>
  <sheetFormatPr defaultColWidth="11.42578125" defaultRowHeight="15" x14ac:dyDescent="0.25"/>
  <cols>
    <col min="1" max="1" width="4.7109375" customWidth="1"/>
    <col min="2" max="2" width="27.28515625" customWidth="1"/>
    <col min="5" max="5" width="11.42578125" style="141"/>
    <col min="6" max="6" width="11.42578125" style="13"/>
    <col min="19" max="19" width="11.42578125" style="141"/>
    <col min="21" max="21" width="11.42578125" style="13"/>
  </cols>
  <sheetData>
    <row r="1" spans="1:23" x14ac:dyDescent="0.25">
      <c r="A1" s="8" t="s">
        <v>24</v>
      </c>
      <c r="F1" s="149" t="s">
        <v>196</v>
      </c>
      <c r="K1" s="157">
        <v>45016</v>
      </c>
      <c r="L1" s="12">
        <v>45107</v>
      </c>
      <c r="M1" s="12">
        <v>45199</v>
      </c>
      <c r="N1" s="12">
        <v>45291</v>
      </c>
      <c r="O1" s="157">
        <v>45382</v>
      </c>
      <c r="P1" s="12">
        <v>45473</v>
      </c>
      <c r="Q1" s="12">
        <v>45565</v>
      </c>
      <c r="R1" s="12">
        <v>45657</v>
      </c>
      <c r="S1" s="157">
        <v>45747</v>
      </c>
      <c r="T1" s="12">
        <v>45838</v>
      </c>
      <c r="U1" s="20">
        <v>45930</v>
      </c>
      <c r="V1" s="12">
        <v>46022</v>
      </c>
      <c r="W1" s="12">
        <v>46112</v>
      </c>
    </row>
    <row r="2" spans="1:23" x14ac:dyDescent="0.25">
      <c r="C2" t="s">
        <v>6</v>
      </c>
      <c r="D2" t="s">
        <v>7</v>
      </c>
      <c r="E2" s="141" t="s">
        <v>22</v>
      </c>
      <c r="F2" s="13" t="s">
        <v>54</v>
      </c>
      <c r="G2" t="s">
        <v>130</v>
      </c>
      <c r="H2" t="s">
        <v>197</v>
      </c>
      <c r="K2" t="s">
        <v>26</v>
      </c>
      <c r="L2" t="s">
        <v>27</v>
      </c>
      <c r="M2" t="s">
        <v>49</v>
      </c>
      <c r="N2" t="s">
        <v>53</v>
      </c>
      <c r="O2" t="s">
        <v>121</v>
      </c>
      <c r="P2" t="s">
        <v>122</v>
      </c>
      <c r="Q2" t="s">
        <v>131</v>
      </c>
      <c r="R2" t="s">
        <v>132</v>
      </c>
      <c r="S2" s="141" t="s">
        <v>133</v>
      </c>
      <c r="T2" t="s">
        <v>134</v>
      </c>
      <c r="U2" s="13" t="s">
        <v>135</v>
      </c>
      <c r="V2" t="s">
        <v>136</v>
      </c>
      <c r="W2" t="s">
        <v>198</v>
      </c>
    </row>
    <row r="3" spans="1:23" x14ac:dyDescent="0.25">
      <c r="B3" s="9" t="s">
        <v>180</v>
      </c>
      <c r="C3" s="10">
        <v>458.51100000000002</v>
      </c>
      <c r="D3" s="10">
        <v>507.6</v>
      </c>
      <c r="E3" s="142">
        <v>674.60699999999997</v>
      </c>
      <c r="F3" s="15">
        <v>882.65800000000002</v>
      </c>
      <c r="G3" s="10"/>
      <c r="M3" s="10">
        <v>145.94999999999999</v>
      </c>
      <c r="N3" s="10">
        <v>188.357</v>
      </c>
      <c r="O3" s="10">
        <v>159.292</v>
      </c>
      <c r="P3" s="10">
        <f>E3-O3-N3-M3</f>
        <v>181.00799999999998</v>
      </c>
      <c r="Q3" s="10">
        <v>184.339</v>
      </c>
      <c r="R3" s="10">
        <v>244.89500000000001</v>
      </c>
      <c r="S3" s="142">
        <v>213.97300000000001</v>
      </c>
      <c r="T3" s="10">
        <f>F3-S3-R3-Q3</f>
        <v>239.45099999999996</v>
      </c>
      <c r="U3" s="15">
        <v>251.14699999999999</v>
      </c>
    </row>
    <row r="4" spans="1:23" x14ac:dyDescent="0.25">
      <c r="B4" s="9" t="s">
        <v>181</v>
      </c>
      <c r="C4" s="10">
        <v>100.696</v>
      </c>
      <c r="D4" s="10">
        <v>119.33799999999999</v>
      </c>
      <c r="E4" s="142">
        <v>151.40100000000001</v>
      </c>
      <c r="F4" s="15">
        <v>231.30799999999999</v>
      </c>
      <c r="G4" s="10"/>
      <c r="M4" s="10">
        <v>33.475999999999999</v>
      </c>
      <c r="N4" s="10">
        <v>39.268999999999998</v>
      </c>
      <c r="O4" s="10">
        <v>35.676000000000002</v>
      </c>
      <c r="P4" s="10">
        <f>E4-O4-N4-M4</f>
        <v>42.980000000000018</v>
      </c>
      <c r="Q4" s="10">
        <v>47.48</v>
      </c>
      <c r="R4" s="10">
        <v>58.142000000000003</v>
      </c>
      <c r="S4" s="142">
        <v>58.572000000000003</v>
      </c>
      <c r="T4" s="10">
        <f>F4-S4-R4-Q4</f>
        <v>67.114000000000004</v>
      </c>
      <c r="U4" s="15">
        <v>69.33</v>
      </c>
    </row>
    <row r="5" spans="1:23" s="1" customFormat="1" x14ac:dyDescent="0.25">
      <c r="B5" s="139" t="s">
        <v>182</v>
      </c>
      <c r="C5" s="11">
        <f>SUM(C3:C4)</f>
        <v>559.20699999999999</v>
      </c>
      <c r="D5" s="11">
        <f t="shared" ref="D5:H5" si="0">SUM(D3:D4)</f>
        <v>626.93799999999999</v>
      </c>
      <c r="E5" s="143">
        <f t="shared" si="0"/>
        <v>826.00800000000004</v>
      </c>
      <c r="F5" s="14">
        <f t="shared" si="0"/>
        <v>1113.9659999999999</v>
      </c>
      <c r="G5" s="11">
        <f t="shared" si="0"/>
        <v>0</v>
      </c>
      <c r="H5" s="11">
        <f t="shared" si="0"/>
        <v>0</v>
      </c>
      <c r="K5" s="1">
        <f t="shared" ref="K5" si="1">SUM(K3:K4)</f>
        <v>0</v>
      </c>
      <c r="L5" s="1">
        <f t="shared" ref="L5" si="2">SUM(L3:L4)</f>
        <v>0</v>
      </c>
      <c r="M5" s="11">
        <f t="shared" ref="M5" si="3">SUM(M3:M4)</f>
        <v>179.42599999999999</v>
      </c>
      <c r="N5" s="11">
        <f t="shared" ref="N5" si="4">SUM(N3:N4)</f>
        <v>227.626</v>
      </c>
      <c r="O5" s="11">
        <f>SUM(O3:O4)</f>
        <v>194.96800000000002</v>
      </c>
      <c r="P5" s="11">
        <f>SUM(P3:P4)</f>
        <v>223.988</v>
      </c>
      <c r="Q5" s="11">
        <f t="shared" ref="Q5" si="5">SUM(Q3:Q4)</f>
        <v>231.81899999999999</v>
      </c>
      <c r="R5" s="11">
        <f t="shared" ref="R5" si="6">SUM(R3:R4)</f>
        <v>303.03700000000003</v>
      </c>
      <c r="S5" s="143">
        <f t="shared" ref="S5" si="7">SUM(S3:S4)</f>
        <v>272.54500000000002</v>
      </c>
      <c r="T5" s="11">
        <f t="shared" ref="T5" si="8">SUM(T3:T4)</f>
        <v>306.56499999999994</v>
      </c>
      <c r="U5" s="14">
        <f t="shared" ref="U5" si="9">SUM(U3:U4)</f>
        <v>320.47699999999998</v>
      </c>
      <c r="V5" s="1">
        <f t="shared" ref="V5:W5" si="10">SUM(V3:V4)</f>
        <v>0</v>
      </c>
      <c r="W5" s="1">
        <f t="shared" si="10"/>
        <v>0</v>
      </c>
    </row>
    <row r="6" spans="1:23" x14ac:dyDescent="0.25">
      <c r="B6" s="9" t="s">
        <v>183</v>
      </c>
      <c r="C6" s="10">
        <v>527.88</v>
      </c>
      <c r="D6" s="10">
        <v>685.21699999999998</v>
      </c>
      <c r="E6" s="142">
        <v>1204.355</v>
      </c>
      <c r="F6" s="15">
        <v>1608.221</v>
      </c>
      <c r="G6" s="10"/>
      <c r="M6" s="10">
        <v>262.67899999999997</v>
      </c>
      <c r="N6" s="10">
        <v>288.346</v>
      </c>
      <c r="O6" s="10">
        <v>315.71199999999999</v>
      </c>
      <c r="P6" s="10">
        <f t="shared" ref="P6:P8" si="11">E6-O6-N6-M6</f>
        <v>337.61800000000005</v>
      </c>
      <c r="Q6" s="10">
        <v>377.06400000000002</v>
      </c>
      <c r="R6" s="10">
        <v>409.36700000000002</v>
      </c>
      <c r="S6" s="142">
        <v>402.70100000000002</v>
      </c>
      <c r="T6" s="10">
        <f t="shared" ref="T6:T8" si="12">F6-S6-R6-Q6</f>
        <v>419.089</v>
      </c>
      <c r="U6" s="15">
        <v>454.12200000000001</v>
      </c>
    </row>
    <row r="7" spans="1:23" x14ac:dyDescent="0.25">
      <c r="B7" s="9" t="s">
        <v>184</v>
      </c>
      <c r="C7" s="10">
        <v>196.435</v>
      </c>
      <c r="D7" s="10">
        <v>188.34100000000001</v>
      </c>
      <c r="E7" s="142">
        <v>197.15299999999999</v>
      </c>
      <c r="F7" s="15">
        <v>381.62200000000001</v>
      </c>
      <c r="G7" s="10"/>
      <c r="M7" s="10">
        <v>34.284999999999997</v>
      </c>
      <c r="N7" s="10">
        <v>52.701999999999998</v>
      </c>
      <c r="O7" s="10">
        <v>40.183</v>
      </c>
      <c r="P7" s="10">
        <f t="shared" si="11"/>
        <v>69.983000000000004</v>
      </c>
      <c r="Q7" s="10">
        <v>63.613</v>
      </c>
      <c r="R7" s="10">
        <v>125.28700000000001</v>
      </c>
      <c r="S7" s="142">
        <v>75.837999999999994</v>
      </c>
      <c r="T7" s="10">
        <f t="shared" si="12"/>
        <v>116.88399999999999</v>
      </c>
      <c r="U7" s="15">
        <v>119.04900000000001</v>
      </c>
    </row>
    <row r="8" spans="1:23" x14ac:dyDescent="0.25">
      <c r="B8" s="9" t="s">
        <v>185</v>
      </c>
      <c r="C8" s="10">
        <v>65.77</v>
      </c>
      <c r="D8" s="10">
        <v>87.489000000000004</v>
      </c>
      <c r="E8" s="142">
        <v>95.483000000000004</v>
      </c>
      <c r="F8" s="15">
        <v>120.602</v>
      </c>
      <c r="G8" s="10"/>
      <c r="M8" s="10">
        <v>20.157</v>
      </c>
      <c r="N8" s="10">
        <v>22.436</v>
      </c>
      <c r="O8" s="10">
        <v>25.294</v>
      </c>
      <c r="P8" s="10">
        <f t="shared" si="11"/>
        <v>27.596000000000007</v>
      </c>
      <c r="Q8" s="10">
        <v>25.983000000000001</v>
      </c>
      <c r="R8" s="10">
        <v>28.69</v>
      </c>
      <c r="S8" s="142">
        <v>32.049999999999997</v>
      </c>
      <c r="T8" s="10">
        <f t="shared" si="12"/>
        <v>33.879000000000005</v>
      </c>
      <c r="U8" s="15">
        <v>39.689</v>
      </c>
    </row>
    <row r="9" spans="1:23" s="1" customFormat="1" x14ac:dyDescent="0.25">
      <c r="B9" s="1" t="s">
        <v>8</v>
      </c>
      <c r="C9" s="11">
        <f>SUM(C5:C8)</f>
        <v>1349.2919999999999</v>
      </c>
      <c r="D9" s="11">
        <f>SUM(D5:D8)</f>
        <v>1587.9850000000001</v>
      </c>
      <c r="E9" s="143">
        <f t="shared" ref="E9:F9" si="13">SUM(E5:E8)</f>
        <v>2322.9990000000003</v>
      </c>
      <c r="F9" s="14">
        <f t="shared" si="13"/>
        <v>3224.4109999999996</v>
      </c>
      <c r="G9" s="154">
        <v>4080</v>
      </c>
      <c r="H9" s="154">
        <v>5060</v>
      </c>
      <c r="K9" s="11">
        <f t="shared" ref="K9" si="14">SUM(K5:K8)</f>
        <v>0</v>
      </c>
      <c r="L9" s="11">
        <f t="shared" ref="L9" si="15">SUM(L5:L8)</f>
        <v>0</v>
      </c>
      <c r="M9" s="11">
        <f t="shared" ref="M9" si="16">SUM(M5:M8)</f>
        <v>496.54699999999997</v>
      </c>
      <c r="N9" s="11">
        <f>SUM(N5:N8)</f>
        <v>591.11</v>
      </c>
      <c r="O9" s="11">
        <f>SUM(O5:O8)</f>
        <v>576.15700000000004</v>
      </c>
      <c r="P9" s="11">
        <f>SUM(P5:P8)</f>
        <v>659.18499999999995</v>
      </c>
      <c r="Q9" s="11">
        <f t="shared" ref="Q9" si="17">SUM(Q5:Q8)</f>
        <v>698.47900000000004</v>
      </c>
      <c r="R9" s="11">
        <f t="shared" ref="R9" si="18">SUM(R5:R8)</f>
        <v>866.38100000000009</v>
      </c>
      <c r="S9" s="143">
        <f t="shared" ref="S9" si="19">SUM(S5:S8)</f>
        <v>783.13400000000001</v>
      </c>
      <c r="T9" s="11">
        <f t="shared" ref="T9" si="20">SUM(T5:T8)</f>
        <v>876.41700000000003</v>
      </c>
      <c r="U9" s="14">
        <f t="shared" ref="U9" si="21">SUM(U5:U8)</f>
        <v>933.33699999999988</v>
      </c>
      <c r="V9" s="154">
        <v>1060</v>
      </c>
      <c r="W9" s="153">
        <v>982.57</v>
      </c>
    </row>
    <row r="10" spans="1:23" x14ac:dyDescent="0.25">
      <c r="B10" s="9" t="s">
        <v>51</v>
      </c>
      <c r="C10" s="10"/>
      <c r="D10" s="10"/>
      <c r="E10" s="144"/>
      <c r="F10" s="151"/>
      <c r="G10" s="155">
        <v>4080</v>
      </c>
      <c r="H10" s="155">
        <v>5060</v>
      </c>
      <c r="K10" s="40"/>
      <c r="L10" s="40"/>
      <c r="M10" s="40"/>
      <c r="N10" s="40"/>
      <c r="O10" s="40"/>
      <c r="P10" s="40"/>
      <c r="Q10" s="40"/>
      <c r="R10" s="40"/>
      <c r="S10" s="144"/>
      <c r="T10" s="40"/>
      <c r="U10" s="112"/>
      <c r="V10" s="154">
        <v>1060</v>
      </c>
      <c r="W10" s="153">
        <v>982.57</v>
      </c>
    </row>
    <row r="11" spans="1:23" x14ac:dyDescent="0.25">
      <c r="B11" s="9" t="s">
        <v>186</v>
      </c>
      <c r="C11" s="10">
        <v>204.08099999999999</v>
      </c>
      <c r="D11" s="10">
        <v>140.26499999999999</v>
      </c>
      <c r="E11" s="144">
        <v>180.39500000000001</v>
      </c>
      <c r="F11" s="151">
        <v>242.26400000000001</v>
      </c>
      <c r="G11" s="140"/>
      <c r="K11" s="40"/>
      <c r="L11" s="40"/>
      <c r="M11" s="40">
        <v>34.866</v>
      </c>
      <c r="N11" s="40">
        <v>53.63</v>
      </c>
      <c r="O11" s="40">
        <v>44.143000000000001</v>
      </c>
      <c r="P11" s="10">
        <f t="shared" ref="P11:P14" si="22">E11-O11-N11-M11</f>
        <v>47.756000000000014</v>
      </c>
      <c r="Q11" s="40">
        <v>54.237000000000002</v>
      </c>
      <c r="R11" s="40">
        <v>70.278000000000006</v>
      </c>
      <c r="S11" s="144">
        <v>57.29</v>
      </c>
      <c r="T11" s="10">
        <f t="shared" ref="T11:T14" si="23">F11-S11-R11-Q11</f>
        <v>60.45900000000001</v>
      </c>
      <c r="U11" s="112">
        <v>71.552000000000007</v>
      </c>
      <c r="V11" s="40"/>
    </row>
    <row r="12" spans="1:23" x14ac:dyDescent="0.25">
      <c r="B12" s="9" t="s">
        <v>187</v>
      </c>
      <c r="C12" s="10">
        <v>255.27199999999999</v>
      </c>
      <c r="D12" s="10">
        <v>331.86</v>
      </c>
      <c r="E12" s="144">
        <v>460.62799999999999</v>
      </c>
      <c r="F12" s="151">
        <v>616.68299999999999</v>
      </c>
      <c r="G12" s="140"/>
      <c r="K12" s="40"/>
      <c r="L12" s="40"/>
      <c r="M12" s="40">
        <v>99.695999999999998</v>
      </c>
      <c r="N12" s="40">
        <v>120.88</v>
      </c>
      <c r="O12" s="40">
        <v>122.443</v>
      </c>
      <c r="P12" s="10">
        <f t="shared" si="22"/>
        <v>117.60900000000001</v>
      </c>
      <c r="Q12" s="40">
        <v>159.82400000000001</v>
      </c>
      <c r="R12" s="40">
        <v>152.97999999999999</v>
      </c>
      <c r="S12" s="144">
        <v>147.25200000000001</v>
      </c>
      <c r="T12" s="10">
        <f t="shared" si="23"/>
        <v>156.62700000000001</v>
      </c>
      <c r="U12" s="112">
        <v>162.75200000000001</v>
      </c>
      <c r="V12" s="40"/>
    </row>
    <row r="13" spans="1:23" x14ac:dyDescent="0.25">
      <c r="B13" s="9" t="s">
        <v>188</v>
      </c>
      <c r="C13" s="10">
        <v>69.694000000000003</v>
      </c>
      <c r="D13" s="10">
        <v>183.01300000000001</v>
      </c>
      <c r="E13" s="144">
        <v>344.25299999999999</v>
      </c>
      <c r="F13" s="151">
        <v>425.45100000000002</v>
      </c>
      <c r="G13" s="140"/>
      <c r="K13" s="40"/>
      <c r="L13" s="40"/>
      <c r="M13" s="40">
        <v>73.930999999999997</v>
      </c>
      <c r="N13" s="40">
        <v>84.617000000000004</v>
      </c>
      <c r="O13" s="40">
        <v>90.448999999999998</v>
      </c>
      <c r="P13" s="10">
        <f t="shared" si="22"/>
        <v>95.255999999999958</v>
      </c>
      <c r="Q13" s="40">
        <v>104.145</v>
      </c>
      <c r="R13" s="40">
        <v>107.762</v>
      </c>
      <c r="S13" s="144">
        <v>107.631</v>
      </c>
      <c r="T13" s="10">
        <f t="shared" si="23"/>
        <v>105.91300000000005</v>
      </c>
      <c r="U13" s="112">
        <v>110.027</v>
      </c>
      <c r="V13" s="40"/>
    </row>
    <row r="14" spans="1:23" x14ac:dyDescent="0.25">
      <c r="B14" s="9" t="s">
        <v>189</v>
      </c>
      <c r="C14" s="10">
        <v>157.81399999999999</v>
      </c>
      <c r="D14" s="10">
        <v>257.34300000000002</v>
      </c>
      <c r="E14" s="144">
        <v>343.24900000000002</v>
      </c>
      <c r="F14" s="151">
        <v>457.84899999999999</v>
      </c>
      <c r="G14" s="140"/>
      <c r="K14" s="40"/>
      <c r="L14" s="40"/>
      <c r="M14" s="40">
        <v>75.671000000000006</v>
      </c>
      <c r="N14" s="40">
        <v>90.203000000000003</v>
      </c>
      <c r="O14" s="40">
        <v>88.209000000000003</v>
      </c>
      <c r="P14" s="10">
        <f t="shared" si="22"/>
        <v>89.166000000000011</v>
      </c>
      <c r="Q14" s="40">
        <v>95.146000000000001</v>
      </c>
      <c r="R14" s="40">
        <v>115.96</v>
      </c>
      <c r="S14" s="144">
        <v>118.398</v>
      </c>
      <c r="T14" s="10">
        <f t="shared" si="23"/>
        <v>128.34500000000003</v>
      </c>
      <c r="U14" s="112">
        <v>133.80699999999999</v>
      </c>
      <c r="V14" s="40"/>
    </row>
    <row r="15" spans="1:23" s="1" customFormat="1" x14ac:dyDescent="0.25">
      <c r="B15" s="1" t="s">
        <v>46</v>
      </c>
      <c r="C15" s="11">
        <f t="shared" ref="C15:H15" si="24">SUM(C11:C14)</f>
        <v>686.86099999999988</v>
      </c>
      <c r="D15" s="11">
        <f t="shared" si="24"/>
        <v>912.48099999999999</v>
      </c>
      <c r="E15" s="143">
        <f t="shared" si="24"/>
        <v>1328.5250000000001</v>
      </c>
      <c r="F15" s="14">
        <f t="shared" si="24"/>
        <v>1742.2470000000001</v>
      </c>
      <c r="G15" s="11">
        <f t="shared" si="24"/>
        <v>0</v>
      </c>
      <c r="H15" s="11">
        <f t="shared" si="24"/>
        <v>0</v>
      </c>
      <c r="K15" s="11">
        <f t="shared" ref="K15:O15" si="25">SUM(K11:K14)</f>
        <v>0</v>
      </c>
      <c r="L15" s="11">
        <f t="shared" si="25"/>
        <v>0</v>
      </c>
      <c r="M15" s="11">
        <f t="shared" si="25"/>
        <v>284.16399999999999</v>
      </c>
      <c r="N15" s="11">
        <f t="shared" si="25"/>
        <v>349.33000000000004</v>
      </c>
      <c r="O15" s="11">
        <f t="shared" si="25"/>
        <v>345.24400000000003</v>
      </c>
      <c r="P15" s="11">
        <f t="shared" ref="P15:R15" si="26">SUM(P11:P14)</f>
        <v>349.78699999999998</v>
      </c>
      <c r="Q15" s="11">
        <f t="shared" si="26"/>
        <v>413.35200000000003</v>
      </c>
      <c r="R15" s="11">
        <f t="shared" si="26"/>
        <v>446.97999999999996</v>
      </c>
      <c r="S15" s="143">
        <f t="shared" ref="S15:W15" si="27">SUM(S11:S14)</f>
        <v>430.57100000000003</v>
      </c>
      <c r="T15" s="11">
        <f t="shared" si="27"/>
        <v>451.34400000000011</v>
      </c>
      <c r="U15" s="14">
        <f t="shared" si="27"/>
        <v>478.13800000000003</v>
      </c>
      <c r="V15" s="11">
        <f t="shared" si="27"/>
        <v>0</v>
      </c>
      <c r="W15" s="11">
        <f t="shared" si="27"/>
        <v>0</v>
      </c>
    </row>
    <row r="16" spans="1:23" x14ac:dyDescent="0.25">
      <c r="B16" t="s">
        <v>190</v>
      </c>
      <c r="C16" s="10">
        <v>418.64299999999997</v>
      </c>
      <c r="D16" s="10">
        <v>615.81799999999998</v>
      </c>
      <c r="E16" s="144">
        <v>501.85700000000003</v>
      </c>
      <c r="F16" s="138">
        <v>589.72299999999996</v>
      </c>
      <c r="K16" s="10"/>
      <c r="L16" s="10"/>
      <c r="M16" s="10">
        <v>132.965</v>
      </c>
      <c r="N16" s="10">
        <v>119.833</v>
      </c>
      <c r="O16" s="10">
        <v>124.828</v>
      </c>
      <c r="P16" s="10">
        <f t="shared" ref="P16:P19" si="28">E16-O16-N16-M16</f>
        <v>124.23100000000002</v>
      </c>
      <c r="Q16" s="10">
        <v>134.29</v>
      </c>
      <c r="R16" s="10">
        <v>148.21299999999999</v>
      </c>
      <c r="S16" s="142">
        <v>152.62</v>
      </c>
      <c r="T16" s="10">
        <f t="shared" ref="T16:T19" si="29">F16-S16-R16-Q16</f>
        <v>154.6</v>
      </c>
      <c r="U16" s="15">
        <v>168.10599999999999</v>
      </c>
      <c r="V16" s="10"/>
    </row>
    <row r="17" spans="2:24" x14ac:dyDescent="0.25">
      <c r="B17" t="s">
        <v>191</v>
      </c>
      <c r="C17" s="10">
        <v>532.34299999999996</v>
      </c>
      <c r="D17" s="10">
        <v>638.28</v>
      </c>
      <c r="E17" s="144">
        <v>576.40499999999997</v>
      </c>
      <c r="F17" s="112">
        <v>434.84699999999998</v>
      </c>
      <c r="K17" s="10"/>
      <c r="L17" s="10"/>
      <c r="M17" s="10">
        <v>146.86600000000001</v>
      </c>
      <c r="N17" s="10">
        <v>161.26499999999999</v>
      </c>
      <c r="O17" s="10">
        <v>132.94999999999999</v>
      </c>
      <c r="P17" s="10">
        <f t="shared" si="28"/>
        <v>135.32399999999998</v>
      </c>
      <c r="Q17" s="10">
        <v>145.233</v>
      </c>
      <c r="R17" s="10">
        <v>136.03800000000001</v>
      </c>
      <c r="S17" s="142">
        <v>74.022000000000006</v>
      </c>
      <c r="T17" s="10">
        <f t="shared" si="29"/>
        <v>79.553999999999974</v>
      </c>
      <c r="U17" s="15">
        <v>78.491</v>
      </c>
      <c r="V17" s="10"/>
    </row>
    <row r="18" spans="2:24" x14ac:dyDescent="0.25">
      <c r="B18" t="s">
        <v>119</v>
      </c>
      <c r="C18" s="10">
        <v>577.49300000000005</v>
      </c>
      <c r="D18" s="10">
        <v>586.39800000000002</v>
      </c>
      <c r="E18" s="142">
        <v>525.29100000000005</v>
      </c>
      <c r="F18" s="15">
        <v>545.053</v>
      </c>
      <c r="K18" s="10"/>
      <c r="L18" s="10"/>
      <c r="M18" s="10">
        <v>140.334</v>
      </c>
      <c r="N18" s="10">
        <v>132.77699999999999</v>
      </c>
      <c r="O18" s="10">
        <v>128.721</v>
      </c>
      <c r="P18" s="10">
        <f t="shared" si="28"/>
        <v>123.45900000000006</v>
      </c>
      <c r="Q18" s="10">
        <v>138.482</v>
      </c>
      <c r="R18" s="10">
        <v>139.41200000000001</v>
      </c>
      <c r="S18" s="142">
        <v>134.303</v>
      </c>
      <c r="T18" s="10">
        <f t="shared" si="29"/>
        <v>132.85599999999997</v>
      </c>
      <c r="U18" s="15">
        <v>144.941</v>
      </c>
      <c r="V18" s="10"/>
    </row>
    <row r="19" spans="2:24" x14ac:dyDescent="0.25">
      <c r="B19" t="s">
        <v>192</v>
      </c>
      <c r="C19" s="10">
        <v>0</v>
      </c>
      <c r="D19" s="10">
        <v>35.869999999999997</v>
      </c>
      <c r="E19" s="144">
        <v>6.7679999999999998</v>
      </c>
      <c r="F19" s="112">
        <v>-0.184</v>
      </c>
      <c r="K19" s="10"/>
      <c r="L19" s="10"/>
      <c r="M19" s="10">
        <v>1.665</v>
      </c>
      <c r="N19" s="10">
        <v>5.6000000000000001E-2</v>
      </c>
      <c r="O19" s="10">
        <v>5.2030000000000003</v>
      </c>
      <c r="P19" s="10">
        <f t="shared" si="28"/>
        <v>-0.15600000000000058</v>
      </c>
      <c r="Q19" s="10">
        <v>-0.255</v>
      </c>
      <c r="R19" s="10">
        <v>0.06</v>
      </c>
      <c r="S19" s="142">
        <v>1.2E-2</v>
      </c>
      <c r="T19" s="10">
        <f t="shared" si="29"/>
        <v>-1.0000000000000009E-3</v>
      </c>
      <c r="U19" s="15">
        <v>0</v>
      </c>
      <c r="V19" s="10"/>
    </row>
    <row r="20" spans="2:24" s="1" customFormat="1" x14ac:dyDescent="0.25">
      <c r="B20" s="1" t="s">
        <v>13</v>
      </c>
      <c r="C20" s="11">
        <f t="shared" ref="C20:D20" si="30">C9-SUM(C15:C19)</f>
        <v>-866.04799999999977</v>
      </c>
      <c r="D20" s="11">
        <f t="shared" si="30"/>
        <v>-1200.8619999999996</v>
      </c>
      <c r="E20" s="143">
        <f t="shared" ref="E20:H20" si="31">E9-SUM(E15:E19)</f>
        <v>-615.84700000000021</v>
      </c>
      <c r="F20" s="14">
        <f t="shared" si="31"/>
        <v>-87.275000000000091</v>
      </c>
      <c r="G20" s="11">
        <f t="shared" si="31"/>
        <v>4080</v>
      </c>
      <c r="H20" s="11">
        <f t="shared" si="31"/>
        <v>5060</v>
      </c>
      <c r="I20" s="11"/>
      <c r="J20" s="11"/>
      <c r="K20" s="11">
        <f t="shared" ref="K20:O20" si="32">K9-SUM(K15:K19)</f>
        <v>0</v>
      </c>
      <c r="L20" s="11">
        <f t="shared" si="32"/>
        <v>0</v>
      </c>
      <c r="M20" s="11">
        <f t="shared" si="32"/>
        <v>-209.44699999999995</v>
      </c>
      <c r="N20" s="11">
        <f t="shared" si="32"/>
        <v>-172.15099999999995</v>
      </c>
      <c r="O20" s="11">
        <f t="shared" si="32"/>
        <v>-160.78899999999987</v>
      </c>
      <c r="P20" s="11">
        <f t="shared" ref="P20:R20" si="33">P9-SUM(P15:P19)</f>
        <v>-73.46000000000015</v>
      </c>
      <c r="Q20" s="11">
        <f t="shared" si="33"/>
        <v>-132.62299999999993</v>
      </c>
      <c r="R20" s="11">
        <f t="shared" si="33"/>
        <v>-4.321999999999889</v>
      </c>
      <c r="S20" s="143">
        <f t="shared" ref="S20:W20" si="34">S9-SUM(S15:S19)</f>
        <v>-8.3940000000000055</v>
      </c>
      <c r="T20" s="11">
        <f t="shared" si="34"/>
        <v>58.063999999999965</v>
      </c>
      <c r="U20" s="14">
        <f t="shared" si="34"/>
        <v>63.660999999999831</v>
      </c>
      <c r="V20" s="11">
        <f t="shared" si="34"/>
        <v>1060</v>
      </c>
      <c r="W20" s="11">
        <f t="shared" si="34"/>
        <v>982.57</v>
      </c>
    </row>
    <row r="21" spans="2:24" x14ac:dyDescent="0.25">
      <c r="B21" t="s">
        <v>193</v>
      </c>
      <c r="C21" s="10">
        <v>141.21700000000001</v>
      </c>
      <c r="D21" s="10">
        <v>211.61699999999999</v>
      </c>
      <c r="E21" s="142">
        <v>100.32</v>
      </c>
      <c r="F21" s="15">
        <v>148.73699999999999</v>
      </c>
      <c r="G21" s="10"/>
      <c r="K21" s="10"/>
      <c r="L21" s="10"/>
      <c r="M21" s="10">
        <v>38.707000000000001</v>
      </c>
      <c r="N21" s="10">
        <v>4.5490000000000004</v>
      </c>
      <c r="O21" s="10">
        <v>27.742999999999999</v>
      </c>
      <c r="P21" s="10">
        <f>E21-O21-N21-M21</f>
        <v>29.320999999999991</v>
      </c>
      <c r="Q21" s="10">
        <v>34.302999999999997</v>
      </c>
      <c r="R21" s="10">
        <v>87.180999999999997</v>
      </c>
      <c r="S21" s="142">
        <v>13.738</v>
      </c>
      <c r="T21" s="10">
        <f>F21-S21-R21-Q21</f>
        <v>13.515000000000001</v>
      </c>
      <c r="U21" s="15">
        <v>19.358000000000001</v>
      </c>
      <c r="V21" s="10"/>
    </row>
    <row r="22" spans="2:24" s="1" customFormat="1" x14ac:dyDescent="0.25">
      <c r="B22" s="1" t="s">
        <v>120</v>
      </c>
      <c r="C22" s="11">
        <f>C20+SUM(C21:C21)</f>
        <v>-724.83099999999979</v>
      </c>
      <c r="D22" s="11">
        <f>D20+SUM(D21:D21)</f>
        <v>-989.24499999999966</v>
      </c>
      <c r="E22" s="143">
        <f>E20+SUM(E21:E21)</f>
        <v>-515.52700000000027</v>
      </c>
      <c r="F22" s="14">
        <f>F20+SUM(F21:F21)</f>
        <v>61.461999999999904</v>
      </c>
      <c r="G22" s="11">
        <f>G20+SUM(G21:G21)</f>
        <v>4080</v>
      </c>
      <c r="H22" s="11">
        <f>H20+SUM(H21:H21)</f>
        <v>5060</v>
      </c>
      <c r="K22" s="11">
        <f>K20+SUM(K21:K21)</f>
        <v>0</v>
      </c>
      <c r="L22" s="11">
        <f>L20+SUM(L21:L21)</f>
        <v>0</v>
      </c>
      <c r="M22" s="11">
        <f>M20+SUM(M21:M21)</f>
        <v>-170.73999999999995</v>
      </c>
      <c r="N22" s="11">
        <f>N20+SUM(N21:N21)</f>
        <v>-167.60199999999995</v>
      </c>
      <c r="O22" s="11">
        <f>O20+SUM(O21:O21)</f>
        <v>-133.04599999999988</v>
      </c>
      <c r="P22" s="11">
        <f>P20+SUM(P21:P21)</f>
        <v>-44.139000000000159</v>
      </c>
      <c r="Q22" s="11">
        <f>Q20+SUM(Q21:Q21)</f>
        <v>-98.319999999999936</v>
      </c>
      <c r="R22" s="11">
        <f>R20+SUM(R21:R21)</f>
        <v>82.859000000000108</v>
      </c>
      <c r="S22" s="143">
        <f>S20+SUM(S21:S21)</f>
        <v>5.3439999999999941</v>
      </c>
      <c r="T22" s="11">
        <f>T20+SUM(T21:T21)</f>
        <v>71.578999999999965</v>
      </c>
      <c r="U22" s="14">
        <f>U20+SUM(U21:U21)</f>
        <v>83.018999999999835</v>
      </c>
      <c r="V22" s="11">
        <f>V20+SUM(V21:V21)</f>
        <v>1060</v>
      </c>
      <c r="W22" s="11">
        <f>W20+SUM(W21:W21)</f>
        <v>982.57</v>
      </c>
    </row>
    <row r="23" spans="2:24" x14ac:dyDescent="0.25">
      <c r="B23" t="s">
        <v>10</v>
      </c>
      <c r="C23" s="10">
        <v>-17.414000000000001</v>
      </c>
      <c r="D23" s="10">
        <v>-3.9</v>
      </c>
      <c r="E23" s="142">
        <v>2.23</v>
      </c>
      <c r="F23" s="15">
        <v>9.2789999999999999</v>
      </c>
      <c r="G23" s="10"/>
      <c r="K23" s="10"/>
      <c r="L23" s="10"/>
      <c r="M23" s="10">
        <v>1.0429999999999999</v>
      </c>
      <c r="N23" s="10">
        <v>-0.7</v>
      </c>
      <c r="O23" s="10">
        <v>0.89</v>
      </c>
      <c r="P23" s="10">
        <f t="shared" ref="P23:P24" si="35">E23-O23-N23-M23</f>
        <v>0.99700000000000011</v>
      </c>
      <c r="Q23" s="10">
        <v>1.9019999999999999</v>
      </c>
      <c r="R23" s="10">
        <v>2.4990000000000001</v>
      </c>
      <c r="S23" s="142">
        <v>2.5409999999999999</v>
      </c>
      <c r="T23" s="10">
        <f>F23-S23-R23-Q23</f>
        <v>2.3369999999999989</v>
      </c>
      <c r="U23" s="15">
        <v>2.3260000000000001</v>
      </c>
      <c r="V23" s="10"/>
    </row>
    <row r="24" spans="2:24" x14ac:dyDescent="0.25">
      <c r="B24" t="s">
        <v>194</v>
      </c>
      <c r="C24" s="10">
        <f>-5.9-8.022</f>
        <v>-13.922000000000001</v>
      </c>
      <c r="D24" s="10">
        <f>-8.143-0.822+0.751</f>
        <v>-8.2140000000000004</v>
      </c>
      <c r="E24" s="142">
        <f>-13.655+6.857+0.656</f>
        <v>-6.1419999999999995</v>
      </c>
      <c r="F24" s="15">
        <f>6.025+3.297-2.826</f>
        <v>6.4960000000000004</v>
      </c>
      <c r="G24" s="10"/>
      <c r="K24" s="10"/>
      <c r="L24" s="10"/>
      <c r="M24" s="10">
        <f>-11.898+1.353+0.763</f>
        <v>-9.782</v>
      </c>
      <c r="N24" s="10">
        <f>13.824+4.853-0.614</f>
        <v>18.062999999999999</v>
      </c>
      <c r="O24" s="10">
        <f>-10.879-0.03+0.75</f>
        <v>-10.158999999999999</v>
      </c>
      <c r="P24" s="10">
        <f t="shared" si="35"/>
        <v>-4.2639999999999993</v>
      </c>
      <c r="Q24" s="10">
        <f>8.346+5.589-1.492</f>
        <v>12.443000000000001</v>
      </c>
      <c r="R24" s="10">
        <f>-35.469-2.873-0.089</f>
        <v>-38.430999999999997</v>
      </c>
      <c r="S24" s="142">
        <f>3.55+0.778-1.279</f>
        <v>3.0489999999999995</v>
      </c>
      <c r="T24" s="10">
        <f>F24-S24-R24-Q24</f>
        <v>29.434999999999999</v>
      </c>
      <c r="U24" s="15">
        <f>-10.003+0.812-0.129</f>
        <v>-9.32</v>
      </c>
      <c r="V24" s="10"/>
    </row>
    <row r="25" spans="2:24" s="1" customFormat="1" x14ac:dyDescent="0.25">
      <c r="B25" s="1" t="s">
        <v>11</v>
      </c>
      <c r="C25" s="11">
        <f>C22-C23+C24</f>
        <v>-721.33899999999983</v>
      </c>
      <c r="D25" s="11">
        <f t="shared" ref="D25:H25" si="36">D22-D23+D24</f>
        <v>-993.55899999999974</v>
      </c>
      <c r="E25" s="143">
        <f t="shared" si="36"/>
        <v>-523.89900000000034</v>
      </c>
      <c r="F25" s="14">
        <f t="shared" si="36"/>
        <v>58.67899999999991</v>
      </c>
      <c r="G25" s="11">
        <f t="shared" si="36"/>
        <v>4080</v>
      </c>
      <c r="H25" s="11">
        <f t="shared" si="36"/>
        <v>5060</v>
      </c>
      <c r="K25" s="11">
        <f t="shared" ref="K25" si="37">K22-K23+K24</f>
        <v>0</v>
      </c>
      <c r="L25" s="11">
        <f t="shared" ref="L25" si="38">L22-L23+L24</f>
        <v>0</v>
      </c>
      <c r="M25" s="11">
        <f t="shared" ref="M25" si="39">M22-M23+M24</f>
        <v>-181.56499999999997</v>
      </c>
      <c r="N25" s="11">
        <f t="shared" ref="N25" si="40">N22-N23+N24</f>
        <v>-148.83899999999997</v>
      </c>
      <c r="O25" s="11">
        <f t="shared" ref="O25" si="41">O22-O23+O24</f>
        <v>-144.09499999999986</v>
      </c>
      <c r="P25" s="11">
        <f t="shared" ref="P25" si="42">P22-P23+P24</f>
        <v>-49.400000000000162</v>
      </c>
      <c r="Q25" s="11">
        <f t="shared" ref="Q25" si="43">Q22-Q23+Q24</f>
        <v>-87.77899999999994</v>
      </c>
      <c r="R25" s="11">
        <f t="shared" ref="R25" si="44">R22-R23+R24</f>
        <v>41.929000000000116</v>
      </c>
      <c r="S25" s="143">
        <f t="shared" ref="S25" si="45">S22-S23+S24</f>
        <v>5.8519999999999932</v>
      </c>
      <c r="T25" s="11">
        <f t="shared" ref="T25:T26" si="46">T22-T23+T24</f>
        <v>98.676999999999964</v>
      </c>
      <c r="U25" s="14">
        <f t="shared" ref="U25" si="47">U22-U23+U24</f>
        <v>71.372999999999848</v>
      </c>
      <c r="V25" s="11">
        <f t="shared" ref="V25:W25" si="48">V22-V23+V24</f>
        <v>1060</v>
      </c>
      <c r="W25" s="11">
        <f t="shared" si="48"/>
        <v>982.57</v>
      </c>
    </row>
    <row r="26" spans="2:24" x14ac:dyDescent="0.25">
      <c r="B26" t="s">
        <v>195</v>
      </c>
      <c r="C26" s="10">
        <v>281.70404100000002</v>
      </c>
      <c r="D26" s="10">
        <v>295.34346599999998</v>
      </c>
      <c r="E26" s="142">
        <v>309.85712899999999</v>
      </c>
      <c r="F26" s="15">
        <v>341.02356600000002</v>
      </c>
      <c r="G26" s="10"/>
      <c r="K26" s="10"/>
      <c r="L26" s="10"/>
      <c r="M26" s="10">
        <v>303.83967000000001</v>
      </c>
      <c r="N26" s="10">
        <v>307.57160199999998</v>
      </c>
      <c r="O26" s="10">
        <v>344.224332</v>
      </c>
      <c r="P26" s="10">
        <v>344.224332</v>
      </c>
      <c r="Q26" s="10">
        <v>318.234555</v>
      </c>
      <c r="R26" s="10">
        <v>345.19656800000001</v>
      </c>
      <c r="S26" s="142">
        <v>312.62672800000001</v>
      </c>
      <c r="T26" s="142">
        <v>312.62672800000001</v>
      </c>
      <c r="U26" s="15">
        <v>348.27840300000003</v>
      </c>
      <c r="V26" s="10"/>
    </row>
    <row r="27" spans="2:24" s="1" customFormat="1" x14ac:dyDescent="0.25">
      <c r="B27" s="1" t="s">
        <v>12</v>
      </c>
      <c r="C27" s="2">
        <f>C25/C26</f>
        <v>-2.5606270944476788</v>
      </c>
      <c r="D27" s="115">
        <f>D25/D26</f>
        <v>-3.3640798405203243</v>
      </c>
      <c r="E27" s="145">
        <f t="shared" ref="E27:H27" si="49">E25/E26</f>
        <v>-1.6907760092232713</v>
      </c>
      <c r="F27" s="35">
        <f t="shared" si="49"/>
        <v>0.1720672875727301</v>
      </c>
      <c r="G27" s="139">
        <v>3.11</v>
      </c>
      <c r="H27" s="139">
        <v>3.83</v>
      </c>
      <c r="K27" s="2" t="e">
        <f t="shared" ref="K27" si="50">K25/K26</f>
        <v>#DIV/0!</v>
      </c>
      <c r="L27" s="2" t="e">
        <f t="shared" ref="L27:O27" si="51">L25/L26</f>
        <v>#DIV/0!</v>
      </c>
      <c r="M27" s="2">
        <f t="shared" si="51"/>
        <v>-0.59756844785935936</v>
      </c>
      <c r="N27" s="2">
        <f t="shared" si="51"/>
        <v>-0.48391658733175236</v>
      </c>
      <c r="O27" s="2">
        <f t="shared" si="51"/>
        <v>-0.41860782810670066</v>
      </c>
      <c r="P27" s="2">
        <f t="shared" ref="P27:R27" si="52">P25/P26</f>
        <v>-0.1435110635932621</v>
      </c>
      <c r="Q27" s="2">
        <f t="shared" si="52"/>
        <v>-0.27583113970762835</v>
      </c>
      <c r="R27" s="2">
        <f t="shared" si="52"/>
        <v>0.12146412765030767</v>
      </c>
      <c r="S27" s="145">
        <f t="shared" ref="S27:W27" si="53">S25/S26</f>
        <v>1.871880896888635E-2</v>
      </c>
      <c r="T27" s="2">
        <f t="shared" si="53"/>
        <v>0.31563839928619269</v>
      </c>
      <c r="U27" s="35">
        <f t="shared" si="53"/>
        <v>0.20493088111466917</v>
      </c>
      <c r="V27" s="158">
        <v>0.85</v>
      </c>
      <c r="W27" s="159">
        <v>0.73</v>
      </c>
      <c r="X27" s="139"/>
    </row>
    <row r="28" spans="2:24" s="1" customFormat="1" x14ac:dyDescent="0.25">
      <c r="B28" s="9" t="s">
        <v>50</v>
      </c>
      <c r="C28" s="2"/>
      <c r="D28" s="2"/>
      <c r="E28" s="146"/>
      <c r="F28" s="152"/>
      <c r="G28" s="1">
        <v>3.11</v>
      </c>
      <c r="H28" s="1">
        <v>3.83</v>
      </c>
      <c r="K28" s="42"/>
      <c r="L28" s="42"/>
      <c r="M28" s="42"/>
      <c r="N28" s="42"/>
      <c r="O28" s="42"/>
      <c r="P28" s="42"/>
      <c r="Q28" s="42"/>
      <c r="R28" s="42"/>
      <c r="S28" s="156"/>
      <c r="T28" s="42"/>
      <c r="U28" s="113"/>
      <c r="V28" s="158">
        <v>0.85</v>
      </c>
      <c r="W28" s="159">
        <v>0.73</v>
      </c>
    </row>
    <row r="29" spans="2:24" s="1" customFormat="1" x14ac:dyDescent="0.25">
      <c r="B29" t="s">
        <v>20</v>
      </c>
      <c r="C29" s="3">
        <f>1-C15/C9</f>
        <v>0.4909471041108967</v>
      </c>
      <c r="D29" s="39">
        <f>1-D15/D9</f>
        <v>0.42538437075916968</v>
      </c>
      <c r="E29" s="39">
        <f>1-E15/E9</f>
        <v>0.42809919418820241</v>
      </c>
      <c r="F29" s="6">
        <f>1-F15/F9</f>
        <v>0.45966968851055268</v>
      </c>
      <c r="G29" s="39">
        <f>1-G15/G9</f>
        <v>1</v>
      </c>
      <c r="H29" s="39">
        <f>1-H15/H9</f>
        <v>1</v>
      </c>
      <c r="K29" s="3" t="e">
        <f>1-K15/K9</f>
        <v>#DIV/0!</v>
      </c>
      <c r="L29" s="3" t="e">
        <f>1-L15/L9</f>
        <v>#DIV/0!</v>
      </c>
      <c r="M29" s="3">
        <f>1-M15/M9</f>
        <v>0.42771983316785722</v>
      </c>
      <c r="N29" s="39">
        <f>1-N15/N9</f>
        <v>0.40902708463737714</v>
      </c>
      <c r="O29" s="3">
        <f>1-O15/O9</f>
        <v>0.40078138424075382</v>
      </c>
      <c r="P29" s="39">
        <f>1-P15/P9</f>
        <v>0.46936444245545639</v>
      </c>
      <c r="Q29" s="3">
        <f>1-Q15/Q9</f>
        <v>0.40821127048916284</v>
      </c>
      <c r="R29" s="3">
        <f>1-R15/R9</f>
        <v>0.4840837922345943</v>
      </c>
      <c r="S29" s="39">
        <f>1-S15/S9</f>
        <v>0.45019498578787276</v>
      </c>
      <c r="T29" s="3">
        <f>1-T15/T9</f>
        <v>0.48501227155566351</v>
      </c>
      <c r="U29" s="6">
        <f>1-U15/U9</f>
        <v>0.4877112982770424</v>
      </c>
      <c r="V29" s="3">
        <f>1-V15/V9</f>
        <v>1</v>
      </c>
      <c r="W29" s="3">
        <f>1-W15/W9</f>
        <v>1</v>
      </c>
    </row>
    <row r="30" spans="2:24" x14ac:dyDescent="0.25">
      <c r="B30" t="s">
        <v>21</v>
      </c>
      <c r="C30" s="4">
        <f>C25/C9</f>
        <v>-0.53460555609905036</v>
      </c>
      <c r="D30" s="4">
        <f>D25/D9</f>
        <v>-0.62567278658173697</v>
      </c>
      <c r="E30" s="147">
        <f>E25/E9</f>
        <v>-0.22552700194877409</v>
      </c>
      <c r="F30" s="7">
        <f>F25/F9</f>
        <v>1.8198362429603397E-2</v>
      </c>
      <c r="G30" s="4">
        <f>G25/G9</f>
        <v>1</v>
      </c>
      <c r="H30" s="4">
        <f>H25/H9</f>
        <v>1</v>
      </c>
      <c r="K30" s="4" t="e">
        <f>K25/K9</f>
        <v>#DIV/0!</v>
      </c>
      <c r="L30" s="4" t="e">
        <f>L25/L9</f>
        <v>#DIV/0!</v>
      </c>
      <c r="M30" s="4">
        <f>M25/M9</f>
        <v>-0.36565521491419739</v>
      </c>
      <c r="N30" s="4">
        <f>N25/N9</f>
        <v>-0.25179577405220682</v>
      </c>
      <c r="O30" s="4">
        <f>O25/O9</f>
        <v>-0.25009676182012863</v>
      </c>
      <c r="P30" s="4">
        <f>P25/P9</f>
        <v>-7.4941025660474933E-2</v>
      </c>
      <c r="Q30" s="4">
        <f>Q25/Q9</f>
        <v>-0.1256716379447341</v>
      </c>
      <c r="R30" s="4">
        <f>R25/R9</f>
        <v>4.8395567308147466E-2</v>
      </c>
      <c r="S30" s="147">
        <f>S25/S9</f>
        <v>7.4725398207714042E-3</v>
      </c>
      <c r="T30" s="4">
        <f>T25/T9</f>
        <v>0.11259138058709491</v>
      </c>
      <c r="U30" s="7">
        <f>U25/U9</f>
        <v>7.6470771007685179E-2</v>
      </c>
      <c r="V30" s="4">
        <f>V25/V9</f>
        <v>1</v>
      </c>
      <c r="W30" s="4">
        <f>W25/W9</f>
        <v>1</v>
      </c>
    </row>
    <row r="31" spans="2:24" x14ac:dyDescent="0.25">
      <c r="B31" t="s">
        <v>124</v>
      </c>
      <c r="C31" s="39"/>
      <c r="D31" s="39">
        <f>D9/C9-1</f>
        <v>0.17690240511320021</v>
      </c>
      <c r="E31" s="39">
        <f>E9/D9-1</f>
        <v>0.46285953582684969</v>
      </c>
      <c r="F31" s="6">
        <f>F9/E9-1</f>
        <v>0.38803804909085171</v>
      </c>
      <c r="G31" s="39">
        <f>G9/F9-1</f>
        <v>0.26534737662165298</v>
      </c>
      <c r="H31" s="39">
        <f>H9/G9-1</f>
        <v>0.24019607843137258</v>
      </c>
      <c r="K31" s="4"/>
      <c r="L31" s="4"/>
      <c r="M31" s="4"/>
      <c r="N31" s="4"/>
      <c r="O31" s="4" t="e">
        <f>O9/K9-1</f>
        <v>#DIV/0!</v>
      </c>
      <c r="P31" s="4" t="e">
        <f>P9/L9-1</f>
        <v>#DIV/0!</v>
      </c>
      <c r="Q31" s="4">
        <f>Q9/M9-1</f>
        <v>0.40667248014790158</v>
      </c>
      <c r="R31" s="4">
        <f>R9/N9-1</f>
        <v>0.46568489790394363</v>
      </c>
      <c r="S31" s="147">
        <f>S9/O9-1</f>
        <v>0.35923715237339815</v>
      </c>
      <c r="T31" s="4">
        <f>T9/P9-1</f>
        <v>0.32954633373028841</v>
      </c>
      <c r="U31" s="7">
        <f>U9/Q9-1</f>
        <v>0.33624203447777212</v>
      </c>
      <c r="V31" s="4">
        <f>V9/R9-1</f>
        <v>0.22348020097393628</v>
      </c>
      <c r="W31" s="4">
        <f>W9/S9-1</f>
        <v>0.25466395278458087</v>
      </c>
    </row>
    <row r="32" spans="2:24" x14ac:dyDescent="0.25">
      <c r="B32" t="s">
        <v>52</v>
      </c>
      <c r="C32" s="147">
        <f t="shared" ref="C32:E32" si="54">C17/C9</f>
        <v>0.39453505986843468</v>
      </c>
      <c r="D32" s="147">
        <f t="shared" si="54"/>
        <v>0.40194334329354492</v>
      </c>
      <c r="E32" s="147">
        <f t="shared" si="54"/>
        <v>0.24812968064127444</v>
      </c>
      <c r="F32" s="7">
        <f>F17/F9</f>
        <v>0.13486090948083232</v>
      </c>
      <c r="G32" s="4">
        <f>G16/G9</f>
        <v>0</v>
      </c>
      <c r="H32" s="4">
        <f>H16/H9</f>
        <v>0</v>
      </c>
      <c r="K32" s="147" t="e">
        <f t="shared" ref="K32:V32" si="55">K17/K9</f>
        <v>#DIV/0!</v>
      </c>
      <c r="L32" s="147" t="e">
        <f t="shared" si="55"/>
        <v>#DIV/0!</v>
      </c>
      <c r="M32" s="147">
        <f t="shared" si="55"/>
        <v>0.2957746195224219</v>
      </c>
      <c r="N32" s="147">
        <f t="shared" si="55"/>
        <v>0.27281724213767317</v>
      </c>
      <c r="O32" s="147">
        <f t="shared" si="55"/>
        <v>0.23075307598449724</v>
      </c>
      <c r="P32" s="147">
        <f t="shared" si="55"/>
        <v>0.20528986551575051</v>
      </c>
      <c r="Q32" s="147">
        <f t="shared" si="55"/>
        <v>0.20792751106332474</v>
      </c>
      <c r="R32" s="147">
        <f t="shared" si="55"/>
        <v>0.15701867884914372</v>
      </c>
      <c r="S32" s="147">
        <f t="shared" si="55"/>
        <v>9.452022259281298E-2</v>
      </c>
      <c r="T32" s="147">
        <f t="shared" si="55"/>
        <v>9.077185860155608E-2</v>
      </c>
      <c r="U32" s="7">
        <f t="shared" si="55"/>
        <v>8.4097169618262219E-2</v>
      </c>
      <c r="V32" s="147">
        <f t="shared" si="55"/>
        <v>0</v>
      </c>
      <c r="W32" s="147">
        <f t="shared" ref="W32" si="56">W17/W9</f>
        <v>0</v>
      </c>
    </row>
    <row r="33" spans="2:23" x14ac:dyDescent="0.25">
      <c r="B33" t="s">
        <v>117</v>
      </c>
      <c r="C33" s="4">
        <f>C16/C9</f>
        <v>0.31026864459286796</v>
      </c>
      <c r="D33" s="4">
        <f t="shared" ref="D33:H33" si="57">D16/D9</f>
        <v>0.38779837341032813</v>
      </c>
      <c r="E33" s="4">
        <f t="shared" si="57"/>
        <v>0.21603840552664894</v>
      </c>
      <c r="F33" s="7">
        <f t="shared" si="57"/>
        <v>0.18289324779006152</v>
      </c>
      <c r="G33" s="4">
        <f t="shared" si="57"/>
        <v>0</v>
      </c>
      <c r="H33" s="4">
        <f t="shared" si="57"/>
        <v>0</v>
      </c>
      <c r="K33" s="4" t="e">
        <f t="shared" ref="K33:V33" si="58">K16/K9</f>
        <v>#DIV/0!</v>
      </c>
      <c r="L33" s="4" t="e">
        <f t="shared" si="58"/>
        <v>#DIV/0!</v>
      </c>
      <c r="M33" s="4">
        <f t="shared" si="58"/>
        <v>0.26777928373346332</v>
      </c>
      <c r="N33" s="4">
        <f t="shared" si="58"/>
        <v>0.20272538106274635</v>
      </c>
      <c r="O33" s="4">
        <f t="shared" si="58"/>
        <v>0.21665622391119085</v>
      </c>
      <c r="P33" s="4">
        <f t="shared" si="58"/>
        <v>0.18846150928798447</v>
      </c>
      <c r="Q33" s="4">
        <f t="shared" si="58"/>
        <v>0.19226061198690295</v>
      </c>
      <c r="R33" s="4">
        <f t="shared" si="58"/>
        <v>0.17107138776127359</v>
      </c>
      <c r="S33" s="147">
        <f t="shared" si="58"/>
        <v>0.19488363421840962</v>
      </c>
      <c r="T33" s="4">
        <f t="shared" si="58"/>
        <v>0.17640004700958561</v>
      </c>
      <c r="U33" s="7">
        <f t="shared" si="58"/>
        <v>0.18011286384232064</v>
      </c>
      <c r="V33" s="4">
        <f t="shared" si="58"/>
        <v>0</v>
      </c>
      <c r="W33" s="4">
        <f t="shared" ref="W33" si="59">W16/W9</f>
        <v>0</v>
      </c>
    </row>
    <row r="34" spans="2:23" x14ac:dyDescent="0.25">
      <c r="B34" t="s">
        <v>118</v>
      </c>
      <c r="C34" s="4">
        <f>C19/C9</f>
        <v>0</v>
      </c>
      <c r="D34" s="4">
        <f>D18/D9</f>
        <v>0.36927175004801682</v>
      </c>
      <c r="E34" s="4">
        <f t="shared" ref="E34:H34" si="60">E18/E9</f>
        <v>0.22612622734663251</v>
      </c>
      <c r="F34" s="7">
        <f t="shared" si="60"/>
        <v>0.16903955482102004</v>
      </c>
      <c r="G34" s="4">
        <f t="shared" si="60"/>
        <v>0</v>
      </c>
      <c r="H34" s="4">
        <f t="shared" si="60"/>
        <v>0</v>
      </c>
      <c r="K34" s="4" t="e">
        <f t="shared" ref="K34:V34" si="61">K18/K9</f>
        <v>#DIV/0!</v>
      </c>
      <c r="L34" s="4" t="e">
        <f t="shared" si="61"/>
        <v>#DIV/0!</v>
      </c>
      <c r="M34" s="4">
        <f t="shared" si="61"/>
        <v>0.28261977214644335</v>
      </c>
      <c r="N34" s="4">
        <f t="shared" si="61"/>
        <v>0.22462316658489956</v>
      </c>
      <c r="O34" s="4">
        <f t="shared" si="61"/>
        <v>0.22341306275893549</v>
      </c>
      <c r="P34" s="4">
        <f t="shared" si="61"/>
        <v>0.18729036613393824</v>
      </c>
      <c r="Q34" s="4">
        <f t="shared" si="61"/>
        <v>0.19826222406113855</v>
      </c>
      <c r="R34" s="4">
        <f t="shared" si="61"/>
        <v>0.16091303941337587</v>
      </c>
      <c r="S34" s="147">
        <f t="shared" si="61"/>
        <v>0.17149427811843182</v>
      </c>
      <c r="T34" s="4">
        <f t="shared" si="61"/>
        <v>0.15158993949227362</v>
      </c>
      <c r="U34" s="7">
        <f t="shared" si="61"/>
        <v>0.15529331849053452</v>
      </c>
      <c r="V34" s="4">
        <f t="shared" si="61"/>
        <v>0</v>
      </c>
      <c r="W34" s="4">
        <f t="shared" ref="W34" si="62">W18/W9</f>
        <v>0</v>
      </c>
    </row>
    <row r="35" spans="2:23" x14ac:dyDescent="0.25">
      <c r="B35" t="s">
        <v>199</v>
      </c>
      <c r="C35" s="4"/>
      <c r="D35" s="4">
        <f>D5/C5-1</f>
        <v>0.12111972847264063</v>
      </c>
      <c r="E35" s="4">
        <f t="shared" ref="E35:H35" si="63">E5/D5-1</f>
        <v>0.31752741100395898</v>
      </c>
      <c r="F35" s="4">
        <f t="shared" si="63"/>
        <v>0.34861405700671155</v>
      </c>
      <c r="G35" s="4">
        <f t="shared" si="63"/>
        <v>-1</v>
      </c>
      <c r="H35" s="4" t="e">
        <f t="shared" si="63"/>
        <v>#DIV/0!</v>
      </c>
      <c r="K35" s="4" t="e">
        <f t="shared" ref="K35:W35" si="64">K5/J5-1</f>
        <v>#DIV/0!</v>
      </c>
      <c r="L35" s="4" t="e">
        <f t="shared" si="64"/>
        <v>#DIV/0!</v>
      </c>
      <c r="M35" s="4" t="e">
        <f t="shared" si="64"/>
        <v>#DIV/0!</v>
      </c>
      <c r="N35" s="4">
        <f t="shared" si="64"/>
        <v>0.26863442310478991</v>
      </c>
      <c r="O35" s="4">
        <f t="shared" si="64"/>
        <v>-0.14347218683278706</v>
      </c>
      <c r="P35" s="4">
        <f t="shared" si="64"/>
        <v>0.14884493865659998</v>
      </c>
      <c r="Q35" s="4">
        <f t="shared" si="64"/>
        <v>3.4961694376484331E-2</v>
      </c>
      <c r="R35" s="4">
        <f t="shared" si="64"/>
        <v>0.30721381767672207</v>
      </c>
      <c r="S35" s="4">
        <f t="shared" si="64"/>
        <v>-0.10062137626758449</v>
      </c>
      <c r="T35" s="4">
        <f t="shared" si="64"/>
        <v>0.12482342365480892</v>
      </c>
      <c r="U35" s="7">
        <f t="shared" si="64"/>
        <v>4.5380261934663269E-2</v>
      </c>
      <c r="V35" s="4">
        <f t="shared" si="64"/>
        <v>-1</v>
      </c>
      <c r="W35" s="4" t="e">
        <f t="shared" si="64"/>
        <v>#DIV/0!</v>
      </c>
    </row>
    <row r="36" spans="2:23" x14ac:dyDescent="0.25">
      <c r="B36" t="s">
        <v>200</v>
      </c>
      <c r="C36" s="4"/>
      <c r="D36" s="4">
        <f>D6/C6-1</f>
        <v>0.29805448207926033</v>
      </c>
      <c r="E36" s="4">
        <f t="shared" ref="E36:H36" si="65">E6/D6-1</f>
        <v>0.7576256864613693</v>
      </c>
      <c r="F36" s="4">
        <f t="shared" si="65"/>
        <v>0.33533800249926315</v>
      </c>
      <c r="G36" s="4">
        <f t="shared" si="65"/>
        <v>-1</v>
      </c>
      <c r="H36" s="4" t="e">
        <f t="shared" si="65"/>
        <v>#DIV/0!</v>
      </c>
      <c r="K36" s="4" t="e">
        <f t="shared" ref="K36:W36" si="66">K6/J6-1</f>
        <v>#DIV/0!</v>
      </c>
      <c r="L36" s="4" t="e">
        <f t="shared" si="66"/>
        <v>#DIV/0!</v>
      </c>
      <c r="M36" s="4" t="e">
        <f t="shared" si="66"/>
        <v>#DIV/0!</v>
      </c>
      <c r="N36" s="4">
        <f t="shared" si="66"/>
        <v>9.7712417056559753E-2</v>
      </c>
      <c r="O36" s="4">
        <f t="shared" si="66"/>
        <v>9.4906813342303886E-2</v>
      </c>
      <c r="P36" s="4">
        <f t="shared" si="66"/>
        <v>6.9386022704236883E-2</v>
      </c>
      <c r="Q36" s="4">
        <f t="shared" si="66"/>
        <v>0.11683618764402359</v>
      </c>
      <c r="R36" s="4">
        <f t="shared" si="66"/>
        <v>8.5669806717161956E-2</v>
      </c>
      <c r="S36" s="4">
        <f t="shared" si="66"/>
        <v>-1.6283676993993135E-2</v>
      </c>
      <c r="T36" s="4">
        <f t="shared" si="66"/>
        <v>4.0695205624023734E-2</v>
      </c>
      <c r="U36" s="7">
        <f>U6/T6-1</f>
        <v>8.3593222442011061E-2</v>
      </c>
      <c r="V36" s="4">
        <f t="shared" si="66"/>
        <v>-1</v>
      </c>
      <c r="W36" s="4" t="e">
        <f t="shared" si="66"/>
        <v>#DIV/0!</v>
      </c>
    </row>
    <row r="37" spans="2:23" x14ac:dyDescent="0.25">
      <c r="B37" t="s">
        <v>123</v>
      </c>
      <c r="C37" s="39" t="e">
        <f>C27/#REF!-1</f>
        <v>#REF!</v>
      </c>
      <c r="D37" s="39">
        <f>D27/C27-1</f>
        <v>0.31377186776427068</v>
      </c>
      <c r="E37" s="39">
        <f t="shared" ref="E37:H37" si="67">E27/D27-1</f>
        <v>-0.49740312674572018</v>
      </c>
      <c r="F37" s="6">
        <f t="shared" si="67"/>
        <v>-1.1017682334230519</v>
      </c>
      <c r="G37" s="39">
        <f t="shared" si="67"/>
        <v>17.074324549838984</v>
      </c>
      <c r="H37" s="39">
        <f t="shared" si="67"/>
        <v>0.23151125401929273</v>
      </c>
      <c r="K37" s="4"/>
      <c r="L37" s="4"/>
      <c r="M37" s="4"/>
      <c r="N37" s="4"/>
      <c r="O37" s="4" t="e">
        <f t="shared" ref="O37" si="68">O25/K25-1</f>
        <v>#DIV/0!</v>
      </c>
      <c r="P37" s="4" t="e">
        <f t="shared" ref="P37" si="69">P25/L25-1</f>
        <v>#DIV/0!</v>
      </c>
      <c r="Q37" s="4">
        <f t="shared" ref="Q37" si="70">Q25/M25-1</f>
        <v>-0.5165422851320467</v>
      </c>
      <c r="R37" s="4">
        <f t="shared" ref="R37" si="71">R25/N25-1</f>
        <v>-1.2817070794617011</v>
      </c>
      <c r="S37" s="147">
        <f t="shared" ref="S37" si="72">S25/O25-1</f>
        <v>-1.0406120961865435</v>
      </c>
      <c r="T37" s="4">
        <f t="shared" ref="T37" si="73">T25/P25-1</f>
        <v>-2.9975101214574824</v>
      </c>
      <c r="U37" s="7">
        <f t="shared" ref="U37" si="74">U25/Q25-1</f>
        <v>-1.8130988049533476</v>
      </c>
      <c r="V37" s="4">
        <f t="shared" ref="V37:W37" si="75">V25/R25-1</f>
        <v>24.280831882467911</v>
      </c>
      <c r="W37" s="4">
        <f t="shared" si="75"/>
        <v>166.90328092959692</v>
      </c>
    </row>
    <row r="40" spans="2:23" s="1" customFormat="1" x14ac:dyDescent="0.25">
      <c r="B40" s="1" t="s">
        <v>25</v>
      </c>
      <c r="C40" s="11">
        <f>C41+C42</f>
        <v>0</v>
      </c>
      <c r="D40" s="11">
        <f>D41+D43+D45-D60-D61-D62</f>
        <v>1125.045000000001</v>
      </c>
      <c r="E40" s="11">
        <f t="shared" ref="E40:G40" si="76">E41+E43+E45-E60-E61-E62</f>
        <v>1399.5779999999986</v>
      </c>
      <c r="F40" s="14">
        <f t="shared" si="76"/>
        <v>1641.7510000000011</v>
      </c>
      <c r="G40" s="11">
        <f t="shared" si="76"/>
        <v>0</v>
      </c>
      <c r="K40" s="11">
        <f t="shared" ref="K40" si="77">K41+K43+K45-K60-K61-K62</f>
        <v>0</v>
      </c>
      <c r="L40" s="11">
        <f t="shared" ref="L40" si="78">L41+L43+L45-L60-L61-L62</f>
        <v>0</v>
      </c>
      <c r="M40" s="11">
        <f t="shared" ref="M40" si="79">M41+M43+M45-M60-M61-M62</f>
        <v>0</v>
      </c>
      <c r="N40" s="11">
        <f t="shared" ref="N40" si="80">N41+N43+N45-N60-N61-N62</f>
        <v>0</v>
      </c>
      <c r="O40" s="11">
        <f t="shared" ref="O40" si="81">O41+O43+O45-O60-O61-O62</f>
        <v>0</v>
      </c>
      <c r="P40" s="11">
        <f t="shared" ref="P40" si="82">P41+P43+P45-P60-P61-P62</f>
        <v>1399.5779999999986</v>
      </c>
      <c r="Q40" s="11">
        <f t="shared" ref="Q40" si="83">Q41+Q43+Q45-Q60-Q61-Q62</f>
        <v>1498.636</v>
      </c>
      <c r="R40" s="11">
        <f t="shared" ref="R40" si="84">R41+R43+R45-R60-R61-R62</f>
        <v>1356.491</v>
      </c>
      <c r="S40" s="11">
        <f t="shared" ref="S40" si="85">S41+S43+S45-S60-S61-S62</f>
        <v>1616.1179999999988</v>
      </c>
      <c r="T40" s="11">
        <f t="shared" ref="T40" si="86">T41+T43+T45-T60-T61-T62</f>
        <v>1641.7510000000011</v>
      </c>
      <c r="U40" s="14">
        <f t="shared" ref="U40" si="87">U41+U43+U45-U60-U61-U62</f>
        <v>1740.0740000000005</v>
      </c>
      <c r="V40" s="11">
        <f t="shared" ref="V40" si="88">V41+V43+V45-V60-V61-V62</f>
        <v>0</v>
      </c>
      <c r="W40" s="11">
        <f t="shared" ref="W40" si="89">W41+W43+W45-W60-W61-W62</f>
        <v>0</v>
      </c>
    </row>
    <row r="41" spans="2:23" x14ac:dyDescent="0.25">
      <c r="B41" t="s">
        <v>14</v>
      </c>
      <c r="C41" s="10"/>
      <c r="D41" s="10">
        <v>892.02700000000004</v>
      </c>
      <c r="E41" s="142">
        <v>1013.106</v>
      </c>
      <c r="F41" s="15">
        <v>1354.4549999999999</v>
      </c>
      <c r="K41" s="10"/>
      <c r="L41" s="10"/>
      <c r="M41" s="10"/>
      <c r="N41" s="10"/>
      <c r="O41" s="10"/>
      <c r="P41" s="10">
        <f>E41</f>
        <v>1013.106</v>
      </c>
      <c r="Q41" s="10">
        <v>1046.1600000000001</v>
      </c>
      <c r="R41" s="10">
        <v>1200.3810000000001</v>
      </c>
      <c r="S41" s="142">
        <v>1351.1479999999999</v>
      </c>
      <c r="T41" s="10">
        <f>F41</f>
        <v>1354.4549999999999</v>
      </c>
      <c r="U41" s="15">
        <v>1428.848</v>
      </c>
      <c r="V41" s="10"/>
      <c r="W41" s="10"/>
    </row>
    <row r="42" spans="2:23" x14ac:dyDescent="0.25">
      <c r="B42" t="s">
        <v>60</v>
      </c>
      <c r="C42" s="10"/>
      <c r="D42" s="10">
        <v>367.91699999999997</v>
      </c>
      <c r="E42" s="142">
        <v>282.29300000000001</v>
      </c>
      <c r="F42" s="15">
        <v>401.96800000000002</v>
      </c>
      <c r="K42" s="10"/>
      <c r="L42" s="10"/>
      <c r="M42" s="10"/>
      <c r="N42" s="10"/>
      <c r="O42" s="10"/>
      <c r="P42" s="10">
        <f t="shared" ref="P42:P47" si="90">E42</f>
        <v>282.29300000000001</v>
      </c>
      <c r="Q42" s="10">
        <v>338.46199999999999</v>
      </c>
      <c r="R42" s="10">
        <v>536.77599999999995</v>
      </c>
      <c r="S42" s="142">
        <v>384.81099999999998</v>
      </c>
      <c r="T42" s="10">
        <f t="shared" ref="T42:T47" si="91">F42</f>
        <v>401.96800000000002</v>
      </c>
      <c r="U42" s="15">
        <v>668.76199999999994</v>
      </c>
      <c r="V42" s="10"/>
      <c r="W42" s="10"/>
    </row>
    <row r="43" spans="2:23" x14ac:dyDescent="0.25">
      <c r="B43" t="s">
        <v>168</v>
      </c>
      <c r="C43" s="10"/>
      <c r="D43" s="10">
        <v>1174.653</v>
      </c>
      <c r="E43" s="142">
        <v>1131.6279999999999</v>
      </c>
      <c r="F43" s="15">
        <v>871.42499999999995</v>
      </c>
      <c r="K43" s="10"/>
      <c r="L43" s="10"/>
      <c r="M43" s="10"/>
      <c r="N43" s="10"/>
      <c r="O43" s="10"/>
      <c r="P43" s="10">
        <f t="shared" si="90"/>
        <v>1131.6279999999999</v>
      </c>
      <c r="Q43" s="10">
        <v>1073.6849999999999</v>
      </c>
      <c r="R43" s="10">
        <v>666.68399999999997</v>
      </c>
      <c r="S43" s="142">
        <v>780.17</v>
      </c>
      <c r="T43" s="10">
        <f t="shared" si="91"/>
        <v>871.42499999999995</v>
      </c>
      <c r="U43" s="15">
        <v>812.44200000000001</v>
      </c>
      <c r="V43" s="10"/>
      <c r="W43" s="10"/>
    </row>
    <row r="44" spans="2:23" x14ac:dyDescent="0.25">
      <c r="B44" t="s">
        <v>169</v>
      </c>
      <c r="C44" s="10"/>
      <c r="D44" s="10">
        <v>7.5999999999999998E-2</v>
      </c>
      <c r="E44" s="142">
        <v>3.5999999999999997E-2</v>
      </c>
      <c r="F44" s="15">
        <v>0</v>
      </c>
      <c r="K44" s="10"/>
      <c r="L44" s="10"/>
      <c r="M44" s="10"/>
      <c r="N44" s="10"/>
      <c r="O44" s="10"/>
      <c r="P44" s="10">
        <f t="shared" si="90"/>
        <v>3.5999999999999997E-2</v>
      </c>
      <c r="Q44" s="10">
        <v>0</v>
      </c>
      <c r="R44" s="10">
        <v>0</v>
      </c>
      <c r="S44" s="142">
        <v>1E-3</v>
      </c>
      <c r="T44" s="10">
        <f t="shared" si="91"/>
        <v>0</v>
      </c>
      <c r="U44" s="15">
        <v>1.2E-2</v>
      </c>
      <c r="V44" s="10"/>
      <c r="W44" s="10"/>
    </row>
    <row r="45" spans="2:23" x14ac:dyDescent="0.25">
      <c r="B45" t="s">
        <v>170</v>
      </c>
      <c r="C45" s="10"/>
      <c r="D45" s="10">
        <v>4402.9620000000004</v>
      </c>
      <c r="E45" s="142">
        <v>5670.0559999999996</v>
      </c>
      <c r="F45" s="15">
        <v>7025.5339999999997</v>
      </c>
      <c r="K45" s="10"/>
      <c r="L45" s="10"/>
      <c r="M45" s="10"/>
      <c r="N45" s="10"/>
      <c r="O45" s="10"/>
      <c r="P45" s="10">
        <f t="shared" si="90"/>
        <v>5670.0559999999996</v>
      </c>
      <c r="Q45" s="10">
        <v>6310.8339999999998</v>
      </c>
      <c r="R45" s="10">
        <v>6796.1670000000004</v>
      </c>
      <c r="S45" s="142">
        <v>6630.4459999999999</v>
      </c>
      <c r="T45" s="10">
        <f t="shared" si="91"/>
        <v>7025.5339999999997</v>
      </c>
      <c r="U45" s="15">
        <v>7235.1769999999997</v>
      </c>
      <c r="V45" s="10"/>
      <c r="W45" s="10"/>
    </row>
    <row r="46" spans="2:23" x14ac:dyDescent="0.25">
      <c r="B46" t="s">
        <v>171</v>
      </c>
      <c r="C46" s="10"/>
      <c r="D46" s="10">
        <v>-204.53100000000001</v>
      </c>
      <c r="E46" s="142">
        <v>-309.09699999999998</v>
      </c>
      <c r="F46" s="15">
        <v>-396.92899999999997</v>
      </c>
      <c r="K46" s="10"/>
      <c r="L46" s="10"/>
      <c r="M46" s="10"/>
      <c r="N46" s="10"/>
      <c r="O46" s="10"/>
      <c r="P46" s="10">
        <f t="shared" si="90"/>
        <v>-309.09699999999998</v>
      </c>
      <c r="Q46" s="10">
        <v>-350.60599999999999</v>
      </c>
      <c r="R46" s="10">
        <v>-363.83100000000002</v>
      </c>
      <c r="S46" s="142">
        <v>-374.98700000000002</v>
      </c>
      <c r="T46" s="10">
        <f t="shared" si="91"/>
        <v>-396.92899999999997</v>
      </c>
      <c r="U46" s="15">
        <v>-425.80099999999999</v>
      </c>
      <c r="V46" s="10"/>
      <c r="W46" s="10"/>
    </row>
    <row r="47" spans="2:23" x14ac:dyDescent="0.25">
      <c r="B47" t="s">
        <v>15</v>
      </c>
      <c r="C47" s="10"/>
      <c r="D47" s="10">
        <v>199.08500000000001</v>
      </c>
      <c r="E47" s="142">
        <v>353.02800000000002</v>
      </c>
      <c r="F47" s="15">
        <v>426.17700000000002</v>
      </c>
      <c r="K47" s="10"/>
      <c r="L47" s="10"/>
      <c r="M47" s="10"/>
      <c r="N47" s="10"/>
      <c r="O47" s="10"/>
      <c r="P47" s="10">
        <f t="shared" si="90"/>
        <v>353.02800000000002</v>
      </c>
      <c r="Q47" s="10">
        <v>308.39400000000001</v>
      </c>
      <c r="R47" s="10">
        <v>203.626</v>
      </c>
      <c r="S47" s="142">
        <v>220.279</v>
      </c>
      <c r="T47" s="10">
        <f t="shared" si="91"/>
        <v>426.17700000000002</v>
      </c>
      <c r="U47" s="15">
        <v>283.726</v>
      </c>
      <c r="V47" s="10"/>
      <c r="W47" s="10"/>
    </row>
    <row r="48" spans="2:23" s="1" customFormat="1" x14ac:dyDescent="0.25">
      <c r="B48" s="1" t="s">
        <v>47</v>
      </c>
      <c r="C48" s="11">
        <f>SUM(C41:C47)</f>
        <v>0</v>
      </c>
      <c r="D48" s="11">
        <f>SUM(D41:D47)</f>
        <v>6832.1890000000003</v>
      </c>
      <c r="E48" s="143">
        <f t="shared" ref="E48:G48" si="92">SUM(E41:E47)</f>
        <v>8141.05</v>
      </c>
      <c r="F48" s="14">
        <f t="shared" si="92"/>
        <v>9682.6299999999992</v>
      </c>
      <c r="G48" s="11">
        <f t="shared" si="92"/>
        <v>0</v>
      </c>
      <c r="K48" s="11">
        <f t="shared" ref="K48" si="93">SUM(K41:K47)</f>
        <v>0</v>
      </c>
      <c r="L48" s="11">
        <f t="shared" ref="L48" si="94">SUM(L41:L47)</f>
        <v>0</v>
      </c>
      <c r="M48" s="11">
        <f t="shared" ref="M48" si="95">SUM(M41:M47)</f>
        <v>0</v>
      </c>
      <c r="N48" s="11">
        <f t="shared" ref="N48" si="96">SUM(N41:N47)</f>
        <v>0</v>
      </c>
      <c r="O48" s="11">
        <f t="shared" ref="O48" si="97">SUM(O41:O47)</f>
        <v>0</v>
      </c>
      <c r="P48" s="11">
        <f t="shared" ref="P48" si="98">SUM(P41:P47)</f>
        <v>8141.05</v>
      </c>
      <c r="Q48" s="11">
        <f t="shared" ref="Q48" si="99">SUM(Q41:Q47)</f>
        <v>8726.9290000000001</v>
      </c>
      <c r="R48" s="11">
        <f t="shared" ref="R48" si="100">SUM(R41:R47)</f>
        <v>9039.8030000000017</v>
      </c>
      <c r="S48" s="143">
        <f t="shared" ref="S48" si="101">SUM(S41:S47)</f>
        <v>8991.8680000000022</v>
      </c>
      <c r="T48" s="11">
        <f t="shared" ref="T48" si="102">SUM(T41:T47)</f>
        <v>9682.6299999999992</v>
      </c>
      <c r="U48" s="14">
        <f t="shared" ref="U48" si="103">SUM(U41:U47)</f>
        <v>10003.166000000001</v>
      </c>
      <c r="V48" s="11">
        <f t="shared" ref="V48:W48" si="104">SUM(V41:V47)</f>
        <v>0</v>
      </c>
      <c r="W48" s="11">
        <f t="shared" si="104"/>
        <v>0</v>
      </c>
    </row>
    <row r="49" spans="2:23" x14ac:dyDescent="0.25">
      <c r="B49" t="s">
        <v>61</v>
      </c>
      <c r="C49" s="10"/>
      <c r="D49" s="10">
        <v>290.13499999999999</v>
      </c>
      <c r="E49" s="142">
        <v>427.68599999999998</v>
      </c>
      <c r="F49" s="15">
        <v>572.63699999999994</v>
      </c>
      <c r="G49" s="10"/>
      <c r="K49" s="10"/>
      <c r="L49" s="10"/>
      <c r="M49" s="10"/>
      <c r="N49" s="10"/>
      <c r="O49" s="10"/>
      <c r="P49" s="10">
        <f t="shared" ref="P49:P53" si="105">E49</f>
        <v>427.68599999999998</v>
      </c>
      <c r="Q49" s="10">
        <v>473.01900000000001</v>
      </c>
      <c r="R49" s="10">
        <v>506.334</v>
      </c>
      <c r="S49" s="142">
        <v>543.327</v>
      </c>
      <c r="T49" s="10">
        <f t="shared" ref="T49:T53" si="106">F49</f>
        <v>572.63699999999994</v>
      </c>
      <c r="U49" s="15">
        <v>613.93799999999999</v>
      </c>
      <c r="V49" s="10"/>
      <c r="W49" s="10"/>
    </row>
    <row r="50" spans="2:23" x14ac:dyDescent="0.25">
      <c r="B50" t="s">
        <v>16</v>
      </c>
      <c r="C50" s="10"/>
      <c r="D50" s="10">
        <v>542.57100000000003</v>
      </c>
      <c r="E50" s="142">
        <v>533.43899999999996</v>
      </c>
      <c r="F50" s="15">
        <v>534.15599999999995</v>
      </c>
      <c r="G50" s="10"/>
      <c r="K50" s="10"/>
      <c r="L50" s="10"/>
      <c r="M50" s="10"/>
      <c r="N50" s="10"/>
      <c r="O50" s="10"/>
      <c r="P50" s="10">
        <f t="shared" si="105"/>
        <v>533.43899999999996</v>
      </c>
      <c r="Q50" s="10">
        <v>536.745</v>
      </c>
      <c r="R50" s="10">
        <v>521.69899999999996</v>
      </c>
      <c r="S50" s="142">
        <v>522.346</v>
      </c>
      <c r="T50" s="10">
        <f t="shared" si="106"/>
        <v>534.15599999999995</v>
      </c>
      <c r="U50" s="15">
        <v>529.91</v>
      </c>
      <c r="V50" s="10"/>
      <c r="W50" s="10"/>
    </row>
    <row r="51" spans="2:23" x14ac:dyDescent="0.25">
      <c r="B51" t="s">
        <v>62</v>
      </c>
      <c r="C51" s="10"/>
      <c r="D51" s="10">
        <v>34.433999999999997</v>
      </c>
      <c r="E51" s="142">
        <v>13.502000000000001</v>
      </c>
      <c r="F51" s="15">
        <v>12.935</v>
      </c>
      <c r="G51" s="10"/>
      <c r="K51" s="10"/>
      <c r="L51" s="10"/>
      <c r="M51" s="10"/>
      <c r="N51" s="10"/>
      <c r="O51" s="10"/>
      <c r="P51" s="10">
        <f t="shared" si="105"/>
        <v>13.502000000000001</v>
      </c>
      <c r="Q51" s="10">
        <v>13.459</v>
      </c>
      <c r="R51" s="10">
        <v>12.193</v>
      </c>
      <c r="S51" s="142">
        <v>12.416</v>
      </c>
      <c r="T51" s="10">
        <f t="shared" si="106"/>
        <v>12.935</v>
      </c>
      <c r="U51" s="15">
        <v>12.685</v>
      </c>
      <c r="V51" s="10"/>
      <c r="W51" s="10"/>
    </row>
    <row r="52" spans="2:23" x14ac:dyDescent="0.25">
      <c r="B52" t="s">
        <v>172</v>
      </c>
      <c r="C52" s="10"/>
      <c r="D52" s="10">
        <v>177.672</v>
      </c>
      <c r="E52" s="142">
        <v>104.602</v>
      </c>
      <c r="F52" s="15">
        <v>57.21</v>
      </c>
      <c r="G52" s="10"/>
      <c r="K52" s="10"/>
      <c r="L52" s="10"/>
      <c r="M52" s="10"/>
      <c r="N52" s="10"/>
      <c r="O52" s="10"/>
      <c r="P52" s="10">
        <f t="shared" si="105"/>
        <v>104.602</v>
      </c>
      <c r="Q52" s="10">
        <v>90.346000000000004</v>
      </c>
      <c r="R52" s="10">
        <v>76.090999999999994</v>
      </c>
      <c r="S52" s="142">
        <v>65.177999999999997</v>
      </c>
      <c r="T52" s="10">
        <f t="shared" si="106"/>
        <v>57.21</v>
      </c>
      <c r="U52" s="15">
        <v>49.154000000000003</v>
      </c>
      <c r="V52" s="10"/>
      <c r="W52" s="10"/>
    </row>
    <row r="53" spans="2:23" s="1" customFormat="1" x14ac:dyDescent="0.25">
      <c r="B53" t="s">
        <v>173</v>
      </c>
      <c r="C53" s="10"/>
      <c r="D53" s="10">
        <v>278.61399999999998</v>
      </c>
      <c r="E53" s="142">
        <v>299.33999999999997</v>
      </c>
      <c r="F53" s="15">
        <v>295.36</v>
      </c>
      <c r="G53" s="10"/>
      <c r="K53" s="10"/>
      <c r="L53" s="10"/>
      <c r="M53" s="10"/>
      <c r="N53" s="10"/>
      <c r="O53" s="10"/>
      <c r="P53" s="10">
        <f t="shared" si="105"/>
        <v>299.33999999999997</v>
      </c>
      <c r="Q53" s="10">
        <v>298.661</v>
      </c>
      <c r="R53" s="10">
        <v>324.95699999999999</v>
      </c>
      <c r="S53" s="142">
        <v>301.05200000000002</v>
      </c>
      <c r="T53" s="10">
        <f t="shared" si="106"/>
        <v>295.36</v>
      </c>
      <c r="U53" s="15">
        <v>269.71300000000002</v>
      </c>
      <c r="V53" s="10"/>
      <c r="W53" s="10"/>
    </row>
    <row r="54" spans="2:23" x14ac:dyDescent="0.25">
      <c r="B54" s="1" t="s">
        <v>17</v>
      </c>
      <c r="C54" s="11">
        <f>SUM(C48:C53)</f>
        <v>0</v>
      </c>
      <c r="D54" s="11">
        <f>SUM(D48:D53)</f>
        <v>8155.6149999999998</v>
      </c>
      <c r="E54" s="143">
        <f>SUM(E48:E53)</f>
        <v>9519.6190000000024</v>
      </c>
      <c r="F54" s="14">
        <f>SUM(F48:F53)</f>
        <v>11154.927999999998</v>
      </c>
      <c r="G54" s="11">
        <f>SUM(G48:G53)</f>
        <v>0</v>
      </c>
      <c r="K54" s="11">
        <f t="shared" ref="K54:W54" si="107">SUM(K48:K53)</f>
        <v>0</v>
      </c>
      <c r="L54" s="11">
        <f t="shared" si="107"/>
        <v>0</v>
      </c>
      <c r="M54" s="11">
        <f t="shared" si="107"/>
        <v>0</v>
      </c>
      <c r="N54" s="11">
        <f t="shared" si="107"/>
        <v>0</v>
      </c>
      <c r="O54" s="11">
        <f t="shared" si="107"/>
        <v>0</v>
      </c>
      <c r="P54" s="11">
        <f t="shared" si="107"/>
        <v>9519.6190000000024</v>
      </c>
      <c r="Q54" s="11">
        <f t="shared" si="107"/>
        <v>10139.159000000001</v>
      </c>
      <c r="R54" s="11">
        <f t="shared" si="107"/>
        <v>10481.077000000003</v>
      </c>
      <c r="S54" s="143">
        <f t="shared" si="107"/>
        <v>10436.187</v>
      </c>
      <c r="T54" s="11">
        <f t="shared" si="107"/>
        <v>11154.927999999998</v>
      </c>
      <c r="U54" s="14">
        <f t="shared" si="107"/>
        <v>11478.566000000001</v>
      </c>
      <c r="V54" s="11">
        <f t="shared" si="107"/>
        <v>0</v>
      </c>
      <c r="W54" s="11">
        <f t="shared" si="107"/>
        <v>0</v>
      </c>
    </row>
    <row r="55" spans="2:23" x14ac:dyDescent="0.25">
      <c r="B55" t="s">
        <v>19</v>
      </c>
      <c r="C55" s="10"/>
      <c r="D55" s="10">
        <v>28.602</v>
      </c>
      <c r="E55" s="142">
        <v>41.018999999999998</v>
      </c>
      <c r="F55" s="15">
        <v>82.82</v>
      </c>
      <c r="G55" s="10"/>
      <c r="K55" s="10"/>
      <c r="L55" s="10"/>
      <c r="M55" s="10"/>
      <c r="N55" s="10"/>
      <c r="O55" s="10"/>
      <c r="P55" s="10">
        <f t="shared" ref="P55:P58" si="108">E55</f>
        <v>41.018999999999998</v>
      </c>
      <c r="Q55" s="10">
        <v>57.561</v>
      </c>
      <c r="R55" s="10">
        <v>50.625999999999998</v>
      </c>
      <c r="S55" s="142">
        <v>41.057000000000002</v>
      </c>
      <c r="T55" s="10">
        <f t="shared" ref="T55:T58" si="109">F55</f>
        <v>82.82</v>
      </c>
      <c r="U55" s="15">
        <v>58.018999999999998</v>
      </c>
      <c r="V55" s="10"/>
      <c r="W55" s="10"/>
    </row>
    <row r="56" spans="2:23" x14ac:dyDescent="0.25">
      <c r="B56" t="s">
        <v>174</v>
      </c>
      <c r="C56" s="10"/>
      <c r="D56" s="10">
        <v>53.851999999999997</v>
      </c>
      <c r="E56" s="142">
        <v>159.643</v>
      </c>
      <c r="F56" s="15">
        <v>211.7</v>
      </c>
      <c r="G56" s="10"/>
      <c r="K56" s="10"/>
      <c r="L56" s="10"/>
      <c r="M56" s="10"/>
      <c r="N56" s="10"/>
      <c r="O56" s="10"/>
      <c r="P56" s="10">
        <f t="shared" si="108"/>
        <v>159.643</v>
      </c>
      <c r="Q56" s="10">
        <v>152.035</v>
      </c>
      <c r="R56" s="10">
        <v>157.245</v>
      </c>
      <c r="S56" s="142">
        <v>176.99600000000001</v>
      </c>
      <c r="T56" s="10">
        <f t="shared" si="109"/>
        <v>211.7</v>
      </c>
      <c r="U56" s="15">
        <v>193.79</v>
      </c>
      <c r="V56" s="10"/>
      <c r="W56" s="10"/>
    </row>
    <row r="57" spans="2:23" x14ac:dyDescent="0.25">
      <c r="B57" t="s">
        <v>175</v>
      </c>
      <c r="C57" s="10"/>
      <c r="D57" s="10">
        <v>13.497999999999999</v>
      </c>
      <c r="E57" s="142">
        <v>24.327000000000002</v>
      </c>
      <c r="F57" s="15">
        <v>24.465</v>
      </c>
      <c r="G57" s="10"/>
      <c r="K57" s="10"/>
      <c r="L57" s="10"/>
      <c r="M57" s="10"/>
      <c r="N57" s="10"/>
      <c r="O57" s="10"/>
      <c r="P57" s="10">
        <f t="shared" si="108"/>
        <v>24.327000000000002</v>
      </c>
      <c r="Q57" s="10">
        <v>24.484000000000002</v>
      </c>
      <c r="R57" s="10">
        <v>25.356999999999999</v>
      </c>
      <c r="S57" s="142">
        <v>23.943999999999999</v>
      </c>
      <c r="T57" s="10">
        <f t="shared" si="109"/>
        <v>24.465</v>
      </c>
      <c r="U57" s="15">
        <v>25.649000000000001</v>
      </c>
      <c r="V57" s="10"/>
      <c r="W57" s="10"/>
    </row>
    <row r="58" spans="2:23" x14ac:dyDescent="0.25">
      <c r="B58" t="s">
        <v>176</v>
      </c>
      <c r="C58" s="10"/>
      <c r="D58" s="10">
        <v>180.88300000000001</v>
      </c>
      <c r="E58" s="142">
        <v>147.429</v>
      </c>
      <c r="F58" s="15">
        <v>157.27199999999999</v>
      </c>
      <c r="G58" s="10"/>
      <c r="K58" s="10"/>
      <c r="L58" s="10"/>
      <c r="M58" s="10"/>
      <c r="N58" s="10"/>
      <c r="O58" s="10"/>
      <c r="P58" s="10">
        <f t="shared" si="108"/>
        <v>147.429</v>
      </c>
      <c r="Q58" s="10">
        <v>137.464</v>
      </c>
      <c r="R58" s="10">
        <v>155.56800000000001</v>
      </c>
      <c r="S58" s="142">
        <v>173.62899999999999</v>
      </c>
      <c r="T58" s="10">
        <f t="shared" si="109"/>
        <v>157.27199999999999</v>
      </c>
      <c r="U58" s="15">
        <v>165.83</v>
      </c>
      <c r="V58" s="10"/>
      <c r="W58" s="10"/>
    </row>
    <row r="59" spans="2:23" s="1" customFormat="1" x14ac:dyDescent="0.25">
      <c r="B59" s="1" t="s">
        <v>48</v>
      </c>
      <c r="C59" s="11">
        <f>SUM(C55:C58)</f>
        <v>0</v>
      </c>
      <c r="D59" s="11">
        <f>SUM(D55:D58)</f>
        <v>276.83500000000004</v>
      </c>
      <c r="E59" s="143">
        <f>SUM(E55:E58)</f>
        <v>372.41800000000001</v>
      </c>
      <c r="F59" s="14">
        <f>SUM(F55:F58)</f>
        <v>476.25699999999995</v>
      </c>
      <c r="G59" s="11">
        <f>SUM(G55:G58)</f>
        <v>0</v>
      </c>
      <c r="K59" s="11">
        <f t="shared" ref="K59:W59" si="110">SUM(K55:K58)</f>
        <v>0</v>
      </c>
      <c r="L59" s="11">
        <f t="shared" si="110"/>
        <v>0</v>
      </c>
      <c r="M59" s="11">
        <f t="shared" si="110"/>
        <v>0</v>
      </c>
      <c r="N59" s="11">
        <f t="shared" si="110"/>
        <v>0</v>
      </c>
      <c r="O59" s="11">
        <f t="shared" si="110"/>
        <v>0</v>
      </c>
      <c r="P59" s="11">
        <f t="shared" si="110"/>
        <v>372.41800000000001</v>
      </c>
      <c r="Q59" s="11">
        <f t="shared" si="110"/>
        <v>371.54399999999998</v>
      </c>
      <c r="R59" s="11">
        <f t="shared" si="110"/>
        <v>388.79600000000005</v>
      </c>
      <c r="S59" s="143">
        <f t="shared" si="110"/>
        <v>415.62599999999998</v>
      </c>
      <c r="T59" s="11">
        <f t="shared" si="110"/>
        <v>476.25699999999995</v>
      </c>
      <c r="U59" s="14">
        <f t="shared" si="110"/>
        <v>443.28800000000001</v>
      </c>
      <c r="V59" s="11">
        <f t="shared" si="110"/>
        <v>0</v>
      </c>
      <c r="W59" s="11">
        <f t="shared" si="110"/>
        <v>0</v>
      </c>
    </row>
    <row r="60" spans="2:23" s="1" customFormat="1" x14ac:dyDescent="0.25">
      <c r="B60" t="s">
        <v>177</v>
      </c>
      <c r="C60" s="137"/>
      <c r="D60" s="137">
        <v>1414.2080000000001</v>
      </c>
      <c r="E60" s="148">
        <v>1341.43</v>
      </c>
      <c r="F60" s="138">
        <v>1153</v>
      </c>
      <c r="G60" s="137"/>
      <c r="K60" s="137"/>
      <c r="L60" s="137"/>
      <c r="M60" s="137"/>
      <c r="N60" s="137"/>
      <c r="O60" s="137"/>
      <c r="P60" s="10">
        <f t="shared" ref="P60:P61" si="111">E60</f>
        <v>1341.43</v>
      </c>
      <c r="Q60" s="137">
        <v>1202.519</v>
      </c>
      <c r="R60" s="137">
        <v>1151.048</v>
      </c>
      <c r="S60" s="148">
        <v>1152.019</v>
      </c>
      <c r="T60" s="10">
        <f t="shared" ref="T60:T62" si="112">F60</f>
        <v>1153</v>
      </c>
      <c r="U60" s="138">
        <v>1127.6679999999999</v>
      </c>
      <c r="V60" s="137"/>
      <c r="W60" s="137"/>
    </row>
    <row r="61" spans="2:23" s="1" customFormat="1" x14ac:dyDescent="0.25">
      <c r="B61" t="s">
        <v>178</v>
      </c>
      <c r="C61" s="137"/>
      <c r="D61" s="137">
        <v>2165.5770000000002</v>
      </c>
      <c r="E61" s="148">
        <v>3236.873</v>
      </c>
      <c r="F61" s="138">
        <v>4833.8549999999996</v>
      </c>
      <c r="G61" s="137"/>
      <c r="K61" s="137"/>
      <c r="L61" s="137"/>
      <c r="M61" s="137"/>
      <c r="N61" s="137"/>
      <c r="O61" s="137"/>
      <c r="P61" s="10">
        <f t="shared" si="111"/>
        <v>3236.873</v>
      </c>
      <c r="Q61" s="137">
        <v>3985.4839999999999</v>
      </c>
      <c r="R61" s="137">
        <v>3988.8870000000002</v>
      </c>
      <c r="S61" s="148">
        <v>4084.9340000000002</v>
      </c>
      <c r="T61" s="10">
        <f t="shared" si="112"/>
        <v>4833.8549999999996</v>
      </c>
      <c r="U61" s="138">
        <v>4830.8190000000004</v>
      </c>
      <c r="V61" s="137"/>
      <c r="W61" s="137"/>
    </row>
    <row r="62" spans="2:23" s="1" customFormat="1" x14ac:dyDescent="0.25">
      <c r="B62" t="s">
        <v>179</v>
      </c>
      <c r="C62" s="137"/>
      <c r="D62" s="137">
        <v>1764.8119999999999</v>
      </c>
      <c r="E62" s="148">
        <v>1836.9090000000001</v>
      </c>
      <c r="F62" s="138">
        <v>1622.808</v>
      </c>
      <c r="G62" s="137"/>
      <c r="K62" s="137"/>
      <c r="L62" s="137"/>
      <c r="M62" s="137"/>
      <c r="N62" s="137"/>
      <c r="O62" s="137"/>
      <c r="P62" s="10">
        <f>E62</f>
        <v>1836.9090000000001</v>
      </c>
      <c r="Q62" s="137">
        <v>1744.04</v>
      </c>
      <c r="R62" s="137">
        <v>2166.806</v>
      </c>
      <c r="S62" s="148">
        <v>1908.693</v>
      </c>
      <c r="T62" s="10">
        <f t="shared" si="112"/>
        <v>1622.808</v>
      </c>
      <c r="U62" s="138">
        <v>1777.9059999999999</v>
      </c>
      <c r="V62" s="137"/>
      <c r="W62" s="137"/>
    </row>
    <row r="63" spans="2:23" x14ac:dyDescent="0.25">
      <c r="B63" s="1" t="s">
        <v>18</v>
      </c>
      <c r="C63" s="11">
        <f>SUM(C59:C62)</f>
        <v>0</v>
      </c>
      <c r="D63" s="11">
        <f>SUM(D59:D62)</f>
        <v>5621.4320000000007</v>
      </c>
      <c r="E63" s="143">
        <f t="shared" ref="E63:G63" si="113">SUM(E59:E62)</f>
        <v>6787.6299999999992</v>
      </c>
      <c r="F63" s="14">
        <f t="shared" si="113"/>
        <v>8085.9199999999992</v>
      </c>
      <c r="G63" s="11">
        <f t="shared" si="113"/>
        <v>0</v>
      </c>
      <c r="K63" s="11">
        <f t="shared" ref="K63" si="114">SUM(K59:K62)</f>
        <v>0</v>
      </c>
      <c r="L63" s="11">
        <f t="shared" ref="L63" si="115">SUM(L59:L62)</f>
        <v>0</v>
      </c>
      <c r="M63" s="11">
        <f t="shared" ref="M63" si="116">SUM(M59:M62)</f>
        <v>0</v>
      </c>
      <c r="N63" s="11">
        <f t="shared" ref="N63" si="117">SUM(N59:N62)</f>
        <v>0</v>
      </c>
      <c r="O63" s="11">
        <f t="shared" ref="O63" si="118">SUM(O59:O62)</f>
        <v>0</v>
      </c>
      <c r="P63" s="11">
        <f t="shared" ref="P63" si="119">SUM(P59:P62)</f>
        <v>6787.6299999999992</v>
      </c>
      <c r="Q63" s="11">
        <f t="shared" ref="Q63" si="120">SUM(Q59:Q62)</f>
        <v>7303.5870000000004</v>
      </c>
      <c r="R63" s="11">
        <f t="shared" ref="R63" si="121">SUM(R59:R62)</f>
        <v>7695.5370000000003</v>
      </c>
      <c r="S63" s="143">
        <f t="shared" ref="S63" si="122">SUM(S59:S62)</f>
        <v>7561.2719999999999</v>
      </c>
      <c r="T63" s="11">
        <f t="shared" ref="T63" si="123">SUM(T59:T62)</f>
        <v>8085.9199999999992</v>
      </c>
      <c r="U63" s="14">
        <f t="shared" ref="U63" si="124">SUM(U59:U62)</f>
        <v>8179.6810000000005</v>
      </c>
      <c r="V63" s="11">
        <f t="shared" ref="V63:W63" si="125">SUM(V59:V62)</f>
        <v>0</v>
      </c>
      <c r="W63" s="11">
        <f t="shared" si="125"/>
        <v>0</v>
      </c>
    </row>
    <row r="64" spans="2:23" x14ac:dyDescent="0.25">
      <c r="B64" t="s">
        <v>63</v>
      </c>
      <c r="C64" s="10">
        <f>C54-C63</f>
        <v>0</v>
      </c>
      <c r="D64" s="10">
        <f>D54-D63</f>
        <v>2534.1829999999991</v>
      </c>
      <c r="E64" s="142">
        <f>E54-E63</f>
        <v>2731.9890000000032</v>
      </c>
      <c r="F64" s="15">
        <f>F54-F63</f>
        <v>3069.0079999999989</v>
      </c>
      <c r="G64" s="10">
        <f>G54-G63</f>
        <v>0</v>
      </c>
      <c r="K64" s="10">
        <f t="shared" ref="K64:W64" si="126">K54-K63</f>
        <v>0</v>
      </c>
      <c r="L64" s="10">
        <f t="shared" si="126"/>
        <v>0</v>
      </c>
      <c r="M64" s="10">
        <f t="shared" si="126"/>
        <v>0</v>
      </c>
      <c r="N64" s="10">
        <f t="shared" si="126"/>
        <v>0</v>
      </c>
      <c r="O64" s="10">
        <f t="shared" si="126"/>
        <v>0</v>
      </c>
      <c r="P64" s="10">
        <f t="shared" si="126"/>
        <v>2731.9890000000032</v>
      </c>
      <c r="Q64" s="10">
        <f t="shared" si="126"/>
        <v>2835.572000000001</v>
      </c>
      <c r="R64" s="10">
        <f t="shared" si="126"/>
        <v>2785.5400000000027</v>
      </c>
      <c r="S64" s="142">
        <f t="shared" si="126"/>
        <v>2874.915</v>
      </c>
      <c r="T64" s="10">
        <f t="shared" si="126"/>
        <v>3069.0079999999989</v>
      </c>
      <c r="U64" s="15">
        <f t="shared" si="126"/>
        <v>3298.8850000000002</v>
      </c>
      <c r="V64" s="10">
        <f t="shared" si="126"/>
        <v>0</v>
      </c>
      <c r="W64" s="10">
        <f t="shared" si="126"/>
        <v>0</v>
      </c>
    </row>
    <row r="66" spans="2:21" s="1" customFormat="1" x14ac:dyDescent="0.25">
      <c r="B66" s="1" t="s">
        <v>64</v>
      </c>
      <c r="C66" s="44"/>
      <c r="D66" s="116"/>
      <c r="E66" s="149"/>
      <c r="F66" s="16"/>
      <c r="S66" s="149"/>
      <c r="U66" s="16"/>
    </row>
    <row r="84" spans="5:21" s="9" customFormat="1" x14ac:dyDescent="0.25">
      <c r="E84" s="150"/>
      <c r="F84" s="41"/>
      <c r="S84" s="150"/>
      <c r="U84" s="41"/>
    </row>
    <row r="85" spans="5:21" s="1" customFormat="1" x14ac:dyDescent="0.25">
      <c r="E85" s="149"/>
      <c r="F85" s="16"/>
      <c r="S85" s="149"/>
      <c r="U85" s="16"/>
    </row>
  </sheetData>
  <phoneticPr fontId="3" type="noConversion"/>
  <conditionalFormatting sqref="Q31:U31">
    <cfRule type="colorScale" priority="1">
      <colorScale>
        <cfvo type="min"/>
        <cfvo type="percentile" val="50"/>
        <cfvo type="max"/>
        <color rgb="FFF8696B"/>
        <color rgb="FFFFEB84"/>
        <color rgb="FF63BE7B"/>
      </colorScale>
    </cfRule>
  </conditionalFormatting>
  <hyperlinks>
    <hyperlink ref="A1" location="Main!A1" display="Main" xr:uid="{A5C06EBA-D952-421E-93A2-3BF49E6344BF}"/>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W10"/>
  <sheetViews>
    <sheetView workbookViewId="0">
      <selection activeCell="G32" sqref="G32"/>
    </sheetView>
  </sheetViews>
  <sheetFormatPr defaultRowHeight="15" x14ac:dyDescent="0.25"/>
  <cols>
    <col min="1" max="1" width="14.85546875" customWidth="1"/>
  </cols>
  <sheetData>
    <row r="1" spans="1:23" x14ac:dyDescent="0.25">
      <c r="B1" s="114">
        <v>45413</v>
      </c>
      <c r="C1" s="114">
        <v>45444</v>
      </c>
      <c r="D1" s="114">
        <v>45474</v>
      </c>
      <c r="E1" s="114">
        <v>45505</v>
      </c>
      <c r="F1" s="114">
        <v>45536</v>
      </c>
      <c r="G1" s="114">
        <v>45566</v>
      </c>
      <c r="H1" s="114">
        <v>45597</v>
      </c>
      <c r="I1" s="114">
        <v>45627</v>
      </c>
      <c r="J1" s="114">
        <v>45658</v>
      </c>
      <c r="K1" s="114">
        <v>45689</v>
      </c>
      <c r="L1" s="114">
        <v>45717</v>
      </c>
      <c r="M1" s="114">
        <v>45748</v>
      </c>
      <c r="N1" s="114">
        <v>45778</v>
      </c>
      <c r="O1" s="114">
        <v>45809</v>
      </c>
      <c r="P1" s="114">
        <v>45839</v>
      </c>
      <c r="Q1" s="114">
        <v>45870</v>
      </c>
      <c r="R1" s="114">
        <v>45901</v>
      </c>
      <c r="S1" s="114">
        <v>45931</v>
      </c>
      <c r="T1" s="114">
        <v>45962</v>
      </c>
      <c r="U1" s="114">
        <v>45992</v>
      </c>
      <c r="V1" s="114">
        <v>46023</v>
      </c>
      <c r="W1" s="160">
        <v>46054</v>
      </c>
    </row>
    <row r="2" spans="1:23" x14ac:dyDescent="0.25">
      <c r="A2" t="s">
        <v>125</v>
      </c>
      <c r="B2">
        <v>6</v>
      </c>
      <c r="C2">
        <v>6</v>
      </c>
      <c r="D2">
        <v>5</v>
      </c>
      <c r="E2">
        <v>6</v>
      </c>
      <c r="F2">
        <v>5</v>
      </c>
      <c r="G2">
        <v>5</v>
      </c>
      <c r="H2">
        <v>2</v>
      </c>
      <c r="I2">
        <v>1</v>
      </c>
      <c r="J2">
        <v>1</v>
      </c>
      <c r="K2">
        <v>1</v>
      </c>
    </row>
    <row r="3" spans="1:23" x14ac:dyDescent="0.25">
      <c r="A3" t="s">
        <v>126</v>
      </c>
      <c r="B3">
        <v>9</v>
      </c>
      <c r="C3">
        <v>8</v>
      </c>
      <c r="D3">
        <v>9</v>
      </c>
      <c r="E3">
        <v>9</v>
      </c>
      <c r="F3">
        <v>9</v>
      </c>
      <c r="G3">
        <v>9</v>
      </c>
      <c r="H3">
        <v>9</v>
      </c>
      <c r="I3">
        <v>7</v>
      </c>
      <c r="J3">
        <v>6</v>
      </c>
      <c r="K3">
        <v>8</v>
      </c>
      <c r="L3">
        <v>9</v>
      </c>
      <c r="M3">
        <v>8</v>
      </c>
      <c r="N3">
        <v>8</v>
      </c>
      <c r="O3">
        <v>7</v>
      </c>
      <c r="P3">
        <v>8</v>
      </c>
      <c r="Q3">
        <v>10</v>
      </c>
      <c r="R3">
        <v>11</v>
      </c>
      <c r="S3">
        <v>12</v>
      </c>
      <c r="T3">
        <v>10</v>
      </c>
      <c r="U3">
        <v>11</v>
      </c>
    </row>
    <row r="4" spans="1:23" x14ac:dyDescent="0.25">
      <c r="A4" t="s">
        <v>127</v>
      </c>
      <c r="B4">
        <v>3</v>
      </c>
      <c r="C4">
        <v>4</v>
      </c>
      <c r="D4">
        <v>5</v>
      </c>
      <c r="E4">
        <v>5</v>
      </c>
      <c r="F4">
        <v>6</v>
      </c>
      <c r="G4">
        <v>7</v>
      </c>
      <c r="H4">
        <v>9</v>
      </c>
      <c r="I4">
        <v>9</v>
      </c>
      <c r="J4">
        <v>10</v>
      </c>
      <c r="K4">
        <v>10</v>
      </c>
      <c r="L4">
        <v>10</v>
      </c>
      <c r="M4">
        <v>12</v>
      </c>
      <c r="N4">
        <v>14</v>
      </c>
      <c r="O4">
        <v>15</v>
      </c>
      <c r="P4">
        <v>17</v>
      </c>
      <c r="Q4">
        <v>18</v>
      </c>
      <c r="R4">
        <v>18</v>
      </c>
      <c r="S4">
        <v>18</v>
      </c>
      <c r="T4">
        <v>18</v>
      </c>
      <c r="U4">
        <v>18</v>
      </c>
    </row>
    <row r="5" spans="1:23" x14ac:dyDescent="0.25">
      <c r="A5" t="s">
        <v>128</v>
      </c>
      <c r="J5">
        <v>1</v>
      </c>
      <c r="K5">
        <v>1</v>
      </c>
      <c r="L5">
        <v>1</v>
      </c>
      <c r="M5">
        <v>1</v>
      </c>
      <c r="N5">
        <v>1</v>
      </c>
      <c r="O5">
        <v>1</v>
      </c>
      <c r="P5">
        <v>1</v>
      </c>
      <c r="Q5">
        <v>1</v>
      </c>
      <c r="R5">
        <v>1</v>
      </c>
      <c r="S5">
        <v>1</v>
      </c>
      <c r="T5">
        <v>3</v>
      </c>
      <c r="U5">
        <v>3</v>
      </c>
    </row>
    <row r="8" spans="1:23" x14ac:dyDescent="0.25">
      <c r="A8" s="1" t="s">
        <v>129</v>
      </c>
    </row>
    <row r="9" spans="1:23" x14ac:dyDescent="0.25">
      <c r="A9" t="s">
        <v>201</v>
      </c>
      <c r="B9">
        <v>32.65</v>
      </c>
      <c r="C9">
        <v>30.97</v>
      </c>
      <c r="D9">
        <v>32.659999999999997</v>
      </c>
      <c r="E9">
        <v>32.85</v>
      </c>
      <c r="F9">
        <v>37.24</v>
      </c>
      <c r="G9">
        <v>43.1</v>
      </c>
      <c r="H9">
        <v>46.38</v>
      </c>
      <c r="I9">
        <v>67.849999999999994</v>
      </c>
      <c r="J9">
        <v>62.39</v>
      </c>
      <c r="K9">
        <v>64.790000000000006</v>
      </c>
      <c r="L9">
        <v>70.239999999999995</v>
      </c>
      <c r="M9">
        <v>43.85</v>
      </c>
      <c r="N9">
        <v>48.67</v>
      </c>
      <c r="O9">
        <v>65.05</v>
      </c>
      <c r="P9">
        <v>65.95</v>
      </c>
      <c r="Q9">
        <v>70.86</v>
      </c>
      <c r="R9">
        <v>82.97</v>
      </c>
      <c r="S9">
        <v>78.709999999999994</v>
      </c>
      <c r="T9">
        <v>72.59</v>
      </c>
      <c r="U9">
        <v>67.77</v>
      </c>
    </row>
    <row r="10" spans="1:23" x14ac:dyDescent="0.25">
      <c r="A10" t="s">
        <v>202</v>
      </c>
      <c r="B10">
        <v>27.86</v>
      </c>
      <c r="C10">
        <v>27.53</v>
      </c>
      <c r="D10">
        <v>30.1</v>
      </c>
      <c r="E10">
        <v>27.15</v>
      </c>
      <c r="F10">
        <v>34.32</v>
      </c>
      <c r="G10">
        <v>35.53</v>
      </c>
      <c r="H10">
        <v>43.08</v>
      </c>
      <c r="I10">
        <v>52.53</v>
      </c>
      <c r="J10">
        <v>60.94</v>
      </c>
      <c r="K10">
        <v>62.88</v>
      </c>
      <c r="L10">
        <v>62.41</v>
      </c>
      <c r="M10">
        <v>69.760000000000005</v>
      </c>
      <c r="N10">
        <v>66.739999999999995</v>
      </c>
      <c r="O10">
        <v>54.49</v>
      </c>
      <c r="P10">
        <v>65.67</v>
      </c>
      <c r="Q10">
        <v>68.09</v>
      </c>
      <c r="R10">
        <v>77.349999999999994</v>
      </c>
      <c r="S10">
        <v>82.97</v>
      </c>
      <c r="T10">
        <v>87.35</v>
      </c>
      <c r="U10">
        <v>86.57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34" workbookViewId="0">
      <selection activeCell="X58" sqref="X58"/>
    </sheetView>
  </sheetViews>
  <sheetFormatPr defaultRowHeight="15" x14ac:dyDescent="0.25"/>
  <sheetData>
    <row r="1" spans="1:1" x14ac:dyDescent="0.25">
      <c r="A1" s="8" t="s">
        <v>24</v>
      </c>
    </row>
  </sheetData>
  <hyperlinks>
    <hyperlink ref="A1" location="Main!A1" display="Main" xr:uid="{58C3B527-2D5B-414E-8D16-78915C434B11}"/>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tabSelected="1" workbookViewId="0">
      <selection activeCell="D18" sqref="D18"/>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S9" sqref="S9"/>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24</v>
      </c>
      <c r="B1" t="s">
        <v>37</v>
      </c>
      <c r="C1" s="17" t="s">
        <v>38</v>
      </c>
    </row>
    <row r="2" spans="1:13" x14ac:dyDescent="0.25">
      <c r="B2" s="12"/>
      <c r="C2" s="18"/>
      <c r="E2" t="s">
        <v>37</v>
      </c>
      <c r="F2" t="s">
        <v>39</v>
      </c>
      <c r="M2" t="s">
        <v>40</v>
      </c>
    </row>
    <row r="3" spans="1:13" x14ac:dyDescent="0.25">
      <c r="B3" s="12"/>
      <c r="C3" s="18"/>
      <c r="E3" s="12">
        <v>45328</v>
      </c>
      <c r="F3" t="s">
        <v>42</v>
      </c>
      <c r="M3" s="12"/>
    </row>
    <row r="4" spans="1:13" x14ac:dyDescent="0.25">
      <c r="B4" s="12"/>
      <c r="C4" s="18"/>
      <c r="E4" s="12">
        <v>45302</v>
      </c>
      <c r="F4" t="s">
        <v>42</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68"/>
  <sheetViews>
    <sheetView workbookViewId="0">
      <selection activeCell="E60" sqref="E60"/>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24</v>
      </c>
      <c r="B1" s="1" t="s">
        <v>37</v>
      </c>
      <c r="C1" s="1" t="s">
        <v>0</v>
      </c>
      <c r="D1" s="1" t="s">
        <v>77</v>
      </c>
      <c r="H1" s="126" t="s">
        <v>78</v>
      </c>
      <c r="I1" s="127"/>
      <c r="J1" s="127"/>
      <c r="K1" s="127"/>
      <c r="L1" s="127"/>
      <c r="M1" s="128"/>
    </row>
    <row r="2" spans="1:13" ht="15.75" thickBot="1" x14ac:dyDescent="0.3">
      <c r="D2" t="e">
        <f>C2/C3-1</f>
        <v>#DIV/0!</v>
      </c>
      <c r="H2" s="50"/>
      <c r="I2" s="51"/>
      <c r="J2" s="51"/>
      <c r="K2" s="51"/>
      <c r="L2" s="51"/>
      <c r="M2" s="52"/>
    </row>
    <row r="3" spans="1:13" ht="15.75" thickBot="1" x14ac:dyDescent="0.3">
      <c r="D3" t="e">
        <f t="shared" ref="D3:D66" si="0">C3/C4-1</f>
        <v>#DIV/0!</v>
      </c>
      <c r="H3" s="53" t="s">
        <v>79</v>
      </c>
      <c r="I3" s="54" t="s">
        <v>80</v>
      </c>
      <c r="J3" s="55" t="s">
        <v>81</v>
      </c>
      <c r="K3" s="56" t="s">
        <v>82</v>
      </c>
      <c r="L3" s="56" t="s">
        <v>83</v>
      </c>
      <c r="M3" s="57" t="s">
        <v>84</v>
      </c>
    </row>
    <row r="4" spans="1:13" x14ac:dyDescent="0.25">
      <c r="D4" t="e">
        <f t="shared" si="0"/>
        <v>#DIV/0!</v>
      </c>
      <c r="H4" s="58" t="e">
        <f>$I$19-3*$I$23</f>
        <v>#DIV/0!</v>
      </c>
      <c r="I4" s="59" t="e">
        <f>H4</f>
        <v>#DIV/0!</v>
      </c>
      <c r="J4" s="60">
        <f>COUNTIF(D:D,"&lt;="&amp;H4)</f>
        <v>67</v>
      </c>
      <c r="K4" s="60" t="e">
        <f>"Less than "&amp;TEXT(H4,"0,00%")</f>
        <v>#DIV/0!</v>
      </c>
      <c r="L4" s="61" t="e">
        <f>J4/$I$31</f>
        <v>#DIV/0!</v>
      </c>
      <c r="M4" s="62" t="e">
        <f>L4</f>
        <v>#DIV/0!</v>
      </c>
    </row>
    <row r="5" spans="1:13" x14ac:dyDescent="0.25">
      <c r="D5" t="e">
        <f t="shared" si="0"/>
        <v>#DIV/0!</v>
      </c>
      <c r="H5" s="63" t="e">
        <f>$I$19-2.4*$I$23</f>
        <v>#DIV/0!</v>
      </c>
      <c r="I5" s="64" t="e">
        <f>H5</f>
        <v>#DIV/0!</v>
      </c>
      <c r="J5" s="65">
        <f>COUNTIFS(D:D,"&lt;="&amp;H5,D:D,"&gt;"&amp;H4)</f>
        <v>67</v>
      </c>
      <c r="K5" s="66" t="e">
        <f t="shared" ref="K5:K14" si="1">TEXT(H4,"0,00%")&amp;" to "&amp;TEXT(H5,"0,00%")</f>
        <v>#DIV/0!</v>
      </c>
      <c r="L5" s="67" t="e">
        <f>J5/$I$31</f>
        <v>#DIV/0!</v>
      </c>
      <c r="M5" s="68" t="e">
        <f>M4+L5</f>
        <v>#DIV/0!</v>
      </c>
    </row>
    <row r="6" spans="1:13" x14ac:dyDescent="0.25">
      <c r="D6" t="e">
        <f t="shared" si="0"/>
        <v>#DIV/0!</v>
      </c>
      <c r="H6" s="63" t="e">
        <f>$I$19-1.8*$I$23</f>
        <v>#DIV/0!</v>
      </c>
      <c r="I6" s="64" t="e">
        <f t="shared" ref="I6:I14" si="2">H6</f>
        <v>#DIV/0!</v>
      </c>
      <c r="J6" s="65">
        <f t="shared" ref="J6:J14" si="3">COUNTIFS(D:D,"&lt;="&amp;H6,D:D,"&gt;"&amp;H5)</f>
        <v>67</v>
      </c>
      <c r="K6" s="66" t="e">
        <f t="shared" si="1"/>
        <v>#DIV/0!</v>
      </c>
      <c r="L6" s="67" t="e">
        <f t="shared" ref="L6:L15" si="4">J6/$I$31</f>
        <v>#DIV/0!</v>
      </c>
      <c r="M6" s="68" t="e">
        <f t="shared" ref="M6:M15" si="5">M5+L6</f>
        <v>#DIV/0!</v>
      </c>
    </row>
    <row r="7" spans="1:13" x14ac:dyDescent="0.25">
      <c r="D7" t="e">
        <f t="shared" si="0"/>
        <v>#DIV/0!</v>
      </c>
      <c r="H7" s="63" t="e">
        <f>$I$19-1.2*$I$23</f>
        <v>#DIV/0!</v>
      </c>
      <c r="I7" s="64" t="e">
        <f t="shared" si="2"/>
        <v>#DIV/0!</v>
      </c>
      <c r="J7" s="65">
        <f t="shared" si="3"/>
        <v>67</v>
      </c>
      <c r="K7" s="66" t="e">
        <f t="shared" si="1"/>
        <v>#DIV/0!</v>
      </c>
      <c r="L7" s="67" t="e">
        <f t="shared" si="4"/>
        <v>#DIV/0!</v>
      </c>
      <c r="M7" s="68" t="e">
        <f t="shared" si="5"/>
        <v>#DIV/0!</v>
      </c>
    </row>
    <row r="8" spans="1:13" x14ac:dyDescent="0.25">
      <c r="D8" t="e">
        <f t="shared" si="0"/>
        <v>#DIV/0!</v>
      </c>
      <c r="H8" s="63" t="e">
        <f>$I$19-0.6*$I$23</f>
        <v>#DIV/0!</v>
      </c>
      <c r="I8" s="64" t="e">
        <f t="shared" si="2"/>
        <v>#DIV/0!</v>
      </c>
      <c r="J8" s="65">
        <f t="shared" si="3"/>
        <v>67</v>
      </c>
      <c r="K8" s="66" t="e">
        <f t="shared" si="1"/>
        <v>#DIV/0!</v>
      </c>
      <c r="L8" s="67" t="e">
        <f t="shared" si="4"/>
        <v>#DIV/0!</v>
      </c>
      <c r="M8" s="68" t="e">
        <f t="shared" si="5"/>
        <v>#DIV/0!</v>
      </c>
    </row>
    <row r="9" spans="1:13" x14ac:dyDescent="0.25">
      <c r="D9" t="e">
        <f t="shared" si="0"/>
        <v>#DIV/0!</v>
      </c>
      <c r="H9" s="63" t="e">
        <f>$I$19</f>
        <v>#DIV/0!</v>
      </c>
      <c r="I9" s="64" t="e">
        <f t="shared" si="2"/>
        <v>#DIV/0!</v>
      </c>
      <c r="J9" s="65">
        <f t="shared" si="3"/>
        <v>67</v>
      </c>
      <c r="K9" s="66" t="e">
        <f t="shared" si="1"/>
        <v>#DIV/0!</v>
      </c>
      <c r="L9" s="67" t="e">
        <f t="shared" si="4"/>
        <v>#DIV/0!</v>
      </c>
      <c r="M9" s="68" t="e">
        <f t="shared" si="5"/>
        <v>#DIV/0!</v>
      </c>
    </row>
    <row r="10" spans="1:13" x14ac:dyDescent="0.25">
      <c r="D10" t="e">
        <f t="shared" si="0"/>
        <v>#DIV/0!</v>
      </c>
      <c r="H10" s="63" t="e">
        <f>$I$19+0.6*$I$23</f>
        <v>#DIV/0!</v>
      </c>
      <c r="I10" s="64" t="e">
        <f t="shared" si="2"/>
        <v>#DIV/0!</v>
      </c>
      <c r="J10" s="65">
        <f t="shared" si="3"/>
        <v>67</v>
      </c>
      <c r="K10" s="66" t="e">
        <f t="shared" si="1"/>
        <v>#DIV/0!</v>
      </c>
      <c r="L10" s="67" t="e">
        <f t="shared" si="4"/>
        <v>#DIV/0!</v>
      </c>
      <c r="M10" s="68" t="e">
        <f t="shared" si="5"/>
        <v>#DIV/0!</v>
      </c>
    </row>
    <row r="11" spans="1:13" x14ac:dyDescent="0.25">
      <c r="D11" t="e">
        <f t="shared" si="0"/>
        <v>#DIV/0!</v>
      </c>
      <c r="H11" s="63" t="e">
        <f>$I$19+1.2*$I$23</f>
        <v>#DIV/0!</v>
      </c>
      <c r="I11" s="64" t="e">
        <f t="shared" si="2"/>
        <v>#DIV/0!</v>
      </c>
      <c r="J11" s="65">
        <f t="shared" si="3"/>
        <v>67</v>
      </c>
      <c r="K11" s="66" t="e">
        <f t="shared" si="1"/>
        <v>#DIV/0!</v>
      </c>
      <c r="L11" s="67" t="e">
        <f t="shared" si="4"/>
        <v>#DIV/0!</v>
      </c>
      <c r="M11" s="68" t="e">
        <f t="shared" si="5"/>
        <v>#DIV/0!</v>
      </c>
    </row>
    <row r="12" spans="1:13" x14ac:dyDescent="0.25">
      <c r="D12" t="e">
        <f t="shared" si="0"/>
        <v>#DIV/0!</v>
      </c>
      <c r="H12" s="63" t="e">
        <f>$I$19+1.8*$I$23</f>
        <v>#DIV/0!</v>
      </c>
      <c r="I12" s="64" t="e">
        <f t="shared" si="2"/>
        <v>#DIV/0!</v>
      </c>
      <c r="J12" s="65">
        <f t="shared" si="3"/>
        <v>67</v>
      </c>
      <c r="K12" s="66" t="e">
        <f t="shared" si="1"/>
        <v>#DIV/0!</v>
      </c>
      <c r="L12" s="67" t="e">
        <f t="shared" si="4"/>
        <v>#DIV/0!</v>
      </c>
      <c r="M12" s="68" t="e">
        <f t="shared" si="5"/>
        <v>#DIV/0!</v>
      </c>
    </row>
    <row r="13" spans="1:13" x14ac:dyDescent="0.25">
      <c r="D13" t="e">
        <f t="shared" si="0"/>
        <v>#DIV/0!</v>
      </c>
      <c r="H13" s="63" t="e">
        <f>$I$19+2.4*$I$23</f>
        <v>#DIV/0!</v>
      </c>
      <c r="I13" s="64" t="e">
        <f t="shared" si="2"/>
        <v>#DIV/0!</v>
      </c>
      <c r="J13" s="65">
        <f t="shared" si="3"/>
        <v>67</v>
      </c>
      <c r="K13" s="66" t="e">
        <f t="shared" si="1"/>
        <v>#DIV/0!</v>
      </c>
      <c r="L13" s="67" t="e">
        <f t="shared" si="4"/>
        <v>#DIV/0!</v>
      </c>
      <c r="M13" s="68" t="e">
        <f t="shared" si="5"/>
        <v>#DIV/0!</v>
      </c>
    </row>
    <row r="14" spans="1:13" x14ac:dyDescent="0.25">
      <c r="D14" t="e">
        <f t="shared" si="0"/>
        <v>#DIV/0!</v>
      </c>
      <c r="H14" s="63" t="e">
        <f>$I$19+3*$I$23</f>
        <v>#DIV/0!</v>
      </c>
      <c r="I14" s="64" t="e">
        <f t="shared" si="2"/>
        <v>#DIV/0!</v>
      </c>
      <c r="J14" s="65">
        <f t="shared" si="3"/>
        <v>67</v>
      </c>
      <c r="K14" s="66" t="e">
        <f t="shared" si="1"/>
        <v>#DIV/0!</v>
      </c>
      <c r="L14" s="67" t="e">
        <f t="shared" si="4"/>
        <v>#DIV/0!</v>
      </c>
      <c r="M14" s="68" t="e">
        <f t="shared" si="5"/>
        <v>#DIV/0!</v>
      </c>
    </row>
    <row r="15" spans="1:13" ht="15.75" thickBot="1" x14ac:dyDescent="0.3">
      <c r="D15" t="e">
        <f t="shared" si="0"/>
        <v>#DIV/0!</v>
      </c>
      <c r="H15" s="69"/>
      <c r="I15" s="70" t="s">
        <v>85</v>
      </c>
      <c r="J15" s="70">
        <f>COUNTIF(D:D,"&gt;"&amp;H14)</f>
        <v>67</v>
      </c>
      <c r="K15" s="70" t="e">
        <f>"Greater than "&amp;TEXT(H14,"0,00%")</f>
        <v>#DIV/0!</v>
      </c>
      <c r="L15" s="71" t="e">
        <f t="shared" si="4"/>
        <v>#DIV/0!</v>
      </c>
      <c r="M15" s="71" t="e">
        <f t="shared" si="5"/>
        <v>#DIV/0!</v>
      </c>
    </row>
    <row r="16" spans="1:13" ht="15.75" thickBot="1" x14ac:dyDescent="0.3">
      <c r="D16" t="e">
        <f t="shared" si="0"/>
        <v>#DIV/0!</v>
      </c>
      <c r="H16" s="72"/>
      <c r="M16" s="73"/>
    </row>
    <row r="17" spans="4:13" x14ac:dyDescent="0.25">
      <c r="D17" t="e">
        <f t="shared" si="0"/>
        <v>#DIV/0!</v>
      </c>
      <c r="H17" s="129" t="s">
        <v>116</v>
      </c>
      <c r="I17" s="130"/>
      <c r="M17" s="73"/>
    </row>
    <row r="18" spans="4:13" x14ac:dyDescent="0.25">
      <c r="D18" t="e">
        <f t="shared" si="0"/>
        <v>#DIV/0!</v>
      </c>
      <c r="H18" s="131"/>
      <c r="I18" s="132"/>
      <c r="M18" s="73"/>
    </row>
    <row r="19" spans="4:13" x14ac:dyDescent="0.25">
      <c r="D19" t="e">
        <f t="shared" si="0"/>
        <v>#DIV/0!</v>
      </c>
      <c r="H19" s="74" t="s">
        <v>86</v>
      </c>
      <c r="I19" s="110" t="e">
        <f>AVERAGE(D:D)</f>
        <v>#DIV/0!</v>
      </c>
      <c r="M19" s="73"/>
    </row>
    <row r="20" spans="4:13" x14ac:dyDescent="0.25">
      <c r="D20" t="e">
        <f t="shared" si="0"/>
        <v>#DIV/0!</v>
      </c>
      <c r="H20" s="74" t="s">
        <v>87</v>
      </c>
      <c r="I20" s="110" t="e">
        <f>_xlfn.STDEV.S(D:D)/SQRT(COUNT(D:D))</f>
        <v>#DIV/0!</v>
      </c>
      <c r="M20" s="73"/>
    </row>
    <row r="21" spans="4:13" x14ac:dyDescent="0.25">
      <c r="D21" t="e">
        <f t="shared" si="0"/>
        <v>#DIV/0!</v>
      </c>
      <c r="H21" s="74" t="s">
        <v>88</v>
      </c>
      <c r="I21" s="110" t="e">
        <f>MEDIAN(D:D)</f>
        <v>#DIV/0!</v>
      </c>
      <c r="M21" s="73"/>
    </row>
    <row r="22" spans="4:13" x14ac:dyDescent="0.25">
      <c r="D22" t="e">
        <f t="shared" si="0"/>
        <v>#DIV/0!</v>
      </c>
      <c r="H22" s="74" t="s">
        <v>89</v>
      </c>
      <c r="I22" s="110" t="e">
        <f>MODE(D:D)</f>
        <v>#DIV/0!</v>
      </c>
      <c r="M22" s="73"/>
    </row>
    <row r="23" spans="4:13" x14ac:dyDescent="0.25">
      <c r="D23" t="e">
        <f t="shared" si="0"/>
        <v>#DIV/0!</v>
      </c>
      <c r="H23" s="74" t="s">
        <v>90</v>
      </c>
      <c r="I23" s="110" t="e">
        <f>_xlfn.STDEV.S(D:D)</f>
        <v>#DIV/0!</v>
      </c>
      <c r="M23" s="73"/>
    </row>
    <row r="24" spans="4:13" x14ac:dyDescent="0.25">
      <c r="D24" t="e">
        <f t="shared" si="0"/>
        <v>#DIV/0!</v>
      </c>
      <c r="H24" s="74" t="s">
        <v>91</v>
      </c>
      <c r="I24" s="110" t="e">
        <f>_xlfn.VAR.S(D:D)</f>
        <v>#DIV/0!</v>
      </c>
      <c r="M24" s="73"/>
    </row>
    <row r="25" spans="4:13" x14ac:dyDescent="0.25">
      <c r="D25" t="e">
        <f t="shared" si="0"/>
        <v>#DIV/0!</v>
      </c>
      <c r="H25" s="74" t="s">
        <v>92</v>
      </c>
      <c r="I25" s="111" t="e">
        <f>KURT(D:D)</f>
        <v>#DIV/0!</v>
      </c>
      <c r="M25" s="73"/>
    </row>
    <row r="26" spans="4:13" x14ac:dyDescent="0.25">
      <c r="D26" t="e">
        <f t="shared" si="0"/>
        <v>#DIV/0!</v>
      </c>
      <c r="H26" s="74" t="s">
        <v>93</v>
      </c>
      <c r="I26" s="111" t="e">
        <f>SKEW(D:D)</f>
        <v>#DIV/0!</v>
      </c>
      <c r="M26" s="73"/>
    </row>
    <row r="27" spans="4:13" x14ac:dyDescent="0.25">
      <c r="D27" t="e">
        <f t="shared" si="0"/>
        <v>#DIV/0!</v>
      </c>
      <c r="H27" s="74" t="s">
        <v>82</v>
      </c>
      <c r="I27" s="110" t="e">
        <f>I29-I28</f>
        <v>#DIV/0!</v>
      </c>
      <c r="M27" s="73"/>
    </row>
    <row r="28" spans="4:13" x14ac:dyDescent="0.25">
      <c r="D28" t="e">
        <f t="shared" si="0"/>
        <v>#DIV/0!</v>
      </c>
      <c r="H28" s="74" t="s">
        <v>94</v>
      </c>
      <c r="I28" s="110" t="e">
        <f>MIN(D:D)</f>
        <v>#DIV/0!</v>
      </c>
      <c r="M28" s="73"/>
    </row>
    <row r="29" spans="4:13" x14ac:dyDescent="0.25">
      <c r="D29" t="e">
        <f t="shared" si="0"/>
        <v>#DIV/0!</v>
      </c>
      <c r="H29" s="74" t="s">
        <v>95</v>
      </c>
      <c r="I29" s="110" t="e">
        <f>MAX(D:D)</f>
        <v>#DIV/0!</v>
      </c>
      <c r="M29" s="73"/>
    </row>
    <row r="30" spans="4:13" x14ac:dyDescent="0.25">
      <c r="D30" t="e">
        <f t="shared" si="0"/>
        <v>#DIV/0!</v>
      </c>
      <c r="H30" s="74" t="s">
        <v>96</v>
      </c>
      <c r="I30" s="111" t="e">
        <f>SUM(D:D)</f>
        <v>#DIV/0!</v>
      </c>
      <c r="M30" s="73"/>
    </row>
    <row r="31" spans="4:13" ht="15.75" thickBot="1" x14ac:dyDescent="0.3">
      <c r="D31" t="e">
        <f t="shared" si="0"/>
        <v>#DIV/0!</v>
      </c>
      <c r="H31" s="75" t="s">
        <v>97</v>
      </c>
      <c r="I31" s="52">
        <f>COUNT(D:D)</f>
        <v>0</v>
      </c>
      <c r="M31" s="73"/>
    </row>
    <row r="32" spans="4:13" ht="15.75" thickBot="1" x14ac:dyDescent="0.3">
      <c r="D32" t="e">
        <f t="shared" si="0"/>
        <v>#DIV/0!</v>
      </c>
      <c r="H32" s="77"/>
      <c r="M32" s="73"/>
    </row>
    <row r="33" spans="4:13" x14ac:dyDescent="0.25">
      <c r="D33" t="e">
        <f t="shared" si="0"/>
        <v>#DIV/0!</v>
      </c>
      <c r="H33" s="78"/>
      <c r="I33" s="79" t="s">
        <v>98</v>
      </c>
      <c r="J33" s="79" t="s">
        <v>97</v>
      </c>
      <c r="K33" s="79" t="s">
        <v>99</v>
      </c>
      <c r="L33" s="80" t="s">
        <v>100</v>
      </c>
      <c r="M33" s="73"/>
    </row>
    <row r="34" spans="4:13" x14ac:dyDescent="0.25">
      <c r="D34" t="e">
        <f t="shared" si="0"/>
        <v>#DIV/0!</v>
      </c>
      <c r="H34" s="81" t="s">
        <v>101</v>
      </c>
      <c r="I34" s="67" t="e">
        <f>AVERAGEIF(D:D,"&gt;0")</f>
        <v>#DIV/0!</v>
      </c>
      <c r="J34" s="65">
        <f>COUNTIF(D:D,"&gt;0")</f>
        <v>0</v>
      </c>
      <c r="K34" s="67" t="e">
        <f>J34/$I$31</f>
        <v>#DIV/0!</v>
      </c>
      <c r="L34" s="68" t="e">
        <f>K34*I34</f>
        <v>#DIV/0!</v>
      </c>
      <c r="M34" s="73"/>
    </row>
    <row r="35" spans="4:13" x14ac:dyDescent="0.25">
      <c r="D35" t="e">
        <f t="shared" si="0"/>
        <v>#DIV/0!</v>
      </c>
      <c r="H35" s="81" t="s">
        <v>102</v>
      </c>
      <c r="I35" s="67" t="e">
        <f>AVERAGEIF(D:D,"&lt;0")</f>
        <v>#DIV/0!</v>
      </c>
      <c r="J35" s="65">
        <f>COUNTIF(D:D,"&lt;0")</f>
        <v>0</v>
      </c>
      <c r="K35" s="67" t="e">
        <f>J35/$I$31</f>
        <v>#DIV/0!</v>
      </c>
      <c r="L35" s="68" t="e">
        <f t="shared" ref="L35:L36" si="6">K35*I35</f>
        <v>#DIV/0!</v>
      </c>
      <c r="M35" s="73"/>
    </row>
    <row r="36" spans="4:13" ht="15.75" thickBot="1" x14ac:dyDescent="0.3">
      <c r="D36" t="e">
        <f t="shared" si="0"/>
        <v>#DIV/0!</v>
      </c>
      <c r="H36" s="82" t="s">
        <v>103</v>
      </c>
      <c r="I36" s="70">
        <v>0</v>
      </c>
      <c r="J36" s="70">
        <f>COUNTIF(D:D,"0")</f>
        <v>0</v>
      </c>
      <c r="K36" s="83" t="e">
        <f>J36/$I$31</f>
        <v>#DIV/0!</v>
      </c>
      <c r="L36" s="71" t="e">
        <f t="shared" si="6"/>
        <v>#DIV/0!</v>
      </c>
      <c r="M36" s="73"/>
    </row>
    <row r="37" spans="4:13" ht="15.75" thickBot="1" x14ac:dyDescent="0.3">
      <c r="D37" t="e">
        <f t="shared" si="0"/>
        <v>#DIV/0!</v>
      </c>
      <c r="H37" s="77"/>
      <c r="I37" s="84"/>
      <c r="J37" s="84"/>
      <c r="K37" s="84"/>
      <c r="L37" s="84"/>
      <c r="M37" s="73"/>
    </row>
    <row r="38" spans="4:13" x14ac:dyDescent="0.25">
      <c r="D38" t="e">
        <f t="shared" si="0"/>
        <v>#DIV/0!</v>
      </c>
      <c r="H38" s="58" t="s">
        <v>104</v>
      </c>
      <c r="I38" s="79" t="s">
        <v>105</v>
      </c>
      <c r="J38" s="79" t="s">
        <v>106</v>
      </c>
      <c r="K38" s="79" t="s">
        <v>107</v>
      </c>
      <c r="L38" s="79" t="s">
        <v>108</v>
      </c>
      <c r="M38" s="80" t="s">
        <v>109</v>
      </c>
    </row>
    <row r="39" spans="4:13" x14ac:dyDescent="0.25">
      <c r="D39" t="e">
        <f t="shared" si="0"/>
        <v>#DIV/0!</v>
      </c>
      <c r="H39" s="85">
        <v>1</v>
      </c>
      <c r="I39" s="67" t="e">
        <f>$I$19+($H39*$I$23)</f>
        <v>#DIV/0!</v>
      </c>
      <c r="J39" s="67" t="e">
        <f>$I$19-($H39*$I$23)</f>
        <v>#DIV/0!</v>
      </c>
      <c r="K39" s="65">
        <f>COUNTIFS(D:D,"&lt;"&amp;I39,D:D,"&gt;"&amp;J39)</f>
        <v>67</v>
      </c>
      <c r="L39" s="67" t="e">
        <f>K39/$I$31</f>
        <v>#DIV/0!</v>
      </c>
      <c r="M39" s="68">
        <v>0.68269999999999997</v>
      </c>
    </row>
    <row r="40" spans="4:13" x14ac:dyDescent="0.25">
      <c r="D40" t="e">
        <f t="shared" si="0"/>
        <v>#DIV/0!</v>
      </c>
      <c r="H40" s="85">
        <v>2</v>
      </c>
      <c r="I40" s="67" t="e">
        <f>$I$19+($H40*$I$23)</f>
        <v>#DIV/0!</v>
      </c>
      <c r="J40" s="67" t="e">
        <f>$I$19-($H40*$I$23)</f>
        <v>#DIV/0!</v>
      </c>
      <c r="K40" s="65">
        <f>COUNTIFS(D:D,"&lt;"&amp;I40,D:D,"&gt;"&amp;J40)</f>
        <v>67</v>
      </c>
      <c r="L40" s="67" t="e">
        <f>K40/$I$31</f>
        <v>#DIV/0!</v>
      </c>
      <c r="M40" s="68">
        <v>0.95450000000000002</v>
      </c>
    </row>
    <row r="41" spans="4:13" x14ac:dyDescent="0.25">
      <c r="D41" t="e">
        <f t="shared" si="0"/>
        <v>#DIV/0!</v>
      </c>
      <c r="H41" s="85">
        <v>3</v>
      </c>
      <c r="I41" s="67" t="e">
        <f>$I$19+($H41*$I$23)</f>
        <v>#DIV/0!</v>
      </c>
      <c r="J41" s="67" t="e">
        <f>$I$19-($H41*$I$23)</f>
        <v>#DIV/0!</v>
      </c>
      <c r="K41" s="65">
        <f>COUNTIFS(D:D,"&lt;"&amp;I41,D:D,"&gt;"&amp;J41)</f>
        <v>67</v>
      </c>
      <c r="L41" s="67" t="e">
        <f>K41/$I$31</f>
        <v>#DIV/0!</v>
      </c>
      <c r="M41" s="86">
        <v>0.99729999999999996</v>
      </c>
    </row>
    <row r="42" spans="4:13" ht="15.75" thickBot="1" x14ac:dyDescent="0.3">
      <c r="D42" t="e">
        <f t="shared" si="0"/>
        <v>#DIV/0!</v>
      </c>
      <c r="H42" s="63"/>
      <c r="M42" s="86"/>
    </row>
    <row r="43" spans="4:13" ht="15.75" thickBot="1" x14ac:dyDescent="0.3">
      <c r="D43" t="e">
        <f t="shared" si="0"/>
        <v>#DIV/0!</v>
      </c>
      <c r="H43" s="133" t="s">
        <v>110</v>
      </c>
      <c r="I43" s="134"/>
      <c r="J43" s="134"/>
      <c r="K43" s="134"/>
      <c r="L43" s="134"/>
      <c r="M43" s="135"/>
    </row>
    <row r="44" spans="4:13" x14ac:dyDescent="0.25">
      <c r="D44" t="e">
        <f t="shared" si="0"/>
        <v>#DIV/0!</v>
      </c>
      <c r="H44" s="87">
        <v>0.01</v>
      </c>
      <c r="I44" s="88" t="e">
        <f t="shared" ref="I44:I58" si="7">_xlfn.PERCENTILE.INC(D:D,H44)</f>
        <v>#DIV/0!</v>
      </c>
      <c r="J44" s="89">
        <v>0.2</v>
      </c>
      <c r="K44" s="88" t="e">
        <f t="shared" ref="K44:K56" si="8">_xlfn.PERCENTILE.INC(D:D,J44)</f>
        <v>#DIV/0!</v>
      </c>
      <c r="L44" s="89">
        <v>0.85</v>
      </c>
      <c r="M44" s="90" t="e">
        <f t="shared" ref="M44:M58" si="9">_xlfn.PERCENTILE.INC(D:D,L44)</f>
        <v>#DIV/0!</v>
      </c>
    </row>
    <row r="45" spans="4:13" x14ac:dyDescent="0.25">
      <c r="D45" t="e">
        <f t="shared" si="0"/>
        <v>#DIV/0!</v>
      </c>
      <c r="H45" s="91">
        <v>0.02</v>
      </c>
      <c r="I45" s="92" t="e">
        <f t="shared" si="7"/>
        <v>#DIV/0!</v>
      </c>
      <c r="J45" s="93">
        <v>0.25</v>
      </c>
      <c r="K45" s="92" t="e">
        <f t="shared" si="8"/>
        <v>#DIV/0!</v>
      </c>
      <c r="L45" s="93">
        <v>0.86</v>
      </c>
      <c r="M45" s="94" t="e">
        <f t="shared" si="9"/>
        <v>#DIV/0!</v>
      </c>
    </row>
    <row r="46" spans="4:13" x14ac:dyDescent="0.25">
      <c r="D46" t="e">
        <f t="shared" si="0"/>
        <v>#DIV/0!</v>
      </c>
      <c r="H46" s="91">
        <v>0.03</v>
      </c>
      <c r="I46" s="92" t="e">
        <f t="shared" si="7"/>
        <v>#DIV/0!</v>
      </c>
      <c r="J46" s="93">
        <v>0.3</v>
      </c>
      <c r="K46" s="92" t="e">
        <f t="shared" si="8"/>
        <v>#DIV/0!</v>
      </c>
      <c r="L46" s="93">
        <v>0.87</v>
      </c>
      <c r="M46" s="94" t="e">
        <f t="shared" si="9"/>
        <v>#DIV/0!</v>
      </c>
    </row>
    <row r="47" spans="4:13" x14ac:dyDescent="0.25">
      <c r="D47" t="e">
        <f t="shared" si="0"/>
        <v>#DIV/0!</v>
      </c>
      <c r="H47" s="91">
        <v>0.04</v>
      </c>
      <c r="I47" s="92" t="e">
        <f t="shared" si="7"/>
        <v>#DIV/0!</v>
      </c>
      <c r="J47" s="93">
        <v>0.35</v>
      </c>
      <c r="K47" s="92" t="e">
        <f t="shared" si="8"/>
        <v>#DIV/0!</v>
      </c>
      <c r="L47" s="93">
        <v>0.88</v>
      </c>
      <c r="M47" s="94" t="e">
        <f t="shared" si="9"/>
        <v>#DIV/0!</v>
      </c>
    </row>
    <row r="48" spans="4:13" x14ac:dyDescent="0.25">
      <c r="D48" t="e">
        <f t="shared" si="0"/>
        <v>#DIV/0!</v>
      </c>
      <c r="H48" s="91">
        <v>0.05</v>
      </c>
      <c r="I48" s="92" t="e">
        <f t="shared" si="7"/>
        <v>#DIV/0!</v>
      </c>
      <c r="J48" s="93">
        <v>0.4</v>
      </c>
      <c r="K48" s="92" t="e">
        <f t="shared" si="8"/>
        <v>#DIV/0!</v>
      </c>
      <c r="L48" s="93">
        <v>0.89</v>
      </c>
      <c r="M48" s="94" t="e">
        <f t="shared" si="9"/>
        <v>#DIV/0!</v>
      </c>
    </row>
    <row r="49" spans="4:13" x14ac:dyDescent="0.25">
      <c r="D49" t="e">
        <f t="shared" si="0"/>
        <v>#DIV/0!</v>
      </c>
      <c r="H49" s="91">
        <v>0.06</v>
      </c>
      <c r="I49" s="92" t="e">
        <f t="shared" si="7"/>
        <v>#DIV/0!</v>
      </c>
      <c r="J49" s="93">
        <v>0.45</v>
      </c>
      <c r="K49" s="92" t="e">
        <f t="shared" si="8"/>
        <v>#DIV/0!</v>
      </c>
      <c r="L49" s="93">
        <v>0.9</v>
      </c>
      <c r="M49" s="94" t="e">
        <f t="shared" si="9"/>
        <v>#DIV/0!</v>
      </c>
    </row>
    <row r="50" spans="4:13" x14ac:dyDescent="0.25">
      <c r="D50" t="e">
        <f t="shared" si="0"/>
        <v>#DIV/0!</v>
      </c>
      <c r="H50" s="91">
        <v>7.0000000000000007E-2</v>
      </c>
      <c r="I50" s="92" t="e">
        <f t="shared" si="7"/>
        <v>#DIV/0!</v>
      </c>
      <c r="J50" s="93">
        <v>0.5</v>
      </c>
      <c r="K50" s="92" t="e">
        <f t="shared" si="8"/>
        <v>#DIV/0!</v>
      </c>
      <c r="L50" s="93">
        <v>0.91</v>
      </c>
      <c r="M50" s="94" t="e">
        <f t="shared" si="9"/>
        <v>#DIV/0!</v>
      </c>
    </row>
    <row r="51" spans="4:13" x14ac:dyDescent="0.25">
      <c r="D51" t="e">
        <f t="shared" si="0"/>
        <v>#DIV/0!</v>
      </c>
      <c r="H51" s="91">
        <v>0.08</v>
      </c>
      <c r="I51" s="92" t="e">
        <f t="shared" si="7"/>
        <v>#DIV/0!</v>
      </c>
      <c r="J51" s="93">
        <v>0.55000000000000004</v>
      </c>
      <c r="K51" s="92" t="e">
        <f t="shared" si="8"/>
        <v>#DIV/0!</v>
      </c>
      <c r="L51" s="93">
        <v>0.92</v>
      </c>
      <c r="M51" s="94" t="e">
        <f t="shared" si="9"/>
        <v>#DIV/0!</v>
      </c>
    </row>
    <row r="52" spans="4:13" x14ac:dyDescent="0.25">
      <c r="D52" t="e">
        <f t="shared" si="0"/>
        <v>#DIV/0!</v>
      </c>
      <c r="H52" s="91">
        <v>0.09</v>
      </c>
      <c r="I52" s="92" t="e">
        <f t="shared" si="7"/>
        <v>#DIV/0!</v>
      </c>
      <c r="J52" s="93">
        <v>0.6</v>
      </c>
      <c r="K52" s="92" t="e">
        <f t="shared" si="8"/>
        <v>#DIV/0!</v>
      </c>
      <c r="L52" s="93">
        <v>0.93</v>
      </c>
      <c r="M52" s="94" t="e">
        <f t="shared" si="9"/>
        <v>#DIV/0!</v>
      </c>
    </row>
    <row r="53" spans="4:13" x14ac:dyDescent="0.25">
      <c r="D53" t="e">
        <f t="shared" si="0"/>
        <v>#DIV/0!</v>
      </c>
      <c r="H53" s="91">
        <v>0.1</v>
      </c>
      <c r="I53" s="92" t="e">
        <f t="shared" si="7"/>
        <v>#DIV/0!</v>
      </c>
      <c r="J53" s="93">
        <v>0.65</v>
      </c>
      <c r="K53" s="92" t="e">
        <f t="shared" si="8"/>
        <v>#DIV/0!</v>
      </c>
      <c r="L53" s="93">
        <v>0.94</v>
      </c>
      <c r="M53" s="94" t="e">
        <f t="shared" si="9"/>
        <v>#DIV/0!</v>
      </c>
    </row>
    <row r="54" spans="4:13" x14ac:dyDescent="0.25">
      <c r="D54" t="e">
        <f t="shared" si="0"/>
        <v>#DIV/0!</v>
      </c>
      <c r="H54" s="91">
        <v>0.11</v>
      </c>
      <c r="I54" s="92" t="e">
        <f t="shared" si="7"/>
        <v>#DIV/0!</v>
      </c>
      <c r="J54" s="93">
        <v>0.7</v>
      </c>
      <c r="K54" s="92" t="e">
        <f t="shared" si="8"/>
        <v>#DIV/0!</v>
      </c>
      <c r="L54" s="93">
        <v>0.95</v>
      </c>
      <c r="M54" s="94" t="e">
        <f t="shared" si="9"/>
        <v>#DIV/0!</v>
      </c>
    </row>
    <row r="55" spans="4:13" x14ac:dyDescent="0.25">
      <c r="D55" t="e">
        <f t="shared" si="0"/>
        <v>#DIV/0!</v>
      </c>
      <c r="H55" s="91">
        <v>0.12</v>
      </c>
      <c r="I55" s="92" t="e">
        <f t="shared" si="7"/>
        <v>#DIV/0!</v>
      </c>
      <c r="J55" s="93">
        <v>0.75</v>
      </c>
      <c r="K55" s="92" t="e">
        <f t="shared" si="8"/>
        <v>#DIV/0!</v>
      </c>
      <c r="L55" s="93">
        <v>0.96</v>
      </c>
      <c r="M55" s="94" t="e">
        <f t="shared" si="9"/>
        <v>#DIV/0!</v>
      </c>
    </row>
    <row r="56" spans="4:13" x14ac:dyDescent="0.25">
      <c r="D56" t="e">
        <f t="shared" si="0"/>
        <v>#DIV/0!</v>
      </c>
      <c r="H56" s="91">
        <v>0.13</v>
      </c>
      <c r="I56" s="92" t="e">
        <f t="shared" si="7"/>
        <v>#DIV/0!</v>
      </c>
      <c r="J56" s="93">
        <v>0.8</v>
      </c>
      <c r="K56" s="92" t="e">
        <f t="shared" si="8"/>
        <v>#DIV/0!</v>
      </c>
      <c r="L56" s="93">
        <v>0.97</v>
      </c>
      <c r="M56" s="94" t="e">
        <f t="shared" si="9"/>
        <v>#DIV/0!</v>
      </c>
    </row>
    <row r="57" spans="4:13" x14ac:dyDescent="0.25">
      <c r="D57" t="e">
        <f t="shared" si="0"/>
        <v>#DIV/0!</v>
      </c>
      <c r="H57" s="91">
        <v>0.14000000000000001</v>
      </c>
      <c r="I57" s="92" t="e">
        <f t="shared" si="7"/>
        <v>#DIV/0!</v>
      </c>
      <c r="J57" s="93"/>
      <c r="K57" s="92"/>
      <c r="L57" s="93">
        <v>0.98</v>
      </c>
      <c r="M57" s="94" t="e">
        <f t="shared" si="9"/>
        <v>#DIV/0!</v>
      </c>
    </row>
    <row r="58" spans="4:13" ht="15.75" thickBot="1" x14ac:dyDescent="0.3">
      <c r="D58" t="e">
        <f t="shared" si="0"/>
        <v>#DIV/0!</v>
      </c>
      <c r="H58" s="95">
        <v>0.15</v>
      </c>
      <c r="I58" s="96" t="e">
        <f t="shared" si="7"/>
        <v>#DIV/0!</v>
      </c>
      <c r="J58" s="97"/>
      <c r="K58" s="76"/>
      <c r="L58" s="98">
        <v>0.99</v>
      </c>
      <c r="M58" s="99" t="e">
        <f t="shared" si="9"/>
        <v>#DIV/0!</v>
      </c>
    </row>
    <row r="59" spans="4:13" ht="15.75" thickBot="1" x14ac:dyDescent="0.3">
      <c r="D59" t="e">
        <f t="shared" si="0"/>
        <v>#DIV/0!</v>
      </c>
    </row>
    <row r="60" spans="4:13" x14ac:dyDescent="0.25">
      <c r="D60" t="e">
        <f t="shared" si="0"/>
        <v>#DIV/0!</v>
      </c>
      <c r="H60" s="100" t="s">
        <v>111</v>
      </c>
      <c r="I60" s="101"/>
    </row>
    <row r="61" spans="4:13" ht="15.75" thickBot="1" x14ac:dyDescent="0.3">
      <c r="D61" t="e">
        <f t="shared" si="0"/>
        <v>#DIV/0!</v>
      </c>
      <c r="H61" s="102" t="s">
        <v>112</v>
      </c>
      <c r="I61" s="103"/>
    </row>
    <row r="62" spans="4:13" ht="15.75" thickBot="1" x14ac:dyDescent="0.3">
      <c r="D62" t="e">
        <f t="shared" si="0"/>
        <v>#DIV/0!</v>
      </c>
      <c r="H62" s="104"/>
    </row>
    <row r="63" spans="4:13" x14ac:dyDescent="0.25">
      <c r="D63" t="e">
        <f t="shared" si="0"/>
        <v>#DIV/0!</v>
      </c>
      <c r="H63" s="100" t="s">
        <v>113</v>
      </c>
      <c r="I63" s="105"/>
    </row>
    <row r="64" spans="4:13" x14ac:dyDescent="0.25">
      <c r="D64" t="e">
        <f t="shared" si="0"/>
        <v>#DIV/0!</v>
      </c>
      <c r="H64" s="106" t="s">
        <v>114</v>
      </c>
      <c r="I64" s="107">
        <f>I63*(1-I60)</f>
        <v>0</v>
      </c>
    </row>
    <row r="65" spans="4:9" ht="15.75" thickBot="1" x14ac:dyDescent="0.3">
      <c r="D65" t="e">
        <f t="shared" si="0"/>
        <v>#DIV/0!</v>
      </c>
      <c r="H65" s="102" t="s">
        <v>115</v>
      </c>
      <c r="I65" s="108">
        <f>I63*(1+I61)</f>
        <v>0</v>
      </c>
    </row>
    <row r="66" spans="4:9" x14ac:dyDescent="0.25">
      <c r="D66" t="e">
        <f t="shared" si="0"/>
        <v>#DIV/0!</v>
      </c>
    </row>
    <row r="67" spans="4:9" x14ac:dyDescent="0.25">
      <c r="D67" t="e">
        <f t="shared" ref="D67:D68" si="10">C67/C68-1</f>
        <v>#DIV/0!</v>
      </c>
    </row>
    <row r="68" spans="4:9" x14ac:dyDescent="0.25">
      <c r="D68" t="e">
        <f t="shared" si="10"/>
        <v>#DIV/0!</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2025-12-10T22:54:57Z</dcterms:modified>
</cp:coreProperties>
</file>