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08EC4FE4-C851-4D39-ADBB-7242DEC22BDC}" xr6:coauthVersionLast="47" xr6:coauthVersionMax="47" xr10:uidLastSave="{00000000-0000-0000-0000-000000000000}"/>
  <bookViews>
    <workbookView xWindow="-60" yWindow="45" windowWidth="15480" windowHeight="15345" tabRatio="647" activeTab="1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Sheet1" sheetId="8" r:id="rId6"/>
    <sheet name="Catalysts" sheetId="4" r:id="rId7"/>
    <sheet name="DoR" sheetId="5" r:id="rId8"/>
  </sheets>
  <definedNames>
    <definedName name="_xlchart.v1.0" hidden="1">Model!$B$3</definedName>
    <definedName name="_xlchart.v1.1" hidden="1">Model!$B$4</definedName>
    <definedName name="_xlchart.v1.2" hidden="1">Model!$L$2:$P$2</definedName>
    <definedName name="_xlchart.v1.3" hidden="1">Model!$L$3:$P$3</definedName>
    <definedName name="_xlchart.v1.4" hidden="1">Model!$L$4:$P$4</definedName>
    <definedName name="_xlchart.v1.5" hidden="1">Model!$B$21</definedName>
    <definedName name="_xlchart.v1.6" hidden="1">Model!$B$22</definedName>
    <definedName name="_xlchart.v1.7" hidden="1">Model!$L$21:$P$21</definedName>
    <definedName name="_xlchart.v1.8" hidden="1">Model!$L$22:$P$22</definedName>
    <definedName name="_xlchart.v1.9" hidden="1">Model!$L$2:$P$2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" i="6" l="1"/>
  <c r="R24" i="6"/>
  <c r="S23" i="6"/>
  <c r="R23" i="6"/>
  <c r="S22" i="6"/>
  <c r="R22" i="6"/>
  <c r="S21" i="6"/>
  <c r="R21" i="6"/>
  <c r="P22" i="6"/>
  <c r="P23" i="6"/>
  <c r="P24" i="6"/>
  <c r="P21" i="6"/>
  <c r="N22" i="6"/>
  <c r="N23" i="6"/>
  <c r="N24" i="6"/>
  <c r="L22" i="6"/>
  <c r="L23" i="6"/>
  <c r="L24" i="6"/>
  <c r="L21" i="6"/>
  <c r="K22" i="6"/>
  <c r="K23" i="6"/>
  <c r="K24" i="6"/>
  <c r="K21" i="6"/>
  <c r="C32" i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W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6" i="1"/>
  <c r="C13" i="1"/>
  <c r="G32" i="2"/>
  <c r="C15" i="1"/>
  <c r="C14" i="1"/>
  <c r="I29" i="2"/>
  <c r="H29" i="2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H31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V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C18" i="1" l="1"/>
  <c r="Y24" i="2"/>
  <c r="Y21" i="2"/>
  <c r="W24" i="2"/>
  <c r="W21" i="2"/>
  <c r="X21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X29" i="2" l="1"/>
  <c r="T29" i="2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tc={81809F38-25B0-4636-BB76-B6FAC1A8ECE0}</author>
  </authors>
  <commentList>
    <comment ref="B21" authorId="0" shapeId="0" xr:uid="{81809F38-25B0-4636-BB76-B6FAC1A8ECE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</t>
      </text>
    </comment>
  </commentList>
</comments>
</file>

<file path=xl/sharedStrings.xml><?xml version="1.0" encoding="utf-8"?>
<sst xmlns="http://schemas.openxmlformats.org/spreadsheetml/2006/main" count="265" uniqueCount="229">
  <si>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</si>
  <si>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</si>
  <si>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</si>
  <si>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</si>
  <si>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</si>
  <si>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</si>
  <si>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</si>
  <si>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</si>
  <si>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</si>
  <si>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</si>
  <si>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</si>
  <si>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</si>
  <si>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</si>
  <si>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</si>
  <si>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</si>
  <si>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</si>
  <si>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</si>
  <si>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</si>
  <si>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</si>
  <si>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</si>
  <si>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</si>
  <si>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</si>
  <si>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</si>
  <si>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</si>
  <si>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</si>
  <si>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</si>
  <si>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</si>
  <si>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</si>
  <si>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</si>
  <si>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</si>
  <si>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</si>
  <si>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</si>
  <si>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</si>
  <si>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</si>
  <si>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</si>
  <si>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</si>
  <si>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</si>
  <si>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</si>
  <si>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</si>
  <si>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</si>
  <si>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</si>
  <si>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</si>
  <si>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</si>
  <si>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</si>
  <si>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</si>
  <si>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</si>
  <si>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</si>
  <si>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</si>
  <si>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</si>
  <si>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</si>
  <si>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</si>
  <si>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</si>
  <si>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</si>
  <si>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</si>
  <si>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</si>
  <si>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</si>
  <si>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</si>
  <si>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</si>
  <si>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</si>
  <si>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</si>
  <si>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</si>
  <si>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</si>
  <si>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</si>
  <si>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</si>
  <si>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</si>
  <si>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</si>
  <si>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</si>
  <si>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</si>
  <si>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</si>
  <si>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</si>
  <si>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</si>
  <si>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</si>
  <si>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</si>
  <si>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</si>
  <si>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</si>
  <si>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</si>
  <si>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</si>
  <si>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</si>
  <si>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</si>
  <si>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</si>
  <si>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</si>
  <si>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</si>
  <si>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</si>
  <si>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</si>
  <si>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</si>
  <si>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</si>
  <si>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</si>
  <si>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</si>
  <si>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</si>
  <si>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</si>
  <si>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</si>
  <si>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</si>
  <si>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</si>
  <si>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</si>
  <si>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</si>
  <si>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</si>
  <si>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</si>
  <si>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</si>
  <si>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</si>
  <si>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</si>
  <si>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</si>
  <si>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</si>
  <si>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</si>
  <si>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</si>
  <si>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</si>
  <si>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</si>
  <si>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</si>
  <si>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</si>
  <si>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</si>
  <si>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</si>
  <si>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</si>
  <si>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</si>
  <si>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</si>
  <si>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</si>
  <si>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</si>
  <si>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</si>
  <si>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</si>
  <si>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</si>
  <si>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</si>
  <si>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</si>
  <si>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</si>
  <si>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</si>
  <si>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</si>
  <si>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</si>
  <si>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</si>
  <si>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</si>
  <si>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</si>
  <si>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</si>
  <si>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</si>
  <si>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</si>
  <si>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</si>
  <si>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</si>
  <si>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</si>
  <si>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</si>
  <si>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</si>
  <si>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</si>
  <si>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</si>
  <si>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</si>
  <si>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</si>
  <si>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</si>
  <si>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</si>
  <si>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</si>
  <si>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</si>
  <si>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</si>
  <si>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</si>
  <si>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</si>
  <si>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</si>
  <si>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</si>
  <si>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</si>
  <si>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</si>
  <si>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</si>
  <si>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</si>
  <si>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</si>
  <si>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</si>
  <si>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</si>
  <si>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</si>
  <si>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</si>
  <si>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</si>
  <si>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</si>
  <si>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</si>
  <si>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</si>
  <si>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</si>
  <si>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</si>
  <si>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</si>
  <si>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</si>
  <si>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</si>
  <si>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</si>
  <si>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</si>
  <si>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</si>
  <si>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</si>
  <si>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</si>
  <si>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</si>
  <si>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</si>
  <si>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</si>
  <si>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</si>
  <si>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</si>
  <si>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</si>
  <si>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</si>
  <si>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</si>
  <si>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</si>
  <si>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</si>
  <si>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</si>
  <si>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</si>
  <si>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</si>
  <si>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</si>
  <si>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</si>
  <si>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</si>
  <si>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</si>
  <si>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</si>
  <si>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</si>
  <si>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</si>
  <si>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</si>
  <si>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</si>
  <si>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</si>
  <si>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</si>
  <si>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</si>
  <si>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</si>
  <si>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</si>
  <si>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</si>
  <si>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Underperform</t>
  </si>
  <si>
    <t>Hold</t>
  </si>
  <si>
    <t>Buy</t>
  </si>
  <si>
    <t>Strong buy</t>
  </si>
  <si>
    <t>Price Targets</t>
  </si>
  <si>
    <t>Goldman Sachs</t>
  </si>
  <si>
    <t>Wells Fargo</t>
  </si>
  <si>
    <t>TD Cowen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</si>
  <si>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</si>
  <si>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</si>
  <si>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</si>
  <si>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</si>
  <si>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</si>
  <si>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</si>
  <si>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</si>
  <si>
    <t>Competition: AFRM, Klarna, Block Inc</t>
  </si>
  <si>
    <t>Klarna</t>
  </si>
  <si>
    <t>Loss as % of GMV</t>
  </si>
  <si>
    <t>30d Delinquincy Rate</t>
  </si>
  <si>
    <t>6-12m Delinquincy Rate</t>
  </si>
  <si>
    <t>sezl</t>
  </si>
  <si>
    <t>PS0</t>
  </si>
  <si>
    <t>PS1</t>
  </si>
  <si>
    <t>Affirm</t>
  </si>
  <si>
    <t>pypl</t>
  </si>
  <si>
    <t>EPS0</t>
  </si>
  <si>
    <t>EPS1</t>
  </si>
  <si>
    <t>EPS2</t>
  </si>
  <si>
    <t>R1</t>
  </si>
  <si>
    <t>R0 in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</si>
</sst>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63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3" fontId="6" fillId="0" borderId="0" xfId="0" applyNumberFormat="1" applyFont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0" fontId="6" fillId="3" borderId="0" xfId="0" applyFont="1" applyFill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10" fontId="0" fillId="0" borderId="0" xfId="0" applyNumberFormat="1"/>
    <xf numFmtId="0" fontId="0" fillId="0" borderId="0" xfId="1" applyNumberFormat="1" applyFont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1-09D4-4C63-8E1F-BE059CF4356D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118.27916999999999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0.52457923708813348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42</xdr:row>
      <xdr:rowOff>0</xdr:rowOff>
    </xdr:from>
    <xdr:to>
      <xdr:col>16</xdr:col>
      <xdr:colOff>553803</xdr:colOff>
      <xdr:row>74</xdr:row>
      <xdr:rowOff>77061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26C26C-4BBE-E07D-9996-7801A9084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001000"/>
          <a:ext cx="9697803" cy="6173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imon Burghardt" id="{ADDCBA16-0883-44BB-8132-6D9F32DCBBEC}" userId="89957cfae585bd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2-09T11:49:13.29" personId="{ADDCBA16-0883-44BB-8132-6D9F32DCBBEC}" id="{81809F38-25B0-4636-BB76-B6FAC1A8ECE0}">
    <text>Q125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opLeftCell="A16" workbookViewId="0">
      <selection activeCell="E38" sqref="E38:F40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8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21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21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22.103975535168196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16.927400468384079</v>
      </c>
    </row>
    <row r="16" spans="2:14" x14ac:dyDescent="0.25">
      <c r="B16" s="4" t="s">
        <v>35</v>
      </c>
      <c r="C16" s="5">
        <f>Model!H29</f>
        <v>0.52457923708813348</v>
      </c>
    </row>
    <row r="17" spans="2:14" x14ac:dyDescent="0.25">
      <c r="B17" s="4" t="s">
        <v>36</v>
      </c>
      <c r="C17" s="5">
        <f>Model!I22/Model!H22-1</f>
        <v>0.30581039755351669</v>
      </c>
      <c r="E17" s="32" t="s">
        <v>46</v>
      </c>
      <c r="L17" s="142" t="s">
        <v>183</v>
      </c>
      <c r="M17" s="143"/>
      <c r="N17" s="144"/>
    </row>
    <row r="18" spans="2:14" x14ac:dyDescent="0.25">
      <c r="B18" s="4" t="s">
        <v>60</v>
      </c>
      <c r="C18" s="46">
        <f>C14/(C16*100)</f>
        <v>0.42136581039433235</v>
      </c>
      <c r="L18" s="145"/>
      <c r="M18" s="146"/>
      <c r="N18" s="147"/>
    </row>
    <row r="19" spans="2:14" x14ac:dyDescent="0.25">
      <c r="B19" s="4" t="s">
        <v>61</v>
      </c>
      <c r="C19" s="46">
        <f>C15/(C17*100)</f>
        <v>0.55352599531615965</v>
      </c>
      <c r="L19" s="145"/>
      <c r="M19" s="146"/>
      <c r="N19" s="147"/>
    </row>
    <row r="20" spans="2:14" x14ac:dyDescent="0.25">
      <c r="B20" s="4" t="s">
        <v>71</v>
      </c>
      <c r="C20" s="5">
        <f>Model!H4/Model!G4-1</f>
        <v>0.99578785271072046</v>
      </c>
      <c r="L20" s="145"/>
      <c r="M20" s="146"/>
      <c r="N20" s="147"/>
    </row>
    <row r="21" spans="2:14" x14ac:dyDescent="0.25">
      <c r="B21" s="4" t="s">
        <v>72</v>
      </c>
      <c r="C21" s="5">
        <f>Model!I4/Model!H4-1</f>
        <v>0.27293770566209008</v>
      </c>
      <c r="L21" s="145"/>
      <c r="M21" s="146"/>
      <c r="N21" s="147"/>
    </row>
    <row r="22" spans="2:14" x14ac:dyDescent="0.25">
      <c r="B22" s="4" t="s">
        <v>62</v>
      </c>
      <c r="C22" s="14">
        <f>Model!G12</f>
        <v>82.245565999999968</v>
      </c>
      <c r="L22" s="145"/>
      <c r="M22" s="146"/>
      <c r="N22" s="147"/>
    </row>
    <row r="23" spans="2:14" x14ac:dyDescent="0.25">
      <c r="B23" s="4" t="s">
        <v>14</v>
      </c>
      <c r="C23" s="14">
        <f>Model!G12</f>
        <v>82.245565999999968</v>
      </c>
      <c r="L23" s="145"/>
      <c r="M23" s="146"/>
      <c r="N23" s="147"/>
    </row>
    <row r="24" spans="2:14" x14ac:dyDescent="0.25">
      <c r="B24" s="4" t="s">
        <v>23</v>
      </c>
      <c r="C24" s="6">
        <f>Model!V23</f>
        <v>0.8507226274872427</v>
      </c>
      <c r="L24" s="145"/>
      <c r="M24" s="146"/>
      <c r="N24" s="147"/>
    </row>
    <row r="25" spans="2:14" x14ac:dyDescent="0.25">
      <c r="B25" s="4" t="s">
        <v>24</v>
      </c>
      <c r="C25" s="6">
        <f>Model!V24</f>
        <v>0.25149952244508123</v>
      </c>
      <c r="L25" s="145"/>
      <c r="M25" s="146"/>
      <c r="N25" s="147"/>
    </row>
    <row r="26" spans="2:14" x14ac:dyDescent="0.25">
      <c r="B26" s="4" t="s">
        <v>63</v>
      </c>
      <c r="C26" s="35">
        <f>C12/C23</f>
        <v>31.51238572545055</v>
      </c>
      <c r="L26" s="145"/>
      <c r="M26" s="146"/>
      <c r="N26" s="147"/>
    </row>
    <row r="27" spans="2:14" x14ac:dyDescent="0.25">
      <c r="B27" s="4" t="s">
        <v>73</v>
      </c>
      <c r="C27" s="118" t="s">
        <v>197</v>
      </c>
      <c r="E27" t="s">
        <v>64</v>
      </c>
      <c r="L27" s="145"/>
      <c r="M27" s="146"/>
      <c r="N27" s="147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48"/>
      <c r="M28" s="149"/>
      <c r="N28" s="150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209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  <c r="E32" t="s">
        <v>214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4"/>
      <c r="F41" s="54"/>
      <c r="G41" s="57"/>
      <c r="H41" s="57"/>
      <c r="I41" s="57"/>
    </row>
    <row r="42" spans="2:9" x14ac:dyDescent="0.25">
      <c r="E42" s="55"/>
      <c r="F42" s="56"/>
      <c r="G42" s="56"/>
    </row>
    <row r="43" spans="2:9" x14ac:dyDescent="0.25">
      <c r="E43" s="55"/>
      <c r="F43" s="56"/>
      <c r="G43" s="56"/>
    </row>
    <row r="44" spans="2:9" x14ac:dyDescent="0.25">
      <c r="E44" s="55"/>
      <c r="F44" s="56"/>
      <c r="G44" s="56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tabSelected="1" zoomScaleNormal="100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W8" sqref="W8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t="s">
        <v>193</v>
      </c>
      <c r="U2" t="s">
        <v>194</v>
      </c>
      <c r="V2" s="12" t="s">
        <v>195</v>
      </c>
      <c r="W2" t="s">
        <v>196</v>
      </c>
      <c r="X2" t="s">
        <v>210</v>
      </c>
      <c r="Y2" t="s">
        <v>211</v>
      </c>
    </row>
    <row r="3" spans="1:25" s="1" customFormat="1" x14ac:dyDescent="0.25">
      <c r="B3" s="1" t="s">
        <v>12</v>
      </c>
      <c r="C3" s="124">
        <f>49.659042+9.129231</f>
        <v>58.788273000000004</v>
      </c>
      <c r="D3" s="124">
        <f>98.200184+16.616451</f>
        <v>114.81663499999999</v>
      </c>
      <c r="E3" s="124">
        <v>125.570441</v>
      </c>
      <c r="F3" s="124">
        <v>159.35677200000001</v>
      </c>
      <c r="G3" s="125">
        <v>271.12788999999998</v>
      </c>
      <c r="H3" s="42"/>
      <c r="L3" s="17">
        <v>34.673431000000001</v>
      </c>
      <c r="M3" s="124">
        <v>34.937665000000003</v>
      </c>
      <c r="N3" s="124">
        <v>40.844200999999998</v>
      </c>
      <c r="O3" s="124">
        <f>F3-N3-M3-L3</f>
        <v>48.901474999999998</v>
      </c>
      <c r="P3" s="124">
        <v>46.978634</v>
      </c>
      <c r="Q3" s="124">
        <v>55.968505</v>
      </c>
      <c r="R3" s="124">
        <v>69.957690999999997</v>
      </c>
      <c r="S3" s="124">
        <f>G3-R3-Q3-P3</f>
        <v>98.223059999999975</v>
      </c>
      <c r="T3" s="124">
        <v>104.91200000000001</v>
      </c>
      <c r="U3" s="124">
        <v>98.701999999999998</v>
      </c>
      <c r="V3" s="125">
        <v>116.79600000000001</v>
      </c>
    </row>
    <row r="4" spans="1:25" x14ac:dyDescent="0.25">
      <c r="B4" s="8" t="s">
        <v>55</v>
      </c>
      <c r="C4" s="124"/>
      <c r="D4" s="124"/>
      <c r="E4" s="124"/>
      <c r="F4" s="124"/>
      <c r="G4" s="125">
        <v>220.79</v>
      </c>
      <c r="H4" s="41">
        <v>440.65</v>
      </c>
      <c r="I4">
        <v>560.91999999999996</v>
      </c>
      <c r="L4" s="17"/>
      <c r="M4" s="124"/>
      <c r="N4" s="124"/>
      <c r="O4" s="124"/>
      <c r="P4" s="124"/>
      <c r="Q4" s="124"/>
      <c r="R4" s="124">
        <v>52.63</v>
      </c>
      <c r="S4" s="124">
        <v>65.180000000000007</v>
      </c>
      <c r="T4" s="124"/>
      <c r="U4" s="124">
        <v>93.33</v>
      </c>
      <c r="V4" s="125">
        <v>104.7</v>
      </c>
      <c r="W4" s="124">
        <v>132.35</v>
      </c>
    </row>
    <row r="5" spans="1:25" x14ac:dyDescent="0.25">
      <c r="B5" t="s">
        <v>160</v>
      </c>
      <c r="C5" s="124">
        <v>30.689461999999999</v>
      </c>
      <c r="D5" s="124">
        <v>56.831367999999998</v>
      </c>
      <c r="E5" s="124">
        <v>51.217083000000002</v>
      </c>
      <c r="F5" s="124">
        <v>46.373914999999997</v>
      </c>
      <c r="G5" s="125">
        <v>51.764963999999999</v>
      </c>
      <c r="H5" s="41"/>
      <c r="L5" s="17">
        <v>11.57399</v>
      </c>
      <c r="M5" s="124">
        <v>12.017071</v>
      </c>
      <c r="N5" s="124">
        <v>11.079174</v>
      </c>
      <c r="O5" s="124">
        <f t="shared" ref="O5:O10" si="0">F5-N5-M5-L5</f>
        <v>11.703679999999993</v>
      </c>
      <c r="P5" s="124">
        <v>11.025040000000001</v>
      </c>
      <c r="Q5" s="124">
        <v>12.736523</v>
      </c>
      <c r="R5" s="124">
        <v>13.423723000000001</v>
      </c>
      <c r="S5" s="124">
        <f t="shared" ref="S5:S10" si="1">G5-R5-Q5-P5</f>
        <v>14.579677999999998</v>
      </c>
      <c r="T5" s="124">
        <v>15.048</v>
      </c>
      <c r="U5" s="124">
        <v>11.680999999999999</v>
      </c>
      <c r="V5" s="125">
        <v>14.32</v>
      </c>
    </row>
    <row r="6" spans="1:25" x14ac:dyDescent="0.25">
      <c r="B6" t="s">
        <v>159</v>
      </c>
      <c r="C6" s="124">
        <v>22.489626000000001</v>
      </c>
      <c r="D6" s="124">
        <v>43.476143</v>
      </c>
      <c r="E6" s="124">
        <v>40.776825000000002</v>
      </c>
      <c r="F6" s="124">
        <v>39.207768000000002</v>
      </c>
      <c r="G6" s="125">
        <v>51.364347000000002</v>
      </c>
      <c r="H6" s="41"/>
      <c r="L6" s="17">
        <v>8.2385859999999997</v>
      </c>
      <c r="M6" s="124">
        <v>7.9459479999999996</v>
      </c>
      <c r="N6" s="124">
        <v>9.9368040000000004</v>
      </c>
      <c r="O6" s="124">
        <f t="shared" si="0"/>
        <v>13.086429999999998</v>
      </c>
      <c r="P6" s="124">
        <v>11.787146</v>
      </c>
      <c r="Q6" s="124">
        <v>10.741618000000001</v>
      </c>
      <c r="R6" s="124">
        <v>12.761438</v>
      </c>
      <c r="S6" s="124">
        <f t="shared" si="1"/>
        <v>16.074145000000001</v>
      </c>
      <c r="T6" s="124">
        <v>15.317</v>
      </c>
      <c r="U6" s="124">
        <v>14.243</v>
      </c>
      <c r="V6" s="125">
        <v>17.434999999999999</v>
      </c>
    </row>
    <row r="7" spans="1:25" x14ac:dyDescent="0.25">
      <c r="B7" t="s">
        <v>158</v>
      </c>
      <c r="C7" s="124">
        <v>2.454113</v>
      </c>
      <c r="D7" s="124">
        <v>5.5498440000000002</v>
      </c>
      <c r="E7" s="124">
        <v>8.1900220000000008</v>
      </c>
      <c r="F7" s="124">
        <v>7.8159150000000004</v>
      </c>
      <c r="G7" s="125">
        <v>9.5951059999999995</v>
      </c>
      <c r="H7" s="41"/>
      <c r="L7" s="17">
        <v>1.7491760000000001</v>
      </c>
      <c r="M7" s="124">
        <v>1.9036299999999999</v>
      </c>
      <c r="N7" s="124">
        <v>2.0025149999999998</v>
      </c>
      <c r="O7" s="124">
        <f t="shared" si="0"/>
        <v>2.1605940000000006</v>
      </c>
      <c r="P7" s="124">
        <v>2.1571720000000001</v>
      </c>
      <c r="Q7" s="124">
        <v>2.1802329999999999</v>
      </c>
      <c r="R7" s="124">
        <v>2.3864899999999998</v>
      </c>
      <c r="S7" s="124">
        <f t="shared" si="1"/>
        <v>2.8712109999999997</v>
      </c>
      <c r="T7" s="124">
        <v>3.3740000000000001</v>
      </c>
      <c r="U7" s="124">
        <v>3.4279999999999999</v>
      </c>
      <c r="V7" s="125">
        <v>3.7050000000000001</v>
      </c>
    </row>
    <row r="8" spans="1:25" x14ac:dyDescent="0.25">
      <c r="B8" t="s">
        <v>157</v>
      </c>
      <c r="C8" s="124">
        <v>4.2749290000000002</v>
      </c>
      <c r="D8" s="124">
        <v>9.2518539999999998</v>
      </c>
      <c r="E8" s="124">
        <v>18.972024999999999</v>
      </c>
      <c r="F8" s="124">
        <v>11.984019</v>
      </c>
      <c r="G8" s="125">
        <v>9.7397629999999999</v>
      </c>
      <c r="H8" s="39"/>
      <c r="L8" s="17">
        <v>3.1991740000000002</v>
      </c>
      <c r="M8" s="124">
        <v>3.3136619999999999</v>
      </c>
      <c r="N8" s="124">
        <v>3.6153390000000001</v>
      </c>
      <c r="O8" s="124">
        <f t="shared" si="0"/>
        <v>1.8558439999999994</v>
      </c>
      <c r="P8" s="124">
        <v>0.65487499999999998</v>
      </c>
      <c r="Q8" s="124">
        <v>0.995089</v>
      </c>
      <c r="R8" s="124">
        <v>2.7256149999999999</v>
      </c>
      <c r="S8" s="124">
        <f t="shared" si="1"/>
        <v>5.3641840000000007</v>
      </c>
      <c r="T8" s="124">
        <v>5.3460000000000001</v>
      </c>
      <c r="U8" s="124">
        <v>8.7720000000000002</v>
      </c>
      <c r="V8" s="125">
        <v>8.7750000000000004</v>
      </c>
    </row>
    <row r="9" spans="1:25" x14ac:dyDescent="0.25">
      <c r="B9" t="s">
        <v>124</v>
      </c>
      <c r="C9" s="124">
        <v>7.2145349999999997</v>
      </c>
      <c r="D9" s="124">
        <v>15.768583</v>
      </c>
      <c r="E9" s="124">
        <v>16.411912000000001</v>
      </c>
      <c r="F9" s="124">
        <v>8.5877809999999997</v>
      </c>
      <c r="G9" s="125">
        <v>11.403468</v>
      </c>
      <c r="H9" s="39"/>
      <c r="L9" s="17">
        <v>2.7982100000000001</v>
      </c>
      <c r="M9" s="124">
        <v>1.6976290000000001</v>
      </c>
      <c r="N9" s="124">
        <v>2.1840760000000001</v>
      </c>
      <c r="O9" s="124">
        <f t="shared" si="0"/>
        <v>1.9078659999999994</v>
      </c>
      <c r="P9" s="124">
        <v>2.3797779999999999</v>
      </c>
      <c r="Q9" s="124">
        <v>2.521782</v>
      </c>
      <c r="R9" s="124">
        <v>2.4169510000000001</v>
      </c>
      <c r="S9" s="124">
        <f t="shared" si="1"/>
        <v>4.0849569999999993</v>
      </c>
      <c r="T9" s="124">
        <v>3.1309999999999998</v>
      </c>
      <c r="U9" s="124">
        <v>3.8460000000000001</v>
      </c>
      <c r="V9" s="125">
        <v>4.8230000000000004</v>
      </c>
    </row>
    <row r="10" spans="1:25" x14ac:dyDescent="0.25">
      <c r="B10" t="s">
        <v>156</v>
      </c>
      <c r="C10" s="124">
        <v>19.587917999999998</v>
      </c>
      <c r="D10" s="124">
        <v>52.621682</v>
      </c>
      <c r="E10" s="124">
        <v>29.437179</v>
      </c>
      <c r="F10" s="124">
        <v>23.186972999999998</v>
      </c>
      <c r="G10" s="125">
        <v>55.014676000000001</v>
      </c>
      <c r="H10" s="9"/>
      <c r="L10" s="17">
        <v>1.694364</v>
      </c>
      <c r="M10" s="124">
        <v>4.2964339999999996</v>
      </c>
      <c r="N10" s="124">
        <v>6.6765480000000004</v>
      </c>
      <c r="O10" s="124">
        <f t="shared" si="0"/>
        <v>10.519626999999998</v>
      </c>
      <c r="P10" s="124">
        <v>5.1399660000000003</v>
      </c>
      <c r="Q10" s="124">
        <v>10.09388</v>
      </c>
      <c r="R10" s="124">
        <v>15.402303</v>
      </c>
      <c r="S10" s="124">
        <f t="shared" si="1"/>
        <v>24.378527000000005</v>
      </c>
      <c r="T10" s="124">
        <v>12.801</v>
      </c>
      <c r="U10" s="124">
        <v>20.646000000000001</v>
      </c>
      <c r="V10" s="125">
        <v>32.177</v>
      </c>
    </row>
    <row r="11" spans="1:25" x14ac:dyDescent="0.25">
      <c r="B11" t="s">
        <v>155</v>
      </c>
      <c r="C11" s="124"/>
      <c r="D11" s="124"/>
      <c r="E11" s="124">
        <v>-11</v>
      </c>
      <c r="F11" s="124"/>
      <c r="G11" s="125"/>
      <c r="H11" s="39"/>
      <c r="L11" s="17"/>
      <c r="M11" s="124"/>
      <c r="N11" s="124"/>
      <c r="O11" s="124"/>
      <c r="P11" s="124"/>
      <c r="Q11" s="124"/>
      <c r="R11" s="124"/>
      <c r="S11" s="124"/>
      <c r="T11" s="124"/>
      <c r="U11" s="124"/>
      <c r="V11" s="125"/>
    </row>
    <row r="12" spans="1:25" s="1" customFormat="1" x14ac:dyDescent="0.25">
      <c r="B12" s="1" t="s">
        <v>18</v>
      </c>
      <c r="C12" s="122">
        <f t="shared" ref="C12:E12" si="2">C3-SUM(C5:C11)</f>
        <v>-27.922309999999996</v>
      </c>
      <c r="D12" s="122">
        <f t="shared" si="2"/>
        <v>-68.682839000000001</v>
      </c>
      <c r="E12" s="122">
        <f t="shared" si="2"/>
        <v>-28.434604999999991</v>
      </c>
      <c r="F12" s="122">
        <f>F3-SUM(F5:F11)</f>
        <v>22.200400999999999</v>
      </c>
      <c r="G12" s="126">
        <f>G3-SUM(G5:G11)</f>
        <v>82.245565999999968</v>
      </c>
      <c r="H12" s="10">
        <f>H3-SUM(H8:H11)</f>
        <v>0</v>
      </c>
      <c r="I12" s="10"/>
      <c r="J12" s="10"/>
      <c r="K12" s="10"/>
      <c r="L12" s="2">
        <f t="shared" ref="L12" si="3">L3-SUM(L5:L11)</f>
        <v>5.4199310000000018</v>
      </c>
      <c r="M12" s="122">
        <f>M3-SUM(M5:M11)</f>
        <v>3.7632910000000024</v>
      </c>
      <c r="N12" s="122">
        <f t="shared" ref="N12" si="4">N3-SUM(N5:N11)</f>
        <v>5.3497449999999986</v>
      </c>
      <c r="O12" s="122">
        <f t="shared" ref="O12" si="5">O3-SUM(O5:O11)</f>
        <v>7.6674340000000072</v>
      </c>
      <c r="P12" s="122">
        <f t="shared" ref="P12" si="6">P3-SUM(P5:P11)</f>
        <v>13.834657</v>
      </c>
      <c r="Q12" s="122">
        <f t="shared" ref="Q12" si="7">Q3-SUM(Q5:Q11)</f>
        <v>16.699379999999998</v>
      </c>
      <c r="R12" s="122">
        <f>R3-SUM(R5:R11)</f>
        <v>20.841171000000003</v>
      </c>
      <c r="S12" s="122">
        <f>S3-SUM(S5:S11)</f>
        <v>30.870357999999968</v>
      </c>
      <c r="T12" s="122">
        <f>T3-SUM(T5:T11)</f>
        <v>49.894999999999996</v>
      </c>
      <c r="U12" s="122">
        <f t="shared" ref="U12:Y12" si="8">U3-SUM(U5:U11)</f>
        <v>36.085999999999999</v>
      </c>
      <c r="V12" s="126">
        <f t="shared" si="8"/>
        <v>35.561000000000007</v>
      </c>
      <c r="W12" s="122">
        <f t="shared" si="8"/>
        <v>0</v>
      </c>
      <c r="X12" s="122">
        <f t="shared" si="8"/>
        <v>0</v>
      </c>
      <c r="Y12" s="122">
        <f t="shared" si="8"/>
        <v>0</v>
      </c>
    </row>
    <row r="13" spans="1:25" x14ac:dyDescent="0.25">
      <c r="B13" t="s">
        <v>58</v>
      </c>
      <c r="C13" s="124">
        <v>-4.3031750000000004</v>
      </c>
      <c r="D13" s="124">
        <v>-5.2692839999999999</v>
      </c>
      <c r="E13" s="124">
        <v>-8.6007160000000002</v>
      </c>
      <c r="F13" s="124">
        <v>-15.96838</v>
      </c>
      <c r="G13" s="125">
        <v>-13.761645</v>
      </c>
      <c r="H13" s="39"/>
      <c r="L13" s="17">
        <v>-3.3770470000000001</v>
      </c>
      <c r="M13" s="124">
        <v>-3.933446</v>
      </c>
      <c r="N13" s="124">
        <v>-4.1432580000000003</v>
      </c>
      <c r="O13" s="124">
        <f>F13-N13-M13-L13</f>
        <v>-4.5146290000000002</v>
      </c>
      <c r="P13" s="124">
        <v>-4.081442</v>
      </c>
      <c r="Q13" s="124">
        <v>-2.911133</v>
      </c>
      <c r="R13" s="124">
        <v>-3.327998</v>
      </c>
      <c r="S13" s="124">
        <f t="shared" ref="S13:S15" si="9">G13-R13-Q13-P13</f>
        <v>-3.441072000000001</v>
      </c>
      <c r="T13" s="124">
        <v>-2.9140000000000001</v>
      </c>
      <c r="U13" s="124">
        <v>-3.5009999999999999</v>
      </c>
      <c r="V13" s="125">
        <v>-3.923</v>
      </c>
    </row>
    <row r="14" spans="1:25" x14ac:dyDescent="0.25">
      <c r="B14" t="s">
        <v>161</v>
      </c>
      <c r="C14" s="124">
        <v>-0.12629099999999999</v>
      </c>
      <c r="D14" s="124">
        <v>-6.5144999999999995E-2</v>
      </c>
      <c r="E14" s="124">
        <v>-0.225606</v>
      </c>
      <c r="F14" s="124">
        <v>1.9334499999999999</v>
      </c>
      <c r="G14" s="125">
        <v>0.354487</v>
      </c>
      <c r="H14" s="39"/>
      <c r="L14" s="17">
        <v>0.113487</v>
      </c>
      <c r="M14" s="124">
        <v>1.0787530000000001</v>
      </c>
      <c r="N14" s="124">
        <v>1.456E-2</v>
      </c>
      <c r="O14" s="124">
        <f>F14-N14-M14-L14</f>
        <v>0.72664999999999991</v>
      </c>
      <c r="P14" s="124">
        <v>-9.1560000000000002E-2</v>
      </c>
      <c r="Q14" s="124">
        <v>5.0126999999999998E-2</v>
      </c>
      <c r="R14" s="124">
        <v>9.6057000000000003E-2</v>
      </c>
      <c r="S14" s="124">
        <f t="shared" si="9"/>
        <v>0.29986299999999999</v>
      </c>
      <c r="T14" s="124">
        <v>2.5000000000000001E-2</v>
      </c>
      <c r="U14" s="124">
        <v>8.6999999999999994E-2</v>
      </c>
      <c r="V14" s="125">
        <v>-6.0000000000000001E-3</v>
      </c>
    </row>
    <row r="15" spans="1:25" x14ac:dyDescent="0.25">
      <c r="B15" t="s">
        <v>162</v>
      </c>
      <c r="C15" s="124">
        <v>0</v>
      </c>
      <c r="D15" s="124">
        <v>-1.092679</v>
      </c>
      <c r="E15" s="124">
        <f>-0.813806+0.050424</f>
        <v>-0.76338200000000001</v>
      </c>
      <c r="F15" s="124">
        <v>-0.45596199999999998</v>
      </c>
      <c r="G15" s="125">
        <f>-1.261556-0.259706</f>
        <v>-1.5212619999999999</v>
      </c>
      <c r="H15" s="39"/>
      <c r="L15" s="17">
        <v>-0.42020099999999999</v>
      </c>
      <c r="M15" s="124">
        <v>0.25170599999999999</v>
      </c>
      <c r="N15" s="124">
        <v>8.9227000000000001E-2</v>
      </c>
      <c r="O15" s="124">
        <f>F15-N15-M15-L15</f>
        <v>-0.37669399999999992</v>
      </c>
      <c r="P15" s="124">
        <v>-1.2615559999999999</v>
      </c>
      <c r="Q15" s="124">
        <v>-0.25970599999999999</v>
      </c>
      <c r="R15" s="124">
        <v>0</v>
      </c>
      <c r="S15" s="124">
        <f t="shared" si="9"/>
        <v>0</v>
      </c>
      <c r="T15" s="124"/>
      <c r="U15" s="124"/>
      <c r="V15" s="125"/>
    </row>
    <row r="16" spans="1:25" s="1" customFormat="1" x14ac:dyDescent="0.25">
      <c r="B16" s="1" t="s">
        <v>125</v>
      </c>
      <c r="C16" s="122">
        <f>C12+SUM(C13:C15)</f>
        <v>-32.351775999999994</v>
      </c>
      <c r="D16" s="122">
        <f t="shared" ref="D16:H16" si="10">D12+SUM(D13:D15)</f>
        <v>-75.109947000000005</v>
      </c>
      <c r="E16" s="122">
        <f t="shared" si="10"/>
        <v>-38.024308999999988</v>
      </c>
      <c r="F16" s="122">
        <f t="shared" si="10"/>
        <v>7.7095090000000006</v>
      </c>
      <c r="G16" s="126">
        <f t="shared" si="10"/>
        <v>67.317145999999966</v>
      </c>
      <c r="H16" s="10">
        <f t="shared" si="10"/>
        <v>0</v>
      </c>
      <c r="L16" s="2">
        <f t="shared" ref="L16" si="11">L12+SUM(L13:L15)</f>
        <v>1.7361700000000018</v>
      </c>
      <c r="M16" s="122">
        <f>M12+SUM(M13:M15)</f>
        <v>1.1603040000000022</v>
      </c>
      <c r="N16" s="122">
        <f t="shared" ref="N16" si="12">N12+SUM(N13:N15)</f>
        <v>1.3102739999999988</v>
      </c>
      <c r="O16" s="122">
        <f t="shared" ref="O16" si="13">O12+SUM(O13:O15)</f>
        <v>3.5027610000000067</v>
      </c>
      <c r="P16" s="122">
        <f t="shared" ref="P16" si="14">P12+SUM(P13:P15)</f>
        <v>8.4000990000000009</v>
      </c>
      <c r="Q16" s="122">
        <f t="shared" ref="Q16:R16" si="15">Q12+SUM(Q13:Q15)</f>
        <v>13.578667999999997</v>
      </c>
      <c r="R16" s="122">
        <f t="shared" si="15"/>
        <v>17.609230000000004</v>
      </c>
      <c r="S16" s="122">
        <f t="shared" ref="S16:Y16" si="16">S12+SUM(S13:S15)</f>
        <v>27.729148999999968</v>
      </c>
      <c r="T16" s="122">
        <f t="shared" si="16"/>
        <v>47.005999999999993</v>
      </c>
      <c r="U16" s="122">
        <f>U12+SUM(U13:U15)</f>
        <v>32.671999999999997</v>
      </c>
      <c r="V16" s="126">
        <f t="shared" si="16"/>
        <v>31.632000000000009</v>
      </c>
      <c r="W16" s="126">
        <f t="shared" si="16"/>
        <v>0</v>
      </c>
      <c r="X16" s="126">
        <f t="shared" si="16"/>
        <v>0</v>
      </c>
      <c r="Y16" s="126">
        <f t="shared" si="16"/>
        <v>0</v>
      </c>
    </row>
    <row r="17" spans="2:25" x14ac:dyDescent="0.25">
      <c r="B17" t="s">
        <v>15</v>
      </c>
      <c r="C17" s="124">
        <v>3.0963999999999998E-2</v>
      </c>
      <c r="D17" s="124">
        <v>5.8416000000000003E-2</v>
      </c>
      <c r="E17" s="124">
        <v>6.9446999999999995E-2</v>
      </c>
      <c r="F17" s="124">
        <v>0.611487</v>
      </c>
      <c r="G17" s="125">
        <v>-11.205164999999999</v>
      </c>
      <c r="H17" s="39"/>
      <c r="L17" s="17">
        <v>1.1624000000000001E-2</v>
      </c>
      <c r="M17" s="124">
        <v>2.0525999999999999E-2</v>
      </c>
      <c r="N17" s="124">
        <v>1.5873999999999999E-2</v>
      </c>
      <c r="O17" s="124">
        <f>F17-N17-M17-L17</f>
        <v>0.56346299999999994</v>
      </c>
      <c r="P17" s="124">
        <v>0.393094</v>
      </c>
      <c r="Q17" s="124">
        <v>-16.123213</v>
      </c>
      <c r="R17" s="124">
        <v>2.1629890000000001</v>
      </c>
      <c r="S17" s="124">
        <f t="shared" ref="S17:S18" si="17">G17-R17-Q17-P17</f>
        <v>2.361965000000001</v>
      </c>
      <c r="T17" s="124">
        <v>10.842000000000001</v>
      </c>
      <c r="U17" s="124">
        <v>5.0679999999999996</v>
      </c>
      <c r="V17" s="125">
        <v>4.9610000000000003</v>
      </c>
    </row>
    <row r="18" spans="2:25" x14ac:dyDescent="0.25">
      <c r="B18" t="s">
        <v>163</v>
      </c>
      <c r="C18" s="124">
        <v>0.49450499999999997</v>
      </c>
      <c r="D18" s="124">
        <v>6.9405999999999995E-2</v>
      </c>
      <c r="E18" s="124">
        <v>-1.2078850000000001</v>
      </c>
      <c r="F18" s="124">
        <v>-3.0249999999999999E-3</v>
      </c>
      <c r="G18" s="125">
        <v>0.94079400000000002</v>
      </c>
      <c r="H18" s="39"/>
      <c r="L18" s="17">
        <v>0.14580799999999999</v>
      </c>
      <c r="M18" s="124">
        <v>-0.30468699999999999</v>
      </c>
      <c r="N18" s="124">
        <v>0.35846499999999998</v>
      </c>
      <c r="O18" s="124">
        <f>F18-N18-M18-L18</f>
        <v>-0.20261099999999999</v>
      </c>
      <c r="P18" s="124">
        <v>-1.451E-3</v>
      </c>
      <c r="Q18" s="124">
        <v>-7.5401999999999997E-2</v>
      </c>
      <c r="R18" s="124">
        <v>-7.1597999999999995E-2</v>
      </c>
      <c r="S18" s="124">
        <f t="shared" si="17"/>
        <v>1.089245</v>
      </c>
      <c r="T18" s="124">
        <v>-9.2999999999999999E-2</v>
      </c>
      <c r="U18" s="124">
        <v>0.72899999999999998</v>
      </c>
      <c r="V18" s="125">
        <v>0.33900000000000002</v>
      </c>
    </row>
    <row r="19" spans="2:25" s="1" customFormat="1" x14ac:dyDescent="0.25">
      <c r="B19" s="1" t="s">
        <v>16</v>
      </c>
      <c r="C19" s="122">
        <f t="shared" ref="C19:F19" si="18">C16-SUM(C17:C18)</f>
        <v>-32.877244999999995</v>
      </c>
      <c r="D19" s="122">
        <f t="shared" si="18"/>
        <v>-75.237769</v>
      </c>
      <c r="E19" s="122">
        <f t="shared" si="18"/>
        <v>-36.885870999999987</v>
      </c>
      <c r="F19" s="122">
        <f t="shared" si="18"/>
        <v>7.1010470000000003</v>
      </c>
      <c r="G19" s="126">
        <f>G16-SUM(G17:G18)</f>
        <v>77.581516999999963</v>
      </c>
      <c r="H19" s="53">
        <f>H22*H20</f>
        <v>118.27916999999999</v>
      </c>
      <c r="L19" s="2">
        <f t="shared" ref="L19:M19" si="19">L16-SUM(L17:L18)</f>
        <v>1.5787380000000018</v>
      </c>
      <c r="M19" s="122">
        <f t="shared" si="19"/>
        <v>1.4444650000000023</v>
      </c>
      <c r="N19" s="122">
        <f t="shared" ref="N19" si="20">N16-SUM(N17:N18)</f>
        <v>0.93593499999999885</v>
      </c>
      <c r="O19" s="122">
        <f t="shared" ref="O19" si="21">O16-SUM(O17:O18)</f>
        <v>3.1419090000000067</v>
      </c>
      <c r="P19" s="122">
        <f t="shared" ref="P19" si="22">P16-SUM(P17:P18)</f>
        <v>8.0084560000000007</v>
      </c>
      <c r="Q19" s="122">
        <f t="shared" ref="Q19:R19" si="23">Q16-SUM(Q17:Q18)</f>
        <v>29.777282999999997</v>
      </c>
      <c r="R19" s="122">
        <f t="shared" si="23"/>
        <v>15.517839000000004</v>
      </c>
      <c r="S19" s="122">
        <f t="shared" ref="S19:Y19" si="24">S16-SUM(S17:S18)</f>
        <v>24.277938999999968</v>
      </c>
      <c r="T19" s="122">
        <f t="shared" si="24"/>
        <v>36.256999999999991</v>
      </c>
      <c r="U19" s="122">
        <f t="shared" si="24"/>
        <v>26.874999999999996</v>
      </c>
      <c r="V19" s="126">
        <f t="shared" si="24"/>
        <v>26.332000000000008</v>
      </c>
      <c r="W19" s="122">
        <f t="shared" si="24"/>
        <v>0</v>
      </c>
      <c r="X19" s="122">
        <f t="shared" si="24"/>
        <v>0</v>
      </c>
      <c r="Y19" s="122">
        <f t="shared" si="24"/>
        <v>0</v>
      </c>
    </row>
    <row r="20" spans="2:25" x14ac:dyDescent="0.25">
      <c r="B20" t="s">
        <v>164</v>
      </c>
      <c r="C20" s="124">
        <v>186.842646</v>
      </c>
      <c r="D20" s="124">
        <v>200.34402800000001</v>
      </c>
      <c r="E20" s="124">
        <v>5.4436049999999998</v>
      </c>
      <c r="F20" s="124">
        <v>5.6785269999999999</v>
      </c>
      <c r="G20" s="125">
        <v>5.981795</v>
      </c>
      <c r="H20" s="124">
        <f>T20</f>
        <v>36.170999999999999</v>
      </c>
      <c r="L20" s="17">
        <v>5.5568299999999997</v>
      </c>
      <c r="M20" s="124">
        <v>5.6557409999999999</v>
      </c>
      <c r="N20" s="123">
        <v>5.7296649999999998</v>
      </c>
      <c r="O20" s="124">
        <f>F20</f>
        <v>5.6785269999999999</v>
      </c>
      <c r="P20" s="124">
        <v>5.9607679999999998</v>
      </c>
      <c r="Q20" s="124">
        <v>6.0243779999999996</v>
      </c>
      <c r="R20" s="124">
        <v>5.9058830000000002</v>
      </c>
      <c r="S20" s="124">
        <f>G20</f>
        <v>5.981795</v>
      </c>
      <c r="T20" s="124">
        <v>36.170999999999999</v>
      </c>
      <c r="U20" s="124">
        <v>35.506999999999998</v>
      </c>
      <c r="V20" s="125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4">
        <f>F19/F20</f>
        <v>1.2505086266209531</v>
      </c>
      <c r="G21" s="51">
        <f>G19/G20</f>
        <v>12.969604775823973</v>
      </c>
      <c r="H21" s="52"/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2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2" t="e">
        <f t="shared" si="27"/>
        <v>#DIV/0!</v>
      </c>
      <c r="X21" s="2" t="e">
        <f t="shared" si="27"/>
        <v>#DIV/0!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6">
        <v>6.73</v>
      </c>
      <c r="H22" s="43">
        <v>3.27</v>
      </c>
      <c r="I22" s="1">
        <v>4.2699999999999996</v>
      </c>
      <c r="L22" s="45"/>
      <c r="M22" s="45"/>
      <c r="N22" s="45"/>
      <c r="O22" s="44"/>
      <c r="P22" s="44"/>
      <c r="Q22" s="44"/>
      <c r="R22" s="44">
        <v>0.89</v>
      </c>
      <c r="S22" s="44"/>
      <c r="T22" s="44"/>
      <c r="U22" s="139">
        <v>0.56000000000000005</v>
      </c>
      <c r="V22" s="140">
        <v>0.65</v>
      </c>
      <c r="W22" s="1">
        <v>0.9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 t="e">
        <f t="shared" si="29"/>
        <v>#DIV/0!</v>
      </c>
      <c r="I23" s="38" t="e">
        <f t="shared" si="29"/>
        <v>#DIV/0!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U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 t="e">
        <f t="shared" si="33"/>
        <v>#DIV/0!</v>
      </c>
      <c r="I24" s="3" t="e">
        <f t="shared" si="33"/>
        <v>#DIV/0!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3">
        <f>T19/T3</f>
        <v>0.34559440292816829</v>
      </c>
      <c r="U24" s="3">
        <f t="shared" ref="U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 t="e">
        <f t="shared" si="36"/>
        <v>#DIV/0!</v>
      </c>
      <c r="Y24" s="3" t="e">
        <f t="shared" si="36"/>
        <v>#DIV/0!</v>
      </c>
    </row>
    <row r="25" spans="2:25" s="127" customFormat="1" x14ac:dyDescent="0.25">
      <c r="B25" s="127" t="s">
        <v>25</v>
      </c>
      <c r="C25" s="128"/>
      <c r="D25" s="128">
        <f>D3/C3-1</f>
        <v>0.95305337511785693</v>
      </c>
      <c r="E25" s="129">
        <f>E3/D3-1</f>
        <v>9.3660696466152382E-2</v>
      </c>
      <c r="F25" s="129">
        <f>F3/E3-1</f>
        <v>0.26906277250392074</v>
      </c>
      <c r="G25" s="130">
        <f t="shared" ref="G25:I25" si="37">G3/F3-1</f>
        <v>0.70138919480622985</v>
      </c>
      <c r="H25" s="129">
        <f t="shared" si="37"/>
        <v>-1</v>
      </c>
      <c r="I25" s="129" t="e">
        <f t="shared" si="37"/>
        <v>#DIV/0!</v>
      </c>
      <c r="L25" s="129"/>
      <c r="M25" s="129"/>
      <c r="N25" s="129"/>
      <c r="O25" s="129"/>
      <c r="P25" s="129">
        <f t="shared" ref="P25" si="38">P3/L3-1</f>
        <v>0.3548885312214991</v>
      </c>
      <c r="Q25" s="129">
        <f t="shared" ref="Q25:V25" si="39">Q3/M3-1</f>
        <v>0.60195322154471387</v>
      </c>
      <c r="R25" s="129">
        <f t="shared" si="39"/>
        <v>0.71279372070468461</v>
      </c>
      <c r="S25" s="129">
        <f t="shared" si="39"/>
        <v>1.0085909474100725</v>
      </c>
      <c r="T25" s="129">
        <f t="shared" si="39"/>
        <v>1.2331854093501313</v>
      </c>
      <c r="U25" s="129">
        <f t="shared" si="39"/>
        <v>0.76352754106974974</v>
      </c>
      <c r="V25" s="130">
        <f t="shared" si="39"/>
        <v>0.66952336948913893</v>
      </c>
      <c r="W25" s="129">
        <f>W4/S3-1</f>
        <v>0.34744325823284306</v>
      </c>
      <c r="X25" s="129">
        <f t="shared" ref="X25:Y25" si="40">X4/T3-1</f>
        <v>-1</v>
      </c>
      <c r="Y25" s="129">
        <f t="shared" si="40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1">G8/G3</f>
        <v>3.5923132068781269E-2</v>
      </c>
      <c r="H26" s="3" t="e">
        <f t="shared" si="41"/>
        <v>#DIV/0!</v>
      </c>
      <c r="I26" s="3" t="e">
        <f t="shared" si="41"/>
        <v>#DIV/0!</v>
      </c>
      <c r="L26" s="3">
        <f t="shared" ref="L26:S26" si="42">L8/L3</f>
        <v>9.2265862008291025E-2</v>
      </c>
      <c r="M26" s="3">
        <f t="shared" si="42"/>
        <v>9.4844976045193624E-2</v>
      </c>
      <c r="N26" s="3">
        <f t="shared" si="42"/>
        <v>8.8515356194628469E-2</v>
      </c>
      <c r="O26" s="3">
        <f t="shared" si="42"/>
        <v>3.795067531194099E-2</v>
      </c>
      <c r="P26" s="3">
        <f t="shared" si="42"/>
        <v>1.3939847633713658E-2</v>
      </c>
      <c r="Q26" s="3">
        <f t="shared" si="42"/>
        <v>1.7779445779371808E-2</v>
      </c>
      <c r="R26" s="3">
        <f t="shared" si="42"/>
        <v>3.8960905670828959E-2</v>
      </c>
      <c r="S26" s="3">
        <f t="shared" si="42"/>
        <v>5.4612267221159694E-2</v>
      </c>
      <c r="T26" s="3">
        <f t="shared" ref="T26:U26" si="43">T8/T3</f>
        <v>5.0956992527070304E-2</v>
      </c>
      <c r="U26" s="3">
        <f t="shared" si="43"/>
        <v>8.8873579056148816E-2</v>
      </c>
      <c r="V26" s="6">
        <f t="shared" ref="V26:Y26" si="44">V8/V3</f>
        <v>7.5130997636905367E-2</v>
      </c>
      <c r="W26" s="3" t="e">
        <f t="shared" si="44"/>
        <v>#DIV/0!</v>
      </c>
      <c r="X26" s="3" t="e">
        <f t="shared" si="44"/>
        <v>#DIV/0!</v>
      </c>
      <c r="Y26" s="3" t="e">
        <f t="shared" si="44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5">G5/G3</f>
        <v>0.19092452642920654</v>
      </c>
      <c r="H27" s="3" t="e">
        <f t="shared" si="45"/>
        <v>#DIV/0!</v>
      </c>
      <c r="I27" s="3" t="e">
        <f t="shared" si="45"/>
        <v>#DIV/0!</v>
      </c>
      <c r="L27" s="3">
        <f t="shared" ref="L27:S27" si="46">L5/L3</f>
        <v>0.33379996343598073</v>
      </c>
      <c r="M27" s="3">
        <f t="shared" si="46"/>
        <v>0.34395747397543591</v>
      </c>
      <c r="N27" s="3">
        <f t="shared" si="46"/>
        <v>0.27125451664484757</v>
      </c>
      <c r="O27" s="3">
        <f t="shared" si="46"/>
        <v>0.23933184019500423</v>
      </c>
      <c r="P27" s="3">
        <f t="shared" si="46"/>
        <v>0.23468200458957578</v>
      </c>
      <c r="Q27" s="3">
        <f t="shared" si="46"/>
        <v>0.22756589621252166</v>
      </c>
      <c r="R27" s="3">
        <f t="shared" si="46"/>
        <v>0.19188344852605271</v>
      </c>
      <c r="S27" s="3">
        <f t="shared" si="46"/>
        <v>0.14843436968874724</v>
      </c>
      <c r="T27" s="3">
        <f t="shared" ref="T27:U27" si="47">T5/T3</f>
        <v>0.14343449748360529</v>
      </c>
      <c r="U27" s="3">
        <f t="shared" si="47"/>
        <v>0.11834613280379323</v>
      </c>
      <c r="V27" s="6">
        <f t="shared" ref="V27:Y27" si="48">V5/V3</f>
        <v>0.12260693859378745</v>
      </c>
      <c r="W27" s="3" t="e">
        <f t="shared" si="48"/>
        <v>#DIV/0!</v>
      </c>
      <c r="X27" s="3" t="e">
        <f t="shared" si="48"/>
        <v>#DIV/0!</v>
      </c>
      <c r="Y27" s="3" t="e">
        <f t="shared" si="48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9">G11/G3</f>
        <v>0</v>
      </c>
      <c r="H28" s="3" t="e">
        <f t="shared" si="49"/>
        <v>#DIV/0!</v>
      </c>
      <c r="I28" s="3" t="e">
        <f t="shared" si="49"/>
        <v>#DIV/0!</v>
      </c>
      <c r="L28" s="3">
        <f t="shared" ref="L28:S28" si="50">L11/L3</f>
        <v>0</v>
      </c>
      <c r="M28" s="3">
        <f t="shared" si="50"/>
        <v>0</v>
      </c>
      <c r="N28" s="3">
        <f t="shared" si="50"/>
        <v>0</v>
      </c>
      <c r="O28" s="3">
        <f t="shared" si="50"/>
        <v>0</v>
      </c>
      <c r="P28" s="3">
        <f t="shared" si="50"/>
        <v>0</v>
      </c>
      <c r="Q28" s="3">
        <f t="shared" si="50"/>
        <v>0</v>
      </c>
      <c r="R28" s="3">
        <f t="shared" si="50"/>
        <v>0</v>
      </c>
      <c r="S28" s="3">
        <f t="shared" si="50"/>
        <v>0</v>
      </c>
      <c r="T28" s="3">
        <f t="shared" ref="T28:U28" si="51">T11/T3</f>
        <v>0</v>
      </c>
      <c r="U28" s="3">
        <f t="shared" si="51"/>
        <v>0</v>
      </c>
      <c r="V28" s="6">
        <f t="shared" ref="V28:Y28" si="52">V11/V3</f>
        <v>0</v>
      </c>
      <c r="W28" s="3" t="e">
        <f t="shared" si="52"/>
        <v>#DIV/0!</v>
      </c>
      <c r="X28" s="3" t="e">
        <f t="shared" si="52"/>
        <v>#DIV/0!</v>
      </c>
      <c r="Y28" s="3" t="e">
        <f t="shared" si="52"/>
        <v>#DIV/0!</v>
      </c>
    </row>
    <row r="29" spans="2:25" s="127" customFormat="1" x14ac:dyDescent="0.25">
      <c r="B29" s="127" t="s">
        <v>168</v>
      </c>
      <c r="C29" s="128"/>
      <c r="D29" s="128">
        <f>-(D19/C19-1)</f>
        <v>-1.2884450628390551</v>
      </c>
      <c r="E29" s="129">
        <f>E19/D19-1</f>
        <v>-0.50974262673844062</v>
      </c>
      <c r="F29" s="129">
        <f>F21/E21-1</f>
        <v>-1.1845496616419049</v>
      </c>
      <c r="G29" s="130">
        <f t="shared" ref="G29" si="53">G21/F21-1</f>
        <v>9.3714636586471496</v>
      </c>
      <c r="H29" s="129">
        <f>H22/(G21*G20/H20)-1</f>
        <v>0.52457923708813348</v>
      </c>
      <c r="I29" s="129">
        <f>I22/(H22)-1</f>
        <v>0.30581039755351669</v>
      </c>
      <c r="L29" s="129"/>
      <c r="M29" s="129"/>
      <c r="N29" s="129"/>
      <c r="O29" s="129"/>
      <c r="P29" s="129">
        <f t="shared" ref="P29" si="54">P21/L21-1</f>
        <v>3.3283284406211981</v>
      </c>
      <c r="Q29" s="129">
        <f>Q21/M21-1</f>
        <v>23.46476131398072</v>
      </c>
      <c r="R29" s="129">
        <f>R21/N21-1</f>
        <v>10.577070923879727</v>
      </c>
      <c r="S29" s="129">
        <f>S21/O21-1</f>
        <v>7.1928086112209204</v>
      </c>
      <c r="T29" s="129">
        <f>T21/(P21*P20/T20)-1</f>
        <v>3.5165452001091522</v>
      </c>
      <c r="U29" s="129">
        <f>U21/(Q21*Q20/U20)-1</f>
        <v>-7.0631250593186423E-2</v>
      </c>
      <c r="V29" s="130">
        <f t="shared" ref="V29:Y29" si="55">V22/(R21*R20/U20)-1</f>
        <v>0.49418554326583353</v>
      </c>
      <c r="W29" s="129">
        <f t="shared" si="55"/>
        <v>0.26571006068312664</v>
      </c>
      <c r="X29" s="129" t="e">
        <f t="shared" si="55"/>
        <v>#DIV/0!</v>
      </c>
      <c r="Y29" s="129" t="e">
        <f t="shared" si="55"/>
        <v>#DIV/0!</v>
      </c>
    </row>
    <row r="30" spans="2:25" x14ac:dyDescent="0.25">
      <c r="B30" t="s">
        <v>68</v>
      </c>
      <c r="C30" s="47">
        <f>C13/C3</f>
        <v>-7.3197846788253168E-2</v>
      </c>
      <c r="D30" s="47">
        <f>D13/D3</f>
        <v>-4.5893036318300044E-2</v>
      </c>
      <c r="E30" s="47">
        <f>E13/E3</f>
        <v>-6.8493157557677126E-2</v>
      </c>
      <c r="F30" s="47">
        <f>F13/F3</f>
        <v>-0.10020521751030448</v>
      </c>
      <c r="G30" s="48">
        <f t="shared" ref="G30:I30" si="56">G13/G3</f>
        <v>-5.075702466463336E-2</v>
      </c>
      <c r="H30" s="47" t="e">
        <f t="shared" si="56"/>
        <v>#DIV/0!</v>
      </c>
      <c r="I30" s="47" t="e">
        <f t="shared" si="56"/>
        <v>#DIV/0!</v>
      </c>
      <c r="L30" s="47">
        <f t="shared" ref="L30:S30" si="57">L13/L3</f>
        <v>-9.7395812949690505E-2</v>
      </c>
      <c r="M30" s="47">
        <f t="shared" si="57"/>
        <v>-0.11258468475211493</v>
      </c>
      <c r="N30" s="47">
        <f t="shared" si="57"/>
        <v>-0.1014405447666855</v>
      </c>
      <c r="O30" s="47">
        <f t="shared" si="57"/>
        <v>-9.232091670036538E-2</v>
      </c>
      <c r="P30" s="47">
        <f t="shared" si="57"/>
        <v>-8.6878686170398234E-2</v>
      </c>
      <c r="Q30" s="47">
        <f>Q13/Q3</f>
        <v>-5.2013770959220725E-2</v>
      </c>
      <c r="R30" s="47">
        <f>R13/R3</f>
        <v>-4.7571581514890195E-2</v>
      </c>
      <c r="S30" s="47">
        <f t="shared" si="57"/>
        <v>-3.5033239648612068E-2</v>
      </c>
      <c r="T30" s="47">
        <f t="shared" ref="T30:U30" si="58">T13/T3</f>
        <v>-2.7775659600427025E-2</v>
      </c>
      <c r="U30" s="47">
        <f t="shared" si="58"/>
        <v>-3.5470405868168832E-2</v>
      </c>
      <c r="V30" s="48">
        <f t="shared" ref="V30:Y30" si="59">V13/V3</f>
        <v>-3.3588479057501966E-2</v>
      </c>
      <c r="W30" s="47" t="e">
        <f t="shared" si="59"/>
        <v>#DIV/0!</v>
      </c>
      <c r="X30" s="47" t="e">
        <f t="shared" si="59"/>
        <v>#DIV/0!</v>
      </c>
      <c r="Y30" s="47" t="e">
        <f t="shared" si="59"/>
        <v>#DIV/0!</v>
      </c>
    </row>
    <row r="31" spans="2:25" x14ac:dyDescent="0.25">
      <c r="B31" t="s">
        <v>69</v>
      </c>
      <c r="C31" s="49">
        <f t="shared" ref="C31:F31" si="60">-C13/C12</f>
        <v>-0.1541124283771651</v>
      </c>
      <c r="D31" s="49">
        <f t="shared" si="60"/>
        <v>-7.671907679879103E-2</v>
      </c>
      <c r="E31" s="49">
        <f t="shared" si="60"/>
        <v>-0.30247355291202405</v>
      </c>
      <c r="F31" s="47">
        <f t="shared" si="60"/>
        <v>0.71928340393491097</v>
      </c>
      <c r="G31" s="48">
        <f t="shared" ref="G31:I31" si="61">-G13/G12</f>
        <v>0.16732385305731867</v>
      </c>
      <c r="H31" s="47" t="e">
        <f t="shared" si="61"/>
        <v>#DIV/0!</v>
      </c>
      <c r="I31" s="47" t="e">
        <f t="shared" si="61"/>
        <v>#DIV/0!</v>
      </c>
      <c r="L31" s="49">
        <f t="shared" ref="L31:S31" si="62">-L13/L12</f>
        <v>0.62307933440481045</v>
      </c>
      <c r="M31" s="49">
        <f t="shared" si="62"/>
        <v>1.0452144147237079</v>
      </c>
      <c r="N31" s="49">
        <f t="shared" si="62"/>
        <v>0.77447766201940493</v>
      </c>
      <c r="O31" s="49">
        <f t="shared" si="62"/>
        <v>0.58880572040137491</v>
      </c>
      <c r="P31" s="49">
        <f t="shared" si="62"/>
        <v>0.2950157709005724</v>
      </c>
      <c r="Q31" s="47">
        <f>-Q13/Q12</f>
        <v>0.1743258132936672</v>
      </c>
      <c r="R31" s="47">
        <f t="shared" si="62"/>
        <v>0.15968382966580907</v>
      </c>
      <c r="S31" s="47">
        <f t="shared" si="62"/>
        <v>0.11146848377981249</v>
      </c>
      <c r="T31" s="47">
        <f t="shared" ref="T31:U31" si="63">-T13/T12</f>
        <v>5.8402645555666911E-2</v>
      </c>
      <c r="U31" s="47">
        <f t="shared" si="63"/>
        <v>9.7018234218256394E-2</v>
      </c>
      <c r="V31" s="48">
        <f t="shared" ref="V31:Y31" si="64">-V13/V12</f>
        <v>0.11031748263547142</v>
      </c>
      <c r="W31" s="47" t="e">
        <f t="shared" si="64"/>
        <v>#DIV/0!</v>
      </c>
      <c r="X31" s="47" t="e">
        <f t="shared" si="64"/>
        <v>#DIV/0!</v>
      </c>
      <c r="Y31" s="47" t="e">
        <f t="shared" si="64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5">C35-C56-C58</f>
        <v>42.988823999999994</v>
      </c>
      <c r="D34" s="10">
        <f t="shared" si="65"/>
        <v>-0.97740299999999536</v>
      </c>
      <c r="E34" s="10">
        <f t="shared" si="65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6">L35-L56-L58</f>
        <v>0</v>
      </c>
      <c r="M34" s="10">
        <f t="shared" ref="M34" si="67">M35-M56-M58</f>
        <v>0</v>
      </c>
      <c r="N34" s="10">
        <f t="shared" ref="N34" si="68">N35-N56-N58</f>
        <v>-10.23635800000001</v>
      </c>
      <c r="O34" s="10">
        <f t="shared" ref="O34" si="69">O35-O56-O58</f>
        <v>67.374212</v>
      </c>
      <c r="P34" s="10">
        <f t="shared" ref="P34" si="70">P35-P56-P58</f>
        <v>6.0957769999999982</v>
      </c>
      <c r="Q34" s="10">
        <f t="shared" ref="Q34" si="71">Q35-Q56-Q58</f>
        <v>-10.855995</v>
      </c>
      <c r="R34" s="10">
        <f t="shared" ref="R34:Z34" si="72">R35-R56-R58</f>
        <v>-13.875219000000001</v>
      </c>
      <c r="S34" s="10">
        <f t="shared" si="72"/>
        <v>-30.80630699999999</v>
      </c>
      <c r="T34" s="10">
        <f>T35-T56-T58</f>
        <v>19.003</v>
      </c>
      <c r="U34" s="10">
        <f t="shared" si="72"/>
        <v>-41.558000000000007</v>
      </c>
      <c r="V34" s="13">
        <f t="shared" si="72"/>
        <v>-13.164999999999992</v>
      </c>
      <c r="W34" s="10">
        <f t="shared" si="72"/>
        <v>0</v>
      </c>
      <c r="X34" s="10">
        <f t="shared" si="72"/>
        <v>0</v>
      </c>
      <c r="Y34" s="10">
        <f t="shared" si="72"/>
        <v>0</v>
      </c>
      <c r="Z34" s="10">
        <f t="shared" si="72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4">
        <v>65.150279999999995</v>
      </c>
      <c r="O35" s="9">
        <f t="shared" ref="O35:O40" si="73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9">
        <v>88.893000000000001</v>
      </c>
      <c r="U35" s="9">
        <v>88.942999999999998</v>
      </c>
      <c r="V35" s="14">
        <v>104.14700000000001</v>
      </c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4">
        <v>1.5804180000000001</v>
      </c>
      <c r="O36" s="9">
        <f t="shared" si="73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4">G36</f>
        <v>4.8495819999999998</v>
      </c>
      <c r="T36" s="9">
        <v>14.942</v>
      </c>
      <c r="U36" s="9">
        <v>10.558999999999999</v>
      </c>
      <c r="V36" s="14">
        <v>10.914999999999999</v>
      </c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4">
        <v>111.146024</v>
      </c>
      <c r="O37" s="9">
        <f t="shared" si="73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4"/>
        <v>190.665266</v>
      </c>
      <c r="T37" s="9">
        <v>167.15</v>
      </c>
      <c r="U37" s="9">
        <v>208.55500000000001</v>
      </c>
      <c r="V37" s="14">
        <v>217.84899999999999</v>
      </c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4">
        <v>-8.5979419999999998</v>
      </c>
      <c r="O38" s="9">
        <f t="shared" si="73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4"/>
        <v>-26.103421000000001</v>
      </c>
      <c r="T38" s="9">
        <v>-20.521999999999998</v>
      </c>
      <c r="U38" s="9">
        <v>-23.614999999999998</v>
      </c>
      <c r="V38" s="14">
        <v>-33.718000000000004</v>
      </c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3"/>
        <v>1.571728</v>
      </c>
      <c r="P39" s="9">
        <v>1.31633</v>
      </c>
      <c r="Q39" s="9">
        <v>1.023752</v>
      </c>
      <c r="R39" s="9">
        <v>3.82328</v>
      </c>
      <c r="S39" s="9">
        <f t="shared" si="74"/>
        <v>3.6291820000000001</v>
      </c>
      <c r="T39" s="9">
        <v>3.2629999999999999</v>
      </c>
      <c r="U39" s="9">
        <v>4.0250000000000004</v>
      </c>
      <c r="V39" s="14">
        <v>7.423</v>
      </c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3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4"/>
        <v>11.392782</v>
      </c>
      <c r="T40" s="9">
        <v>12.218999999999999</v>
      </c>
      <c r="U40" s="9">
        <v>23.065999999999999</v>
      </c>
      <c r="V40" s="14">
        <v>22.838000000000001</v>
      </c>
    </row>
    <row r="41" spans="2:26" s="1" customFormat="1" x14ac:dyDescent="0.25">
      <c r="B41" s="1" t="s">
        <v>51</v>
      </c>
      <c r="C41" s="10">
        <f t="shared" ref="C41" si="75">SUM(C35:C40)</f>
        <v>173.00042799999997</v>
      </c>
      <c r="D41" s="10">
        <f>SUM(D35:D40)</f>
        <v>221.29090299999999</v>
      </c>
      <c r="E41" s="10">
        <f t="shared" ref="E41:G41" si="76">SUM(E35:E40)</f>
        <v>170.13146</v>
      </c>
      <c r="F41" s="10">
        <f t="shared" si="76"/>
        <v>209.04486600000001</v>
      </c>
      <c r="G41" s="13">
        <f t="shared" si="76"/>
        <v>257.61864300000002</v>
      </c>
      <c r="L41" s="10">
        <f t="shared" ref="L41:V41" si="77">SUM(L35:L40)</f>
        <v>0</v>
      </c>
      <c r="M41" s="10">
        <f t="shared" si="77"/>
        <v>0</v>
      </c>
      <c r="N41" s="10">
        <f t="shared" si="77"/>
        <v>176.20298799999998</v>
      </c>
      <c r="O41" s="10">
        <f t="shared" si="77"/>
        <v>209.04486600000001</v>
      </c>
      <c r="P41" s="10">
        <f t="shared" si="77"/>
        <v>191.68395899999999</v>
      </c>
      <c r="Q41" s="10">
        <f t="shared" si="77"/>
        <v>190.470189</v>
      </c>
      <c r="R41" s="10">
        <f t="shared" si="77"/>
        <v>232.42736500000001</v>
      </c>
      <c r="S41" s="10">
        <f t="shared" si="77"/>
        <v>257.61864300000002</v>
      </c>
      <c r="T41" s="10">
        <f t="shared" si="77"/>
        <v>265.94500000000005</v>
      </c>
      <c r="U41" s="10">
        <f t="shared" si="77"/>
        <v>311.53299999999996</v>
      </c>
      <c r="V41" s="13">
        <f t="shared" si="77"/>
        <v>329.45400000000001</v>
      </c>
      <c r="W41" s="10">
        <f t="shared" ref="W41:Z41" si="78">SUM(W35:W40)</f>
        <v>0</v>
      </c>
      <c r="X41" s="10">
        <f t="shared" si="78"/>
        <v>0</v>
      </c>
      <c r="Y41" s="10">
        <f t="shared" si="78"/>
        <v>0</v>
      </c>
      <c r="Z41" s="10">
        <f t="shared" si="78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9">G42</f>
        <v>2.441611</v>
      </c>
      <c r="T42" s="9">
        <v>2.4039999999999999</v>
      </c>
      <c r="U42" s="9">
        <v>2.7770000000000001</v>
      </c>
      <c r="V42" s="14">
        <v>3.0939999999999999</v>
      </c>
      <c r="W42" s="9"/>
      <c r="X42" s="9"/>
      <c r="Y42" s="9"/>
      <c r="Z42" s="9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9"/>
        <v>0.80042400000000002</v>
      </c>
      <c r="T43" s="9">
        <v>0.76800000000000002</v>
      </c>
      <c r="U43" s="9">
        <v>0.73499999999999999</v>
      </c>
      <c r="V43" s="14">
        <v>0.7</v>
      </c>
      <c r="W43" s="9"/>
      <c r="X43" s="9"/>
      <c r="Y43" s="9"/>
      <c r="Z43" s="9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9"/>
        <v>20.275310000000001</v>
      </c>
      <c r="T44" s="9">
        <v>17.033999999999999</v>
      </c>
      <c r="U44" s="9">
        <v>20.466999999999999</v>
      </c>
      <c r="V44" s="14">
        <v>19.594000000000001</v>
      </c>
      <c r="W44" s="9"/>
      <c r="X44" s="9"/>
      <c r="Y44" s="9"/>
      <c r="Z44" s="9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9"/>
        <v>0</v>
      </c>
      <c r="T45" s="9">
        <v>11.616</v>
      </c>
      <c r="U45" s="9">
        <v>14.42</v>
      </c>
      <c r="V45" s="14">
        <v>13.443</v>
      </c>
      <c r="W45" s="9"/>
      <c r="X45" s="9"/>
      <c r="Y45" s="9"/>
      <c r="Z45" s="9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9"/>
        <v>0.625471</v>
      </c>
      <c r="T46" s="9">
        <v>0.307</v>
      </c>
      <c r="U46" s="9">
        <v>0.62</v>
      </c>
      <c r="V46" s="14">
        <v>0.67900000000000005</v>
      </c>
      <c r="W46" s="9"/>
      <c r="X46" s="9"/>
      <c r="Y46" s="9"/>
      <c r="Z46" s="9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80">SUM(L41:L46)</f>
        <v>0</v>
      </c>
      <c r="M47" s="10">
        <f t="shared" si="80"/>
        <v>0</v>
      </c>
      <c r="N47" s="10">
        <f t="shared" si="80"/>
        <v>179.90335899999999</v>
      </c>
      <c r="O47" s="10">
        <f t="shared" si="80"/>
        <v>212.64528300000001</v>
      </c>
      <c r="P47" s="10">
        <f t="shared" si="80"/>
        <v>195.70842099999999</v>
      </c>
      <c r="Q47" s="10">
        <f t="shared" si="80"/>
        <v>212.07665299999999</v>
      </c>
      <c r="R47" s="10">
        <f t="shared" si="80"/>
        <v>252.869272</v>
      </c>
      <c r="S47" s="10">
        <f t="shared" si="80"/>
        <v>281.76145900000006</v>
      </c>
      <c r="T47" s="10">
        <f t="shared" si="80"/>
        <v>298.07400000000001</v>
      </c>
      <c r="U47" s="10">
        <f t="shared" si="80"/>
        <v>350.55199999999996</v>
      </c>
      <c r="V47" s="13">
        <f t="shared" si="80"/>
        <v>366.96399999999994</v>
      </c>
      <c r="W47" s="10">
        <f t="shared" ref="W47:Z47" si="81">SUM(W41:W46)</f>
        <v>0</v>
      </c>
      <c r="X47" s="10">
        <f t="shared" si="81"/>
        <v>0</v>
      </c>
      <c r="Y47" s="10">
        <f t="shared" si="81"/>
        <v>0</v>
      </c>
      <c r="Z47" s="10">
        <f t="shared" si="81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2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3">G48</f>
        <v>68.966677000000004</v>
      </c>
      <c r="T48" s="9">
        <v>65.38</v>
      </c>
      <c r="U48" s="9">
        <v>60.478000000000002</v>
      </c>
      <c r="V48" s="14">
        <v>57.829000000000001</v>
      </c>
      <c r="W48" s="9"/>
      <c r="X48" s="9"/>
      <c r="Y48" s="9"/>
      <c r="Z48" s="9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2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3"/>
        <v>0</v>
      </c>
      <c r="T49" s="9"/>
      <c r="U49" s="9"/>
      <c r="V49" s="14"/>
      <c r="W49" s="9"/>
      <c r="X49" s="9"/>
      <c r="Y49" s="9"/>
      <c r="Z49" s="9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2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3"/>
        <v>0</v>
      </c>
      <c r="T50" s="9"/>
      <c r="U50" s="9"/>
      <c r="V50" s="14"/>
      <c r="W50" s="9"/>
      <c r="X50" s="9"/>
      <c r="Y50" s="9"/>
      <c r="Z50" s="9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2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3"/>
        <v>7.4554159999999996</v>
      </c>
      <c r="T51" s="9">
        <v>10.239000000000001</v>
      </c>
      <c r="U51" s="9">
        <v>2.8279999999999998</v>
      </c>
      <c r="V51" s="14">
        <v>6.4219999999999997</v>
      </c>
      <c r="W51" s="9"/>
      <c r="X51" s="9"/>
      <c r="Y51" s="9"/>
      <c r="Z51" s="9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2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3"/>
        <v>4.2342240000000002</v>
      </c>
      <c r="T52" s="9">
        <v>4.1260000000000003</v>
      </c>
      <c r="U52" s="9">
        <v>4.2610000000000001</v>
      </c>
      <c r="V52" s="14">
        <v>4.8449999999999998</v>
      </c>
      <c r="W52" s="9"/>
      <c r="X52" s="9"/>
      <c r="Y52" s="9"/>
      <c r="Z52" s="9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4">F53</f>
        <v>94.380905999999996</v>
      </c>
      <c r="P53" s="9"/>
      <c r="Q53" s="9"/>
      <c r="R53" s="9">
        <v>0</v>
      </c>
      <c r="S53" s="9">
        <f t="shared" si="83"/>
        <v>0</v>
      </c>
      <c r="T53" s="9"/>
      <c r="U53" s="9"/>
      <c r="V53" s="14"/>
      <c r="W53" s="9"/>
      <c r="X53" s="9"/>
      <c r="Y53" s="9"/>
      <c r="Z53" s="9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3"/>
        <v>25.020935999999999</v>
      </c>
      <c r="T54" s="9">
        <v>21.853999999999999</v>
      </c>
      <c r="U54" s="9">
        <v>21.306999999999999</v>
      </c>
      <c r="V54" s="14">
        <v>24.565999999999999</v>
      </c>
      <c r="W54" s="9"/>
      <c r="X54" s="9"/>
      <c r="Y54" s="9"/>
      <c r="Z54" s="9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5">SUM(L48:L54)</f>
        <v>0</v>
      </c>
      <c r="M55" s="10">
        <f t="shared" si="85"/>
        <v>0</v>
      </c>
      <c r="N55" s="10">
        <f t="shared" si="85"/>
        <v>83.438237000000001</v>
      </c>
      <c r="O55" s="10">
        <f t="shared" si="85"/>
        <v>187.268687</v>
      </c>
      <c r="P55" s="10">
        <f t="shared" si="85"/>
        <v>92.941540999999987</v>
      </c>
      <c r="Q55" s="10">
        <f t="shared" si="85"/>
        <v>91.946695000000005</v>
      </c>
      <c r="R55" s="10">
        <f t="shared" si="85"/>
        <v>96.879344000000017</v>
      </c>
      <c r="S55" s="10">
        <f t="shared" si="85"/>
        <v>105.67725300000001</v>
      </c>
      <c r="T55" s="10">
        <f t="shared" si="85"/>
        <v>101.599</v>
      </c>
      <c r="U55" s="10">
        <f t="shared" si="85"/>
        <v>88.874000000000009</v>
      </c>
      <c r="V55" s="13">
        <f t="shared" si="85"/>
        <v>93.662000000000006</v>
      </c>
      <c r="W55" s="10">
        <f t="shared" ref="W55:Z55" si="86">SUM(W48:W54)</f>
        <v>0</v>
      </c>
      <c r="X55" s="10">
        <f t="shared" si="86"/>
        <v>0</v>
      </c>
      <c r="Y55" s="10">
        <f t="shared" si="86"/>
        <v>0</v>
      </c>
      <c r="Z55" s="10">
        <f t="shared" si="86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7">G56</f>
        <v>0</v>
      </c>
      <c r="T56" s="9"/>
      <c r="U56" s="9"/>
      <c r="V56" s="14"/>
      <c r="W56" s="9"/>
      <c r="X56" s="9"/>
      <c r="Y56" s="9"/>
      <c r="Z56" s="9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7"/>
        <v>0.823071</v>
      </c>
      <c r="T57" s="9">
        <v>0.79100000000000004</v>
      </c>
      <c r="U57" s="9">
        <v>0.75900000000000001</v>
      </c>
      <c r="V57" s="14">
        <v>0.71099999999999997</v>
      </c>
      <c r="W57" s="9"/>
      <c r="X57" s="9"/>
      <c r="Y57" s="9"/>
      <c r="Z57" s="9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7"/>
        <v>103.991559</v>
      </c>
      <c r="T58" s="9">
        <v>69.89</v>
      </c>
      <c r="U58" s="9">
        <v>130.501</v>
      </c>
      <c r="V58" s="14">
        <v>117.312</v>
      </c>
      <c r="W58" s="9"/>
      <c r="X58" s="9"/>
      <c r="Y58" s="9"/>
      <c r="Z58" s="9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7"/>
        <v>0</v>
      </c>
      <c r="T59" s="9"/>
      <c r="U59" s="9"/>
      <c r="V59" s="14"/>
      <c r="W59" s="9"/>
      <c r="X59" s="9"/>
      <c r="Y59" s="9"/>
      <c r="Z59" s="9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7"/>
        <v>4.4742999999999998E-2</v>
      </c>
      <c r="T60" s="9">
        <v>3.2000000000000001E-2</v>
      </c>
      <c r="U60" s="9">
        <v>0.02</v>
      </c>
      <c r="V60" s="14">
        <v>8.9999999999999993E-3</v>
      </c>
      <c r="W60" s="9"/>
      <c r="X60" s="9"/>
      <c r="Y60" s="9"/>
      <c r="Z60" s="9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8">SUM(L55:L60)</f>
        <v>0</v>
      </c>
      <c r="M61" s="10">
        <f t="shared" si="88"/>
        <v>0</v>
      </c>
      <c r="N61" s="10">
        <f t="shared" si="88"/>
        <v>161.929304</v>
      </c>
      <c r="O61" s="10">
        <f t="shared" si="88"/>
        <v>190.55095900000001</v>
      </c>
      <c r="P61" s="10">
        <f t="shared" ref="P61:Q61" si="89">SUM(P55:P60)</f>
        <v>166.09502999999998</v>
      </c>
      <c r="Q61" s="10">
        <f t="shared" si="89"/>
        <v>161.78693800000002</v>
      </c>
      <c r="R61" s="10">
        <f t="shared" ref="R61:V61" si="90">SUM(R55:R60)</f>
        <v>191.73125800000003</v>
      </c>
      <c r="S61" s="10">
        <f t="shared" si="90"/>
        <v>210.53662600000001</v>
      </c>
      <c r="T61" s="10">
        <f t="shared" si="90"/>
        <v>172.31200000000001</v>
      </c>
      <c r="U61" s="10">
        <f t="shared" si="90"/>
        <v>220.15400000000002</v>
      </c>
      <c r="V61" s="13">
        <f t="shared" si="90"/>
        <v>211.69399999999999</v>
      </c>
      <c r="W61" s="10">
        <f t="shared" ref="W61:Z61" si="91">SUM(W55:W60)</f>
        <v>0</v>
      </c>
      <c r="X61" s="10">
        <f t="shared" si="91"/>
        <v>0</v>
      </c>
      <c r="Y61" s="10">
        <f t="shared" si="91"/>
        <v>0</v>
      </c>
      <c r="Z61" s="10">
        <f t="shared" si="91"/>
        <v>0</v>
      </c>
    </row>
    <row r="62" spans="2:26" x14ac:dyDescent="0.25">
      <c r="B62" t="s">
        <v>67</v>
      </c>
      <c r="C62" s="9">
        <f t="shared" ref="C62:D62" si="92">C47-C61</f>
        <v>59.958416999999955</v>
      </c>
      <c r="D62" s="9">
        <f t="shared" si="92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3">L47-L61</f>
        <v>0</v>
      </c>
      <c r="M62" s="9">
        <f t="shared" si="93"/>
        <v>0</v>
      </c>
      <c r="N62" s="9">
        <f t="shared" si="93"/>
        <v>17.974054999999993</v>
      </c>
      <c r="O62" s="9">
        <f t="shared" si="93"/>
        <v>22.094324</v>
      </c>
      <c r="P62" s="9">
        <f t="shared" ref="P62:Q62" si="94">P47-P61</f>
        <v>29.613391000000007</v>
      </c>
      <c r="Q62" s="9">
        <f t="shared" si="94"/>
        <v>50.289714999999973</v>
      </c>
      <c r="R62" s="9">
        <f t="shared" ref="R62:V62" si="95">R47-R61</f>
        <v>61.13801399999997</v>
      </c>
      <c r="S62" s="9">
        <f t="shared" si="95"/>
        <v>71.224833000000046</v>
      </c>
      <c r="T62" s="9">
        <f t="shared" si="95"/>
        <v>125.762</v>
      </c>
      <c r="U62" s="9">
        <f t="shared" si="95"/>
        <v>130.39799999999994</v>
      </c>
      <c r="V62" s="14">
        <f t="shared" si="95"/>
        <v>155.26999999999995</v>
      </c>
      <c r="W62" s="9">
        <f t="shared" ref="W62:Z62" si="96">W47-W61</f>
        <v>0</v>
      </c>
      <c r="X62" s="9">
        <f t="shared" si="96"/>
        <v>0</v>
      </c>
      <c r="Y62" s="9">
        <f t="shared" si="96"/>
        <v>0</v>
      </c>
      <c r="Z62" s="9">
        <f t="shared" si="96"/>
        <v>0</v>
      </c>
    </row>
    <row r="64" spans="2:26" s="1" customFormat="1" x14ac:dyDescent="0.25">
      <c r="B64" s="1" t="s">
        <v>70</v>
      </c>
      <c r="C64" s="50"/>
      <c r="D64" s="50"/>
      <c r="E64" s="50"/>
      <c r="F64" s="135"/>
      <c r="G64" s="137">
        <f>G19/G62</f>
        <v>1.0892481418664739</v>
      </c>
      <c r="H64" s="131" t="e">
        <f>H19/H62</f>
        <v>#DIV/0!</v>
      </c>
      <c r="V64" s="15"/>
    </row>
    <row r="82" spans="7:22" s="8" customFormat="1" x14ac:dyDescent="0.25">
      <c r="G82" s="40"/>
      <c r="V82" s="40"/>
    </row>
    <row r="83" spans="7:22" s="1" customFormat="1" x14ac:dyDescent="0.25">
      <c r="G83" s="15"/>
      <c r="V83" s="15"/>
    </row>
  </sheetData>
  <phoneticPr fontId="3" type="noConversion"/>
  <conditionalFormatting sqref="P37:V3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O12"/>
  <sheetViews>
    <sheetView topLeftCell="C1" workbookViewId="0">
      <selection activeCell="O5" sqref="O5"/>
    </sheetView>
  </sheetViews>
  <sheetFormatPr defaultRowHeight="15" x14ac:dyDescent="0.25"/>
  <cols>
    <col min="1" max="1" width="14.85546875" customWidth="1"/>
  </cols>
  <sheetData>
    <row r="1" spans="1:15" x14ac:dyDescent="0.25">
      <c r="B1" s="138">
        <v>45413</v>
      </c>
      <c r="C1" s="138">
        <v>45444</v>
      </c>
      <c r="D1" s="138">
        <v>45474</v>
      </c>
      <c r="E1" s="138">
        <v>45505</v>
      </c>
      <c r="F1" s="138">
        <v>45536</v>
      </c>
      <c r="G1" s="138">
        <v>45566</v>
      </c>
      <c r="H1" s="138">
        <v>45597</v>
      </c>
      <c r="I1" s="138">
        <v>45627</v>
      </c>
      <c r="J1" s="138">
        <v>45658</v>
      </c>
      <c r="K1" s="138">
        <v>45689</v>
      </c>
      <c r="L1" s="138">
        <v>45717</v>
      </c>
      <c r="M1" s="138">
        <v>45748</v>
      </c>
      <c r="N1" s="138">
        <v>45778</v>
      </c>
      <c r="O1" s="138">
        <v>45809</v>
      </c>
    </row>
    <row r="2" spans="1:15" x14ac:dyDescent="0.25">
      <c r="A2" t="s">
        <v>198</v>
      </c>
    </row>
    <row r="3" spans="1:15" x14ac:dyDescent="0.25">
      <c r="A3" t="s">
        <v>199</v>
      </c>
    </row>
    <row r="4" spans="1:15" x14ac:dyDescent="0.25">
      <c r="A4" t="s">
        <v>200</v>
      </c>
    </row>
    <row r="5" spans="1:15" x14ac:dyDescent="0.25">
      <c r="A5" t="s">
        <v>201</v>
      </c>
      <c r="K5">
        <v>2</v>
      </c>
      <c r="L5">
        <v>2</v>
      </c>
      <c r="M5">
        <v>2</v>
      </c>
      <c r="N5">
        <v>2</v>
      </c>
    </row>
    <row r="6" spans="1:15" x14ac:dyDescent="0.25">
      <c r="A6" t="s">
        <v>202</v>
      </c>
    </row>
    <row r="9" spans="1:15" x14ac:dyDescent="0.25">
      <c r="A9" s="1" t="s">
        <v>203</v>
      </c>
    </row>
    <row r="10" spans="1:15" x14ac:dyDescent="0.25">
      <c r="A10" t="s">
        <v>204</v>
      </c>
    </row>
    <row r="11" spans="1:15" x14ac:dyDescent="0.25">
      <c r="A11" t="s">
        <v>205</v>
      </c>
    </row>
    <row r="12" spans="1:15" x14ac:dyDescent="0.25">
      <c r="A12" t="s">
        <v>206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S2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27" sqref="G27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207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3">
        <v>0.93799999999999994</v>
      </c>
      <c r="C5" s="133"/>
      <c r="D5" s="133">
        <v>0.94399999999999995</v>
      </c>
      <c r="E5" s="133">
        <v>0.94699999999999995</v>
      </c>
      <c r="F5" s="133">
        <v>0.95699999999999996</v>
      </c>
      <c r="G5" s="133">
        <v>0.95299999999999996</v>
      </c>
      <c r="H5" s="133">
        <v>0.95599999999999996</v>
      </c>
      <c r="I5" s="133">
        <v>0.95499999999999996</v>
      </c>
      <c r="J5" s="133">
        <v>0.95699999999999996</v>
      </c>
      <c r="K5" s="133">
        <v>0.96</v>
      </c>
      <c r="L5" s="133">
        <v>0.96199999999999997</v>
      </c>
      <c r="M5" s="133">
        <v>0.96399999999999997</v>
      </c>
      <c r="N5" s="133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2"/>
      <c r="C9" s="132"/>
      <c r="D9" s="132"/>
      <c r="E9" s="132"/>
      <c r="F9" s="132">
        <f>F2/B2-1</f>
        <v>1.3863636363636362</v>
      </c>
      <c r="G9" s="132" t="e">
        <f t="shared" ref="G9:I9" si="0">G2/C2-1</f>
        <v>#DIV/0!</v>
      </c>
      <c r="H9" s="132">
        <f>H2/D2-1</f>
        <v>1.612676056338028</v>
      </c>
      <c r="I9" s="132">
        <f t="shared" si="0"/>
        <v>1.75</v>
      </c>
      <c r="J9" s="132">
        <f t="shared" ref="J9" si="1">J2/F2-1</f>
        <v>1.519047619047619</v>
      </c>
      <c r="K9" s="132">
        <f t="shared" ref="K9" si="2">K2/G2-1</f>
        <v>1.3029315960912053</v>
      </c>
      <c r="L9" s="132">
        <f t="shared" ref="L9:N9" si="3">L2/H2-1</f>
        <v>0.77358490566037741</v>
      </c>
      <c r="M9" s="132">
        <f t="shared" si="3"/>
        <v>0.61904761904761907</v>
      </c>
      <c r="N9" s="132">
        <f t="shared" si="3"/>
        <v>0.48204158790170126</v>
      </c>
    </row>
    <row r="10" spans="1:14" x14ac:dyDescent="0.25">
      <c r="A10" t="s">
        <v>190</v>
      </c>
      <c r="B10" s="132"/>
      <c r="C10" s="132"/>
      <c r="D10" s="132"/>
      <c r="E10" s="132"/>
      <c r="F10" s="132">
        <f>F7/B7-1</f>
        <v>0.24891067538126355</v>
      </c>
      <c r="G10" s="132" t="e">
        <f t="shared" ref="G10:I10" si="4">G7/C7-1</f>
        <v>#DIV/0!</v>
      </c>
      <c r="H10" s="132">
        <f t="shared" si="4"/>
        <v>0.4591309632330598</v>
      </c>
      <c r="I10" s="132">
        <f t="shared" si="4"/>
        <v>0.47308699447192315</v>
      </c>
      <c r="J10" s="132">
        <f t="shared" ref="J10" si="5">J7/F7-1</f>
        <v>0.36153510684692547</v>
      </c>
      <c r="K10" s="132">
        <f t="shared" ref="K10" si="6">K7/G7-1</f>
        <v>0.33761342235918512</v>
      </c>
      <c r="L10" s="132">
        <f t="shared" ref="L10:N10" si="7">L7/H7-1</f>
        <v>0.52269887546855487</v>
      </c>
      <c r="M10" s="132">
        <f t="shared" si="7"/>
        <v>0.62630851273948251</v>
      </c>
      <c r="N10" s="132">
        <f t="shared" si="7"/>
        <v>0.52674567584881493</v>
      </c>
    </row>
    <row r="13" spans="1:14" x14ac:dyDescent="0.25">
      <c r="A13" t="s">
        <v>208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212</v>
      </c>
      <c r="J14" s="141"/>
      <c r="K14" s="141"/>
      <c r="L14" s="141">
        <f>L13/H13-1</f>
        <v>0.64136391313172325</v>
      </c>
      <c r="M14" s="141">
        <f>M13/I13-1</f>
        <v>0.74182638105975185</v>
      </c>
      <c r="N14" s="141">
        <f>N13/J13-1</f>
        <v>0.58705864524928009</v>
      </c>
    </row>
    <row r="16" spans="1:14" x14ac:dyDescent="0.25">
      <c r="A16" t="s">
        <v>213</v>
      </c>
      <c r="H16" s="141">
        <f>Model!P3/KPIs!H13</f>
        <v>9.5349368784250058E-2</v>
      </c>
      <c r="I16" s="141">
        <f>Model!Q3/KPIs!I13</f>
        <v>0.10516442127019916</v>
      </c>
      <c r="J16" s="141">
        <f>Model!R3/KPIs!J13</f>
        <v>0.10601256402485225</v>
      </c>
      <c r="K16" s="141">
        <f>Model!S3/KPIs!K13</f>
        <v>0.1148270516717325</v>
      </c>
      <c r="L16" s="141">
        <f>Model!T3/KPIs!L13</f>
        <v>0.12972919500432795</v>
      </c>
      <c r="M16" s="141">
        <f>Model!U3/KPIs!M13</f>
        <v>0.10647464940668824</v>
      </c>
      <c r="N16" s="141">
        <f>Model!V3/KPIs!N13</f>
        <v>0.11152105413921513</v>
      </c>
    </row>
    <row r="20" spans="1:19" x14ac:dyDescent="0.25">
      <c r="B20" t="s">
        <v>216</v>
      </c>
      <c r="C20" t="s">
        <v>217</v>
      </c>
      <c r="D20" t="s">
        <v>218</v>
      </c>
      <c r="E20" t="s">
        <v>0</v>
      </c>
      <c r="F20" t="s">
        <v>224</v>
      </c>
      <c r="G20" t="s">
        <v>225</v>
      </c>
      <c r="H20" t="s">
        <v>226</v>
      </c>
      <c r="I20" t="s">
        <v>228</v>
      </c>
      <c r="J20" t="s">
        <v>227</v>
      </c>
      <c r="K20" t="s">
        <v>39</v>
      </c>
      <c r="L20" t="s">
        <v>37</v>
      </c>
      <c r="M20" t="s">
        <v>38</v>
      </c>
      <c r="N20" t="s">
        <v>35</v>
      </c>
      <c r="O20" t="s">
        <v>36</v>
      </c>
      <c r="P20" t="s">
        <v>71</v>
      </c>
      <c r="Q20" t="s">
        <v>72</v>
      </c>
      <c r="R20" t="s">
        <v>220</v>
      </c>
      <c r="S20" t="s">
        <v>221</v>
      </c>
    </row>
    <row r="21" spans="1:19" x14ac:dyDescent="0.25">
      <c r="A21" t="s">
        <v>215</v>
      </c>
      <c r="B21" s="161">
        <v>5.5999999999999999E-3</v>
      </c>
      <c r="C21" s="161">
        <v>8.8000000000000005E-3</v>
      </c>
      <c r="D21" s="161">
        <v>2.18E-2</v>
      </c>
      <c r="E21" s="17">
        <v>30.66</v>
      </c>
      <c r="F21" s="17">
        <v>-0.69</v>
      </c>
      <c r="G21" s="17">
        <v>0.66</v>
      </c>
      <c r="H21" s="17"/>
      <c r="I21" s="9">
        <v>3510</v>
      </c>
      <c r="J21" s="9">
        <v>4520</v>
      </c>
      <c r="K21">
        <f>E21/F21</f>
        <v>-44.434782608695656</v>
      </c>
      <c r="L21">
        <f>E21/G21</f>
        <v>46.454545454545453</v>
      </c>
      <c r="N21" s="132">
        <v>1</v>
      </c>
      <c r="P21" s="132">
        <f>J21/I21-1</f>
        <v>0.28774928774928776</v>
      </c>
      <c r="R21" s="162">
        <f>11567/I21</f>
        <v>3.2954415954415954</v>
      </c>
      <c r="S21" s="162">
        <f>11567/J21</f>
        <v>2.5590707964601771</v>
      </c>
    </row>
    <row r="22" spans="1:19" x14ac:dyDescent="0.25">
      <c r="A22" t="s">
        <v>222</v>
      </c>
      <c r="C22" s="161">
        <v>2.4E-2</v>
      </c>
      <c r="E22">
        <v>68.11</v>
      </c>
      <c r="F22" s="17">
        <v>3.11</v>
      </c>
      <c r="G22" s="17">
        <v>3.83</v>
      </c>
      <c r="H22" s="17"/>
      <c r="I22" s="9">
        <v>4080</v>
      </c>
      <c r="J22" s="9">
        <v>5060</v>
      </c>
      <c r="K22">
        <f t="shared" ref="K22:K24" si="8">E22/F22</f>
        <v>21.90032154340836</v>
      </c>
      <c r="L22">
        <f t="shared" ref="L22:L24" si="9">E22/G22</f>
        <v>17.783289817232376</v>
      </c>
      <c r="N22" s="132">
        <f t="shared" ref="N22:N24" si="10">G22/F22-1</f>
        <v>0.23151125401929273</v>
      </c>
      <c r="P22" s="132">
        <f t="shared" ref="P22:P24" si="11">J22/I22-1</f>
        <v>0.24019607843137258</v>
      </c>
      <c r="R22" s="162">
        <f>22481/I22</f>
        <v>5.5100490196078429</v>
      </c>
      <c r="S22" s="162">
        <f>22481/J22</f>
        <v>4.4428853754940709</v>
      </c>
    </row>
    <row r="23" spans="1:19" x14ac:dyDescent="0.25">
      <c r="A23" t="s">
        <v>219</v>
      </c>
      <c r="E23" s="17">
        <v>67.7</v>
      </c>
      <c r="F23" s="17">
        <v>3.38</v>
      </c>
      <c r="G23" s="17">
        <v>4.38</v>
      </c>
      <c r="H23" s="17"/>
      <c r="I23" s="9">
        <v>449.16</v>
      </c>
      <c r="J23" s="9">
        <v>566.01</v>
      </c>
      <c r="K23">
        <f t="shared" si="8"/>
        <v>20.029585798816569</v>
      </c>
      <c r="L23">
        <f t="shared" si="9"/>
        <v>15.456621004566211</v>
      </c>
      <c r="N23" s="132">
        <f t="shared" si="10"/>
        <v>0.29585798816568043</v>
      </c>
      <c r="P23" s="132">
        <f t="shared" si="11"/>
        <v>0.2601522842639592</v>
      </c>
      <c r="R23" s="162">
        <f>2312/I23</f>
        <v>5.1473862320776558</v>
      </c>
      <c r="S23" s="162">
        <f>2312/J23</f>
        <v>4.0847334852741115</v>
      </c>
    </row>
    <row r="24" spans="1:19" x14ac:dyDescent="0.25">
      <c r="A24" t="s">
        <v>223</v>
      </c>
      <c r="E24">
        <v>61.08</v>
      </c>
      <c r="F24" s="17">
        <v>5.35</v>
      </c>
      <c r="G24" s="17">
        <v>5.82</v>
      </c>
      <c r="H24" s="17"/>
      <c r="I24" s="9">
        <v>33320</v>
      </c>
      <c r="J24" s="9">
        <v>35310</v>
      </c>
      <c r="K24">
        <f t="shared" si="8"/>
        <v>11.416822429906542</v>
      </c>
      <c r="L24">
        <f t="shared" si="9"/>
        <v>10.494845360824742</v>
      </c>
      <c r="N24" s="132">
        <f t="shared" si="10"/>
        <v>8.7850467289719791E-2</v>
      </c>
      <c r="P24" s="132">
        <f t="shared" si="11"/>
        <v>5.9723889555822307E-2</v>
      </c>
      <c r="R24" s="162">
        <f>58393/I24</f>
        <v>1.7524909963985593</v>
      </c>
      <c r="S24" s="162">
        <f>58393/J24</f>
        <v>1.6537241574624753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5FFF-68E8-499C-AFD6-A7701C18DD2F}">
  <dimension ref="A1"/>
  <sheetViews>
    <sheetView topLeftCell="A25" workbookViewId="0">
      <selection activeCell="C38" sqref="C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51" t="s">
        <v>84</v>
      </c>
      <c r="I1" s="152"/>
      <c r="J1" s="152"/>
      <c r="K1" s="152"/>
      <c r="L1" s="152"/>
      <c r="M1" s="153"/>
    </row>
    <row r="2" spans="1:13" ht="15.75" thickBot="1" x14ac:dyDescent="0.3">
      <c r="D2" t="e">
        <f>C2/C3-1</f>
        <v>#DIV/0!</v>
      </c>
      <c r="H2" s="59"/>
      <c r="I2" s="60"/>
      <c r="J2" s="60"/>
      <c r="K2" s="60"/>
      <c r="L2" s="60"/>
      <c r="M2" s="61"/>
    </row>
    <row r="3" spans="1:13" ht="15.75" thickBot="1" x14ac:dyDescent="0.3">
      <c r="D3" t="e">
        <f t="shared" ref="D3:D66" si="0">C3/C4-1</f>
        <v>#DIV/0!</v>
      </c>
      <c r="H3" s="62" t="s">
        <v>85</v>
      </c>
      <c r="I3" s="63" t="s">
        <v>86</v>
      </c>
      <c r="J3" s="64" t="s">
        <v>87</v>
      </c>
      <c r="K3" s="65" t="s">
        <v>88</v>
      </c>
      <c r="L3" s="65" t="s">
        <v>89</v>
      </c>
      <c r="M3" s="66" t="s">
        <v>90</v>
      </c>
    </row>
    <row r="4" spans="1:13" x14ac:dyDescent="0.25">
      <c r="D4" t="e">
        <f t="shared" si="0"/>
        <v>#DIV/0!</v>
      </c>
      <c r="H4" s="67" t="e">
        <f>$I$19-3*$I$23</f>
        <v>#DIV/0!</v>
      </c>
      <c r="I4" s="68" t="e">
        <f>H4</f>
        <v>#DIV/0!</v>
      </c>
      <c r="J4" s="69">
        <f>COUNTIF(D:D,"&lt;="&amp;H4)</f>
        <v>67</v>
      </c>
      <c r="K4" s="69" t="e">
        <f>"Less than "&amp;TEXT(H4,"0,00%")</f>
        <v>#DIV/0!</v>
      </c>
      <c r="L4" s="70" t="e">
        <f>J4/$I$31</f>
        <v>#DIV/0!</v>
      </c>
      <c r="M4" s="71" t="e">
        <f>L4</f>
        <v>#DIV/0!</v>
      </c>
    </row>
    <row r="5" spans="1:13" x14ac:dyDescent="0.25">
      <c r="D5" t="e">
        <f t="shared" si="0"/>
        <v>#DIV/0!</v>
      </c>
      <c r="H5" s="72" t="e">
        <f>$I$19-2.4*$I$23</f>
        <v>#DIV/0!</v>
      </c>
      <c r="I5" s="73" t="e">
        <f>H5</f>
        <v>#DIV/0!</v>
      </c>
      <c r="J5" s="74">
        <f>COUNTIFS(D:D,"&lt;="&amp;H5,D:D,"&gt;"&amp;H4)</f>
        <v>67</v>
      </c>
      <c r="K5" s="75" t="e">
        <f t="shared" ref="K5:K14" si="1">TEXT(H4,"0,00%")&amp;" to "&amp;TEXT(H5,"0,00%")</f>
        <v>#DIV/0!</v>
      </c>
      <c r="L5" s="76" t="e">
        <f>J5/$I$31</f>
        <v>#DIV/0!</v>
      </c>
      <c r="M5" s="77" t="e">
        <f>M4+L5</f>
        <v>#DIV/0!</v>
      </c>
    </row>
    <row r="6" spans="1:13" x14ac:dyDescent="0.25">
      <c r="D6" t="e">
        <f t="shared" si="0"/>
        <v>#DIV/0!</v>
      </c>
      <c r="H6" s="72" t="e">
        <f>$I$19-1.8*$I$23</f>
        <v>#DIV/0!</v>
      </c>
      <c r="I6" s="73" t="e">
        <f t="shared" ref="I6:I14" si="2">H6</f>
        <v>#DIV/0!</v>
      </c>
      <c r="J6" s="74">
        <f t="shared" ref="J6:J14" si="3">COUNTIFS(D:D,"&lt;="&amp;H6,D:D,"&gt;"&amp;H5)</f>
        <v>67</v>
      </c>
      <c r="K6" s="75" t="e">
        <f t="shared" si="1"/>
        <v>#DIV/0!</v>
      </c>
      <c r="L6" s="76" t="e">
        <f t="shared" ref="L6:L15" si="4">J6/$I$31</f>
        <v>#DIV/0!</v>
      </c>
      <c r="M6" s="77" t="e">
        <f t="shared" ref="M6:M15" si="5">M5+L6</f>
        <v>#DIV/0!</v>
      </c>
    </row>
    <row r="7" spans="1:13" x14ac:dyDescent="0.25">
      <c r="D7" t="e">
        <f t="shared" si="0"/>
        <v>#DIV/0!</v>
      </c>
      <c r="H7" s="72" t="e">
        <f>$I$19-1.2*$I$23</f>
        <v>#DIV/0!</v>
      </c>
      <c r="I7" s="73" t="e">
        <f t="shared" si="2"/>
        <v>#DIV/0!</v>
      </c>
      <c r="J7" s="74">
        <f t="shared" si="3"/>
        <v>67</v>
      </c>
      <c r="K7" s="75" t="e">
        <f t="shared" si="1"/>
        <v>#DIV/0!</v>
      </c>
      <c r="L7" s="76" t="e">
        <f t="shared" si="4"/>
        <v>#DIV/0!</v>
      </c>
      <c r="M7" s="77" t="e">
        <f t="shared" si="5"/>
        <v>#DIV/0!</v>
      </c>
    </row>
    <row r="8" spans="1:13" x14ac:dyDescent="0.25">
      <c r="D8" t="e">
        <f t="shared" si="0"/>
        <v>#DIV/0!</v>
      </c>
      <c r="H8" s="72" t="e">
        <f>$I$19-0.6*$I$23</f>
        <v>#DIV/0!</v>
      </c>
      <c r="I8" s="73" t="e">
        <f t="shared" si="2"/>
        <v>#DIV/0!</v>
      </c>
      <c r="J8" s="74">
        <f t="shared" si="3"/>
        <v>67</v>
      </c>
      <c r="K8" s="75" t="e">
        <f t="shared" si="1"/>
        <v>#DIV/0!</v>
      </c>
      <c r="L8" s="76" t="e">
        <f t="shared" si="4"/>
        <v>#DIV/0!</v>
      </c>
      <c r="M8" s="77" t="e">
        <f t="shared" si="5"/>
        <v>#DIV/0!</v>
      </c>
    </row>
    <row r="9" spans="1:13" x14ac:dyDescent="0.25">
      <c r="D9" t="e">
        <f t="shared" si="0"/>
        <v>#DIV/0!</v>
      </c>
      <c r="H9" s="72" t="e">
        <f>$I$19</f>
        <v>#DIV/0!</v>
      </c>
      <c r="I9" s="73" t="e">
        <f t="shared" si="2"/>
        <v>#DIV/0!</v>
      </c>
      <c r="J9" s="74">
        <f t="shared" si="3"/>
        <v>67</v>
      </c>
      <c r="K9" s="75" t="e">
        <f t="shared" si="1"/>
        <v>#DIV/0!</v>
      </c>
      <c r="L9" s="76" t="e">
        <f t="shared" si="4"/>
        <v>#DIV/0!</v>
      </c>
      <c r="M9" s="77" t="e">
        <f t="shared" si="5"/>
        <v>#DIV/0!</v>
      </c>
    </row>
    <row r="10" spans="1:13" x14ac:dyDescent="0.25">
      <c r="D10" t="e">
        <f t="shared" si="0"/>
        <v>#DIV/0!</v>
      </c>
      <c r="H10" s="72" t="e">
        <f>$I$19+0.6*$I$23</f>
        <v>#DIV/0!</v>
      </c>
      <c r="I10" s="73" t="e">
        <f t="shared" si="2"/>
        <v>#DIV/0!</v>
      </c>
      <c r="J10" s="74">
        <f t="shared" si="3"/>
        <v>67</v>
      </c>
      <c r="K10" s="75" t="e">
        <f t="shared" si="1"/>
        <v>#DIV/0!</v>
      </c>
      <c r="L10" s="76" t="e">
        <f t="shared" si="4"/>
        <v>#DIV/0!</v>
      </c>
      <c r="M10" s="77" t="e">
        <f t="shared" si="5"/>
        <v>#DIV/0!</v>
      </c>
    </row>
    <row r="11" spans="1:13" x14ac:dyDescent="0.25">
      <c r="D11" t="e">
        <f t="shared" si="0"/>
        <v>#DIV/0!</v>
      </c>
      <c r="H11" s="72" t="e">
        <f>$I$19+1.2*$I$23</f>
        <v>#DIV/0!</v>
      </c>
      <c r="I11" s="73" t="e">
        <f t="shared" si="2"/>
        <v>#DIV/0!</v>
      </c>
      <c r="J11" s="74">
        <f t="shared" si="3"/>
        <v>67</v>
      </c>
      <c r="K11" s="75" t="e">
        <f t="shared" si="1"/>
        <v>#DIV/0!</v>
      </c>
      <c r="L11" s="76" t="e">
        <f t="shared" si="4"/>
        <v>#DIV/0!</v>
      </c>
      <c r="M11" s="77" t="e">
        <f t="shared" si="5"/>
        <v>#DIV/0!</v>
      </c>
    </row>
    <row r="12" spans="1:13" x14ac:dyDescent="0.25">
      <c r="D12" t="e">
        <f t="shared" si="0"/>
        <v>#DIV/0!</v>
      </c>
      <c r="H12" s="72" t="e">
        <f>$I$19+1.8*$I$23</f>
        <v>#DIV/0!</v>
      </c>
      <c r="I12" s="73" t="e">
        <f t="shared" si="2"/>
        <v>#DIV/0!</v>
      </c>
      <c r="J12" s="74">
        <f t="shared" si="3"/>
        <v>67</v>
      </c>
      <c r="K12" s="75" t="e">
        <f t="shared" si="1"/>
        <v>#DIV/0!</v>
      </c>
      <c r="L12" s="76" t="e">
        <f t="shared" si="4"/>
        <v>#DIV/0!</v>
      </c>
      <c r="M12" s="77" t="e">
        <f t="shared" si="5"/>
        <v>#DIV/0!</v>
      </c>
    </row>
    <row r="13" spans="1:13" x14ac:dyDescent="0.25">
      <c r="D13" t="e">
        <f t="shared" si="0"/>
        <v>#DIV/0!</v>
      </c>
      <c r="H13" s="72" t="e">
        <f>$I$19+2.4*$I$23</f>
        <v>#DIV/0!</v>
      </c>
      <c r="I13" s="73" t="e">
        <f t="shared" si="2"/>
        <v>#DIV/0!</v>
      </c>
      <c r="J13" s="74">
        <f t="shared" si="3"/>
        <v>67</v>
      </c>
      <c r="K13" s="75" t="e">
        <f t="shared" si="1"/>
        <v>#DIV/0!</v>
      </c>
      <c r="L13" s="76" t="e">
        <f t="shared" si="4"/>
        <v>#DIV/0!</v>
      </c>
      <c r="M13" s="77" t="e">
        <f t="shared" si="5"/>
        <v>#DIV/0!</v>
      </c>
    </row>
    <row r="14" spans="1:13" x14ac:dyDescent="0.25">
      <c r="D14" t="e">
        <f t="shared" si="0"/>
        <v>#DIV/0!</v>
      </c>
      <c r="H14" s="72" t="e">
        <f>$I$19+3*$I$23</f>
        <v>#DIV/0!</v>
      </c>
      <c r="I14" s="73" t="e">
        <f t="shared" si="2"/>
        <v>#DIV/0!</v>
      </c>
      <c r="J14" s="74">
        <f t="shared" si="3"/>
        <v>67</v>
      </c>
      <c r="K14" s="75" t="e">
        <f t="shared" si="1"/>
        <v>#DIV/0!</v>
      </c>
      <c r="L14" s="76" t="e">
        <f t="shared" si="4"/>
        <v>#DIV/0!</v>
      </c>
      <c r="M14" s="77" t="e">
        <f t="shared" si="5"/>
        <v>#DIV/0!</v>
      </c>
    </row>
    <row r="15" spans="1:13" ht="15.75" thickBot="1" x14ac:dyDescent="0.3">
      <c r="D15" t="e">
        <f t="shared" si="0"/>
        <v>#DIV/0!</v>
      </c>
      <c r="H15" s="78"/>
      <c r="I15" s="79" t="s">
        <v>91</v>
      </c>
      <c r="J15" s="79">
        <f>COUNTIF(D:D,"&gt;"&amp;H14)</f>
        <v>67</v>
      </c>
      <c r="K15" s="79" t="e">
        <f>"Greater than "&amp;TEXT(H14,"0,00%")</f>
        <v>#DIV/0!</v>
      </c>
      <c r="L15" s="80" t="e">
        <f t="shared" si="4"/>
        <v>#DIV/0!</v>
      </c>
      <c r="M15" s="80" t="e">
        <f t="shared" si="5"/>
        <v>#DIV/0!</v>
      </c>
    </row>
    <row r="16" spans="1:13" ht="15.75" thickBot="1" x14ac:dyDescent="0.3">
      <c r="D16" t="e">
        <f t="shared" si="0"/>
        <v>#DIV/0!</v>
      </c>
      <c r="H16" s="81"/>
      <c r="M16" s="82"/>
    </row>
    <row r="17" spans="4:13" x14ac:dyDescent="0.25">
      <c r="D17" t="e">
        <f t="shared" si="0"/>
        <v>#DIV/0!</v>
      </c>
      <c r="H17" s="154" t="s">
        <v>122</v>
      </c>
      <c r="I17" s="155"/>
      <c r="M17" s="82"/>
    </row>
    <row r="18" spans="4:13" x14ac:dyDescent="0.25">
      <c r="D18" t="e">
        <f t="shared" si="0"/>
        <v>#DIV/0!</v>
      </c>
      <c r="H18" s="156"/>
      <c r="I18" s="157"/>
      <c r="M18" s="82"/>
    </row>
    <row r="19" spans="4:13" x14ac:dyDescent="0.25">
      <c r="D19" t="e">
        <f t="shared" si="0"/>
        <v>#DIV/0!</v>
      </c>
      <c r="H19" s="83" t="s">
        <v>92</v>
      </c>
      <c r="I19" s="119" t="e">
        <f>AVERAGE(D:D)</f>
        <v>#DIV/0!</v>
      </c>
      <c r="M19" s="82"/>
    </row>
    <row r="20" spans="4:13" x14ac:dyDescent="0.25">
      <c r="D20" t="e">
        <f t="shared" si="0"/>
        <v>#DIV/0!</v>
      </c>
      <c r="H20" s="83" t="s">
        <v>93</v>
      </c>
      <c r="I20" s="119" t="e">
        <f>_xlfn.STDEV.S(D:D)/SQRT(COUNT(D:D))</f>
        <v>#DIV/0!</v>
      </c>
      <c r="M20" s="82"/>
    </row>
    <row r="21" spans="4:13" x14ac:dyDescent="0.25">
      <c r="D21" t="e">
        <f t="shared" si="0"/>
        <v>#DIV/0!</v>
      </c>
      <c r="H21" s="83" t="s">
        <v>94</v>
      </c>
      <c r="I21" s="119" t="e">
        <f>MEDIAN(D:D)</f>
        <v>#DIV/0!</v>
      </c>
      <c r="M21" s="82"/>
    </row>
    <row r="22" spans="4:13" x14ac:dyDescent="0.25">
      <c r="D22" t="e">
        <f t="shared" si="0"/>
        <v>#DIV/0!</v>
      </c>
      <c r="H22" s="83" t="s">
        <v>95</v>
      </c>
      <c r="I22" s="119" t="e">
        <f>MODE(D:D)</f>
        <v>#DIV/0!</v>
      </c>
      <c r="M22" s="82"/>
    </row>
    <row r="23" spans="4:13" x14ac:dyDescent="0.25">
      <c r="D23" t="e">
        <f t="shared" si="0"/>
        <v>#DIV/0!</v>
      </c>
      <c r="H23" s="83" t="s">
        <v>96</v>
      </c>
      <c r="I23" s="119" t="e">
        <f>_xlfn.STDEV.S(D:D)</f>
        <v>#DIV/0!</v>
      </c>
      <c r="M23" s="82"/>
    </row>
    <row r="24" spans="4:13" x14ac:dyDescent="0.25">
      <c r="D24" t="e">
        <f t="shared" si="0"/>
        <v>#DIV/0!</v>
      </c>
      <c r="H24" s="83" t="s">
        <v>97</v>
      </c>
      <c r="I24" s="119" t="e">
        <f>_xlfn.VAR.S(D:D)</f>
        <v>#DIV/0!</v>
      </c>
      <c r="M24" s="82"/>
    </row>
    <row r="25" spans="4:13" x14ac:dyDescent="0.25">
      <c r="D25" t="e">
        <f t="shared" si="0"/>
        <v>#DIV/0!</v>
      </c>
      <c r="H25" s="83" t="s">
        <v>98</v>
      </c>
      <c r="I25" s="120" t="e">
        <f>KURT(D:D)</f>
        <v>#DIV/0!</v>
      </c>
      <c r="M25" s="82"/>
    </row>
    <row r="26" spans="4:13" x14ac:dyDescent="0.25">
      <c r="D26" t="e">
        <f t="shared" si="0"/>
        <v>#DIV/0!</v>
      </c>
      <c r="H26" s="83" t="s">
        <v>99</v>
      </c>
      <c r="I26" s="120" t="e">
        <f>SKEW(D:D)</f>
        <v>#DIV/0!</v>
      </c>
      <c r="M26" s="82"/>
    </row>
    <row r="27" spans="4:13" x14ac:dyDescent="0.25">
      <c r="D27" t="e">
        <f t="shared" si="0"/>
        <v>#DIV/0!</v>
      </c>
      <c r="H27" s="83" t="s">
        <v>88</v>
      </c>
      <c r="I27" s="119" t="e">
        <f>I29-I28</f>
        <v>#DIV/0!</v>
      </c>
      <c r="M27" s="82"/>
    </row>
    <row r="28" spans="4:13" x14ac:dyDescent="0.25">
      <c r="D28" t="e">
        <f t="shared" si="0"/>
        <v>#DIV/0!</v>
      </c>
      <c r="H28" s="83" t="s">
        <v>100</v>
      </c>
      <c r="I28" s="119" t="e">
        <f>MIN(D:D)</f>
        <v>#DIV/0!</v>
      </c>
      <c r="M28" s="82"/>
    </row>
    <row r="29" spans="4:13" x14ac:dyDescent="0.25">
      <c r="D29" t="e">
        <f t="shared" si="0"/>
        <v>#DIV/0!</v>
      </c>
      <c r="H29" s="83" t="s">
        <v>101</v>
      </c>
      <c r="I29" s="119" t="e">
        <f>MAX(D:D)</f>
        <v>#DIV/0!</v>
      </c>
      <c r="M29" s="82"/>
    </row>
    <row r="30" spans="4:13" x14ac:dyDescent="0.25">
      <c r="D30" t="e">
        <f t="shared" si="0"/>
        <v>#DIV/0!</v>
      </c>
      <c r="H30" s="83" t="s">
        <v>102</v>
      </c>
      <c r="I30" s="120" t="e">
        <f>SUM(D:D)</f>
        <v>#DIV/0!</v>
      </c>
      <c r="M30" s="82"/>
    </row>
    <row r="31" spans="4:13" ht="15.75" thickBot="1" x14ac:dyDescent="0.3">
      <c r="D31" t="e">
        <f t="shared" si="0"/>
        <v>#DIV/0!</v>
      </c>
      <c r="H31" s="84" t="s">
        <v>103</v>
      </c>
      <c r="I31" s="61">
        <f>COUNT(D:D)</f>
        <v>0</v>
      </c>
      <c r="M31" s="82"/>
    </row>
    <row r="32" spans="4:13" ht="15.75" thickBot="1" x14ac:dyDescent="0.3">
      <c r="D32" t="e">
        <f t="shared" si="0"/>
        <v>#DIV/0!</v>
      </c>
      <c r="H32" s="86"/>
      <c r="M32" s="82"/>
    </row>
    <row r="33" spans="4:13" x14ac:dyDescent="0.25">
      <c r="D33" t="e">
        <f t="shared" si="0"/>
        <v>#DIV/0!</v>
      </c>
      <c r="H33" s="87"/>
      <c r="I33" s="88" t="s">
        <v>104</v>
      </c>
      <c r="J33" s="88" t="s">
        <v>103</v>
      </c>
      <c r="K33" s="88" t="s">
        <v>105</v>
      </c>
      <c r="L33" s="89" t="s">
        <v>106</v>
      </c>
      <c r="M33" s="82"/>
    </row>
    <row r="34" spans="4:13" x14ac:dyDescent="0.25">
      <c r="D34" t="e">
        <f t="shared" si="0"/>
        <v>#DIV/0!</v>
      </c>
      <c r="H34" s="90" t="s">
        <v>107</v>
      </c>
      <c r="I34" s="76" t="e">
        <f>AVERAGEIF(D:D,"&gt;0")</f>
        <v>#DIV/0!</v>
      </c>
      <c r="J34" s="74">
        <f>COUNTIF(D:D,"&gt;0")</f>
        <v>0</v>
      </c>
      <c r="K34" s="76" t="e">
        <f>J34/$I$31</f>
        <v>#DIV/0!</v>
      </c>
      <c r="L34" s="77" t="e">
        <f>K34*I34</f>
        <v>#DIV/0!</v>
      </c>
      <c r="M34" s="82"/>
    </row>
    <row r="35" spans="4:13" x14ac:dyDescent="0.25">
      <c r="D35" t="e">
        <f t="shared" si="0"/>
        <v>#DIV/0!</v>
      </c>
      <c r="H35" s="90" t="s">
        <v>108</v>
      </c>
      <c r="I35" s="76" t="e">
        <f>AVERAGEIF(D:D,"&lt;0")</f>
        <v>#DIV/0!</v>
      </c>
      <c r="J35" s="74">
        <f>COUNTIF(D:D,"&lt;0")</f>
        <v>0</v>
      </c>
      <c r="K35" s="76" t="e">
        <f>J35/$I$31</f>
        <v>#DIV/0!</v>
      </c>
      <c r="L35" s="77" t="e">
        <f t="shared" ref="L35:L36" si="6">K35*I35</f>
        <v>#DIV/0!</v>
      </c>
      <c r="M35" s="82"/>
    </row>
    <row r="36" spans="4:13" ht="15.75" thickBot="1" x14ac:dyDescent="0.3">
      <c r="D36" t="e">
        <f t="shared" si="0"/>
        <v>#DIV/0!</v>
      </c>
      <c r="H36" s="91" t="s">
        <v>109</v>
      </c>
      <c r="I36" s="79">
        <v>0</v>
      </c>
      <c r="J36" s="79">
        <f>COUNTIF(D:D,"0")</f>
        <v>0</v>
      </c>
      <c r="K36" s="92" t="e">
        <f>J36/$I$31</f>
        <v>#DIV/0!</v>
      </c>
      <c r="L36" s="80" t="e">
        <f t="shared" si="6"/>
        <v>#DIV/0!</v>
      </c>
      <c r="M36" s="82"/>
    </row>
    <row r="37" spans="4:13" ht="15.75" thickBot="1" x14ac:dyDescent="0.3">
      <c r="D37" t="e">
        <f t="shared" si="0"/>
        <v>#DIV/0!</v>
      </c>
      <c r="H37" s="86"/>
      <c r="I37" s="93"/>
      <c r="J37" s="93"/>
      <c r="K37" s="93"/>
      <c r="L37" s="93"/>
      <c r="M37" s="82"/>
    </row>
    <row r="38" spans="4:13" x14ac:dyDescent="0.25">
      <c r="D38" t="e">
        <f t="shared" si="0"/>
        <v>#DIV/0!</v>
      </c>
      <c r="H38" s="67" t="s">
        <v>110</v>
      </c>
      <c r="I38" s="88" t="s">
        <v>111</v>
      </c>
      <c r="J38" s="88" t="s">
        <v>112</v>
      </c>
      <c r="K38" s="88" t="s">
        <v>113</v>
      </c>
      <c r="L38" s="88" t="s">
        <v>114</v>
      </c>
      <c r="M38" s="89" t="s">
        <v>115</v>
      </c>
    </row>
    <row r="39" spans="4:13" x14ac:dyDescent="0.25">
      <c r="D39" t="e">
        <f t="shared" si="0"/>
        <v>#DIV/0!</v>
      </c>
      <c r="H39" s="94">
        <v>1</v>
      </c>
      <c r="I39" s="76" t="e">
        <f>$I$19+($H39*$I$23)</f>
        <v>#DIV/0!</v>
      </c>
      <c r="J39" s="76" t="e">
        <f>$I$19-($H39*$I$23)</f>
        <v>#DIV/0!</v>
      </c>
      <c r="K39" s="74">
        <f>COUNTIFS(D:D,"&lt;"&amp;I39,D:D,"&gt;"&amp;J39)</f>
        <v>67</v>
      </c>
      <c r="L39" s="76" t="e">
        <f>K39/$I$31</f>
        <v>#DIV/0!</v>
      </c>
      <c r="M39" s="77">
        <v>0.68269999999999997</v>
      </c>
    </row>
    <row r="40" spans="4:13" x14ac:dyDescent="0.25">
      <c r="D40" t="e">
        <f t="shared" si="0"/>
        <v>#DIV/0!</v>
      </c>
      <c r="H40" s="94">
        <v>2</v>
      </c>
      <c r="I40" s="76" t="e">
        <f>$I$19+($H40*$I$23)</f>
        <v>#DIV/0!</v>
      </c>
      <c r="J40" s="76" t="e">
        <f>$I$19-($H40*$I$23)</f>
        <v>#DIV/0!</v>
      </c>
      <c r="K40" s="74">
        <f>COUNTIFS(D:D,"&lt;"&amp;I40,D:D,"&gt;"&amp;J40)</f>
        <v>67</v>
      </c>
      <c r="L40" s="76" t="e">
        <f>K40/$I$31</f>
        <v>#DIV/0!</v>
      </c>
      <c r="M40" s="77">
        <v>0.95450000000000002</v>
      </c>
    </row>
    <row r="41" spans="4:13" x14ac:dyDescent="0.25">
      <c r="D41" t="e">
        <f t="shared" si="0"/>
        <v>#DIV/0!</v>
      </c>
      <c r="H41" s="94">
        <v>3</v>
      </c>
      <c r="I41" s="76" t="e">
        <f>$I$19+($H41*$I$23)</f>
        <v>#DIV/0!</v>
      </c>
      <c r="J41" s="76" t="e">
        <f>$I$19-($H41*$I$23)</f>
        <v>#DIV/0!</v>
      </c>
      <c r="K41" s="74">
        <f>COUNTIFS(D:D,"&lt;"&amp;I41,D:D,"&gt;"&amp;J41)</f>
        <v>67</v>
      </c>
      <c r="L41" s="76" t="e">
        <f>K41/$I$31</f>
        <v>#DIV/0!</v>
      </c>
      <c r="M41" s="95">
        <v>0.99729999999999996</v>
      </c>
    </row>
    <row r="42" spans="4:13" ht="15.75" thickBot="1" x14ac:dyDescent="0.3">
      <c r="D42" t="e">
        <f t="shared" si="0"/>
        <v>#DIV/0!</v>
      </c>
      <c r="H42" s="72"/>
      <c r="M42" s="95"/>
    </row>
    <row r="43" spans="4:13" ht="15.75" thickBot="1" x14ac:dyDescent="0.3">
      <c r="D43" t="e">
        <f t="shared" si="0"/>
        <v>#DIV/0!</v>
      </c>
      <c r="H43" s="158" t="s">
        <v>116</v>
      </c>
      <c r="I43" s="159"/>
      <c r="J43" s="159"/>
      <c r="K43" s="159"/>
      <c r="L43" s="159"/>
      <c r="M43" s="160"/>
    </row>
    <row r="44" spans="4:13" x14ac:dyDescent="0.25">
      <c r="D44" t="e">
        <f t="shared" si="0"/>
        <v>#DIV/0!</v>
      </c>
      <c r="H44" s="96">
        <v>0.01</v>
      </c>
      <c r="I44" s="97" t="e">
        <f t="shared" ref="I44:I58" si="7">_xlfn.PERCENTILE.INC(D:D,H44)</f>
        <v>#DIV/0!</v>
      </c>
      <c r="J44" s="98">
        <v>0.2</v>
      </c>
      <c r="K44" s="97" t="e">
        <f t="shared" ref="K44:K56" si="8">_xlfn.PERCENTILE.INC(D:D,J44)</f>
        <v>#DIV/0!</v>
      </c>
      <c r="L44" s="98">
        <v>0.85</v>
      </c>
      <c r="M44" s="99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100">
        <v>0.02</v>
      </c>
      <c r="I45" s="101" t="e">
        <f t="shared" si="7"/>
        <v>#DIV/0!</v>
      </c>
      <c r="J45" s="102">
        <v>0.25</v>
      </c>
      <c r="K45" s="101" t="e">
        <f t="shared" si="8"/>
        <v>#DIV/0!</v>
      </c>
      <c r="L45" s="102">
        <v>0.86</v>
      </c>
      <c r="M45" s="103" t="e">
        <f t="shared" si="9"/>
        <v>#DIV/0!</v>
      </c>
    </row>
    <row r="46" spans="4:13" x14ac:dyDescent="0.25">
      <c r="D46" t="e">
        <f t="shared" si="0"/>
        <v>#DIV/0!</v>
      </c>
      <c r="H46" s="100">
        <v>0.03</v>
      </c>
      <c r="I46" s="101" t="e">
        <f t="shared" si="7"/>
        <v>#DIV/0!</v>
      </c>
      <c r="J46" s="102">
        <v>0.3</v>
      </c>
      <c r="K46" s="101" t="e">
        <f t="shared" si="8"/>
        <v>#DIV/0!</v>
      </c>
      <c r="L46" s="102">
        <v>0.87</v>
      </c>
      <c r="M46" s="103" t="e">
        <f t="shared" si="9"/>
        <v>#DIV/0!</v>
      </c>
    </row>
    <row r="47" spans="4:13" x14ac:dyDescent="0.25">
      <c r="D47" t="e">
        <f t="shared" si="0"/>
        <v>#DIV/0!</v>
      </c>
      <c r="H47" s="100">
        <v>0.04</v>
      </c>
      <c r="I47" s="101" t="e">
        <f t="shared" si="7"/>
        <v>#DIV/0!</v>
      </c>
      <c r="J47" s="102">
        <v>0.35</v>
      </c>
      <c r="K47" s="101" t="e">
        <f t="shared" si="8"/>
        <v>#DIV/0!</v>
      </c>
      <c r="L47" s="102">
        <v>0.88</v>
      </c>
      <c r="M47" s="103" t="e">
        <f t="shared" si="9"/>
        <v>#DIV/0!</v>
      </c>
    </row>
    <row r="48" spans="4:13" x14ac:dyDescent="0.25">
      <c r="D48" t="e">
        <f t="shared" si="0"/>
        <v>#DIV/0!</v>
      </c>
      <c r="H48" s="100">
        <v>0.05</v>
      </c>
      <c r="I48" s="101" t="e">
        <f t="shared" si="7"/>
        <v>#DIV/0!</v>
      </c>
      <c r="J48" s="102">
        <v>0.4</v>
      </c>
      <c r="K48" s="101" t="e">
        <f t="shared" si="8"/>
        <v>#DIV/0!</v>
      </c>
      <c r="L48" s="102">
        <v>0.89</v>
      </c>
      <c r="M48" s="103" t="e">
        <f t="shared" si="9"/>
        <v>#DIV/0!</v>
      </c>
    </row>
    <row r="49" spans="4:13" x14ac:dyDescent="0.25">
      <c r="D49" t="e">
        <f t="shared" si="0"/>
        <v>#DIV/0!</v>
      </c>
      <c r="H49" s="100">
        <v>0.06</v>
      </c>
      <c r="I49" s="101" t="e">
        <f t="shared" si="7"/>
        <v>#DIV/0!</v>
      </c>
      <c r="J49" s="102">
        <v>0.45</v>
      </c>
      <c r="K49" s="101" t="e">
        <f t="shared" si="8"/>
        <v>#DIV/0!</v>
      </c>
      <c r="L49" s="102">
        <v>0.9</v>
      </c>
      <c r="M49" s="103" t="e">
        <f t="shared" si="9"/>
        <v>#DIV/0!</v>
      </c>
    </row>
    <row r="50" spans="4:13" x14ac:dyDescent="0.25">
      <c r="D50" t="e">
        <f t="shared" si="0"/>
        <v>#DIV/0!</v>
      </c>
      <c r="H50" s="100">
        <v>7.0000000000000007E-2</v>
      </c>
      <c r="I50" s="101" t="e">
        <f t="shared" si="7"/>
        <v>#DIV/0!</v>
      </c>
      <c r="J50" s="102">
        <v>0.5</v>
      </c>
      <c r="K50" s="101" t="e">
        <f t="shared" si="8"/>
        <v>#DIV/0!</v>
      </c>
      <c r="L50" s="102">
        <v>0.91</v>
      </c>
      <c r="M50" s="103" t="e">
        <f t="shared" si="9"/>
        <v>#DIV/0!</v>
      </c>
    </row>
    <row r="51" spans="4:13" x14ac:dyDescent="0.25">
      <c r="D51" t="e">
        <f t="shared" si="0"/>
        <v>#DIV/0!</v>
      </c>
      <c r="H51" s="100">
        <v>0.08</v>
      </c>
      <c r="I51" s="101" t="e">
        <f t="shared" si="7"/>
        <v>#DIV/0!</v>
      </c>
      <c r="J51" s="102">
        <v>0.55000000000000004</v>
      </c>
      <c r="K51" s="101" t="e">
        <f t="shared" si="8"/>
        <v>#DIV/0!</v>
      </c>
      <c r="L51" s="102">
        <v>0.92</v>
      </c>
      <c r="M51" s="103" t="e">
        <f t="shared" si="9"/>
        <v>#DIV/0!</v>
      </c>
    </row>
    <row r="52" spans="4:13" x14ac:dyDescent="0.25">
      <c r="D52" t="e">
        <f t="shared" si="0"/>
        <v>#DIV/0!</v>
      </c>
      <c r="H52" s="100">
        <v>0.09</v>
      </c>
      <c r="I52" s="101" t="e">
        <f t="shared" si="7"/>
        <v>#DIV/0!</v>
      </c>
      <c r="J52" s="102">
        <v>0.6</v>
      </c>
      <c r="K52" s="101" t="e">
        <f t="shared" si="8"/>
        <v>#DIV/0!</v>
      </c>
      <c r="L52" s="102">
        <v>0.93</v>
      </c>
      <c r="M52" s="103" t="e">
        <f t="shared" si="9"/>
        <v>#DIV/0!</v>
      </c>
    </row>
    <row r="53" spans="4:13" x14ac:dyDescent="0.25">
      <c r="D53" t="e">
        <f t="shared" si="0"/>
        <v>#DIV/0!</v>
      </c>
      <c r="H53" s="100">
        <v>0.1</v>
      </c>
      <c r="I53" s="101" t="e">
        <f t="shared" si="7"/>
        <v>#DIV/0!</v>
      </c>
      <c r="J53" s="102">
        <v>0.65</v>
      </c>
      <c r="K53" s="101" t="e">
        <f t="shared" si="8"/>
        <v>#DIV/0!</v>
      </c>
      <c r="L53" s="102">
        <v>0.94</v>
      </c>
      <c r="M53" s="103" t="e">
        <f t="shared" si="9"/>
        <v>#DIV/0!</v>
      </c>
    </row>
    <row r="54" spans="4:13" x14ac:dyDescent="0.25">
      <c r="D54" t="e">
        <f t="shared" si="0"/>
        <v>#DIV/0!</v>
      </c>
      <c r="H54" s="100">
        <v>0.11</v>
      </c>
      <c r="I54" s="101" t="e">
        <f t="shared" si="7"/>
        <v>#DIV/0!</v>
      </c>
      <c r="J54" s="102">
        <v>0.7</v>
      </c>
      <c r="K54" s="101" t="e">
        <f t="shared" si="8"/>
        <v>#DIV/0!</v>
      </c>
      <c r="L54" s="102">
        <v>0.95</v>
      </c>
      <c r="M54" s="103" t="e">
        <f t="shared" si="9"/>
        <v>#DIV/0!</v>
      </c>
    </row>
    <row r="55" spans="4:13" x14ac:dyDescent="0.25">
      <c r="D55" t="e">
        <f t="shared" si="0"/>
        <v>#DIV/0!</v>
      </c>
      <c r="H55" s="100">
        <v>0.12</v>
      </c>
      <c r="I55" s="101" t="e">
        <f t="shared" si="7"/>
        <v>#DIV/0!</v>
      </c>
      <c r="J55" s="102">
        <v>0.75</v>
      </c>
      <c r="K55" s="101" t="e">
        <f t="shared" si="8"/>
        <v>#DIV/0!</v>
      </c>
      <c r="L55" s="102">
        <v>0.96</v>
      </c>
      <c r="M55" s="103" t="e">
        <f t="shared" si="9"/>
        <v>#DIV/0!</v>
      </c>
    </row>
    <row r="56" spans="4:13" x14ac:dyDescent="0.25">
      <c r="D56" t="e">
        <f t="shared" si="0"/>
        <v>#DIV/0!</v>
      </c>
      <c r="H56" s="100">
        <v>0.13</v>
      </c>
      <c r="I56" s="101" t="e">
        <f t="shared" si="7"/>
        <v>#DIV/0!</v>
      </c>
      <c r="J56" s="102">
        <v>0.8</v>
      </c>
      <c r="K56" s="101" t="e">
        <f t="shared" si="8"/>
        <v>#DIV/0!</v>
      </c>
      <c r="L56" s="102">
        <v>0.97</v>
      </c>
      <c r="M56" s="103" t="e">
        <f t="shared" si="9"/>
        <v>#DIV/0!</v>
      </c>
    </row>
    <row r="57" spans="4:13" x14ac:dyDescent="0.25">
      <c r="D57" t="e">
        <f t="shared" si="0"/>
        <v>#DIV/0!</v>
      </c>
      <c r="H57" s="100">
        <v>0.14000000000000001</v>
      </c>
      <c r="I57" s="101" t="e">
        <f t="shared" si="7"/>
        <v>#DIV/0!</v>
      </c>
      <c r="J57" s="102"/>
      <c r="K57" s="101"/>
      <c r="L57" s="102">
        <v>0.98</v>
      </c>
      <c r="M57" s="103" t="e">
        <f t="shared" si="9"/>
        <v>#DIV/0!</v>
      </c>
    </row>
    <row r="58" spans="4:13" ht="15.75" thickBot="1" x14ac:dyDescent="0.3">
      <c r="D58" t="e">
        <f t="shared" si="0"/>
        <v>#DIV/0!</v>
      </c>
      <c r="H58" s="104">
        <v>0.15</v>
      </c>
      <c r="I58" s="105" t="e">
        <f t="shared" si="7"/>
        <v>#DIV/0!</v>
      </c>
      <c r="J58" s="106"/>
      <c r="K58" s="85"/>
      <c r="L58" s="107">
        <v>0.99</v>
      </c>
      <c r="M58" s="108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9" t="s">
        <v>117</v>
      </c>
      <c r="I60" s="110"/>
    </row>
    <row r="61" spans="4:13" ht="15.75" thickBot="1" x14ac:dyDescent="0.3">
      <c r="D61" t="e">
        <f t="shared" si="0"/>
        <v>#DIV/0!</v>
      </c>
      <c r="H61" s="111" t="s">
        <v>118</v>
      </c>
      <c r="I61" s="112"/>
    </row>
    <row r="62" spans="4:13" ht="15.75" thickBot="1" x14ac:dyDescent="0.3">
      <c r="D62" t="e">
        <f t="shared" si="0"/>
        <v>#DIV/0!</v>
      </c>
      <c r="H62" s="113"/>
    </row>
    <row r="63" spans="4:13" x14ac:dyDescent="0.25">
      <c r="D63" t="e">
        <f t="shared" si="0"/>
        <v>#DIV/0!</v>
      </c>
      <c r="H63" s="109" t="s">
        <v>119</v>
      </c>
      <c r="I63" s="114"/>
    </row>
    <row r="64" spans="4:13" x14ac:dyDescent="0.25">
      <c r="D64" t="e">
        <f t="shared" si="0"/>
        <v>#DIV/0!</v>
      </c>
      <c r="H64" s="115" t="s">
        <v>120</v>
      </c>
      <c r="I64" s="116">
        <f>I63*(1-I60)</f>
        <v>0</v>
      </c>
    </row>
    <row r="65" spans="4:9" ht="15.75" thickBot="1" x14ac:dyDescent="0.3">
      <c r="D65" t="e">
        <f t="shared" si="0"/>
        <v>#DIV/0!</v>
      </c>
      <c r="H65" s="111" t="s">
        <v>121</v>
      </c>
      <c r="I65" s="117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Analysts</vt:lpstr>
      <vt:lpstr>Model-graph</vt:lpstr>
      <vt:lpstr>KPIs</vt:lpstr>
      <vt:lpstr>Sheet1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2025-12-09T13:43:03Z</dcterms:modified>
</cp:coreProperties>
</file>