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imon\Documents\models\Business - Technology Services\Datacenter\"/>
    </mc:Choice>
  </mc:AlternateContent>
  <xr:revisionPtr revIDLastSave="0" documentId="13_ncr:1_{2D52C358-855B-41DE-AC1B-CA19FD8F049A}" xr6:coauthVersionLast="47" xr6:coauthVersionMax="47" xr10:uidLastSave="{00000000-0000-0000-0000-000000000000}"/>
  <bookViews>
    <workbookView xWindow="-120" yWindow="-120" windowWidth="29040" windowHeight="15720" tabRatio="739" xr2:uid="{00000000-000D-0000-FFFF-FFFF00000000}"/>
  </bookViews>
  <sheets>
    <sheet name="Main" sheetId="1" r:id="rId1"/>
    <sheet name="Model" sheetId="2" r:id="rId2"/>
    <sheet name="Analysts" sheetId="7" r:id="rId3"/>
    <sheet name="KPIs" sheetId="6" r:id="rId4"/>
    <sheet name="Model-graph" sheetId="3" r:id="rId5"/>
    <sheet name="Catalysts" sheetId="4" r:id="rId6"/>
    <sheet name="DoR" sheetId="5" r:id="rId7"/>
  </sheets>
  <definedNames>
    <definedName name="_xlchart.v1.0" hidden="1">Model!$B$25</definedName>
    <definedName name="_xlchart.v1.1" hidden="1">Model!$B$26</definedName>
    <definedName name="_xlchart.v1.2" hidden="1">Model!$K$25:$P$25</definedName>
    <definedName name="_xlchart.v1.3" hidden="1">Model!$K$26:$P$26</definedName>
    <definedName name="_xlchart.v1.4" hidden="1">Model!$K$2:$P$2</definedName>
    <definedName name="_xlchart.v1.5" hidden="1">Model!$B$7</definedName>
    <definedName name="_xlchart.v1.6" hidden="1">Model!$B$8</definedName>
    <definedName name="_xlchart.v1.7" hidden="1">Model!$K$2:$P$2</definedName>
    <definedName name="_xlchart.v1.8" hidden="1">Model!$K$7:$P$7</definedName>
    <definedName name="_xlchart.v1.9" hidden="1">Model!$K$8:$P$8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1" l="1"/>
  <c r="C24" i="1"/>
  <c r="C25" i="1"/>
  <c r="C21" i="1"/>
  <c r="C20" i="1"/>
  <c r="C17" i="1"/>
  <c r="C16" i="1"/>
  <c r="C15" i="1"/>
  <c r="C14" i="1"/>
  <c r="C13" i="1"/>
  <c r="H29" i="2"/>
  <c r="F24" i="2"/>
  <c r="F22" i="2"/>
  <c r="F21" i="2"/>
  <c r="F18" i="2"/>
  <c r="F15" i="2"/>
  <c r="F14" i="2"/>
  <c r="F13" i="2"/>
  <c r="E7" i="2"/>
  <c r="E30" i="2" s="1"/>
  <c r="E12" i="2"/>
  <c r="C9" i="1"/>
  <c r="C10" i="1"/>
  <c r="C7" i="1"/>
  <c r="R18" i="2"/>
  <c r="R17" i="2"/>
  <c r="O58" i="2"/>
  <c r="O63" i="2" s="1"/>
  <c r="R58" i="2"/>
  <c r="R63" i="2" s="1"/>
  <c r="R45" i="2"/>
  <c r="R53" i="2" s="1"/>
  <c r="M12" i="2"/>
  <c r="M7" i="2"/>
  <c r="M31" i="2" s="1"/>
  <c r="Q7" i="2"/>
  <c r="Q30" i="2" s="1"/>
  <c r="Q17" i="2"/>
  <c r="N24" i="2"/>
  <c r="E22" i="2"/>
  <c r="D62" i="2"/>
  <c r="D57" i="2"/>
  <c r="D52" i="2"/>
  <c r="D44" i="2"/>
  <c r="P19" i="2"/>
  <c r="F19" i="2" s="1"/>
  <c r="P17" i="2"/>
  <c r="F17" i="2" s="1"/>
  <c r="P62" i="2"/>
  <c r="N62" i="2"/>
  <c r="N59" i="2"/>
  <c r="N57" i="2"/>
  <c r="N56" i="2"/>
  <c r="N55" i="2"/>
  <c r="N54" i="2"/>
  <c r="N52" i="2"/>
  <c r="N51" i="2"/>
  <c r="N50" i="2"/>
  <c r="N49" i="2"/>
  <c r="N48" i="2"/>
  <c r="N47" i="2"/>
  <c r="N46" i="2"/>
  <c r="N44" i="2"/>
  <c r="N43" i="2"/>
  <c r="N42" i="2"/>
  <c r="N41" i="2"/>
  <c r="N40" i="2"/>
  <c r="N39" i="2"/>
  <c r="T38" i="2"/>
  <c r="S38" i="2"/>
  <c r="R38" i="2"/>
  <c r="Q38" i="2"/>
  <c r="P38" i="2"/>
  <c r="O38" i="2"/>
  <c r="M38" i="2"/>
  <c r="L38" i="2"/>
  <c r="K38" i="2"/>
  <c r="C38" i="2"/>
  <c r="D38" i="2"/>
  <c r="F38" i="2"/>
  <c r="G38" i="2"/>
  <c r="G30" i="2"/>
  <c r="Q45" i="2"/>
  <c r="Q53" i="2" s="1"/>
  <c r="S45" i="2"/>
  <c r="S53" i="2" s="1"/>
  <c r="T45" i="2"/>
  <c r="T53" i="2" s="1"/>
  <c r="Q58" i="2"/>
  <c r="Q63" i="2" s="1"/>
  <c r="S58" i="2"/>
  <c r="S63" i="2" s="1"/>
  <c r="T58" i="2"/>
  <c r="T63" i="2" s="1"/>
  <c r="Q12" i="2"/>
  <c r="Q27" i="2" s="1"/>
  <c r="R12" i="2"/>
  <c r="S12" i="2"/>
  <c r="T12" i="2"/>
  <c r="R7" i="2"/>
  <c r="S7" i="2"/>
  <c r="T7" i="2"/>
  <c r="N7" i="2"/>
  <c r="N30" i="2" s="1"/>
  <c r="O7" i="2"/>
  <c r="F7" i="2" s="1"/>
  <c r="P7" i="2"/>
  <c r="P31" i="2" s="1"/>
  <c r="N12" i="2"/>
  <c r="O12" i="2"/>
  <c r="F12" i="2" s="1"/>
  <c r="P12" i="2"/>
  <c r="O45" i="2"/>
  <c r="O53" i="2" s="1"/>
  <c r="P45" i="2"/>
  <c r="P53" i="2" s="1"/>
  <c r="P58" i="2"/>
  <c r="P63" i="2" s="1"/>
  <c r="F45" i="2"/>
  <c r="F53" i="2" s="1"/>
  <c r="G45" i="2"/>
  <c r="G53" i="2" s="1"/>
  <c r="E58" i="2"/>
  <c r="E63" i="2" s="1"/>
  <c r="F58" i="2"/>
  <c r="F63" i="2" s="1"/>
  <c r="G58" i="2"/>
  <c r="G63" i="2" s="1"/>
  <c r="E32" i="2"/>
  <c r="F32" i="2"/>
  <c r="G32" i="2"/>
  <c r="E33" i="2"/>
  <c r="F33" i="2"/>
  <c r="G33" i="2"/>
  <c r="G12" i="2"/>
  <c r="M58" i="2"/>
  <c r="M63" i="2" s="1"/>
  <c r="L58" i="2"/>
  <c r="L63" i="2" s="1"/>
  <c r="K58" i="2"/>
  <c r="K63" i="2" s="1"/>
  <c r="M45" i="2"/>
  <c r="M53" i="2" s="1"/>
  <c r="L45" i="2"/>
  <c r="L53" i="2" s="1"/>
  <c r="K45" i="2"/>
  <c r="K53" i="2" s="1"/>
  <c r="L12" i="2"/>
  <c r="K12" i="2"/>
  <c r="L7" i="2"/>
  <c r="L31" i="2" s="1"/>
  <c r="K7" i="2"/>
  <c r="K30"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12" i="2"/>
  <c r="D12" i="2"/>
  <c r="F31" i="2" l="1"/>
  <c r="F30" i="2"/>
  <c r="N58" i="2"/>
  <c r="F16" i="2"/>
  <c r="R64" i="2"/>
  <c r="C30" i="1"/>
  <c r="P29" i="2"/>
  <c r="P30" i="2"/>
  <c r="N63" i="2"/>
  <c r="P16" i="2"/>
  <c r="P20" i="2" s="1"/>
  <c r="P23" i="2" s="1"/>
  <c r="P28" i="2" s="1"/>
  <c r="T29" i="2"/>
  <c r="E16" i="2"/>
  <c r="R16" i="2"/>
  <c r="R20" i="2" s="1"/>
  <c r="R23" i="2" s="1"/>
  <c r="R25" i="2" s="1"/>
  <c r="T27" i="2"/>
  <c r="S27" i="2"/>
  <c r="S29" i="2"/>
  <c r="Q64" i="2"/>
  <c r="O64" i="2"/>
  <c r="T16" i="2"/>
  <c r="T20" i="2" s="1"/>
  <c r="T23" i="2" s="1"/>
  <c r="T31" i="2"/>
  <c r="S16" i="2"/>
  <c r="S20" i="2" s="1"/>
  <c r="S23" i="2" s="1"/>
  <c r="S28" i="2" s="1"/>
  <c r="S31" i="2"/>
  <c r="R27" i="2"/>
  <c r="G64" i="2"/>
  <c r="F64" i="2"/>
  <c r="R31" i="2"/>
  <c r="R29" i="2"/>
  <c r="R30" i="2"/>
  <c r="Q16" i="2"/>
  <c r="E31" i="2"/>
  <c r="Q31" i="2"/>
  <c r="Q29" i="2"/>
  <c r="F29" i="2"/>
  <c r="T30" i="2"/>
  <c r="T64" i="2"/>
  <c r="O29" i="2"/>
  <c r="S30" i="2"/>
  <c r="S64" i="2"/>
  <c r="G31" i="2"/>
  <c r="G27" i="2"/>
  <c r="G16" i="2"/>
  <c r="F27" i="2"/>
  <c r="G29" i="2"/>
  <c r="P64" i="2"/>
  <c r="O27" i="2"/>
  <c r="N27" i="2"/>
  <c r="M27" i="2"/>
  <c r="E27" i="2"/>
  <c r="O31" i="2"/>
  <c r="O16" i="2"/>
  <c r="O20" i="2" s="1"/>
  <c r="O23" i="2" s="1"/>
  <c r="N31" i="2"/>
  <c r="N16" i="2"/>
  <c r="N20" i="2" s="1"/>
  <c r="N23" i="2" s="1"/>
  <c r="O30" i="2"/>
  <c r="P27" i="2"/>
  <c r="M64" i="2"/>
  <c r="L27" i="2"/>
  <c r="L30" i="2"/>
  <c r="L64" i="2"/>
  <c r="K64" i="2"/>
  <c r="M30" i="2"/>
  <c r="K16" i="2"/>
  <c r="K20" i="2" s="1"/>
  <c r="K23" i="2" s="1"/>
  <c r="K31" i="2"/>
  <c r="L16" i="2"/>
  <c r="L20" i="2" s="1"/>
  <c r="L23" i="2" s="1"/>
  <c r="M16" i="2"/>
  <c r="M20" i="2" s="1"/>
  <c r="M23" i="2" s="1"/>
  <c r="K27" i="2"/>
  <c r="C22" i="1"/>
  <c r="C28" i="1" s="1"/>
  <c r="C23" i="1"/>
  <c r="C8" i="1"/>
  <c r="I31" i="5"/>
  <c r="I30" i="5"/>
  <c r="I29" i="5"/>
  <c r="I28" i="5"/>
  <c r="I26" i="5"/>
  <c r="I25" i="5"/>
  <c r="I24" i="5"/>
  <c r="I23" i="5"/>
  <c r="I22" i="5"/>
  <c r="I21" i="5"/>
  <c r="I20" i="5"/>
  <c r="I19" i="5"/>
  <c r="I65" i="5"/>
  <c r="I64" i="5"/>
  <c r="F20" i="2" l="1"/>
  <c r="F23" i="2" s="1"/>
  <c r="F25" i="2" s="1"/>
  <c r="R34" i="2"/>
  <c r="Q20" i="2"/>
  <c r="Q23" i="2" s="1"/>
  <c r="E20" i="2"/>
  <c r="E23" i="2" s="1"/>
  <c r="E25" i="2" s="1"/>
  <c r="R28" i="2"/>
  <c r="P34" i="2"/>
  <c r="P25" i="2"/>
  <c r="T34" i="2"/>
  <c r="T28" i="2"/>
  <c r="T25" i="2"/>
  <c r="S25" i="2"/>
  <c r="S34" i="2"/>
  <c r="G20" i="2"/>
  <c r="G23" i="2" s="1"/>
  <c r="N28" i="2"/>
  <c r="N25" i="2"/>
  <c r="O25" i="2"/>
  <c r="O34" i="2"/>
  <c r="O28" i="2"/>
  <c r="L28" i="2"/>
  <c r="L25" i="2"/>
  <c r="M28" i="2"/>
  <c r="M25" i="2"/>
  <c r="K28" i="2"/>
  <c r="K25"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7" i="2"/>
  <c r="C16" i="2" s="1"/>
  <c r="C20" i="2" s="1"/>
  <c r="C23" i="2" s="1"/>
  <c r="D7" i="2"/>
  <c r="C33" i="2"/>
  <c r="D33" i="2"/>
  <c r="C32" i="2"/>
  <c r="D32" i="2"/>
  <c r="F28" i="2" l="1"/>
  <c r="Q28" i="2"/>
  <c r="Q25" i="2"/>
  <c r="Q34" i="2"/>
  <c r="F34" i="2"/>
  <c r="E28" i="2"/>
  <c r="D16" i="2"/>
  <c r="D20" i="2" s="1"/>
  <c r="D23" i="2" s="1"/>
  <c r="E29" i="2"/>
  <c r="G25" i="2"/>
  <c r="G34" i="2" s="1"/>
  <c r="G28" i="2"/>
  <c r="K11" i="5"/>
  <c r="D30" i="2"/>
  <c r="D31" i="2"/>
  <c r="C31"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C27" i="2"/>
  <c r="C30" i="2"/>
  <c r="D27" i="2"/>
  <c r="D29" i="2"/>
  <c r="D58" i="2"/>
  <c r="D63" i="2" s="1"/>
  <c r="D45" i="2"/>
  <c r="D53" i="2" s="1"/>
  <c r="C29" i="2"/>
  <c r="C45" i="2"/>
  <c r="C53" i="2" s="1"/>
  <c r="D64" i="2" l="1"/>
  <c r="C19" i="1"/>
  <c r="M5" i="5"/>
  <c r="M6" i="5" s="1"/>
  <c r="M7" i="5" s="1"/>
  <c r="M8" i="5" s="1"/>
  <c r="M9" i="5" s="1"/>
  <c r="M10" i="5" s="1"/>
  <c r="M11" i="5" s="1"/>
  <c r="M12" i="5" s="1"/>
  <c r="M13" i="5" s="1"/>
  <c r="M14" i="5" s="1"/>
  <c r="M15" i="5" s="1"/>
  <c r="C58" i="2"/>
  <c r="C63" i="2" s="1"/>
  <c r="C64" i="2" s="1"/>
  <c r="C18" i="1" l="1"/>
  <c r="D25" i="2"/>
  <c r="E34" i="2" s="1"/>
  <c r="D28" i="2"/>
  <c r="C25" i="2" l="1"/>
  <c r="C34" i="2" s="1"/>
  <c r="C28" i="2"/>
  <c r="C11" i="1" s="1"/>
  <c r="D34" i="2" l="1"/>
  <c r="C12" i="1"/>
  <c r="N45" i="2" l="1"/>
  <c r="N53" i="2" s="1"/>
  <c r="N64" i="2" s="1"/>
  <c r="E45" i="2"/>
  <c r="N38" i="2"/>
  <c r="E38" i="2"/>
  <c r="E53" i="2" l="1"/>
  <c r="E64" i="2" s="1"/>
  <c r="C29" i="1"/>
  <c r="C3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tc={385F5228-6293-419F-9618-A5E2E750BE4D}</author>
  </authors>
  <commentList>
    <comment ref="Q24" authorId="0" shapeId="0" xr:uid="{385F5228-6293-419F-9618-A5E2E750BE4D}">
      <text>
        <t>[Threaded comment]
Your version of Excel allows you to read this threaded comment; however, any edits to it will get removed if the file is opened in a newer version of Excel. Learn more: https://go.microsoft.com/fwlink/?linkid=870924
Comment:
    Press Release IR Website</t>
      </text>
    </comment>
  </commentList>
</comments>
</file>

<file path=xl/sharedStrings.xml><?xml version="1.0" encoding="utf-8"?>
<sst xmlns="http://schemas.openxmlformats.org/spreadsheetml/2006/main" count="216" uniqueCount="200">
  <si>
    <t>Price</t>
  </si>
  <si>
    <t>Shares</t>
  </si>
  <si>
    <t>MC</t>
  </si>
  <si>
    <t>CASH</t>
  </si>
  <si>
    <t>DEBT</t>
  </si>
  <si>
    <t>EV</t>
  </si>
  <si>
    <t>FY22</t>
  </si>
  <si>
    <t>FY23</t>
  </si>
  <si>
    <t>Revenue</t>
  </si>
  <si>
    <t>EBITDA</t>
  </si>
  <si>
    <t>Income Tax</t>
  </si>
  <si>
    <t>Net Income</t>
  </si>
  <si>
    <t>EPS</t>
  </si>
  <si>
    <t>Operational Income</t>
  </si>
  <si>
    <t>D&amp;A</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</si>
  <si>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</si>
  <si>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</si>
  <si>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</si>
  <si>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</si>
  <si>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</si>
  <si>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</si>
  <si>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</si>
  <si>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</si>
  <si>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</si>
  <si>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</si>
  <si>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</si>
  <si>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</si>
  <si>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</si>
  <si>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</si>
  <si>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</si>
  <si>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</si>
  <si>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</si>
  <si>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</si>
  <si>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</si>
  <si>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</si>
  <si>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</si>
  <si>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</si>
  <si>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</si>
  <si>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</si>
  <si>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</si>
  <si>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</si>
  <si>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</si>
  <si>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</si>
  <si>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</si>
  <si>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</si>
  <si>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</si>
  <si>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</si>
  <si>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</si>
  <si>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Gains on Equity</t>
  </si>
  <si>
    <t>Operating Lease</t>
  </si>
  <si>
    <t>Q124</t>
  </si>
  <si>
    <t>EPS exp.</t>
  </si>
  <si>
    <t>Rev. Exp.</t>
  </si>
  <si>
    <t>Q224</t>
  </si>
  <si>
    <t>FY25</t>
  </si>
  <si>
    <t>PEG1</t>
  </si>
  <si>
    <t>PEG2</t>
  </si>
  <si>
    <t>EBIT</t>
  </si>
  <si>
    <t>EV/EBITDA</t>
  </si>
  <si>
    <t>Notes</t>
  </si>
  <si>
    <t>Restricted Cash</t>
  </si>
  <si>
    <t>Prepaid Expense</t>
  </si>
  <si>
    <t>PP&amp;E</t>
  </si>
  <si>
    <t>Intangible Asset</t>
  </si>
  <si>
    <t>Equity</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</si>
  <si>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</si>
  <si>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</si>
  <si>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</si>
  <si>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</si>
  <si>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</si>
  <si>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</si>
  <si>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</si>
  <si>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</si>
  <si>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</si>
  <si>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</si>
  <si>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</si>
  <si>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</si>
  <si>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</si>
  <si>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</si>
  <si>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</si>
  <si>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</si>
  <si>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</si>
  <si>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</si>
  <si>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</si>
  <si>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</si>
  <si>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</si>
  <si>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</si>
  <si>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</si>
  <si>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</si>
  <si>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</si>
  <si>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</si>
  <si>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</si>
  <si>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</si>
  <si>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</si>
  <si>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</si>
  <si>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</si>
  <si>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</si>
  <si>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</si>
  <si>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</si>
  <si>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</si>
  <si>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</si>
  <si>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</si>
  <si>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</si>
  <si>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</si>
  <si>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</si>
  <si>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</si>
  <si>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</si>
  <si>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</si>
  <si>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</si>
  <si>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</si>
  <si>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</si>
  <si>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</si>
  <si>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</si>
  <si>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</si>
  <si>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</si>
  <si>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</si>
  <si>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</si>
  <si>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</si>
  <si>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COGS Prod1</t>
  </si>
  <si>
    <t>COGS Prod3</t>
  </si>
  <si>
    <t>COGS Prod2</t>
  </si>
  <si>
    <t>Prod1 y/y</t>
  </si>
  <si>
    <t>Prod2 y/y</t>
  </si>
  <si>
    <t>R&amp;D / REV</t>
  </si>
  <si>
    <t>Net Income before Tax</t>
  </si>
  <si>
    <t>Q324</t>
  </si>
  <si>
    <t>Q424</t>
  </si>
  <si>
    <t>EPS Growth</t>
  </si>
  <si>
    <t>Revenue Growth</t>
  </si>
  <si>
    <t>Sell</t>
  </si>
  <si>
    <t>Underperform</t>
  </si>
  <si>
    <t>Hold</t>
  </si>
  <si>
    <t>Buy</t>
  </si>
  <si>
    <t>Strong buy</t>
  </si>
  <si>
    <t>Goldman Sachs</t>
  </si>
  <si>
    <t>Wells Fargo</t>
  </si>
  <si>
    <t>TD Cowen</t>
  </si>
  <si>
    <t>Price Targets</t>
  </si>
  <si>
    <t>FY26</t>
  </si>
  <si>
    <t>Q125</t>
  </si>
  <si>
    <t>Q225</t>
  </si>
  <si>
    <t>Q325</t>
  </si>
  <si>
    <t>Q425</t>
  </si>
  <si>
    <t>Q126</t>
  </si>
  <si>
    <t>Q226</t>
  </si>
  <si>
    <t>VAT reclaimable</t>
  </si>
  <si>
    <t>Other current</t>
  </si>
  <si>
    <t>Equity method investment</t>
  </si>
  <si>
    <t>Investments in non-marketable</t>
  </si>
  <si>
    <t>Deferred Tax</t>
  </si>
  <si>
    <t>Other non-current</t>
  </si>
  <si>
    <t>Debt current</t>
  </si>
  <si>
    <t>Income tax payable</t>
  </si>
  <si>
    <t>Deferred Revenue</t>
  </si>
  <si>
    <t>Other accrued liab</t>
  </si>
  <si>
    <t>Product Development</t>
  </si>
  <si>
    <t>SG&amp;A</t>
  </si>
  <si>
    <t>Interest Income</t>
  </si>
  <si>
    <t>Discontinues Operations</t>
  </si>
  <si>
    <t>SG&amp;A / REV</t>
  </si>
  <si>
    <t>ARR</t>
  </si>
  <si>
    <t>Nebius Group is a technology company building full-stack infrastructure to service the high-growth global AI industry, including large-scale GPU clusters, cloud platforms, and tools and services for developers. Headquartered in Amsterdam and listed on Nasdaq, the Company has a global footprint with R&amp;D hubs across Europe, North America and Israel.
Nebius Group’s core business is an AI-centric cloud platform built for intensive AI workloads. With proprietary cloud software architecture and hardware designed in-house (including servers, racks and data center design), Nebius Group gives AI builders the compute, storage, managed services and tools they need to build, tune and run their models.
The group also operates three additional businesses under their own distinctive brands:
· Toloka – a data partner for all stages of AI development from training to evaluation;
· TripleTen – a leading edtech player in the U.S. and certain other markets, re-skilling people for careers in tech;
· Avride – one of the most experienced teams developing autonomous driving technology for self-driving cars and delivery robots.</t>
  </si>
  <si>
    <t>Mr. Arkady Volozh</t>
  </si>
  <si>
    <t>Founder, CEO &amp; Non-Independent Executive Director</t>
  </si>
  <si>
    <t>Dado Alonso</t>
  </si>
  <si>
    <t>Chief Financial Officer</t>
  </si>
  <si>
    <t>Dr. Ophir Nave</t>
  </si>
  <si>
    <t>COO &amp; Non-Independent Executive Director</t>
  </si>
  <si>
    <t>Danila Shtan</t>
  </si>
  <si>
    <t>Chief Technology Officer</t>
  </si>
  <si>
    <t>Mr. Neil A. Doshi</t>
  </si>
  <si>
    <t>VP &amp; Head of Investor Relations</t>
  </si>
  <si>
    <t>Mr. Boaz Tal</t>
  </si>
  <si>
    <t>General Counsel</t>
  </si>
  <si>
    <t>Mr. Tom Blackwell</t>
  </si>
  <si>
    <t>Chief Communications Officer</t>
  </si>
  <si>
    <t>Daniel Bounds</t>
  </si>
  <si>
    <t>Chief Marketing Officer</t>
  </si>
  <si>
    <t>Sarah Boulogne</t>
  </si>
  <si>
    <t>Chief People Officer</t>
  </si>
  <si>
    <t>Mr. Roman Chernin</t>
  </si>
  <si>
    <t>Chief Business Office</t>
  </si>
  <si>
    <t>Nebius</t>
  </si>
  <si>
    <t>Avride</t>
  </si>
  <si>
    <t>Eliminations</t>
  </si>
  <si>
    <t>TripleTen</t>
  </si>
  <si>
    <t>Nebius: AI cloud Platform</t>
  </si>
  <si>
    <t>Avride: autonomous driving technology</t>
  </si>
  <si>
    <t>TripleTen: a leading edtech player in the US, re-skilling people for careers in tech</t>
  </si>
  <si>
    <t>Debt</t>
  </si>
  <si>
    <t>Paul Tudor Jones</t>
  </si>
  <si>
    <t>Orbis Allan Gray Ltd</t>
  </si>
  <si>
    <t>Fred Alger Management</t>
  </si>
  <si>
    <t>Jericho Capital Asset Management</t>
  </si>
  <si>
    <t>Accel Leaders 4 Associates L.P.</t>
  </si>
  <si>
    <t>Altshuler Shaman Ltd</t>
  </si>
  <si>
    <t>Close of Deals with Hyperscalers (META, MSFT)</t>
  </si>
  <si>
    <t>Investments of Nvidia into the company</t>
  </si>
  <si>
    <t>CapEX Spending from Hyperscalers</t>
  </si>
  <si>
    <t>FY27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</si>
</sst>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1">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8" borderId="9" applyNumberFormat="0" applyAlignment="0" applyProtection="0"/>
  </cellStyleXfs>
  <cellXfs count="134">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2" fontId="5" fillId="0" borderId="0" xfId="0" applyNumberFormat="1" applyFont="1"/>
    <xf numFmtId="0" fontId="0" fillId="7" borderId="0" xfId="0" applyFill="1"/>
    <xf numFmtId="2" fontId="0" fillId="0" borderId="2" xfId="0" applyNumberFormat="1" applyBorder="1"/>
    <xf numFmtId="10" fontId="2" fillId="0" borderId="0" xfId="1" applyNumberFormat="1" applyFont="1"/>
    <xf numFmtId="0" fontId="7" fillId="0" borderId="0" xfId="0" applyFont="1" applyAlignment="1">
      <alignment horizontal="left" vertical="center" wrapText="1"/>
    </xf>
    <xf numFmtId="0" fontId="7" fillId="0" borderId="0" xfId="0" applyFont="1" applyAlignment="1">
      <alignment horizontal="right" vertical="center" wrapText="1"/>
    </xf>
    <xf numFmtId="0" fontId="0" fillId="3" borderId="7" xfId="0" applyFill="1" applyBorder="1" applyAlignment="1">
      <alignment horizontal="right"/>
    </xf>
    <xf numFmtId="0" fontId="12" fillId="10" borderId="13" xfId="0" applyFont="1" applyFill="1" applyBorder="1"/>
    <xf numFmtId="0" fontId="12" fillId="10" borderId="14" xfId="0" applyFont="1" applyFill="1" applyBorder="1"/>
    <xf numFmtId="0" fontId="12" fillId="10" borderId="15" xfId="0" applyFont="1" applyFill="1" applyBorder="1"/>
    <xf numFmtId="0" fontId="12" fillId="10" borderId="16" xfId="0" applyFont="1" applyFill="1" applyBorder="1"/>
    <xf numFmtId="0" fontId="13" fillId="10" borderId="17" xfId="0" applyFont="1" applyFill="1" applyBorder="1" applyAlignment="1">
      <alignment horizontal="center"/>
    </xf>
    <xf numFmtId="0" fontId="13" fillId="10" borderId="18" xfId="0" applyFont="1" applyFill="1" applyBorder="1" applyAlignment="1">
      <alignment horizontal="center"/>
    </xf>
    <xf numFmtId="0" fontId="12" fillId="10" borderId="19" xfId="0" applyFont="1" applyFill="1" applyBorder="1"/>
    <xf numFmtId="0" fontId="12" fillId="10" borderId="20" xfId="0" applyFont="1" applyFill="1" applyBorder="1"/>
    <xf numFmtId="166" fontId="12" fillId="10" borderId="21" xfId="0" applyNumberFormat="1" applyFont="1" applyFill="1" applyBorder="1"/>
    <xf numFmtId="166" fontId="12" fillId="10" borderId="22" xfId="0" applyNumberFormat="1" applyFont="1" applyFill="1" applyBorder="1"/>
    <xf numFmtId="0" fontId="12" fillId="10" borderId="22" xfId="0" applyFont="1" applyFill="1" applyBorder="1"/>
    <xf numFmtId="10" fontId="12" fillId="10" borderId="22" xfId="0" applyNumberFormat="1" applyFont="1" applyFill="1" applyBorder="1"/>
    <xf numFmtId="10" fontId="12" fillId="10" borderId="23" xfId="0" applyNumberFormat="1" applyFont="1" applyFill="1" applyBorder="1"/>
    <xf numFmtId="166" fontId="12" fillId="10" borderId="24" xfId="0" applyNumberFormat="1" applyFont="1" applyFill="1" applyBorder="1"/>
    <xf numFmtId="166" fontId="12" fillId="10" borderId="25" xfId="0" applyNumberFormat="1" applyFont="1" applyFill="1" applyBorder="1"/>
    <xf numFmtId="0" fontId="12" fillId="10" borderId="25" xfId="0" applyFont="1" applyFill="1" applyBorder="1"/>
    <xf numFmtId="0" fontId="12" fillId="10" borderId="25" xfId="0" quotePrefix="1" applyFont="1" applyFill="1" applyBorder="1"/>
    <xf numFmtId="10" fontId="12" fillId="10" borderId="25" xfId="0" applyNumberFormat="1" applyFont="1" applyFill="1" applyBorder="1"/>
    <xf numFmtId="10" fontId="12" fillId="10" borderId="26" xfId="0" applyNumberFormat="1" applyFont="1" applyFill="1" applyBorder="1"/>
    <xf numFmtId="0" fontId="12" fillId="10" borderId="27" xfId="0" applyFont="1" applyFill="1" applyBorder="1"/>
    <xf numFmtId="0" fontId="12" fillId="10" borderId="28" xfId="0" applyFont="1" applyFill="1" applyBorder="1"/>
    <xf numFmtId="10" fontId="12" fillId="10" borderId="29" xfId="0" applyNumberFormat="1" applyFont="1" applyFill="1" applyBorder="1"/>
    <xf numFmtId="166" fontId="12" fillId="10" borderId="30" xfId="0" applyNumberFormat="1" applyFont="1" applyFill="1" applyBorder="1"/>
    <xf numFmtId="0" fontId="12" fillId="10" borderId="31" xfId="0" applyFont="1" applyFill="1" applyBorder="1"/>
    <xf numFmtId="166" fontId="12" fillId="10" borderId="34" xfId="0" applyNumberFormat="1" applyFont="1" applyFill="1" applyBorder="1"/>
    <xf numFmtId="166" fontId="12" fillId="10" borderId="13" xfId="0" applyNumberFormat="1" applyFont="1" applyFill="1" applyBorder="1"/>
    <xf numFmtId="0" fontId="0" fillId="10" borderId="35" xfId="0" applyFill="1" applyBorder="1"/>
    <xf numFmtId="166" fontId="12" fillId="10" borderId="36" xfId="0" applyNumberFormat="1" applyFont="1" applyFill="1" applyBorder="1"/>
    <xf numFmtId="166" fontId="12" fillId="10" borderId="37" xfId="0" applyNumberFormat="1" applyFont="1" applyFill="1" applyBorder="1"/>
    <xf numFmtId="0" fontId="14" fillId="10" borderId="22" xfId="0" applyFont="1" applyFill="1" applyBorder="1"/>
    <xf numFmtId="0" fontId="14" fillId="10" borderId="23" xfId="0" applyFont="1" applyFill="1" applyBorder="1"/>
    <xf numFmtId="166" fontId="14" fillId="10" borderId="24" xfId="0" applyNumberFormat="1" applyFont="1" applyFill="1" applyBorder="1"/>
    <xf numFmtId="166" fontId="14" fillId="10" borderId="30" xfId="0" applyNumberFormat="1" applyFont="1" applyFill="1" applyBorder="1"/>
    <xf numFmtId="10" fontId="12" fillId="10" borderId="28" xfId="0" applyNumberFormat="1" applyFont="1" applyFill="1" applyBorder="1"/>
    <xf numFmtId="0" fontId="12" fillId="10" borderId="0" xfId="0" applyFont="1" applyFill="1"/>
    <xf numFmtId="1" fontId="12" fillId="10" borderId="24" xfId="0" applyNumberFormat="1" applyFont="1" applyFill="1" applyBorder="1"/>
    <xf numFmtId="10" fontId="12" fillId="10" borderId="38" xfId="0" applyNumberFormat="1" applyFont="1" applyFill="1" applyBorder="1"/>
    <xf numFmtId="9" fontId="14" fillId="10" borderId="39" xfId="0" applyNumberFormat="1" applyFont="1" applyFill="1" applyBorder="1"/>
    <xf numFmtId="10" fontId="0" fillId="10" borderId="41" xfId="0" applyNumberFormat="1" applyFill="1" applyBorder="1" applyAlignment="1">
      <alignment horizontal="centerContinuous"/>
    </xf>
    <xf numFmtId="9" fontId="14" fillId="10" borderId="42" xfId="0" applyNumberFormat="1" applyFont="1" applyFill="1" applyBorder="1"/>
    <xf numFmtId="10" fontId="0" fillId="10" borderId="40" xfId="0" applyNumberFormat="1" applyFill="1" applyBorder="1" applyAlignment="1">
      <alignment horizontal="centerContinuous"/>
    </xf>
    <xf numFmtId="9" fontId="14" fillId="10" borderId="34" xfId="0" applyNumberFormat="1" applyFont="1" applyFill="1" applyBorder="1"/>
    <xf numFmtId="10" fontId="0" fillId="10" borderId="2" xfId="0" applyNumberFormat="1" applyFill="1" applyBorder="1" applyAlignment="1">
      <alignment horizontal="centerContinuous"/>
    </xf>
    <xf numFmtId="9" fontId="14" fillId="10" borderId="1" xfId="0" applyNumberFormat="1" applyFont="1" applyFill="1" applyBorder="1"/>
    <xf numFmtId="10" fontId="0" fillId="10" borderId="31" xfId="0" applyNumberFormat="1" applyFill="1" applyBorder="1" applyAlignment="1">
      <alignment horizontal="centerContinuous"/>
    </xf>
    <xf numFmtId="9" fontId="14" fillId="10" borderId="13" xfId="0" applyNumberFormat="1" applyFont="1" applyFill="1" applyBorder="1"/>
    <xf numFmtId="10" fontId="0" fillId="10" borderId="35" xfId="0" applyNumberFormat="1" applyFill="1" applyBorder="1" applyAlignment="1">
      <alignment horizontal="centerContinuous"/>
    </xf>
    <xf numFmtId="0" fontId="12" fillId="10" borderId="43" xfId="0" applyFont="1" applyFill="1" applyBorder="1"/>
    <xf numFmtId="9" fontId="14" fillId="10" borderId="43" xfId="0" applyNumberFormat="1" applyFont="1" applyFill="1" applyBorder="1"/>
    <xf numFmtId="10" fontId="0" fillId="10" borderId="15" xfId="0" applyNumberFormat="1" applyFill="1" applyBorder="1" applyAlignment="1">
      <alignment horizontal="centerContinuous"/>
    </xf>
    <xf numFmtId="0" fontId="14" fillId="0" borderId="21" xfId="0" applyFont="1" applyBorder="1"/>
    <xf numFmtId="9" fontId="10" fillId="8" borderId="23" xfId="3" applyNumberFormat="1" applyBorder="1"/>
    <xf numFmtId="0" fontId="14" fillId="0" borderId="27" xfId="0" applyFont="1" applyBorder="1"/>
    <xf numFmtId="9" fontId="10" fillId="8" borderId="29" xfId="3" applyNumberFormat="1" applyBorder="1"/>
    <xf numFmtId="0" fontId="12" fillId="0" borderId="0" xfId="0" applyFont="1"/>
    <xf numFmtId="2" fontId="10" fillId="8"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0" borderId="31" xfId="0" applyNumberFormat="1" applyFont="1" applyFill="1" applyBorder="1"/>
    <xf numFmtId="2" fontId="12" fillId="10" borderId="31" xfId="0" applyNumberFormat="1" applyFont="1" applyFill="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9" fontId="0" fillId="3" borderId="0" xfId="0" applyNumberFormat="1" applyFill="1"/>
    <xf numFmtId="10" fontId="0" fillId="0" borderId="0" xfId="0" applyNumberFormat="1" applyAlignment="1">
      <alignment horizontal="right"/>
    </xf>
    <xf numFmtId="2" fontId="6" fillId="0" borderId="0" xfId="0" applyNumberFormat="1" applyFont="1"/>
    <xf numFmtId="3" fontId="5" fillId="6" borderId="2" xfId="0" applyNumberFormat="1" applyFont="1" applyFill="1" applyBorder="1"/>
    <xf numFmtId="3" fontId="5" fillId="0" borderId="2" xfId="0" applyNumberFormat="1" applyFont="1" applyBorder="1"/>
    <xf numFmtId="0" fontId="6" fillId="6" borderId="2" xfId="0" applyFont="1" applyFill="1" applyBorder="1"/>
    <xf numFmtId="0" fontId="0" fillId="7" borderId="7" xfId="0" applyFill="1" applyBorder="1" applyAlignment="1">
      <alignment horizontal="center" vertical="center" wrapText="1"/>
    </xf>
    <xf numFmtId="0" fontId="0" fillId="7" borderId="0" xfId="0" applyFill="1" applyAlignment="1">
      <alignment horizontal="center" vertical="center" wrapText="1"/>
    </xf>
    <xf numFmtId="0" fontId="11" fillId="9" borderId="10" xfId="0" applyFont="1" applyFill="1" applyBorder="1" applyAlignment="1">
      <alignment horizontal="center"/>
    </xf>
    <xf numFmtId="0" fontId="11" fillId="9" borderId="11" xfId="0" applyFont="1" applyFill="1" applyBorder="1" applyAlignment="1">
      <alignment horizontal="center"/>
    </xf>
    <xf numFmtId="0" fontId="11" fillId="9" borderId="12" xfId="0" applyFont="1" applyFill="1" applyBorder="1" applyAlignment="1">
      <alignment horizontal="center"/>
    </xf>
    <xf numFmtId="166" fontId="12" fillId="10" borderId="32" xfId="0" applyNumberFormat="1" applyFont="1" applyFill="1" applyBorder="1" applyAlignment="1">
      <alignment horizontal="center"/>
    </xf>
    <xf numFmtId="166" fontId="12" fillId="10" borderId="44" xfId="0" applyNumberFormat="1" applyFont="1" applyFill="1" applyBorder="1" applyAlignment="1">
      <alignment horizontal="center"/>
    </xf>
    <xf numFmtId="166" fontId="12" fillId="10" borderId="33" xfId="0" applyNumberFormat="1" applyFont="1" applyFill="1" applyBorder="1" applyAlignment="1">
      <alignment horizontal="center"/>
    </xf>
    <xf numFmtId="166" fontId="12" fillId="10"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1"/>
          <c:order val="1"/>
          <c:tx>
            <c:strRef>
              <c:f>Analysts!$A$3</c:f>
              <c:strCache>
                <c:ptCount val="1"/>
                <c:pt idx="0">
                  <c:v>Underperform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1</c:v>
                </c:pt>
                <c:pt idx="8">
                  <c:v>1</c:v>
                </c:pt>
                <c:pt idx="9">
                  <c:v>1</c:v>
                </c:pt>
              </c:numCache>
            </c:numRef>
          </c:val>
          <c:extLst>
            <c:ext xmlns:c16="http://schemas.microsoft.com/office/drawing/2014/chart" uri="{C3380CC4-5D6E-409C-BE32-E72D297353CC}">
              <c16:uniqueId val="{00000001-579C-4350-B83D-5F2E75DDA864}"/>
            </c:ext>
          </c:extLst>
        </c:ser>
        <c:ser>
          <c:idx val="2"/>
          <c:order val="2"/>
          <c:tx>
            <c:strRef>
              <c:f>Analysts!$A$4</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3"/>
          <c:tx>
            <c:strRef>
              <c:f>Analysts!$A$5</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4"/>
          <c:tx>
            <c:strRef>
              <c:f>Analysts!$A$6</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Analysts!$B$6:$L$6</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Analysts!$A$10</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Analysts!$A$11</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Analysts!$A$12</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Analysts!$B$12:$L$12</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3"/>
            <c:invertIfNegative val="0"/>
            <c:bubble3D val="0"/>
            <c:spPr>
              <a:solidFill>
                <a:schemeClr val="accent2"/>
              </a:solidFill>
              <a:ln>
                <a:noFill/>
              </a:ln>
              <a:effectLst/>
            </c:spPr>
            <c:extLst>
              <c:ext xmlns:c16="http://schemas.microsoft.com/office/drawing/2014/chart" uri="{C3380CC4-5D6E-409C-BE32-E72D297353CC}">
                <c16:uniqueId val="{00000001-774F-42CD-9DBF-F154A2ECCF92}"/>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3-774F-42CD-9DBF-F154A2ECCF92}"/>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Model!$K$7:$P$7</c:f>
              <c:numCache>
                <c:formatCode>#,##0</c:formatCode>
                <c:ptCount val="6"/>
                <c:pt idx="0">
                  <c:v>11.4</c:v>
                </c:pt>
                <c:pt idx="1">
                  <c:v>14.5</c:v>
                </c:pt>
                <c:pt idx="2">
                  <c:v>32.1</c:v>
                </c:pt>
                <c:pt idx="3">
                  <c:v>37.9</c:v>
                </c:pt>
                <c:pt idx="4">
                  <c:v>55.3</c:v>
                </c:pt>
                <c:pt idx="5">
                  <c:v>105.1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Model!$K$29:$P$29</c:f>
              <c:numCache>
                <c:formatCode>0%</c:formatCode>
                <c:ptCount val="6"/>
                <c:pt idx="4">
                  <c:v>3.8508771929824555</c:v>
                </c:pt>
                <c:pt idx="5">
                  <c:v>6.2482758620689651</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D216-4F77-B63C-1D86057DBAF3}"/>
              </c:ext>
            </c:extLst>
          </c:dPt>
          <c:dPt>
            <c:idx val="2"/>
            <c:invertIfNegative val="0"/>
            <c:bubble3D val="0"/>
            <c:spPr>
              <a:solidFill>
                <a:schemeClr val="bg2">
                  <a:lumMod val="90000"/>
                </a:schemeClr>
              </a:solidFill>
              <a:ln>
                <a:noFill/>
              </a:ln>
              <a:effectLst/>
            </c:spPr>
            <c:extLst>
              <c:ext xmlns:c16="http://schemas.microsoft.com/office/drawing/2014/chart" uri="{C3380CC4-5D6E-409C-BE32-E72D297353CC}">
                <c16:uniqueId val="{00000003-D216-4F77-B63C-1D86057DBAF3}"/>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Model!$C$7:$G$7</c:f>
              <c:numCache>
                <c:formatCode>#,##0</c:formatCode>
                <c:ptCount val="5"/>
                <c:pt idx="0">
                  <c:v>0</c:v>
                </c:pt>
                <c:pt idx="1">
                  <c:v>0</c:v>
                </c:pt>
                <c:pt idx="2">
                  <c:v>117.5</c:v>
                </c:pt>
                <c:pt idx="3">
                  <c:v>534.19999999999993</c:v>
                </c:pt>
                <c:pt idx="4">
                  <c:v>3330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Model!$C$29:$G$29</c:f>
              <c:numCache>
                <c:formatCode>0%</c:formatCode>
                <c:ptCount val="5"/>
                <c:pt idx="0">
                  <c:v>0</c:v>
                </c:pt>
                <c:pt idx="1">
                  <c:v>0</c:v>
                </c:pt>
                <c:pt idx="2">
                  <c:v>0</c:v>
                </c:pt>
                <c:pt idx="3">
                  <c:v>3.546382978723404</c:v>
                </c:pt>
                <c:pt idx="4">
                  <c:v>5.2336203669037822</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Model!$K$25:$P$25</c:f>
              <c:numCache>
                <c:formatCode>0.00</c:formatCode>
                <c:ptCount val="6"/>
                <c:pt idx="0">
                  <c:v>0</c:v>
                </c:pt>
                <c:pt idx="1">
                  <c:v>0</c:v>
                </c:pt>
                <c:pt idx="2">
                  <c:v>0</c:v>
                </c:pt>
                <c:pt idx="3">
                  <c:v>-0.57941851153068291</c:v>
                </c:pt>
                <c:pt idx="4">
                  <c:v>-0.47709276267876011</c:v>
                </c:pt>
                <c:pt idx="5">
                  <c:v>2.4482091902756724</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Model!$K$34:$P$34</c:f>
              <c:numCache>
                <c:formatCode>0%</c:formatCode>
                <c:ptCount val="6"/>
                <c:pt idx="4">
                  <c:v>-0.64107424960505521</c:v>
                </c:pt>
                <c:pt idx="5">
                  <c:v>-7.012345679012344</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Model!$C$25:$G$25</c:f>
              <c:numCache>
                <c:formatCode>0.00</c:formatCode>
                <c:ptCount val="5"/>
                <c:pt idx="0">
                  <c:v>0</c:v>
                </c:pt>
                <c:pt idx="1">
                  <c:v>0</c:v>
                </c:pt>
                <c:pt idx="2">
                  <c:v>-2.7342106334749503</c:v>
                </c:pt>
                <c:pt idx="3">
                  <c:v>0.41400185401928724</c:v>
                </c:pt>
                <c:pt idx="4">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Model!$C$34:$G$34</c:f>
              <c:numCache>
                <c:formatCode>0%</c:formatCode>
                <c:ptCount val="5"/>
                <c:pt idx="0">
                  <c:v>0</c:v>
                </c:pt>
                <c:pt idx="1">
                  <c:v>0</c:v>
                </c:pt>
                <c:pt idx="2">
                  <c:v>0</c:v>
                </c:pt>
                <c:pt idx="3">
                  <c:v>-1.1514154940920283</c:v>
                </c:pt>
                <c:pt idx="4">
                  <c:v>0</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Model!$K$30:$P$30</c:f>
              <c:numCache>
                <c:formatCode>0%</c:formatCode>
                <c:ptCount val="6"/>
                <c:pt idx="0">
                  <c:v>2.2105263157894735</c:v>
                </c:pt>
                <c:pt idx="1">
                  <c:v>2.2068965517241379</c:v>
                </c:pt>
                <c:pt idx="2">
                  <c:v>0.97819314641744537</c:v>
                </c:pt>
                <c:pt idx="3">
                  <c:v>0.93403693931398413</c:v>
                </c:pt>
                <c:pt idx="4">
                  <c:v>0.72332730560578662</c:v>
                </c:pt>
                <c:pt idx="5">
                  <c:v>0.4072312083729781</c:v>
                </c:pt>
              </c:numCache>
            </c:numRef>
          </c:val>
          <c:smooth val="0"/>
          <c:extLst>
            <c:ext xmlns:c16="http://schemas.microsoft.com/office/drawing/2014/chart" uri="{C3380CC4-5D6E-409C-BE32-E72D297353CC}">
              <c16:uniqueId val="{00000001-35FE-4BEB-944F-3D772460C6A2}"/>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Model!$K$31:$P$31</c:f>
              <c:numCache>
                <c:formatCode>0%</c:formatCode>
                <c:ptCount val="6"/>
                <c:pt idx="0">
                  <c:v>4.5</c:v>
                </c:pt>
                <c:pt idx="1">
                  <c:v>5.2137931034482756</c:v>
                </c:pt>
                <c:pt idx="2">
                  <c:v>1.4922118380062304</c:v>
                </c:pt>
                <c:pt idx="3">
                  <c:v>2.3746701846965701</c:v>
                </c:pt>
                <c:pt idx="4">
                  <c:v>1.1952983725135624</c:v>
                </c:pt>
                <c:pt idx="5">
                  <c:v>0.64890580399619413</c:v>
                </c:pt>
              </c:numCache>
            </c:numRef>
          </c:val>
          <c:smooth val="0"/>
          <c:extLst>
            <c:ext xmlns:c16="http://schemas.microsoft.com/office/drawing/2014/chart" uri="{C3380CC4-5D6E-409C-BE32-E72D297353CC}">
              <c16:uniqueId val="{00000000-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Model!$C$30:$G$30</c:f>
              <c:numCache>
                <c:formatCode>0%</c:formatCode>
                <c:ptCount val="5"/>
                <c:pt idx="0">
                  <c:v>0</c:v>
                </c:pt>
                <c:pt idx="1">
                  <c:v>0</c:v>
                </c:pt>
                <c:pt idx="2">
                  <c:v>1.1038297872340423</c:v>
                </c:pt>
                <c:pt idx="3">
                  <c:v>0.33845001871958069</c:v>
                </c:pt>
                <c:pt idx="4">
                  <c:v>0</c:v>
                </c:pt>
              </c:numCache>
            </c:numRef>
          </c:val>
          <c:smooth val="0"/>
          <c:extLst>
            <c:ext xmlns:c16="http://schemas.microsoft.com/office/drawing/2014/chart" uri="{C3380CC4-5D6E-409C-BE32-E72D297353CC}">
              <c16:uniqueId val="{00000000-E79C-46D7-BBD0-0EABFCB1E143}"/>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Model!$C$31:$F$31</c:f>
              <c:numCache>
                <c:formatCode>0%</c:formatCode>
                <c:ptCount val="4"/>
                <c:pt idx="0">
                  <c:v>0</c:v>
                </c:pt>
                <c:pt idx="1">
                  <c:v>0</c:v>
                </c:pt>
                <c:pt idx="2">
                  <c:v>2.3642553191489362</c:v>
                </c:pt>
                <c:pt idx="3">
                  <c:v>0.71827031074503944</c:v>
                </c:pt>
              </c:numCache>
            </c:numRef>
          </c:val>
          <c:smooth val="0"/>
          <c:extLst>
            <c:ext xmlns:c16="http://schemas.microsoft.com/office/drawing/2014/chart" uri="{C3380CC4-5D6E-409C-BE32-E72D297353CC}">
              <c16:uniqueId val="{00000001-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numCache>
            </c:numRef>
          </c:cat>
          <c:val>
            <c:numRef>
              <c:f>Catalysts!$C$2:$C$10000</c:f>
              <c:numCache>
                <c:formatCode>0.00</c:formatCode>
                <c:ptCount val="9999"/>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numRef>
              <c:f>DoR!$K$4:$K$15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DoR!$J$4:$J$15</c:f>
              <c:numCache>
                <c:formatCode>General</c:formatCode>
                <c:ptCount val="12"/>
                <c:pt idx="0">
                  <c:v>67</c:v>
                </c:pt>
                <c:pt idx="1">
                  <c:v>67</c:v>
                </c:pt>
                <c:pt idx="2">
                  <c:v>67</c:v>
                </c:pt>
                <c:pt idx="3">
                  <c:v>67</c:v>
                </c:pt>
                <c:pt idx="4">
                  <c:v>67</c:v>
                </c:pt>
                <c:pt idx="5">
                  <c:v>67</c:v>
                </c:pt>
                <c:pt idx="6">
                  <c:v>67</c:v>
                </c:pt>
                <c:pt idx="7">
                  <c:v>67</c:v>
                </c:pt>
                <c:pt idx="8">
                  <c:v>67</c:v>
                </c:pt>
                <c:pt idx="9">
                  <c:v>67</c:v>
                </c:pt>
                <c:pt idx="10">
                  <c:v>67</c:v>
                </c:pt>
                <c:pt idx="11">
                  <c:v>67</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_xlchart.v1.3</cx:f>
      </cx:numDim>
    </cx:data>
    <cx:data id="1">
      <cx:strDim type="cat">
        <cx:f dir="row">_xlchart.v1.4</cx:f>
      </cx:strDim>
      <cx:numDim type="val">
        <cx:f dir="row">_xlchart.v1.2</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_xlchart.v1.1</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_xlchart.v1.0</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_xlchart.v1.6</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_xlchart.v1.5</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13</xdr:row>
      <xdr:rowOff>123825</xdr:rowOff>
    </xdr:from>
    <xdr:to>
      <xdr:col>7</xdr:col>
      <xdr:colOff>609599</xdr:colOff>
      <xdr:row>30</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13</xdr:row>
      <xdr:rowOff>109536</xdr:rowOff>
    </xdr:from>
    <xdr:to>
      <xdr:col>16</xdr:col>
      <xdr:colOff>123825</xdr:colOff>
      <xdr:row>30</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imon Burghardt" id="{EE8F5543-BAB6-482B-ACD5-FD99FAF4743A}" userId="89957cfae585bdc7"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4" dT="2025-12-09T23:44:54.68" personId="{EE8F5543-BAB6-482B-ACD5-FD99FAF4743A}" id="{385F5228-6293-419F-9618-A5E2E750BE4D}">
    <text>Press Release IR Website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3"/>
  <sheetViews>
    <sheetView tabSelected="1" workbookViewId="0">
      <selection activeCell="H18" sqref="H18"/>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c r="C2" s="19"/>
      <c r="E2" s="24" t="s">
        <v>34</v>
      </c>
      <c r="F2" s="48" t="s">
        <v>35</v>
      </c>
      <c r="G2" s="25"/>
      <c r="H2" s="26" t="s">
        <v>42</v>
      </c>
      <c r="I2" s="26" t="s">
        <v>1</v>
      </c>
      <c r="J2" s="27" t="s">
        <v>35</v>
      </c>
      <c r="L2" s="30" t="s">
        <v>28</v>
      </c>
      <c r="M2" s="31" t="s">
        <v>44</v>
      </c>
      <c r="N2" s="32" t="s">
        <v>43</v>
      </c>
    </row>
    <row r="3" spans="2:14" x14ac:dyDescent="0.25">
      <c r="B3" s="5" t="s">
        <v>27</v>
      </c>
      <c r="C3" s="20">
        <v>45967</v>
      </c>
      <c r="E3" s="5" t="s">
        <v>190</v>
      </c>
      <c r="F3" s="117">
        <v>9.6299999999999997E-2</v>
      </c>
      <c r="I3" s="10"/>
      <c r="J3" s="38"/>
      <c r="L3" s="5" t="s">
        <v>162</v>
      </c>
      <c r="M3" t="s">
        <v>163</v>
      </c>
      <c r="N3" s="37"/>
    </row>
    <row r="4" spans="2:14" x14ac:dyDescent="0.25">
      <c r="B4" s="5"/>
      <c r="C4" s="21">
        <v>0.81111111111111112</v>
      </c>
      <c r="E4" s="5" t="s">
        <v>191</v>
      </c>
      <c r="F4" s="117">
        <v>5.8700000000000002E-2</v>
      </c>
      <c r="I4" s="10"/>
      <c r="J4" s="38"/>
      <c r="L4" s="5" t="s">
        <v>164</v>
      </c>
      <c r="M4" t="s">
        <v>165</v>
      </c>
      <c r="N4" s="13"/>
    </row>
    <row r="5" spans="2:14" x14ac:dyDescent="0.25">
      <c r="B5" s="5"/>
      <c r="C5" s="13"/>
      <c r="E5" s="5" t="s">
        <v>192</v>
      </c>
      <c r="F5" s="28">
        <v>4.6399999999999997</v>
      </c>
      <c r="I5" s="10"/>
      <c r="J5" s="38"/>
      <c r="L5" s="5" t="s">
        <v>166</v>
      </c>
      <c r="M5" t="s">
        <v>167</v>
      </c>
      <c r="N5" s="13"/>
    </row>
    <row r="6" spans="2:14" x14ac:dyDescent="0.25">
      <c r="B6" s="5" t="s">
        <v>0</v>
      </c>
      <c r="C6" s="16">
        <v>129.85</v>
      </c>
      <c r="E6" s="5" t="s">
        <v>193</v>
      </c>
      <c r="F6" s="28">
        <v>2.11</v>
      </c>
      <c r="I6" s="10"/>
      <c r="J6" s="38"/>
      <c r="L6" s="5" t="s">
        <v>168</v>
      </c>
      <c r="M6" t="s">
        <v>169</v>
      </c>
      <c r="N6" s="13"/>
    </row>
    <row r="7" spans="2:14" x14ac:dyDescent="0.25">
      <c r="B7" s="5" t="s">
        <v>1</v>
      </c>
      <c r="C7" s="15">
        <f>Model!R24</f>
        <v>253.01697100000001</v>
      </c>
      <c r="E7" s="5" t="s">
        <v>194</v>
      </c>
      <c r="F7" s="28">
        <v>2.1</v>
      </c>
      <c r="I7" s="10"/>
      <c r="J7" s="38"/>
      <c r="L7" s="5" t="s">
        <v>170</v>
      </c>
      <c r="M7" t="s">
        <v>171</v>
      </c>
      <c r="N7" s="13"/>
    </row>
    <row r="8" spans="2:14" x14ac:dyDescent="0.25">
      <c r="B8" s="5" t="s">
        <v>2</v>
      </c>
      <c r="C8" s="15">
        <f>C6*C7</f>
        <v>32854.253684349998</v>
      </c>
      <c r="E8" s="5" t="s">
        <v>195</v>
      </c>
      <c r="F8" s="28">
        <v>1.92</v>
      </c>
      <c r="I8" s="10"/>
      <c r="J8" s="38"/>
      <c r="L8" s="5" t="s">
        <v>172</v>
      </c>
      <c r="M8" t="s">
        <v>173</v>
      </c>
      <c r="N8" s="13"/>
    </row>
    <row r="9" spans="2:14" x14ac:dyDescent="0.25">
      <c r="B9" s="5" t="s">
        <v>3</v>
      </c>
      <c r="C9" s="15">
        <f>Model!R39</f>
        <v>3678.1</v>
      </c>
      <c r="E9" s="5"/>
      <c r="F9" s="28"/>
      <c r="I9" s="10"/>
      <c r="J9" s="38"/>
      <c r="L9" s="5" t="s">
        <v>174</v>
      </c>
      <c r="M9" t="s">
        <v>175</v>
      </c>
      <c r="N9" s="13"/>
    </row>
    <row r="10" spans="2:14" x14ac:dyDescent="0.25">
      <c r="B10" s="5" t="s">
        <v>4</v>
      </c>
      <c r="C10" s="15">
        <f>Model!R55+Model!R60</f>
        <v>4127.7</v>
      </c>
      <c r="E10" s="5"/>
      <c r="F10" s="28"/>
      <c r="I10" s="10"/>
      <c r="J10" s="38"/>
      <c r="L10" s="5" t="s">
        <v>176</v>
      </c>
      <c r="M10" t="s">
        <v>177</v>
      </c>
      <c r="N10" s="13"/>
    </row>
    <row r="11" spans="2:14" x14ac:dyDescent="0.25">
      <c r="B11" s="5" t="s">
        <v>24</v>
      </c>
      <c r="C11" s="15">
        <f>C9-C10</f>
        <v>-449.59999999999991</v>
      </c>
      <c r="E11" s="5"/>
      <c r="F11" s="28"/>
      <c r="I11" s="10"/>
      <c r="J11" s="38"/>
      <c r="L11" s="5" t="s">
        <v>178</v>
      </c>
      <c r="M11" t="s">
        <v>179</v>
      </c>
      <c r="N11" s="13"/>
    </row>
    <row r="12" spans="2:14" x14ac:dyDescent="0.25">
      <c r="B12" s="5" t="s">
        <v>5</v>
      </c>
      <c r="C12" s="15">
        <f>C8-C9+C10</f>
        <v>33303.853684349997</v>
      </c>
      <c r="E12" s="5"/>
      <c r="F12" s="28"/>
      <c r="J12" s="13"/>
      <c r="L12" s="5" t="s">
        <v>180</v>
      </c>
      <c r="M12" t="s">
        <v>181</v>
      </c>
      <c r="N12" s="13"/>
    </row>
    <row r="13" spans="2:14" x14ac:dyDescent="0.25">
      <c r="B13" s="5" t="s">
        <v>33</v>
      </c>
      <c r="C13" s="36">
        <f>C6/Model!F25</f>
        <v>313.64593839222425</v>
      </c>
      <c r="E13" s="5"/>
      <c r="J13" s="13"/>
      <c r="L13" s="5"/>
      <c r="N13" s="13"/>
    </row>
    <row r="14" spans="2:14" x14ac:dyDescent="0.25">
      <c r="B14" s="5" t="s">
        <v>31</v>
      </c>
      <c r="C14" s="36">
        <f>C6/Model!G26</f>
        <v>-44.775862068965516</v>
      </c>
      <c r="E14" s="22"/>
      <c r="F14" s="29"/>
      <c r="G14" s="29"/>
      <c r="H14" s="29"/>
      <c r="I14" s="29"/>
      <c r="J14" s="23"/>
      <c r="L14" s="22"/>
      <c r="M14" s="29"/>
      <c r="N14" s="23"/>
    </row>
    <row r="15" spans="2:14" x14ac:dyDescent="0.25">
      <c r="B15" s="5" t="s">
        <v>32</v>
      </c>
      <c r="C15" s="36">
        <f>C6/Model!H26</f>
        <v>-33.552971576227385</v>
      </c>
    </row>
    <row r="16" spans="2:14" x14ac:dyDescent="0.25">
      <c r="B16" s="5" t="s">
        <v>29</v>
      </c>
      <c r="C16" s="6">
        <f>Model!G26/Model!F25-1</f>
        <v>-8.0047995482283447</v>
      </c>
    </row>
    <row r="17" spans="2:14" ht="15" customHeight="1" x14ac:dyDescent="0.25">
      <c r="B17" s="5" t="s">
        <v>30</v>
      </c>
      <c r="C17" s="6">
        <f>Model!H26/Model!G26-1</f>
        <v>0.33448275862068977</v>
      </c>
      <c r="E17" s="33" t="s">
        <v>40</v>
      </c>
      <c r="L17" s="122" t="s">
        <v>161</v>
      </c>
      <c r="M17" s="122"/>
      <c r="N17" s="122"/>
    </row>
    <row r="18" spans="2:14" x14ac:dyDescent="0.25">
      <c r="B18" s="5" t="s">
        <v>55</v>
      </c>
      <c r="C18" s="44">
        <f>C14/(C16*100)</f>
        <v>5.5936268983619329E-2</v>
      </c>
      <c r="E18" t="s">
        <v>160</v>
      </c>
      <c r="L18" s="123"/>
      <c r="M18" s="123"/>
      <c r="N18" s="123"/>
    </row>
    <row r="19" spans="2:14" x14ac:dyDescent="0.25">
      <c r="B19" s="5" t="s">
        <v>56</v>
      </c>
      <c r="C19" s="44">
        <f>C15/(C17*100)</f>
        <v>-1.0031300780521586</v>
      </c>
      <c r="E19" t="s">
        <v>196</v>
      </c>
      <c r="L19" s="123"/>
      <c r="M19" s="123"/>
      <c r="N19" s="123"/>
    </row>
    <row r="20" spans="2:14" x14ac:dyDescent="0.25">
      <c r="B20" s="5" t="s">
        <v>66</v>
      </c>
      <c r="C20" s="6">
        <f>Model!G29</f>
        <v>5.2336203669037822</v>
      </c>
      <c r="E20" t="s">
        <v>197</v>
      </c>
      <c r="L20" s="123"/>
      <c r="M20" s="123"/>
      <c r="N20" s="123"/>
    </row>
    <row r="21" spans="2:14" x14ac:dyDescent="0.25">
      <c r="B21" s="5" t="s">
        <v>67</v>
      </c>
      <c r="C21" s="6">
        <f>Model!H29</f>
        <v>1.8618618618618616</v>
      </c>
      <c r="E21" t="s">
        <v>198</v>
      </c>
      <c r="L21" s="123"/>
      <c r="M21" s="123"/>
      <c r="N21" s="123"/>
    </row>
    <row r="22" spans="2:14" x14ac:dyDescent="0.25">
      <c r="B22" s="5" t="s">
        <v>57</v>
      </c>
      <c r="C22" s="15">
        <f>Model!C13+Model!C11</f>
        <v>0</v>
      </c>
      <c r="L22" s="123"/>
      <c r="M22" s="123"/>
      <c r="N22" s="123"/>
    </row>
    <row r="23" spans="2:14" x14ac:dyDescent="0.25">
      <c r="B23" s="5" t="s">
        <v>9</v>
      </c>
      <c r="C23" s="15">
        <f>Model!C13</f>
        <v>0</v>
      </c>
      <c r="L23" s="123"/>
      <c r="M23" s="123"/>
      <c r="N23" s="123"/>
    </row>
    <row r="24" spans="2:14" x14ac:dyDescent="0.25">
      <c r="B24" s="5" t="s">
        <v>21</v>
      </c>
      <c r="C24" s="7">
        <f>AVERAGE(Model!R27:R27)</f>
        <v>0.69916556873078606</v>
      </c>
      <c r="L24" s="123"/>
      <c r="M24" s="123"/>
      <c r="N24" s="123"/>
    </row>
    <row r="25" spans="2:14" x14ac:dyDescent="0.25">
      <c r="B25" s="5" t="s">
        <v>22</v>
      </c>
      <c r="C25" s="7">
        <f>AVERAGE(Model!O28:R28)</f>
        <v>0.39784313312429126</v>
      </c>
      <c r="L25" s="123"/>
      <c r="M25" s="123"/>
      <c r="N25" s="123"/>
    </row>
    <row r="26" spans="2:14" x14ac:dyDescent="0.25">
      <c r="B26" s="5" t="s">
        <v>58</v>
      </c>
      <c r="C26" s="36"/>
      <c r="L26" s="123"/>
      <c r="M26" s="123"/>
      <c r="N26" s="123"/>
    </row>
    <row r="27" spans="2:14" x14ac:dyDescent="0.25">
      <c r="B27" s="5" t="s">
        <v>68</v>
      </c>
      <c r="C27" s="108">
        <f>C10/Model!R64</f>
        <v>0.89475851903234216</v>
      </c>
      <c r="E27" t="s">
        <v>59</v>
      </c>
      <c r="L27" s="123"/>
      <c r="M27" s="123"/>
      <c r="N27" s="123"/>
    </row>
    <row r="28" spans="2:14" x14ac:dyDescent="0.25">
      <c r="B28" s="5" t="s">
        <v>69</v>
      </c>
      <c r="C28" s="36" t="e">
        <f>C22/-Model!C11</f>
        <v>#DIV/0!</v>
      </c>
      <c r="E28" t="s">
        <v>186</v>
      </c>
      <c r="L28" s="123"/>
      <c r="M28" s="123"/>
      <c r="N28" s="123"/>
    </row>
    <row r="29" spans="2:14" x14ac:dyDescent="0.25">
      <c r="B29" s="5" t="s">
        <v>70</v>
      </c>
      <c r="C29" s="36">
        <f>Model!E45/Model!E58</f>
        <v>9.5958333333333314</v>
      </c>
      <c r="E29" t="s">
        <v>187</v>
      </c>
      <c r="L29" s="123"/>
      <c r="M29" s="123"/>
      <c r="N29" s="123"/>
    </row>
    <row r="30" spans="2:14" x14ac:dyDescent="0.25">
      <c r="B30" s="5" t="s">
        <v>71</v>
      </c>
      <c r="C30" s="36">
        <f>(Model!E39+Model!E40)/Model!E58</f>
        <v>9.3284090909090907</v>
      </c>
      <c r="E30" t="s">
        <v>188</v>
      </c>
      <c r="L30" s="123"/>
      <c r="M30" s="123"/>
      <c r="N30" s="123"/>
    </row>
    <row r="31" spans="2:14" x14ac:dyDescent="0.25">
      <c r="B31" s="5" t="s">
        <v>72</v>
      </c>
      <c r="C31" s="6">
        <f>(Model!E45-Model!E58)/Model!E53</f>
        <v>0.63949163050216984</v>
      </c>
      <c r="L31" s="123"/>
      <c r="M31" s="123"/>
      <c r="N31" s="123"/>
    </row>
    <row r="32" spans="2:14" x14ac:dyDescent="0.25">
      <c r="B32" s="5" t="s">
        <v>73</v>
      </c>
      <c r="C32" s="36"/>
      <c r="L32" s="123"/>
      <c r="M32" s="123"/>
      <c r="N32" s="123"/>
    </row>
    <row r="33" spans="2:9" x14ac:dyDescent="0.25">
      <c r="B33" s="5" t="s">
        <v>74</v>
      </c>
      <c r="C33" s="36"/>
    </row>
    <row r="34" spans="2:9" x14ac:dyDescent="0.25">
      <c r="B34" s="5" t="s">
        <v>75</v>
      </c>
      <c r="C34" s="38"/>
    </row>
    <row r="35" spans="2:9" x14ac:dyDescent="0.25">
      <c r="B35" s="5" t="s">
        <v>76</v>
      </c>
      <c r="C35" s="38"/>
    </row>
    <row r="36" spans="2:9" x14ac:dyDescent="0.25">
      <c r="B36" s="22" t="s">
        <v>77</v>
      </c>
      <c r="C36" s="23"/>
    </row>
    <row r="37" spans="2:9" x14ac:dyDescent="0.25">
      <c r="E37" s="10"/>
    </row>
    <row r="41" spans="2:9" x14ac:dyDescent="0.25">
      <c r="E41" s="46"/>
      <c r="F41" s="46"/>
      <c r="G41" s="47"/>
      <c r="H41" s="47"/>
      <c r="I41" s="47"/>
    </row>
    <row r="42" spans="2:9" x14ac:dyDescent="0.25">
      <c r="E42" s="46"/>
      <c r="F42" s="46"/>
      <c r="G42" s="47"/>
      <c r="H42" s="47"/>
      <c r="I42" s="47"/>
    </row>
    <row r="43" spans="2:9" x14ac:dyDescent="0.25">
      <c r="E43" s="46"/>
      <c r="F43" s="46"/>
      <c r="G43" s="47"/>
      <c r="H43" s="47"/>
      <c r="I43" s="47"/>
    </row>
  </sheetData>
  <mergeCells count="1">
    <mergeCell ref="L17:N3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T85"/>
  <sheetViews>
    <sheetView zoomScaleNormal="100" workbookViewId="0">
      <pane xSplit="2" ySplit="2" topLeftCell="N36" activePane="bottomRight" state="frozen"/>
      <selection pane="topRight" activeCell="B1" sqref="B1"/>
      <selection pane="bottomLeft" activeCell="A3" sqref="A3"/>
      <selection pane="bottomRight" activeCell="S26" sqref="S26"/>
    </sheetView>
  </sheetViews>
  <sheetFormatPr defaultColWidth="11.42578125" defaultRowHeight="15" x14ac:dyDescent="0.25"/>
  <cols>
    <col min="1" max="1" width="4.7109375" customWidth="1"/>
    <col min="2" max="2" width="27.28515625" customWidth="1"/>
    <col min="6" max="6" width="11.42578125" style="13"/>
    <col min="18" max="18" width="11.42578125" style="13"/>
  </cols>
  <sheetData>
    <row r="1" spans="1:20" x14ac:dyDescent="0.25">
      <c r="A1" s="8" t="s">
        <v>25</v>
      </c>
    </row>
    <row r="2" spans="1:20" x14ac:dyDescent="0.25">
      <c r="C2" t="s">
        <v>6</v>
      </c>
      <c r="D2" t="s">
        <v>7</v>
      </c>
      <c r="E2" t="s">
        <v>23</v>
      </c>
      <c r="F2" s="13" t="s">
        <v>54</v>
      </c>
      <c r="G2" t="s">
        <v>138</v>
      </c>
      <c r="H2" t="s">
        <v>199</v>
      </c>
      <c r="K2" t="s">
        <v>50</v>
      </c>
      <c r="L2" t="s">
        <v>53</v>
      </c>
      <c r="M2" t="s">
        <v>125</v>
      </c>
      <c r="N2" t="s">
        <v>126</v>
      </c>
      <c r="O2" t="s">
        <v>139</v>
      </c>
      <c r="P2" t="s">
        <v>140</v>
      </c>
      <c r="Q2" t="s">
        <v>141</v>
      </c>
      <c r="R2" s="13" t="s">
        <v>142</v>
      </c>
      <c r="S2" t="s">
        <v>143</v>
      </c>
      <c r="T2" t="s">
        <v>144</v>
      </c>
    </row>
    <row r="3" spans="1:20" x14ac:dyDescent="0.25">
      <c r="B3" s="9" t="s">
        <v>182</v>
      </c>
      <c r="E3">
        <v>117.5</v>
      </c>
      <c r="K3">
        <v>11.4</v>
      </c>
      <c r="L3">
        <v>14.5</v>
      </c>
      <c r="M3">
        <v>27.1</v>
      </c>
      <c r="N3">
        <v>37.9</v>
      </c>
      <c r="O3">
        <v>55.3</v>
      </c>
      <c r="P3">
        <v>105.1</v>
      </c>
      <c r="Q3">
        <v>131.1</v>
      </c>
      <c r="R3" s="13">
        <v>227.7</v>
      </c>
    </row>
    <row r="4" spans="1:20" x14ac:dyDescent="0.25">
      <c r="B4" s="9" t="s">
        <v>183</v>
      </c>
      <c r="M4">
        <v>0.1</v>
      </c>
      <c r="Q4">
        <v>0.2</v>
      </c>
    </row>
    <row r="5" spans="1:20" x14ac:dyDescent="0.25">
      <c r="B5" s="9" t="s">
        <v>185</v>
      </c>
      <c r="C5" s="43"/>
      <c r="D5" s="43"/>
      <c r="M5">
        <v>6.3</v>
      </c>
      <c r="Q5">
        <v>16.2</v>
      </c>
    </row>
    <row r="6" spans="1:20" x14ac:dyDescent="0.25">
      <c r="B6" s="9" t="s">
        <v>184</v>
      </c>
      <c r="C6" s="43"/>
      <c r="D6" s="43"/>
      <c r="M6">
        <v>-1.4</v>
      </c>
      <c r="Q6">
        <v>-1.4</v>
      </c>
    </row>
    <row r="7" spans="1:20" s="1" customFormat="1" x14ac:dyDescent="0.25">
      <c r="B7" s="1" t="s">
        <v>8</v>
      </c>
      <c r="C7" s="11">
        <f>SUM(C3:C5)</f>
        <v>0</v>
      </c>
      <c r="D7" s="11">
        <f>SUM(D3:D5)</f>
        <v>0</v>
      </c>
      <c r="E7" s="11">
        <f t="shared" ref="E7" si="0">SUM(E3:E5)</f>
        <v>117.5</v>
      </c>
      <c r="F7" s="14">
        <f>SUM(O7:R7)</f>
        <v>534.19999999999993</v>
      </c>
      <c r="G7" s="11">
        <v>3330</v>
      </c>
      <c r="H7" s="1">
        <v>9530</v>
      </c>
      <c r="K7" s="11">
        <f t="shared" ref="K7:L7" si="1">SUM(K3:K5)</f>
        <v>11.4</v>
      </c>
      <c r="L7" s="11">
        <f t="shared" si="1"/>
        <v>14.5</v>
      </c>
      <c r="M7" s="11">
        <f>SUM(M3:M6)</f>
        <v>32.1</v>
      </c>
      <c r="N7" s="11">
        <f t="shared" ref="N7:T7" si="2">SUM(N3:N5)</f>
        <v>37.9</v>
      </c>
      <c r="O7" s="11">
        <f t="shared" si="2"/>
        <v>55.3</v>
      </c>
      <c r="P7" s="11">
        <f t="shared" si="2"/>
        <v>105.1</v>
      </c>
      <c r="Q7" s="11">
        <f>SUM(Q3:Q6)</f>
        <v>146.09999999999997</v>
      </c>
      <c r="R7" s="14">
        <f t="shared" si="2"/>
        <v>227.7</v>
      </c>
      <c r="S7" s="11">
        <f t="shared" si="2"/>
        <v>0</v>
      </c>
      <c r="T7" s="11">
        <f t="shared" si="2"/>
        <v>0</v>
      </c>
    </row>
    <row r="8" spans="1:20" x14ac:dyDescent="0.25">
      <c r="B8" s="9" t="s">
        <v>52</v>
      </c>
      <c r="C8" s="10"/>
      <c r="D8" s="10"/>
      <c r="E8" s="40"/>
      <c r="F8" s="119">
        <v>578.16</v>
      </c>
      <c r="G8" s="115">
        <v>3330</v>
      </c>
      <c r="H8">
        <v>9530</v>
      </c>
      <c r="K8" s="40"/>
      <c r="L8" s="40"/>
      <c r="M8" s="40"/>
      <c r="N8" s="40"/>
      <c r="O8" s="40"/>
      <c r="P8" s="40"/>
      <c r="Q8">
        <v>155.72</v>
      </c>
      <c r="R8" s="13">
        <v>265.95</v>
      </c>
      <c r="S8">
        <v>401.18</v>
      </c>
      <c r="T8">
        <v>589.63</v>
      </c>
    </row>
    <row r="9" spans="1:20" x14ac:dyDescent="0.25">
      <c r="B9" s="9" t="s">
        <v>118</v>
      </c>
      <c r="C9" s="10"/>
      <c r="D9" s="10"/>
      <c r="E9" s="40">
        <v>73.400000000000006</v>
      </c>
      <c r="F9" s="120"/>
      <c r="K9" s="40">
        <v>8.9</v>
      </c>
      <c r="L9" s="40">
        <v>7.4</v>
      </c>
      <c r="M9" s="40">
        <v>9.9</v>
      </c>
      <c r="N9" s="40">
        <v>27.5</v>
      </c>
      <c r="O9" s="40">
        <v>29.5</v>
      </c>
      <c r="P9" s="40">
        <v>30.1</v>
      </c>
      <c r="Q9">
        <v>42.9</v>
      </c>
      <c r="R9" s="13">
        <v>68.5</v>
      </c>
    </row>
    <row r="10" spans="1:20" x14ac:dyDescent="0.25">
      <c r="B10" s="9" t="s">
        <v>120</v>
      </c>
      <c r="C10" s="10"/>
      <c r="D10" s="10"/>
      <c r="E10" s="40"/>
      <c r="F10" s="120"/>
      <c r="K10" s="40"/>
      <c r="L10" s="40"/>
      <c r="M10" s="40"/>
      <c r="N10" s="40"/>
      <c r="O10" s="40"/>
      <c r="P10" s="40"/>
    </row>
    <row r="11" spans="1:20" x14ac:dyDescent="0.25">
      <c r="B11" s="9" t="s">
        <v>119</v>
      </c>
      <c r="C11" s="10"/>
      <c r="D11" s="10"/>
      <c r="E11" s="40"/>
      <c r="F11" s="120"/>
      <c r="K11" s="40"/>
      <c r="L11" s="40"/>
      <c r="M11" s="40"/>
      <c r="N11" s="40"/>
      <c r="O11" s="40"/>
      <c r="P11" s="40"/>
    </row>
    <row r="12" spans="1:20" s="1" customFormat="1" x14ac:dyDescent="0.25">
      <c r="B12" s="1" t="s">
        <v>45</v>
      </c>
      <c r="C12" s="11">
        <f t="shared" ref="C12:G12" si="3">SUM(C9:C11)</f>
        <v>0</v>
      </c>
      <c r="D12" s="11">
        <f t="shared" si="3"/>
        <v>0</v>
      </c>
      <c r="E12" s="11">
        <f t="shared" si="3"/>
        <v>73.400000000000006</v>
      </c>
      <c r="F12" s="14">
        <f>SUM(O12:R12)</f>
        <v>171</v>
      </c>
      <c r="G12" s="11">
        <f t="shared" si="3"/>
        <v>0</v>
      </c>
      <c r="K12" s="11">
        <f t="shared" ref="K12:M12" si="4">SUM(K9:K11)</f>
        <v>8.9</v>
      </c>
      <c r="L12" s="11">
        <f t="shared" si="4"/>
        <v>7.4</v>
      </c>
      <c r="M12" s="11">
        <f t="shared" si="4"/>
        <v>9.9</v>
      </c>
      <c r="N12" s="11">
        <f t="shared" ref="N12:T12" si="5">SUM(N9:N11)</f>
        <v>27.5</v>
      </c>
      <c r="O12" s="11">
        <f t="shared" si="5"/>
        <v>29.5</v>
      </c>
      <c r="P12" s="11">
        <f t="shared" si="5"/>
        <v>30.1</v>
      </c>
      <c r="Q12" s="11">
        <f t="shared" si="5"/>
        <v>42.9</v>
      </c>
      <c r="R12" s="14">
        <f t="shared" si="5"/>
        <v>68.5</v>
      </c>
      <c r="S12" s="11">
        <f t="shared" si="5"/>
        <v>0</v>
      </c>
      <c r="T12" s="11">
        <f t="shared" si="5"/>
        <v>0</v>
      </c>
    </row>
    <row r="13" spans="1:20" x14ac:dyDescent="0.25">
      <c r="B13" t="s">
        <v>155</v>
      </c>
      <c r="C13" s="10"/>
      <c r="D13" s="10"/>
      <c r="E13" s="40">
        <v>129.69999999999999</v>
      </c>
      <c r="F13" s="15">
        <f>SUM(O13:R13)</f>
        <v>180.79999999999998</v>
      </c>
      <c r="K13" s="10">
        <v>25.2</v>
      </c>
      <c r="L13" s="10">
        <v>32</v>
      </c>
      <c r="M13" s="10">
        <v>31.4</v>
      </c>
      <c r="N13" s="10">
        <v>35.4</v>
      </c>
      <c r="O13" s="10">
        <v>40</v>
      </c>
      <c r="P13" s="10">
        <v>42.8</v>
      </c>
      <c r="Q13">
        <v>44.9</v>
      </c>
      <c r="R13" s="13">
        <v>53.1</v>
      </c>
    </row>
    <row r="14" spans="1:20" x14ac:dyDescent="0.25">
      <c r="B14" t="s">
        <v>156</v>
      </c>
      <c r="C14" s="10"/>
      <c r="D14" s="10"/>
      <c r="E14" s="40">
        <v>277.8</v>
      </c>
      <c r="F14" s="15">
        <f>SUM(O14:R14)</f>
        <v>383.70000000000005</v>
      </c>
      <c r="K14" s="10">
        <v>51.3</v>
      </c>
      <c r="L14" s="10">
        <v>75.599999999999994</v>
      </c>
      <c r="M14" s="10">
        <v>47.9</v>
      </c>
      <c r="N14" s="10">
        <v>90</v>
      </c>
      <c r="O14" s="10">
        <v>66.099999999999994</v>
      </c>
      <c r="P14" s="10">
        <v>68.2</v>
      </c>
      <c r="Q14">
        <v>89.5</v>
      </c>
      <c r="R14" s="13">
        <v>159.9</v>
      </c>
    </row>
    <row r="15" spans="1:20" x14ac:dyDescent="0.25">
      <c r="B15" t="s">
        <v>14</v>
      </c>
      <c r="C15" s="10"/>
      <c r="D15" s="10"/>
      <c r="E15" s="10">
        <v>80.099999999999994</v>
      </c>
      <c r="F15" s="15">
        <f>SUM(O15:R15)</f>
        <v>404.1</v>
      </c>
      <c r="K15" s="10">
        <v>8.9</v>
      </c>
      <c r="L15" s="10">
        <v>11.4</v>
      </c>
      <c r="M15" s="10">
        <v>23.5</v>
      </c>
      <c r="N15" s="10">
        <v>36.200000000000003</v>
      </c>
      <c r="O15" s="10">
        <v>49.2</v>
      </c>
      <c r="P15" s="10">
        <v>75.2</v>
      </c>
      <c r="Q15">
        <v>99</v>
      </c>
      <c r="R15" s="13">
        <v>180.7</v>
      </c>
    </row>
    <row r="16" spans="1:20" s="1" customFormat="1" x14ac:dyDescent="0.25">
      <c r="B16" s="1" t="s">
        <v>13</v>
      </c>
      <c r="C16" s="11">
        <f>C7-SUM(C12:C15)</f>
        <v>0</v>
      </c>
      <c r="D16" s="11">
        <f>D7-SUM(D12:D15)</f>
        <v>0</v>
      </c>
      <c r="E16" s="11">
        <f>E7-SUM(E12:E15)</f>
        <v>-443.5</v>
      </c>
      <c r="F16" s="14">
        <f>F7-SUM(F12:F15)</f>
        <v>-605.4</v>
      </c>
      <c r="G16" s="11">
        <f>G7-SUM(G12:G15)</f>
        <v>3330</v>
      </c>
      <c r="H16" s="11"/>
      <c r="I16" s="11"/>
      <c r="J16" s="11"/>
      <c r="K16" s="11">
        <f t="shared" ref="K16:T16" si="6">K7-SUM(K12:K15)</f>
        <v>-82.9</v>
      </c>
      <c r="L16" s="11">
        <f t="shared" si="6"/>
        <v>-111.9</v>
      </c>
      <c r="M16" s="11">
        <f t="shared" si="6"/>
        <v>-80.599999999999994</v>
      </c>
      <c r="N16" s="11">
        <f t="shared" si="6"/>
        <v>-151.20000000000002</v>
      </c>
      <c r="O16" s="11">
        <f t="shared" si="6"/>
        <v>-129.5</v>
      </c>
      <c r="P16" s="11">
        <f t="shared" si="6"/>
        <v>-111.20000000000002</v>
      </c>
      <c r="Q16" s="11">
        <f t="shared" si="6"/>
        <v>-130.20000000000005</v>
      </c>
      <c r="R16" s="14">
        <f t="shared" si="6"/>
        <v>-234.5</v>
      </c>
      <c r="S16" s="11">
        <f t="shared" si="6"/>
        <v>0</v>
      </c>
      <c r="T16" s="11">
        <f t="shared" si="6"/>
        <v>0</v>
      </c>
    </row>
    <row r="17" spans="2:20" x14ac:dyDescent="0.25">
      <c r="B17" t="s">
        <v>157</v>
      </c>
      <c r="C17" s="10"/>
      <c r="D17" s="10"/>
      <c r="E17" s="10">
        <v>63.6</v>
      </c>
      <c r="F17" s="15">
        <f>SUM(O17:R17)</f>
        <v>-25.9</v>
      </c>
      <c r="G17" s="10"/>
      <c r="K17" s="10">
        <v>0.4</v>
      </c>
      <c r="L17" s="10">
        <v>12.7</v>
      </c>
      <c r="M17" s="10">
        <v>28.6</v>
      </c>
      <c r="N17" s="10">
        <v>21.9</v>
      </c>
      <c r="O17" s="10">
        <v>8.6</v>
      </c>
      <c r="P17" s="10">
        <f>3.6-4.8</f>
        <v>-1.1999999999999997</v>
      </c>
      <c r="Q17" s="10">
        <f>6.2-14.7</f>
        <v>-8.5</v>
      </c>
      <c r="R17" s="15">
        <f>13.5-38.3</f>
        <v>-24.799999999999997</v>
      </c>
      <c r="S17" s="10"/>
      <c r="T17" s="10"/>
    </row>
    <row r="18" spans="2:20" x14ac:dyDescent="0.25">
      <c r="B18" t="s">
        <v>48</v>
      </c>
      <c r="C18" s="10"/>
      <c r="D18" s="10"/>
      <c r="E18" s="10">
        <v>0.4</v>
      </c>
      <c r="F18" s="15">
        <f>SUM(O18:R18)</f>
        <v>580.9</v>
      </c>
      <c r="G18" s="10"/>
      <c r="K18" s="10">
        <v>0</v>
      </c>
      <c r="L18" s="10"/>
      <c r="M18" s="10">
        <v>0.4</v>
      </c>
      <c r="N18" s="10"/>
      <c r="O18" s="10">
        <v>0.1</v>
      </c>
      <c r="P18" s="10">
        <v>597.4</v>
      </c>
      <c r="Q18" s="10">
        <v>-7.5</v>
      </c>
      <c r="R18" s="15">
        <f>1.5-10.6</f>
        <v>-9.1</v>
      </c>
      <c r="S18" s="10"/>
      <c r="T18" s="10"/>
    </row>
    <row r="19" spans="2:20" x14ac:dyDescent="0.25">
      <c r="B19" t="s">
        <v>17</v>
      </c>
      <c r="C19" s="10"/>
      <c r="D19" s="10"/>
      <c r="E19" s="10">
        <v>-17.3</v>
      </c>
      <c r="F19" s="15">
        <f>SUM(O19:R19)</f>
        <v>74.099999999999994</v>
      </c>
      <c r="G19" s="10"/>
      <c r="K19" s="10">
        <v>-1</v>
      </c>
      <c r="L19" s="10">
        <v>-14.8</v>
      </c>
      <c r="M19" s="10">
        <v>7</v>
      </c>
      <c r="N19" s="10">
        <v>-8.4</v>
      </c>
      <c r="O19" s="10">
        <v>8.1</v>
      </c>
      <c r="P19" s="10">
        <f>-6.3+24.6</f>
        <v>18.3</v>
      </c>
      <c r="Q19" s="10">
        <v>26.3</v>
      </c>
      <c r="R19" s="15">
        <v>21.4</v>
      </c>
      <c r="S19" s="10"/>
      <c r="T19" s="10"/>
    </row>
    <row r="20" spans="2:20" s="1" customFormat="1" x14ac:dyDescent="0.25">
      <c r="B20" s="1" t="s">
        <v>124</v>
      </c>
      <c r="C20" s="11">
        <f t="shared" ref="C20:D20" si="7">C16+SUM(C17:C19)</f>
        <v>0</v>
      </c>
      <c r="D20" s="11">
        <f t="shared" si="7"/>
        <v>0</v>
      </c>
      <c r="E20" s="11">
        <f t="shared" ref="E20:G20" si="8">E16+SUM(E17:E19)</f>
        <v>-396.8</v>
      </c>
      <c r="F20" s="14">
        <f t="shared" si="8"/>
        <v>23.700000000000045</v>
      </c>
      <c r="G20" s="11">
        <f t="shared" si="8"/>
        <v>3330</v>
      </c>
      <c r="K20" s="11">
        <f t="shared" ref="K20:M20" si="9">K16+SUM(K17:K19)</f>
        <v>-83.5</v>
      </c>
      <c r="L20" s="11">
        <f t="shared" si="9"/>
        <v>-114</v>
      </c>
      <c r="M20" s="11">
        <f t="shared" si="9"/>
        <v>-44.599999999999994</v>
      </c>
      <c r="N20" s="11">
        <f t="shared" ref="N20:P20" si="10">N16+SUM(N17:N19)</f>
        <v>-137.70000000000002</v>
      </c>
      <c r="O20" s="11">
        <f t="shared" si="10"/>
        <v>-112.7</v>
      </c>
      <c r="P20" s="11">
        <f t="shared" si="10"/>
        <v>503.29999999999984</v>
      </c>
      <c r="Q20" s="11">
        <f t="shared" ref="Q20:T20" si="11">Q16+SUM(Q17:Q19)</f>
        <v>-119.90000000000005</v>
      </c>
      <c r="R20" s="14">
        <f t="shared" si="11"/>
        <v>-247</v>
      </c>
      <c r="S20" s="11">
        <f t="shared" si="11"/>
        <v>0</v>
      </c>
      <c r="T20" s="11">
        <f t="shared" si="11"/>
        <v>0</v>
      </c>
    </row>
    <row r="21" spans="2:20" x14ac:dyDescent="0.25">
      <c r="B21" t="s">
        <v>10</v>
      </c>
      <c r="C21" s="10"/>
      <c r="D21" s="10"/>
      <c r="E21" s="10">
        <v>-0.1</v>
      </c>
      <c r="F21" s="15">
        <f>SUM(O21:R21)</f>
        <v>4</v>
      </c>
      <c r="G21" s="10"/>
      <c r="K21" s="10">
        <v>-3</v>
      </c>
      <c r="L21" s="10">
        <v>2.6</v>
      </c>
      <c r="M21" s="10">
        <v>-1</v>
      </c>
      <c r="N21" s="10">
        <v>-1.1000000000000001</v>
      </c>
      <c r="O21" s="10">
        <v>0.9</v>
      </c>
      <c r="P21" s="10">
        <v>0.8</v>
      </c>
      <c r="Q21" s="10">
        <v>-0.3</v>
      </c>
      <c r="R21" s="15">
        <v>2.6</v>
      </c>
      <c r="S21" s="10"/>
      <c r="T21" s="10"/>
    </row>
    <row r="22" spans="2:20" x14ac:dyDescent="0.25">
      <c r="B22" t="s">
        <v>158</v>
      </c>
      <c r="C22" s="10"/>
      <c r="D22" s="10"/>
      <c r="E22" s="10">
        <f>-465.2-59+772.1</f>
        <v>247.89999999999998</v>
      </c>
      <c r="F22" s="15">
        <f>SUM(O22:R22)</f>
        <v>-81.900000000000006</v>
      </c>
      <c r="G22" s="10"/>
      <c r="K22" s="10">
        <v>236</v>
      </c>
      <c r="L22" s="10">
        <v>-19.399999999999999</v>
      </c>
      <c r="M22" s="10"/>
      <c r="N22" s="10"/>
      <c r="O22" s="10"/>
      <c r="P22" s="10">
        <v>-81.900000000000006</v>
      </c>
      <c r="Q22" s="10"/>
      <c r="R22" s="15"/>
      <c r="S22" s="10"/>
      <c r="T22" s="10"/>
    </row>
    <row r="23" spans="2:20" s="1" customFormat="1" x14ac:dyDescent="0.25">
      <c r="B23" s="1" t="s">
        <v>11</v>
      </c>
      <c r="C23" s="11">
        <f t="shared" ref="C23:D23" si="12">C20-SUM(C21:C22)</f>
        <v>0</v>
      </c>
      <c r="D23" s="11">
        <f t="shared" si="12"/>
        <v>0</v>
      </c>
      <c r="E23" s="11">
        <f t="shared" ref="E23:G23" si="13">E20-SUM(E21:E22)</f>
        <v>-644.6</v>
      </c>
      <c r="F23" s="14">
        <f t="shared" si="13"/>
        <v>101.60000000000005</v>
      </c>
      <c r="G23" s="11">
        <f t="shared" si="13"/>
        <v>3330</v>
      </c>
      <c r="K23" s="11">
        <f t="shared" ref="K23:M23" si="14">K20-SUM(K21:K22)</f>
        <v>-316.5</v>
      </c>
      <c r="L23" s="11">
        <f t="shared" si="14"/>
        <v>-97.2</v>
      </c>
      <c r="M23" s="11">
        <f t="shared" si="14"/>
        <v>-43.599999999999994</v>
      </c>
      <c r="N23" s="11">
        <f t="shared" ref="N23:P23" si="15">N20-SUM(N21:N22)</f>
        <v>-136.60000000000002</v>
      </c>
      <c r="O23" s="11">
        <f t="shared" si="15"/>
        <v>-113.60000000000001</v>
      </c>
      <c r="P23" s="11">
        <f t="shared" si="15"/>
        <v>584.39999999999986</v>
      </c>
      <c r="Q23" s="11">
        <f t="shared" ref="Q23:T23" si="16">Q20-SUM(Q21:Q22)</f>
        <v>-119.60000000000005</v>
      </c>
      <c r="R23" s="14">
        <f t="shared" si="16"/>
        <v>-249.6</v>
      </c>
      <c r="S23" s="11">
        <f t="shared" si="16"/>
        <v>0</v>
      </c>
      <c r="T23" s="11">
        <f t="shared" si="16"/>
        <v>0</v>
      </c>
    </row>
    <row r="24" spans="2:20" x14ac:dyDescent="0.25">
      <c r="B24" t="s">
        <v>1</v>
      </c>
      <c r="C24" s="10"/>
      <c r="D24" s="10"/>
      <c r="E24" s="10">
        <v>235.75360000000001</v>
      </c>
      <c r="F24" s="15">
        <f>AVERAGE(O24:R24)</f>
        <v>245.40952900000002</v>
      </c>
      <c r="G24" s="10"/>
      <c r="K24" s="10"/>
      <c r="L24" s="10"/>
      <c r="M24" s="10"/>
      <c r="N24" s="10">
        <f>E24</f>
        <v>235.75360000000001</v>
      </c>
      <c r="O24" s="10">
        <v>238.10883100000001</v>
      </c>
      <c r="P24" s="10">
        <v>238.70509200000001</v>
      </c>
      <c r="Q24" s="10">
        <v>251.807222</v>
      </c>
      <c r="R24" s="15">
        <v>253.01697100000001</v>
      </c>
      <c r="S24" s="10"/>
      <c r="T24" s="10"/>
    </row>
    <row r="25" spans="2:20" s="1" customFormat="1" x14ac:dyDescent="0.25">
      <c r="B25" s="1" t="s">
        <v>12</v>
      </c>
      <c r="C25" s="2" t="e">
        <f>C23/C24</f>
        <v>#DIV/0!</v>
      </c>
      <c r="D25" s="113" t="e">
        <f>D23/D24</f>
        <v>#DIV/0!</v>
      </c>
      <c r="E25" s="2">
        <f t="shared" ref="E25:G25" si="17">E23/E24</f>
        <v>-2.7342106334749503</v>
      </c>
      <c r="F25" s="35">
        <f t="shared" si="17"/>
        <v>0.41400185401928724</v>
      </c>
      <c r="G25" s="2" t="e">
        <f t="shared" si="17"/>
        <v>#DIV/0!</v>
      </c>
      <c r="K25" s="2" t="e">
        <f t="shared" ref="K25:M25" si="18">K23/K24</f>
        <v>#DIV/0!</v>
      </c>
      <c r="L25" s="2" t="e">
        <f t="shared" si="18"/>
        <v>#DIV/0!</v>
      </c>
      <c r="M25" s="2" t="e">
        <f t="shared" si="18"/>
        <v>#DIV/0!</v>
      </c>
      <c r="N25" s="2">
        <f t="shared" ref="N25:P25" si="19">N23/N24</f>
        <v>-0.57941851153068291</v>
      </c>
      <c r="O25" s="2">
        <f t="shared" si="19"/>
        <v>-0.47709276267876011</v>
      </c>
      <c r="P25" s="2">
        <f t="shared" si="19"/>
        <v>2.4482091902756724</v>
      </c>
      <c r="Q25" s="2">
        <f>Q23/Q24</f>
        <v>-0.47496652022156877</v>
      </c>
      <c r="R25" s="35">
        <f t="shared" ref="R25:T25" si="20">R23/R24</f>
        <v>-0.98649509166719085</v>
      </c>
      <c r="S25" s="2" t="e">
        <f t="shared" si="20"/>
        <v>#DIV/0!</v>
      </c>
      <c r="T25" s="2" t="e">
        <f t="shared" si="20"/>
        <v>#DIV/0!</v>
      </c>
    </row>
    <row r="26" spans="2:20" s="1" customFormat="1" x14ac:dyDescent="0.25">
      <c r="B26" s="9" t="s">
        <v>51</v>
      </c>
      <c r="C26" s="2"/>
      <c r="D26" s="2"/>
      <c r="E26" s="118"/>
      <c r="F26" s="121">
        <v>0.98</v>
      </c>
      <c r="G26" s="1">
        <v>-2.9</v>
      </c>
      <c r="H26" s="1">
        <v>-3.87</v>
      </c>
      <c r="K26" s="42"/>
      <c r="L26" s="42"/>
      <c r="M26" s="42"/>
      <c r="N26" s="42"/>
      <c r="O26" s="42"/>
      <c r="P26" s="42"/>
      <c r="Q26" s="42">
        <v>-0.4</v>
      </c>
      <c r="R26" s="111">
        <v>0.22</v>
      </c>
      <c r="S26" s="42">
        <v>-0.63</v>
      </c>
      <c r="T26" s="42">
        <v>-0.46</v>
      </c>
    </row>
    <row r="27" spans="2:20" s="1" customFormat="1" x14ac:dyDescent="0.25">
      <c r="B27" t="s">
        <v>21</v>
      </c>
      <c r="C27" s="3" t="e">
        <f>1-C12/C7</f>
        <v>#DIV/0!</v>
      </c>
      <c r="D27" s="39" t="e">
        <f>1-D12/D7</f>
        <v>#DIV/0!</v>
      </c>
      <c r="E27" s="39">
        <f>1-E12/E7</f>
        <v>0.37531914893617013</v>
      </c>
      <c r="F27" s="6">
        <f>1-F12/F7</f>
        <v>0.67989517034818414</v>
      </c>
      <c r="G27" s="39">
        <f>1-G12/G7</f>
        <v>1</v>
      </c>
      <c r="K27" s="3">
        <f t="shared" ref="K27:T27" si="21">1-K12/K7</f>
        <v>0.2192982456140351</v>
      </c>
      <c r="L27" s="39">
        <f t="shared" si="21"/>
        <v>0.48965517241379308</v>
      </c>
      <c r="M27" s="3">
        <f t="shared" si="21"/>
        <v>0.69158878504672905</v>
      </c>
      <c r="N27" s="39">
        <f t="shared" si="21"/>
        <v>0.27440633245382584</v>
      </c>
      <c r="O27" s="3">
        <f t="shared" si="21"/>
        <v>0.46654611211573238</v>
      </c>
      <c r="P27" s="3">
        <f t="shared" si="21"/>
        <v>0.7136060894386298</v>
      </c>
      <c r="Q27" s="39">
        <f>1-Q12/Q7</f>
        <v>0.70636550308008206</v>
      </c>
      <c r="R27" s="6">
        <f t="shared" si="21"/>
        <v>0.69916556873078606</v>
      </c>
      <c r="S27" s="3" t="e">
        <f t="shared" si="21"/>
        <v>#DIV/0!</v>
      </c>
      <c r="T27" s="3" t="e">
        <f t="shared" si="21"/>
        <v>#DIV/0!</v>
      </c>
    </row>
    <row r="28" spans="2:20" x14ac:dyDescent="0.25">
      <c r="B28" t="s">
        <v>22</v>
      </c>
      <c r="C28" s="4" t="e">
        <f>C23/C7</f>
        <v>#DIV/0!</v>
      </c>
      <c r="D28" s="4" t="e">
        <f>D23/D7</f>
        <v>#DIV/0!</v>
      </c>
      <c r="E28" s="4">
        <f>E23/E7</f>
        <v>-5.4859574468085111</v>
      </c>
      <c r="F28" s="7">
        <f>F23/F7</f>
        <v>0.19019093972295031</v>
      </c>
      <c r="G28" s="4">
        <f>G23/G7</f>
        <v>1</v>
      </c>
      <c r="K28" s="4">
        <f t="shared" ref="K28:T28" si="22">K23/K7</f>
        <v>-27.763157894736842</v>
      </c>
      <c r="L28" s="4">
        <f t="shared" si="22"/>
        <v>-6.703448275862069</v>
      </c>
      <c r="M28" s="4">
        <f t="shared" si="22"/>
        <v>-1.3582554517133953</v>
      </c>
      <c r="N28" s="4">
        <f t="shared" si="22"/>
        <v>-3.6042216358839059</v>
      </c>
      <c r="O28" s="4">
        <f t="shared" si="22"/>
        <v>-2.0542495479204343</v>
      </c>
      <c r="P28" s="4">
        <f t="shared" si="22"/>
        <v>5.5604186489058032</v>
      </c>
      <c r="Q28" s="4">
        <f>Q23/Q7</f>
        <v>-0.81861738535249884</v>
      </c>
      <c r="R28" s="7">
        <f t="shared" si="22"/>
        <v>-1.0961791831357048</v>
      </c>
      <c r="S28" s="4" t="e">
        <f t="shared" si="22"/>
        <v>#DIV/0!</v>
      </c>
      <c r="T28" s="4" t="e">
        <f t="shared" si="22"/>
        <v>#DIV/0!</v>
      </c>
    </row>
    <row r="29" spans="2:20" x14ac:dyDescent="0.25">
      <c r="B29" t="s">
        <v>128</v>
      </c>
      <c r="C29" s="39" t="e">
        <f>C7/#REF!-1</f>
        <v>#REF!</v>
      </c>
      <c r="D29" s="39" t="e">
        <f>D7/C7-1</f>
        <v>#DIV/0!</v>
      </c>
      <c r="E29" s="39" t="e">
        <f>E7/D7-1</f>
        <v>#DIV/0!</v>
      </c>
      <c r="F29" s="6">
        <f>F7/E7-1</f>
        <v>3.546382978723404</v>
      </c>
      <c r="G29" s="39">
        <f>G7/F7-1</f>
        <v>5.2336203669037822</v>
      </c>
      <c r="H29" s="39">
        <f>H7/G7-1</f>
        <v>1.8618618618618616</v>
      </c>
      <c r="K29" s="4"/>
      <c r="L29" s="4"/>
      <c r="M29" s="4"/>
      <c r="N29" s="4"/>
      <c r="O29" s="116">
        <f t="shared" ref="O29:T29" si="23">O7/K7-1</f>
        <v>3.8508771929824555</v>
      </c>
      <c r="P29" s="116">
        <f t="shared" si="23"/>
        <v>6.2482758620689651</v>
      </c>
      <c r="Q29" s="116">
        <f t="shared" si="23"/>
        <v>3.5514018691588776</v>
      </c>
      <c r="R29" s="7">
        <f t="shared" si="23"/>
        <v>5.0079155672823221</v>
      </c>
      <c r="S29" s="4">
        <f t="shared" si="23"/>
        <v>-1</v>
      </c>
      <c r="T29" s="4">
        <f t="shared" si="23"/>
        <v>-1</v>
      </c>
    </row>
    <row r="30" spans="2:20" x14ac:dyDescent="0.25">
      <c r="B30" t="s">
        <v>123</v>
      </c>
      <c r="C30" s="4" t="e">
        <f>C13/C7</f>
        <v>#DIV/0!</v>
      </c>
      <c r="D30" s="4" t="e">
        <f>D13/D7</f>
        <v>#DIV/0!</v>
      </c>
      <c r="E30" s="4">
        <f>E13/E7</f>
        <v>1.1038297872340423</v>
      </c>
      <c r="F30" s="7">
        <f>F13/F7</f>
        <v>0.33845001871958069</v>
      </c>
      <c r="G30" s="4">
        <f>G13/G7</f>
        <v>0</v>
      </c>
      <c r="K30" s="4">
        <f t="shared" ref="K30:T30" si="24">K13/K7</f>
        <v>2.2105263157894735</v>
      </c>
      <c r="L30" s="4">
        <f t="shared" si="24"/>
        <v>2.2068965517241379</v>
      </c>
      <c r="M30" s="4">
        <f t="shared" si="24"/>
        <v>0.97819314641744537</v>
      </c>
      <c r="N30" s="4">
        <f t="shared" si="24"/>
        <v>0.93403693931398413</v>
      </c>
      <c r="O30" s="4">
        <f t="shared" si="24"/>
        <v>0.72332730560578662</v>
      </c>
      <c r="P30" s="4">
        <f t="shared" si="24"/>
        <v>0.4072312083729781</v>
      </c>
      <c r="Q30" s="4">
        <f t="shared" si="24"/>
        <v>0.30732375085557845</v>
      </c>
      <c r="R30" s="7">
        <f t="shared" si="24"/>
        <v>0.233201581027668</v>
      </c>
      <c r="S30" s="4" t="e">
        <f t="shared" si="24"/>
        <v>#DIV/0!</v>
      </c>
      <c r="T30" s="4" t="e">
        <f t="shared" si="24"/>
        <v>#DIV/0!</v>
      </c>
    </row>
    <row r="31" spans="2:20" x14ac:dyDescent="0.25">
      <c r="B31" t="s">
        <v>159</v>
      </c>
      <c r="C31" s="4" t="e">
        <f>C14/C7</f>
        <v>#DIV/0!</v>
      </c>
      <c r="D31" s="4" t="e">
        <f>D14/D7</f>
        <v>#DIV/0!</v>
      </c>
      <c r="E31" s="4">
        <f>E14/E7</f>
        <v>2.3642553191489362</v>
      </c>
      <c r="F31" s="7">
        <f>F14/F7</f>
        <v>0.71827031074503944</v>
      </c>
      <c r="G31" s="4">
        <f>G14/G7</f>
        <v>0</v>
      </c>
      <c r="K31" s="4">
        <f t="shared" ref="K31:T31" si="25">K14/K7</f>
        <v>4.5</v>
      </c>
      <c r="L31" s="4">
        <f t="shared" si="25"/>
        <v>5.2137931034482756</v>
      </c>
      <c r="M31" s="4">
        <f t="shared" si="25"/>
        <v>1.4922118380062304</v>
      </c>
      <c r="N31" s="4">
        <f t="shared" si="25"/>
        <v>2.3746701846965701</v>
      </c>
      <c r="O31" s="4">
        <f t="shared" si="25"/>
        <v>1.1952983725135624</v>
      </c>
      <c r="P31" s="4">
        <f t="shared" si="25"/>
        <v>0.64890580399619413</v>
      </c>
      <c r="Q31" s="4">
        <f t="shared" si="25"/>
        <v>0.61259411362080785</v>
      </c>
      <c r="R31" s="7">
        <f t="shared" si="25"/>
        <v>0.70223978919631103</v>
      </c>
      <c r="S31" s="4" t="e">
        <f t="shared" si="25"/>
        <v>#DIV/0!</v>
      </c>
      <c r="T31" s="4" t="e">
        <f t="shared" si="25"/>
        <v>#DIV/0!</v>
      </c>
    </row>
    <row r="32" spans="2:20" x14ac:dyDescent="0.25">
      <c r="B32" t="s">
        <v>121</v>
      </c>
      <c r="C32" s="4" t="e">
        <f>C3/#REF!-1</f>
        <v>#REF!</v>
      </c>
      <c r="D32" s="4" t="e">
        <f t="shared" ref="D32:G33" si="26">D3/C3-1</f>
        <v>#DIV/0!</v>
      </c>
      <c r="E32" s="4" t="e">
        <f t="shared" si="26"/>
        <v>#DIV/0!</v>
      </c>
      <c r="F32" s="7">
        <f t="shared" si="26"/>
        <v>-1</v>
      </c>
      <c r="G32" s="4" t="e">
        <f t="shared" si="26"/>
        <v>#DIV/0!</v>
      </c>
      <c r="K32" s="4"/>
      <c r="L32" s="4"/>
      <c r="M32" s="4"/>
      <c r="N32" s="4"/>
      <c r="O32" s="4"/>
      <c r="P32" s="4"/>
      <c r="Q32" s="4"/>
      <c r="R32" s="7"/>
      <c r="S32" s="4"/>
      <c r="T32" s="4"/>
    </row>
    <row r="33" spans="2:20" x14ac:dyDescent="0.25">
      <c r="B33" t="s">
        <v>122</v>
      </c>
      <c r="C33" s="4" t="e">
        <f>C4/#REF!-1</f>
        <v>#REF!</v>
      </c>
      <c r="D33" s="4" t="e">
        <f t="shared" si="26"/>
        <v>#DIV/0!</v>
      </c>
      <c r="E33" s="4" t="e">
        <f t="shared" si="26"/>
        <v>#DIV/0!</v>
      </c>
      <c r="F33" s="7" t="e">
        <f t="shared" si="26"/>
        <v>#DIV/0!</v>
      </c>
      <c r="G33" s="4" t="e">
        <f t="shared" si="26"/>
        <v>#DIV/0!</v>
      </c>
      <c r="K33" s="4"/>
      <c r="L33" s="4"/>
      <c r="M33" s="4"/>
      <c r="N33" s="4"/>
      <c r="O33" s="4"/>
      <c r="P33" s="4"/>
      <c r="Q33" s="4"/>
      <c r="R33" s="7"/>
      <c r="S33" s="4"/>
      <c r="T33" s="4"/>
    </row>
    <row r="34" spans="2:20" x14ac:dyDescent="0.25">
      <c r="B34" t="s">
        <v>127</v>
      </c>
      <c r="C34" s="39" t="e">
        <f>C25/#REF!-1</f>
        <v>#DIV/0!</v>
      </c>
      <c r="D34" s="39" t="e">
        <f>D25/C25-1</f>
        <v>#DIV/0!</v>
      </c>
      <c r="E34" s="39" t="e">
        <f>E25/D25-1</f>
        <v>#DIV/0!</v>
      </c>
      <c r="F34" s="6">
        <f>F25/E25-1</f>
        <v>-1.1514154940920283</v>
      </c>
      <c r="G34" s="39" t="e">
        <f>G25/F25-1</f>
        <v>#DIV/0!</v>
      </c>
      <c r="K34" s="4"/>
      <c r="L34" s="4"/>
      <c r="M34" s="4"/>
      <c r="N34" s="4"/>
      <c r="O34" s="4">
        <f t="shared" ref="O34:T34" si="27">O23/K23-1</f>
        <v>-0.64107424960505521</v>
      </c>
      <c r="P34" s="4">
        <f t="shared" si="27"/>
        <v>-7.012345679012344</v>
      </c>
      <c r="Q34" s="4">
        <f t="shared" si="27"/>
        <v>1.7431192660550474</v>
      </c>
      <c r="R34" s="7">
        <f t="shared" si="27"/>
        <v>0.82723279648609038</v>
      </c>
      <c r="S34" s="4">
        <f t="shared" si="27"/>
        <v>-1</v>
      </c>
      <c r="T34" s="4">
        <f t="shared" si="27"/>
        <v>-1</v>
      </c>
    </row>
    <row r="38" spans="2:20" s="1" customFormat="1" x14ac:dyDescent="0.25">
      <c r="B38" s="1" t="s">
        <v>26</v>
      </c>
      <c r="C38" s="11">
        <f t="shared" ref="C38:G38" si="28">C39-C55</f>
        <v>0</v>
      </c>
      <c r="D38" s="11">
        <f t="shared" si="28"/>
        <v>109.3</v>
      </c>
      <c r="E38" s="11">
        <f t="shared" si="28"/>
        <v>2443.5</v>
      </c>
      <c r="F38" s="14">
        <f t="shared" si="28"/>
        <v>0</v>
      </c>
      <c r="G38" s="11">
        <f t="shared" si="28"/>
        <v>0</v>
      </c>
      <c r="K38" s="11">
        <f t="shared" ref="K38" si="29">K39-K55</f>
        <v>0</v>
      </c>
      <c r="L38" s="11">
        <f t="shared" ref="L38" si="30">L39-L55</f>
        <v>0</v>
      </c>
      <c r="M38" s="11">
        <f t="shared" ref="M38" si="31">M39-M55</f>
        <v>0</v>
      </c>
      <c r="N38" s="11">
        <f t="shared" ref="N38" si="32">N39-N55</f>
        <v>2443.5</v>
      </c>
      <c r="O38" s="11">
        <f t="shared" ref="O38" si="33">O39-O55</f>
        <v>1440.8</v>
      </c>
      <c r="P38" s="11">
        <f t="shared" ref="P38" si="34">P39-P55</f>
        <v>1671.3</v>
      </c>
      <c r="Q38" s="11">
        <f t="shared" ref="Q38" si="35">Q39-Q55</f>
        <v>4778.8</v>
      </c>
      <c r="R38" s="14">
        <f t="shared" ref="R38" si="36">R39-R55</f>
        <v>3653.6</v>
      </c>
      <c r="S38" s="11">
        <f t="shared" ref="S38" si="37">S39-S55</f>
        <v>0</v>
      </c>
      <c r="T38" s="11">
        <f t="shared" ref="T38" si="38">T39-T55</f>
        <v>0</v>
      </c>
    </row>
    <row r="39" spans="2:20" x14ac:dyDescent="0.25">
      <c r="B39" t="s">
        <v>15</v>
      </c>
      <c r="C39" s="10"/>
      <c r="D39" s="10">
        <v>116.1</v>
      </c>
      <c r="E39" s="10">
        <v>2449.6</v>
      </c>
      <c r="K39" s="10"/>
      <c r="L39" s="10"/>
      <c r="M39" s="10"/>
      <c r="N39" s="10">
        <f>E39</f>
        <v>2449.6</v>
      </c>
      <c r="O39" s="10">
        <v>1447</v>
      </c>
      <c r="P39" s="10">
        <v>1679.3</v>
      </c>
      <c r="Q39" s="10">
        <v>4794.8</v>
      </c>
      <c r="R39" s="15">
        <v>3678.1</v>
      </c>
      <c r="S39" s="10"/>
      <c r="T39" s="10"/>
    </row>
    <row r="40" spans="2:20" x14ac:dyDescent="0.25">
      <c r="B40" t="s">
        <v>16</v>
      </c>
      <c r="C40" s="10"/>
      <c r="D40" s="10">
        <v>4.0999999999999996</v>
      </c>
      <c r="E40">
        <v>13.1</v>
      </c>
      <c r="K40" s="10"/>
      <c r="L40" s="10"/>
      <c r="M40" s="10"/>
      <c r="N40" s="10">
        <f t="shared" ref="N40:N44" si="39">E40</f>
        <v>13.1</v>
      </c>
      <c r="O40" s="10">
        <v>24.3</v>
      </c>
      <c r="P40" s="10">
        <v>54.7</v>
      </c>
      <c r="Q40" s="10">
        <v>91.2</v>
      </c>
      <c r="R40" s="15">
        <v>720.3</v>
      </c>
      <c r="S40" s="10"/>
      <c r="T40" s="10"/>
    </row>
    <row r="41" spans="2:20" x14ac:dyDescent="0.25">
      <c r="B41" t="s">
        <v>61</v>
      </c>
      <c r="C41" s="10"/>
      <c r="D41" s="10">
        <v>5.0999999999999996</v>
      </c>
      <c r="E41">
        <v>22.9</v>
      </c>
      <c r="K41" s="10"/>
      <c r="L41" s="10"/>
      <c r="M41" s="10"/>
      <c r="N41" s="10">
        <f t="shared" si="39"/>
        <v>22.9</v>
      </c>
      <c r="O41" s="10">
        <v>22.4</v>
      </c>
      <c r="P41" s="10">
        <v>28.3</v>
      </c>
      <c r="Q41" s="10">
        <v>29.1</v>
      </c>
      <c r="R41" s="15">
        <v>34.799999999999997</v>
      </c>
      <c r="S41" s="10"/>
      <c r="T41" s="10"/>
    </row>
    <row r="42" spans="2:20" x14ac:dyDescent="0.25">
      <c r="B42" t="s">
        <v>60</v>
      </c>
      <c r="C42" s="10"/>
      <c r="D42" s="10">
        <v>18.8</v>
      </c>
      <c r="E42">
        <v>0.6</v>
      </c>
      <c r="K42" s="10"/>
      <c r="L42" s="10"/>
      <c r="M42" s="10"/>
      <c r="N42" s="10">
        <f t="shared" si="39"/>
        <v>0.6</v>
      </c>
      <c r="O42" s="10">
        <v>80.599999999999994</v>
      </c>
      <c r="P42" s="10">
        <v>74.5</v>
      </c>
      <c r="Q42" s="10">
        <v>107.1</v>
      </c>
      <c r="R42" s="15">
        <v>0</v>
      </c>
      <c r="S42" s="10"/>
      <c r="T42" s="10"/>
    </row>
    <row r="43" spans="2:20" x14ac:dyDescent="0.25">
      <c r="B43" t="s">
        <v>145</v>
      </c>
      <c r="C43" s="10"/>
      <c r="D43" s="10">
        <v>5.4</v>
      </c>
      <c r="E43">
        <v>8.1</v>
      </c>
      <c r="K43" s="10"/>
      <c r="L43" s="10"/>
      <c r="M43" s="10"/>
      <c r="N43" s="10">
        <f t="shared" si="39"/>
        <v>8.1</v>
      </c>
      <c r="O43" s="10">
        <v>84.4</v>
      </c>
      <c r="P43" s="10">
        <v>158.30000000000001</v>
      </c>
      <c r="Q43" s="10">
        <v>133.4</v>
      </c>
      <c r="R43" s="15">
        <v>131.4</v>
      </c>
      <c r="S43" s="10"/>
      <c r="T43" s="10"/>
    </row>
    <row r="44" spans="2:20" x14ac:dyDescent="0.25">
      <c r="B44" t="s">
        <v>146</v>
      </c>
      <c r="C44" s="10"/>
      <c r="D44" s="10">
        <f>16.9+3289.5</f>
        <v>3306.4</v>
      </c>
      <c r="E44">
        <v>39</v>
      </c>
      <c r="K44" s="10"/>
      <c r="L44" s="10"/>
      <c r="M44" s="10"/>
      <c r="N44" s="10">
        <f t="shared" si="39"/>
        <v>39</v>
      </c>
      <c r="O44" s="10">
        <v>24.6</v>
      </c>
      <c r="P44" s="10">
        <v>34.5</v>
      </c>
      <c r="Q44" s="10">
        <v>61.4</v>
      </c>
      <c r="R44" s="15">
        <v>146.80000000000001</v>
      </c>
      <c r="S44" s="10"/>
      <c r="T44" s="10"/>
    </row>
    <row r="45" spans="2:20" s="1" customFormat="1" x14ac:dyDescent="0.25">
      <c r="B45" s="1" t="s">
        <v>46</v>
      </c>
      <c r="C45" s="11">
        <f t="shared" ref="C45:D45" si="40">SUM(C39:C44)</f>
        <v>0</v>
      </c>
      <c r="D45" s="11">
        <f t="shared" si="40"/>
        <v>3455.9</v>
      </c>
      <c r="E45" s="11">
        <f t="shared" ref="E45:G45" si="41">SUM(E39:E44)</f>
        <v>2533.2999999999997</v>
      </c>
      <c r="F45" s="14">
        <f t="shared" si="41"/>
        <v>0</v>
      </c>
      <c r="G45" s="11">
        <f t="shared" si="41"/>
        <v>0</v>
      </c>
      <c r="K45" s="11">
        <f t="shared" ref="K45:M45" si="42">SUM(K39:K44)</f>
        <v>0</v>
      </c>
      <c r="L45" s="11">
        <f t="shared" si="42"/>
        <v>0</v>
      </c>
      <c r="M45" s="11">
        <f t="shared" si="42"/>
        <v>0</v>
      </c>
      <c r="N45" s="11">
        <f t="shared" ref="N45:P45" si="43">SUM(N39:N44)</f>
        <v>2533.2999999999997</v>
      </c>
      <c r="O45" s="11">
        <f t="shared" si="43"/>
        <v>1683.3</v>
      </c>
      <c r="P45" s="11">
        <f t="shared" si="43"/>
        <v>2029.6</v>
      </c>
      <c r="Q45" s="11">
        <f t="shared" ref="Q45:T45" si="44">SUM(Q39:Q44)</f>
        <v>5217</v>
      </c>
      <c r="R45" s="14">
        <f t="shared" si="44"/>
        <v>4711.3999999999996</v>
      </c>
      <c r="S45" s="11">
        <f t="shared" si="44"/>
        <v>0</v>
      </c>
      <c r="T45" s="11">
        <f t="shared" si="44"/>
        <v>0</v>
      </c>
    </row>
    <row r="46" spans="2:20" x14ac:dyDescent="0.25">
      <c r="B46" t="s">
        <v>62</v>
      </c>
      <c r="C46" s="10"/>
      <c r="D46" s="10">
        <v>132.4</v>
      </c>
      <c r="E46" s="10">
        <v>847</v>
      </c>
      <c r="F46" s="15"/>
      <c r="G46" s="10"/>
      <c r="K46" s="10"/>
      <c r="L46" s="10"/>
      <c r="M46" s="10"/>
      <c r="N46" s="10">
        <f t="shared" ref="N46:N52" si="45">E46</f>
        <v>847</v>
      </c>
      <c r="O46" s="10">
        <v>1334.1</v>
      </c>
      <c r="P46" s="10">
        <v>1789.4</v>
      </c>
      <c r="Q46" s="10">
        <v>3314.4</v>
      </c>
      <c r="R46" s="15">
        <v>5572.5</v>
      </c>
      <c r="S46" s="10"/>
      <c r="T46" s="10"/>
    </row>
    <row r="47" spans="2:20" x14ac:dyDescent="0.25">
      <c r="B47" t="s">
        <v>63</v>
      </c>
      <c r="C47" s="10"/>
      <c r="D47" s="10">
        <v>4.5999999999999996</v>
      </c>
      <c r="E47" s="10">
        <v>4.9000000000000004</v>
      </c>
      <c r="F47" s="15"/>
      <c r="G47" s="10"/>
      <c r="K47" s="10"/>
      <c r="L47" s="10"/>
      <c r="M47" s="10"/>
      <c r="N47" s="10">
        <f t="shared" si="45"/>
        <v>4.9000000000000004</v>
      </c>
      <c r="O47" s="10">
        <v>17.399999999999999</v>
      </c>
      <c r="P47" s="10">
        <v>15.6</v>
      </c>
      <c r="Q47" s="10">
        <v>18</v>
      </c>
      <c r="R47" s="15">
        <v>19.7</v>
      </c>
      <c r="S47" s="10"/>
      <c r="T47" s="10"/>
    </row>
    <row r="48" spans="2:20" x14ac:dyDescent="0.25">
      <c r="B48" t="s">
        <v>49</v>
      </c>
      <c r="C48" s="10"/>
      <c r="D48" s="10">
        <v>18.7</v>
      </c>
      <c r="E48" s="10">
        <v>45</v>
      </c>
      <c r="F48" s="15"/>
      <c r="G48" s="10"/>
      <c r="K48" s="10"/>
      <c r="L48" s="10"/>
      <c r="M48" s="10"/>
      <c r="N48" s="10">
        <f t="shared" si="45"/>
        <v>45</v>
      </c>
      <c r="O48" s="10">
        <v>250.3</v>
      </c>
      <c r="P48" s="10">
        <v>277.3</v>
      </c>
      <c r="Q48" s="10">
        <v>501</v>
      </c>
      <c r="R48" s="15">
        <v>918.8</v>
      </c>
      <c r="S48" s="10"/>
      <c r="T48" s="10"/>
    </row>
    <row r="49" spans="2:20" x14ac:dyDescent="0.25">
      <c r="B49" t="s">
        <v>147</v>
      </c>
      <c r="C49" s="10"/>
      <c r="D49" s="10">
        <v>6.4</v>
      </c>
      <c r="E49" s="10">
        <v>6.4</v>
      </c>
      <c r="F49" s="15"/>
      <c r="G49" s="10"/>
      <c r="K49" s="10"/>
      <c r="L49" s="10"/>
      <c r="M49" s="10"/>
      <c r="N49" s="10">
        <f t="shared" si="45"/>
        <v>6.4</v>
      </c>
      <c r="O49" s="10">
        <v>6.4</v>
      </c>
      <c r="P49" s="10">
        <v>32.299999999999997</v>
      </c>
      <c r="Q49" s="10">
        <v>21.7</v>
      </c>
      <c r="R49" s="15">
        <v>11.1</v>
      </c>
      <c r="S49" s="10"/>
      <c r="T49" s="10"/>
    </row>
    <row r="50" spans="2:20" s="1" customFormat="1" x14ac:dyDescent="0.25">
      <c r="B50" t="s">
        <v>148</v>
      </c>
      <c r="C50" s="10"/>
      <c r="D50" s="10">
        <v>90.7</v>
      </c>
      <c r="E50" s="10">
        <v>90.7</v>
      </c>
      <c r="F50" s="15"/>
      <c r="G50" s="10"/>
      <c r="K50" s="10"/>
      <c r="L50" s="10"/>
      <c r="M50" s="10"/>
      <c r="N50" s="10">
        <f t="shared" si="45"/>
        <v>90.7</v>
      </c>
      <c r="O50" s="10">
        <v>90.7</v>
      </c>
      <c r="P50" s="10">
        <v>835.1</v>
      </c>
      <c r="Q50" s="10">
        <v>835.1</v>
      </c>
      <c r="R50" s="15">
        <v>836.6</v>
      </c>
      <c r="S50" s="10"/>
      <c r="T50" s="10"/>
    </row>
    <row r="51" spans="2:20" s="1" customFormat="1" x14ac:dyDescent="0.25">
      <c r="B51" t="s">
        <v>149</v>
      </c>
      <c r="C51" s="10"/>
      <c r="D51" s="10">
        <v>5.2</v>
      </c>
      <c r="E51" s="10">
        <v>7.8</v>
      </c>
      <c r="F51" s="15"/>
      <c r="G51" s="10"/>
      <c r="K51" s="10"/>
      <c r="L51" s="10"/>
      <c r="M51" s="10"/>
      <c r="N51" s="10">
        <f t="shared" si="45"/>
        <v>7.8</v>
      </c>
      <c r="O51" s="10">
        <v>8.9</v>
      </c>
      <c r="P51" s="10">
        <v>8.8000000000000007</v>
      </c>
      <c r="Q51" s="10">
        <v>9</v>
      </c>
      <c r="R51" s="15">
        <v>11.8</v>
      </c>
      <c r="S51" s="10"/>
      <c r="T51" s="10"/>
    </row>
    <row r="52" spans="2:20" s="1" customFormat="1" x14ac:dyDescent="0.25">
      <c r="B52" t="s">
        <v>150</v>
      </c>
      <c r="C52" s="10"/>
      <c r="D52" s="10">
        <f>11.6+5035.9</f>
        <v>5047.5</v>
      </c>
      <c r="E52" s="10">
        <v>13.5</v>
      </c>
      <c r="F52" s="15"/>
      <c r="G52" s="10"/>
      <c r="K52" s="10"/>
      <c r="L52" s="10"/>
      <c r="M52" s="10"/>
      <c r="N52" s="10">
        <f t="shared" si="45"/>
        <v>13.5</v>
      </c>
      <c r="O52" s="10">
        <v>45.4</v>
      </c>
      <c r="P52" s="10">
        <v>108.5</v>
      </c>
      <c r="Q52" s="10">
        <v>186</v>
      </c>
      <c r="R52" s="15">
        <v>367.9</v>
      </c>
      <c r="S52" s="10"/>
      <c r="T52" s="10"/>
    </row>
    <row r="53" spans="2:20" x14ac:dyDescent="0.25">
      <c r="B53" s="1" t="s">
        <v>18</v>
      </c>
      <c r="C53" s="11">
        <f>SUM(C45:C52)</f>
        <v>0</v>
      </c>
      <c r="D53" s="11">
        <f>SUM(D45:D52)</f>
        <v>8761.4</v>
      </c>
      <c r="E53" s="11">
        <f>SUM(E45:E52)</f>
        <v>3548.6</v>
      </c>
      <c r="F53" s="14">
        <f>SUM(F45:F52)</f>
        <v>0</v>
      </c>
      <c r="G53" s="11">
        <f>SUM(G45:G52)</f>
        <v>0</v>
      </c>
      <c r="K53" s="11">
        <f t="shared" ref="K53:T53" si="46">SUM(K45:K52)</f>
        <v>0</v>
      </c>
      <c r="L53" s="11">
        <f t="shared" si="46"/>
        <v>0</v>
      </c>
      <c r="M53" s="11">
        <f t="shared" si="46"/>
        <v>0</v>
      </c>
      <c r="N53" s="11">
        <f t="shared" si="46"/>
        <v>3548.6</v>
      </c>
      <c r="O53" s="11">
        <f t="shared" si="46"/>
        <v>3436.5</v>
      </c>
      <c r="P53" s="11">
        <f t="shared" si="46"/>
        <v>5096.6000000000004</v>
      </c>
      <c r="Q53" s="11">
        <f t="shared" si="46"/>
        <v>10102.200000000001</v>
      </c>
      <c r="R53" s="14">
        <f t="shared" si="46"/>
        <v>12449.8</v>
      </c>
      <c r="S53" s="11">
        <f t="shared" si="46"/>
        <v>0</v>
      </c>
      <c r="T53" s="11">
        <f t="shared" si="46"/>
        <v>0</v>
      </c>
    </row>
    <row r="54" spans="2:20" x14ac:dyDescent="0.25">
      <c r="B54" t="s">
        <v>20</v>
      </c>
      <c r="C54" s="10"/>
      <c r="D54" s="10">
        <v>57.2</v>
      </c>
      <c r="E54" s="10">
        <v>235.5</v>
      </c>
      <c r="F54" s="15"/>
      <c r="G54" s="10"/>
      <c r="K54" s="10"/>
      <c r="L54" s="10"/>
      <c r="M54" s="10"/>
      <c r="N54" s="10">
        <f t="shared" ref="N54:N57" si="47">E54</f>
        <v>235.5</v>
      </c>
      <c r="O54" s="10">
        <v>61.4</v>
      </c>
      <c r="P54" s="10">
        <v>103.6</v>
      </c>
      <c r="Q54" s="10">
        <v>726.4</v>
      </c>
      <c r="R54" s="15">
        <v>1210.0999999999999</v>
      </c>
      <c r="S54" s="10"/>
      <c r="T54" s="10"/>
    </row>
    <row r="55" spans="2:20" x14ac:dyDescent="0.25">
      <c r="B55" t="s">
        <v>151</v>
      </c>
      <c r="C55" s="10"/>
      <c r="D55" s="10">
        <v>6.8</v>
      </c>
      <c r="E55" s="10">
        <v>6.1</v>
      </c>
      <c r="F55" s="15"/>
      <c r="G55" s="10"/>
      <c r="K55" s="10"/>
      <c r="L55" s="10"/>
      <c r="M55" s="10"/>
      <c r="N55" s="10">
        <f t="shared" si="47"/>
        <v>6.1</v>
      </c>
      <c r="O55" s="10">
        <v>6.2</v>
      </c>
      <c r="P55" s="10">
        <v>8</v>
      </c>
      <c r="Q55" s="10">
        <v>16</v>
      </c>
      <c r="R55" s="15">
        <v>24.5</v>
      </c>
      <c r="S55" s="10"/>
      <c r="T55" s="10"/>
    </row>
    <row r="56" spans="2:20" x14ac:dyDescent="0.25">
      <c r="B56" t="s">
        <v>152</v>
      </c>
      <c r="C56" s="10"/>
      <c r="D56" s="10">
        <v>8.1</v>
      </c>
      <c r="E56" s="10">
        <v>5.9</v>
      </c>
      <c r="F56" s="15"/>
      <c r="G56" s="10"/>
      <c r="K56" s="10"/>
      <c r="L56" s="10"/>
      <c r="M56" s="10"/>
      <c r="N56" s="10">
        <f t="shared" si="47"/>
        <v>5.9</v>
      </c>
      <c r="O56" s="10">
        <v>6.9</v>
      </c>
      <c r="P56" s="10">
        <v>7.2</v>
      </c>
      <c r="Q56" s="10">
        <v>36.6</v>
      </c>
      <c r="R56" s="15">
        <v>17.7</v>
      </c>
      <c r="S56" s="10"/>
      <c r="T56" s="10"/>
    </row>
    <row r="57" spans="2:20" x14ac:dyDescent="0.25">
      <c r="B57" t="s">
        <v>153</v>
      </c>
      <c r="C57" s="10"/>
      <c r="D57" s="10">
        <f>6.9+3791</f>
        <v>3797.9</v>
      </c>
      <c r="E57" s="10">
        <v>16.5</v>
      </c>
      <c r="F57" s="15"/>
      <c r="G57" s="10"/>
      <c r="K57" s="10"/>
      <c r="L57" s="10"/>
      <c r="M57" s="10"/>
      <c r="N57" s="10">
        <f t="shared" si="47"/>
        <v>16.5</v>
      </c>
      <c r="O57" s="10">
        <v>19</v>
      </c>
      <c r="P57" s="10">
        <v>19.3</v>
      </c>
      <c r="Q57" s="10">
        <v>15.6</v>
      </c>
      <c r="R57" s="15">
        <v>275.5</v>
      </c>
      <c r="S57" s="10"/>
      <c r="T57" s="10"/>
    </row>
    <row r="58" spans="2:20" s="1" customFormat="1" x14ac:dyDescent="0.25">
      <c r="B58" s="1" t="s">
        <v>47</v>
      </c>
      <c r="C58" s="11">
        <f>SUM(C54:C57)</f>
        <v>0</v>
      </c>
      <c r="D58" s="11">
        <f>SUM(D54:D57)</f>
        <v>3870</v>
      </c>
      <c r="E58" s="11">
        <f>SUM(E54:E57)</f>
        <v>264</v>
      </c>
      <c r="F58" s="14">
        <f>SUM(F54:F57)</f>
        <v>0</v>
      </c>
      <c r="G58" s="11">
        <f>SUM(G54:G57)</f>
        <v>0</v>
      </c>
      <c r="K58" s="11">
        <f t="shared" ref="K58:T58" si="48">SUM(K54:K57)</f>
        <v>0</v>
      </c>
      <c r="L58" s="11">
        <f t="shared" si="48"/>
        <v>0</v>
      </c>
      <c r="M58" s="11">
        <f t="shared" si="48"/>
        <v>0</v>
      </c>
      <c r="N58" s="11">
        <f>SUM(N54:N57)</f>
        <v>264</v>
      </c>
      <c r="O58" s="11">
        <f>SUM(O54:O57)</f>
        <v>93.5</v>
      </c>
      <c r="P58" s="11">
        <f t="shared" si="48"/>
        <v>138.1</v>
      </c>
      <c r="Q58" s="11">
        <f t="shared" si="48"/>
        <v>794.6</v>
      </c>
      <c r="R58" s="14">
        <f t="shared" si="48"/>
        <v>1527.8</v>
      </c>
      <c r="S58" s="11">
        <f t="shared" si="48"/>
        <v>0</v>
      </c>
      <c r="T58" s="11">
        <f t="shared" si="48"/>
        <v>0</v>
      </c>
    </row>
    <row r="59" spans="2:20" x14ac:dyDescent="0.25">
      <c r="B59" t="s">
        <v>49</v>
      </c>
      <c r="C59" s="10"/>
      <c r="D59" s="10">
        <v>9.6999999999999993</v>
      </c>
      <c r="E59" s="10">
        <v>30.3</v>
      </c>
      <c r="F59" s="15"/>
      <c r="G59" s="10"/>
      <c r="K59" s="10"/>
      <c r="L59" s="10"/>
      <c r="M59" s="10"/>
      <c r="N59" s="10">
        <f t="shared" ref="N59:N62" si="49">E59</f>
        <v>30.3</v>
      </c>
      <c r="O59" s="10">
        <v>181.6</v>
      </c>
      <c r="P59" s="10">
        <v>204.5</v>
      </c>
      <c r="Q59" s="10">
        <v>405.4</v>
      </c>
      <c r="R59" s="15">
        <v>760.5</v>
      </c>
      <c r="S59" s="10"/>
      <c r="T59" s="10"/>
    </row>
    <row r="60" spans="2:20" x14ac:dyDescent="0.25">
      <c r="B60" t="s">
        <v>189</v>
      </c>
      <c r="C60" s="10"/>
      <c r="D60" s="10"/>
      <c r="E60" s="10"/>
      <c r="F60" s="15"/>
      <c r="G60" s="10"/>
      <c r="K60" s="10"/>
      <c r="L60" s="10"/>
      <c r="M60" s="10"/>
      <c r="N60" s="10"/>
      <c r="O60" s="10"/>
      <c r="P60" s="10"/>
      <c r="Q60" s="10">
        <v>4090.8</v>
      </c>
      <c r="R60" s="15">
        <v>4103.2</v>
      </c>
      <c r="S60" s="10"/>
      <c r="T60" s="10"/>
    </row>
    <row r="61" spans="2:20" x14ac:dyDescent="0.25">
      <c r="B61" t="s">
        <v>153</v>
      </c>
      <c r="C61" s="10"/>
      <c r="D61" s="10"/>
      <c r="E61" s="10"/>
      <c r="F61" s="15"/>
      <c r="G61" s="10"/>
      <c r="K61" s="10"/>
      <c r="L61" s="10"/>
      <c r="M61" s="10"/>
      <c r="N61" s="10"/>
      <c r="O61" s="10"/>
      <c r="P61" s="10"/>
      <c r="Q61" s="10"/>
      <c r="R61" s="15">
        <v>1302</v>
      </c>
      <c r="S61" s="10"/>
      <c r="T61" s="10"/>
    </row>
    <row r="62" spans="2:20" x14ac:dyDescent="0.25">
      <c r="B62" t="s">
        <v>154</v>
      </c>
      <c r="C62" s="10"/>
      <c r="D62" s="10">
        <f>0.2+1580.9</f>
        <v>1581.1000000000001</v>
      </c>
      <c r="E62" s="10">
        <v>0.6</v>
      </c>
      <c r="F62" s="15"/>
      <c r="G62" s="10"/>
      <c r="K62" s="10"/>
      <c r="L62" s="10"/>
      <c r="M62" s="10"/>
      <c r="N62" s="10">
        <f t="shared" si="49"/>
        <v>0.6</v>
      </c>
      <c r="O62" s="10">
        <v>0.1</v>
      </c>
      <c r="P62" s="10">
        <f>978.2+0.3</f>
        <v>978.5</v>
      </c>
      <c r="Q62" s="10">
        <v>0.6</v>
      </c>
      <c r="R62" s="15">
        <v>143.1</v>
      </c>
      <c r="S62" s="10"/>
      <c r="T62" s="10"/>
    </row>
    <row r="63" spans="2:20" x14ac:dyDescent="0.25">
      <c r="B63" s="1" t="s">
        <v>19</v>
      </c>
      <c r="C63" s="11">
        <f>SUM(C58:C62)</f>
        <v>0</v>
      </c>
      <c r="D63" s="11">
        <f>SUM(D58:D62)</f>
        <v>5460.8</v>
      </c>
      <c r="E63" s="11">
        <f>SUM(E58:E62)</f>
        <v>294.90000000000003</v>
      </c>
      <c r="F63" s="14">
        <f>SUM(F58:F62)</f>
        <v>0</v>
      </c>
      <c r="G63" s="11">
        <f>SUM(G58:G62)</f>
        <v>0</v>
      </c>
      <c r="K63" s="11">
        <f t="shared" ref="K63:T63" si="50">SUM(K58:K62)</f>
        <v>0</v>
      </c>
      <c r="L63" s="11">
        <f t="shared" si="50"/>
        <v>0</v>
      </c>
      <c r="M63" s="11">
        <f t="shared" si="50"/>
        <v>0</v>
      </c>
      <c r="N63" s="11">
        <f t="shared" si="50"/>
        <v>294.90000000000003</v>
      </c>
      <c r="O63" s="11">
        <f t="shared" si="50"/>
        <v>275.20000000000005</v>
      </c>
      <c r="P63" s="11">
        <f t="shared" si="50"/>
        <v>1321.1</v>
      </c>
      <c r="Q63" s="11">
        <f t="shared" si="50"/>
        <v>5291.4000000000005</v>
      </c>
      <c r="R63" s="14">
        <f t="shared" si="50"/>
        <v>7836.6</v>
      </c>
      <c r="S63" s="11">
        <f t="shared" si="50"/>
        <v>0</v>
      </c>
      <c r="T63" s="11">
        <f t="shared" si="50"/>
        <v>0</v>
      </c>
    </row>
    <row r="64" spans="2:20" x14ac:dyDescent="0.25">
      <c r="B64" t="s">
        <v>64</v>
      </c>
      <c r="C64" s="10">
        <f>C53-C63</f>
        <v>0</v>
      </c>
      <c r="D64" s="10">
        <f>D53-D63</f>
        <v>3300.5999999999995</v>
      </c>
      <c r="E64" s="10">
        <f>E53-E63</f>
        <v>3253.7</v>
      </c>
      <c r="F64" s="15">
        <f>F53-F63</f>
        <v>0</v>
      </c>
      <c r="G64" s="10">
        <f>G53-G63</f>
        <v>0</v>
      </c>
      <c r="K64" s="10">
        <f t="shared" ref="K64:T64" si="51">K53-K63</f>
        <v>0</v>
      </c>
      <c r="L64" s="10">
        <f t="shared" si="51"/>
        <v>0</v>
      </c>
      <c r="M64" s="10">
        <f t="shared" si="51"/>
        <v>0</v>
      </c>
      <c r="N64" s="10">
        <f t="shared" si="51"/>
        <v>3253.7</v>
      </c>
      <c r="O64" s="10">
        <f t="shared" si="51"/>
        <v>3161.3</v>
      </c>
      <c r="P64" s="10">
        <f t="shared" si="51"/>
        <v>3775.5000000000005</v>
      </c>
      <c r="Q64" s="10">
        <f t="shared" si="51"/>
        <v>4810.8</v>
      </c>
      <c r="R64" s="15">
        <f t="shared" si="51"/>
        <v>4613.1999999999989</v>
      </c>
      <c r="S64" s="10">
        <f t="shared" si="51"/>
        <v>0</v>
      </c>
      <c r="T64" s="10">
        <f t="shared" si="51"/>
        <v>0</v>
      </c>
    </row>
    <row r="66" spans="2:18" s="1" customFormat="1" x14ac:dyDescent="0.25">
      <c r="B66" s="1" t="s">
        <v>65</v>
      </c>
      <c r="C66" s="45"/>
      <c r="D66" s="114"/>
      <c r="F66" s="16"/>
      <c r="R66" s="16"/>
    </row>
    <row r="84" spans="6:18" s="9" customFormat="1" x14ac:dyDescent="0.25">
      <c r="F84" s="41"/>
      <c r="R84" s="41"/>
    </row>
    <row r="85" spans="6:18" s="1" customFormat="1" x14ac:dyDescent="0.25">
      <c r="F85" s="16"/>
      <c r="R85"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L12"/>
  <sheetViews>
    <sheetView workbookViewId="0">
      <selection activeCell="B36" sqref="B36"/>
    </sheetView>
  </sheetViews>
  <sheetFormatPr defaultRowHeight="15" x14ac:dyDescent="0.25"/>
  <cols>
    <col min="1" max="1" width="14.85546875" customWidth="1"/>
  </cols>
  <sheetData>
    <row r="1" spans="1:12" x14ac:dyDescent="0.25">
      <c r="B1" s="112">
        <v>45413</v>
      </c>
      <c r="C1" s="112">
        <v>45444</v>
      </c>
      <c r="D1" s="112">
        <v>45474</v>
      </c>
      <c r="E1" s="112">
        <v>45505</v>
      </c>
      <c r="F1" s="112">
        <v>45536</v>
      </c>
      <c r="G1" s="112">
        <v>45566</v>
      </c>
      <c r="H1" s="112">
        <v>45597</v>
      </c>
      <c r="I1" s="112">
        <v>45627</v>
      </c>
      <c r="J1" s="112">
        <v>45658</v>
      </c>
      <c r="K1" s="112">
        <v>45689</v>
      </c>
      <c r="L1" s="112">
        <v>45717</v>
      </c>
    </row>
    <row r="2" spans="1:12" x14ac:dyDescent="0.25">
      <c r="A2" t="s">
        <v>129</v>
      </c>
      <c r="I2">
        <v>1</v>
      </c>
      <c r="J2">
        <v>1</v>
      </c>
      <c r="K2">
        <v>1</v>
      </c>
    </row>
    <row r="3" spans="1:12" x14ac:dyDescent="0.25">
      <c r="A3" t="s">
        <v>130</v>
      </c>
      <c r="I3">
        <v>1</v>
      </c>
      <c r="J3">
        <v>1</v>
      </c>
      <c r="K3">
        <v>1</v>
      </c>
    </row>
    <row r="4" spans="1:12" x14ac:dyDescent="0.25">
      <c r="A4" t="s">
        <v>131</v>
      </c>
      <c r="I4">
        <v>3</v>
      </c>
      <c r="J4">
        <v>3</v>
      </c>
      <c r="K4">
        <v>3</v>
      </c>
    </row>
    <row r="5" spans="1:12" x14ac:dyDescent="0.25">
      <c r="A5" t="s">
        <v>132</v>
      </c>
      <c r="I5">
        <v>3</v>
      </c>
      <c r="J5">
        <v>3</v>
      </c>
      <c r="K5">
        <v>3</v>
      </c>
    </row>
    <row r="6" spans="1:12" x14ac:dyDescent="0.25">
      <c r="A6" t="s">
        <v>133</v>
      </c>
      <c r="I6">
        <v>2</v>
      </c>
      <c r="J6">
        <v>2</v>
      </c>
      <c r="K6">
        <v>2</v>
      </c>
    </row>
    <row r="9" spans="1:12" x14ac:dyDescent="0.25">
      <c r="A9" s="1" t="s">
        <v>137</v>
      </c>
    </row>
    <row r="10" spans="1:12" x14ac:dyDescent="0.25">
      <c r="A10" t="s">
        <v>134</v>
      </c>
      <c r="I10">
        <v>80</v>
      </c>
      <c r="J10">
        <v>80</v>
      </c>
      <c r="K10">
        <v>80</v>
      </c>
    </row>
    <row r="11" spans="1:12" x14ac:dyDescent="0.25">
      <c r="A11" t="s">
        <v>135</v>
      </c>
      <c r="I11">
        <v>90</v>
      </c>
      <c r="J11">
        <v>90</v>
      </c>
      <c r="K11">
        <v>90</v>
      </c>
    </row>
    <row r="12" spans="1:12" x14ac:dyDescent="0.25">
      <c r="A12" t="s">
        <v>136</v>
      </c>
      <c r="I12">
        <v>40</v>
      </c>
      <c r="J12">
        <v>40</v>
      </c>
      <c r="K12">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19" workbookViewId="0">
      <selection activeCell="V34" sqref="V34"/>
    </sheetView>
  </sheetViews>
  <sheetFormatPr defaultRowHeight="15" x14ac:dyDescent="0.25"/>
  <sheetData>
    <row r="1" spans="1:1" x14ac:dyDescent="0.25">
      <c r="A1" s="8" t="s">
        <v>25</v>
      </c>
    </row>
  </sheetData>
  <hyperlinks>
    <hyperlink ref="A1" location="Main!A1" display="Main" xr:uid="{58C3B527-2D5B-414E-8D16-78915C434B11}"/>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S9" sqref="S9"/>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25</v>
      </c>
      <c r="B1" t="s">
        <v>36</v>
      </c>
      <c r="C1" s="17" t="s">
        <v>37</v>
      </c>
    </row>
    <row r="2" spans="1:13" x14ac:dyDescent="0.25">
      <c r="B2" s="12"/>
      <c r="C2" s="18"/>
      <c r="E2" t="s">
        <v>36</v>
      </c>
      <c r="F2" t="s">
        <v>38</v>
      </c>
      <c r="M2" t="s">
        <v>39</v>
      </c>
    </row>
    <row r="3" spans="1:13" x14ac:dyDescent="0.25">
      <c r="B3" s="12"/>
      <c r="C3" s="18"/>
      <c r="E3" s="12">
        <v>45328</v>
      </c>
      <c r="F3" t="s">
        <v>41</v>
      </c>
      <c r="M3" s="12"/>
    </row>
    <row r="4" spans="1:13" x14ac:dyDescent="0.25">
      <c r="B4" s="12"/>
      <c r="C4" s="18"/>
      <c r="E4" s="12">
        <v>45302</v>
      </c>
      <c r="F4" t="s">
        <v>41</v>
      </c>
      <c r="M4" s="12"/>
    </row>
    <row r="5" spans="1:13" x14ac:dyDescent="0.25">
      <c r="B5" s="12"/>
      <c r="C5" s="18"/>
      <c r="M5" s="12"/>
    </row>
    <row r="6" spans="1:13" x14ac:dyDescent="0.25">
      <c r="B6" s="12"/>
      <c r="C6" s="18"/>
      <c r="M6" s="12"/>
    </row>
    <row r="7" spans="1:13" x14ac:dyDescent="0.25">
      <c r="B7" s="12"/>
      <c r="C7" s="18"/>
      <c r="M7" s="12"/>
    </row>
    <row r="8" spans="1:13" x14ac:dyDescent="0.25">
      <c r="B8" s="12"/>
      <c r="C8" s="18"/>
      <c r="M8" s="12"/>
    </row>
    <row r="9" spans="1:13" x14ac:dyDescent="0.25">
      <c r="B9" s="12"/>
      <c r="C9" s="18"/>
      <c r="M9" s="12"/>
    </row>
    <row r="10" spans="1:13" x14ac:dyDescent="0.25">
      <c r="B10" s="12"/>
      <c r="C10" s="18"/>
      <c r="M10" s="12"/>
    </row>
    <row r="11" spans="1:13" x14ac:dyDescent="0.25">
      <c r="B11" s="12"/>
      <c r="C11" s="18"/>
      <c r="M11" s="12"/>
    </row>
    <row r="12" spans="1:13" x14ac:dyDescent="0.25">
      <c r="B12" s="12"/>
      <c r="C12" s="18"/>
      <c r="M12" s="12"/>
    </row>
    <row r="13" spans="1:13" x14ac:dyDescent="0.25">
      <c r="B13" s="12"/>
      <c r="C13" s="18"/>
    </row>
    <row r="14" spans="1:13" x14ac:dyDescent="0.25">
      <c r="B14" s="12"/>
      <c r="C14" s="18"/>
    </row>
    <row r="15" spans="1:13" x14ac:dyDescent="0.25">
      <c r="B15" s="12"/>
      <c r="C15" s="18"/>
    </row>
    <row r="16" spans="1:13" x14ac:dyDescent="0.25">
      <c r="B16" s="12"/>
      <c r="C16" s="18"/>
    </row>
    <row r="17" spans="2:3" x14ac:dyDescent="0.25">
      <c r="B17" s="12"/>
      <c r="C17" s="18"/>
    </row>
    <row r="18" spans="2:3" x14ac:dyDescent="0.25">
      <c r="B18" s="12"/>
      <c r="C18" s="18"/>
    </row>
    <row r="19" spans="2:3" x14ac:dyDescent="0.25">
      <c r="B19" s="12"/>
      <c r="C19" s="18"/>
    </row>
    <row r="20" spans="2:3" x14ac:dyDescent="0.25">
      <c r="B20" s="12"/>
      <c r="C20" s="18"/>
    </row>
    <row r="21" spans="2:3" x14ac:dyDescent="0.25">
      <c r="B21" s="12"/>
      <c r="C21" s="18"/>
    </row>
    <row r="22" spans="2:3" x14ac:dyDescent="0.25">
      <c r="B22" s="12"/>
      <c r="C22" s="18"/>
    </row>
    <row r="23" spans="2:3" x14ac:dyDescent="0.25">
      <c r="B23" s="12"/>
      <c r="C23" s="18"/>
    </row>
    <row r="24" spans="2:3" x14ac:dyDescent="0.25">
      <c r="B24" s="12"/>
      <c r="C24" s="18"/>
    </row>
    <row r="25" spans="2:3" x14ac:dyDescent="0.25">
      <c r="B25" s="12"/>
      <c r="C25" s="18"/>
    </row>
    <row r="26" spans="2:3" x14ac:dyDescent="0.25">
      <c r="B26" s="12"/>
      <c r="C26" s="18"/>
    </row>
    <row r="27" spans="2:3" x14ac:dyDescent="0.25">
      <c r="B27" s="12"/>
      <c r="C27" s="18"/>
    </row>
    <row r="28" spans="2:3" x14ac:dyDescent="0.25">
      <c r="B28" s="12"/>
      <c r="C28" s="18"/>
    </row>
    <row r="29" spans="2:3" x14ac:dyDescent="0.25">
      <c r="B29" s="12"/>
      <c r="C29" s="18"/>
    </row>
    <row r="30" spans="2:3" x14ac:dyDescent="0.25">
      <c r="B30" s="12"/>
      <c r="C30" s="18"/>
    </row>
    <row r="31" spans="2:3" x14ac:dyDescent="0.25">
      <c r="B31" s="12"/>
      <c r="C31" s="18"/>
    </row>
    <row r="32" spans="2:3" x14ac:dyDescent="0.25">
      <c r="B32" s="12"/>
      <c r="C32" s="18"/>
    </row>
    <row r="33" spans="2:3" x14ac:dyDescent="0.25">
      <c r="B33" s="12"/>
      <c r="C33" s="18"/>
    </row>
    <row r="34" spans="2:3" x14ac:dyDescent="0.25">
      <c r="B34" s="12"/>
      <c r="C34" s="18"/>
    </row>
    <row r="35" spans="2:3" x14ac:dyDescent="0.25">
      <c r="B35" s="12"/>
      <c r="C35" s="18"/>
    </row>
    <row r="36" spans="2:3" x14ac:dyDescent="0.25">
      <c r="B36" s="12"/>
      <c r="C36" s="18"/>
    </row>
    <row r="37" spans="2:3" x14ac:dyDescent="0.25">
      <c r="B37" s="12"/>
      <c r="C37" s="18"/>
    </row>
    <row r="38" spans="2:3" x14ac:dyDescent="0.25">
      <c r="B38" s="12"/>
      <c r="C38" s="18"/>
    </row>
    <row r="39" spans="2:3" x14ac:dyDescent="0.25">
      <c r="B39" s="12"/>
      <c r="C39" s="18"/>
    </row>
    <row r="40" spans="2:3" x14ac:dyDescent="0.25">
      <c r="B40" s="12"/>
      <c r="C40" s="18"/>
    </row>
    <row r="41" spans="2:3" x14ac:dyDescent="0.25">
      <c r="B41" s="12"/>
      <c r="C41" s="18"/>
    </row>
    <row r="42" spans="2:3" x14ac:dyDescent="0.25">
      <c r="B42" s="12"/>
      <c r="C42" s="18"/>
    </row>
    <row r="43" spans="2:3" x14ac:dyDescent="0.25">
      <c r="B43" s="12"/>
      <c r="C43" s="18"/>
    </row>
    <row r="44" spans="2:3" x14ac:dyDescent="0.25">
      <c r="B44" s="12"/>
      <c r="C44" s="18"/>
    </row>
    <row r="45" spans="2:3" x14ac:dyDescent="0.25">
      <c r="B45" s="12"/>
      <c r="C45" s="18"/>
    </row>
    <row r="46" spans="2:3" x14ac:dyDescent="0.25">
      <c r="B46" s="12"/>
      <c r="C46" s="18"/>
    </row>
    <row r="47" spans="2:3" x14ac:dyDescent="0.25">
      <c r="B47" s="12"/>
      <c r="C47" s="18"/>
    </row>
    <row r="48" spans="2:3" x14ac:dyDescent="0.25">
      <c r="B48" s="12"/>
      <c r="C48" s="18"/>
    </row>
    <row r="49" spans="2:3" x14ac:dyDescent="0.25">
      <c r="B49" s="12"/>
      <c r="C49" s="18"/>
    </row>
    <row r="50" spans="2:3" x14ac:dyDescent="0.25">
      <c r="B50" s="12"/>
      <c r="C50" s="18"/>
    </row>
    <row r="51" spans="2:3" x14ac:dyDescent="0.25">
      <c r="B51" s="12"/>
      <c r="C51" s="18"/>
    </row>
    <row r="52" spans="2:3" x14ac:dyDescent="0.25">
      <c r="B52" s="12"/>
      <c r="C52" s="18"/>
    </row>
    <row r="53" spans="2:3" x14ac:dyDescent="0.25">
      <c r="B53" s="12"/>
      <c r="C53" s="18"/>
    </row>
    <row r="54" spans="2:3" x14ac:dyDescent="0.25">
      <c r="B54" s="12"/>
      <c r="C54" s="18"/>
    </row>
    <row r="55" spans="2:3" x14ac:dyDescent="0.25">
      <c r="B55" s="12"/>
      <c r="C55" s="18"/>
    </row>
    <row r="56" spans="2:3" x14ac:dyDescent="0.25">
      <c r="B56" s="12"/>
      <c r="C56" s="18"/>
    </row>
    <row r="57" spans="2:3" x14ac:dyDescent="0.25">
      <c r="B57" s="12"/>
      <c r="C57" s="18"/>
    </row>
    <row r="58" spans="2:3" x14ac:dyDescent="0.25">
      <c r="B58" s="12"/>
      <c r="C58" s="18"/>
    </row>
    <row r="59" spans="2:3" x14ac:dyDescent="0.25">
      <c r="B59" s="12"/>
      <c r="C59" s="18"/>
    </row>
    <row r="60" spans="2:3" x14ac:dyDescent="0.25">
      <c r="B60" s="12"/>
      <c r="C60" s="18"/>
    </row>
    <row r="61" spans="2:3" x14ac:dyDescent="0.25">
      <c r="B61" s="12"/>
      <c r="C61" s="18"/>
    </row>
    <row r="62" spans="2:3" x14ac:dyDescent="0.25">
      <c r="B62" s="12"/>
      <c r="C62" s="18"/>
    </row>
    <row r="63" spans="2:3" x14ac:dyDescent="0.25">
      <c r="B63" s="12"/>
      <c r="C63" s="18"/>
    </row>
    <row r="64" spans="2:3" x14ac:dyDescent="0.25">
      <c r="B64" s="12"/>
      <c r="C64" s="18"/>
    </row>
    <row r="65" spans="2:3" x14ac:dyDescent="0.25">
      <c r="B65" s="12"/>
      <c r="C65" s="18"/>
    </row>
    <row r="66" spans="2:3" x14ac:dyDescent="0.25">
      <c r="B66" s="12"/>
      <c r="C66" s="18"/>
    </row>
    <row r="67" spans="2:3" x14ac:dyDescent="0.25">
      <c r="B67" s="12"/>
      <c r="C67" s="18"/>
    </row>
    <row r="68" spans="2:3" x14ac:dyDescent="0.25">
      <c r="B68" s="12"/>
      <c r="C68" s="18"/>
    </row>
    <row r="69" spans="2:3" x14ac:dyDescent="0.25">
      <c r="B69" s="12"/>
      <c r="C69" s="18"/>
    </row>
    <row r="70" spans="2:3" x14ac:dyDescent="0.25">
      <c r="B70" s="12"/>
      <c r="C70" s="18"/>
    </row>
    <row r="71" spans="2:3" x14ac:dyDescent="0.25">
      <c r="B71" s="12"/>
      <c r="C71" s="18"/>
    </row>
    <row r="72" spans="2:3" x14ac:dyDescent="0.25">
      <c r="B72" s="12"/>
      <c r="C72" s="18"/>
    </row>
    <row r="73" spans="2:3" x14ac:dyDescent="0.25">
      <c r="B73" s="12"/>
      <c r="C73" s="18"/>
    </row>
    <row r="74" spans="2:3" x14ac:dyDescent="0.25">
      <c r="B74" s="12"/>
      <c r="C74" s="18"/>
    </row>
    <row r="75" spans="2:3" x14ac:dyDescent="0.25">
      <c r="B75" s="12"/>
      <c r="C75" s="18"/>
    </row>
    <row r="76" spans="2:3" x14ac:dyDescent="0.25">
      <c r="B76" s="12"/>
      <c r="C76" s="18"/>
    </row>
    <row r="77" spans="2:3" x14ac:dyDescent="0.25">
      <c r="B77" s="12"/>
      <c r="C77" s="18"/>
    </row>
    <row r="78" spans="2:3" x14ac:dyDescent="0.25">
      <c r="B78" s="12"/>
      <c r="C78" s="18"/>
    </row>
    <row r="79" spans="2:3" x14ac:dyDescent="0.25">
      <c r="B79" s="12"/>
      <c r="C79" s="18"/>
    </row>
    <row r="80" spans="2:3" x14ac:dyDescent="0.25">
      <c r="B80" s="12"/>
      <c r="C80" s="18"/>
    </row>
    <row r="81" spans="2:3" x14ac:dyDescent="0.25">
      <c r="B81" s="12"/>
      <c r="C81" s="18"/>
    </row>
    <row r="82" spans="2:3" x14ac:dyDescent="0.25">
      <c r="B82" s="12"/>
      <c r="C82" s="18"/>
    </row>
    <row r="83" spans="2:3" x14ac:dyDescent="0.25">
      <c r="B83" s="12"/>
      <c r="C83" s="18"/>
    </row>
    <row r="84" spans="2:3" x14ac:dyDescent="0.25">
      <c r="B84" s="12"/>
      <c r="C84" s="18"/>
    </row>
    <row r="85" spans="2:3" x14ac:dyDescent="0.25">
      <c r="B85" s="12"/>
      <c r="C85" s="18"/>
    </row>
    <row r="86" spans="2:3" x14ac:dyDescent="0.25">
      <c r="B86" s="12"/>
      <c r="C86" s="18"/>
    </row>
    <row r="87" spans="2:3" x14ac:dyDescent="0.25">
      <c r="B87" s="12"/>
      <c r="C87" s="18"/>
    </row>
    <row r="88" spans="2:3" x14ac:dyDescent="0.25">
      <c r="B88" s="12"/>
      <c r="C88" s="18"/>
    </row>
    <row r="89" spans="2:3" x14ac:dyDescent="0.25">
      <c r="B89" s="12"/>
      <c r="C89" s="18"/>
    </row>
    <row r="90" spans="2:3" x14ac:dyDescent="0.25">
      <c r="B90" s="12"/>
      <c r="C90" s="18"/>
    </row>
    <row r="91" spans="2:3" x14ac:dyDescent="0.25">
      <c r="B91" s="12"/>
      <c r="C91" s="18"/>
    </row>
    <row r="92" spans="2:3" x14ac:dyDescent="0.25">
      <c r="B92" s="12"/>
      <c r="C92" s="18"/>
    </row>
    <row r="93" spans="2:3" x14ac:dyDescent="0.25">
      <c r="B93" s="12"/>
      <c r="C93" s="18"/>
    </row>
    <row r="94" spans="2:3" x14ac:dyDescent="0.25">
      <c r="B94" s="12"/>
      <c r="C94" s="18"/>
    </row>
    <row r="95" spans="2:3" x14ac:dyDescent="0.25">
      <c r="B95" s="12"/>
      <c r="C95" s="18"/>
    </row>
    <row r="96" spans="2:3" x14ac:dyDescent="0.25">
      <c r="B96" s="12"/>
      <c r="C96" s="18"/>
    </row>
    <row r="97" spans="2:3" x14ac:dyDescent="0.25">
      <c r="B97" s="12"/>
      <c r="C97" s="18"/>
    </row>
    <row r="98" spans="2:3" x14ac:dyDescent="0.25">
      <c r="B98" s="12"/>
      <c r="C98" s="18"/>
    </row>
    <row r="99" spans="2:3" x14ac:dyDescent="0.25">
      <c r="B99" s="12"/>
      <c r="C99" s="18"/>
    </row>
    <row r="100" spans="2:3" x14ac:dyDescent="0.25">
      <c r="B100" s="12"/>
      <c r="C100" s="18"/>
    </row>
    <row r="101" spans="2:3" x14ac:dyDescent="0.25">
      <c r="B101" s="12"/>
      <c r="C101" s="18"/>
    </row>
    <row r="102" spans="2:3" x14ac:dyDescent="0.25">
      <c r="B102" s="12"/>
      <c r="C102" s="18"/>
    </row>
    <row r="103" spans="2:3" x14ac:dyDescent="0.25">
      <c r="B103" s="12"/>
      <c r="C103" s="18"/>
    </row>
    <row r="104" spans="2:3" x14ac:dyDescent="0.25">
      <c r="B104" s="12"/>
      <c r="C104" s="18"/>
    </row>
    <row r="105" spans="2:3" x14ac:dyDescent="0.25">
      <c r="B105" s="12"/>
      <c r="C105" s="18"/>
    </row>
    <row r="106" spans="2:3" x14ac:dyDescent="0.25">
      <c r="B106" s="12"/>
      <c r="C106" s="18"/>
    </row>
    <row r="107" spans="2:3" x14ac:dyDescent="0.25">
      <c r="B107" s="12"/>
      <c r="C107" s="18"/>
    </row>
    <row r="108" spans="2:3" x14ac:dyDescent="0.25">
      <c r="B108" s="12"/>
      <c r="C108" s="18"/>
    </row>
    <row r="109" spans="2:3" x14ac:dyDescent="0.25">
      <c r="B109" s="12"/>
      <c r="C109" s="18"/>
    </row>
    <row r="110" spans="2:3" x14ac:dyDescent="0.25">
      <c r="B110" s="12"/>
      <c r="C110" s="18"/>
    </row>
    <row r="111" spans="2:3" x14ac:dyDescent="0.25">
      <c r="B111" s="12"/>
      <c r="C111" s="18"/>
    </row>
    <row r="112" spans="2:3" x14ac:dyDescent="0.25">
      <c r="B112" s="12"/>
      <c r="C112" s="18"/>
    </row>
    <row r="113" spans="2:3" x14ac:dyDescent="0.25">
      <c r="B113" s="12"/>
      <c r="C113" s="18"/>
    </row>
    <row r="114" spans="2:3" x14ac:dyDescent="0.25">
      <c r="B114" s="12"/>
      <c r="C114" s="18"/>
    </row>
    <row r="115" spans="2:3" x14ac:dyDescent="0.25">
      <c r="B115" s="12"/>
      <c r="C115" s="18"/>
    </row>
    <row r="116" spans="2:3" x14ac:dyDescent="0.25">
      <c r="B116" s="12"/>
      <c r="C116" s="18"/>
    </row>
    <row r="117" spans="2:3" x14ac:dyDescent="0.25">
      <c r="B117" s="12"/>
      <c r="C117" s="18"/>
    </row>
    <row r="118" spans="2:3" x14ac:dyDescent="0.25">
      <c r="B118" s="12"/>
      <c r="C118" s="18"/>
    </row>
    <row r="119" spans="2:3" x14ac:dyDescent="0.25">
      <c r="B119" s="12"/>
      <c r="C119" s="18"/>
    </row>
    <row r="120" spans="2:3" x14ac:dyDescent="0.25">
      <c r="B120" s="12"/>
      <c r="C120" s="18"/>
    </row>
    <row r="121" spans="2:3" x14ac:dyDescent="0.25">
      <c r="B121" s="12"/>
      <c r="C121" s="18"/>
    </row>
    <row r="122" spans="2:3" x14ac:dyDescent="0.25">
      <c r="B122" s="12"/>
      <c r="C122" s="18"/>
    </row>
    <row r="123" spans="2:3" x14ac:dyDescent="0.25">
      <c r="B123" s="12"/>
      <c r="C123" s="18"/>
    </row>
    <row r="124" spans="2:3" x14ac:dyDescent="0.25">
      <c r="B124" s="12"/>
      <c r="C124" s="18"/>
    </row>
    <row r="125" spans="2:3" x14ac:dyDescent="0.25">
      <c r="B125" s="12"/>
      <c r="C125" s="18"/>
    </row>
    <row r="126" spans="2:3" x14ac:dyDescent="0.25">
      <c r="B126" s="12"/>
      <c r="C126" s="18"/>
    </row>
    <row r="127" spans="2:3" x14ac:dyDescent="0.25">
      <c r="B127" s="12"/>
      <c r="C127" s="18"/>
    </row>
    <row r="128" spans="2:3" x14ac:dyDescent="0.25">
      <c r="B128" s="12"/>
      <c r="C128" s="18"/>
    </row>
    <row r="129" spans="2:3" x14ac:dyDescent="0.25">
      <c r="B129" s="12"/>
      <c r="C129" s="18"/>
    </row>
    <row r="130" spans="2:3" x14ac:dyDescent="0.25">
      <c r="B130" s="12"/>
      <c r="C130" s="18"/>
    </row>
    <row r="131" spans="2:3" x14ac:dyDescent="0.25">
      <c r="B131" s="12"/>
      <c r="C131" s="18"/>
    </row>
    <row r="132" spans="2:3" x14ac:dyDescent="0.25">
      <c r="B132" s="12"/>
      <c r="C132" s="18"/>
    </row>
    <row r="133" spans="2:3" x14ac:dyDescent="0.25">
      <c r="B133" s="12"/>
      <c r="C133" s="18"/>
    </row>
    <row r="134" spans="2:3" x14ac:dyDescent="0.25">
      <c r="B134" s="12"/>
      <c r="C134" s="18"/>
    </row>
    <row r="135" spans="2:3" x14ac:dyDescent="0.25">
      <c r="B135" s="12"/>
      <c r="C135" s="18"/>
    </row>
    <row r="136" spans="2:3" x14ac:dyDescent="0.25">
      <c r="B136" s="12"/>
      <c r="C136" s="18"/>
    </row>
    <row r="137" spans="2:3" x14ac:dyDescent="0.25">
      <c r="B137" s="12"/>
      <c r="C137" s="18"/>
    </row>
    <row r="138" spans="2:3" x14ac:dyDescent="0.25">
      <c r="B138" s="12"/>
      <c r="C138" s="18"/>
    </row>
    <row r="139" spans="2:3" x14ac:dyDescent="0.25">
      <c r="B139" s="12"/>
      <c r="C139" s="18"/>
    </row>
    <row r="140" spans="2:3" x14ac:dyDescent="0.25">
      <c r="B140" s="12"/>
      <c r="C140" s="18"/>
    </row>
    <row r="141" spans="2:3" x14ac:dyDescent="0.25">
      <c r="B141" s="12"/>
      <c r="C141" s="18"/>
    </row>
    <row r="142" spans="2:3" x14ac:dyDescent="0.25">
      <c r="B142" s="12"/>
      <c r="C142" s="18"/>
    </row>
    <row r="143" spans="2:3" x14ac:dyDescent="0.25">
      <c r="B143" s="12"/>
      <c r="C143" s="18"/>
    </row>
    <row r="144" spans="2:3" x14ac:dyDescent="0.25">
      <c r="B144" s="12"/>
      <c r="C144" s="18"/>
    </row>
    <row r="145" spans="2:3" x14ac:dyDescent="0.25">
      <c r="B145" s="12"/>
      <c r="C145" s="18"/>
    </row>
    <row r="146" spans="2:3" x14ac:dyDescent="0.25">
      <c r="B146" s="12"/>
      <c r="C146" s="18"/>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68"/>
  <sheetViews>
    <sheetView workbookViewId="0">
      <selection activeCell="E60" sqref="E60"/>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25</v>
      </c>
      <c r="B1" s="1" t="s">
        <v>36</v>
      </c>
      <c r="C1" s="1" t="s">
        <v>0</v>
      </c>
      <c r="D1" s="1" t="s">
        <v>78</v>
      </c>
      <c r="H1" s="124" t="s">
        <v>79</v>
      </c>
      <c r="I1" s="125"/>
      <c r="J1" s="125"/>
      <c r="K1" s="125"/>
      <c r="L1" s="125"/>
      <c r="M1" s="126"/>
    </row>
    <row r="2" spans="1:13" ht="15.75" thickBot="1" x14ac:dyDescent="0.3">
      <c r="D2" t="e">
        <f>C2/C3-1</f>
        <v>#DIV/0!</v>
      </c>
      <c r="H2" s="49"/>
      <c r="I2" s="50"/>
      <c r="J2" s="50"/>
      <c r="K2" s="50"/>
      <c r="L2" s="50"/>
      <c r="M2" s="51"/>
    </row>
    <row r="3" spans="1:13" ht="15.75" thickBot="1" x14ac:dyDescent="0.3">
      <c r="D3" t="e">
        <f t="shared" ref="D3:D66" si="0">C3/C4-1</f>
        <v>#DIV/0!</v>
      </c>
      <c r="H3" s="52" t="s">
        <v>80</v>
      </c>
      <c r="I3" s="53" t="s">
        <v>81</v>
      </c>
      <c r="J3" s="54" t="s">
        <v>82</v>
      </c>
      <c r="K3" s="55" t="s">
        <v>83</v>
      </c>
      <c r="L3" s="55" t="s">
        <v>84</v>
      </c>
      <c r="M3" s="56" t="s">
        <v>85</v>
      </c>
    </row>
    <row r="4" spans="1:13" x14ac:dyDescent="0.25">
      <c r="D4" t="e">
        <f t="shared" si="0"/>
        <v>#DIV/0!</v>
      </c>
      <c r="H4" s="57" t="e">
        <f>$I$19-3*$I$23</f>
        <v>#DIV/0!</v>
      </c>
      <c r="I4" s="58" t="e">
        <f>H4</f>
        <v>#DIV/0!</v>
      </c>
      <c r="J4" s="59">
        <f>COUNTIF(D:D,"&lt;="&amp;H4)</f>
        <v>67</v>
      </c>
      <c r="K4" s="59" t="e">
        <f>"Less than "&amp;TEXT(H4,"0,00%")</f>
        <v>#DIV/0!</v>
      </c>
      <c r="L4" s="60" t="e">
        <f>J4/$I$31</f>
        <v>#DIV/0!</v>
      </c>
      <c r="M4" s="61" t="e">
        <f>L4</f>
        <v>#DIV/0!</v>
      </c>
    </row>
    <row r="5" spans="1:13" x14ac:dyDescent="0.25">
      <c r="D5" t="e">
        <f t="shared" si="0"/>
        <v>#DIV/0!</v>
      </c>
      <c r="H5" s="62" t="e">
        <f>$I$19-2.4*$I$23</f>
        <v>#DIV/0!</v>
      </c>
      <c r="I5" s="63" t="e">
        <f>H5</f>
        <v>#DIV/0!</v>
      </c>
      <c r="J5" s="64">
        <f>COUNTIFS(D:D,"&lt;="&amp;H5,D:D,"&gt;"&amp;H4)</f>
        <v>67</v>
      </c>
      <c r="K5" s="65" t="e">
        <f t="shared" ref="K5:K14" si="1">TEXT(H4,"0,00%")&amp;" to "&amp;TEXT(H5,"0,00%")</f>
        <v>#DIV/0!</v>
      </c>
      <c r="L5" s="66" t="e">
        <f>J5/$I$31</f>
        <v>#DIV/0!</v>
      </c>
      <c r="M5" s="67" t="e">
        <f>M4+L5</f>
        <v>#DIV/0!</v>
      </c>
    </row>
    <row r="6" spans="1:13" x14ac:dyDescent="0.25">
      <c r="D6" t="e">
        <f t="shared" si="0"/>
        <v>#DIV/0!</v>
      </c>
      <c r="H6" s="62" t="e">
        <f>$I$19-1.8*$I$23</f>
        <v>#DIV/0!</v>
      </c>
      <c r="I6" s="63" t="e">
        <f t="shared" ref="I6:I14" si="2">H6</f>
        <v>#DIV/0!</v>
      </c>
      <c r="J6" s="64">
        <f t="shared" ref="J6:J14" si="3">COUNTIFS(D:D,"&lt;="&amp;H6,D:D,"&gt;"&amp;H5)</f>
        <v>67</v>
      </c>
      <c r="K6" s="65" t="e">
        <f t="shared" si="1"/>
        <v>#DIV/0!</v>
      </c>
      <c r="L6" s="66" t="e">
        <f t="shared" ref="L6:L15" si="4">J6/$I$31</f>
        <v>#DIV/0!</v>
      </c>
      <c r="M6" s="67" t="e">
        <f t="shared" ref="M6:M15" si="5">M5+L6</f>
        <v>#DIV/0!</v>
      </c>
    </row>
    <row r="7" spans="1:13" x14ac:dyDescent="0.25">
      <c r="D7" t="e">
        <f t="shared" si="0"/>
        <v>#DIV/0!</v>
      </c>
      <c r="H7" s="62" t="e">
        <f>$I$19-1.2*$I$23</f>
        <v>#DIV/0!</v>
      </c>
      <c r="I7" s="63" t="e">
        <f t="shared" si="2"/>
        <v>#DIV/0!</v>
      </c>
      <c r="J7" s="64">
        <f t="shared" si="3"/>
        <v>67</v>
      </c>
      <c r="K7" s="65" t="e">
        <f t="shared" si="1"/>
        <v>#DIV/0!</v>
      </c>
      <c r="L7" s="66" t="e">
        <f t="shared" si="4"/>
        <v>#DIV/0!</v>
      </c>
      <c r="M7" s="67" t="e">
        <f t="shared" si="5"/>
        <v>#DIV/0!</v>
      </c>
    </row>
    <row r="8" spans="1:13" x14ac:dyDescent="0.25">
      <c r="D8" t="e">
        <f t="shared" si="0"/>
        <v>#DIV/0!</v>
      </c>
      <c r="H8" s="62" t="e">
        <f>$I$19-0.6*$I$23</f>
        <v>#DIV/0!</v>
      </c>
      <c r="I8" s="63" t="e">
        <f t="shared" si="2"/>
        <v>#DIV/0!</v>
      </c>
      <c r="J8" s="64">
        <f t="shared" si="3"/>
        <v>67</v>
      </c>
      <c r="K8" s="65" t="e">
        <f t="shared" si="1"/>
        <v>#DIV/0!</v>
      </c>
      <c r="L8" s="66" t="e">
        <f t="shared" si="4"/>
        <v>#DIV/0!</v>
      </c>
      <c r="M8" s="67" t="e">
        <f t="shared" si="5"/>
        <v>#DIV/0!</v>
      </c>
    </row>
    <row r="9" spans="1:13" x14ac:dyDescent="0.25">
      <c r="D9" t="e">
        <f t="shared" si="0"/>
        <v>#DIV/0!</v>
      </c>
      <c r="H9" s="62" t="e">
        <f>$I$19</f>
        <v>#DIV/0!</v>
      </c>
      <c r="I9" s="63" t="e">
        <f t="shared" si="2"/>
        <v>#DIV/0!</v>
      </c>
      <c r="J9" s="64">
        <f t="shared" si="3"/>
        <v>67</v>
      </c>
      <c r="K9" s="65" t="e">
        <f t="shared" si="1"/>
        <v>#DIV/0!</v>
      </c>
      <c r="L9" s="66" t="e">
        <f t="shared" si="4"/>
        <v>#DIV/0!</v>
      </c>
      <c r="M9" s="67" t="e">
        <f t="shared" si="5"/>
        <v>#DIV/0!</v>
      </c>
    </row>
    <row r="10" spans="1:13" x14ac:dyDescent="0.25">
      <c r="D10" t="e">
        <f t="shared" si="0"/>
        <v>#DIV/0!</v>
      </c>
      <c r="H10" s="62" t="e">
        <f>$I$19+0.6*$I$23</f>
        <v>#DIV/0!</v>
      </c>
      <c r="I10" s="63" t="e">
        <f t="shared" si="2"/>
        <v>#DIV/0!</v>
      </c>
      <c r="J10" s="64">
        <f t="shared" si="3"/>
        <v>67</v>
      </c>
      <c r="K10" s="65" t="e">
        <f t="shared" si="1"/>
        <v>#DIV/0!</v>
      </c>
      <c r="L10" s="66" t="e">
        <f t="shared" si="4"/>
        <v>#DIV/0!</v>
      </c>
      <c r="M10" s="67" t="e">
        <f t="shared" si="5"/>
        <v>#DIV/0!</v>
      </c>
    </row>
    <row r="11" spans="1:13" x14ac:dyDescent="0.25">
      <c r="D11" t="e">
        <f t="shared" si="0"/>
        <v>#DIV/0!</v>
      </c>
      <c r="H11" s="62" t="e">
        <f>$I$19+1.2*$I$23</f>
        <v>#DIV/0!</v>
      </c>
      <c r="I11" s="63" t="e">
        <f t="shared" si="2"/>
        <v>#DIV/0!</v>
      </c>
      <c r="J11" s="64">
        <f t="shared" si="3"/>
        <v>67</v>
      </c>
      <c r="K11" s="65" t="e">
        <f t="shared" si="1"/>
        <v>#DIV/0!</v>
      </c>
      <c r="L11" s="66" t="e">
        <f t="shared" si="4"/>
        <v>#DIV/0!</v>
      </c>
      <c r="M11" s="67" t="e">
        <f t="shared" si="5"/>
        <v>#DIV/0!</v>
      </c>
    </row>
    <row r="12" spans="1:13" x14ac:dyDescent="0.25">
      <c r="D12" t="e">
        <f t="shared" si="0"/>
        <v>#DIV/0!</v>
      </c>
      <c r="H12" s="62" t="e">
        <f>$I$19+1.8*$I$23</f>
        <v>#DIV/0!</v>
      </c>
      <c r="I12" s="63" t="e">
        <f t="shared" si="2"/>
        <v>#DIV/0!</v>
      </c>
      <c r="J12" s="64">
        <f t="shared" si="3"/>
        <v>67</v>
      </c>
      <c r="K12" s="65" t="e">
        <f t="shared" si="1"/>
        <v>#DIV/0!</v>
      </c>
      <c r="L12" s="66" t="e">
        <f t="shared" si="4"/>
        <v>#DIV/0!</v>
      </c>
      <c r="M12" s="67" t="e">
        <f t="shared" si="5"/>
        <v>#DIV/0!</v>
      </c>
    </row>
    <row r="13" spans="1:13" x14ac:dyDescent="0.25">
      <c r="D13" t="e">
        <f t="shared" si="0"/>
        <v>#DIV/0!</v>
      </c>
      <c r="H13" s="62" t="e">
        <f>$I$19+2.4*$I$23</f>
        <v>#DIV/0!</v>
      </c>
      <c r="I13" s="63" t="e">
        <f t="shared" si="2"/>
        <v>#DIV/0!</v>
      </c>
      <c r="J13" s="64">
        <f t="shared" si="3"/>
        <v>67</v>
      </c>
      <c r="K13" s="65" t="e">
        <f t="shared" si="1"/>
        <v>#DIV/0!</v>
      </c>
      <c r="L13" s="66" t="e">
        <f t="shared" si="4"/>
        <v>#DIV/0!</v>
      </c>
      <c r="M13" s="67" t="e">
        <f t="shared" si="5"/>
        <v>#DIV/0!</v>
      </c>
    </row>
    <row r="14" spans="1:13" x14ac:dyDescent="0.25">
      <c r="D14" t="e">
        <f t="shared" si="0"/>
        <v>#DIV/0!</v>
      </c>
      <c r="H14" s="62" t="e">
        <f>$I$19+3*$I$23</f>
        <v>#DIV/0!</v>
      </c>
      <c r="I14" s="63" t="e">
        <f t="shared" si="2"/>
        <v>#DIV/0!</v>
      </c>
      <c r="J14" s="64">
        <f t="shared" si="3"/>
        <v>67</v>
      </c>
      <c r="K14" s="65" t="e">
        <f t="shared" si="1"/>
        <v>#DIV/0!</v>
      </c>
      <c r="L14" s="66" t="e">
        <f t="shared" si="4"/>
        <v>#DIV/0!</v>
      </c>
      <c r="M14" s="67" t="e">
        <f t="shared" si="5"/>
        <v>#DIV/0!</v>
      </c>
    </row>
    <row r="15" spans="1:13" ht="15.75" thickBot="1" x14ac:dyDescent="0.3">
      <c r="D15" t="e">
        <f t="shared" si="0"/>
        <v>#DIV/0!</v>
      </c>
      <c r="H15" s="68"/>
      <c r="I15" s="69" t="s">
        <v>86</v>
      </c>
      <c r="J15" s="69">
        <f>COUNTIF(D:D,"&gt;"&amp;H14)</f>
        <v>67</v>
      </c>
      <c r="K15" s="69" t="e">
        <f>"Greater than "&amp;TEXT(H14,"0,00%")</f>
        <v>#DIV/0!</v>
      </c>
      <c r="L15" s="70" t="e">
        <f t="shared" si="4"/>
        <v>#DIV/0!</v>
      </c>
      <c r="M15" s="70" t="e">
        <f t="shared" si="5"/>
        <v>#DIV/0!</v>
      </c>
    </row>
    <row r="16" spans="1:13" ht="15.75" thickBot="1" x14ac:dyDescent="0.3">
      <c r="D16" t="e">
        <f t="shared" si="0"/>
        <v>#DIV/0!</v>
      </c>
      <c r="H16" s="71"/>
      <c r="M16" s="72"/>
    </row>
    <row r="17" spans="4:13" x14ac:dyDescent="0.25">
      <c r="D17" t="e">
        <f t="shared" si="0"/>
        <v>#DIV/0!</v>
      </c>
      <c r="H17" s="127" t="s">
        <v>117</v>
      </c>
      <c r="I17" s="128"/>
      <c r="M17" s="72"/>
    </row>
    <row r="18" spans="4:13" x14ac:dyDescent="0.25">
      <c r="D18" t="e">
        <f t="shared" si="0"/>
        <v>#DIV/0!</v>
      </c>
      <c r="H18" s="129"/>
      <c r="I18" s="130"/>
      <c r="M18" s="72"/>
    </row>
    <row r="19" spans="4:13" x14ac:dyDescent="0.25">
      <c r="D19" t="e">
        <f t="shared" si="0"/>
        <v>#DIV/0!</v>
      </c>
      <c r="H19" s="73" t="s">
        <v>87</v>
      </c>
      <c r="I19" s="109" t="e">
        <f>AVERAGE(D:D)</f>
        <v>#DIV/0!</v>
      </c>
      <c r="M19" s="72"/>
    </row>
    <row r="20" spans="4:13" x14ac:dyDescent="0.25">
      <c r="D20" t="e">
        <f t="shared" si="0"/>
        <v>#DIV/0!</v>
      </c>
      <c r="H20" s="73" t="s">
        <v>88</v>
      </c>
      <c r="I20" s="109" t="e">
        <f>_xlfn.STDEV.S(D:D)/SQRT(COUNT(D:D))</f>
        <v>#DIV/0!</v>
      </c>
      <c r="M20" s="72"/>
    </row>
    <row r="21" spans="4:13" x14ac:dyDescent="0.25">
      <c r="D21" t="e">
        <f t="shared" si="0"/>
        <v>#DIV/0!</v>
      </c>
      <c r="H21" s="73" t="s">
        <v>89</v>
      </c>
      <c r="I21" s="109" t="e">
        <f>MEDIAN(D:D)</f>
        <v>#DIV/0!</v>
      </c>
      <c r="M21" s="72"/>
    </row>
    <row r="22" spans="4:13" x14ac:dyDescent="0.25">
      <c r="D22" t="e">
        <f t="shared" si="0"/>
        <v>#DIV/0!</v>
      </c>
      <c r="H22" s="73" t="s">
        <v>90</v>
      </c>
      <c r="I22" s="109" t="e">
        <f>MODE(D:D)</f>
        <v>#DIV/0!</v>
      </c>
      <c r="M22" s="72"/>
    </row>
    <row r="23" spans="4:13" x14ac:dyDescent="0.25">
      <c r="D23" t="e">
        <f t="shared" si="0"/>
        <v>#DIV/0!</v>
      </c>
      <c r="H23" s="73" t="s">
        <v>91</v>
      </c>
      <c r="I23" s="109" t="e">
        <f>_xlfn.STDEV.S(D:D)</f>
        <v>#DIV/0!</v>
      </c>
      <c r="M23" s="72"/>
    </row>
    <row r="24" spans="4:13" x14ac:dyDescent="0.25">
      <c r="D24" t="e">
        <f t="shared" si="0"/>
        <v>#DIV/0!</v>
      </c>
      <c r="H24" s="73" t="s">
        <v>92</v>
      </c>
      <c r="I24" s="109" t="e">
        <f>_xlfn.VAR.S(D:D)</f>
        <v>#DIV/0!</v>
      </c>
      <c r="M24" s="72"/>
    </row>
    <row r="25" spans="4:13" x14ac:dyDescent="0.25">
      <c r="D25" t="e">
        <f t="shared" si="0"/>
        <v>#DIV/0!</v>
      </c>
      <c r="H25" s="73" t="s">
        <v>93</v>
      </c>
      <c r="I25" s="110" t="e">
        <f>KURT(D:D)</f>
        <v>#DIV/0!</v>
      </c>
      <c r="M25" s="72"/>
    </row>
    <row r="26" spans="4:13" x14ac:dyDescent="0.25">
      <c r="D26" t="e">
        <f t="shared" si="0"/>
        <v>#DIV/0!</v>
      </c>
      <c r="H26" s="73" t="s">
        <v>94</v>
      </c>
      <c r="I26" s="110" t="e">
        <f>SKEW(D:D)</f>
        <v>#DIV/0!</v>
      </c>
      <c r="M26" s="72"/>
    </row>
    <row r="27" spans="4:13" x14ac:dyDescent="0.25">
      <c r="D27" t="e">
        <f t="shared" si="0"/>
        <v>#DIV/0!</v>
      </c>
      <c r="H27" s="73" t="s">
        <v>83</v>
      </c>
      <c r="I27" s="109" t="e">
        <f>I29-I28</f>
        <v>#DIV/0!</v>
      </c>
      <c r="M27" s="72"/>
    </row>
    <row r="28" spans="4:13" x14ac:dyDescent="0.25">
      <c r="D28" t="e">
        <f t="shared" si="0"/>
        <v>#DIV/0!</v>
      </c>
      <c r="H28" s="73" t="s">
        <v>95</v>
      </c>
      <c r="I28" s="109" t="e">
        <f>MIN(D:D)</f>
        <v>#DIV/0!</v>
      </c>
      <c r="M28" s="72"/>
    </row>
    <row r="29" spans="4:13" x14ac:dyDescent="0.25">
      <c r="D29" t="e">
        <f t="shared" si="0"/>
        <v>#DIV/0!</v>
      </c>
      <c r="H29" s="73" t="s">
        <v>96</v>
      </c>
      <c r="I29" s="109" t="e">
        <f>MAX(D:D)</f>
        <v>#DIV/0!</v>
      </c>
      <c r="M29" s="72"/>
    </row>
    <row r="30" spans="4:13" x14ac:dyDescent="0.25">
      <c r="D30" t="e">
        <f t="shared" si="0"/>
        <v>#DIV/0!</v>
      </c>
      <c r="H30" s="73" t="s">
        <v>97</v>
      </c>
      <c r="I30" s="110" t="e">
        <f>SUM(D:D)</f>
        <v>#DIV/0!</v>
      </c>
      <c r="M30" s="72"/>
    </row>
    <row r="31" spans="4:13" ht="15.75" thickBot="1" x14ac:dyDescent="0.3">
      <c r="D31" t="e">
        <f t="shared" si="0"/>
        <v>#DIV/0!</v>
      </c>
      <c r="H31" s="74" t="s">
        <v>98</v>
      </c>
      <c r="I31" s="51">
        <f>COUNT(D:D)</f>
        <v>0</v>
      </c>
      <c r="M31" s="72"/>
    </row>
    <row r="32" spans="4:13" ht="15.75" thickBot="1" x14ac:dyDescent="0.3">
      <c r="D32" t="e">
        <f t="shared" si="0"/>
        <v>#DIV/0!</v>
      </c>
      <c r="H32" s="76"/>
      <c r="M32" s="72"/>
    </row>
    <row r="33" spans="4:13" x14ac:dyDescent="0.25">
      <c r="D33" t="e">
        <f t="shared" si="0"/>
        <v>#DIV/0!</v>
      </c>
      <c r="H33" s="77"/>
      <c r="I33" s="78" t="s">
        <v>99</v>
      </c>
      <c r="J33" s="78" t="s">
        <v>98</v>
      </c>
      <c r="K33" s="78" t="s">
        <v>100</v>
      </c>
      <c r="L33" s="79" t="s">
        <v>101</v>
      </c>
      <c r="M33" s="72"/>
    </row>
    <row r="34" spans="4:13" x14ac:dyDescent="0.25">
      <c r="D34" t="e">
        <f t="shared" si="0"/>
        <v>#DIV/0!</v>
      </c>
      <c r="H34" s="80" t="s">
        <v>102</v>
      </c>
      <c r="I34" s="66" t="e">
        <f>AVERAGEIF(D:D,"&gt;0")</f>
        <v>#DIV/0!</v>
      </c>
      <c r="J34" s="64">
        <f>COUNTIF(D:D,"&gt;0")</f>
        <v>0</v>
      </c>
      <c r="K34" s="66" t="e">
        <f>J34/$I$31</f>
        <v>#DIV/0!</v>
      </c>
      <c r="L34" s="67" t="e">
        <f>K34*I34</f>
        <v>#DIV/0!</v>
      </c>
      <c r="M34" s="72"/>
    </row>
    <row r="35" spans="4:13" x14ac:dyDescent="0.25">
      <c r="D35" t="e">
        <f t="shared" si="0"/>
        <v>#DIV/0!</v>
      </c>
      <c r="H35" s="80" t="s">
        <v>103</v>
      </c>
      <c r="I35" s="66" t="e">
        <f>AVERAGEIF(D:D,"&lt;0")</f>
        <v>#DIV/0!</v>
      </c>
      <c r="J35" s="64">
        <f>COUNTIF(D:D,"&lt;0")</f>
        <v>0</v>
      </c>
      <c r="K35" s="66" t="e">
        <f>J35/$I$31</f>
        <v>#DIV/0!</v>
      </c>
      <c r="L35" s="67" t="e">
        <f t="shared" ref="L35:L36" si="6">K35*I35</f>
        <v>#DIV/0!</v>
      </c>
      <c r="M35" s="72"/>
    </row>
    <row r="36" spans="4:13" ht="15.75" thickBot="1" x14ac:dyDescent="0.3">
      <c r="D36" t="e">
        <f t="shared" si="0"/>
        <v>#DIV/0!</v>
      </c>
      <c r="H36" s="81" t="s">
        <v>104</v>
      </c>
      <c r="I36" s="69">
        <v>0</v>
      </c>
      <c r="J36" s="69">
        <f>COUNTIF(D:D,"0")</f>
        <v>0</v>
      </c>
      <c r="K36" s="82" t="e">
        <f>J36/$I$31</f>
        <v>#DIV/0!</v>
      </c>
      <c r="L36" s="70" t="e">
        <f t="shared" si="6"/>
        <v>#DIV/0!</v>
      </c>
      <c r="M36" s="72"/>
    </row>
    <row r="37" spans="4:13" ht="15.75" thickBot="1" x14ac:dyDescent="0.3">
      <c r="D37" t="e">
        <f t="shared" si="0"/>
        <v>#DIV/0!</v>
      </c>
      <c r="H37" s="76"/>
      <c r="I37" s="83"/>
      <c r="J37" s="83"/>
      <c r="K37" s="83"/>
      <c r="L37" s="83"/>
      <c r="M37" s="72"/>
    </row>
    <row r="38" spans="4:13" x14ac:dyDescent="0.25">
      <c r="D38" t="e">
        <f t="shared" si="0"/>
        <v>#DIV/0!</v>
      </c>
      <c r="H38" s="57" t="s">
        <v>105</v>
      </c>
      <c r="I38" s="78" t="s">
        <v>106</v>
      </c>
      <c r="J38" s="78" t="s">
        <v>107</v>
      </c>
      <c r="K38" s="78" t="s">
        <v>108</v>
      </c>
      <c r="L38" s="78" t="s">
        <v>109</v>
      </c>
      <c r="M38" s="79" t="s">
        <v>110</v>
      </c>
    </row>
    <row r="39" spans="4:13" x14ac:dyDescent="0.25">
      <c r="D39" t="e">
        <f t="shared" si="0"/>
        <v>#DIV/0!</v>
      </c>
      <c r="H39" s="84">
        <v>1</v>
      </c>
      <c r="I39" s="66" t="e">
        <f>$I$19+($H39*$I$23)</f>
        <v>#DIV/0!</v>
      </c>
      <c r="J39" s="66" t="e">
        <f>$I$19-($H39*$I$23)</f>
        <v>#DIV/0!</v>
      </c>
      <c r="K39" s="64">
        <f>COUNTIFS(D:D,"&lt;"&amp;I39,D:D,"&gt;"&amp;J39)</f>
        <v>67</v>
      </c>
      <c r="L39" s="66" t="e">
        <f>K39/$I$31</f>
        <v>#DIV/0!</v>
      </c>
      <c r="M39" s="67">
        <v>0.68269999999999997</v>
      </c>
    </row>
    <row r="40" spans="4:13" x14ac:dyDescent="0.25">
      <c r="D40" t="e">
        <f t="shared" si="0"/>
        <v>#DIV/0!</v>
      </c>
      <c r="H40" s="84">
        <v>2</v>
      </c>
      <c r="I40" s="66" t="e">
        <f>$I$19+($H40*$I$23)</f>
        <v>#DIV/0!</v>
      </c>
      <c r="J40" s="66" t="e">
        <f>$I$19-($H40*$I$23)</f>
        <v>#DIV/0!</v>
      </c>
      <c r="K40" s="64">
        <f>COUNTIFS(D:D,"&lt;"&amp;I40,D:D,"&gt;"&amp;J40)</f>
        <v>67</v>
      </c>
      <c r="L40" s="66" t="e">
        <f>K40/$I$31</f>
        <v>#DIV/0!</v>
      </c>
      <c r="M40" s="67">
        <v>0.95450000000000002</v>
      </c>
    </row>
    <row r="41" spans="4:13" x14ac:dyDescent="0.25">
      <c r="D41" t="e">
        <f t="shared" si="0"/>
        <v>#DIV/0!</v>
      </c>
      <c r="H41" s="84">
        <v>3</v>
      </c>
      <c r="I41" s="66" t="e">
        <f>$I$19+($H41*$I$23)</f>
        <v>#DIV/0!</v>
      </c>
      <c r="J41" s="66" t="e">
        <f>$I$19-($H41*$I$23)</f>
        <v>#DIV/0!</v>
      </c>
      <c r="K41" s="64">
        <f>COUNTIFS(D:D,"&lt;"&amp;I41,D:D,"&gt;"&amp;J41)</f>
        <v>67</v>
      </c>
      <c r="L41" s="66" t="e">
        <f>K41/$I$31</f>
        <v>#DIV/0!</v>
      </c>
      <c r="M41" s="85">
        <v>0.99729999999999996</v>
      </c>
    </row>
    <row r="42" spans="4:13" ht="15.75" thickBot="1" x14ac:dyDescent="0.3">
      <c r="D42" t="e">
        <f t="shared" si="0"/>
        <v>#DIV/0!</v>
      </c>
      <c r="H42" s="62"/>
      <c r="M42" s="85"/>
    </row>
    <row r="43" spans="4:13" ht="15.75" thickBot="1" x14ac:dyDescent="0.3">
      <c r="D43" t="e">
        <f t="shared" si="0"/>
        <v>#DIV/0!</v>
      </c>
      <c r="H43" s="131" t="s">
        <v>111</v>
      </c>
      <c r="I43" s="132"/>
      <c r="J43" s="132"/>
      <c r="K43" s="132"/>
      <c r="L43" s="132"/>
      <c r="M43" s="133"/>
    </row>
    <row r="44" spans="4:13" x14ac:dyDescent="0.25">
      <c r="D44" t="e">
        <f t="shared" si="0"/>
        <v>#DIV/0!</v>
      </c>
      <c r="H44" s="86">
        <v>0.01</v>
      </c>
      <c r="I44" s="87" t="e">
        <f t="shared" ref="I44:I58" si="7">_xlfn.PERCENTILE.INC(D:D,H44)</f>
        <v>#DIV/0!</v>
      </c>
      <c r="J44" s="88">
        <v>0.2</v>
      </c>
      <c r="K44" s="87" t="e">
        <f t="shared" ref="K44:K56" si="8">_xlfn.PERCENTILE.INC(D:D,J44)</f>
        <v>#DIV/0!</v>
      </c>
      <c r="L44" s="88">
        <v>0.85</v>
      </c>
      <c r="M44" s="89" t="e">
        <f t="shared" ref="M44:M58" si="9">_xlfn.PERCENTILE.INC(D:D,L44)</f>
        <v>#DIV/0!</v>
      </c>
    </row>
    <row r="45" spans="4:13" x14ac:dyDescent="0.25">
      <c r="D45" t="e">
        <f t="shared" si="0"/>
        <v>#DIV/0!</v>
      </c>
      <c r="H45" s="90">
        <v>0.02</v>
      </c>
      <c r="I45" s="91" t="e">
        <f t="shared" si="7"/>
        <v>#DIV/0!</v>
      </c>
      <c r="J45" s="92">
        <v>0.25</v>
      </c>
      <c r="K45" s="91" t="e">
        <f t="shared" si="8"/>
        <v>#DIV/0!</v>
      </c>
      <c r="L45" s="92">
        <v>0.86</v>
      </c>
      <c r="M45" s="93" t="e">
        <f t="shared" si="9"/>
        <v>#DIV/0!</v>
      </c>
    </row>
    <row r="46" spans="4:13" x14ac:dyDescent="0.25">
      <c r="D46" t="e">
        <f t="shared" si="0"/>
        <v>#DIV/0!</v>
      </c>
      <c r="H46" s="90">
        <v>0.03</v>
      </c>
      <c r="I46" s="91" t="e">
        <f t="shared" si="7"/>
        <v>#DIV/0!</v>
      </c>
      <c r="J46" s="92">
        <v>0.3</v>
      </c>
      <c r="K46" s="91" t="e">
        <f t="shared" si="8"/>
        <v>#DIV/0!</v>
      </c>
      <c r="L46" s="92">
        <v>0.87</v>
      </c>
      <c r="M46" s="93" t="e">
        <f t="shared" si="9"/>
        <v>#DIV/0!</v>
      </c>
    </row>
    <row r="47" spans="4:13" x14ac:dyDescent="0.25">
      <c r="D47" t="e">
        <f t="shared" si="0"/>
        <v>#DIV/0!</v>
      </c>
      <c r="H47" s="90">
        <v>0.04</v>
      </c>
      <c r="I47" s="91" t="e">
        <f t="shared" si="7"/>
        <v>#DIV/0!</v>
      </c>
      <c r="J47" s="92">
        <v>0.35</v>
      </c>
      <c r="K47" s="91" t="e">
        <f t="shared" si="8"/>
        <v>#DIV/0!</v>
      </c>
      <c r="L47" s="92">
        <v>0.88</v>
      </c>
      <c r="M47" s="93" t="e">
        <f t="shared" si="9"/>
        <v>#DIV/0!</v>
      </c>
    </row>
    <row r="48" spans="4:13" x14ac:dyDescent="0.25">
      <c r="D48" t="e">
        <f t="shared" si="0"/>
        <v>#DIV/0!</v>
      </c>
      <c r="H48" s="90">
        <v>0.05</v>
      </c>
      <c r="I48" s="91" t="e">
        <f t="shared" si="7"/>
        <v>#DIV/0!</v>
      </c>
      <c r="J48" s="92">
        <v>0.4</v>
      </c>
      <c r="K48" s="91" t="e">
        <f t="shared" si="8"/>
        <v>#DIV/0!</v>
      </c>
      <c r="L48" s="92">
        <v>0.89</v>
      </c>
      <c r="M48" s="93" t="e">
        <f t="shared" si="9"/>
        <v>#DIV/0!</v>
      </c>
    </row>
    <row r="49" spans="4:13" x14ac:dyDescent="0.25">
      <c r="D49" t="e">
        <f t="shared" si="0"/>
        <v>#DIV/0!</v>
      </c>
      <c r="H49" s="90">
        <v>0.06</v>
      </c>
      <c r="I49" s="91" t="e">
        <f t="shared" si="7"/>
        <v>#DIV/0!</v>
      </c>
      <c r="J49" s="92">
        <v>0.45</v>
      </c>
      <c r="K49" s="91" t="e">
        <f t="shared" si="8"/>
        <v>#DIV/0!</v>
      </c>
      <c r="L49" s="92">
        <v>0.9</v>
      </c>
      <c r="M49" s="93" t="e">
        <f t="shared" si="9"/>
        <v>#DIV/0!</v>
      </c>
    </row>
    <row r="50" spans="4:13" x14ac:dyDescent="0.25">
      <c r="D50" t="e">
        <f t="shared" si="0"/>
        <v>#DIV/0!</v>
      </c>
      <c r="H50" s="90">
        <v>7.0000000000000007E-2</v>
      </c>
      <c r="I50" s="91" t="e">
        <f t="shared" si="7"/>
        <v>#DIV/0!</v>
      </c>
      <c r="J50" s="92">
        <v>0.5</v>
      </c>
      <c r="K50" s="91" t="e">
        <f t="shared" si="8"/>
        <v>#DIV/0!</v>
      </c>
      <c r="L50" s="92">
        <v>0.91</v>
      </c>
      <c r="M50" s="93" t="e">
        <f t="shared" si="9"/>
        <v>#DIV/0!</v>
      </c>
    </row>
    <row r="51" spans="4:13" x14ac:dyDescent="0.25">
      <c r="D51" t="e">
        <f t="shared" si="0"/>
        <v>#DIV/0!</v>
      </c>
      <c r="H51" s="90">
        <v>0.08</v>
      </c>
      <c r="I51" s="91" t="e">
        <f t="shared" si="7"/>
        <v>#DIV/0!</v>
      </c>
      <c r="J51" s="92">
        <v>0.55000000000000004</v>
      </c>
      <c r="K51" s="91" t="e">
        <f t="shared" si="8"/>
        <v>#DIV/0!</v>
      </c>
      <c r="L51" s="92">
        <v>0.92</v>
      </c>
      <c r="M51" s="93" t="e">
        <f t="shared" si="9"/>
        <v>#DIV/0!</v>
      </c>
    </row>
    <row r="52" spans="4:13" x14ac:dyDescent="0.25">
      <c r="D52" t="e">
        <f t="shared" si="0"/>
        <v>#DIV/0!</v>
      </c>
      <c r="H52" s="90">
        <v>0.09</v>
      </c>
      <c r="I52" s="91" t="e">
        <f t="shared" si="7"/>
        <v>#DIV/0!</v>
      </c>
      <c r="J52" s="92">
        <v>0.6</v>
      </c>
      <c r="K52" s="91" t="e">
        <f t="shared" si="8"/>
        <v>#DIV/0!</v>
      </c>
      <c r="L52" s="92">
        <v>0.93</v>
      </c>
      <c r="M52" s="93" t="e">
        <f t="shared" si="9"/>
        <v>#DIV/0!</v>
      </c>
    </row>
    <row r="53" spans="4:13" x14ac:dyDescent="0.25">
      <c r="D53" t="e">
        <f t="shared" si="0"/>
        <v>#DIV/0!</v>
      </c>
      <c r="H53" s="90">
        <v>0.1</v>
      </c>
      <c r="I53" s="91" t="e">
        <f t="shared" si="7"/>
        <v>#DIV/0!</v>
      </c>
      <c r="J53" s="92">
        <v>0.65</v>
      </c>
      <c r="K53" s="91" t="e">
        <f t="shared" si="8"/>
        <v>#DIV/0!</v>
      </c>
      <c r="L53" s="92">
        <v>0.94</v>
      </c>
      <c r="M53" s="93" t="e">
        <f t="shared" si="9"/>
        <v>#DIV/0!</v>
      </c>
    </row>
    <row r="54" spans="4:13" x14ac:dyDescent="0.25">
      <c r="D54" t="e">
        <f t="shared" si="0"/>
        <v>#DIV/0!</v>
      </c>
      <c r="H54" s="90">
        <v>0.11</v>
      </c>
      <c r="I54" s="91" t="e">
        <f t="shared" si="7"/>
        <v>#DIV/0!</v>
      </c>
      <c r="J54" s="92">
        <v>0.7</v>
      </c>
      <c r="K54" s="91" t="e">
        <f t="shared" si="8"/>
        <v>#DIV/0!</v>
      </c>
      <c r="L54" s="92">
        <v>0.95</v>
      </c>
      <c r="M54" s="93" t="e">
        <f t="shared" si="9"/>
        <v>#DIV/0!</v>
      </c>
    </row>
    <row r="55" spans="4:13" x14ac:dyDescent="0.25">
      <c r="D55" t="e">
        <f t="shared" si="0"/>
        <v>#DIV/0!</v>
      </c>
      <c r="H55" s="90">
        <v>0.12</v>
      </c>
      <c r="I55" s="91" t="e">
        <f t="shared" si="7"/>
        <v>#DIV/0!</v>
      </c>
      <c r="J55" s="92">
        <v>0.75</v>
      </c>
      <c r="K55" s="91" t="e">
        <f t="shared" si="8"/>
        <v>#DIV/0!</v>
      </c>
      <c r="L55" s="92">
        <v>0.96</v>
      </c>
      <c r="M55" s="93" t="e">
        <f t="shared" si="9"/>
        <v>#DIV/0!</v>
      </c>
    </row>
    <row r="56" spans="4:13" x14ac:dyDescent="0.25">
      <c r="D56" t="e">
        <f t="shared" si="0"/>
        <v>#DIV/0!</v>
      </c>
      <c r="H56" s="90">
        <v>0.13</v>
      </c>
      <c r="I56" s="91" t="e">
        <f t="shared" si="7"/>
        <v>#DIV/0!</v>
      </c>
      <c r="J56" s="92">
        <v>0.8</v>
      </c>
      <c r="K56" s="91" t="e">
        <f t="shared" si="8"/>
        <v>#DIV/0!</v>
      </c>
      <c r="L56" s="92">
        <v>0.97</v>
      </c>
      <c r="M56" s="93" t="e">
        <f t="shared" si="9"/>
        <v>#DIV/0!</v>
      </c>
    </row>
    <row r="57" spans="4:13" x14ac:dyDescent="0.25">
      <c r="D57" t="e">
        <f t="shared" si="0"/>
        <v>#DIV/0!</v>
      </c>
      <c r="H57" s="90">
        <v>0.14000000000000001</v>
      </c>
      <c r="I57" s="91" t="e">
        <f t="shared" si="7"/>
        <v>#DIV/0!</v>
      </c>
      <c r="J57" s="92"/>
      <c r="K57" s="91"/>
      <c r="L57" s="92">
        <v>0.98</v>
      </c>
      <c r="M57" s="93" t="e">
        <f t="shared" si="9"/>
        <v>#DIV/0!</v>
      </c>
    </row>
    <row r="58" spans="4:13" ht="15.75" thickBot="1" x14ac:dyDescent="0.3">
      <c r="D58" t="e">
        <f t="shared" si="0"/>
        <v>#DIV/0!</v>
      </c>
      <c r="H58" s="94">
        <v>0.15</v>
      </c>
      <c r="I58" s="95" t="e">
        <f t="shared" si="7"/>
        <v>#DIV/0!</v>
      </c>
      <c r="J58" s="96"/>
      <c r="K58" s="75"/>
      <c r="L58" s="97">
        <v>0.99</v>
      </c>
      <c r="M58" s="98" t="e">
        <f t="shared" si="9"/>
        <v>#DIV/0!</v>
      </c>
    </row>
    <row r="59" spans="4:13" ht="15.75" thickBot="1" x14ac:dyDescent="0.3">
      <c r="D59" t="e">
        <f t="shared" si="0"/>
        <v>#DIV/0!</v>
      </c>
    </row>
    <row r="60" spans="4:13" x14ac:dyDescent="0.25">
      <c r="D60" t="e">
        <f t="shared" si="0"/>
        <v>#DIV/0!</v>
      </c>
      <c r="H60" s="99" t="s">
        <v>112</v>
      </c>
      <c r="I60" s="100"/>
    </row>
    <row r="61" spans="4:13" ht="15.75" thickBot="1" x14ac:dyDescent="0.3">
      <c r="D61" t="e">
        <f t="shared" si="0"/>
        <v>#DIV/0!</v>
      </c>
      <c r="H61" s="101" t="s">
        <v>113</v>
      </c>
      <c r="I61" s="102"/>
    </row>
    <row r="62" spans="4:13" ht="15.75" thickBot="1" x14ac:dyDescent="0.3">
      <c r="D62" t="e">
        <f t="shared" si="0"/>
        <v>#DIV/0!</v>
      </c>
      <c r="H62" s="103"/>
    </row>
    <row r="63" spans="4:13" x14ac:dyDescent="0.25">
      <c r="D63" t="e">
        <f t="shared" si="0"/>
        <v>#DIV/0!</v>
      </c>
      <c r="H63" s="99" t="s">
        <v>114</v>
      </c>
      <c r="I63" s="104"/>
    </row>
    <row r="64" spans="4:13" x14ac:dyDescent="0.25">
      <c r="D64" t="e">
        <f t="shared" si="0"/>
        <v>#DIV/0!</v>
      </c>
      <c r="H64" s="105" t="s">
        <v>115</v>
      </c>
      <c r="I64" s="106">
        <f>I63*(1-I60)</f>
        <v>0</v>
      </c>
    </row>
    <row r="65" spans="4:9" ht="15.75" thickBot="1" x14ac:dyDescent="0.3">
      <c r="D65" t="e">
        <f t="shared" si="0"/>
        <v>#DIV/0!</v>
      </c>
      <c r="H65" s="101" t="s">
        <v>116</v>
      </c>
      <c r="I65" s="107">
        <f>I63*(1+I61)</f>
        <v>0</v>
      </c>
    </row>
    <row r="66" spans="4:9" x14ac:dyDescent="0.25">
      <c r="D66" t="e">
        <f t="shared" si="0"/>
        <v>#DIV/0!</v>
      </c>
    </row>
    <row r="67" spans="4:9" x14ac:dyDescent="0.25">
      <c r="D67" t="e">
        <f t="shared" ref="D67:D68" si="10">C67/C68-1</f>
        <v>#DIV/0!</v>
      </c>
    </row>
    <row r="68" spans="4:9" x14ac:dyDescent="0.25">
      <c r="D68" t="e">
        <f t="shared" si="10"/>
        <v>#DIV/0!</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KPIs</vt:lpstr>
      <vt:lpstr>Model-graph</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2026-05-06T09:47:42Z</dcterms:modified>
</cp:coreProperties>
</file>