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mon\Documents\models\Business - Technology Services\"/>
    </mc:Choice>
  </mc:AlternateContent>
  <xr:revisionPtr revIDLastSave="0" documentId="13_ncr:1_{0710A600-E982-451D-80A5-6116F07D5C6E}" xr6:coauthVersionLast="47" xr6:coauthVersionMax="47" xr10:uidLastSave="{00000000-0000-0000-0000-000000000000}"/>
  <bookViews>
    <workbookView xWindow="14805" yWindow="45" windowWidth="13995" windowHeight="15435" xr2:uid="{00000000-000D-0000-FFFF-FFFF00000000}"/>
  </bookViews>
  <sheets>
    <sheet name="Main" sheetId="1" r:id="rId1"/>
    <sheet name="Model" sheetId="2" r:id="rId2"/>
    <sheet name="Model-graph" sheetId="3" r:id="rId3"/>
    <sheet name="KPI" sheetId="6" r:id="rId4"/>
    <sheet name="Catalysts" sheetId="4" r:id="rId5"/>
    <sheet name="DoR" sheetId="7" r:id="rId6"/>
  </sheets>
  <definedNames>
    <definedName name="_xlnm._FilterDatabase" localSheetId="5" hidden="1">DoR!$B$1:$C$1</definedName>
    <definedName name="_xlchart.v1.0" hidden="1">Model!$A$21</definedName>
    <definedName name="_xlchart.v1.1" hidden="1">Model!$A$22</definedName>
    <definedName name="_xlchart.v1.2" hidden="1">Model!$B$21:$Q$21</definedName>
    <definedName name="_xlchart.v1.3" hidden="1">Model!$B$22:$Q$22</definedName>
    <definedName name="_xlchart.v1.4" hidden="1">Model!$B$2:$Q$2</definedName>
    <definedName name="_xlchart.v1.5" hidden="1">Model!$A$3</definedName>
    <definedName name="_xlchart.v1.6" hidden="1">Model!$A$4</definedName>
    <definedName name="_xlchart.v1.7" hidden="1">Model!$B$2:$Q$2</definedName>
    <definedName name="_xlchart.v1.8" hidden="1">Model!$B$3:$Q$3</definedName>
    <definedName name="_xlchart.v1.9" hidden="1">Model!$B$4:$Q$4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7" l="1"/>
  <c r="D15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2" i="7"/>
  <c r="I65" i="7"/>
  <c r="I64" i="7"/>
  <c r="I19" i="7" l="1"/>
  <c r="I35" i="7"/>
  <c r="I34" i="7"/>
  <c r="M57" i="7"/>
  <c r="J36" i="7"/>
  <c r="J35" i="7"/>
  <c r="I30" i="7"/>
  <c r="I29" i="7"/>
  <c r="J34" i="7"/>
  <c r="I22" i="7"/>
  <c r="I20" i="7"/>
  <c r="I24" i="7"/>
  <c r="I28" i="7"/>
  <c r="M45" i="7"/>
  <c r="M47" i="7"/>
  <c r="M49" i="7"/>
  <c r="M51" i="7"/>
  <c r="M53" i="7"/>
  <c r="M55" i="7"/>
  <c r="I58" i="7"/>
  <c r="I44" i="7"/>
  <c r="I46" i="7"/>
  <c r="I48" i="7"/>
  <c r="I50" i="7"/>
  <c r="I52" i="7"/>
  <c r="I54" i="7"/>
  <c r="I56" i="7"/>
  <c r="M58" i="7"/>
  <c r="K44" i="7"/>
  <c r="K46" i="7"/>
  <c r="K48" i="7"/>
  <c r="K50" i="7"/>
  <c r="K52" i="7"/>
  <c r="K54" i="7"/>
  <c r="K56" i="7"/>
  <c r="M44" i="7"/>
  <c r="M46" i="7"/>
  <c r="M48" i="7"/>
  <c r="M50" i="7"/>
  <c r="M52" i="7"/>
  <c r="M54" i="7"/>
  <c r="M56" i="7"/>
  <c r="I21" i="7"/>
  <c r="I25" i="7"/>
  <c r="I26" i="7"/>
  <c r="I23" i="7"/>
  <c r="H4" i="7" s="1"/>
  <c r="I31" i="7"/>
  <c r="I45" i="7"/>
  <c r="I47" i="7"/>
  <c r="I49" i="7"/>
  <c r="I51" i="7"/>
  <c r="I53" i="7"/>
  <c r="I55" i="7"/>
  <c r="I57" i="7"/>
  <c r="K45" i="7"/>
  <c r="K47" i="7"/>
  <c r="K49" i="7"/>
  <c r="K51" i="7"/>
  <c r="K53" i="7"/>
  <c r="K55" i="7"/>
  <c r="K35" i="7" l="1"/>
  <c r="L35" i="7" s="1"/>
  <c r="I27" i="7"/>
  <c r="H5" i="7"/>
  <c r="J40" i="7"/>
  <c r="I40" i="7"/>
  <c r="H7" i="7"/>
  <c r="H9" i="7"/>
  <c r="H10" i="7"/>
  <c r="H11" i="7"/>
  <c r="J41" i="7"/>
  <c r="H8" i="7"/>
  <c r="I41" i="7"/>
  <c r="J39" i="7"/>
  <c r="I39" i="7"/>
  <c r="H12" i="7"/>
  <c r="H13" i="7"/>
  <c r="H14" i="7"/>
  <c r="H6" i="7"/>
  <c r="K34" i="7"/>
  <c r="L34" i="7" s="1"/>
  <c r="K36" i="7"/>
  <c r="L36" i="7" s="1"/>
  <c r="K41" i="7" l="1"/>
  <c r="L41" i="7" s="1"/>
  <c r="K40" i="7"/>
  <c r="L40" i="7" s="1"/>
  <c r="I8" i="7"/>
  <c r="K9" i="7"/>
  <c r="J8" i="7"/>
  <c r="L8" i="7" s="1"/>
  <c r="K6" i="7"/>
  <c r="J5" i="7"/>
  <c r="L5" i="7" s="1"/>
  <c r="I5" i="7"/>
  <c r="K7" i="7"/>
  <c r="J6" i="7"/>
  <c r="L6" i="7" s="1"/>
  <c r="I6" i="7"/>
  <c r="K14" i="7"/>
  <c r="J13" i="7"/>
  <c r="L13" i="7" s="1"/>
  <c r="I13" i="7"/>
  <c r="K12" i="7"/>
  <c r="J11" i="7"/>
  <c r="L11" i="7" s="1"/>
  <c r="I11" i="7"/>
  <c r="K4" i="7"/>
  <c r="K5" i="7"/>
  <c r="J4" i="7"/>
  <c r="L4" i="7" s="1"/>
  <c r="M4" i="7" s="1"/>
  <c r="I4" i="7"/>
  <c r="I10" i="7"/>
  <c r="K11" i="7"/>
  <c r="J10" i="7"/>
  <c r="L10" i="7" s="1"/>
  <c r="K13" i="7"/>
  <c r="J12" i="7"/>
  <c r="L12" i="7" s="1"/>
  <c r="I12" i="7"/>
  <c r="K10" i="7"/>
  <c r="J9" i="7"/>
  <c r="L9" i="7" s="1"/>
  <c r="I9" i="7"/>
  <c r="J15" i="7"/>
  <c r="L15" i="7" s="1"/>
  <c r="J14" i="7"/>
  <c r="L14" i="7" s="1"/>
  <c r="I14" i="7"/>
  <c r="K15" i="7"/>
  <c r="K39" i="7"/>
  <c r="L39" i="7" s="1"/>
  <c r="K8" i="7"/>
  <c r="J7" i="7"/>
  <c r="L7" i="7" s="1"/>
  <c r="I7" i="7"/>
  <c r="M5" i="7" l="1"/>
  <c r="M6" i="7" s="1"/>
  <c r="M7" i="7" l="1"/>
  <c r="M8" i="7" s="1"/>
  <c r="M9" i="7" s="1"/>
  <c r="M10" i="7" s="1"/>
  <c r="M11" i="7" s="1"/>
  <c r="M12" i="7" s="1"/>
  <c r="M13" i="7" s="1"/>
  <c r="M14" i="7" s="1"/>
  <c r="M15" i="7" s="1"/>
  <c r="C6" i="6"/>
  <c r="B6" i="6"/>
  <c r="V54" i="2"/>
  <c r="V37" i="2"/>
  <c r="U15" i="2"/>
  <c r="U12" i="2"/>
  <c r="U10" i="2"/>
  <c r="U18" i="2" s="1"/>
  <c r="U9" i="2"/>
  <c r="V27" i="2"/>
  <c r="W27" i="2"/>
  <c r="V21" i="2"/>
  <c r="V10" i="2"/>
  <c r="V18" i="2"/>
  <c r="V15" i="2"/>
  <c r="W3" i="2"/>
  <c r="F11" i="6"/>
  <c r="E11" i="6"/>
  <c r="Y50" i="2"/>
  <c r="Y53" i="2" s="1"/>
  <c r="Y40" i="2"/>
  <c r="Y45" i="2" s="1"/>
  <c r="D6" i="6"/>
  <c r="E6" i="6"/>
  <c r="F6" i="6"/>
  <c r="AA30" i="2"/>
  <c r="AA27" i="2"/>
  <c r="R27" i="2"/>
  <c r="C7" i="1"/>
  <c r="J7" i="1" s="1"/>
  <c r="P28" i="2"/>
  <c r="O28" i="2"/>
  <c r="N28" i="2"/>
  <c r="M28" i="2"/>
  <c r="L28" i="2"/>
  <c r="K28" i="2"/>
  <c r="J28" i="2"/>
  <c r="I28" i="2"/>
  <c r="H28" i="2"/>
  <c r="G28" i="2"/>
  <c r="F28" i="2"/>
  <c r="B9" i="2"/>
  <c r="Q15" i="2"/>
  <c r="Y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B36" i="2"/>
  <c r="C18" i="2"/>
  <c r="C23" i="2" s="1"/>
  <c r="D18" i="2"/>
  <c r="D23" i="2" s="1"/>
  <c r="E18" i="2"/>
  <c r="E23" i="2" s="1"/>
  <c r="G18" i="2"/>
  <c r="G23" i="2" s="1"/>
  <c r="H18" i="2"/>
  <c r="H23" i="2" s="1"/>
  <c r="I18" i="2"/>
  <c r="I23" i="2" s="1"/>
  <c r="J18" i="2"/>
  <c r="J23" i="2" s="1"/>
  <c r="K18" i="2"/>
  <c r="K23" i="2" s="1"/>
  <c r="L18" i="2"/>
  <c r="L23" i="2" s="1"/>
  <c r="M18" i="2"/>
  <c r="M23" i="2" s="1"/>
  <c r="N18" i="2"/>
  <c r="N23" i="2" s="1"/>
  <c r="O18" i="2"/>
  <c r="O23" i="2" s="1"/>
  <c r="P18" i="2"/>
  <c r="P23" i="2" s="1"/>
  <c r="B18" i="2"/>
  <c r="B23" i="2" s="1"/>
  <c r="V25" i="2"/>
  <c r="Y17" i="2"/>
  <c r="X17" i="2"/>
  <c r="Y14" i="2"/>
  <c r="Y11" i="2"/>
  <c r="Y8" i="2"/>
  <c r="Y33" i="2" s="1"/>
  <c r="Y7" i="2"/>
  <c r="Y6" i="2"/>
  <c r="Y5" i="2"/>
  <c r="Y3" i="2"/>
  <c r="Z27" i="2" s="1"/>
  <c r="P27" i="2"/>
  <c r="P25" i="2"/>
  <c r="P9" i="2"/>
  <c r="P12" i="2" s="1"/>
  <c r="P15" i="2" s="1"/>
  <c r="O27" i="2"/>
  <c r="X3" i="2"/>
  <c r="X36" i="2"/>
  <c r="X14" i="2"/>
  <c r="X11" i="2"/>
  <c r="X8" i="2"/>
  <c r="X7" i="2"/>
  <c r="X32" i="2" s="1"/>
  <c r="X6" i="2"/>
  <c r="X31" i="2" s="1"/>
  <c r="X5" i="2"/>
  <c r="W5" i="2"/>
  <c r="W11" i="2"/>
  <c r="W6" i="2"/>
  <c r="W7" i="2"/>
  <c r="W8" i="2"/>
  <c r="W51" i="2"/>
  <c r="W49" i="2"/>
  <c r="W42" i="2"/>
  <c r="W43" i="2"/>
  <c r="W36" i="2"/>
  <c r="V51" i="2"/>
  <c r="V42" i="2"/>
  <c r="V43" i="2"/>
  <c r="V36" i="2"/>
  <c r="G25" i="2"/>
  <c r="H25" i="2"/>
  <c r="I25" i="2"/>
  <c r="J25" i="2"/>
  <c r="K25" i="2"/>
  <c r="L25" i="2"/>
  <c r="M25" i="2"/>
  <c r="N25" i="2"/>
  <c r="O25" i="2"/>
  <c r="B25" i="2"/>
  <c r="C25" i="2"/>
  <c r="D25" i="2"/>
  <c r="E25" i="2"/>
  <c r="F25" i="2"/>
  <c r="F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Z15" i="2"/>
  <c r="C17" i="1"/>
  <c r="C16" i="1"/>
  <c r="Q27" i="2"/>
  <c r="X33" i="2" l="1"/>
  <c r="Y31" i="2"/>
  <c r="W31" i="2"/>
  <c r="W33" i="2"/>
  <c r="W32" i="2"/>
  <c r="Y32" i="2"/>
  <c r="Y54" i="2"/>
  <c r="J6" i="1"/>
  <c r="J3" i="1"/>
  <c r="J12" i="1"/>
  <c r="J4" i="1"/>
  <c r="J11" i="1"/>
  <c r="J10" i="1"/>
  <c r="J13" i="1"/>
  <c r="J9" i="1"/>
  <c r="J5" i="1"/>
  <c r="J8" i="1"/>
  <c r="P21" i="2"/>
  <c r="B29" i="2"/>
  <c r="X25" i="2"/>
  <c r="W25" i="2"/>
  <c r="Y25" i="2"/>
  <c r="Y27" i="2"/>
  <c r="Y9" i="2"/>
  <c r="P26" i="2"/>
  <c r="P29" i="2"/>
  <c r="X9" i="2"/>
  <c r="C9" i="1"/>
  <c r="C10" i="1"/>
  <c r="N50" i="2"/>
  <c r="M50" i="2"/>
  <c r="X27" i="2"/>
  <c r="K50" i="2"/>
  <c r="F27" i="2"/>
  <c r="G27" i="2"/>
  <c r="I27" i="2"/>
  <c r="J27" i="2"/>
  <c r="K27" i="2"/>
  <c r="M27" i="2"/>
  <c r="N27" i="2"/>
  <c r="V50" i="2"/>
  <c r="V53" i="2" s="1"/>
  <c r="W50" i="2"/>
  <c r="X50" i="2"/>
  <c r="X53" i="2" s="1"/>
  <c r="V40" i="2"/>
  <c r="V45" i="2" s="1"/>
  <c r="W40" i="2"/>
  <c r="W45" i="2" s="1"/>
  <c r="X40" i="2"/>
  <c r="X45" i="2" s="1"/>
  <c r="B45" i="2"/>
  <c r="B50" i="2"/>
  <c r="B53" i="2" s="1"/>
  <c r="C50" i="2"/>
  <c r="C53" i="2" s="1"/>
  <c r="E50" i="2"/>
  <c r="F50" i="2"/>
  <c r="F53" i="2" s="1"/>
  <c r="G50" i="2"/>
  <c r="G53" i="2" s="1"/>
  <c r="I50" i="2"/>
  <c r="C45" i="2"/>
  <c r="E45" i="2"/>
  <c r="F45" i="2"/>
  <c r="G45" i="2"/>
  <c r="I45" i="2"/>
  <c r="J45" i="2"/>
  <c r="K45" i="2"/>
  <c r="M45" i="2"/>
  <c r="N45" i="2"/>
  <c r="O45" i="2"/>
  <c r="W9" i="2"/>
  <c r="V9" i="2"/>
  <c r="V12" i="2" s="1"/>
  <c r="C9" i="2"/>
  <c r="E9" i="2"/>
  <c r="E12" i="2" s="1"/>
  <c r="E15" i="2" s="1"/>
  <c r="G9" i="2"/>
  <c r="I9" i="2"/>
  <c r="I12" i="2" s="1"/>
  <c r="I15" i="2" s="1"/>
  <c r="J9" i="2"/>
  <c r="J12" i="2" s="1"/>
  <c r="J15" i="2" s="1"/>
  <c r="K9" i="2"/>
  <c r="K12" i="2" s="1"/>
  <c r="K15" i="2" s="1"/>
  <c r="M9" i="2"/>
  <c r="M12" i="2" s="1"/>
  <c r="M15" i="2" s="1"/>
  <c r="N9" i="2"/>
  <c r="N12" i="2" s="1"/>
  <c r="N15" i="2" s="1"/>
  <c r="O9" i="2"/>
  <c r="O12" i="2" s="1"/>
  <c r="O15" i="2" s="1"/>
  <c r="B12" i="2"/>
  <c r="B15" i="2" s="1"/>
  <c r="B21" i="2" s="1"/>
  <c r="Y12" i="2" l="1"/>
  <c r="Y15" i="2" s="1"/>
  <c r="Y26" i="2" s="1"/>
  <c r="Y10" i="2"/>
  <c r="Y18" i="2" s="1"/>
  <c r="Y23" i="2" s="1"/>
  <c r="X12" i="2"/>
  <c r="X15" i="2" s="1"/>
  <c r="X21" i="2" s="1"/>
  <c r="C13" i="1" s="1"/>
  <c r="X10" i="2"/>
  <c r="X18" i="2" s="1"/>
  <c r="X23" i="2" s="1"/>
  <c r="O30" i="2"/>
  <c r="W12" i="2"/>
  <c r="W15" i="2" s="1"/>
  <c r="W21" i="2" s="1"/>
  <c r="W10" i="2"/>
  <c r="W18" i="2" s="1"/>
  <c r="W23" i="2" s="1"/>
  <c r="X54" i="2"/>
  <c r="Y21" i="2"/>
  <c r="Z30" i="2" s="1"/>
  <c r="E29" i="2"/>
  <c r="E21" i="2"/>
  <c r="N29" i="2"/>
  <c r="N21" i="2"/>
  <c r="R30" i="2" s="1"/>
  <c r="M21" i="2"/>
  <c r="Q30" i="2" s="1"/>
  <c r="M29" i="2"/>
  <c r="Y29" i="2"/>
  <c r="K21" i="2"/>
  <c r="K29" i="2"/>
  <c r="O21" i="2"/>
  <c r="O29" i="2"/>
  <c r="X29" i="2"/>
  <c r="J29" i="2"/>
  <c r="J21" i="2"/>
  <c r="I29" i="2"/>
  <c r="I21" i="2"/>
  <c r="G12" i="2"/>
  <c r="G15" i="2" s="1"/>
  <c r="G21" i="2" s="1"/>
  <c r="F12" i="2"/>
  <c r="C12" i="2"/>
  <c r="C15" i="2" s="1"/>
  <c r="C21" i="2" s="1"/>
  <c r="O50" i="2"/>
  <c r="O53" i="2" s="1"/>
  <c r="J50" i="2"/>
  <c r="J53" i="2" s="1"/>
  <c r="W53" i="2"/>
  <c r="W54" i="2" s="1"/>
  <c r="D45" i="2"/>
  <c r="C11" i="1"/>
  <c r="N53" i="2"/>
  <c r="M53" i="2"/>
  <c r="H9" i="2"/>
  <c r="H27" i="2"/>
  <c r="L27" i="2"/>
  <c r="L9" i="2"/>
  <c r="L12" i="2" s="1"/>
  <c r="L15" i="2" s="1"/>
  <c r="P30" i="2" s="1"/>
  <c r="L50" i="2"/>
  <c r="L53" i="2" s="1"/>
  <c r="L45" i="2"/>
  <c r="K53" i="2"/>
  <c r="I53" i="2"/>
  <c r="H50" i="2"/>
  <c r="H53" i="2" s="1"/>
  <c r="D50" i="2"/>
  <c r="D53" i="2" s="1"/>
  <c r="H45" i="2"/>
  <c r="E53" i="2"/>
  <c r="D9" i="2"/>
  <c r="C8" i="1"/>
  <c r="C12" i="1" s="1"/>
  <c r="Y30" i="2" l="1"/>
  <c r="W29" i="2"/>
  <c r="F15" i="2"/>
  <c r="F21" i="2" s="1"/>
  <c r="F18" i="2"/>
  <c r="F23" i="2" s="1"/>
  <c r="C29" i="2"/>
  <c r="L29" i="2"/>
  <c r="L21" i="2"/>
  <c r="G30" i="2"/>
  <c r="G29" i="2"/>
  <c r="H12" i="2"/>
  <c r="D12" i="2"/>
  <c r="D15" i="2" s="1"/>
  <c r="D21" i="2" s="1"/>
  <c r="J26" i="2"/>
  <c r="N30" i="2"/>
  <c r="O26" i="2"/>
  <c r="I26" i="2"/>
  <c r="I30" i="2"/>
  <c r="X26" i="2"/>
  <c r="N26" i="2"/>
  <c r="M26" i="2"/>
  <c r="M30" i="2"/>
  <c r="W30" i="2"/>
  <c r="X30" i="2"/>
  <c r="W26" i="2"/>
  <c r="G26" i="2"/>
  <c r="E26" i="2"/>
  <c r="V26" i="2"/>
  <c r="C26" i="2"/>
  <c r="B26" i="2"/>
  <c r="J30" i="2" l="1"/>
  <c r="F30" i="2"/>
  <c r="F26" i="2"/>
  <c r="F29" i="2"/>
  <c r="H29" i="2"/>
  <c r="H15" i="2"/>
  <c r="H26" i="2" s="1"/>
  <c r="L26" i="2"/>
  <c r="K26" i="2"/>
  <c r="K30" i="2"/>
  <c r="L30" i="2" l="1"/>
  <c r="D26" i="2"/>
  <c r="D29" i="2"/>
  <c r="H30" i="2"/>
  <c r="H21" i="2" l="1"/>
</calcChain>
</file>

<file path=xl/sharedStrings.xml><?xml version="1.0" encoding="utf-8"?>
<sst xmlns="http://schemas.openxmlformats.org/spreadsheetml/2006/main" count="222" uniqueCount="197">
  <si>
    <t>Price</t>
  </si>
  <si>
    <t>Shares</t>
  </si>
  <si>
    <t>MC</t>
  </si>
  <si>
    <t>CASH</t>
  </si>
  <si>
    <t>DEBT</t>
  </si>
  <si>
    <t>EV</t>
  </si>
  <si>
    <t>Q222</t>
  </si>
  <si>
    <t>Q322</t>
  </si>
  <si>
    <t>Q422</t>
  </si>
  <si>
    <t>Q123</t>
  </si>
  <si>
    <t>Q221</t>
  </si>
  <si>
    <t>Q321</t>
  </si>
  <si>
    <t>Q421</t>
  </si>
  <si>
    <t>Q122</t>
  </si>
  <si>
    <t>FY21</t>
  </si>
  <si>
    <t>FY22</t>
  </si>
  <si>
    <t>FY23</t>
  </si>
  <si>
    <t>Revenue</t>
  </si>
  <si>
    <t>FY20</t>
  </si>
  <si>
    <t>EBITDA</t>
  </si>
  <si>
    <t>Income Tax</t>
  </si>
  <si>
    <t>Net Income</t>
  </si>
  <si>
    <t>EPS</t>
  </si>
  <si>
    <t>Operational Income</t>
  </si>
  <si>
    <t>D&amp;A</t>
  </si>
  <si>
    <t>Cash</t>
  </si>
  <si>
    <t>AR</t>
  </si>
  <si>
    <t>Other</t>
  </si>
  <si>
    <t>Total Assets</t>
  </si>
  <si>
    <t>Total Liablities</t>
  </si>
  <si>
    <t>AP</t>
  </si>
  <si>
    <t>Gross Margin</t>
  </si>
  <si>
    <t>Net Margin</t>
  </si>
  <si>
    <t>Revenue y/y</t>
  </si>
  <si>
    <t>FY24</t>
  </si>
  <si>
    <t>Q121</t>
  </si>
  <si>
    <t>Q420</t>
  </si>
  <si>
    <t>Q320</t>
  </si>
  <si>
    <t>Q220</t>
  </si>
  <si>
    <t>Net Income y/y</t>
  </si>
  <si>
    <t>Q223</t>
  </si>
  <si>
    <t>Net CASH</t>
  </si>
  <si>
    <t>Main</t>
  </si>
  <si>
    <t>Net Cash</t>
  </si>
  <si>
    <t>Net Inc</t>
  </si>
  <si>
    <t>SBE</t>
  </si>
  <si>
    <t>deff. Tax</t>
  </si>
  <si>
    <t>Other Ass</t>
  </si>
  <si>
    <t>Accrued Exp</t>
  </si>
  <si>
    <t>Capex</t>
  </si>
  <si>
    <t>Proc. PP&amp;E</t>
  </si>
  <si>
    <t>Rep. Debt</t>
  </si>
  <si>
    <t>Rep. Finance</t>
  </si>
  <si>
    <t>Taxes</t>
  </si>
  <si>
    <t>FX</t>
  </si>
  <si>
    <t>Net Cash Chance</t>
  </si>
  <si>
    <t>CC EOP</t>
  </si>
  <si>
    <t>CC BOP</t>
  </si>
  <si>
    <t>Q323</t>
  </si>
  <si>
    <t>Q423</t>
  </si>
  <si>
    <t>Last Update</t>
  </si>
  <si>
    <t>Management</t>
  </si>
  <si>
    <t>EG1</t>
  </si>
  <si>
    <t>EG2</t>
  </si>
  <si>
    <t>PE1</t>
  </si>
  <si>
    <t>PE2</t>
  </si>
  <si>
    <t>PE0</t>
  </si>
  <si>
    <t>Shareholders</t>
  </si>
  <si>
    <t>% Out</t>
  </si>
  <si>
    <t>Date</t>
  </si>
  <si>
    <t>Close</t>
  </si>
  <si>
    <t>Event</t>
  </si>
  <si>
    <t>Earnings</t>
  </si>
  <si>
    <t>Driving business factors:</t>
  </si>
  <si>
    <t>xxx</t>
  </si>
  <si>
    <t>Insiders</t>
  </si>
  <si>
    <t>Comment</t>
  </si>
  <si>
    <t>Role</t>
  </si>
  <si>
    <t>COGS</t>
  </si>
  <si>
    <t>Current Assets</t>
  </si>
  <si>
    <t>Total Current Liabilities</t>
  </si>
  <si>
    <t>Q124</t>
  </si>
  <si>
    <t>EPS exp.</t>
  </si>
  <si>
    <t>Rev. Exp.</t>
  </si>
  <si>
    <t>Morgan Stanley</t>
  </si>
  <si>
    <t>R&amp;D</t>
  </si>
  <si>
    <t>Financial Income/Exp</t>
  </si>
  <si>
    <t>PP&amp;E</t>
  </si>
  <si>
    <t>Right-of-use Asset</t>
  </si>
  <si>
    <t>Share-based comp</t>
  </si>
  <si>
    <t>adj. EBITDA</t>
  </si>
  <si>
    <t>adj. EBITDA Margin</t>
  </si>
  <si>
    <t>MNDY</t>
  </si>
  <si>
    <t>Co-Founder, Co-CEO &amp; Director</t>
  </si>
  <si>
    <t>Chief Financial Officer</t>
  </si>
  <si>
    <t>Chief Product &amp; Technology Officer</t>
  </si>
  <si>
    <t>Chief Revenue Officer</t>
  </si>
  <si>
    <t>Vice President of Operations</t>
  </si>
  <si>
    <t>Ms. Shiran Nawi</t>
  </si>
  <si>
    <t>Chief People &amp; Legal Officer</t>
  </si>
  <si>
    <t>GM of North America &amp; Senior VP of Sales</t>
  </si>
  <si>
    <t>Eran Zinman</t>
  </si>
  <si>
    <t>Roy Mann</t>
  </si>
  <si>
    <t>Eliran Glazer</t>
  </si>
  <si>
    <t>Daniel Lereya</t>
  </si>
  <si>
    <t>Yoni Osherov</t>
  </si>
  <si>
    <t>Ouriel Weisz</t>
  </si>
  <si>
    <t>Jamison Powell</t>
  </si>
  <si>
    <t>Sonnipe Ltd</t>
  </si>
  <si>
    <t>8.61%</t>
  </si>
  <si>
    <t>Price (T.Rowe) Associates Inc</t>
  </si>
  <si>
    <t>6.49%</t>
  </si>
  <si>
    <t>Franklin Resources, Inc.</t>
  </si>
  <si>
    <t>4.54%</t>
  </si>
  <si>
    <t>Voya Investment Management LLC</t>
  </si>
  <si>
    <t>3.39%</t>
  </si>
  <si>
    <t>Insight Holdings Group, LLC</t>
  </si>
  <si>
    <t>3.35%</t>
  </si>
  <si>
    <t>2.68%</t>
  </si>
  <si>
    <t>Blackrock Inc.</t>
  </si>
  <si>
    <t>2.32%</t>
  </si>
  <si>
    <t>Whale Rock Capital Management LLC</t>
  </si>
  <si>
    <t>2.17%</t>
  </si>
  <si>
    <t>Renaissance Technologies, LLC</t>
  </si>
  <si>
    <t>2.09%</t>
  </si>
  <si>
    <t>1832 Asset Management L.P.</t>
  </si>
  <si>
    <t>1.78%</t>
  </si>
  <si>
    <t>Sales &amp; Marketing</t>
  </si>
  <si>
    <t>G&amp;A</t>
  </si>
  <si>
    <t>Dividends</t>
  </si>
  <si>
    <t>Non-GAAP EPS</t>
  </si>
  <si>
    <t>Prepaid Expense + other</t>
  </si>
  <si>
    <t>Operating Lease</t>
  </si>
  <si>
    <t>Accrued Expense + other</t>
  </si>
  <si>
    <t>Deferred Revenue</t>
  </si>
  <si>
    <t>Sales &amp; Marketing y/y</t>
  </si>
  <si>
    <t>Non-GAAP Shares</t>
  </si>
  <si>
    <t>Q224</t>
  </si>
  <si>
    <t>FY25</t>
  </si>
  <si>
    <t>USA</t>
  </si>
  <si>
    <t>EMEA</t>
  </si>
  <si>
    <t>UK</t>
  </si>
  <si>
    <t>RoW</t>
  </si>
  <si>
    <t>Equity</t>
  </si>
  <si>
    <t>ARR</t>
  </si>
  <si>
    <t>Customer Growth</t>
  </si>
  <si>
    <t>Shiran Nawi</t>
  </si>
  <si>
    <t>Avishai Abrahami</t>
  </si>
  <si>
    <t>Aviad Eyal</t>
  </si>
  <si>
    <t>Jeff Horing</t>
  </si>
  <si>
    <t>Ronen Faier</t>
  </si>
  <si>
    <t>Gili Iohan</t>
  </si>
  <si>
    <t>R&amp;D part of Rev</t>
  </si>
  <si>
    <t>S&amp;M part of Rev</t>
  </si>
  <si>
    <t>G&amp;A part of Rev</t>
  </si>
  <si>
    <t>Non-GAAP OpInc</t>
  </si>
  <si>
    <t>FY19</t>
  </si>
  <si>
    <t>w/w</t>
  </si>
  <si>
    <t>Close to Close Weekly returns</t>
  </si>
  <si>
    <t>Intervals</t>
  </si>
  <si>
    <t>Bin</t>
  </si>
  <si>
    <t>Frequency</t>
  </si>
  <si>
    <t>Range</t>
  </si>
  <si>
    <t>Probability</t>
  </si>
  <si>
    <t>Cumulative Percentage</t>
  </si>
  <si>
    <t>More</t>
  </si>
  <si>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</si>
  <si>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</si>
  <si>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</si>
  <si>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</si>
  <si>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</si>
  <si>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</si>
  <si>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</si>
  <si>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</si>
  <si>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</si>
  <si>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</si>
  <si>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</si>
  <si>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</si>
  <si>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</si>
  <si>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Average Returns</t>
  </si>
  <si>
    <t>Frequency %</t>
  </si>
  <si>
    <t>Frequency Adjusted Return</t>
  </si>
  <si>
    <t>Positive Data Points</t>
  </si>
  <si>
    <t>Negative Data Points</t>
  </si>
  <si>
    <t>Zero</t>
  </si>
  <si>
    <t>Std Dev</t>
  </si>
  <si>
    <t>Upper Bound</t>
  </si>
  <si>
    <t>Lower Bound</t>
  </si>
  <si>
    <t>Actual Count</t>
  </si>
  <si>
    <t>Actual % Count</t>
  </si>
  <si>
    <t>Normal % Count</t>
  </si>
  <si>
    <t>Percentiles</t>
  </si>
  <si>
    <t>Stop %</t>
  </si>
  <si>
    <t>Target %</t>
  </si>
  <si>
    <t>Current Price</t>
  </si>
  <si>
    <t>Stop Price</t>
  </si>
  <si>
    <t>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</si>
</sst>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7" borderId="9" applyNumberFormat="0" applyAlignment="0" applyProtection="0"/>
  </cellStyleXfs>
  <cellXfs count="127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1" applyFont="1"/>
    <xf numFmtId="9" fontId="0" fillId="0" borderId="0" xfId="0" applyNumberFormat="1"/>
    <xf numFmtId="0" fontId="0" fillId="0" borderId="1" xfId="0" applyBorder="1"/>
    <xf numFmtId="9" fontId="0" fillId="0" borderId="2" xfId="1" applyFont="1" applyBorder="1"/>
    <xf numFmtId="9" fontId="0" fillId="0" borderId="2" xfId="0" applyNumberFormat="1" applyBorder="1"/>
    <xf numFmtId="0" fontId="4" fillId="0" borderId="0" xfId="2"/>
    <xf numFmtId="0" fontId="5" fillId="0" borderId="0" xfId="0" applyFont="1"/>
    <xf numFmtId="3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0" fontId="2" fillId="0" borderId="2" xfId="0" applyFont="1" applyBorder="1"/>
    <xf numFmtId="49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8" xfId="0" applyBorder="1"/>
    <xf numFmtId="0" fontId="0" fillId="2" borderId="3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0" xfId="0" applyFill="1"/>
    <xf numFmtId="0" fontId="0" fillId="5" borderId="3" xfId="0" applyFill="1" applyBorder="1"/>
    <xf numFmtId="2" fontId="2" fillId="0" borderId="0" xfId="0" applyNumberFormat="1" applyFont="1" applyAlignment="1">
      <alignment horizontal="right"/>
    </xf>
    <xf numFmtId="2" fontId="2" fillId="0" borderId="2" xfId="0" applyNumberFormat="1" applyFont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9" fontId="0" fillId="0" borderId="0" xfId="1" applyFont="1" applyBorder="1"/>
    <xf numFmtId="3" fontId="5" fillId="0" borderId="0" xfId="0" applyNumberFormat="1" applyFont="1"/>
    <xf numFmtId="2" fontId="5" fillId="0" borderId="0" xfId="0" applyNumberFormat="1" applyFont="1"/>
    <xf numFmtId="164" fontId="0" fillId="0" borderId="6" xfId="0" applyNumberFormat="1" applyBorder="1"/>
    <xf numFmtId="10" fontId="0" fillId="0" borderId="2" xfId="1" applyNumberFormat="1" applyFont="1" applyBorder="1"/>
    <xf numFmtId="3" fontId="5" fillId="0" borderId="2" xfId="0" applyNumberFormat="1" applyFont="1" applyBorder="1"/>
    <xf numFmtId="2" fontId="5" fillId="0" borderId="2" xfId="0" applyNumberFormat="1" applyFont="1" applyBorder="1"/>
    <xf numFmtId="0" fontId="0" fillId="6" borderId="0" xfId="0" applyFill="1"/>
    <xf numFmtId="3" fontId="0" fillId="6" borderId="0" xfId="0" applyNumberFormat="1" applyFill="1"/>
    <xf numFmtId="0" fontId="2" fillId="6" borderId="0" xfId="0" applyFont="1" applyFill="1"/>
    <xf numFmtId="3" fontId="2" fillId="6" borderId="0" xfId="0" applyNumberFormat="1" applyFont="1" applyFill="1"/>
    <xf numFmtId="3" fontId="0" fillId="6" borderId="2" xfId="0" applyNumberFormat="1" applyFill="1" applyBorder="1"/>
    <xf numFmtId="3" fontId="2" fillId="6" borderId="2" xfId="0" applyNumberFormat="1" applyFont="1" applyFill="1" applyBorder="1"/>
    <xf numFmtId="0" fontId="5" fillId="0" borderId="2" xfId="0" applyFont="1" applyBorder="1"/>
    <xf numFmtId="0" fontId="0" fillId="3" borderId="7" xfId="0" applyFill="1" applyBorder="1" applyAlignment="1">
      <alignment horizontal="right"/>
    </xf>
    <xf numFmtId="1" fontId="0" fillId="0" borderId="0" xfId="1" applyNumberFormat="1" applyFont="1"/>
    <xf numFmtId="10" fontId="0" fillId="0" borderId="0" xfId="1" applyNumberFormat="1" applyFont="1"/>
    <xf numFmtId="0" fontId="8" fillId="9" borderId="13" xfId="0" applyFont="1" applyFill="1" applyBorder="1"/>
    <xf numFmtId="0" fontId="8" fillId="9" borderId="14" xfId="0" applyFont="1" applyFill="1" applyBorder="1"/>
    <xf numFmtId="0" fontId="8" fillId="9" borderId="15" xfId="0" applyFont="1" applyFill="1" applyBorder="1"/>
    <xf numFmtId="0" fontId="8" fillId="9" borderId="16" xfId="0" applyFont="1" applyFill="1" applyBorder="1"/>
    <xf numFmtId="0" fontId="9" fillId="9" borderId="17" xfId="0" applyFont="1" applyFill="1" applyBorder="1" applyAlignment="1">
      <alignment horizontal="center"/>
    </xf>
    <xf numFmtId="0" fontId="9" fillId="9" borderId="18" xfId="0" applyFont="1" applyFill="1" applyBorder="1" applyAlignment="1">
      <alignment horizontal="center"/>
    </xf>
    <xf numFmtId="0" fontId="8" fillId="9" borderId="19" xfId="0" applyFont="1" applyFill="1" applyBorder="1"/>
    <xf numFmtId="0" fontId="8" fillId="9" borderId="20" xfId="0" applyFont="1" applyFill="1" applyBorder="1"/>
    <xf numFmtId="166" fontId="8" fillId="9" borderId="21" xfId="0" applyNumberFormat="1" applyFont="1" applyFill="1" applyBorder="1"/>
    <xf numFmtId="166" fontId="8" fillId="9" borderId="22" xfId="0" applyNumberFormat="1" applyFont="1" applyFill="1" applyBorder="1"/>
    <xf numFmtId="0" fontId="8" fillId="9" borderId="22" xfId="0" applyFont="1" applyFill="1" applyBorder="1"/>
    <xf numFmtId="10" fontId="8" fillId="9" borderId="22" xfId="0" applyNumberFormat="1" applyFont="1" applyFill="1" applyBorder="1"/>
    <xf numFmtId="10" fontId="8" fillId="9" borderId="23" xfId="0" applyNumberFormat="1" applyFont="1" applyFill="1" applyBorder="1"/>
    <xf numFmtId="166" fontId="8" fillId="9" borderId="24" xfId="0" applyNumberFormat="1" applyFont="1" applyFill="1" applyBorder="1"/>
    <xf numFmtId="166" fontId="8" fillId="9" borderId="25" xfId="0" applyNumberFormat="1" applyFont="1" applyFill="1" applyBorder="1"/>
    <xf numFmtId="0" fontId="8" fillId="9" borderId="25" xfId="0" applyFont="1" applyFill="1" applyBorder="1"/>
    <xf numFmtId="0" fontId="8" fillId="9" borderId="25" xfId="0" quotePrefix="1" applyFont="1" applyFill="1" applyBorder="1"/>
    <xf numFmtId="10" fontId="8" fillId="9" borderId="25" xfId="0" applyNumberFormat="1" applyFont="1" applyFill="1" applyBorder="1"/>
    <xf numFmtId="10" fontId="8" fillId="9" borderId="26" xfId="0" applyNumberFormat="1" applyFont="1" applyFill="1" applyBorder="1"/>
    <xf numFmtId="0" fontId="8" fillId="9" borderId="27" xfId="0" applyFont="1" applyFill="1" applyBorder="1"/>
    <xf numFmtId="0" fontId="8" fillId="9" borderId="28" xfId="0" applyFont="1" applyFill="1" applyBorder="1"/>
    <xf numFmtId="10" fontId="8" fillId="9" borderId="29" xfId="0" applyNumberFormat="1" applyFont="1" applyFill="1" applyBorder="1"/>
    <xf numFmtId="166" fontId="8" fillId="9" borderId="30" xfId="0" applyNumberFormat="1" applyFont="1" applyFill="1" applyBorder="1"/>
    <xf numFmtId="0" fontId="8" fillId="9" borderId="31" xfId="0" applyFont="1" applyFill="1" applyBorder="1"/>
    <xf numFmtId="166" fontId="8" fillId="9" borderId="35" xfId="0" applyNumberFormat="1" applyFont="1" applyFill="1" applyBorder="1"/>
    <xf numFmtId="166" fontId="8" fillId="9" borderId="13" xfId="0" applyNumberFormat="1" applyFont="1" applyFill="1" applyBorder="1"/>
    <xf numFmtId="166" fontId="8" fillId="9" borderId="36" xfId="0" applyNumberFormat="1" applyFont="1" applyFill="1" applyBorder="1"/>
    <xf numFmtId="166" fontId="8" fillId="9" borderId="37" xfId="0" applyNumberFormat="1" applyFont="1" applyFill="1" applyBorder="1"/>
    <xf numFmtId="0" fontId="10" fillId="9" borderId="22" xfId="0" applyFont="1" applyFill="1" applyBorder="1"/>
    <xf numFmtId="0" fontId="10" fillId="9" borderId="23" xfId="0" applyFont="1" applyFill="1" applyBorder="1"/>
    <xf numFmtId="166" fontId="10" fillId="9" borderId="24" xfId="0" applyNumberFormat="1" applyFont="1" applyFill="1" applyBorder="1"/>
    <xf numFmtId="166" fontId="10" fillId="9" borderId="30" xfId="0" applyNumberFormat="1" applyFont="1" applyFill="1" applyBorder="1"/>
    <xf numFmtId="10" fontId="8" fillId="9" borderId="28" xfId="0" applyNumberFormat="1" applyFont="1" applyFill="1" applyBorder="1"/>
    <xf numFmtId="0" fontId="8" fillId="9" borderId="0" xfId="0" applyFont="1" applyFill="1"/>
    <xf numFmtId="1" fontId="8" fillId="9" borderId="24" xfId="0" applyNumberFormat="1" applyFont="1" applyFill="1" applyBorder="1"/>
    <xf numFmtId="10" fontId="8" fillId="9" borderId="38" xfId="0" applyNumberFormat="1" applyFont="1" applyFill="1" applyBorder="1"/>
    <xf numFmtId="9" fontId="10" fillId="9" borderId="39" xfId="0" applyNumberFormat="1" applyFont="1" applyFill="1" applyBorder="1"/>
    <xf numFmtId="10" fontId="0" fillId="9" borderId="41" xfId="0" applyNumberFormat="1" applyFill="1" applyBorder="1" applyAlignment="1">
      <alignment horizontal="centerContinuous"/>
    </xf>
    <xf numFmtId="9" fontId="10" fillId="9" borderId="42" xfId="0" applyNumberFormat="1" applyFont="1" applyFill="1" applyBorder="1"/>
    <xf numFmtId="10" fontId="0" fillId="9" borderId="40" xfId="0" applyNumberFormat="1" applyFill="1" applyBorder="1" applyAlignment="1">
      <alignment horizontal="centerContinuous"/>
    </xf>
    <xf numFmtId="9" fontId="10" fillId="9" borderId="35" xfId="0" applyNumberFormat="1" applyFont="1" applyFill="1" applyBorder="1"/>
    <xf numFmtId="10" fontId="0" fillId="9" borderId="2" xfId="0" applyNumberFormat="1" applyFill="1" applyBorder="1" applyAlignment="1">
      <alignment horizontal="centerContinuous"/>
    </xf>
    <xf numFmtId="9" fontId="10" fillId="9" borderId="1" xfId="0" applyNumberFormat="1" applyFont="1" applyFill="1" applyBorder="1"/>
    <xf numFmtId="10" fontId="0" fillId="9" borderId="31" xfId="0" applyNumberFormat="1" applyFill="1" applyBorder="1" applyAlignment="1">
      <alignment horizontal="centerContinuous"/>
    </xf>
    <xf numFmtId="9" fontId="10" fillId="9" borderId="13" xfId="0" applyNumberFormat="1" applyFont="1" applyFill="1" applyBorder="1"/>
    <xf numFmtId="10" fontId="0" fillId="9" borderId="43" xfId="0" applyNumberFormat="1" applyFill="1" applyBorder="1" applyAlignment="1">
      <alignment horizontal="centerContinuous"/>
    </xf>
    <xf numFmtId="0" fontId="8" fillId="9" borderId="44" xfId="0" applyFont="1" applyFill="1" applyBorder="1"/>
    <xf numFmtId="0" fontId="0" fillId="9" borderId="43" xfId="0" applyFill="1" applyBorder="1"/>
    <xf numFmtId="9" fontId="10" fillId="9" borderId="44" xfId="0" applyNumberFormat="1" applyFont="1" applyFill="1" applyBorder="1"/>
    <xf numFmtId="10" fontId="0" fillId="9" borderId="15" xfId="0" applyNumberFormat="1" applyFill="1" applyBorder="1" applyAlignment="1">
      <alignment horizontal="centerContinuous"/>
    </xf>
    <xf numFmtId="0" fontId="10" fillId="0" borderId="21" xfId="0" applyFont="1" applyBorder="1"/>
    <xf numFmtId="9" fontId="6" fillId="7" borderId="23" xfId="3" applyNumberFormat="1" applyBorder="1"/>
    <xf numFmtId="0" fontId="10" fillId="0" borderId="27" xfId="0" applyFont="1" applyBorder="1"/>
    <xf numFmtId="9" fontId="6" fillId="7" borderId="29" xfId="3" applyNumberFormat="1" applyBorder="1"/>
    <xf numFmtId="0" fontId="8" fillId="0" borderId="0" xfId="0" applyFont="1"/>
    <xf numFmtId="2" fontId="6" fillId="7" borderId="23" xfId="3" applyNumberFormat="1" applyBorder="1"/>
    <xf numFmtId="0" fontId="10" fillId="0" borderId="24" xfId="0" applyFont="1" applyBorder="1"/>
    <xf numFmtId="2" fontId="0" fillId="0" borderId="26" xfId="0" applyNumberFormat="1" applyBorder="1"/>
    <xf numFmtId="2" fontId="0" fillId="0" borderId="29" xfId="0" applyNumberFormat="1" applyBorder="1"/>
    <xf numFmtId="165" fontId="8" fillId="9" borderId="2" xfId="0" applyNumberFormat="1" applyFont="1" applyFill="1" applyBorder="1"/>
    <xf numFmtId="2" fontId="8" fillId="9" borderId="2" xfId="0" applyNumberFormat="1" applyFont="1" applyFill="1" applyBorder="1"/>
    <xf numFmtId="0" fontId="8" fillId="9" borderId="43" xfId="0" applyFont="1" applyFill="1" applyBorder="1"/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166" fontId="8" fillId="9" borderId="32" xfId="0" applyNumberFormat="1" applyFont="1" applyFill="1" applyBorder="1" applyAlignment="1">
      <alignment horizontal="center"/>
    </xf>
    <xf numFmtId="166" fontId="8" fillId="9" borderId="33" xfId="0" applyNumberFormat="1" applyFont="1" applyFill="1" applyBorder="1" applyAlignment="1">
      <alignment horizontal="center"/>
    </xf>
    <xf numFmtId="166" fontId="8" fillId="9" borderId="34" xfId="0" applyNumberFormat="1" applyFont="1" applyFill="1" applyBorder="1" applyAlignment="1">
      <alignment horizontal="center"/>
    </xf>
    <xf numFmtId="166" fontId="8" fillId="9" borderId="4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</cellXfs>
  <cellStyles count="4">
    <cellStyle name="Hyperlink" xfId="2" builtinId="8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B9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Model!$A$3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4A9-4BC3-B844-B084D47DE3AD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A9-4BC3-B844-B084D47DE3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Model!$B$2:$Q$2</c:f>
              <c:strCache>
                <c:ptCount val="16"/>
                <c:pt idx="0">
                  <c:v>Q220</c:v>
                </c:pt>
                <c:pt idx="1">
                  <c:v>Q320</c:v>
                </c:pt>
                <c:pt idx="2">
                  <c:v>Q420</c:v>
                </c:pt>
                <c:pt idx="3">
                  <c:v>Q121</c:v>
                </c:pt>
                <c:pt idx="4">
                  <c:v>Q221</c:v>
                </c:pt>
                <c:pt idx="5">
                  <c:v>Q321</c:v>
                </c:pt>
                <c:pt idx="6">
                  <c:v>Q421</c:v>
                </c:pt>
                <c:pt idx="7">
                  <c:v>Q122</c:v>
                </c:pt>
                <c:pt idx="8">
                  <c:v>Q222</c:v>
                </c:pt>
                <c:pt idx="9">
                  <c:v>Q322</c:v>
                </c:pt>
                <c:pt idx="10">
                  <c:v>Q422</c:v>
                </c:pt>
                <c:pt idx="11">
                  <c:v>Q123</c:v>
                </c:pt>
                <c:pt idx="12">
                  <c:v>Q223</c:v>
                </c:pt>
                <c:pt idx="13">
                  <c:v>Q323</c:v>
                </c:pt>
                <c:pt idx="14">
                  <c:v>Q423</c:v>
                </c:pt>
                <c:pt idx="15">
                  <c:v>Q124</c:v>
                </c:pt>
              </c:strCache>
            </c:strRef>
          </c:cat>
          <c:val>
            <c:numRef>
              <c:f>Model!$B$3:$Q$3</c:f>
              <c:numCache>
                <c:formatCode>#,##0</c:formatCode>
                <c:ptCount val="16"/>
                <c:pt idx="0">
                  <c:v>36460</c:v>
                </c:pt>
                <c:pt idx="1">
                  <c:v>42592</c:v>
                </c:pt>
                <c:pt idx="2">
                  <c:v>50142</c:v>
                </c:pt>
                <c:pt idx="3">
                  <c:v>58972</c:v>
                </c:pt>
                <c:pt idx="4">
                  <c:v>70615</c:v>
                </c:pt>
                <c:pt idx="5">
                  <c:v>83018</c:v>
                </c:pt>
                <c:pt idx="6">
                  <c:v>95545</c:v>
                </c:pt>
                <c:pt idx="7">
                  <c:v>108497</c:v>
                </c:pt>
                <c:pt idx="8">
                  <c:v>123718</c:v>
                </c:pt>
                <c:pt idx="9">
                  <c:v>136893</c:v>
                </c:pt>
                <c:pt idx="10">
                  <c:v>149921</c:v>
                </c:pt>
                <c:pt idx="11">
                  <c:v>162256</c:v>
                </c:pt>
                <c:pt idx="12">
                  <c:v>175679</c:v>
                </c:pt>
                <c:pt idx="13">
                  <c:v>189190</c:v>
                </c:pt>
                <c:pt idx="14">
                  <c:v>202570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59C-BD1A-99CA96EE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Model!$A$27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Model!$B$27:$Q$27</c:f>
              <c:numCache>
                <c:formatCode>0%</c:formatCode>
                <c:ptCount val="16"/>
                <c:pt idx="4">
                  <c:v>0.93678003291278111</c:v>
                </c:pt>
                <c:pt idx="5">
                  <c:v>0.94914537941397437</c:v>
                </c:pt>
                <c:pt idx="6">
                  <c:v>0.90548841290734305</c:v>
                </c:pt>
                <c:pt idx="7">
                  <c:v>0.83980533134368862</c:v>
                </c:pt>
                <c:pt idx="8">
                  <c:v>0.75200736387453082</c:v>
                </c:pt>
                <c:pt idx="9">
                  <c:v>0.64895564817268547</c:v>
                </c:pt>
                <c:pt idx="10">
                  <c:v>0.56911403003820182</c:v>
                </c:pt>
                <c:pt idx="11">
                  <c:v>0.4954883545167148</c:v>
                </c:pt>
                <c:pt idx="12">
                  <c:v>0.41999547357700573</c:v>
                </c:pt>
                <c:pt idx="13">
                  <c:v>0.38202829947477235</c:v>
                </c:pt>
                <c:pt idx="14">
                  <c:v>0.3511782872312752</c:v>
                </c:pt>
                <c:pt idx="15">
                  <c:v>0.29739424119909286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5-459C-BD1A-99CA96EE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Model!$A$3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F-4096-8FF9-727230ECFF24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F-4096-8FF9-727230ECFF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Model!$V$2:$Z$2</c:f>
              <c:strCache>
                <c:ptCount val="5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</c:strCache>
            </c:strRef>
          </c:cat>
          <c:val>
            <c:numRef>
              <c:f>Model!$V$3:$Z$3</c:f>
              <c:numCache>
                <c:formatCode>#,##0</c:formatCode>
                <c:ptCount val="5"/>
                <c:pt idx="0">
                  <c:v>161123</c:v>
                </c:pt>
                <c:pt idx="1">
                  <c:v>308150</c:v>
                </c:pt>
                <c:pt idx="2">
                  <c:v>519029</c:v>
                </c:pt>
                <c:pt idx="3">
                  <c:v>729695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A-4069-ADA9-98E4DBB70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Model!$A$27</c:f>
              <c:strCache>
                <c:ptCount val="1"/>
                <c:pt idx="0">
                  <c:v>Revenue y/y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Model!$V$27:$Z$27</c:f>
              <c:numCache>
                <c:formatCode>0%</c:formatCode>
                <c:ptCount val="5"/>
                <c:pt idx="0">
                  <c:v>1.0633251802430559</c:v>
                </c:pt>
                <c:pt idx="1">
                  <c:v>0.91251404206724063</c:v>
                </c:pt>
                <c:pt idx="2">
                  <c:v>0.6843387960408891</c:v>
                </c:pt>
                <c:pt idx="3">
                  <c:v>0.4058848349514188</c:v>
                </c:pt>
                <c:pt idx="4">
                  <c:v>0.28241251481783491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A-4069-ADA9-98E4DBB7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589456"/>
        <c:axId val="737536608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737536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8589456"/>
        <c:crosses val="max"/>
        <c:crossBetween val="between"/>
      </c:valAx>
      <c:catAx>
        <c:axId val="74858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53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Model!$A$15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8-46A6-8464-D8F7768AA341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8-46A6-8464-D8F7768AA3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Model!$B$2:$Q$2</c:f>
              <c:strCache>
                <c:ptCount val="16"/>
                <c:pt idx="0">
                  <c:v>Q220</c:v>
                </c:pt>
                <c:pt idx="1">
                  <c:v>Q320</c:v>
                </c:pt>
                <c:pt idx="2">
                  <c:v>Q420</c:v>
                </c:pt>
                <c:pt idx="3">
                  <c:v>Q121</c:v>
                </c:pt>
                <c:pt idx="4">
                  <c:v>Q221</c:v>
                </c:pt>
                <c:pt idx="5">
                  <c:v>Q321</c:v>
                </c:pt>
                <c:pt idx="6">
                  <c:v>Q421</c:v>
                </c:pt>
                <c:pt idx="7">
                  <c:v>Q122</c:v>
                </c:pt>
                <c:pt idx="8">
                  <c:v>Q222</c:v>
                </c:pt>
                <c:pt idx="9">
                  <c:v>Q322</c:v>
                </c:pt>
                <c:pt idx="10">
                  <c:v>Q422</c:v>
                </c:pt>
                <c:pt idx="11">
                  <c:v>Q123</c:v>
                </c:pt>
                <c:pt idx="12">
                  <c:v>Q223</c:v>
                </c:pt>
                <c:pt idx="13">
                  <c:v>Q323</c:v>
                </c:pt>
                <c:pt idx="14">
                  <c:v>Q423</c:v>
                </c:pt>
                <c:pt idx="15">
                  <c:v>Q124</c:v>
                </c:pt>
              </c:strCache>
            </c:strRef>
          </c:cat>
          <c:val>
            <c:numRef>
              <c:f>Model!$B$15:$Q$15</c:f>
              <c:numCache>
                <c:formatCode>#,##0</c:formatCode>
                <c:ptCount val="16"/>
                <c:pt idx="0">
                  <c:v>-33065</c:v>
                </c:pt>
                <c:pt idx="1">
                  <c:v>-45796</c:v>
                </c:pt>
                <c:pt idx="2">
                  <c:v>-67578</c:v>
                </c:pt>
                <c:pt idx="3">
                  <c:v>-43566</c:v>
                </c:pt>
                <c:pt idx="4">
                  <c:v>-32480</c:v>
                </c:pt>
                <c:pt idx="5">
                  <c:v>-28846</c:v>
                </c:pt>
                <c:pt idx="6">
                  <c:v>-32605</c:v>
                </c:pt>
                <c:pt idx="7">
                  <c:v>-66678</c:v>
                </c:pt>
                <c:pt idx="8">
                  <c:v>-45671</c:v>
                </c:pt>
                <c:pt idx="9">
                  <c:v>-23030</c:v>
                </c:pt>
                <c:pt idx="10">
                  <c:v>-1488</c:v>
                </c:pt>
                <c:pt idx="11">
                  <c:v>-14667</c:v>
                </c:pt>
                <c:pt idx="12">
                  <c:v>-7035</c:v>
                </c:pt>
                <c:pt idx="13">
                  <c:v>7488</c:v>
                </c:pt>
                <c:pt idx="14">
                  <c:v>12337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D-43A5-B5F2-F97D61E0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Model!$A$25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Model!$B$25:$Q$25</c:f>
              <c:numCache>
                <c:formatCode>0%</c:formatCode>
                <c:ptCount val="16"/>
                <c:pt idx="0">
                  <c:v>0.86607240811848607</c:v>
                </c:pt>
                <c:pt idx="1">
                  <c:v>0.85131010518407213</c:v>
                </c:pt>
                <c:pt idx="2">
                  <c:v>0.86675840612660049</c:v>
                </c:pt>
                <c:pt idx="3">
                  <c:v>0.86563114698500987</c:v>
                </c:pt>
                <c:pt idx="4">
                  <c:v>0.87101890533172832</c:v>
                </c:pt>
                <c:pt idx="5">
                  <c:v>0.87697848659326894</c:v>
                </c:pt>
                <c:pt idx="6">
                  <c:v>0.8768329059605422</c:v>
                </c:pt>
                <c:pt idx="7">
                  <c:v>0.86535111569905165</c:v>
                </c:pt>
                <c:pt idx="8">
                  <c:v>0.86477311304741433</c:v>
                </c:pt>
                <c:pt idx="9">
                  <c:v>0.86975228828354989</c:v>
                </c:pt>
                <c:pt idx="10">
                  <c:v>0.884212351838635</c:v>
                </c:pt>
                <c:pt idx="11">
                  <c:v>0.89514101173454297</c:v>
                </c:pt>
                <c:pt idx="12">
                  <c:v>0.88891102522213816</c:v>
                </c:pt>
                <c:pt idx="13">
                  <c:v>0.88526349172789254</c:v>
                </c:pt>
                <c:pt idx="14">
                  <c:v>0.88938144838821143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3A5-B5F2-F97D61E0D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Net Income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Model!$A$15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Model!$V$2:$Z$2</c:f>
              <c:strCache>
                <c:ptCount val="5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</c:strCache>
            </c:strRef>
          </c:cat>
          <c:val>
            <c:numRef>
              <c:f>Model!$V$15:$Z$15</c:f>
              <c:numCache>
                <c:formatCode>#,##0</c:formatCode>
                <c:ptCount val="5"/>
                <c:pt idx="0">
                  <c:v>-152203</c:v>
                </c:pt>
                <c:pt idx="1">
                  <c:v>-129294</c:v>
                </c:pt>
                <c:pt idx="2">
                  <c:v>-136867</c:v>
                </c:pt>
                <c:pt idx="3">
                  <c:v>-1877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6-4F07-B7B5-190A418C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Model!$A$30</c:f>
              <c:strCache>
                <c:ptCount val="1"/>
                <c:pt idx="0">
                  <c:v>Net Income y/y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Model!$V$30:$Z$30</c:f>
              <c:numCache>
                <c:formatCode>0%</c:formatCode>
                <c:ptCount val="5"/>
                <c:pt idx="1">
                  <c:v>0.15051608706792896</c:v>
                </c:pt>
                <c:pt idx="2">
                  <c:v>-5.8571936826148141E-2</c:v>
                </c:pt>
                <c:pt idx="3">
                  <c:v>0.98628595643946315</c:v>
                </c:pt>
                <c:pt idx="4">
                  <c:v>-47.639927639850825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F07-B7B5-190A418C1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Model!$A$31</c:f>
              <c:strCache>
                <c:ptCount val="1"/>
                <c:pt idx="0">
                  <c:v>R&amp;D part of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Model!$W$2:$Y$2</c:f>
              <c:strCache>
                <c:ptCount val="3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</c:strCache>
            </c:strRef>
          </c:cat>
          <c:val>
            <c:numRef>
              <c:f>Model!$W$31:$Y$31</c:f>
              <c:numCache>
                <c:formatCode>0%</c:formatCode>
                <c:ptCount val="3"/>
                <c:pt idx="0">
                  <c:v>0.239123803342528</c:v>
                </c:pt>
                <c:pt idx="1">
                  <c:v>0.24477823011816296</c:v>
                </c:pt>
                <c:pt idx="2">
                  <c:v>0.21447317029717897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3-446A-92E2-3D45DE374127}"/>
            </c:ext>
          </c:extLst>
        </c:ser>
        <c:ser>
          <c:idx val="1"/>
          <c:order val="1"/>
          <c:tx>
            <c:strRef>
              <c:f>Model!$A$32</c:f>
              <c:strCache>
                <c:ptCount val="1"/>
                <c:pt idx="0">
                  <c:v>S&amp;M part of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Model!$W$2:$Y$2</c:f>
              <c:strCache>
                <c:ptCount val="3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</c:strCache>
            </c:strRef>
          </c:cat>
          <c:val>
            <c:numRef>
              <c:f>Model!$W$32:$Y$32</c:f>
              <c:numCache>
                <c:formatCode>0%</c:formatCode>
                <c:ptCount val="3"/>
                <c:pt idx="0">
                  <c:v>0.86997566120395908</c:v>
                </c:pt>
                <c:pt idx="1">
                  <c:v>0.75538746389893441</c:v>
                </c:pt>
                <c:pt idx="2">
                  <c:v>0.60080170482187767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D3-446A-92E2-3D45DE374127}"/>
            </c:ext>
          </c:extLst>
        </c:ser>
        <c:ser>
          <c:idx val="2"/>
          <c:order val="2"/>
          <c:tx>
            <c:strRef>
              <c:f>Model!$A$33</c:f>
              <c:strCache>
                <c:ptCount val="1"/>
                <c:pt idx="0">
                  <c:v>G&amp;A part of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Model!$W$2:$Y$2</c:f>
              <c:strCache>
                <c:ptCount val="3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</c:strCache>
            </c:strRef>
          </c:cat>
          <c:val>
            <c:numRef>
              <c:f>Model!$W$33:$Y$33</c:f>
              <c:numCache>
                <c:formatCode>0%</c:formatCode>
                <c:ptCount val="3"/>
                <c:pt idx="0">
                  <c:v>0.17359402888203798</c:v>
                </c:pt>
                <c:pt idx="1">
                  <c:v>0.16453993900148162</c:v>
                </c:pt>
                <c:pt idx="2">
                  <c:v>0.12708460384133097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D3-446A-92E2-3D45DE3741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Catalysts!$B$1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Catalysts!$A$2:$A$1147</c:f>
              <c:numCache>
                <c:formatCode>m/d/yyyy</c:formatCode>
                <c:ptCount val="1146"/>
                <c:pt idx="0">
                  <c:v>44354</c:v>
                </c:pt>
                <c:pt idx="1">
                  <c:v>44361</c:v>
                </c:pt>
                <c:pt idx="2">
                  <c:v>44368</c:v>
                </c:pt>
                <c:pt idx="3">
                  <c:v>44375</c:v>
                </c:pt>
                <c:pt idx="4">
                  <c:v>44382</c:v>
                </c:pt>
                <c:pt idx="5">
                  <c:v>44389</c:v>
                </c:pt>
                <c:pt idx="6">
                  <c:v>44396</c:v>
                </c:pt>
                <c:pt idx="7">
                  <c:v>44403</c:v>
                </c:pt>
                <c:pt idx="8">
                  <c:v>44410</c:v>
                </c:pt>
                <c:pt idx="9">
                  <c:v>44417</c:v>
                </c:pt>
                <c:pt idx="10">
                  <c:v>44424</c:v>
                </c:pt>
                <c:pt idx="11">
                  <c:v>44431</c:v>
                </c:pt>
                <c:pt idx="12">
                  <c:v>44438</c:v>
                </c:pt>
                <c:pt idx="13">
                  <c:v>44445</c:v>
                </c:pt>
                <c:pt idx="14">
                  <c:v>44452</c:v>
                </c:pt>
                <c:pt idx="15">
                  <c:v>44459</c:v>
                </c:pt>
                <c:pt idx="16">
                  <c:v>44466</c:v>
                </c:pt>
                <c:pt idx="17">
                  <c:v>44473</c:v>
                </c:pt>
                <c:pt idx="18">
                  <c:v>44480</c:v>
                </c:pt>
                <c:pt idx="19">
                  <c:v>44487</c:v>
                </c:pt>
                <c:pt idx="20">
                  <c:v>44494</c:v>
                </c:pt>
                <c:pt idx="21">
                  <c:v>44501</c:v>
                </c:pt>
                <c:pt idx="22">
                  <c:v>44508</c:v>
                </c:pt>
                <c:pt idx="23">
                  <c:v>44515</c:v>
                </c:pt>
                <c:pt idx="24">
                  <c:v>44522</c:v>
                </c:pt>
                <c:pt idx="25">
                  <c:v>44529</c:v>
                </c:pt>
                <c:pt idx="26">
                  <c:v>44536</c:v>
                </c:pt>
                <c:pt idx="27">
                  <c:v>44543</c:v>
                </c:pt>
                <c:pt idx="28">
                  <c:v>44550</c:v>
                </c:pt>
                <c:pt idx="29">
                  <c:v>44557</c:v>
                </c:pt>
                <c:pt idx="30">
                  <c:v>44564</c:v>
                </c:pt>
                <c:pt idx="31">
                  <c:v>44571</c:v>
                </c:pt>
                <c:pt idx="32">
                  <c:v>44578</c:v>
                </c:pt>
                <c:pt idx="33">
                  <c:v>44585</c:v>
                </c:pt>
                <c:pt idx="34">
                  <c:v>44592</c:v>
                </c:pt>
                <c:pt idx="35">
                  <c:v>44599</c:v>
                </c:pt>
                <c:pt idx="36">
                  <c:v>44606</c:v>
                </c:pt>
                <c:pt idx="37">
                  <c:v>44613</c:v>
                </c:pt>
                <c:pt idx="38">
                  <c:v>44620</c:v>
                </c:pt>
                <c:pt idx="39">
                  <c:v>44627</c:v>
                </c:pt>
                <c:pt idx="40">
                  <c:v>44634</c:v>
                </c:pt>
                <c:pt idx="41">
                  <c:v>44641</c:v>
                </c:pt>
                <c:pt idx="42">
                  <c:v>44648</c:v>
                </c:pt>
                <c:pt idx="43">
                  <c:v>44655</c:v>
                </c:pt>
                <c:pt idx="44">
                  <c:v>44662</c:v>
                </c:pt>
                <c:pt idx="45">
                  <c:v>44669</c:v>
                </c:pt>
                <c:pt idx="46">
                  <c:v>44676</c:v>
                </c:pt>
                <c:pt idx="47">
                  <c:v>44683</c:v>
                </c:pt>
                <c:pt idx="48">
                  <c:v>44690</c:v>
                </c:pt>
                <c:pt idx="49">
                  <c:v>44697</c:v>
                </c:pt>
                <c:pt idx="50">
                  <c:v>44704</c:v>
                </c:pt>
                <c:pt idx="51">
                  <c:v>44711</c:v>
                </c:pt>
                <c:pt idx="52">
                  <c:v>44718</c:v>
                </c:pt>
                <c:pt idx="53">
                  <c:v>44725</c:v>
                </c:pt>
                <c:pt idx="54">
                  <c:v>44732</c:v>
                </c:pt>
                <c:pt idx="55">
                  <c:v>44739</c:v>
                </c:pt>
                <c:pt idx="56">
                  <c:v>44746</c:v>
                </c:pt>
                <c:pt idx="57">
                  <c:v>44753</c:v>
                </c:pt>
                <c:pt idx="58">
                  <c:v>44760</c:v>
                </c:pt>
                <c:pt idx="59">
                  <c:v>44767</c:v>
                </c:pt>
                <c:pt idx="60">
                  <c:v>44774</c:v>
                </c:pt>
                <c:pt idx="61">
                  <c:v>44781</c:v>
                </c:pt>
                <c:pt idx="62">
                  <c:v>44788</c:v>
                </c:pt>
                <c:pt idx="63">
                  <c:v>44795</c:v>
                </c:pt>
                <c:pt idx="64">
                  <c:v>44802</c:v>
                </c:pt>
                <c:pt idx="65">
                  <c:v>44809</c:v>
                </c:pt>
                <c:pt idx="66">
                  <c:v>44816</c:v>
                </c:pt>
                <c:pt idx="67">
                  <c:v>44823</c:v>
                </c:pt>
                <c:pt idx="68">
                  <c:v>44830</c:v>
                </c:pt>
                <c:pt idx="69">
                  <c:v>44837</c:v>
                </c:pt>
                <c:pt idx="70">
                  <c:v>44844</c:v>
                </c:pt>
                <c:pt idx="71">
                  <c:v>44851</c:v>
                </c:pt>
                <c:pt idx="72">
                  <c:v>44858</c:v>
                </c:pt>
                <c:pt idx="73">
                  <c:v>44865</c:v>
                </c:pt>
                <c:pt idx="74">
                  <c:v>44872</c:v>
                </c:pt>
                <c:pt idx="75">
                  <c:v>44879</c:v>
                </c:pt>
                <c:pt idx="76">
                  <c:v>44886</c:v>
                </c:pt>
                <c:pt idx="77">
                  <c:v>44893</c:v>
                </c:pt>
                <c:pt idx="78">
                  <c:v>44900</c:v>
                </c:pt>
                <c:pt idx="79">
                  <c:v>44907</c:v>
                </c:pt>
                <c:pt idx="80">
                  <c:v>44914</c:v>
                </c:pt>
                <c:pt idx="81">
                  <c:v>44921</c:v>
                </c:pt>
                <c:pt idx="82">
                  <c:v>44928</c:v>
                </c:pt>
                <c:pt idx="83">
                  <c:v>44935</c:v>
                </c:pt>
                <c:pt idx="84">
                  <c:v>44942</c:v>
                </c:pt>
                <c:pt idx="85">
                  <c:v>44949</c:v>
                </c:pt>
                <c:pt idx="86">
                  <c:v>44956</c:v>
                </c:pt>
                <c:pt idx="87">
                  <c:v>44963</c:v>
                </c:pt>
                <c:pt idx="88">
                  <c:v>44970</c:v>
                </c:pt>
                <c:pt idx="89">
                  <c:v>44977</c:v>
                </c:pt>
                <c:pt idx="90">
                  <c:v>44984</c:v>
                </c:pt>
                <c:pt idx="91">
                  <c:v>44991</c:v>
                </c:pt>
                <c:pt idx="92">
                  <c:v>44998</c:v>
                </c:pt>
                <c:pt idx="93">
                  <c:v>45005</c:v>
                </c:pt>
                <c:pt idx="94">
                  <c:v>45012</c:v>
                </c:pt>
                <c:pt idx="95">
                  <c:v>45019</c:v>
                </c:pt>
                <c:pt idx="96">
                  <c:v>45026</c:v>
                </c:pt>
                <c:pt idx="97">
                  <c:v>45033</c:v>
                </c:pt>
                <c:pt idx="98">
                  <c:v>45040</c:v>
                </c:pt>
                <c:pt idx="99">
                  <c:v>45047</c:v>
                </c:pt>
                <c:pt idx="100">
                  <c:v>45054</c:v>
                </c:pt>
                <c:pt idx="101">
                  <c:v>45061</c:v>
                </c:pt>
                <c:pt idx="102">
                  <c:v>45068</c:v>
                </c:pt>
                <c:pt idx="103">
                  <c:v>45075</c:v>
                </c:pt>
                <c:pt idx="104">
                  <c:v>45082</c:v>
                </c:pt>
                <c:pt idx="105">
                  <c:v>45089</c:v>
                </c:pt>
                <c:pt idx="106">
                  <c:v>45096</c:v>
                </c:pt>
                <c:pt idx="107">
                  <c:v>45103</c:v>
                </c:pt>
                <c:pt idx="108">
                  <c:v>45110</c:v>
                </c:pt>
                <c:pt idx="109">
                  <c:v>45117</c:v>
                </c:pt>
                <c:pt idx="110">
                  <c:v>45124</c:v>
                </c:pt>
                <c:pt idx="111">
                  <c:v>45131</c:v>
                </c:pt>
                <c:pt idx="112">
                  <c:v>45138</c:v>
                </c:pt>
                <c:pt idx="113">
                  <c:v>45145</c:v>
                </c:pt>
                <c:pt idx="114">
                  <c:v>45152</c:v>
                </c:pt>
                <c:pt idx="115">
                  <c:v>45159</c:v>
                </c:pt>
                <c:pt idx="116">
                  <c:v>45166</c:v>
                </c:pt>
                <c:pt idx="117">
                  <c:v>45173</c:v>
                </c:pt>
                <c:pt idx="118">
                  <c:v>45180</c:v>
                </c:pt>
                <c:pt idx="119">
                  <c:v>45187</c:v>
                </c:pt>
                <c:pt idx="120">
                  <c:v>45194</c:v>
                </c:pt>
                <c:pt idx="121">
                  <c:v>45201</c:v>
                </c:pt>
                <c:pt idx="122">
                  <c:v>45208</c:v>
                </c:pt>
                <c:pt idx="123">
                  <c:v>45215</c:v>
                </c:pt>
                <c:pt idx="124">
                  <c:v>45222</c:v>
                </c:pt>
                <c:pt idx="125">
                  <c:v>45229</c:v>
                </c:pt>
                <c:pt idx="126">
                  <c:v>45236</c:v>
                </c:pt>
                <c:pt idx="127">
                  <c:v>45243</c:v>
                </c:pt>
                <c:pt idx="128">
                  <c:v>45250</c:v>
                </c:pt>
                <c:pt idx="129">
                  <c:v>45257</c:v>
                </c:pt>
                <c:pt idx="130">
                  <c:v>45264</c:v>
                </c:pt>
                <c:pt idx="131">
                  <c:v>45271</c:v>
                </c:pt>
                <c:pt idx="132">
                  <c:v>45278</c:v>
                </c:pt>
                <c:pt idx="133">
                  <c:v>45285</c:v>
                </c:pt>
                <c:pt idx="134">
                  <c:v>45292</c:v>
                </c:pt>
                <c:pt idx="135">
                  <c:v>45299</c:v>
                </c:pt>
                <c:pt idx="136">
                  <c:v>45306</c:v>
                </c:pt>
                <c:pt idx="137">
                  <c:v>45313</c:v>
                </c:pt>
                <c:pt idx="138">
                  <c:v>45320</c:v>
                </c:pt>
                <c:pt idx="139">
                  <c:v>45327</c:v>
                </c:pt>
                <c:pt idx="140">
                  <c:v>45334</c:v>
                </c:pt>
                <c:pt idx="141">
                  <c:v>45341</c:v>
                </c:pt>
                <c:pt idx="142">
                  <c:v>45348</c:v>
                </c:pt>
                <c:pt idx="143">
                  <c:v>45355</c:v>
                </c:pt>
                <c:pt idx="144">
                  <c:v>45362</c:v>
                </c:pt>
                <c:pt idx="145">
                  <c:v>45369</c:v>
                </c:pt>
                <c:pt idx="146">
                  <c:v>45376</c:v>
                </c:pt>
                <c:pt idx="147">
                  <c:v>45383</c:v>
                </c:pt>
                <c:pt idx="148">
                  <c:v>45390</c:v>
                </c:pt>
              </c:numCache>
            </c:numRef>
          </c:cat>
          <c:val>
            <c:numRef>
              <c:f>Catalysts!$B$2:$B$1147</c:f>
              <c:numCache>
                <c:formatCode>0.00</c:formatCode>
                <c:ptCount val="1146"/>
                <c:pt idx="0">
                  <c:v>189.30999800000001</c:v>
                </c:pt>
                <c:pt idx="1">
                  <c:v>232.509995</c:v>
                </c:pt>
                <c:pt idx="2">
                  <c:v>232.36999499999999</c:v>
                </c:pt>
                <c:pt idx="3">
                  <c:v>229.229996</c:v>
                </c:pt>
                <c:pt idx="4">
                  <c:v>232.03999300000001</c:v>
                </c:pt>
                <c:pt idx="5">
                  <c:v>198.979996</c:v>
                </c:pt>
                <c:pt idx="6">
                  <c:v>204.929993</c:v>
                </c:pt>
                <c:pt idx="7">
                  <c:v>221.28999300000001</c:v>
                </c:pt>
                <c:pt idx="8">
                  <c:v>226</c:v>
                </c:pt>
                <c:pt idx="9">
                  <c:v>267.89999399999999</c:v>
                </c:pt>
                <c:pt idx="10">
                  <c:v>352.27999899999998</c:v>
                </c:pt>
                <c:pt idx="11">
                  <c:v>357.19000199999999</c:v>
                </c:pt>
                <c:pt idx="12">
                  <c:v>379.80999800000001</c:v>
                </c:pt>
                <c:pt idx="13">
                  <c:v>371.97000100000002</c:v>
                </c:pt>
                <c:pt idx="14">
                  <c:v>374.14999399999999</c:v>
                </c:pt>
                <c:pt idx="15">
                  <c:v>366.98998999999998</c:v>
                </c:pt>
                <c:pt idx="16">
                  <c:v>332.91000400000001</c:v>
                </c:pt>
                <c:pt idx="17">
                  <c:v>339.60000600000001</c:v>
                </c:pt>
                <c:pt idx="18">
                  <c:v>358.709991</c:v>
                </c:pt>
                <c:pt idx="19">
                  <c:v>379.26001000000002</c:v>
                </c:pt>
                <c:pt idx="20">
                  <c:v>371.82998700000002</c:v>
                </c:pt>
                <c:pt idx="21">
                  <c:v>350.73998999999998</c:v>
                </c:pt>
                <c:pt idx="22">
                  <c:v>363.92001299999998</c:v>
                </c:pt>
                <c:pt idx="23">
                  <c:v>371.25</c:v>
                </c:pt>
                <c:pt idx="24">
                  <c:v>339.35998499999999</c:v>
                </c:pt>
                <c:pt idx="25">
                  <c:v>275.76001000000002</c:v>
                </c:pt>
                <c:pt idx="26">
                  <c:v>307.94000199999999</c:v>
                </c:pt>
                <c:pt idx="27">
                  <c:v>292.08999599999999</c:v>
                </c:pt>
                <c:pt idx="28">
                  <c:v>304.36999500000002</c:v>
                </c:pt>
                <c:pt idx="29">
                  <c:v>308.72000100000002</c:v>
                </c:pt>
                <c:pt idx="30">
                  <c:v>237.38000500000001</c:v>
                </c:pt>
                <c:pt idx="31">
                  <c:v>215.63999899999999</c:v>
                </c:pt>
                <c:pt idx="32">
                  <c:v>198.5</c:v>
                </c:pt>
                <c:pt idx="33">
                  <c:v>188.479996</c:v>
                </c:pt>
                <c:pt idx="34">
                  <c:v>186.520004</c:v>
                </c:pt>
                <c:pt idx="35">
                  <c:v>218.91000399999999</c:v>
                </c:pt>
                <c:pt idx="36">
                  <c:v>194.759995</c:v>
                </c:pt>
                <c:pt idx="37">
                  <c:v>155.240005</c:v>
                </c:pt>
                <c:pt idx="38">
                  <c:v>135.91000399999999</c:v>
                </c:pt>
                <c:pt idx="39">
                  <c:v>122.05999799999999</c:v>
                </c:pt>
                <c:pt idx="40">
                  <c:v>170.5</c:v>
                </c:pt>
                <c:pt idx="41">
                  <c:v>150.449997</c:v>
                </c:pt>
                <c:pt idx="42">
                  <c:v>165.38999899999999</c:v>
                </c:pt>
                <c:pt idx="43">
                  <c:v>140.759995</c:v>
                </c:pt>
                <c:pt idx="44">
                  <c:v>137.16999799999999</c:v>
                </c:pt>
                <c:pt idx="45">
                  <c:v>137.63000500000001</c:v>
                </c:pt>
                <c:pt idx="46">
                  <c:v>129.39999399999999</c:v>
                </c:pt>
                <c:pt idx="47">
                  <c:v>123.550003</c:v>
                </c:pt>
                <c:pt idx="48">
                  <c:v>110.379997</c:v>
                </c:pt>
                <c:pt idx="49">
                  <c:v>114.269997</c:v>
                </c:pt>
                <c:pt idx="50">
                  <c:v>115.010002</c:v>
                </c:pt>
                <c:pt idx="51">
                  <c:v>116.089996</c:v>
                </c:pt>
                <c:pt idx="52">
                  <c:v>97.349997999999999</c:v>
                </c:pt>
                <c:pt idx="53">
                  <c:v>97.599997999999999</c:v>
                </c:pt>
                <c:pt idx="54">
                  <c:v>122.360001</c:v>
                </c:pt>
                <c:pt idx="55">
                  <c:v>108.790001</c:v>
                </c:pt>
                <c:pt idx="56">
                  <c:v>114.230003</c:v>
                </c:pt>
                <c:pt idx="57">
                  <c:v>92.309997999999993</c:v>
                </c:pt>
                <c:pt idx="58">
                  <c:v>102.760002</c:v>
                </c:pt>
                <c:pt idx="59">
                  <c:v>102.730003</c:v>
                </c:pt>
                <c:pt idx="60">
                  <c:v>127.83000199999999</c:v>
                </c:pt>
                <c:pt idx="61">
                  <c:v>137.10000600000001</c:v>
                </c:pt>
                <c:pt idx="62">
                  <c:v>126.389999</c:v>
                </c:pt>
                <c:pt idx="63">
                  <c:v>117.910004</c:v>
                </c:pt>
                <c:pt idx="64">
                  <c:v>110.800003</c:v>
                </c:pt>
                <c:pt idx="65">
                  <c:v>130.33999600000001</c:v>
                </c:pt>
                <c:pt idx="66">
                  <c:v>133.270004</c:v>
                </c:pt>
                <c:pt idx="67">
                  <c:v>119.43</c:v>
                </c:pt>
                <c:pt idx="68">
                  <c:v>113.339996</c:v>
                </c:pt>
                <c:pt idx="69">
                  <c:v>109.230003</c:v>
                </c:pt>
                <c:pt idx="70">
                  <c:v>91.489998</c:v>
                </c:pt>
                <c:pt idx="71">
                  <c:v>99.519997000000004</c:v>
                </c:pt>
                <c:pt idx="72">
                  <c:v>107.379997</c:v>
                </c:pt>
                <c:pt idx="73">
                  <c:v>80.989998</c:v>
                </c:pt>
                <c:pt idx="74">
                  <c:v>95.190002000000007</c:v>
                </c:pt>
                <c:pt idx="75">
                  <c:v>96.769997000000004</c:v>
                </c:pt>
                <c:pt idx="76">
                  <c:v>97.830001999999993</c:v>
                </c:pt>
                <c:pt idx="77">
                  <c:v>108.07</c:v>
                </c:pt>
                <c:pt idx="78">
                  <c:v>109.824997</c:v>
                </c:pt>
                <c:pt idx="79">
                  <c:v>122.639999</c:v>
                </c:pt>
                <c:pt idx="80">
                  <c:v>113.489998</c:v>
                </c:pt>
                <c:pt idx="81">
                  <c:v>122</c:v>
                </c:pt>
                <c:pt idx="82">
                  <c:v>100.5</c:v>
                </c:pt>
                <c:pt idx="83">
                  <c:v>115.949997</c:v>
                </c:pt>
                <c:pt idx="84">
                  <c:v>116.970001</c:v>
                </c:pt>
                <c:pt idx="85">
                  <c:v>129.740005</c:v>
                </c:pt>
                <c:pt idx="86">
                  <c:v>140.80999800000001</c:v>
                </c:pt>
                <c:pt idx="87">
                  <c:v>131.179993</c:v>
                </c:pt>
                <c:pt idx="88">
                  <c:v>153.11000100000001</c:v>
                </c:pt>
                <c:pt idx="89">
                  <c:v>154.699997</c:v>
                </c:pt>
                <c:pt idx="90">
                  <c:v>156.279999</c:v>
                </c:pt>
                <c:pt idx="91">
                  <c:v>129.449997</c:v>
                </c:pt>
                <c:pt idx="92">
                  <c:v>135.770004</c:v>
                </c:pt>
                <c:pt idx="93">
                  <c:v>135.78999300000001</c:v>
                </c:pt>
                <c:pt idx="94">
                  <c:v>142.75</c:v>
                </c:pt>
                <c:pt idx="95">
                  <c:v>133.86999499999999</c:v>
                </c:pt>
                <c:pt idx="96">
                  <c:v>130.91999799999999</c:v>
                </c:pt>
                <c:pt idx="97">
                  <c:v>130.320007</c:v>
                </c:pt>
                <c:pt idx="98">
                  <c:v>121.91999800000001</c:v>
                </c:pt>
                <c:pt idx="99">
                  <c:v>116.25</c:v>
                </c:pt>
                <c:pt idx="100">
                  <c:v>131.10000600000001</c:v>
                </c:pt>
                <c:pt idx="101">
                  <c:v>149.779999</c:v>
                </c:pt>
                <c:pt idx="102">
                  <c:v>167.199997</c:v>
                </c:pt>
                <c:pt idx="103">
                  <c:v>175</c:v>
                </c:pt>
                <c:pt idx="104">
                  <c:v>174.720001</c:v>
                </c:pt>
                <c:pt idx="105">
                  <c:v>178.80999800000001</c:v>
                </c:pt>
                <c:pt idx="106">
                  <c:v>169.520004</c:v>
                </c:pt>
                <c:pt idx="107">
                  <c:v>171.220001</c:v>
                </c:pt>
                <c:pt idx="108">
                  <c:v>161.86000100000001</c:v>
                </c:pt>
                <c:pt idx="109">
                  <c:v>174.55999800000001</c:v>
                </c:pt>
                <c:pt idx="110">
                  <c:v>173.220001</c:v>
                </c:pt>
                <c:pt idx="111">
                  <c:v>179.229996</c:v>
                </c:pt>
                <c:pt idx="112">
                  <c:v>160.990005</c:v>
                </c:pt>
                <c:pt idx="113">
                  <c:v>155.83999600000001</c:v>
                </c:pt>
                <c:pt idx="114">
                  <c:v>161.070007</c:v>
                </c:pt>
                <c:pt idx="115">
                  <c:v>169.19000199999999</c:v>
                </c:pt>
                <c:pt idx="116">
                  <c:v>176.58999600000001</c:v>
                </c:pt>
                <c:pt idx="117">
                  <c:v>171.199997</c:v>
                </c:pt>
                <c:pt idx="118">
                  <c:v>163.38000500000001</c:v>
                </c:pt>
                <c:pt idx="119">
                  <c:v>157</c:v>
                </c:pt>
                <c:pt idx="120">
                  <c:v>159.220001</c:v>
                </c:pt>
                <c:pt idx="121">
                  <c:v>158.61999499999999</c:v>
                </c:pt>
                <c:pt idx="122">
                  <c:v>140.08000200000001</c:v>
                </c:pt>
                <c:pt idx="123">
                  <c:v>132.009995</c:v>
                </c:pt>
                <c:pt idx="124">
                  <c:v>129.240005</c:v>
                </c:pt>
                <c:pt idx="125">
                  <c:v>131.96000699999999</c:v>
                </c:pt>
                <c:pt idx="126">
                  <c:v>140.11999499999999</c:v>
                </c:pt>
                <c:pt idx="127">
                  <c:v>169.699997</c:v>
                </c:pt>
                <c:pt idx="128">
                  <c:v>175.050003</c:v>
                </c:pt>
                <c:pt idx="129">
                  <c:v>176.36999499999999</c:v>
                </c:pt>
                <c:pt idx="130">
                  <c:v>175.029999</c:v>
                </c:pt>
                <c:pt idx="131">
                  <c:v>189.070007</c:v>
                </c:pt>
                <c:pt idx="132">
                  <c:v>189.46000699999999</c:v>
                </c:pt>
                <c:pt idx="133">
                  <c:v>187.80999800000001</c:v>
                </c:pt>
                <c:pt idx="134">
                  <c:v>176.78999300000001</c:v>
                </c:pt>
                <c:pt idx="135">
                  <c:v>190.71000699999999</c:v>
                </c:pt>
                <c:pt idx="136">
                  <c:v>195.63000500000001</c:v>
                </c:pt>
                <c:pt idx="137">
                  <c:v>208.63000500000001</c:v>
                </c:pt>
                <c:pt idx="138">
                  <c:v>214.05999800000001</c:v>
                </c:pt>
                <c:pt idx="139">
                  <c:v>235.91999799999999</c:v>
                </c:pt>
                <c:pt idx="140">
                  <c:v>225.300003</c:v>
                </c:pt>
                <c:pt idx="141">
                  <c:v>207.89999399999999</c:v>
                </c:pt>
                <c:pt idx="142">
                  <c:v>228.91999799999999</c:v>
                </c:pt>
                <c:pt idx="143">
                  <c:v>220.449997</c:v>
                </c:pt>
                <c:pt idx="144">
                  <c:v>217</c:v>
                </c:pt>
                <c:pt idx="145">
                  <c:v>228</c:v>
                </c:pt>
                <c:pt idx="146">
                  <c:v>225.86999499999999</c:v>
                </c:pt>
                <c:pt idx="147">
                  <c:v>217</c:v>
                </c:pt>
                <c:pt idx="148">
                  <c:v>215.75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E-4DBD-9840-358B77AFB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983327"/>
        <c:axId val="737522224"/>
      </c:lineChart>
      <c:dateAx>
        <c:axId val="6939833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7522224"/>
        <c:crosses val="autoZero"/>
        <c:auto val="1"/>
        <c:lblOffset val="100"/>
        <c:baseTimeUnit val="days"/>
        <c:majorUnit val="15"/>
        <c:majorTimeUnit val="days"/>
        <c:minorUnit val="1"/>
        <c:minorTimeUnit val="days"/>
      </c:dateAx>
      <c:valAx>
        <c:axId val="7375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39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DoR!$J$3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DoR!$K$4:$K$15</c:f>
              <c:strCache>
                <c:ptCount val="12"/>
                <c:pt idx="0">
                  <c:v>Less than -29,93%</c:v>
                </c:pt>
                <c:pt idx="1">
                  <c:v>-29,93% to -23,85%</c:v>
                </c:pt>
                <c:pt idx="2">
                  <c:v>-23,85% to -17,76%</c:v>
                </c:pt>
                <c:pt idx="3">
                  <c:v>-17,76% to -11,68%</c:v>
                </c:pt>
                <c:pt idx="4">
                  <c:v>-11,68% to -5,59%</c:v>
                </c:pt>
                <c:pt idx="5">
                  <c:v>-5,59% to 0,49%</c:v>
                </c:pt>
                <c:pt idx="6">
                  <c:v>0,49% to 6,58%</c:v>
                </c:pt>
                <c:pt idx="7">
                  <c:v>6,58% to 12,66%</c:v>
                </c:pt>
                <c:pt idx="8">
                  <c:v>12,66% to 18,75%</c:v>
                </c:pt>
                <c:pt idx="9">
                  <c:v>18,75% to 24,83%</c:v>
                </c:pt>
                <c:pt idx="10">
                  <c:v>24,83% to 30,91%</c:v>
                </c:pt>
                <c:pt idx="11">
                  <c:v>Greater than 30,91%</c:v>
                </c:pt>
              </c:strCache>
            </c:strRef>
          </c:cat>
          <c:val>
            <c:numRef>
              <c:f>DoR!$J$4:$J$15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24</c:v>
                </c:pt>
                <c:pt idx="5">
                  <c:v>37</c:v>
                </c:pt>
                <c:pt idx="6">
                  <c:v>42</c:v>
                </c:pt>
                <c:pt idx="7">
                  <c:v>19</c:v>
                </c:pt>
                <c:pt idx="8">
                  <c:v>8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4-4179-A9F4-3C6CE0CCC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29205823"/>
        <c:axId val="1429206303"/>
      </c:barChart>
      <c:catAx>
        <c:axId val="1429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6303"/>
        <c:crosses val="autoZero"/>
        <c:auto val="1"/>
        <c:lblAlgn val="ctr"/>
        <c:lblOffset val="100"/>
        <c:noMultiLvlLbl val="0"/>
      </c:catAx>
      <c:valAx>
        <c:axId val="14292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_xlchart.v1.3</cx:f>
      </cx:numDim>
    </cx:data>
    <cx:data id="1">
      <cx:strDim type="cat">
        <cx:f dir="row">_xlchart.v1.4</cx:f>
      </cx:strDim>
      <cx:numDim type="val">
        <cx:f dir="row">_xlchart.v1.2</cx:f>
      </cx:numDim>
    </cx:data>
  </cx:chartData>
  <cx:chart>
    <cx:title pos="t" align="ctr" overlay="0">
      <cx:tx>
        <cx:txData>
          <cx:v>Earning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Earning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_xlchart.v1.1</cx:f>
              <cx:v>EPS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_xlchart.v1.0</cx:f>
              <cx:v>EPS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_xlchart.v1.9</cx:f>
      </cx:numDim>
    </cx:data>
    <cx:data id="1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txData>
          <cx:v>Revenue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Revenue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_xlchart.v1.6</cx:f>
              <cx:v>Rev.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_xlchart.v1.5</cx:f>
              <cx:v>Revenue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39999998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42862</xdr:rowOff>
    </xdr:from>
    <xdr:to>
      <xdr:col>10</xdr:col>
      <xdr:colOff>590550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4D5D-26F5-0FED-D6A6-811BC639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38100</xdr:rowOff>
    </xdr:from>
    <xdr:to>
      <xdr:col>20</xdr:col>
      <xdr:colOff>19050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860D4-A5CC-43C6-93F1-A9AA6236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219075</xdr:colOff>
      <xdr:row>15</xdr:row>
      <xdr:rowOff>152400</xdr:rowOff>
    </xdr:from>
    <xdr:to>
      <xdr:col>10</xdr:col>
      <xdr:colOff>600075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4996-57D9-4900-A31C-F45BDAD55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15</xdr:row>
      <xdr:rowOff>133350</xdr:rowOff>
    </xdr:from>
    <xdr:to>
      <xdr:col>20</xdr:col>
      <xdr:colOff>47625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312E1-BE90-420D-A470-4B22F9C0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38100</xdr:colOff>
      <xdr:row>1</xdr:row>
      <xdr:rowOff>52387</xdr:rowOff>
    </xdr:from>
    <xdr:to>
      <xdr:col>27</xdr:col>
      <xdr:colOff>342900</xdr:colOff>
      <xdr:row>15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B5C94-7DE1-FBD4-886C-765E7EB8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228599</xdr:colOff>
      <xdr:row>30</xdr:row>
      <xdr:rowOff>61912</xdr:rowOff>
    </xdr:from>
    <xdr:to>
      <xdr:col>11</xdr:col>
      <xdr:colOff>9524</xdr:colOff>
      <xdr:row>47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2BD79DE-6BE5-19E2-6CBE-9442C7A732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199" y="5776912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38100</xdr:colOff>
      <xdr:row>30</xdr:row>
      <xdr:rowOff>66675</xdr:rowOff>
    </xdr:from>
    <xdr:to>
      <xdr:col>20</xdr:col>
      <xdr:colOff>428625</xdr:colOff>
      <xdr:row>47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B11E3F9-A5D3-4E61-8332-833055A25E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578167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13</xdr:row>
      <xdr:rowOff>33337</xdr:rowOff>
    </xdr:from>
    <xdr:to>
      <xdr:col>25</xdr:col>
      <xdr:colOff>485774</xdr:colOff>
      <xdr:row>40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C129C-DBE3-1F2F-B16B-A26ABC76A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15</xdr:row>
      <xdr:rowOff>195261</xdr:rowOff>
    </xdr:from>
    <xdr:to>
      <xdr:col>12</xdr:col>
      <xdr:colOff>1438274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8CC0A-DA66-4C96-A31D-75DF9BBD1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0"/>
  <sheetViews>
    <sheetView tabSelected="1" workbookViewId="0">
      <selection activeCell="C11" sqref="C11"/>
    </sheetView>
  </sheetViews>
  <sheetFormatPr defaultColWidth="9.140625" defaultRowHeight="15" x14ac:dyDescent="0.25"/>
  <cols>
    <col min="2" max="2" width="15.85546875" customWidth="1"/>
    <col min="3" max="3" width="14.140625" customWidth="1"/>
    <col min="4" max="4" width="10.140625" customWidth="1"/>
    <col min="5" max="5" width="37" customWidth="1"/>
    <col min="7" max="7" width="5.28515625" customWidth="1"/>
    <col min="8" max="8" width="35.5703125" customWidth="1"/>
    <col min="9" max="9" width="11.28515625" customWidth="1"/>
    <col min="10" max="10" width="18.42578125" bestFit="1" customWidth="1"/>
    <col min="11" max="11" width="5.28515625" customWidth="1"/>
    <col min="12" max="12" width="25" customWidth="1"/>
    <col min="13" max="13" width="30.85546875" customWidth="1"/>
    <col min="14" max="14" width="39.42578125" customWidth="1"/>
  </cols>
  <sheetData>
    <row r="2" spans="2:14" x14ac:dyDescent="0.25">
      <c r="B2" s="33" t="s">
        <v>92</v>
      </c>
      <c r="C2" s="19"/>
      <c r="E2" s="24" t="s">
        <v>67</v>
      </c>
      <c r="F2" s="52" t="s">
        <v>68</v>
      </c>
      <c r="G2" s="25"/>
      <c r="H2" s="26" t="s">
        <v>75</v>
      </c>
      <c r="I2" s="26" t="s">
        <v>1</v>
      </c>
      <c r="J2" s="27" t="s">
        <v>68</v>
      </c>
      <c r="L2" s="29" t="s">
        <v>61</v>
      </c>
      <c r="M2" s="30" t="s">
        <v>77</v>
      </c>
      <c r="N2" s="31" t="s">
        <v>76</v>
      </c>
    </row>
    <row r="3" spans="2:14" x14ac:dyDescent="0.25">
      <c r="B3" s="5" t="s">
        <v>60</v>
      </c>
      <c r="C3" s="20">
        <v>45971</v>
      </c>
      <c r="E3" s="5" t="s">
        <v>108</v>
      </c>
      <c r="F3" t="s">
        <v>109</v>
      </c>
      <c r="H3" s="10" t="s">
        <v>102</v>
      </c>
      <c r="I3" s="10">
        <v>5481.89</v>
      </c>
      <c r="J3" s="42">
        <f>I3/$C$7</f>
        <v>0.11234301991966555</v>
      </c>
      <c r="L3" s="5" t="s">
        <v>101</v>
      </c>
      <c r="M3" t="s">
        <v>93</v>
      </c>
      <c r="N3" s="37"/>
    </row>
    <row r="4" spans="2:14" x14ac:dyDescent="0.25">
      <c r="B4" s="5"/>
      <c r="C4" s="21">
        <v>0.60069444444444442</v>
      </c>
      <c r="E4" s="5" t="s">
        <v>110</v>
      </c>
      <c r="F4" t="s">
        <v>111</v>
      </c>
      <c r="H4" t="s">
        <v>101</v>
      </c>
      <c r="I4" s="10">
        <v>2148.0700000000002</v>
      </c>
      <c r="J4" s="42">
        <f t="shared" ref="J4:J13" si="0">I4/$C$7</f>
        <v>4.4021436183293718E-2</v>
      </c>
      <c r="L4" s="5" t="s">
        <v>102</v>
      </c>
      <c r="M4" t="s">
        <v>93</v>
      </c>
      <c r="N4" s="13"/>
    </row>
    <row r="5" spans="2:14" x14ac:dyDescent="0.25">
      <c r="B5" s="5"/>
      <c r="C5" s="13"/>
      <c r="E5" s="5" t="s">
        <v>112</v>
      </c>
      <c r="F5" t="s">
        <v>113</v>
      </c>
      <c r="H5" t="s">
        <v>103</v>
      </c>
      <c r="I5" s="10">
        <v>30.055</v>
      </c>
      <c r="J5" s="42">
        <f t="shared" si="0"/>
        <v>6.1593163374047048E-4</v>
      </c>
      <c r="L5" s="5" t="s">
        <v>103</v>
      </c>
      <c r="M5" t="s">
        <v>94</v>
      </c>
      <c r="N5" s="13"/>
    </row>
    <row r="6" spans="2:14" x14ac:dyDescent="0.25">
      <c r="B6" s="5" t="s">
        <v>0</v>
      </c>
      <c r="C6" s="13">
        <v>185</v>
      </c>
      <c r="E6" s="5" t="s">
        <v>114</v>
      </c>
      <c r="F6" t="s">
        <v>115</v>
      </c>
      <c r="H6" t="s">
        <v>104</v>
      </c>
      <c r="I6" s="10">
        <v>96.75</v>
      </c>
      <c r="J6" s="42">
        <f t="shared" si="0"/>
        <v>1.9827444872530537E-3</v>
      </c>
      <c r="L6" s="5" t="s">
        <v>104</v>
      </c>
      <c r="M6" t="s">
        <v>95</v>
      </c>
      <c r="N6" s="13"/>
    </row>
    <row r="7" spans="2:14" x14ac:dyDescent="0.25">
      <c r="B7" s="5" t="s">
        <v>1</v>
      </c>
      <c r="C7" s="15">
        <f>Model!P19</f>
        <v>48796</v>
      </c>
      <c r="E7" s="5" t="s">
        <v>116</v>
      </c>
      <c r="F7" t="s">
        <v>117</v>
      </c>
      <c r="H7" t="s">
        <v>105</v>
      </c>
      <c r="I7" s="10">
        <v>71.694999999999993</v>
      </c>
      <c r="J7" s="42">
        <f t="shared" si="0"/>
        <v>1.4692802688744979E-3</v>
      </c>
      <c r="L7" s="5" t="s">
        <v>105</v>
      </c>
      <c r="M7" t="s">
        <v>96</v>
      </c>
      <c r="N7" s="13"/>
    </row>
    <row r="8" spans="2:14" x14ac:dyDescent="0.25">
      <c r="B8" s="5" t="s">
        <v>2</v>
      </c>
      <c r="C8" s="15">
        <f>C6*C7</f>
        <v>9027260</v>
      </c>
      <c r="E8" s="5" t="s">
        <v>84</v>
      </c>
      <c r="F8" t="s">
        <v>118</v>
      </c>
      <c r="H8" t="s">
        <v>146</v>
      </c>
      <c r="I8" s="10">
        <v>46.188000000000002</v>
      </c>
      <c r="J8" s="42">
        <f t="shared" si="0"/>
        <v>9.4655299614722528E-4</v>
      </c>
      <c r="L8" s="5" t="s">
        <v>106</v>
      </c>
      <c r="M8" t="s">
        <v>97</v>
      </c>
      <c r="N8" s="13"/>
    </row>
    <row r="9" spans="2:14" x14ac:dyDescent="0.25">
      <c r="B9" s="5" t="s">
        <v>3</v>
      </c>
      <c r="C9" s="15">
        <f>Model!O37+Model!O38+Model!O39</f>
        <v>0</v>
      </c>
      <c r="E9" s="5" t="s">
        <v>119</v>
      </c>
      <c r="F9" t="s">
        <v>120</v>
      </c>
      <c r="H9" t="s">
        <v>147</v>
      </c>
      <c r="I9" s="10">
        <v>497.45800000000003</v>
      </c>
      <c r="J9" s="42">
        <f t="shared" si="0"/>
        <v>1.0194647102221495E-2</v>
      </c>
      <c r="L9" s="5" t="s">
        <v>98</v>
      </c>
      <c r="M9" t="s">
        <v>99</v>
      </c>
      <c r="N9" s="13"/>
    </row>
    <row r="10" spans="2:14" x14ac:dyDescent="0.25">
      <c r="B10" s="5" t="s">
        <v>4</v>
      </c>
      <c r="C10" s="15" t="e">
        <f>Model!O46+Model!O47+Model!#REF!</f>
        <v>#REF!</v>
      </c>
      <c r="E10" s="5" t="s">
        <v>121</v>
      </c>
      <c r="F10" t="s">
        <v>122</v>
      </c>
      <c r="H10" t="s">
        <v>148</v>
      </c>
      <c r="I10" s="10">
        <v>247.37</v>
      </c>
      <c r="J10" s="42">
        <f t="shared" si="0"/>
        <v>5.069472907615378E-3</v>
      </c>
      <c r="L10" s="5" t="s">
        <v>107</v>
      </c>
      <c r="M10" t="s">
        <v>100</v>
      </c>
      <c r="N10" s="13"/>
    </row>
    <row r="11" spans="2:14" x14ac:dyDescent="0.25">
      <c r="B11" s="5" t="s">
        <v>41</v>
      </c>
      <c r="C11" s="15" t="e">
        <f>C9-C10</f>
        <v>#REF!</v>
      </c>
      <c r="E11" s="5" t="s">
        <v>123</v>
      </c>
      <c r="F11" t="s">
        <v>124</v>
      </c>
      <c r="H11" t="s">
        <v>149</v>
      </c>
      <c r="I11" s="10">
        <v>3.1419999999999999</v>
      </c>
      <c r="J11" s="42">
        <f t="shared" si="0"/>
        <v>6.4390523813427324E-5</v>
      </c>
      <c r="L11" s="5"/>
      <c r="N11" s="13"/>
    </row>
    <row r="12" spans="2:14" x14ac:dyDescent="0.25">
      <c r="B12" s="5" t="s">
        <v>5</v>
      </c>
      <c r="C12" s="15" t="e">
        <f>C8-C9+C10</f>
        <v>#REF!</v>
      </c>
      <c r="E12" s="5" t="s">
        <v>125</v>
      </c>
      <c r="F12" t="s">
        <v>126</v>
      </c>
      <c r="H12" t="s">
        <v>150</v>
      </c>
      <c r="I12" s="10">
        <v>2.5739999999999998</v>
      </c>
      <c r="J12" s="42">
        <f t="shared" si="0"/>
        <v>5.2750225428313794E-5</v>
      </c>
      <c r="L12" s="5"/>
      <c r="N12" s="13"/>
    </row>
    <row r="13" spans="2:14" x14ac:dyDescent="0.25">
      <c r="B13" s="5" t="s">
        <v>66</v>
      </c>
      <c r="C13" s="36">
        <f>C6/Model!X21</f>
        <v>-61.91318645108025</v>
      </c>
      <c r="E13" s="5"/>
      <c r="H13" t="s">
        <v>151</v>
      </c>
      <c r="I13" s="10">
        <v>2.5739999999999998</v>
      </c>
      <c r="J13" s="42">
        <f t="shared" si="0"/>
        <v>5.2750225428313794E-5</v>
      </c>
      <c r="L13" s="5"/>
      <c r="N13" s="13"/>
    </row>
    <row r="14" spans="2:14" x14ac:dyDescent="0.25">
      <c r="B14" s="5" t="s">
        <v>62</v>
      </c>
      <c r="C14" s="6"/>
      <c r="E14" s="22"/>
      <c r="F14" s="28"/>
      <c r="G14" s="28"/>
      <c r="H14" s="28"/>
      <c r="I14" s="28"/>
      <c r="J14" s="23"/>
      <c r="L14" s="22"/>
      <c r="M14" s="28"/>
      <c r="N14" s="23"/>
    </row>
    <row r="15" spans="2:14" x14ac:dyDescent="0.25">
      <c r="B15" s="5" t="s">
        <v>63</v>
      </c>
      <c r="C15" s="13"/>
    </row>
    <row r="16" spans="2:14" x14ac:dyDescent="0.25">
      <c r="B16" s="5" t="s">
        <v>64</v>
      </c>
      <c r="C16" s="36" t="e">
        <f>C6/Model!Y22</f>
        <v>#DIV/0!</v>
      </c>
    </row>
    <row r="17" spans="2:5" x14ac:dyDescent="0.25">
      <c r="B17" s="22" t="s">
        <v>65</v>
      </c>
      <c r="C17" s="41">
        <f>C6/Model!Z22</f>
        <v>102.20994475138122</v>
      </c>
      <c r="E17" s="32" t="s">
        <v>73</v>
      </c>
    </row>
    <row r="20" spans="2:5" x14ac:dyDescent="0.25">
      <c r="C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5E9-1C5F-45F5-BD7C-66FA029FFFF4}">
  <dimension ref="A1:AA76"/>
  <sheetViews>
    <sheetView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1" width="27.28515625" customWidth="1"/>
    <col min="16" max="16" width="11.42578125" style="13"/>
    <col min="25" max="25" width="11.42578125" style="13"/>
  </cols>
  <sheetData>
    <row r="1" spans="1:27" x14ac:dyDescent="0.25">
      <c r="A1" s="8" t="s">
        <v>42</v>
      </c>
    </row>
    <row r="2" spans="1:27" x14ac:dyDescent="0.25">
      <c r="B2" t="s">
        <v>38</v>
      </c>
      <c r="C2" t="s">
        <v>37</v>
      </c>
      <c r="D2" t="s">
        <v>36</v>
      </c>
      <c r="E2" t="s">
        <v>35</v>
      </c>
      <c r="F2" t="s">
        <v>10</v>
      </c>
      <c r="G2" t="s">
        <v>11</v>
      </c>
      <c r="H2" t="s">
        <v>12</v>
      </c>
      <c r="I2" t="s">
        <v>13</v>
      </c>
      <c r="J2" t="s">
        <v>6</v>
      </c>
      <c r="K2" t="s">
        <v>7</v>
      </c>
      <c r="L2" t="s">
        <v>8</v>
      </c>
      <c r="M2" t="s">
        <v>9</v>
      </c>
      <c r="N2" t="s">
        <v>40</v>
      </c>
      <c r="O2" t="s">
        <v>58</v>
      </c>
      <c r="P2" s="13" t="s">
        <v>59</v>
      </c>
      <c r="Q2" t="s">
        <v>81</v>
      </c>
      <c r="R2" t="s">
        <v>137</v>
      </c>
      <c r="U2" t="s">
        <v>156</v>
      </c>
      <c r="V2" t="s">
        <v>18</v>
      </c>
      <c r="W2" t="s">
        <v>14</v>
      </c>
      <c r="X2" t="s">
        <v>15</v>
      </c>
      <c r="Y2" s="13" t="s">
        <v>16</v>
      </c>
      <c r="Z2" t="s">
        <v>34</v>
      </c>
      <c r="AA2" t="s">
        <v>138</v>
      </c>
    </row>
    <row r="3" spans="1:27" x14ac:dyDescent="0.25">
      <c r="A3" t="s">
        <v>17</v>
      </c>
      <c r="B3" s="10">
        <v>36460</v>
      </c>
      <c r="C3" s="10">
        <v>42592</v>
      </c>
      <c r="D3" s="10">
        <v>50142</v>
      </c>
      <c r="E3" s="10">
        <v>58972</v>
      </c>
      <c r="F3" s="10">
        <v>70615</v>
      </c>
      <c r="G3" s="10">
        <v>83018</v>
      </c>
      <c r="H3" s="10">
        <v>95545</v>
      </c>
      <c r="I3" s="10">
        <v>108497</v>
      </c>
      <c r="J3" s="10">
        <v>123718</v>
      </c>
      <c r="K3" s="10">
        <v>136893</v>
      </c>
      <c r="L3" s="10">
        <v>149921</v>
      </c>
      <c r="M3" s="10">
        <v>162256</v>
      </c>
      <c r="N3" s="10">
        <v>175679</v>
      </c>
      <c r="O3" s="10">
        <v>189190</v>
      </c>
      <c r="P3" s="15">
        <v>202570</v>
      </c>
      <c r="Q3" s="10"/>
      <c r="U3" s="10">
        <v>78089</v>
      </c>
      <c r="V3" s="10">
        <v>161123</v>
      </c>
      <c r="W3" s="10">
        <f>SUM(E3:H3)</f>
        <v>308150</v>
      </c>
      <c r="X3" s="10">
        <f>SUM(I3:L3)</f>
        <v>519029</v>
      </c>
      <c r="Y3" s="15">
        <f>SUM(M3:P3)</f>
        <v>729695</v>
      </c>
      <c r="Z3" s="10"/>
    </row>
    <row r="4" spans="1:27" x14ac:dyDescent="0.25">
      <c r="A4" s="9" t="s">
        <v>83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43"/>
      <c r="Q4" s="10">
        <v>210510</v>
      </c>
      <c r="R4" s="10">
        <v>225200</v>
      </c>
      <c r="U4" s="10"/>
      <c r="V4" s="10"/>
      <c r="W4" s="10"/>
      <c r="X4" s="10"/>
      <c r="Y4" s="15"/>
      <c r="Z4" s="10">
        <v>935770</v>
      </c>
      <c r="AA4" s="10">
        <v>1190000</v>
      </c>
    </row>
    <row r="5" spans="1:27" x14ac:dyDescent="0.25">
      <c r="A5" t="s">
        <v>78</v>
      </c>
      <c r="B5" s="10">
        <v>4883</v>
      </c>
      <c r="C5" s="10">
        <v>6333</v>
      </c>
      <c r="D5" s="10">
        <v>6681</v>
      </c>
      <c r="E5" s="10">
        <v>7924</v>
      </c>
      <c r="F5" s="39">
        <v>9108</v>
      </c>
      <c r="G5" s="10">
        <v>10213</v>
      </c>
      <c r="H5" s="10">
        <v>11768</v>
      </c>
      <c r="I5" s="10">
        <v>14609</v>
      </c>
      <c r="J5" s="10">
        <v>16730</v>
      </c>
      <c r="K5" s="10">
        <v>17830</v>
      </c>
      <c r="L5" s="10">
        <v>17359</v>
      </c>
      <c r="M5" s="10">
        <v>17014</v>
      </c>
      <c r="N5" s="10">
        <v>19516</v>
      </c>
      <c r="O5" s="10">
        <v>21707</v>
      </c>
      <c r="P5" s="15">
        <v>22408</v>
      </c>
      <c r="U5" s="10">
        <v>11978</v>
      </c>
      <c r="V5" s="10">
        <v>22488</v>
      </c>
      <c r="W5" s="10">
        <f>SUM(E5:H5)</f>
        <v>39013</v>
      </c>
      <c r="X5" s="10">
        <f>SUM(I5:L5)</f>
        <v>66528</v>
      </c>
      <c r="Y5" s="15">
        <f>SUM(M5:P5)</f>
        <v>80645</v>
      </c>
      <c r="Z5" s="10"/>
    </row>
    <row r="6" spans="1:27" x14ac:dyDescent="0.25">
      <c r="A6" t="s">
        <v>85</v>
      </c>
      <c r="B6" s="10">
        <v>12781</v>
      </c>
      <c r="C6" s="10">
        <v>12620</v>
      </c>
      <c r="D6" s="10">
        <v>11428</v>
      </c>
      <c r="E6" s="10">
        <v>15581</v>
      </c>
      <c r="F6" s="10">
        <v>16271</v>
      </c>
      <c r="G6" s="10">
        <v>19875</v>
      </c>
      <c r="H6" s="10">
        <v>21959</v>
      </c>
      <c r="I6" s="10">
        <v>26541</v>
      </c>
      <c r="J6" s="10">
        <v>33962</v>
      </c>
      <c r="K6" s="10">
        <v>33984</v>
      </c>
      <c r="L6" s="10">
        <v>32560</v>
      </c>
      <c r="M6" s="10">
        <v>37063</v>
      </c>
      <c r="N6" s="10">
        <v>39106</v>
      </c>
      <c r="O6" s="10">
        <v>38433</v>
      </c>
      <c r="P6" s="15">
        <v>41898</v>
      </c>
      <c r="U6" s="10">
        <v>24637</v>
      </c>
      <c r="V6" s="10">
        <v>43480</v>
      </c>
      <c r="W6" s="10">
        <f t="shared" ref="W6:W11" si="0">SUM(E6:H6)</f>
        <v>73686</v>
      </c>
      <c r="X6" s="10">
        <f>SUM(I6:L6)</f>
        <v>127047</v>
      </c>
      <c r="Y6" s="15">
        <f>SUM(M6:P6)</f>
        <v>156500</v>
      </c>
      <c r="Z6" s="10"/>
    </row>
    <row r="7" spans="1:27" x14ac:dyDescent="0.25">
      <c r="A7" t="s">
        <v>127</v>
      </c>
      <c r="B7" s="10">
        <v>39636</v>
      </c>
      <c r="C7" s="10">
        <v>57871</v>
      </c>
      <c r="D7" s="10">
        <v>56901</v>
      </c>
      <c r="E7" s="10">
        <v>63048</v>
      </c>
      <c r="F7" s="10">
        <v>61057</v>
      </c>
      <c r="G7" s="10">
        <v>67443</v>
      </c>
      <c r="H7" s="10">
        <v>76535</v>
      </c>
      <c r="I7" s="10">
        <v>115973</v>
      </c>
      <c r="J7" s="10">
        <v>96740</v>
      </c>
      <c r="K7" s="10">
        <v>90970</v>
      </c>
      <c r="L7" s="10">
        <v>88385</v>
      </c>
      <c r="M7" s="10">
        <v>107680</v>
      </c>
      <c r="N7" s="10">
        <v>107443</v>
      </c>
      <c r="O7" s="10">
        <v>108360</v>
      </c>
      <c r="P7" s="15">
        <v>114919</v>
      </c>
      <c r="U7" s="10">
        <v>118534</v>
      </c>
      <c r="V7" s="10">
        <v>191353</v>
      </c>
      <c r="W7" s="10">
        <f t="shared" si="0"/>
        <v>268083</v>
      </c>
      <c r="X7" s="10">
        <f>SUM(I7:L7)</f>
        <v>392068</v>
      </c>
      <c r="Y7" s="15">
        <f>SUM(M7:P7)</f>
        <v>438402</v>
      </c>
      <c r="Z7" s="10"/>
    </row>
    <row r="8" spans="1:27" x14ac:dyDescent="0.25">
      <c r="A8" t="s">
        <v>128</v>
      </c>
      <c r="B8" s="10">
        <v>7351</v>
      </c>
      <c r="C8" s="10">
        <v>6415</v>
      </c>
      <c r="D8" s="10">
        <v>36828</v>
      </c>
      <c r="E8" s="10">
        <v>10266</v>
      </c>
      <c r="F8" s="10">
        <v>11648</v>
      </c>
      <c r="G8" s="10">
        <v>14698</v>
      </c>
      <c r="H8" s="10">
        <v>16881</v>
      </c>
      <c r="I8" s="10">
        <v>18870</v>
      </c>
      <c r="J8" s="10">
        <v>22466</v>
      </c>
      <c r="K8" s="10">
        <v>22348</v>
      </c>
      <c r="L8" s="10">
        <v>21717</v>
      </c>
      <c r="M8" s="10">
        <v>23251</v>
      </c>
      <c r="N8" s="10">
        <v>21781</v>
      </c>
      <c r="O8" s="10">
        <v>23211</v>
      </c>
      <c r="P8" s="15">
        <v>24490</v>
      </c>
      <c r="U8" s="10">
        <v>15458</v>
      </c>
      <c r="V8" s="10">
        <v>54339</v>
      </c>
      <c r="W8" s="10">
        <f t="shared" si="0"/>
        <v>53493</v>
      </c>
      <c r="X8" s="10">
        <f>SUM(I8:L8)</f>
        <v>85401</v>
      </c>
      <c r="Y8" s="15">
        <f>SUM(M8:P8)</f>
        <v>92733</v>
      </c>
      <c r="Z8" s="10"/>
    </row>
    <row r="9" spans="1:27" s="1" customFormat="1" x14ac:dyDescent="0.25">
      <c r="A9" s="1" t="s">
        <v>23</v>
      </c>
      <c r="B9" s="11">
        <f>B3-B5-B6-B7-B8</f>
        <v>-28191</v>
      </c>
      <c r="C9" s="11">
        <f t="shared" ref="C9:P9" si="1">C3-C5-C6-C7-C8</f>
        <v>-40647</v>
      </c>
      <c r="D9" s="11">
        <f t="shared" si="1"/>
        <v>-61696</v>
      </c>
      <c r="E9" s="11">
        <f t="shared" si="1"/>
        <v>-37847</v>
      </c>
      <c r="F9" s="11">
        <f>F3-F5-F6-F7-F8</f>
        <v>-27469</v>
      </c>
      <c r="G9" s="11">
        <f t="shared" si="1"/>
        <v>-29211</v>
      </c>
      <c r="H9" s="11">
        <f t="shared" si="1"/>
        <v>-31598</v>
      </c>
      <c r="I9" s="11">
        <f t="shared" si="1"/>
        <v>-67496</v>
      </c>
      <c r="J9" s="11">
        <f t="shared" si="1"/>
        <v>-46180</v>
      </c>
      <c r="K9" s="11">
        <f t="shared" si="1"/>
        <v>-28239</v>
      </c>
      <c r="L9" s="11">
        <f t="shared" si="1"/>
        <v>-10100</v>
      </c>
      <c r="M9" s="11">
        <f t="shared" si="1"/>
        <v>-22752</v>
      </c>
      <c r="N9" s="11">
        <f t="shared" si="1"/>
        <v>-12167</v>
      </c>
      <c r="O9" s="11">
        <f t="shared" si="1"/>
        <v>-2521</v>
      </c>
      <c r="P9" s="14">
        <f t="shared" si="1"/>
        <v>-1145</v>
      </c>
      <c r="U9" s="11">
        <f t="shared" ref="U9:Y9" si="2">U3-U5-U6-U7-U8</f>
        <v>-92518</v>
      </c>
      <c r="V9" s="11">
        <f t="shared" si="2"/>
        <v>-150537</v>
      </c>
      <c r="W9" s="11">
        <f t="shared" si="2"/>
        <v>-126125</v>
      </c>
      <c r="X9" s="11">
        <f t="shared" si="2"/>
        <v>-152015</v>
      </c>
      <c r="Y9" s="14">
        <f t="shared" si="2"/>
        <v>-38585</v>
      </c>
      <c r="Z9" s="11"/>
    </row>
    <row r="10" spans="1:27" s="1" customFormat="1" x14ac:dyDescent="0.25">
      <c r="A10" s="1" t="s">
        <v>155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4"/>
      <c r="U10" s="11">
        <f>U9+U16</f>
        <v>-70679</v>
      </c>
      <c r="V10" s="11">
        <f>V9+V16</f>
        <v>-86192</v>
      </c>
      <c r="W10" s="11">
        <f t="shared" ref="W10:X10" si="3">W9+W16</f>
        <v>-52596</v>
      </c>
      <c r="X10" s="11">
        <f t="shared" si="3"/>
        <v>-47095</v>
      </c>
      <c r="Y10" s="14">
        <f>Y9+Y16</f>
        <v>61601</v>
      </c>
      <c r="Z10" s="11"/>
    </row>
    <row r="11" spans="1:27" x14ac:dyDescent="0.25">
      <c r="A11" t="s">
        <v>86</v>
      </c>
      <c r="B11" s="10">
        <v>141</v>
      </c>
      <c r="C11" s="10">
        <v>239</v>
      </c>
      <c r="D11" s="10">
        <v>-203</v>
      </c>
      <c r="E11" s="10">
        <v>-406</v>
      </c>
      <c r="F11" s="10">
        <v>-359</v>
      </c>
      <c r="G11" s="10">
        <v>-220</v>
      </c>
      <c r="H11" s="10">
        <v>147</v>
      </c>
      <c r="I11" s="10">
        <v>1993</v>
      </c>
      <c r="J11" s="10">
        <v>2452</v>
      </c>
      <c r="K11" s="10">
        <v>6972</v>
      </c>
      <c r="L11" s="10">
        <v>11137</v>
      </c>
      <c r="M11" s="10">
        <v>9883</v>
      </c>
      <c r="N11" s="10">
        <v>7612</v>
      </c>
      <c r="O11" s="10">
        <v>11555</v>
      </c>
      <c r="P11" s="15">
        <v>12861</v>
      </c>
      <c r="U11" s="10">
        <v>1590</v>
      </c>
      <c r="V11" s="10">
        <v>526</v>
      </c>
      <c r="W11" s="10">
        <f t="shared" si="0"/>
        <v>-838</v>
      </c>
      <c r="X11" s="10">
        <f>SUM(I11:L11)</f>
        <v>22554</v>
      </c>
      <c r="Y11" s="15">
        <f>SUM(M11:P11)</f>
        <v>41911</v>
      </c>
      <c r="Z11" s="10"/>
    </row>
    <row r="12" spans="1:27" s="1" customFormat="1" x14ac:dyDescent="0.25">
      <c r="A12" s="1" t="s">
        <v>19</v>
      </c>
      <c r="B12" s="11">
        <f t="shared" ref="B12:P12" si="4">B9+B11</f>
        <v>-28050</v>
      </c>
      <c r="C12" s="11">
        <f t="shared" si="4"/>
        <v>-40408</v>
      </c>
      <c r="D12" s="11">
        <f t="shared" si="4"/>
        <v>-61899</v>
      </c>
      <c r="E12" s="11">
        <f t="shared" si="4"/>
        <v>-38253</v>
      </c>
      <c r="F12" s="11">
        <f t="shared" si="4"/>
        <v>-27828</v>
      </c>
      <c r="G12" s="11">
        <f t="shared" si="4"/>
        <v>-29431</v>
      </c>
      <c r="H12" s="11">
        <f t="shared" si="4"/>
        <v>-31451</v>
      </c>
      <c r="I12" s="11">
        <f t="shared" si="4"/>
        <v>-65503</v>
      </c>
      <c r="J12" s="11">
        <f t="shared" si="4"/>
        <v>-43728</v>
      </c>
      <c r="K12" s="11">
        <f t="shared" si="4"/>
        <v>-21267</v>
      </c>
      <c r="L12" s="11">
        <f t="shared" si="4"/>
        <v>1037</v>
      </c>
      <c r="M12" s="11">
        <f t="shared" si="4"/>
        <v>-12869</v>
      </c>
      <c r="N12" s="11">
        <f t="shared" si="4"/>
        <v>-4555</v>
      </c>
      <c r="O12" s="11">
        <f t="shared" si="4"/>
        <v>9034</v>
      </c>
      <c r="P12" s="14">
        <f t="shared" si="4"/>
        <v>11716</v>
      </c>
      <c r="U12" s="11">
        <f t="shared" ref="U12:X12" si="5">U9+U11</f>
        <v>-90928</v>
      </c>
      <c r="V12" s="11">
        <f t="shared" si="5"/>
        <v>-150011</v>
      </c>
      <c r="W12" s="11">
        <f t="shared" si="5"/>
        <v>-126963</v>
      </c>
      <c r="X12" s="11">
        <f t="shared" si="5"/>
        <v>-129461</v>
      </c>
      <c r="Y12" s="14">
        <f>Y9+Y11</f>
        <v>3326</v>
      </c>
      <c r="Z12" s="11"/>
    </row>
    <row r="13" spans="1:27" x14ac:dyDescent="0.25">
      <c r="A13" t="s">
        <v>20</v>
      </c>
      <c r="B13" s="10">
        <v>-350</v>
      </c>
      <c r="C13" s="10">
        <v>-671</v>
      </c>
      <c r="D13" s="10">
        <v>-962</v>
      </c>
      <c r="E13" s="10">
        <v>-699</v>
      </c>
      <c r="F13" s="10">
        <v>-1063</v>
      </c>
      <c r="G13" s="10">
        <v>585</v>
      </c>
      <c r="H13" s="10">
        <v>-1154</v>
      </c>
      <c r="I13" s="10">
        <v>-1175</v>
      </c>
      <c r="J13" s="10">
        <v>-1943</v>
      </c>
      <c r="K13" s="10">
        <v>-1763</v>
      </c>
      <c r="L13" s="10">
        <v>-2525</v>
      </c>
      <c r="M13" s="10">
        <v>-1798</v>
      </c>
      <c r="N13" s="10">
        <v>-2480</v>
      </c>
      <c r="O13" s="10">
        <v>-1546</v>
      </c>
      <c r="P13" s="15">
        <v>621</v>
      </c>
      <c r="U13" s="10">
        <v>-683</v>
      </c>
      <c r="V13" s="10">
        <v>-2192</v>
      </c>
      <c r="W13" s="10">
        <v>-2331</v>
      </c>
      <c r="X13" s="10">
        <v>-7406</v>
      </c>
      <c r="Y13" s="15">
        <v>-5203</v>
      </c>
      <c r="Z13" s="10"/>
    </row>
    <row r="14" spans="1:27" x14ac:dyDescent="0.25">
      <c r="A14" t="s">
        <v>129</v>
      </c>
      <c r="B14" s="10">
        <v>-4665</v>
      </c>
      <c r="C14" s="10">
        <v>-4717</v>
      </c>
      <c r="D14" s="10">
        <v>-4717</v>
      </c>
      <c r="E14" s="10">
        <v>-4614</v>
      </c>
      <c r="F14" s="10">
        <v>-3589</v>
      </c>
      <c r="G14" s="10"/>
      <c r="H14" s="10"/>
      <c r="I14" s="10"/>
      <c r="J14" s="10"/>
      <c r="K14" s="10"/>
      <c r="L14" s="10"/>
      <c r="M14" s="10"/>
      <c r="N14" s="10"/>
      <c r="O14" s="10"/>
      <c r="P14" s="15"/>
      <c r="U14" s="10"/>
      <c r="V14" s="10"/>
      <c r="W14" s="10"/>
      <c r="X14" s="10">
        <f>SUM(I14:L14)</f>
        <v>0</v>
      </c>
      <c r="Y14" s="15">
        <f>SUM(M14:P14)</f>
        <v>0</v>
      </c>
      <c r="Z14" s="10"/>
    </row>
    <row r="15" spans="1:27" s="1" customFormat="1" x14ac:dyDescent="0.25">
      <c r="A15" s="1" t="s">
        <v>21</v>
      </c>
      <c r="B15" s="11">
        <f>B12+B13+B14</f>
        <v>-33065</v>
      </c>
      <c r="C15" s="11">
        <f>C12+C13+C14</f>
        <v>-45796</v>
      </c>
      <c r="D15" s="11">
        <f>D12+D13+D14</f>
        <v>-67578</v>
      </c>
      <c r="E15" s="11">
        <f>E12+E13+E14</f>
        <v>-43566</v>
      </c>
      <c r="F15" s="11">
        <f>F12+F13+F14</f>
        <v>-32480</v>
      </c>
      <c r="G15" s="11">
        <f t="shared" ref="G15:Q15" si="6">G12+G13+G14</f>
        <v>-28846</v>
      </c>
      <c r="H15" s="11">
        <f t="shared" si="6"/>
        <v>-32605</v>
      </c>
      <c r="I15" s="11">
        <f t="shared" si="6"/>
        <v>-66678</v>
      </c>
      <c r="J15" s="11">
        <f t="shared" si="6"/>
        <v>-45671</v>
      </c>
      <c r="K15" s="11">
        <f t="shared" si="6"/>
        <v>-23030</v>
      </c>
      <c r="L15" s="11">
        <f t="shared" si="6"/>
        <v>-1488</v>
      </c>
      <c r="M15" s="11">
        <f t="shared" si="6"/>
        <v>-14667</v>
      </c>
      <c r="N15" s="11">
        <f t="shared" si="6"/>
        <v>-7035</v>
      </c>
      <c r="O15" s="11">
        <f t="shared" si="6"/>
        <v>7488</v>
      </c>
      <c r="P15" s="14">
        <f t="shared" si="6"/>
        <v>12337</v>
      </c>
      <c r="Q15" s="11">
        <f t="shared" si="6"/>
        <v>0</v>
      </c>
      <c r="R15" s="11"/>
      <c r="U15" s="11">
        <f>U12+U14+U13</f>
        <v>-91611</v>
      </c>
      <c r="V15" s="11">
        <f>V12+V14+V13</f>
        <v>-152203</v>
      </c>
      <c r="W15" s="11">
        <f>W12+W14+W13</f>
        <v>-129294</v>
      </c>
      <c r="X15" s="11">
        <f>X12+X14+X13</f>
        <v>-136867</v>
      </c>
      <c r="Y15" s="14">
        <f>Y12+Y14+Y13</f>
        <v>-1877</v>
      </c>
      <c r="Z15" s="11">
        <f t="shared" ref="Z15" si="7">Z12+Z14</f>
        <v>0</v>
      </c>
    </row>
    <row r="16" spans="1:27" x14ac:dyDescent="0.25">
      <c r="A16" s="45" t="s">
        <v>89</v>
      </c>
      <c r="B16" s="46"/>
      <c r="C16" s="46"/>
      <c r="D16" s="46"/>
      <c r="E16" s="46"/>
      <c r="F16" s="46">
        <v>17558</v>
      </c>
      <c r="G16" s="46"/>
      <c r="H16" s="46"/>
      <c r="I16" s="46"/>
      <c r="J16" s="46"/>
      <c r="K16" s="46"/>
      <c r="L16" s="46"/>
      <c r="M16" s="46"/>
      <c r="N16" s="46"/>
      <c r="O16" s="46"/>
      <c r="P16" s="49"/>
      <c r="Q16" s="46"/>
      <c r="R16" s="46"/>
      <c r="S16" s="45"/>
      <c r="T16" s="45"/>
      <c r="U16" s="46">
        <v>21839</v>
      </c>
      <c r="V16" s="46">
        <v>64345</v>
      </c>
      <c r="W16" s="46">
        <v>73529</v>
      </c>
      <c r="X16" s="46">
        <v>104920</v>
      </c>
      <c r="Y16" s="49">
        <v>100186</v>
      </c>
      <c r="Z16" s="46"/>
    </row>
    <row r="17" spans="1:27" x14ac:dyDescent="0.25">
      <c r="A17" s="45" t="s">
        <v>27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9"/>
      <c r="Q17" s="46"/>
      <c r="R17" s="46"/>
      <c r="S17" s="45"/>
      <c r="T17" s="45"/>
      <c r="U17" s="46"/>
      <c r="V17" s="46"/>
      <c r="W17" s="46"/>
      <c r="X17" s="46">
        <f>SUM(I17:L17)</f>
        <v>0</v>
      </c>
      <c r="Y17" s="49">
        <f>SUM(M17:P17)</f>
        <v>0</v>
      </c>
      <c r="Z17" s="46"/>
    </row>
    <row r="18" spans="1:27" s="1" customFormat="1" x14ac:dyDescent="0.25">
      <c r="A18" s="47" t="s">
        <v>90</v>
      </c>
      <c r="B18" s="48">
        <f>B16+B17</f>
        <v>0</v>
      </c>
      <c r="C18" s="48">
        <f t="shared" ref="C18:P18" si="8">C16+C17</f>
        <v>0</v>
      </c>
      <c r="D18" s="48">
        <f t="shared" si="8"/>
        <v>0</v>
      </c>
      <c r="E18" s="48">
        <f t="shared" si="8"/>
        <v>0</v>
      </c>
      <c r="F18" s="48">
        <f>F12++F13+F16+F17</f>
        <v>-11333</v>
      </c>
      <c r="G18" s="48">
        <f t="shared" si="8"/>
        <v>0</v>
      </c>
      <c r="H18" s="48">
        <f t="shared" si="8"/>
        <v>0</v>
      </c>
      <c r="I18" s="48">
        <f t="shared" si="8"/>
        <v>0</v>
      </c>
      <c r="J18" s="48">
        <f t="shared" si="8"/>
        <v>0</v>
      </c>
      <c r="K18" s="48">
        <f t="shared" si="8"/>
        <v>0</v>
      </c>
      <c r="L18" s="48">
        <f t="shared" si="8"/>
        <v>0</v>
      </c>
      <c r="M18" s="48">
        <f t="shared" si="8"/>
        <v>0</v>
      </c>
      <c r="N18" s="48">
        <f t="shared" si="8"/>
        <v>0</v>
      </c>
      <c r="O18" s="48">
        <f t="shared" si="8"/>
        <v>0</v>
      </c>
      <c r="P18" s="50">
        <f t="shared" si="8"/>
        <v>0</v>
      </c>
      <c r="Q18" s="48"/>
      <c r="R18" s="48"/>
      <c r="S18" s="47"/>
      <c r="T18" s="47"/>
      <c r="U18" s="48">
        <f>U10+U11+U13</f>
        <v>-69772</v>
      </c>
      <c r="V18" s="48">
        <f>V10+V11+V13</f>
        <v>-87858</v>
      </c>
      <c r="W18" s="48">
        <f>W10+W11+W13</f>
        <v>-55765</v>
      </c>
      <c r="X18" s="48">
        <f>X10+X11+X13</f>
        <v>-31947</v>
      </c>
      <c r="Y18" s="48">
        <f>Y10+Y11+Y13</f>
        <v>98309</v>
      </c>
      <c r="Z18" s="48"/>
    </row>
    <row r="19" spans="1:27" x14ac:dyDescent="0.25">
      <c r="A19" t="s">
        <v>1</v>
      </c>
      <c r="B19" s="10">
        <v>11836</v>
      </c>
      <c r="C19" s="10">
        <v>12240</v>
      </c>
      <c r="D19" s="10">
        <v>12334</v>
      </c>
      <c r="E19" s="10">
        <v>12392</v>
      </c>
      <c r="F19" s="10">
        <v>19417</v>
      </c>
      <c r="G19" s="10">
        <v>44267</v>
      </c>
      <c r="H19" s="10">
        <v>44741</v>
      </c>
      <c r="I19" s="10">
        <v>44978</v>
      </c>
      <c r="J19" s="10">
        <v>45074</v>
      </c>
      <c r="K19" s="10">
        <v>45477</v>
      </c>
      <c r="L19" s="10">
        <v>47659</v>
      </c>
      <c r="M19" s="10">
        <v>47912</v>
      </c>
      <c r="N19" s="10">
        <v>48209</v>
      </c>
      <c r="O19" s="10">
        <v>48536</v>
      </c>
      <c r="P19" s="15">
        <v>48796</v>
      </c>
      <c r="Q19" s="10"/>
      <c r="R19" s="10"/>
      <c r="U19" s="10"/>
      <c r="V19" s="10"/>
      <c r="W19" s="10">
        <v>30332.006000000001</v>
      </c>
      <c r="X19" s="10">
        <v>45804.714</v>
      </c>
      <c r="Y19" s="15">
        <v>48366.377999999997</v>
      </c>
      <c r="Z19" s="10"/>
    </row>
    <row r="20" spans="1:27" x14ac:dyDescent="0.25">
      <c r="A20" t="s">
        <v>136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5"/>
      <c r="Q20" s="10"/>
      <c r="R20" s="10"/>
      <c r="U20" s="10"/>
      <c r="V20" s="10"/>
      <c r="W20" s="10"/>
      <c r="X20" s="10"/>
      <c r="Y20" s="15"/>
      <c r="Z20" s="10"/>
    </row>
    <row r="21" spans="1:27" s="1" customFormat="1" x14ac:dyDescent="0.25">
      <c r="A21" s="1" t="s">
        <v>22</v>
      </c>
      <c r="B21" s="2">
        <f t="shared" ref="B21:P21" si="9">B15/B19</f>
        <v>-2.7935958093950659</v>
      </c>
      <c r="C21" s="2">
        <f t="shared" si="9"/>
        <v>-3.7415032679738562</v>
      </c>
      <c r="D21" s="2">
        <f t="shared" si="9"/>
        <v>-5.4790011350737799</v>
      </c>
      <c r="E21" s="2">
        <f t="shared" si="9"/>
        <v>-3.5156552614590058</v>
      </c>
      <c r="F21" s="2">
        <f t="shared" si="9"/>
        <v>-1.6727609826440748</v>
      </c>
      <c r="G21" s="2">
        <f t="shared" si="9"/>
        <v>-0.65163665936250481</v>
      </c>
      <c r="H21" s="2">
        <f t="shared" si="9"/>
        <v>-0.72874991618426055</v>
      </c>
      <c r="I21" s="2">
        <f t="shared" si="9"/>
        <v>-1.4824580906220819</v>
      </c>
      <c r="J21" s="2">
        <f t="shared" si="9"/>
        <v>-1.0132448861871588</v>
      </c>
      <c r="K21" s="2">
        <f t="shared" si="9"/>
        <v>-0.50640983354223013</v>
      </c>
      <c r="L21" s="2">
        <f t="shared" si="9"/>
        <v>-3.1221804905684131E-2</v>
      </c>
      <c r="M21" s="2">
        <f t="shared" si="9"/>
        <v>-0.30612372683252631</v>
      </c>
      <c r="N21" s="2">
        <f t="shared" si="9"/>
        <v>-0.14592710904602876</v>
      </c>
      <c r="O21" s="2">
        <f t="shared" si="9"/>
        <v>0.15427723751442229</v>
      </c>
      <c r="P21" s="35">
        <f t="shared" si="9"/>
        <v>0.25282810066398886</v>
      </c>
      <c r="Q21" s="34"/>
      <c r="R21" s="34"/>
      <c r="U21" s="2"/>
      <c r="V21" s="2" t="e">
        <f>V15/V19</f>
        <v>#DIV/0!</v>
      </c>
      <c r="W21" s="2">
        <f>W15/W19</f>
        <v>-4.2626260854623332</v>
      </c>
      <c r="X21" s="2">
        <f>X15/X19</f>
        <v>-2.9880548975810655</v>
      </c>
      <c r="Y21" s="35">
        <f>Y15/Y19</f>
        <v>-3.8807950432012919E-2</v>
      </c>
      <c r="Z21" s="2"/>
    </row>
    <row r="22" spans="1:27" s="1" customFormat="1" x14ac:dyDescent="0.25">
      <c r="A22" s="9" t="s">
        <v>82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4"/>
      <c r="Q22" s="34">
        <v>0.4</v>
      </c>
      <c r="R22" s="34">
        <v>0.48</v>
      </c>
      <c r="V22" s="2"/>
      <c r="W22" s="2"/>
      <c r="X22" s="2"/>
      <c r="Y22" s="35"/>
      <c r="Z22" s="2">
        <v>1.81</v>
      </c>
      <c r="AA22" s="1">
        <v>2.0099999999999998</v>
      </c>
    </row>
    <row r="23" spans="1:27" s="1" customFormat="1" x14ac:dyDescent="0.25">
      <c r="A23" s="9" t="s">
        <v>130</v>
      </c>
      <c r="B23" s="40">
        <f>B18/B19</f>
        <v>0</v>
      </c>
      <c r="C23" s="40">
        <f t="shared" ref="C23:O23" si="10">C18/C19</f>
        <v>0</v>
      </c>
      <c r="D23" s="40">
        <f t="shared" si="10"/>
        <v>0</v>
      </c>
      <c r="E23" s="40">
        <f t="shared" si="10"/>
        <v>0</v>
      </c>
      <c r="F23" s="40">
        <f>F18/F19</f>
        <v>-0.58366379976309424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4">
        <f>P18/P19</f>
        <v>0</v>
      </c>
      <c r="Q23" s="34"/>
      <c r="R23" s="34"/>
      <c r="V23" s="2"/>
      <c r="W23" s="2">
        <f>W18/W19</f>
        <v>-1.8384870423670627</v>
      </c>
      <c r="X23" s="2">
        <f t="shared" ref="X23" si="11">X18/X19</f>
        <v>-0.69746096438894911</v>
      </c>
      <c r="Y23" s="35">
        <f>Y18/Y19</f>
        <v>2.0325896638363123</v>
      </c>
      <c r="Z23" s="2"/>
    </row>
    <row r="24" spans="1:27" s="1" customFormat="1" x14ac:dyDescent="0.25">
      <c r="A24" s="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4"/>
      <c r="Q24" s="34"/>
      <c r="R24" s="34"/>
      <c r="V24" s="2"/>
      <c r="W24" s="2"/>
      <c r="X24" s="2"/>
      <c r="Y24" s="35"/>
      <c r="Z24" s="2"/>
    </row>
    <row r="25" spans="1:27" s="1" customFormat="1" x14ac:dyDescent="0.25">
      <c r="A25" t="s">
        <v>31</v>
      </c>
      <c r="B25" s="3">
        <f t="shared" ref="B25:P25" si="12">1-B5/B3</f>
        <v>0.86607240811848607</v>
      </c>
      <c r="C25" s="3">
        <f t="shared" si="12"/>
        <v>0.85131010518407213</v>
      </c>
      <c r="D25" s="3">
        <f t="shared" si="12"/>
        <v>0.86675840612660049</v>
      </c>
      <c r="E25" s="3">
        <f t="shared" si="12"/>
        <v>0.86563114698500987</v>
      </c>
      <c r="F25" s="3">
        <f t="shared" si="12"/>
        <v>0.87101890533172832</v>
      </c>
      <c r="G25" s="3">
        <f t="shared" si="12"/>
        <v>0.87697848659326894</v>
      </c>
      <c r="H25" s="3">
        <f t="shared" si="12"/>
        <v>0.8768329059605422</v>
      </c>
      <c r="I25" s="3">
        <f t="shared" si="12"/>
        <v>0.86535111569905165</v>
      </c>
      <c r="J25" s="3">
        <f t="shared" si="12"/>
        <v>0.86477311304741433</v>
      </c>
      <c r="K25" s="3">
        <f t="shared" si="12"/>
        <v>0.86975228828354989</v>
      </c>
      <c r="L25" s="3">
        <f t="shared" si="12"/>
        <v>0.884212351838635</v>
      </c>
      <c r="M25" s="3">
        <f t="shared" si="12"/>
        <v>0.89514101173454297</v>
      </c>
      <c r="N25" s="3">
        <f t="shared" si="12"/>
        <v>0.88891102522213816</v>
      </c>
      <c r="O25" s="38">
        <f t="shared" si="12"/>
        <v>0.88526349172789254</v>
      </c>
      <c r="P25" s="6">
        <f t="shared" si="12"/>
        <v>0.88938144838821143</v>
      </c>
      <c r="V25" s="3">
        <f>1-V5/V3</f>
        <v>0.86042960967707893</v>
      </c>
      <c r="W25" s="3">
        <f>1-W5/W3</f>
        <v>0.87339607334090541</v>
      </c>
      <c r="X25" s="3">
        <f>1-X5/X3</f>
        <v>0.87182219105290848</v>
      </c>
      <c r="Y25" s="6">
        <f>1-Y5/Y3</f>
        <v>0.88948122160628751</v>
      </c>
      <c r="Z25" s="3"/>
    </row>
    <row r="26" spans="1:27" x14ac:dyDescent="0.25">
      <c r="A26" t="s">
        <v>32</v>
      </c>
      <c r="B26" s="4">
        <f t="shared" ref="B26:P26" si="13">B15/B3</f>
        <v>-0.90688425671969286</v>
      </c>
      <c r="C26" s="4">
        <f t="shared" si="13"/>
        <v>-1.0752253944402705</v>
      </c>
      <c r="D26" s="4">
        <f t="shared" si="13"/>
        <v>-1.3477324398707671</v>
      </c>
      <c r="E26" s="4">
        <f t="shared" si="13"/>
        <v>-0.73875737638201178</v>
      </c>
      <c r="F26" s="4">
        <f t="shared" si="13"/>
        <v>-0.45995893223819301</v>
      </c>
      <c r="G26" s="4">
        <f t="shared" si="13"/>
        <v>-0.3474668144257872</v>
      </c>
      <c r="H26" s="4">
        <f t="shared" si="13"/>
        <v>-0.34125281281071745</v>
      </c>
      <c r="I26" s="4">
        <f t="shared" si="13"/>
        <v>-0.61456077126556496</v>
      </c>
      <c r="J26" s="4">
        <f t="shared" si="13"/>
        <v>-0.36915404387397144</v>
      </c>
      <c r="K26" s="4">
        <f t="shared" si="13"/>
        <v>-0.16823358389399021</v>
      </c>
      <c r="L26" s="4">
        <f t="shared" si="13"/>
        <v>-9.9252272863708212E-3</v>
      </c>
      <c r="M26" s="4">
        <f t="shared" si="13"/>
        <v>-9.0394191894290501E-2</v>
      </c>
      <c r="N26" s="4">
        <f t="shared" si="13"/>
        <v>-4.0044626847830417E-2</v>
      </c>
      <c r="O26" s="4">
        <f t="shared" si="13"/>
        <v>3.9579258946033091E-2</v>
      </c>
      <c r="P26" s="7">
        <f t="shared" si="13"/>
        <v>6.0902404107222197E-2</v>
      </c>
      <c r="V26" s="4">
        <f>V15/V3</f>
        <v>-0.94463856805049562</v>
      </c>
      <c r="W26" s="4">
        <f>W15/W3</f>
        <v>-0.4195813727080967</v>
      </c>
      <c r="X26" s="4">
        <f>X15/X3</f>
        <v>-0.26369817486113495</v>
      </c>
      <c r="Y26" s="7">
        <f>Y15/Y3</f>
        <v>-2.5723076079731942E-3</v>
      </c>
      <c r="Z26" s="4"/>
    </row>
    <row r="27" spans="1:27" x14ac:dyDescent="0.25">
      <c r="A27" t="s">
        <v>33</v>
      </c>
      <c r="B27" s="4"/>
      <c r="C27" s="4"/>
      <c r="D27" s="4"/>
      <c r="E27" s="4"/>
      <c r="F27" s="4">
        <f t="shared" ref="F27:P27" si="14">F3/B3-1</f>
        <v>0.93678003291278111</v>
      </c>
      <c r="G27" s="4">
        <f t="shared" si="14"/>
        <v>0.94914537941397437</v>
      </c>
      <c r="H27" s="4">
        <f t="shared" si="14"/>
        <v>0.90548841290734305</v>
      </c>
      <c r="I27" s="4">
        <f t="shared" si="14"/>
        <v>0.83980533134368862</v>
      </c>
      <c r="J27" s="4">
        <f t="shared" si="14"/>
        <v>0.75200736387453082</v>
      </c>
      <c r="K27" s="4">
        <f t="shared" si="14"/>
        <v>0.64895564817268547</v>
      </c>
      <c r="L27" s="4">
        <f t="shared" si="14"/>
        <v>0.56911403003820182</v>
      </c>
      <c r="M27" s="4">
        <f t="shared" si="14"/>
        <v>0.4954883545167148</v>
      </c>
      <c r="N27" s="4">
        <f t="shared" si="14"/>
        <v>0.41999547357700573</v>
      </c>
      <c r="O27" s="4">
        <f t="shared" si="14"/>
        <v>0.38202829947477235</v>
      </c>
      <c r="P27" s="7">
        <f t="shared" si="14"/>
        <v>0.3511782872312752</v>
      </c>
      <c r="Q27" s="4">
        <f>Q4/M3-1</f>
        <v>0.29739424119909286</v>
      </c>
      <c r="R27" s="4">
        <f>R4/N3-1</f>
        <v>0.28188343512884284</v>
      </c>
      <c r="V27" s="38">
        <f>V3/U3-1</f>
        <v>1.0633251802430559</v>
      </c>
      <c r="W27" s="38">
        <f>W3/V3-1</f>
        <v>0.91251404206724063</v>
      </c>
      <c r="X27" s="38">
        <f>X3/W3-1</f>
        <v>0.6843387960408891</v>
      </c>
      <c r="Y27" s="6">
        <f>Y3/X3-1</f>
        <v>0.4058848349514188</v>
      </c>
      <c r="Z27" s="4">
        <f>Z4/Y3-1</f>
        <v>0.28241251481783491</v>
      </c>
      <c r="AA27" s="4">
        <f>AA4/Z4-1</f>
        <v>0.2716800068392875</v>
      </c>
    </row>
    <row r="28" spans="1:27" x14ac:dyDescent="0.25">
      <c r="A28" t="s">
        <v>135</v>
      </c>
      <c r="B28" s="4"/>
      <c r="C28" s="4"/>
      <c r="D28" s="4"/>
      <c r="E28" s="4"/>
      <c r="F28" s="3">
        <f t="shared" ref="F28:P28" si="15">F7/F3</f>
        <v>0.86464632160305888</v>
      </c>
      <c r="G28" s="3">
        <f t="shared" si="15"/>
        <v>0.81239008407815172</v>
      </c>
      <c r="H28" s="3">
        <f t="shared" si="15"/>
        <v>0.80103616097127006</v>
      </c>
      <c r="I28" s="3">
        <f t="shared" si="15"/>
        <v>1.0689051310174476</v>
      </c>
      <c r="J28" s="3">
        <f t="shared" si="15"/>
        <v>0.78193957225302702</v>
      </c>
      <c r="K28" s="3">
        <f t="shared" si="15"/>
        <v>0.66453361384438936</v>
      </c>
      <c r="L28" s="3">
        <f t="shared" si="15"/>
        <v>0.58954382641524539</v>
      </c>
      <c r="M28" s="3">
        <f t="shared" si="15"/>
        <v>0.66364263879301844</v>
      </c>
      <c r="N28" s="3">
        <f t="shared" si="15"/>
        <v>0.61158704227596927</v>
      </c>
      <c r="O28" s="3">
        <f t="shared" si="15"/>
        <v>0.57275754532480572</v>
      </c>
      <c r="P28" s="3">
        <f t="shared" si="15"/>
        <v>0.56730512909117836</v>
      </c>
      <c r="Q28" s="4"/>
      <c r="V28" s="3"/>
      <c r="W28" s="3"/>
      <c r="X28" s="38"/>
      <c r="Y28" s="6"/>
      <c r="Z28" s="4"/>
    </row>
    <row r="29" spans="1:27" x14ac:dyDescent="0.25">
      <c r="A29" t="s">
        <v>91</v>
      </c>
      <c r="B29" s="3">
        <f t="shared" ref="B29:P29" si="16">B18/B3</f>
        <v>0</v>
      </c>
      <c r="C29" s="3">
        <f t="shared" si="16"/>
        <v>0</v>
      </c>
      <c r="D29" s="3">
        <f t="shared" si="16"/>
        <v>0</v>
      </c>
      <c r="E29" s="3">
        <f t="shared" si="16"/>
        <v>0</v>
      </c>
      <c r="F29" s="3">
        <f t="shared" si="16"/>
        <v>-0.16048998088224881</v>
      </c>
      <c r="G29" s="3">
        <f t="shared" si="16"/>
        <v>0</v>
      </c>
      <c r="H29" s="3">
        <f t="shared" si="16"/>
        <v>0</v>
      </c>
      <c r="I29" s="3">
        <f t="shared" si="16"/>
        <v>0</v>
      </c>
      <c r="J29" s="3">
        <f t="shared" si="16"/>
        <v>0</v>
      </c>
      <c r="K29" s="3">
        <f t="shared" si="16"/>
        <v>0</v>
      </c>
      <c r="L29" s="3">
        <f t="shared" si="16"/>
        <v>0</v>
      </c>
      <c r="M29" s="3">
        <f t="shared" si="16"/>
        <v>0</v>
      </c>
      <c r="N29" s="3">
        <f t="shared" si="16"/>
        <v>0</v>
      </c>
      <c r="O29" s="38">
        <f t="shared" si="16"/>
        <v>0</v>
      </c>
      <c r="P29" s="6">
        <f t="shared" si="16"/>
        <v>0</v>
      </c>
      <c r="W29" s="38">
        <f>W18/W3</f>
        <v>-0.18096706149602465</v>
      </c>
      <c r="X29" s="38">
        <f>X18/X3</f>
        <v>-6.1551474002416048E-2</v>
      </c>
      <c r="Y29" s="6">
        <f>Y18/Y3</f>
        <v>0.13472615270763813</v>
      </c>
    </row>
    <row r="30" spans="1:27" x14ac:dyDescent="0.25">
      <c r="A30" t="s">
        <v>39</v>
      </c>
      <c r="B30" s="4"/>
      <c r="C30" s="4"/>
      <c r="D30" s="4"/>
      <c r="E30" s="4"/>
      <c r="F30" s="4">
        <f t="shared" ref="F30:N30" si="17">F15/B15-1</f>
        <v>-1.7692424013307173E-2</v>
      </c>
      <c r="G30" s="4">
        <f t="shared" si="17"/>
        <v>-0.37011966110577343</v>
      </c>
      <c r="H30" s="4">
        <f t="shared" si="17"/>
        <v>-0.51752049483559737</v>
      </c>
      <c r="I30" s="4">
        <f t="shared" si="17"/>
        <v>0.53050544002203548</v>
      </c>
      <c r="J30" s="4">
        <f t="shared" si="17"/>
        <v>0.4061268472906403</v>
      </c>
      <c r="K30" s="4">
        <f t="shared" si="17"/>
        <v>-0.2016224086528462</v>
      </c>
      <c r="L30" s="4">
        <f t="shared" si="17"/>
        <v>-0.9543628277871492</v>
      </c>
      <c r="M30" s="4">
        <f t="shared" si="17"/>
        <v>-0.78003239449293615</v>
      </c>
      <c r="N30" s="4">
        <f t="shared" si="17"/>
        <v>-0.84596352170961886</v>
      </c>
      <c r="O30" s="4">
        <f>O15/K15-1</f>
        <v>-1.3251411202778984</v>
      </c>
      <c r="P30" s="7">
        <f>P15/L15-1</f>
        <v>-9.290994623655914</v>
      </c>
      <c r="Q30" s="4">
        <f>Q22/M21-1</f>
        <v>-2.3066612122451762</v>
      </c>
      <c r="R30" s="4">
        <f>R22/N21-1</f>
        <v>-4.2893134328358204</v>
      </c>
      <c r="V30" s="3"/>
      <c r="W30" s="3">
        <f>-(W15/V15-1)</f>
        <v>0.15051608706792896</v>
      </c>
      <c r="X30" s="38">
        <f>-(X15/W15-1)</f>
        <v>-5.8571936826148141E-2</v>
      </c>
      <c r="Y30" s="6">
        <f>-(Y15/X15-1)</f>
        <v>0.98628595643946315</v>
      </c>
      <c r="Z30" s="3">
        <f>Z22/Y21-1</f>
        <v>-47.639927639850825</v>
      </c>
      <c r="AA30" s="3">
        <f>AA22/Z22-1</f>
        <v>0.11049723756906071</v>
      </c>
    </row>
    <row r="31" spans="1:27" x14ac:dyDescent="0.25">
      <c r="A31" t="s">
        <v>152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"/>
      <c r="Q31" s="4"/>
      <c r="R31" s="4"/>
      <c r="V31" s="3"/>
      <c r="W31" s="38">
        <f t="shared" ref="W31:X31" si="18">W6/W3</f>
        <v>0.239123803342528</v>
      </c>
      <c r="X31" s="38">
        <f t="shared" si="18"/>
        <v>0.24477823011816296</v>
      </c>
      <c r="Y31" s="6">
        <f>Y6/Y3</f>
        <v>0.21447317029717897</v>
      </c>
      <c r="Z31" s="3"/>
      <c r="AA31" s="3"/>
    </row>
    <row r="32" spans="1:27" x14ac:dyDescent="0.25">
      <c r="A32" t="s">
        <v>153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7"/>
      <c r="Q32" s="4"/>
      <c r="R32" s="4"/>
      <c r="V32" s="3"/>
      <c r="W32" s="38">
        <f t="shared" ref="W32:X32" si="19">W7/W3</f>
        <v>0.86997566120395908</v>
      </c>
      <c r="X32" s="38">
        <f t="shared" si="19"/>
        <v>0.75538746389893441</v>
      </c>
      <c r="Y32" s="6">
        <f>Y7/Y3</f>
        <v>0.60080170482187767</v>
      </c>
      <c r="Z32" s="3"/>
      <c r="AA32" s="3"/>
    </row>
    <row r="33" spans="1:27" x14ac:dyDescent="0.25">
      <c r="A33" t="s">
        <v>154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7"/>
      <c r="Q33" s="4"/>
      <c r="R33" s="4"/>
      <c r="V33" s="3"/>
      <c r="W33" s="38">
        <f t="shared" ref="W33:X33" si="20">W8/W3</f>
        <v>0.17359402888203798</v>
      </c>
      <c r="X33" s="38">
        <f t="shared" si="20"/>
        <v>0.16453993900148162</v>
      </c>
      <c r="Y33" s="6">
        <f>Y8/Y3</f>
        <v>0.12708460384133097</v>
      </c>
      <c r="Z33" s="3"/>
      <c r="AA33" s="3"/>
    </row>
    <row r="34" spans="1:27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8"/>
    </row>
    <row r="36" spans="1:27" s="1" customFormat="1" x14ac:dyDescent="0.25">
      <c r="A36" s="1" t="s">
        <v>43</v>
      </c>
      <c r="B36" s="11">
        <f>B37</f>
        <v>0</v>
      </c>
      <c r="C36" s="11">
        <f t="shared" ref="C36:P36" si="21">C37</f>
        <v>0</v>
      </c>
      <c r="D36" s="11">
        <f t="shared" si="21"/>
        <v>0</v>
      </c>
      <c r="E36" s="11">
        <f t="shared" si="21"/>
        <v>0</v>
      </c>
      <c r="F36" s="11">
        <f t="shared" si="21"/>
        <v>0</v>
      </c>
      <c r="G36" s="11">
        <f t="shared" si="21"/>
        <v>0</v>
      </c>
      <c r="H36" s="11">
        <f t="shared" si="21"/>
        <v>0</v>
      </c>
      <c r="I36" s="11">
        <f t="shared" si="21"/>
        <v>0</v>
      </c>
      <c r="J36" s="11">
        <f t="shared" si="21"/>
        <v>0</v>
      </c>
      <c r="K36" s="11">
        <f t="shared" si="21"/>
        <v>0</v>
      </c>
      <c r="L36" s="11">
        <f t="shared" si="21"/>
        <v>0</v>
      </c>
      <c r="M36" s="11">
        <f t="shared" si="21"/>
        <v>0</v>
      </c>
      <c r="N36" s="11">
        <f t="shared" si="21"/>
        <v>0</v>
      </c>
      <c r="O36" s="11">
        <f t="shared" si="21"/>
        <v>0</v>
      </c>
      <c r="P36" s="14">
        <f t="shared" si="21"/>
        <v>0</v>
      </c>
      <c r="V36" s="11">
        <f t="shared" ref="V36:Y36" si="22">V37</f>
        <v>139814</v>
      </c>
      <c r="W36" s="11">
        <f t="shared" si="22"/>
        <v>886812</v>
      </c>
      <c r="X36" s="11">
        <f t="shared" si="22"/>
        <v>885894</v>
      </c>
      <c r="Y36" s="14">
        <f t="shared" si="22"/>
        <v>1116128</v>
      </c>
    </row>
    <row r="37" spans="1:27" x14ac:dyDescent="0.25">
      <c r="A37" t="s">
        <v>25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V37" s="10">
        <f>129814+10000</f>
        <v>139814</v>
      </c>
      <c r="W37" s="10">
        <v>886812</v>
      </c>
      <c r="X37" s="10">
        <v>885894</v>
      </c>
      <c r="Y37" s="15">
        <v>1116128</v>
      </c>
    </row>
    <row r="38" spans="1:27" x14ac:dyDescent="0.25">
      <c r="A38" t="s">
        <v>26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V38" s="10">
        <v>3911</v>
      </c>
      <c r="W38" s="10">
        <v>8509</v>
      </c>
      <c r="X38" s="10">
        <v>13226</v>
      </c>
      <c r="Y38" s="15">
        <v>17911</v>
      </c>
    </row>
    <row r="39" spans="1:27" x14ac:dyDescent="0.25">
      <c r="A39" t="s">
        <v>131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V39" s="10">
        <v>3898</v>
      </c>
      <c r="W39" s="10">
        <v>18172</v>
      </c>
      <c r="X39" s="10">
        <v>24725</v>
      </c>
      <c r="Y39" s="15">
        <v>39103</v>
      </c>
    </row>
    <row r="40" spans="1:27" s="1" customFormat="1" x14ac:dyDescent="0.25">
      <c r="A40" s="1" t="s">
        <v>79</v>
      </c>
      <c r="B40" s="11">
        <f t="shared" ref="B40:O40" si="23">SUM(B37:B39)</f>
        <v>0</v>
      </c>
      <c r="C40" s="11">
        <f t="shared" si="23"/>
        <v>0</v>
      </c>
      <c r="D40" s="11">
        <f t="shared" si="23"/>
        <v>0</v>
      </c>
      <c r="E40" s="11">
        <f t="shared" si="23"/>
        <v>0</v>
      </c>
      <c r="F40" s="11">
        <f t="shared" si="23"/>
        <v>0</v>
      </c>
      <c r="G40" s="11">
        <f t="shared" si="23"/>
        <v>0</v>
      </c>
      <c r="H40" s="11">
        <f t="shared" si="23"/>
        <v>0</v>
      </c>
      <c r="I40" s="11">
        <f t="shared" si="23"/>
        <v>0</v>
      </c>
      <c r="J40" s="11">
        <f t="shared" si="23"/>
        <v>0</v>
      </c>
      <c r="K40" s="11">
        <f t="shared" si="23"/>
        <v>0</v>
      </c>
      <c r="L40" s="11">
        <f t="shared" si="23"/>
        <v>0</v>
      </c>
      <c r="M40" s="11">
        <f t="shared" si="23"/>
        <v>0</v>
      </c>
      <c r="N40" s="11">
        <f t="shared" si="23"/>
        <v>0</v>
      </c>
      <c r="O40" s="11">
        <f t="shared" si="23"/>
        <v>0</v>
      </c>
      <c r="P40" s="16"/>
      <c r="V40" s="11">
        <f>SUM(V37:V39)</f>
        <v>147623</v>
      </c>
      <c r="W40" s="11">
        <f>SUM(W37:W39)</f>
        <v>913493</v>
      </c>
      <c r="X40" s="11">
        <f>SUM(X37:X39)</f>
        <v>923845</v>
      </c>
      <c r="Y40" s="14">
        <f>SUM(Y37:Y39)</f>
        <v>1173142</v>
      </c>
    </row>
    <row r="41" spans="1:27" x14ac:dyDescent="0.25">
      <c r="A41" t="s">
        <v>87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V41" s="10">
        <v>7178</v>
      </c>
      <c r="W41" s="10">
        <v>19599</v>
      </c>
      <c r="X41" s="10">
        <v>34416</v>
      </c>
      <c r="Y41" s="15">
        <v>37418</v>
      </c>
    </row>
    <row r="42" spans="1:27" x14ac:dyDescent="0.25">
      <c r="A42" t="s">
        <v>88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V42" s="10">
        <f t="shared" ref="V42:V51" si="24">D42</f>
        <v>0</v>
      </c>
      <c r="W42" s="10">
        <f t="shared" ref="W42:W51" si="25">H42</f>
        <v>0</v>
      </c>
      <c r="X42" s="10">
        <v>80197</v>
      </c>
      <c r="Y42" s="15">
        <v>62280</v>
      </c>
    </row>
    <row r="43" spans="1:27" x14ac:dyDescent="0.25">
      <c r="A43" t="s">
        <v>132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V43" s="10">
        <f t="shared" si="24"/>
        <v>0</v>
      </c>
      <c r="W43" s="10">
        <f t="shared" si="25"/>
        <v>0</v>
      </c>
      <c r="X43" s="10"/>
      <c r="Y43" s="15"/>
    </row>
    <row r="44" spans="1:27" x14ac:dyDescent="0.25">
      <c r="A44" t="s">
        <v>27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V44" s="10">
        <v>2619</v>
      </c>
      <c r="W44" s="10">
        <v>100</v>
      </c>
      <c r="X44" s="10">
        <v>585</v>
      </c>
      <c r="Y44" s="15">
        <v>2816</v>
      </c>
    </row>
    <row r="45" spans="1:27" x14ac:dyDescent="0.25">
      <c r="A45" s="1" t="s">
        <v>28</v>
      </c>
      <c r="B45" s="11">
        <f t="shared" ref="B45:O45" si="26">SUM(B40:B44)</f>
        <v>0</v>
      </c>
      <c r="C45" s="11">
        <f t="shared" si="26"/>
        <v>0</v>
      </c>
      <c r="D45" s="11">
        <f t="shared" si="26"/>
        <v>0</v>
      </c>
      <c r="E45" s="11">
        <f t="shared" si="26"/>
        <v>0</v>
      </c>
      <c r="F45" s="11">
        <f t="shared" si="26"/>
        <v>0</v>
      </c>
      <c r="G45" s="11">
        <f t="shared" si="26"/>
        <v>0</v>
      </c>
      <c r="H45" s="11">
        <f t="shared" si="26"/>
        <v>0</v>
      </c>
      <c r="I45" s="11">
        <f t="shared" si="26"/>
        <v>0</v>
      </c>
      <c r="J45" s="11">
        <f t="shared" si="26"/>
        <v>0</v>
      </c>
      <c r="K45" s="11">
        <f t="shared" si="26"/>
        <v>0</v>
      </c>
      <c r="L45" s="11">
        <f t="shared" si="26"/>
        <v>0</v>
      </c>
      <c r="M45" s="11">
        <f t="shared" si="26"/>
        <v>0</v>
      </c>
      <c r="N45" s="11">
        <f t="shared" si="26"/>
        <v>0</v>
      </c>
      <c r="O45" s="11">
        <f t="shared" si="26"/>
        <v>0</v>
      </c>
      <c r="V45" s="11">
        <f>SUM(V40:V44)</f>
        <v>157420</v>
      </c>
      <c r="W45" s="11">
        <f>SUM(W40:W44)</f>
        <v>933192</v>
      </c>
      <c r="X45" s="11">
        <f>SUM(X40:X44)</f>
        <v>1039043</v>
      </c>
      <c r="Y45" s="14">
        <f>SUM(Y40:Y44)</f>
        <v>1275656</v>
      </c>
    </row>
    <row r="46" spans="1:27" x14ac:dyDescent="0.25">
      <c r="A46" t="s">
        <v>30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V46" s="10">
        <v>25734</v>
      </c>
      <c r="W46" s="10">
        <v>23612</v>
      </c>
      <c r="X46" s="10">
        <v>7335</v>
      </c>
      <c r="Y46" s="15">
        <v>24837</v>
      </c>
    </row>
    <row r="47" spans="1:27" x14ac:dyDescent="0.25">
      <c r="A47" t="s">
        <v>133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V47" s="10">
        <v>22967</v>
      </c>
      <c r="W47" s="10">
        <v>70135</v>
      </c>
      <c r="X47" s="10">
        <v>73706</v>
      </c>
      <c r="Y47" s="15">
        <v>106691</v>
      </c>
    </row>
    <row r="48" spans="1:27" x14ac:dyDescent="0.25">
      <c r="A48" t="s">
        <v>134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V48" s="10">
        <v>70719</v>
      </c>
      <c r="W48" s="10">
        <v>134438</v>
      </c>
      <c r="X48" s="10">
        <v>198099</v>
      </c>
      <c r="Y48" s="15">
        <v>266284</v>
      </c>
    </row>
    <row r="49" spans="1:25" x14ac:dyDescent="0.25">
      <c r="A49" t="s">
        <v>132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V49" s="10">
        <v>21016</v>
      </c>
      <c r="W49" s="10">
        <f t="shared" si="25"/>
        <v>0</v>
      </c>
      <c r="X49" s="10">
        <v>19083</v>
      </c>
      <c r="Y49" s="15">
        <v>18201</v>
      </c>
    </row>
    <row r="50" spans="1:25" s="1" customFormat="1" x14ac:dyDescent="0.25">
      <c r="A50" s="1" t="s">
        <v>80</v>
      </c>
      <c r="B50" s="11">
        <f t="shared" ref="B50:O50" si="27">SUM(B46:B49)</f>
        <v>0</v>
      </c>
      <c r="C50" s="11">
        <f t="shared" si="27"/>
        <v>0</v>
      </c>
      <c r="D50" s="11">
        <f t="shared" si="27"/>
        <v>0</v>
      </c>
      <c r="E50" s="11">
        <f t="shared" si="27"/>
        <v>0</v>
      </c>
      <c r="F50" s="11">
        <f t="shared" si="27"/>
        <v>0</v>
      </c>
      <c r="G50" s="11">
        <f t="shared" si="27"/>
        <v>0</v>
      </c>
      <c r="H50" s="11">
        <f t="shared" si="27"/>
        <v>0</v>
      </c>
      <c r="I50" s="11">
        <f t="shared" si="27"/>
        <v>0</v>
      </c>
      <c r="J50" s="11">
        <f t="shared" si="27"/>
        <v>0</v>
      </c>
      <c r="K50" s="11">
        <f t="shared" si="27"/>
        <v>0</v>
      </c>
      <c r="L50" s="11">
        <f t="shared" si="27"/>
        <v>0</v>
      </c>
      <c r="M50" s="11">
        <f t="shared" si="27"/>
        <v>0</v>
      </c>
      <c r="N50" s="11">
        <f t="shared" si="27"/>
        <v>0</v>
      </c>
      <c r="O50" s="11">
        <f t="shared" si="27"/>
        <v>0</v>
      </c>
      <c r="P50" s="14"/>
      <c r="Q50" s="11"/>
      <c r="R50" s="11"/>
      <c r="S50" s="11"/>
      <c r="T50" s="11"/>
      <c r="U50" s="11"/>
      <c r="V50" s="11">
        <f>SUM(V46:V49)</f>
        <v>140436</v>
      </c>
      <c r="W50" s="11">
        <f>SUM(W46:W49)</f>
        <v>228185</v>
      </c>
      <c r="X50" s="11">
        <f>SUM(X46:X49)</f>
        <v>298223</v>
      </c>
      <c r="Y50" s="14">
        <f>SUM(Y46:Y49)</f>
        <v>416013</v>
      </c>
    </row>
    <row r="51" spans="1:25" x14ac:dyDescent="0.25">
      <c r="A51" t="s">
        <v>132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V51" s="10">
        <f t="shared" si="24"/>
        <v>0</v>
      </c>
      <c r="W51" s="10">
        <f t="shared" si="25"/>
        <v>0</v>
      </c>
      <c r="X51" s="10">
        <v>58638</v>
      </c>
      <c r="Y51" s="15">
        <v>42946</v>
      </c>
    </row>
    <row r="52" spans="1:25" x14ac:dyDescent="0.25">
      <c r="A52" t="s">
        <v>134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V52" s="10">
        <v>1045</v>
      </c>
      <c r="W52" s="10">
        <v>1612</v>
      </c>
      <c r="X52" s="10">
        <v>2442</v>
      </c>
      <c r="Y52" s="15">
        <v>3189</v>
      </c>
    </row>
    <row r="53" spans="1:25" x14ac:dyDescent="0.25">
      <c r="A53" s="1" t="s">
        <v>29</v>
      </c>
      <c r="B53" s="11">
        <f t="shared" ref="B53:O53" si="28">SUM(B50:B52)</f>
        <v>0</v>
      </c>
      <c r="C53" s="11">
        <f t="shared" si="28"/>
        <v>0</v>
      </c>
      <c r="D53" s="11">
        <f t="shared" si="28"/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V53" s="11">
        <f>SUM(V50:V52)</f>
        <v>141481</v>
      </c>
      <c r="W53" s="11">
        <f>SUM(W50:W52)</f>
        <v>229797</v>
      </c>
      <c r="X53" s="11">
        <f>SUM(X50:X52)</f>
        <v>359303</v>
      </c>
      <c r="Y53" s="14">
        <f>SUM(Y50:Y52)</f>
        <v>462148</v>
      </c>
    </row>
    <row r="54" spans="1:25" x14ac:dyDescent="0.25">
      <c r="A54" t="s">
        <v>143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V54" s="11">
        <f>V45-V53</f>
        <v>15939</v>
      </c>
      <c r="W54" s="11">
        <f t="shared" ref="W54:X54" si="29">W45-W53</f>
        <v>703395</v>
      </c>
      <c r="X54" s="11">
        <f t="shared" si="29"/>
        <v>679740</v>
      </c>
      <c r="Y54" s="14">
        <f>Y45-Y53</f>
        <v>813508</v>
      </c>
    </row>
    <row r="55" spans="1:25" x14ac:dyDescent="0.25">
      <c r="V55" s="11"/>
      <c r="W55" s="11"/>
      <c r="X55" s="11"/>
    </row>
    <row r="57" spans="1:25" s="1" customFormat="1" x14ac:dyDescent="0.25">
      <c r="A57" s="1" t="s">
        <v>57</v>
      </c>
      <c r="P57" s="16"/>
      <c r="Y57" s="16"/>
    </row>
    <row r="58" spans="1:25" x14ac:dyDescent="0.25">
      <c r="A58" t="s">
        <v>44</v>
      </c>
    </row>
    <row r="59" spans="1:25" x14ac:dyDescent="0.25">
      <c r="A59" t="s">
        <v>24</v>
      </c>
    </row>
    <row r="60" spans="1:25" x14ac:dyDescent="0.25">
      <c r="A60" t="s">
        <v>45</v>
      </c>
    </row>
    <row r="61" spans="1:25" x14ac:dyDescent="0.25">
      <c r="A61" t="s">
        <v>46</v>
      </c>
    </row>
    <row r="62" spans="1:25" x14ac:dyDescent="0.25">
      <c r="A62" t="s">
        <v>27</v>
      </c>
    </row>
    <row r="63" spans="1:25" x14ac:dyDescent="0.25">
      <c r="A63" t="s">
        <v>26</v>
      </c>
    </row>
    <row r="64" spans="1:25" x14ac:dyDescent="0.25">
      <c r="A64" t="s">
        <v>47</v>
      </c>
    </row>
    <row r="65" spans="1:25" x14ac:dyDescent="0.25">
      <c r="A65" t="s">
        <v>30</v>
      </c>
    </row>
    <row r="66" spans="1:25" x14ac:dyDescent="0.25">
      <c r="A66" t="s">
        <v>48</v>
      </c>
    </row>
    <row r="67" spans="1:25" x14ac:dyDescent="0.25">
      <c r="A67" t="s">
        <v>49</v>
      </c>
    </row>
    <row r="68" spans="1:25" x14ac:dyDescent="0.25">
      <c r="A68" t="s">
        <v>50</v>
      </c>
    </row>
    <row r="69" spans="1:25" x14ac:dyDescent="0.25">
      <c r="A69" t="s">
        <v>27</v>
      </c>
    </row>
    <row r="70" spans="1:25" x14ac:dyDescent="0.25">
      <c r="A70" t="s">
        <v>51</v>
      </c>
    </row>
    <row r="71" spans="1:25" x14ac:dyDescent="0.25">
      <c r="A71" t="s">
        <v>52</v>
      </c>
    </row>
    <row r="72" spans="1:25" x14ac:dyDescent="0.25">
      <c r="A72" t="s">
        <v>53</v>
      </c>
    </row>
    <row r="73" spans="1:25" x14ac:dyDescent="0.25">
      <c r="A73" t="s">
        <v>27</v>
      </c>
    </row>
    <row r="74" spans="1:25" x14ac:dyDescent="0.25">
      <c r="A74" t="s">
        <v>54</v>
      </c>
    </row>
    <row r="75" spans="1:25" s="9" customFormat="1" x14ac:dyDescent="0.25">
      <c r="A75" s="9" t="s">
        <v>55</v>
      </c>
      <c r="P75" s="51"/>
      <c r="Y75" s="51"/>
    </row>
    <row r="76" spans="1:25" s="1" customFormat="1" x14ac:dyDescent="0.25">
      <c r="A76" s="1" t="s">
        <v>56</v>
      </c>
      <c r="P76" s="16"/>
      <c r="Y76" s="16"/>
    </row>
  </sheetData>
  <phoneticPr fontId="3" type="noConversion"/>
  <hyperlinks>
    <hyperlink ref="A1" location="Main!A1" display="Main" xr:uid="{A5C06EBA-D952-421E-93A2-3BF49E6344BF}"/>
  </hyperlink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3BE-2423-4BDB-9A98-002F9CED8953}">
  <dimension ref="A1"/>
  <sheetViews>
    <sheetView workbookViewId="0">
      <selection activeCell="Y17" sqref="Y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874F-29D3-4A78-A5E5-1177859C3989}">
  <dimension ref="A1:F11"/>
  <sheetViews>
    <sheetView workbookViewId="0">
      <selection activeCell="E15" sqref="E15"/>
    </sheetView>
  </sheetViews>
  <sheetFormatPr defaultRowHeight="15" x14ac:dyDescent="0.25"/>
  <cols>
    <col min="1" max="1" width="16.7109375" bestFit="1" customWidth="1"/>
  </cols>
  <sheetData>
    <row r="1" spans="1:6" x14ac:dyDescent="0.25">
      <c r="B1">
        <v>2019</v>
      </c>
      <c r="C1">
        <v>2020</v>
      </c>
      <c r="D1">
        <v>2021</v>
      </c>
      <c r="E1">
        <v>2022</v>
      </c>
      <c r="F1">
        <v>2023</v>
      </c>
    </row>
    <row r="2" spans="1:6" x14ac:dyDescent="0.25">
      <c r="A2" t="s">
        <v>139</v>
      </c>
      <c r="B2" s="10">
        <v>36439</v>
      </c>
      <c r="C2" s="10">
        <v>77933</v>
      </c>
      <c r="D2" s="10">
        <v>148291</v>
      </c>
      <c r="E2" s="10">
        <v>255495</v>
      </c>
      <c r="F2" s="10">
        <v>364070</v>
      </c>
    </row>
    <row r="3" spans="1:6" x14ac:dyDescent="0.25">
      <c r="A3" t="s">
        <v>140</v>
      </c>
      <c r="B3" s="10">
        <v>24809</v>
      </c>
      <c r="C3" s="10">
        <v>49747</v>
      </c>
      <c r="D3" s="10">
        <v>67121</v>
      </c>
      <c r="E3" s="10">
        <v>111854</v>
      </c>
      <c r="F3" s="10">
        <v>157134</v>
      </c>
    </row>
    <row r="4" spans="1:6" x14ac:dyDescent="0.25">
      <c r="A4" t="s">
        <v>141</v>
      </c>
      <c r="B4" s="10"/>
      <c r="C4" s="10"/>
      <c r="D4" s="10">
        <v>30171</v>
      </c>
      <c r="E4" s="10">
        <v>50625</v>
      </c>
      <c r="F4" s="10">
        <v>73236</v>
      </c>
    </row>
    <row r="5" spans="1:6" x14ac:dyDescent="0.25">
      <c r="A5" t="s">
        <v>142</v>
      </c>
      <c r="B5" s="10">
        <v>16841</v>
      </c>
      <c r="C5" s="10">
        <v>33443</v>
      </c>
      <c r="D5" s="10">
        <v>62567</v>
      </c>
      <c r="E5" s="10">
        <v>101055</v>
      </c>
      <c r="F5" s="10">
        <v>135255</v>
      </c>
    </row>
    <row r="6" spans="1:6" x14ac:dyDescent="0.25">
      <c r="B6" s="10">
        <f t="shared" ref="B6:C6" si="0">SUM(B2:B5)</f>
        <v>78089</v>
      </c>
      <c r="C6" s="10">
        <f t="shared" si="0"/>
        <v>161123</v>
      </c>
      <c r="D6" s="10">
        <f>SUM(D2:D5)</f>
        <v>308150</v>
      </c>
      <c r="E6" s="10">
        <f t="shared" ref="E6:F6" si="1">SUM(E2:E5)</f>
        <v>519029</v>
      </c>
      <c r="F6" s="10">
        <f t="shared" si="1"/>
        <v>729695</v>
      </c>
    </row>
    <row r="10" spans="1:6" x14ac:dyDescent="0.25">
      <c r="A10" t="s">
        <v>144</v>
      </c>
      <c r="B10" s="53"/>
      <c r="C10" s="53"/>
      <c r="D10" s="53">
        <v>793</v>
      </c>
      <c r="E10" s="53">
        <v>1474</v>
      </c>
      <c r="F10" s="53">
        <v>2295</v>
      </c>
    </row>
    <row r="11" spans="1:6" x14ac:dyDescent="0.25">
      <c r="A11" t="s">
        <v>145</v>
      </c>
      <c r="E11" s="54">
        <f>E10/D10-1</f>
        <v>0.85876418663303911</v>
      </c>
      <c r="F11" s="54">
        <f>F10/E10-1</f>
        <v>0.55698778833107188</v>
      </c>
    </row>
  </sheetData>
  <pageMargins left="0.7" right="0.7" top="0.75" bottom="0.75" header="0.3" footer="0.3"/>
  <pageSetup paperSize="9" orientation="portrait" r:id="rId1"/>
  <ignoredErrors>
    <ignoredError sqref="D6 E6:F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602-D7CA-409B-9962-CCABA92C723B}">
  <dimension ref="A1:L1147"/>
  <sheetViews>
    <sheetView workbookViewId="0">
      <selection activeCell="D9" sqref="D9"/>
    </sheetView>
  </sheetViews>
  <sheetFormatPr defaultRowHeight="15" x14ac:dyDescent="0.25"/>
  <cols>
    <col min="1" max="1" width="11.7109375" customWidth="1"/>
    <col min="2" max="2" width="6.85546875" customWidth="1"/>
    <col min="4" max="4" width="12.140625" customWidth="1"/>
    <col min="5" max="5" width="17.28515625" customWidth="1"/>
    <col min="10" max="10" width="10.140625" bestFit="1" customWidth="1"/>
    <col min="12" max="12" width="12.42578125" customWidth="1"/>
    <col min="19" max="19" width="10.140625" customWidth="1"/>
  </cols>
  <sheetData>
    <row r="1" spans="1:12" x14ac:dyDescent="0.25">
      <c r="A1" t="s">
        <v>69</v>
      </c>
      <c r="B1" s="17" t="s">
        <v>70</v>
      </c>
    </row>
    <row r="2" spans="1:12" x14ac:dyDescent="0.25">
      <c r="A2" s="12">
        <v>44354</v>
      </c>
      <c r="B2" s="18">
        <v>189.30999800000001</v>
      </c>
      <c r="D2" t="s">
        <v>69</v>
      </c>
      <c r="E2" t="s">
        <v>71</v>
      </c>
      <c r="L2" t="s">
        <v>72</v>
      </c>
    </row>
    <row r="3" spans="1:12" x14ac:dyDescent="0.25">
      <c r="A3" s="12">
        <v>44361</v>
      </c>
      <c r="B3" s="18">
        <v>232.509995</v>
      </c>
      <c r="D3" s="12">
        <v>45328</v>
      </c>
      <c r="E3" t="s">
        <v>74</v>
      </c>
      <c r="L3" s="12"/>
    </row>
    <row r="4" spans="1:12" x14ac:dyDescent="0.25">
      <c r="A4" s="12">
        <v>44368</v>
      </c>
      <c r="B4" s="18">
        <v>232.36999499999999</v>
      </c>
      <c r="D4" s="12">
        <v>45302</v>
      </c>
      <c r="E4" t="s">
        <v>74</v>
      </c>
      <c r="L4" s="12"/>
    </row>
    <row r="5" spans="1:12" x14ac:dyDescent="0.25">
      <c r="A5" s="12">
        <v>44375</v>
      </c>
      <c r="B5" s="18">
        <v>229.229996</v>
      </c>
      <c r="L5" s="12"/>
    </row>
    <row r="6" spans="1:12" x14ac:dyDescent="0.25">
      <c r="A6" s="12">
        <v>44382</v>
      </c>
      <c r="B6" s="18">
        <v>232.03999300000001</v>
      </c>
      <c r="L6" s="12"/>
    </row>
    <row r="7" spans="1:12" x14ac:dyDescent="0.25">
      <c r="A7" s="12">
        <v>44389</v>
      </c>
      <c r="B7" s="18">
        <v>198.979996</v>
      </c>
      <c r="L7" s="12"/>
    </row>
    <row r="8" spans="1:12" x14ac:dyDescent="0.25">
      <c r="A8" s="12">
        <v>44396</v>
      </c>
      <c r="B8" s="18">
        <v>204.929993</v>
      </c>
      <c r="L8" s="12"/>
    </row>
    <row r="9" spans="1:12" x14ac:dyDescent="0.25">
      <c r="A9" s="12">
        <v>44403</v>
      </c>
      <c r="B9" s="18">
        <v>221.28999300000001</v>
      </c>
      <c r="L9" s="12"/>
    </row>
    <row r="10" spans="1:12" x14ac:dyDescent="0.25">
      <c r="A10" s="12">
        <v>44410</v>
      </c>
      <c r="B10" s="18">
        <v>226</v>
      </c>
      <c r="L10" s="12"/>
    </row>
    <row r="11" spans="1:12" x14ac:dyDescent="0.25">
      <c r="A11" s="12">
        <v>44417</v>
      </c>
      <c r="B11" s="18">
        <v>267.89999399999999</v>
      </c>
      <c r="L11" s="12"/>
    </row>
    <row r="12" spans="1:12" x14ac:dyDescent="0.25">
      <c r="A12" s="12">
        <v>44424</v>
      </c>
      <c r="B12" s="18">
        <v>352.27999899999998</v>
      </c>
      <c r="L12" s="12"/>
    </row>
    <row r="13" spans="1:12" x14ac:dyDescent="0.25">
      <c r="A13" s="12">
        <v>44431</v>
      </c>
      <c r="B13" s="18">
        <v>357.19000199999999</v>
      </c>
    </row>
    <row r="14" spans="1:12" x14ac:dyDescent="0.25">
      <c r="A14" s="12">
        <v>44438</v>
      </c>
      <c r="B14" s="18">
        <v>379.80999800000001</v>
      </c>
    </row>
    <row r="15" spans="1:12" x14ac:dyDescent="0.25">
      <c r="A15" s="12">
        <v>44445</v>
      </c>
      <c r="B15" s="18">
        <v>371.97000100000002</v>
      </c>
    </row>
    <row r="16" spans="1:12" x14ac:dyDescent="0.25">
      <c r="A16" s="12">
        <v>44452</v>
      </c>
      <c r="B16" s="18">
        <v>374.14999399999999</v>
      </c>
    </row>
    <row r="17" spans="1:2" x14ac:dyDescent="0.25">
      <c r="A17" s="12">
        <v>44459</v>
      </c>
      <c r="B17" s="18">
        <v>366.98998999999998</v>
      </c>
    </row>
    <row r="18" spans="1:2" x14ac:dyDescent="0.25">
      <c r="A18" s="12">
        <v>44466</v>
      </c>
      <c r="B18" s="18">
        <v>332.91000400000001</v>
      </c>
    </row>
    <row r="19" spans="1:2" x14ac:dyDescent="0.25">
      <c r="A19" s="12">
        <v>44473</v>
      </c>
      <c r="B19" s="18">
        <v>339.60000600000001</v>
      </c>
    </row>
    <row r="20" spans="1:2" x14ac:dyDescent="0.25">
      <c r="A20" s="12">
        <v>44480</v>
      </c>
      <c r="B20" s="18">
        <v>358.709991</v>
      </c>
    </row>
    <row r="21" spans="1:2" x14ac:dyDescent="0.25">
      <c r="A21" s="12">
        <v>44487</v>
      </c>
      <c r="B21" s="18">
        <v>379.26001000000002</v>
      </c>
    </row>
    <row r="22" spans="1:2" x14ac:dyDescent="0.25">
      <c r="A22" s="12">
        <v>44494</v>
      </c>
      <c r="B22" s="18">
        <v>371.82998700000002</v>
      </c>
    </row>
    <row r="23" spans="1:2" x14ac:dyDescent="0.25">
      <c r="A23" s="12">
        <v>44501</v>
      </c>
      <c r="B23" s="18">
        <v>350.73998999999998</v>
      </c>
    </row>
    <row r="24" spans="1:2" x14ac:dyDescent="0.25">
      <c r="A24" s="12">
        <v>44508</v>
      </c>
      <c r="B24" s="18">
        <v>363.92001299999998</v>
      </c>
    </row>
    <row r="25" spans="1:2" x14ac:dyDescent="0.25">
      <c r="A25" s="12">
        <v>44515</v>
      </c>
      <c r="B25" s="18">
        <v>371.25</v>
      </c>
    </row>
    <row r="26" spans="1:2" x14ac:dyDescent="0.25">
      <c r="A26" s="12">
        <v>44522</v>
      </c>
      <c r="B26" s="18">
        <v>339.35998499999999</v>
      </c>
    </row>
    <row r="27" spans="1:2" x14ac:dyDescent="0.25">
      <c r="A27" s="12">
        <v>44529</v>
      </c>
      <c r="B27" s="18">
        <v>275.76001000000002</v>
      </c>
    </row>
    <row r="28" spans="1:2" x14ac:dyDescent="0.25">
      <c r="A28" s="12">
        <v>44536</v>
      </c>
      <c r="B28" s="18">
        <v>307.94000199999999</v>
      </c>
    </row>
    <row r="29" spans="1:2" x14ac:dyDescent="0.25">
      <c r="A29" s="12">
        <v>44543</v>
      </c>
      <c r="B29" s="18">
        <v>292.08999599999999</v>
      </c>
    </row>
    <row r="30" spans="1:2" x14ac:dyDescent="0.25">
      <c r="A30" s="12">
        <v>44550</v>
      </c>
      <c r="B30" s="18">
        <v>304.36999500000002</v>
      </c>
    </row>
    <row r="31" spans="1:2" x14ac:dyDescent="0.25">
      <c r="A31" s="12">
        <v>44557</v>
      </c>
      <c r="B31" s="18">
        <v>308.72000100000002</v>
      </c>
    </row>
    <row r="32" spans="1:2" x14ac:dyDescent="0.25">
      <c r="A32" s="12">
        <v>44564</v>
      </c>
      <c r="B32" s="18">
        <v>237.38000500000001</v>
      </c>
    </row>
    <row r="33" spans="1:2" x14ac:dyDescent="0.25">
      <c r="A33" s="12">
        <v>44571</v>
      </c>
      <c r="B33" s="18">
        <v>215.63999899999999</v>
      </c>
    </row>
    <row r="34" spans="1:2" x14ac:dyDescent="0.25">
      <c r="A34" s="12">
        <v>44578</v>
      </c>
      <c r="B34" s="18">
        <v>198.5</v>
      </c>
    </row>
    <row r="35" spans="1:2" x14ac:dyDescent="0.25">
      <c r="A35" s="12">
        <v>44585</v>
      </c>
      <c r="B35" s="18">
        <v>188.479996</v>
      </c>
    </row>
    <row r="36" spans="1:2" x14ac:dyDescent="0.25">
      <c r="A36" s="12">
        <v>44592</v>
      </c>
      <c r="B36" s="18">
        <v>186.520004</v>
      </c>
    </row>
    <row r="37" spans="1:2" x14ac:dyDescent="0.25">
      <c r="A37" s="12">
        <v>44599</v>
      </c>
      <c r="B37" s="18">
        <v>218.91000399999999</v>
      </c>
    </row>
    <row r="38" spans="1:2" x14ac:dyDescent="0.25">
      <c r="A38" s="12">
        <v>44606</v>
      </c>
      <c r="B38" s="18">
        <v>194.759995</v>
      </c>
    </row>
    <row r="39" spans="1:2" x14ac:dyDescent="0.25">
      <c r="A39" s="12">
        <v>44613</v>
      </c>
      <c r="B39" s="18">
        <v>155.240005</v>
      </c>
    </row>
    <row r="40" spans="1:2" x14ac:dyDescent="0.25">
      <c r="A40" s="12">
        <v>44620</v>
      </c>
      <c r="B40" s="18">
        <v>135.91000399999999</v>
      </c>
    </row>
    <row r="41" spans="1:2" x14ac:dyDescent="0.25">
      <c r="A41" s="12">
        <v>44627</v>
      </c>
      <c r="B41" s="18">
        <v>122.05999799999999</v>
      </c>
    </row>
    <row r="42" spans="1:2" x14ac:dyDescent="0.25">
      <c r="A42" s="12">
        <v>44634</v>
      </c>
      <c r="B42" s="18">
        <v>170.5</v>
      </c>
    </row>
    <row r="43" spans="1:2" x14ac:dyDescent="0.25">
      <c r="A43" s="12">
        <v>44641</v>
      </c>
      <c r="B43" s="18">
        <v>150.449997</v>
      </c>
    </row>
    <row r="44" spans="1:2" x14ac:dyDescent="0.25">
      <c r="A44" s="12">
        <v>44648</v>
      </c>
      <c r="B44" s="18">
        <v>165.38999899999999</v>
      </c>
    </row>
    <row r="45" spans="1:2" x14ac:dyDescent="0.25">
      <c r="A45" s="12">
        <v>44655</v>
      </c>
      <c r="B45" s="18">
        <v>140.759995</v>
      </c>
    </row>
    <row r="46" spans="1:2" x14ac:dyDescent="0.25">
      <c r="A46" s="12">
        <v>44662</v>
      </c>
      <c r="B46" s="18">
        <v>137.16999799999999</v>
      </c>
    </row>
    <row r="47" spans="1:2" x14ac:dyDescent="0.25">
      <c r="A47" s="12">
        <v>44669</v>
      </c>
      <c r="B47" s="18">
        <v>137.63000500000001</v>
      </c>
    </row>
    <row r="48" spans="1:2" x14ac:dyDescent="0.25">
      <c r="A48" s="12">
        <v>44676</v>
      </c>
      <c r="B48" s="18">
        <v>129.39999399999999</v>
      </c>
    </row>
    <row r="49" spans="1:2" x14ac:dyDescent="0.25">
      <c r="A49" s="12">
        <v>44683</v>
      </c>
      <c r="B49" s="18">
        <v>123.550003</v>
      </c>
    </row>
    <row r="50" spans="1:2" x14ac:dyDescent="0.25">
      <c r="A50" s="12">
        <v>44690</v>
      </c>
      <c r="B50" s="18">
        <v>110.379997</v>
      </c>
    </row>
    <row r="51" spans="1:2" x14ac:dyDescent="0.25">
      <c r="A51" s="12">
        <v>44697</v>
      </c>
      <c r="B51" s="18">
        <v>114.269997</v>
      </c>
    </row>
    <row r="52" spans="1:2" x14ac:dyDescent="0.25">
      <c r="A52" s="12">
        <v>44704</v>
      </c>
      <c r="B52" s="18">
        <v>115.010002</v>
      </c>
    </row>
    <row r="53" spans="1:2" x14ac:dyDescent="0.25">
      <c r="A53" s="12">
        <v>44711</v>
      </c>
      <c r="B53" s="18">
        <v>116.089996</v>
      </c>
    </row>
    <row r="54" spans="1:2" x14ac:dyDescent="0.25">
      <c r="A54" s="12">
        <v>44718</v>
      </c>
      <c r="B54" s="18">
        <v>97.349997999999999</v>
      </c>
    </row>
    <row r="55" spans="1:2" x14ac:dyDescent="0.25">
      <c r="A55" s="12">
        <v>44725</v>
      </c>
      <c r="B55" s="18">
        <v>97.599997999999999</v>
      </c>
    </row>
    <row r="56" spans="1:2" x14ac:dyDescent="0.25">
      <c r="A56" s="12">
        <v>44732</v>
      </c>
      <c r="B56" s="18">
        <v>122.360001</v>
      </c>
    </row>
    <row r="57" spans="1:2" x14ac:dyDescent="0.25">
      <c r="A57" s="12">
        <v>44739</v>
      </c>
      <c r="B57" s="18">
        <v>108.790001</v>
      </c>
    </row>
    <row r="58" spans="1:2" x14ac:dyDescent="0.25">
      <c r="A58" s="12">
        <v>44746</v>
      </c>
      <c r="B58" s="18">
        <v>114.230003</v>
      </c>
    </row>
    <row r="59" spans="1:2" x14ac:dyDescent="0.25">
      <c r="A59" s="12">
        <v>44753</v>
      </c>
      <c r="B59" s="18">
        <v>92.309997999999993</v>
      </c>
    </row>
    <row r="60" spans="1:2" x14ac:dyDescent="0.25">
      <c r="A60" s="12">
        <v>44760</v>
      </c>
      <c r="B60" s="18">
        <v>102.760002</v>
      </c>
    </row>
    <row r="61" spans="1:2" x14ac:dyDescent="0.25">
      <c r="A61" s="12">
        <v>44767</v>
      </c>
      <c r="B61" s="18">
        <v>102.730003</v>
      </c>
    </row>
    <row r="62" spans="1:2" x14ac:dyDescent="0.25">
      <c r="A62" s="12">
        <v>44774</v>
      </c>
      <c r="B62" s="18">
        <v>127.83000199999999</v>
      </c>
    </row>
    <row r="63" spans="1:2" x14ac:dyDescent="0.25">
      <c r="A63" s="12">
        <v>44781</v>
      </c>
      <c r="B63" s="18">
        <v>137.10000600000001</v>
      </c>
    </row>
    <row r="64" spans="1:2" x14ac:dyDescent="0.25">
      <c r="A64" s="12">
        <v>44788</v>
      </c>
      <c r="B64" s="18">
        <v>126.389999</v>
      </c>
    </row>
    <row r="65" spans="1:2" x14ac:dyDescent="0.25">
      <c r="A65" s="12">
        <v>44795</v>
      </c>
      <c r="B65" s="18">
        <v>117.910004</v>
      </c>
    </row>
    <row r="66" spans="1:2" x14ac:dyDescent="0.25">
      <c r="A66" s="12">
        <v>44802</v>
      </c>
      <c r="B66" s="18">
        <v>110.800003</v>
      </c>
    </row>
    <row r="67" spans="1:2" x14ac:dyDescent="0.25">
      <c r="A67" s="12">
        <v>44809</v>
      </c>
      <c r="B67" s="18">
        <v>130.33999600000001</v>
      </c>
    </row>
    <row r="68" spans="1:2" x14ac:dyDescent="0.25">
      <c r="A68" s="12">
        <v>44816</v>
      </c>
      <c r="B68" s="18">
        <v>133.270004</v>
      </c>
    </row>
    <row r="69" spans="1:2" x14ac:dyDescent="0.25">
      <c r="A69" s="12">
        <v>44823</v>
      </c>
      <c r="B69" s="18">
        <v>119.43</v>
      </c>
    </row>
    <row r="70" spans="1:2" x14ac:dyDescent="0.25">
      <c r="A70" s="12">
        <v>44830</v>
      </c>
      <c r="B70" s="18">
        <v>113.339996</v>
      </c>
    </row>
    <row r="71" spans="1:2" x14ac:dyDescent="0.25">
      <c r="A71" s="12">
        <v>44837</v>
      </c>
      <c r="B71" s="18">
        <v>109.230003</v>
      </c>
    </row>
    <row r="72" spans="1:2" x14ac:dyDescent="0.25">
      <c r="A72" s="12">
        <v>44844</v>
      </c>
      <c r="B72" s="18">
        <v>91.489998</v>
      </c>
    </row>
    <row r="73" spans="1:2" x14ac:dyDescent="0.25">
      <c r="A73" s="12">
        <v>44851</v>
      </c>
      <c r="B73" s="18">
        <v>99.519997000000004</v>
      </c>
    </row>
    <row r="74" spans="1:2" x14ac:dyDescent="0.25">
      <c r="A74" s="12">
        <v>44858</v>
      </c>
      <c r="B74" s="18">
        <v>107.379997</v>
      </c>
    </row>
    <row r="75" spans="1:2" x14ac:dyDescent="0.25">
      <c r="A75" s="12">
        <v>44865</v>
      </c>
      <c r="B75" s="18">
        <v>80.989998</v>
      </c>
    </row>
    <row r="76" spans="1:2" x14ac:dyDescent="0.25">
      <c r="A76" s="12">
        <v>44872</v>
      </c>
      <c r="B76" s="18">
        <v>95.190002000000007</v>
      </c>
    </row>
    <row r="77" spans="1:2" x14ac:dyDescent="0.25">
      <c r="A77" s="12">
        <v>44879</v>
      </c>
      <c r="B77" s="18">
        <v>96.769997000000004</v>
      </c>
    </row>
    <row r="78" spans="1:2" x14ac:dyDescent="0.25">
      <c r="A78" s="12">
        <v>44886</v>
      </c>
      <c r="B78" s="18">
        <v>97.830001999999993</v>
      </c>
    </row>
    <row r="79" spans="1:2" x14ac:dyDescent="0.25">
      <c r="A79" s="12">
        <v>44893</v>
      </c>
      <c r="B79" s="18">
        <v>108.07</v>
      </c>
    </row>
    <row r="80" spans="1:2" x14ac:dyDescent="0.25">
      <c r="A80" s="12">
        <v>44900</v>
      </c>
      <c r="B80" s="18">
        <v>109.824997</v>
      </c>
    </row>
    <row r="81" spans="1:2" x14ac:dyDescent="0.25">
      <c r="A81" s="12">
        <v>44907</v>
      </c>
      <c r="B81" s="18">
        <v>122.639999</v>
      </c>
    </row>
    <row r="82" spans="1:2" x14ac:dyDescent="0.25">
      <c r="A82" s="12">
        <v>44914</v>
      </c>
      <c r="B82" s="18">
        <v>113.489998</v>
      </c>
    </row>
    <row r="83" spans="1:2" x14ac:dyDescent="0.25">
      <c r="A83" s="12">
        <v>44921</v>
      </c>
      <c r="B83" s="18">
        <v>122</v>
      </c>
    </row>
    <row r="84" spans="1:2" x14ac:dyDescent="0.25">
      <c r="A84" s="12">
        <v>44928</v>
      </c>
      <c r="B84" s="18">
        <v>100.5</v>
      </c>
    </row>
    <row r="85" spans="1:2" x14ac:dyDescent="0.25">
      <c r="A85" s="12">
        <v>44935</v>
      </c>
      <c r="B85" s="18">
        <v>115.949997</v>
      </c>
    </row>
    <row r="86" spans="1:2" x14ac:dyDescent="0.25">
      <c r="A86" s="12">
        <v>44942</v>
      </c>
      <c r="B86" s="18">
        <v>116.970001</v>
      </c>
    </row>
    <row r="87" spans="1:2" x14ac:dyDescent="0.25">
      <c r="A87" s="12">
        <v>44949</v>
      </c>
      <c r="B87" s="18">
        <v>129.740005</v>
      </c>
    </row>
    <row r="88" spans="1:2" x14ac:dyDescent="0.25">
      <c r="A88" s="12">
        <v>44956</v>
      </c>
      <c r="B88" s="18">
        <v>140.80999800000001</v>
      </c>
    </row>
    <row r="89" spans="1:2" x14ac:dyDescent="0.25">
      <c r="A89" s="12">
        <v>44963</v>
      </c>
      <c r="B89" s="18">
        <v>131.179993</v>
      </c>
    </row>
    <row r="90" spans="1:2" x14ac:dyDescent="0.25">
      <c r="A90" s="12">
        <v>44970</v>
      </c>
      <c r="B90" s="18">
        <v>153.11000100000001</v>
      </c>
    </row>
    <row r="91" spans="1:2" x14ac:dyDescent="0.25">
      <c r="A91" s="12">
        <v>44977</v>
      </c>
      <c r="B91" s="18">
        <v>154.699997</v>
      </c>
    </row>
    <row r="92" spans="1:2" x14ac:dyDescent="0.25">
      <c r="A92" s="12">
        <v>44984</v>
      </c>
      <c r="B92" s="18">
        <v>156.279999</v>
      </c>
    </row>
    <row r="93" spans="1:2" x14ac:dyDescent="0.25">
      <c r="A93" s="12">
        <v>44991</v>
      </c>
      <c r="B93" s="18">
        <v>129.449997</v>
      </c>
    </row>
    <row r="94" spans="1:2" x14ac:dyDescent="0.25">
      <c r="A94" s="12">
        <v>44998</v>
      </c>
      <c r="B94" s="18">
        <v>135.770004</v>
      </c>
    </row>
    <row r="95" spans="1:2" x14ac:dyDescent="0.25">
      <c r="A95" s="12">
        <v>45005</v>
      </c>
      <c r="B95" s="18">
        <v>135.78999300000001</v>
      </c>
    </row>
    <row r="96" spans="1:2" x14ac:dyDescent="0.25">
      <c r="A96" s="12">
        <v>45012</v>
      </c>
      <c r="B96" s="18">
        <v>142.75</v>
      </c>
    </row>
    <row r="97" spans="1:2" x14ac:dyDescent="0.25">
      <c r="A97" s="12">
        <v>45019</v>
      </c>
      <c r="B97" s="18">
        <v>133.86999499999999</v>
      </c>
    </row>
    <row r="98" spans="1:2" x14ac:dyDescent="0.25">
      <c r="A98" s="12">
        <v>45026</v>
      </c>
      <c r="B98" s="18">
        <v>130.91999799999999</v>
      </c>
    </row>
    <row r="99" spans="1:2" x14ac:dyDescent="0.25">
      <c r="A99" s="12">
        <v>45033</v>
      </c>
      <c r="B99" s="18">
        <v>130.320007</v>
      </c>
    </row>
    <row r="100" spans="1:2" x14ac:dyDescent="0.25">
      <c r="A100" s="12">
        <v>45040</v>
      </c>
      <c r="B100" s="18">
        <v>121.91999800000001</v>
      </c>
    </row>
    <row r="101" spans="1:2" x14ac:dyDescent="0.25">
      <c r="A101" s="12">
        <v>45047</v>
      </c>
      <c r="B101" s="18">
        <v>116.25</v>
      </c>
    </row>
    <row r="102" spans="1:2" x14ac:dyDescent="0.25">
      <c r="A102" s="12">
        <v>45054</v>
      </c>
      <c r="B102" s="18">
        <v>131.10000600000001</v>
      </c>
    </row>
    <row r="103" spans="1:2" x14ac:dyDescent="0.25">
      <c r="A103" s="12">
        <v>45061</v>
      </c>
      <c r="B103" s="18">
        <v>149.779999</v>
      </c>
    </row>
    <row r="104" spans="1:2" x14ac:dyDescent="0.25">
      <c r="A104" s="12">
        <v>45068</v>
      </c>
      <c r="B104" s="18">
        <v>167.199997</v>
      </c>
    </row>
    <row r="105" spans="1:2" x14ac:dyDescent="0.25">
      <c r="A105" s="12">
        <v>45075</v>
      </c>
      <c r="B105" s="18">
        <v>175</v>
      </c>
    </row>
    <row r="106" spans="1:2" x14ac:dyDescent="0.25">
      <c r="A106" s="12">
        <v>45082</v>
      </c>
      <c r="B106" s="18">
        <v>174.720001</v>
      </c>
    </row>
    <row r="107" spans="1:2" x14ac:dyDescent="0.25">
      <c r="A107" s="12">
        <v>45089</v>
      </c>
      <c r="B107" s="18">
        <v>178.80999800000001</v>
      </c>
    </row>
    <row r="108" spans="1:2" x14ac:dyDescent="0.25">
      <c r="A108" s="12">
        <v>45096</v>
      </c>
      <c r="B108" s="18">
        <v>169.520004</v>
      </c>
    </row>
    <row r="109" spans="1:2" x14ac:dyDescent="0.25">
      <c r="A109" s="12">
        <v>45103</v>
      </c>
      <c r="B109" s="18">
        <v>171.220001</v>
      </c>
    </row>
    <row r="110" spans="1:2" x14ac:dyDescent="0.25">
      <c r="A110" s="12">
        <v>45110</v>
      </c>
      <c r="B110" s="18">
        <v>161.86000100000001</v>
      </c>
    </row>
    <row r="111" spans="1:2" x14ac:dyDescent="0.25">
      <c r="A111" s="12">
        <v>45117</v>
      </c>
      <c r="B111" s="18">
        <v>174.55999800000001</v>
      </c>
    </row>
    <row r="112" spans="1:2" x14ac:dyDescent="0.25">
      <c r="A112" s="12">
        <v>45124</v>
      </c>
      <c r="B112" s="18">
        <v>173.220001</v>
      </c>
    </row>
    <row r="113" spans="1:2" x14ac:dyDescent="0.25">
      <c r="A113" s="12">
        <v>45131</v>
      </c>
      <c r="B113" s="18">
        <v>179.229996</v>
      </c>
    </row>
    <row r="114" spans="1:2" x14ac:dyDescent="0.25">
      <c r="A114" s="12">
        <v>45138</v>
      </c>
      <c r="B114" s="18">
        <v>160.990005</v>
      </c>
    </row>
    <row r="115" spans="1:2" x14ac:dyDescent="0.25">
      <c r="A115" s="12">
        <v>45145</v>
      </c>
      <c r="B115" s="18">
        <v>155.83999600000001</v>
      </c>
    </row>
    <row r="116" spans="1:2" x14ac:dyDescent="0.25">
      <c r="A116" s="12">
        <v>45152</v>
      </c>
      <c r="B116" s="18">
        <v>161.070007</v>
      </c>
    </row>
    <row r="117" spans="1:2" x14ac:dyDescent="0.25">
      <c r="A117" s="12">
        <v>45159</v>
      </c>
      <c r="B117" s="18">
        <v>169.19000199999999</v>
      </c>
    </row>
    <row r="118" spans="1:2" x14ac:dyDescent="0.25">
      <c r="A118" s="12">
        <v>45166</v>
      </c>
      <c r="B118" s="18">
        <v>176.58999600000001</v>
      </c>
    </row>
    <row r="119" spans="1:2" x14ac:dyDescent="0.25">
      <c r="A119" s="12">
        <v>45173</v>
      </c>
      <c r="B119" s="18">
        <v>171.199997</v>
      </c>
    </row>
    <row r="120" spans="1:2" x14ac:dyDescent="0.25">
      <c r="A120" s="12">
        <v>45180</v>
      </c>
      <c r="B120" s="18">
        <v>163.38000500000001</v>
      </c>
    </row>
    <row r="121" spans="1:2" x14ac:dyDescent="0.25">
      <c r="A121" s="12">
        <v>45187</v>
      </c>
      <c r="B121" s="18">
        <v>157</v>
      </c>
    </row>
    <row r="122" spans="1:2" x14ac:dyDescent="0.25">
      <c r="A122" s="12">
        <v>45194</v>
      </c>
      <c r="B122" s="18">
        <v>159.220001</v>
      </c>
    </row>
    <row r="123" spans="1:2" x14ac:dyDescent="0.25">
      <c r="A123" s="12">
        <v>45201</v>
      </c>
      <c r="B123" s="18">
        <v>158.61999499999999</v>
      </c>
    </row>
    <row r="124" spans="1:2" x14ac:dyDescent="0.25">
      <c r="A124" s="12">
        <v>45208</v>
      </c>
      <c r="B124" s="18">
        <v>140.08000200000001</v>
      </c>
    </row>
    <row r="125" spans="1:2" x14ac:dyDescent="0.25">
      <c r="A125" s="12">
        <v>45215</v>
      </c>
      <c r="B125" s="18">
        <v>132.009995</v>
      </c>
    </row>
    <row r="126" spans="1:2" x14ac:dyDescent="0.25">
      <c r="A126" s="12">
        <v>45222</v>
      </c>
      <c r="B126" s="18">
        <v>129.240005</v>
      </c>
    </row>
    <row r="127" spans="1:2" x14ac:dyDescent="0.25">
      <c r="A127" s="12">
        <v>45229</v>
      </c>
      <c r="B127" s="18">
        <v>131.96000699999999</v>
      </c>
    </row>
    <row r="128" spans="1:2" x14ac:dyDescent="0.25">
      <c r="A128" s="12">
        <v>45236</v>
      </c>
      <c r="B128" s="18">
        <v>140.11999499999999</v>
      </c>
    </row>
    <row r="129" spans="1:2" x14ac:dyDescent="0.25">
      <c r="A129" s="12">
        <v>45243</v>
      </c>
      <c r="B129" s="18">
        <v>169.699997</v>
      </c>
    </row>
    <row r="130" spans="1:2" x14ac:dyDescent="0.25">
      <c r="A130" s="12">
        <v>45250</v>
      </c>
      <c r="B130" s="18">
        <v>175.050003</v>
      </c>
    </row>
    <row r="131" spans="1:2" x14ac:dyDescent="0.25">
      <c r="A131" s="12">
        <v>45257</v>
      </c>
      <c r="B131" s="18">
        <v>176.36999499999999</v>
      </c>
    </row>
    <row r="132" spans="1:2" x14ac:dyDescent="0.25">
      <c r="A132" s="12">
        <v>45264</v>
      </c>
      <c r="B132" s="18">
        <v>175.029999</v>
      </c>
    </row>
    <row r="133" spans="1:2" x14ac:dyDescent="0.25">
      <c r="A133" s="12">
        <v>45271</v>
      </c>
      <c r="B133" s="18">
        <v>189.070007</v>
      </c>
    </row>
    <row r="134" spans="1:2" x14ac:dyDescent="0.25">
      <c r="A134" s="12">
        <v>45278</v>
      </c>
      <c r="B134" s="18">
        <v>189.46000699999999</v>
      </c>
    </row>
    <row r="135" spans="1:2" x14ac:dyDescent="0.25">
      <c r="A135" s="12">
        <v>45285</v>
      </c>
      <c r="B135" s="18">
        <v>187.80999800000001</v>
      </c>
    </row>
    <row r="136" spans="1:2" x14ac:dyDescent="0.25">
      <c r="A136" s="12">
        <v>45292</v>
      </c>
      <c r="B136" s="18">
        <v>176.78999300000001</v>
      </c>
    </row>
    <row r="137" spans="1:2" x14ac:dyDescent="0.25">
      <c r="A137" s="12">
        <v>45299</v>
      </c>
      <c r="B137" s="18">
        <v>190.71000699999999</v>
      </c>
    </row>
    <row r="138" spans="1:2" x14ac:dyDescent="0.25">
      <c r="A138" s="12">
        <v>45306</v>
      </c>
      <c r="B138" s="18">
        <v>195.63000500000001</v>
      </c>
    </row>
    <row r="139" spans="1:2" x14ac:dyDescent="0.25">
      <c r="A139" s="12">
        <v>45313</v>
      </c>
      <c r="B139" s="18">
        <v>208.63000500000001</v>
      </c>
    </row>
    <row r="140" spans="1:2" x14ac:dyDescent="0.25">
      <c r="A140" s="12">
        <v>45320</v>
      </c>
      <c r="B140" s="18">
        <v>214.05999800000001</v>
      </c>
    </row>
    <row r="141" spans="1:2" x14ac:dyDescent="0.25">
      <c r="A141" s="12">
        <v>45327</v>
      </c>
      <c r="B141" s="18">
        <v>235.91999799999999</v>
      </c>
    </row>
    <row r="142" spans="1:2" x14ac:dyDescent="0.25">
      <c r="A142" s="12">
        <v>45334</v>
      </c>
      <c r="B142" s="18">
        <v>225.300003</v>
      </c>
    </row>
    <row r="143" spans="1:2" x14ac:dyDescent="0.25">
      <c r="A143" s="12">
        <v>45341</v>
      </c>
      <c r="B143" s="18">
        <v>207.89999399999999</v>
      </c>
    </row>
    <row r="144" spans="1:2" x14ac:dyDescent="0.25">
      <c r="A144" s="12">
        <v>45348</v>
      </c>
      <c r="B144" s="18">
        <v>228.91999799999999</v>
      </c>
    </row>
    <row r="145" spans="1:2" x14ac:dyDescent="0.25">
      <c r="A145" s="12">
        <v>45355</v>
      </c>
      <c r="B145" s="18">
        <v>220.449997</v>
      </c>
    </row>
    <row r="146" spans="1:2" x14ac:dyDescent="0.25">
      <c r="A146" s="12">
        <v>45362</v>
      </c>
      <c r="B146" s="18">
        <v>217</v>
      </c>
    </row>
    <row r="147" spans="1:2" x14ac:dyDescent="0.25">
      <c r="A147" s="12">
        <v>45369</v>
      </c>
      <c r="B147" s="18">
        <v>228</v>
      </c>
    </row>
    <row r="148" spans="1:2" x14ac:dyDescent="0.25">
      <c r="A148" s="12">
        <v>45376</v>
      </c>
      <c r="B148" s="18">
        <v>225.86999499999999</v>
      </c>
    </row>
    <row r="149" spans="1:2" x14ac:dyDescent="0.25">
      <c r="A149" s="12">
        <v>45383</v>
      </c>
      <c r="B149" s="18">
        <v>217</v>
      </c>
    </row>
    <row r="150" spans="1:2" x14ac:dyDescent="0.25">
      <c r="A150" s="12">
        <v>45390</v>
      </c>
      <c r="B150" s="18">
        <v>215.75</v>
      </c>
    </row>
    <row r="151" spans="1:2" x14ac:dyDescent="0.25">
      <c r="A151" s="12"/>
      <c r="B151" s="18"/>
    </row>
    <row r="152" spans="1:2" x14ac:dyDescent="0.25">
      <c r="A152" s="12"/>
      <c r="B152" s="18"/>
    </row>
    <row r="153" spans="1:2" x14ac:dyDescent="0.25">
      <c r="A153" s="12"/>
      <c r="B153" s="18"/>
    </row>
    <row r="154" spans="1:2" x14ac:dyDescent="0.25">
      <c r="A154" s="12"/>
      <c r="B154" s="18"/>
    </row>
    <row r="155" spans="1:2" x14ac:dyDescent="0.25">
      <c r="A155" s="12"/>
      <c r="B155" s="18"/>
    </row>
    <row r="156" spans="1:2" x14ac:dyDescent="0.25">
      <c r="A156" s="12"/>
      <c r="B156" s="18"/>
    </row>
    <row r="157" spans="1:2" x14ac:dyDescent="0.25">
      <c r="A157" s="12"/>
      <c r="B157" s="18"/>
    </row>
    <row r="158" spans="1:2" x14ac:dyDescent="0.25">
      <c r="A158" s="12"/>
      <c r="B158" s="18"/>
    </row>
    <row r="159" spans="1:2" x14ac:dyDescent="0.25">
      <c r="A159" s="12"/>
      <c r="B159" s="18"/>
    </row>
    <row r="160" spans="1:2" x14ac:dyDescent="0.25">
      <c r="A160" s="12"/>
      <c r="B160" s="18"/>
    </row>
    <row r="161" spans="1:2" x14ac:dyDescent="0.25">
      <c r="A161" s="12"/>
      <c r="B161" s="18"/>
    </row>
    <row r="162" spans="1:2" x14ac:dyDescent="0.25">
      <c r="A162" s="12"/>
      <c r="B162" s="18"/>
    </row>
    <row r="163" spans="1:2" x14ac:dyDescent="0.25">
      <c r="A163" s="12"/>
      <c r="B163" s="18"/>
    </row>
    <row r="164" spans="1:2" x14ac:dyDescent="0.25">
      <c r="A164" s="12"/>
      <c r="B164" s="18"/>
    </row>
    <row r="165" spans="1:2" x14ac:dyDescent="0.25">
      <c r="A165" s="12"/>
      <c r="B165" s="18"/>
    </row>
    <row r="166" spans="1:2" x14ac:dyDescent="0.25">
      <c r="A166" s="12"/>
      <c r="B166" s="18"/>
    </row>
    <row r="167" spans="1:2" x14ac:dyDescent="0.25">
      <c r="A167" s="12"/>
      <c r="B167" s="18"/>
    </row>
    <row r="168" spans="1:2" x14ac:dyDescent="0.25">
      <c r="A168" s="12"/>
      <c r="B168" s="18"/>
    </row>
    <row r="169" spans="1:2" x14ac:dyDescent="0.25">
      <c r="A169" s="12"/>
      <c r="B169" s="18"/>
    </row>
    <row r="170" spans="1:2" x14ac:dyDescent="0.25">
      <c r="A170" s="12"/>
      <c r="B170" s="18"/>
    </row>
    <row r="171" spans="1:2" x14ac:dyDescent="0.25">
      <c r="A171" s="12"/>
      <c r="B171" s="18"/>
    </row>
    <row r="172" spans="1:2" x14ac:dyDescent="0.25">
      <c r="A172" s="12"/>
      <c r="B172" s="18"/>
    </row>
    <row r="173" spans="1:2" x14ac:dyDescent="0.25">
      <c r="A173" s="12"/>
      <c r="B173" s="18"/>
    </row>
    <row r="174" spans="1:2" x14ac:dyDescent="0.25">
      <c r="A174" s="12"/>
      <c r="B174" s="18"/>
    </row>
    <row r="175" spans="1:2" x14ac:dyDescent="0.25">
      <c r="A175" s="12"/>
      <c r="B175" s="18"/>
    </row>
    <row r="176" spans="1:2" x14ac:dyDescent="0.25">
      <c r="A176" s="12"/>
      <c r="B176" s="18"/>
    </row>
    <row r="177" spans="1:2" x14ac:dyDescent="0.25">
      <c r="A177" s="12"/>
      <c r="B177" s="18"/>
    </row>
    <row r="178" spans="1:2" x14ac:dyDescent="0.25">
      <c r="A178" s="12"/>
      <c r="B178" s="18"/>
    </row>
    <row r="179" spans="1:2" x14ac:dyDescent="0.25">
      <c r="A179" s="12"/>
      <c r="B179" s="18"/>
    </row>
    <row r="180" spans="1:2" x14ac:dyDescent="0.25">
      <c r="A180" s="12"/>
      <c r="B180" s="18"/>
    </row>
    <row r="181" spans="1:2" x14ac:dyDescent="0.25">
      <c r="A181" s="12"/>
      <c r="B181" s="18"/>
    </row>
    <row r="182" spans="1:2" x14ac:dyDescent="0.25">
      <c r="A182" s="12"/>
      <c r="B182" s="18"/>
    </row>
    <row r="183" spans="1:2" x14ac:dyDescent="0.25">
      <c r="A183" s="12"/>
      <c r="B183" s="18"/>
    </row>
    <row r="184" spans="1:2" x14ac:dyDescent="0.25">
      <c r="A184" s="12"/>
      <c r="B184" s="18"/>
    </row>
    <row r="185" spans="1:2" x14ac:dyDescent="0.25">
      <c r="A185" s="12"/>
      <c r="B185" s="18"/>
    </row>
    <row r="186" spans="1:2" x14ac:dyDescent="0.25">
      <c r="A186" s="12"/>
      <c r="B186" s="18"/>
    </row>
    <row r="187" spans="1:2" x14ac:dyDescent="0.25">
      <c r="A187" s="12"/>
      <c r="B187" s="18"/>
    </row>
    <row r="188" spans="1:2" x14ac:dyDescent="0.25">
      <c r="A188" s="12"/>
      <c r="B188" s="18"/>
    </row>
    <row r="189" spans="1:2" x14ac:dyDescent="0.25">
      <c r="A189" s="12"/>
      <c r="B189" s="18"/>
    </row>
    <row r="190" spans="1:2" x14ac:dyDescent="0.25">
      <c r="A190" s="12"/>
      <c r="B190" s="18"/>
    </row>
    <row r="191" spans="1:2" x14ac:dyDescent="0.25">
      <c r="A191" s="12"/>
      <c r="B191" s="18"/>
    </row>
    <row r="192" spans="1:2" x14ac:dyDescent="0.25">
      <c r="A192" s="12"/>
      <c r="B192" s="18"/>
    </row>
    <row r="193" spans="1:2" x14ac:dyDescent="0.25">
      <c r="A193" s="12"/>
      <c r="B193" s="18"/>
    </row>
    <row r="194" spans="1:2" x14ac:dyDescent="0.25">
      <c r="A194" s="12"/>
      <c r="B194" s="18"/>
    </row>
    <row r="195" spans="1:2" x14ac:dyDescent="0.25">
      <c r="A195" s="12"/>
      <c r="B195" s="18"/>
    </row>
    <row r="196" spans="1:2" x14ac:dyDescent="0.25">
      <c r="A196" s="12"/>
      <c r="B196" s="18"/>
    </row>
    <row r="197" spans="1:2" x14ac:dyDescent="0.25">
      <c r="A197" s="12"/>
      <c r="B197" s="18"/>
    </row>
    <row r="198" spans="1:2" x14ac:dyDescent="0.25">
      <c r="A198" s="12"/>
      <c r="B198" s="18"/>
    </row>
    <row r="199" spans="1:2" x14ac:dyDescent="0.25">
      <c r="A199" s="12"/>
      <c r="B199" s="18"/>
    </row>
    <row r="200" spans="1:2" x14ac:dyDescent="0.25">
      <c r="A200" s="12"/>
      <c r="B200" s="18"/>
    </row>
    <row r="201" spans="1:2" x14ac:dyDescent="0.25">
      <c r="A201" s="12"/>
      <c r="B201" s="18"/>
    </row>
    <row r="202" spans="1:2" x14ac:dyDescent="0.25">
      <c r="A202" s="12"/>
      <c r="B202" s="18"/>
    </row>
    <row r="203" spans="1:2" x14ac:dyDescent="0.25">
      <c r="A203" s="12"/>
      <c r="B203" s="18"/>
    </row>
    <row r="204" spans="1:2" x14ac:dyDescent="0.25">
      <c r="A204" s="12"/>
      <c r="B204" s="18"/>
    </row>
    <row r="205" spans="1:2" x14ac:dyDescent="0.25">
      <c r="A205" s="12"/>
      <c r="B205" s="18"/>
    </row>
    <row r="206" spans="1:2" x14ac:dyDescent="0.25">
      <c r="A206" s="12"/>
      <c r="B206" s="18"/>
    </row>
    <row r="207" spans="1:2" x14ac:dyDescent="0.25">
      <c r="A207" s="12"/>
      <c r="B207" s="18"/>
    </row>
    <row r="208" spans="1:2" x14ac:dyDescent="0.25">
      <c r="A208" s="12"/>
      <c r="B208" s="18"/>
    </row>
    <row r="209" spans="1:2" x14ac:dyDescent="0.25">
      <c r="A209" s="12"/>
      <c r="B209" s="18"/>
    </row>
    <row r="210" spans="1:2" x14ac:dyDescent="0.25">
      <c r="A210" s="12"/>
      <c r="B210" s="18"/>
    </row>
    <row r="211" spans="1:2" x14ac:dyDescent="0.25">
      <c r="A211" s="12"/>
      <c r="B211" s="18"/>
    </row>
    <row r="212" spans="1:2" x14ac:dyDescent="0.25">
      <c r="A212" s="12"/>
      <c r="B212" s="18"/>
    </row>
    <row r="213" spans="1:2" x14ac:dyDescent="0.25">
      <c r="A213" s="12"/>
      <c r="B213" s="18"/>
    </row>
    <row r="214" spans="1:2" x14ac:dyDescent="0.25">
      <c r="A214" s="12"/>
      <c r="B214" s="18"/>
    </row>
    <row r="215" spans="1:2" x14ac:dyDescent="0.25">
      <c r="A215" s="12"/>
      <c r="B215" s="18"/>
    </row>
    <row r="216" spans="1:2" x14ac:dyDescent="0.25">
      <c r="A216" s="12"/>
      <c r="B216" s="18"/>
    </row>
    <row r="217" spans="1:2" x14ac:dyDescent="0.25">
      <c r="A217" s="12"/>
      <c r="B217" s="18"/>
    </row>
    <row r="218" spans="1:2" x14ac:dyDescent="0.25">
      <c r="A218" s="12"/>
      <c r="B218" s="18"/>
    </row>
    <row r="219" spans="1:2" x14ac:dyDescent="0.25">
      <c r="A219" s="12"/>
      <c r="B219" s="18"/>
    </row>
    <row r="220" spans="1:2" x14ac:dyDescent="0.25">
      <c r="A220" s="12"/>
      <c r="B220" s="18"/>
    </row>
    <row r="221" spans="1:2" x14ac:dyDescent="0.25">
      <c r="A221" s="12"/>
      <c r="B221" s="18"/>
    </row>
    <row r="222" spans="1:2" x14ac:dyDescent="0.25">
      <c r="A222" s="12"/>
      <c r="B222" s="18"/>
    </row>
    <row r="223" spans="1:2" x14ac:dyDescent="0.25">
      <c r="A223" s="12"/>
      <c r="B223" s="18"/>
    </row>
    <row r="224" spans="1:2" x14ac:dyDescent="0.25">
      <c r="A224" s="12"/>
      <c r="B224" s="18"/>
    </row>
    <row r="225" spans="1:2" x14ac:dyDescent="0.25">
      <c r="A225" s="12"/>
      <c r="B225" s="18"/>
    </row>
    <row r="226" spans="1:2" x14ac:dyDescent="0.25">
      <c r="A226" s="12"/>
      <c r="B226" s="18"/>
    </row>
    <row r="227" spans="1:2" x14ac:dyDescent="0.25">
      <c r="A227" s="12"/>
      <c r="B227" s="18"/>
    </row>
    <row r="228" spans="1:2" x14ac:dyDescent="0.25">
      <c r="A228" s="12"/>
      <c r="B228" s="18"/>
    </row>
    <row r="229" spans="1:2" x14ac:dyDescent="0.25">
      <c r="A229" s="12"/>
      <c r="B229" s="18"/>
    </row>
    <row r="230" spans="1:2" x14ac:dyDescent="0.25">
      <c r="A230" s="12"/>
      <c r="B230" s="18"/>
    </row>
    <row r="231" spans="1:2" x14ac:dyDescent="0.25">
      <c r="A231" s="12"/>
      <c r="B231" s="18"/>
    </row>
    <row r="232" spans="1:2" x14ac:dyDescent="0.25">
      <c r="A232" s="12"/>
      <c r="B232" s="18"/>
    </row>
    <row r="233" spans="1:2" x14ac:dyDescent="0.25">
      <c r="A233" s="12"/>
      <c r="B233" s="18"/>
    </row>
    <row r="234" spans="1:2" x14ac:dyDescent="0.25">
      <c r="A234" s="12"/>
      <c r="B234" s="18"/>
    </row>
    <row r="235" spans="1:2" x14ac:dyDescent="0.25">
      <c r="A235" s="12"/>
      <c r="B235" s="18"/>
    </row>
    <row r="236" spans="1:2" x14ac:dyDescent="0.25">
      <c r="A236" s="12"/>
      <c r="B236" s="18"/>
    </row>
    <row r="237" spans="1:2" x14ac:dyDescent="0.25">
      <c r="A237" s="12"/>
      <c r="B237" s="18"/>
    </row>
    <row r="238" spans="1:2" x14ac:dyDescent="0.25">
      <c r="A238" s="12"/>
      <c r="B238" s="18"/>
    </row>
    <row r="239" spans="1:2" x14ac:dyDescent="0.25">
      <c r="A239" s="12"/>
      <c r="B239" s="18"/>
    </row>
    <row r="240" spans="1:2" x14ac:dyDescent="0.25">
      <c r="A240" s="12"/>
      <c r="B240" s="18"/>
    </row>
    <row r="241" spans="1:2" x14ac:dyDescent="0.25">
      <c r="A241" s="12"/>
      <c r="B241" s="18"/>
    </row>
    <row r="242" spans="1:2" x14ac:dyDescent="0.25">
      <c r="A242" s="12"/>
      <c r="B242" s="18"/>
    </row>
    <row r="243" spans="1:2" x14ac:dyDescent="0.25">
      <c r="A243" s="12"/>
      <c r="B243" s="18"/>
    </row>
    <row r="244" spans="1:2" x14ac:dyDescent="0.25">
      <c r="A244" s="12"/>
      <c r="B244" s="18"/>
    </row>
    <row r="245" spans="1:2" x14ac:dyDescent="0.25">
      <c r="A245" s="12"/>
      <c r="B245" s="18"/>
    </row>
    <row r="246" spans="1:2" x14ac:dyDescent="0.25">
      <c r="A246" s="12"/>
      <c r="B246" s="18"/>
    </row>
    <row r="247" spans="1:2" x14ac:dyDescent="0.25">
      <c r="A247" s="12"/>
      <c r="B247" s="18"/>
    </row>
    <row r="248" spans="1:2" x14ac:dyDescent="0.25">
      <c r="A248" s="12"/>
      <c r="B248" s="18"/>
    </row>
    <row r="249" spans="1:2" x14ac:dyDescent="0.25">
      <c r="A249" s="12"/>
      <c r="B249" s="18"/>
    </row>
    <row r="250" spans="1:2" x14ac:dyDescent="0.25">
      <c r="A250" s="12"/>
      <c r="B250" s="18"/>
    </row>
    <row r="251" spans="1:2" x14ac:dyDescent="0.25">
      <c r="A251" s="12"/>
      <c r="B251" s="18"/>
    </row>
    <row r="252" spans="1:2" x14ac:dyDescent="0.25">
      <c r="A252" s="12"/>
      <c r="B252" s="18"/>
    </row>
    <row r="253" spans="1:2" x14ac:dyDescent="0.25">
      <c r="A253" s="12"/>
      <c r="B253" s="18"/>
    </row>
    <row r="254" spans="1:2" x14ac:dyDescent="0.25">
      <c r="A254" s="12"/>
      <c r="B254" s="18"/>
    </row>
    <row r="255" spans="1:2" x14ac:dyDescent="0.25">
      <c r="A255" s="12"/>
      <c r="B255" s="18"/>
    </row>
    <row r="256" spans="1:2" x14ac:dyDescent="0.25">
      <c r="A256" s="12"/>
      <c r="B256" s="18"/>
    </row>
    <row r="257" spans="1:2" x14ac:dyDescent="0.25">
      <c r="A257" s="12"/>
      <c r="B257" s="18"/>
    </row>
    <row r="258" spans="1:2" x14ac:dyDescent="0.25">
      <c r="A258" s="12"/>
      <c r="B258" s="18"/>
    </row>
    <row r="259" spans="1:2" x14ac:dyDescent="0.25">
      <c r="A259" s="12"/>
      <c r="B259" s="18"/>
    </row>
    <row r="260" spans="1:2" x14ac:dyDescent="0.25">
      <c r="A260" s="12"/>
      <c r="B260" s="18"/>
    </row>
    <row r="261" spans="1:2" x14ac:dyDescent="0.25">
      <c r="A261" s="12"/>
      <c r="B261" s="18"/>
    </row>
    <row r="262" spans="1:2" x14ac:dyDescent="0.25">
      <c r="A262" s="12"/>
      <c r="B262" s="18"/>
    </row>
    <row r="263" spans="1:2" x14ac:dyDescent="0.25">
      <c r="A263" s="12"/>
      <c r="B263" s="18"/>
    </row>
    <row r="264" spans="1:2" x14ac:dyDescent="0.25">
      <c r="A264" s="12"/>
      <c r="B264" s="18"/>
    </row>
    <row r="265" spans="1:2" x14ac:dyDescent="0.25">
      <c r="A265" s="12"/>
      <c r="B265" s="18"/>
    </row>
    <row r="266" spans="1:2" x14ac:dyDescent="0.25">
      <c r="A266" s="12"/>
      <c r="B266" s="18"/>
    </row>
    <row r="267" spans="1:2" x14ac:dyDescent="0.25">
      <c r="A267" s="12"/>
      <c r="B267" s="18"/>
    </row>
    <row r="268" spans="1:2" x14ac:dyDescent="0.25">
      <c r="A268" s="12"/>
      <c r="B268" s="18"/>
    </row>
    <row r="269" spans="1:2" x14ac:dyDescent="0.25">
      <c r="A269" s="12"/>
      <c r="B269" s="18"/>
    </row>
    <row r="270" spans="1:2" x14ac:dyDescent="0.25">
      <c r="A270" s="12"/>
      <c r="B270" s="18"/>
    </row>
    <row r="271" spans="1:2" x14ac:dyDescent="0.25">
      <c r="A271" s="12"/>
      <c r="B271" s="18"/>
    </row>
    <row r="272" spans="1:2" x14ac:dyDescent="0.25">
      <c r="A272" s="12"/>
      <c r="B272" s="18"/>
    </row>
    <row r="273" spans="1:2" x14ac:dyDescent="0.25">
      <c r="A273" s="12"/>
      <c r="B273" s="18"/>
    </row>
    <row r="274" spans="1:2" x14ac:dyDescent="0.25">
      <c r="A274" s="12"/>
      <c r="B274" s="18"/>
    </row>
    <row r="275" spans="1:2" x14ac:dyDescent="0.25">
      <c r="A275" s="12"/>
      <c r="B275" s="18"/>
    </row>
    <row r="276" spans="1:2" x14ac:dyDescent="0.25">
      <c r="A276" s="12"/>
      <c r="B276" s="18"/>
    </row>
    <row r="277" spans="1:2" x14ac:dyDescent="0.25">
      <c r="A277" s="12"/>
      <c r="B277" s="18"/>
    </row>
    <row r="278" spans="1:2" x14ac:dyDescent="0.25">
      <c r="A278" s="12"/>
      <c r="B278" s="18"/>
    </row>
    <row r="279" spans="1:2" x14ac:dyDescent="0.25">
      <c r="A279" s="12"/>
      <c r="B279" s="18"/>
    </row>
    <row r="280" spans="1:2" x14ac:dyDescent="0.25">
      <c r="A280" s="12"/>
      <c r="B280" s="18"/>
    </row>
    <row r="281" spans="1:2" x14ac:dyDescent="0.25">
      <c r="A281" s="12"/>
      <c r="B281" s="18"/>
    </row>
    <row r="282" spans="1:2" x14ac:dyDescent="0.25">
      <c r="A282" s="12"/>
      <c r="B282" s="18"/>
    </row>
    <row r="283" spans="1:2" x14ac:dyDescent="0.25">
      <c r="A283" s="12"/>
      <c r="B283" s="18"/>
    </row>
    <row r="284" spans="1:2" x14ac:dyDescent="0.25">
      <c r="A284" s="12"/>
      <c r="B284" s="18"/>
    </row>
    <row r="285" spans="1:2" x14ac:dyDescent="0.25">
      <c r="A285" s="12"/>
      <c r="B285" s="18"/>
    </row>
    <row r="286" spans="1:2" x14ac:dyDescent="0.25">
      <c r="A286" s="12"/>
      <c r="B286" s="18"/>
    </row>
    <row r="287" spans="1:2" x14ac:dyDescent="0.25">
      <c r="A287" s="12"/>
      <c r="B287" s="18"/>
    </row>
    <row r="288" spans="1:2" x14ac:dyDescent="0.25">
      <c r="A288" s="12"/>
      <c r="B288" s="18"/>
    </row>
    <row r="289" spans="1:2" x14ac:dyDescent="0.25">
      <c r="A289" s="12"/>
      <c r="B289" s="18"/>
    </row>
    <row r="290" spans="1:2" x14ac:dyDescent="0.25">
      <c r="A290" s="12"/>
      <c r="B290" s="18"/>
    </row>
    <row r="291" spans="1:2" x14ac:dyDescent="0.25">
      <c r="A291" s="12"/>
      <c r="B291" s="18"/>
    </row>
    <row r="292" spans="1:2" x14ac:dyDescent="0.25">
      <c r="A292" s="12"/>
      <c r="B292" s="18"/>
    </row>
    <row r="293" spans="1:2" x14ac:dyDescent="0.25">
      <c r="A293" s="12"/>
      <c r="B293" s="18"/>
    </row>
    <row r="294" spans="1:2" x14ac:dyDescent="0.25">
      <c r="A294" s="12"/>
      <c r="B294" s="18"/>
    </row>
    <row r="295" spans="1:2" x14ac:dyDescent="0.25">
      <c r="A295" s="12"/>
      <c r="B295" s="18"/>
    </row>
    <row r="296" spans="1:2" x14ac:dyDescent="0.25">
      <c r="A296" s="12"/>
      <c r="B296" s="18"/>
    </row>
    <row r="297" spans="1:2" x14ac:dyDescent="0.25">
      <c r="A297" s="12"/>
      <c r="B297" s="18"/>
    </row>
    <row r="298" spans="1:2" x14ac:dyDescent="0.25">
      <c r="A298" s="12"/>
      <c r="B298" s="18"/>
    </row>
    <row r="299" spans="1:2" x14ac:dyDescent="0.25">
      <c r="A299" s="12"/>
      <c r="B299" s="18"/>
    </row>
    <row r="300" spans="1:2" x14ac:dyDescent="0.25">
      <c r="A300" s="12"/>
      <c r="B300" s="18"/>
    </row>
    <row r="301" spans="1:2" x14ac:dyDescent="0.25">
      <c r="A301" s="12"/>
      <c r="B301" s="18"/>
    </row>
    <row r="302" spans="1:2" x14ac:dyDescent="0.25">
      <c r="A302" s="12"/>
      <c r="B302" s="18"/>
    </row>
    <row r="303" spans="1:2" x14ac:dyDescent="0.25">
      <c r="A303" s="12"/>
      <c r="B303" s="18"/>
    </row>
    <row r="304" spans="1:2" x14ac:dyDescent="0.25">
      <c r="A304" s="12"/>
      <c r="B304" s="18"/>
    </row>
    <row r="305" spans="1:2" x14ac:dyDescent="0.25">
      <c r="A305" s="12"/>
      <c r="B305" s="18"/>
    </row>
    <row r="306" spans="1:2" x14ac:dyDescent="0.25">
      <c r="A306" s="12"/>
      <c r="B306" s="18"/>
    </row>
    <row r="307" spans="1:2" x14ac:dyDescent="0.25">
      <c r="A307" s="12"/>
      <c r="B307" s="18"/>
    </row>
    <row r="308" spans="1:2" x14ac:dyDescent="0.25">
      <c r="A308" s="12"/>
      <c r="B308" s="18"/>
    </row>
    <row r="309" spans="1:2" x14ac:dyDescent="0.25">
      <c r="A309" s="12"/>
      <c r="B309" s="18"/>
    </row>
    <row r="310" spans="1:2" x14ac:dyDescent="0.25">
      <c r="A310" s="12"/>
      <c r="B310" s="18"/>
    </row>
    <row r="311" spans="1:2" x14ac:dyDescent="0.25">
      <c r="A311" s="12"/>
      <c r="B311" s="18"/>
    </row>
    <row r="312" spans="1:2" x14ac:dyDescent="0.25">
      <c r="A312" s="12"/>
      <c r="B312" s="18"/>
    </row>
    <row r="313" spans="1:2" x14ac:dyDescent="0.25">
      <c r="A313" s="12"/>
      <c r="B313" s="18"/>
    </row>
    <row r="314" spans="1:2" x14ac:dyDescent="0.25">
      <c r="A314" s="12"/>
      <c r="B314" s="18"/>
    </row>
    <row r="315" spans="1:2" x14ac:dyDescent="0.25">
      <c r="A315" s="12"/>
      <c r="B315" s="18"/>
    </row>
    <row r="316" spans="1:2" x14ac:dyDescent="0.25">
      <c r="A316" s="12"/>
      <c r="B316" s="18"/>
    </row>
    <row r="317" spans="1:2" x14ac:dyDescent="0.25">
      <c r="A317" s="12"/>
      <c r="B317" s="18"/>
    </row>
    <row r="318" spans="1:2" x14ac:dyDescent="0.25">
      <c r="A318" s="12"/>
      <c r="B318" s="18"/>
    </row>
    <row r="319" spans="1:2" x14ac:dyDescent="0.25">
      <c r="A319" s="12"/>
      <c r="B319" s="18"/>
    </row>
    <row r="320" spans="1:2" x14ac:dyDescent="0.25">
      <c r="A320" s="12"/>
      <c r="B320" s="18"/>
    </row>
    <row r="321" spans="1:2" x14ac:dyDescent="0.25">
      <c r="A321" s="12"/>
      <c r="B321" s="18"/>
    </row>
    <row r="322" spans="1:2" x14ac:dyDescent="0.25">
      <c r="A322" s="12"/>
      <c r="B322" s="18"/>
    </row>
    <row r="323" spans="1:2" x14ac:dyDescent="0.25">
      <c r="A323" s="12"/>
      <c r="B323" s="18"/>
    </row>
    <row r="324" spans="1:2" x14ac:dyDescent="0.25">
      <c r="A324" s="12"/>
      <c r="B324" s="18"/>
    </row>
    <row r="325" spans="1:2" x14ac:dyDescent="0.25">
      <c r="A325" s="12"/>
      <c r="B325" s="18"/>
    </row>
    <row r="326" spans="1:2" x14ac:dyDescent="0.25">
      <c r="A326" s="12"/>
      <c r="B326" s="18"/>
    </row>
    <row r="327" spans="1:2" x14ac:dyDescent="0.25">
      <c r="A327" s="12"/>
      <c r="B327" s="18"/>
    </row>
    <row r="328" spans="1:2" x14ac:dyDescent="0.25">
      <c r="A328" s="12"/>
      <c r="B328" s="18"/>
    </row>
    <row r="329" spans="1:2" x14ac:dyDescent="0.25">
      <c r="A329" s="12"/>
      <c r="B329" s="18"/>
    </row>
    <row r="330" spans="1:2" x14ac:dyDescent="0.25">
      <c r="A330" s="12"/>
      <c r="B330" s="18"/>
    </row>
    <row r="331" spans="1:2" x14ac:dyDescent="0.25">
      <c r="A331" s="12"/>
      <c r="B331" s="18"/>
    </row>
    <row r="332" spans="1:2" x14ac:dyDescent="0.25">
      <c r="A332" s="12"/>
      <c r="B332" s="18"/>
    </row>
    <row r="333" spans="1:2" x14ac:dyDescent="0.25">
      <c r="A333" s="12"/>
      <c r="B333" s="18"/>
    </row>
    <row r="334" spans="1:2" x14ac:dyDescent="0.25">
      <c r="A334" s="12"/>
      <c r="B334" s="18"/>
    </row>
    <row r="335" spans="1:2" x14ac:dyDescent="0.25">
      <c r="A335" s="12"/>
      <c r="B335" s="18"/>
    </row>
    <row r="336" spans="1:2" x14ac:dyDescent="0.25">
      <c r="A336" s="12"/>
      <c r="B336" s="18"/>
    </row>
    <row r="337" spans="1:2" x14ac:dyDescent="0.25">
      <c r="A337" s="12"/>
      <c r="B337" s="18"/>
    </row>
    <row r="338" spans="1:2" x14ac:dyDescent="0.25">
      <c r="A338" s="12"/>
      <c r="B338" s="18"/>
    </row>
    <row r="339" spans="1:2" x14ac:dyDescent="0.25">
      <c r="A339" s="12"/>
      <c r="B339" s="18"/>
    </row>
    <row r="340" spans="1:2" x14ac:dyDescent="0.25">
      <c r="A340" s="12"/>
      <c r="B340" s="18"/>
    </row>
    <row r="341" spans="1:2" x14ac:dyDescent="0.25">
      <c r="A341" s="12"/>
      <c r="B341" s="18"/>
    </row>
    <row r="342" spans="1:2" x14ac:dyDescent="0.25">
      <c r="A342" s="12"/>
      <c r="B342" s="18"/>
    </row>
    <row r="343" spans="1:2" x14ac:dyDescent="0.25">
      <c r="A343" s="12"/>
      <c r="B343" s="18"/>
    </row>
    <row r="344" spans="1:2" x14ac:dyDescent="0.25">
      <c r="A344" s="12"/>
      <c r="B344" s="18"/>
    </row>
    <row r="345" spans="1:2" x14ac:dyDescent="0.25">
      <c r="A345" s="12"/>
      <c r="B345" s="18"/>
    </row>
    <row r="346" spans="1:2" x14ac:dyDescent="0.25">
      <c r="A346" s="12"/>
      <c r="B346" s="18"/>
    </row>
    <row r="347" spans="1:2" x14ac:dyDescent="0.25">
      <c r="A347" s="12"/>
      <c r="B347" s="18"/>
    </row>
    <row r="348" spans="1:2" x14ac:dyDescent="0.25">
      <c r="A348" s="12"/>
      <c r="B348" s="18"/>
    </row>
    <row r="349" spans="1:2" x14ac:dyDescent="0.25">
      <c r="A349" s="12"/>
      <c r="B349" s="18"/>
    </row>
    <row r="350" spans="1:2" x14ac:dyDescent="0.25">
      <c r="A350" s="12"/>
      <c r="B350" s="18"/>
    </row>
    <row r="351" spans="1:2" x14ac:dyDescent="0.25">
      <c r="A351" s="12"/>
      <c r="B351" s="18"/>
    </row>
    <row r="352" spans="1:2" x14ac:dyDescent="0.25">
      <c r="A352" s="12"/>
      <c r="B352" s="18"/>
    </row>
    <row r="353" spans="1:2" x14ac:dyDescent="0.25">
      <c r="A353" s="12"/>
      <c r="B353" s="18"/>
    </row>
    <row r="354" spans="1:2" x14ac:dyDescent="0.25">
      <c r="A354" s="12"/>
      <c r="B354" s="18"/>
    </row>
    <row r="355" spans="1:2" x14ac:dyDescent="0.25">
      <c r="A355" s="12"/>
      <c r="B355" s="18"/>
    </row>
    <row r="356" spans="1:2" x14ac:dyDescent="0.25">
      <c r="A356" s="12"/>
      <c r="B356" s="18"/>
    </row>
    <row r="357" spans="1:2" x14ac:dyDescent="0.25">
      <c r="A357" s="12"/>
      <c r="B357" s="18"/>
    </row>
    <row r="358" spans="1:2" x14ac:dyDescent="0.25">
      <c r="A358" s="12"/>
      <c r="B358" s="18"/>
    </row>
    <row r="359" spans="1:2" x14ac:dyDescent="0.25">
      <c r="A359" s="12"/>
      <c r="B359" s="18"/>
    </row>
    <row r="360" spans="1:2" x14ac:dyDescent="0.25">
      <c r="A360" s="12"/>
      <c r="B360" s="18"/>
    </row>
    <row r="361" spans="1:2" x14ac:dyDescent="0.25">
      <c r="A361" s="12"/>
      <c r="B361" s="18"/>
    </row>
    <row r="362" spans="1:2" x14ac:dyDescent="0.25">
      <c r="A362" s="12"/>
      <c r="B362" s="18"/>
    </row>
    <row r="363" spans="1:2" x14ac:dyDescent="0.25">
      <c r="A363" s="12"/>
      <c r="B363" s="18"/>
    </row>
    <row r="364" spans="1:2" x14ac:dyDescent="0.25">
      <c r="A364" s="12"/>
      <c r="B364" s="18"/>
    </row>
    <row r="365" spans="1:2" x14ac:dyDescent="0.25">
      <c r="A365" s="12"/>
      <c r="B365" s="18"/>
    </row>
    <row r="366" spans="1:2" x14ac:dyDescent="0.25">
      <c r="A366" s="12"/>
      <c r="B366" s="18"/>
    </row>
    <row r="367" spans="1:2" x14ac:dyDescent="0.25">
      <c r="A367" s="12"/>
      <c r="B367" s="18"/>
    </row>
    <row r="368" spans="1:2" x14ac:dyDescent="0.25">
      <c r="A368" s="12"/>
      <c r="B368" s="18"/>
    </row>
    <row r="369" spans="1:2" x14ac:dyDescent="0.25">
      <c r="A369" s="12"/>
      <c r="B369" s="18"/>
    </row>
    <row r="370" spans="1:2" x14ac:dyDescent="0.25">
      <c r="A370" s="12"/>
      <c r="B370" s="18"/>
    </row>
    <row r="371" spans="1:2" x14ac:dyDescent="0.25">
      <c r="A371" s="12"/>
      <c r="B371" s="18"/>
    </row>
    <row r="372" spans="1:2" x14ac:dyDescent="0.25">
      <c r="A372" s="12"/>
      <c r="B372" s="18"/>
    </row>
    <row r="373" spans="1:2" x14ac:dyDescent="0.25">
      <c r="A373" s="12"/>
      <c r="B373" s="18"/>
    </row>
    <row r="374" spans="1:2" x14ac:dyDescent="0.25">
      <c r="A374" s="12"/>
      <c r="B374" s="18"/>
    </row>
    <row r="375" spans="1:2" x14ac:dyDescent="0.25">
      <c r="A375" s="12"/>
      <c r="B375" s="18"/>
    </row>
    <row r="376" spans="1:2" x14ac:dyDescent="0.25">
      <c r="A376" s="12"/>
      <c r="B376" s="18"/>
    </row>
    <row r="377" spans="1:2" x14ac:dyDescent="0.25">
      <c r="A377" s="12"/>
      <c r="B377" s="18"/>
    </row>
    <row r="378" spans="1:2" x14ac:dyDescent="0.25">
      <c r="A378" s="12"/>
      <c r="B378" s="18"/>
    </row>
    <row r="379" spans="1:2" x14ac:dyDescent="0.25">
      <c r="A379" s="12"/>
      <c r="B379" s="18"/>
    </row>
    <row r="380" spans="1:2" x14ac:dyDescent="0.25">
      <c r="A380" s="12"/>
      <c r="B380" s="18"/>
    </row>
    <row r="381" spans="1:2" x14ac:dyDescent="0.25">
      <c r="A381" s="12"/>
      <c r="B381" s="18"/>
    </row>
    <row r="382" spans="1:2" x14ac:dyDescent="0.25">
      <c r="A382" s="12"/>
      <c r="B382" s="18"/>
    </row>
    <row r="383" spans="1:2" x14ac:dyDescent="0.25">
      <c r="A383" s="12"/>
      <c r="B383" s="18"/>
    </row>
    <row r="384" spans="1:2" x14ac:dyDescent="0.25">
      <c r="A384" s="12"/>
      <c r="B384" s="18"/>
    </row>
    <row r="385" spans="1:2" x14ac:dyDescent="0.25">
      <c r="A385" s="12"/>
      <c r="B385" s="18"/>
    </row>
    <row r="386" spans="1:2" x14ac:dyDescent="0.25">
      <c r="A386" s="12"/>
      <c r="B386" s="18"/>
    </row>
    <row r="387" spans="1:2" x14ac:dyDescent="0.25">
      <c r="A387" s="12"/>
      <c r="B387" s="18"/>
    </row>
    <row r="388" spans="1:2" x14ac:dyDescent="0.25">
      <c r="A388" s="12"/>
      <c r="B388" s="18"/>
    </row>
    <row r="389" spans="1:2" x14ac:dyDescent="0.25">
      <c r="A389" s="12"/>
      <c r="B389" s="18"/>
    </row>
    <row r="390" spans="1:2" x14ac:dyDescent="0.25">
      <c r="A390" s="12"/>
      <c r="B390" s="18"/>
    </row>
    <row r="391" spans="1:2" x14ac:dyDescent="0.25">
      <c r="A391" s="12"/>
      <c r="B391" s="18"/>
    </row>
    <row r="392" spans="1:2" x14ac:dyDescent="0.25">
      <c r="A392" s="12"/>
      <c r="B392" s="18"/>
    </row>
    <row r="393" spans="1:2" x14ac:dyDescent="0.25">
      <c r="A393" s="12"/>
      <c r="B393" s="18"/>
    </row>
    <row r="394" spans="1:2" x14ac:dyDescent="0.25">
      <c r="A394" s="12"/>
      <c r="B394" s="18"/>
    </row>
    <row r="395" spans="1:2" x14ac:dyDescent="0.25">
      <c r="A395" s="12"/>
      <c r="B395" s="18"/>
    </row>
    <row r="396" spans="1:2" x14ac:dyDescent="0.25">
      <c r="A396" s="12"/>
      <c r="B396" s="18"/>
    </row>
    <row r="397" spans="1:2" x14ac:dyDescent="0.25">
      <c r="A397" s="12"/>
      <c r="B397" s="18"/>
    </row>
    <row r="398" spans="1:2" x14ac:dyDescent="0.25">
      <c r="A398" s="12"/>
      <c r="B398" s="18"/>
    </row>
    <row r="399" spans="1:2" x14ac:dyDescent="0.25">
      <c r="A399" s="12"/>
      <c r="B399" s="18"/>
    </row>
    <row r="400" spans="1:2" x14ac:dyDescent="0.25">
      <c r="A400" s="12"/>
      <c r="B400" s="18"/>
    </row>
    <row r="401" spans="1:2" x14ac:dyDescent="0.25">
      <c r="A401" s="12"/>
      <c r="B401" s="18"/>
    </row>
    <row r="402" spans="1:2" x14ac:dyDescent="0.25">
      <c r="A402" s="12"/>
      <c r="B402" s="18"/>
    </row>
    <row r="403" spans="1:2" x14ac:dyDescent="0.25">
      <c r="A403" s="12"/>
      <c r="B403" s="18"/>
    </row>
    <row r="404" spans="1:2" x14ac:dyDescent="0.25">
      <c r="A404" s="12"/>
      <c r="B404" s="18"/>
    </row>
    <row r="405" spans="1:2" x14ac:dyDescent="0.25">
      <c r="A405" s="12"/>
      <c r="B405" s="18"/>
    </row>
    <row r="406" spans="1:2" x14ac:dyDescent="0.25">
      <c r="A406" s="12"/>
      <c r="B406" s="18"/>
    </row>
    <row r="407" spans="1:2" x14ac:dyDescent="0.25">
      <c r="A407" s="12"/>
      <c r="B407" s="18"/>
    </row>
    <row r="408" spans="1:2" x14ac:dyDescent="0.25">
      <c r="A408" s="12"/>
      <c r="B408" s="18"/>
    </row>
    <row r="409" spans="1:2" x14ac:dyDescent="0.25">
      <c r="A409" s="12"/>
      <c r="B409" s="18"/>
    </row>
    <row r="410" spans="1:2" x14ac:dyDescent="0.25">
      <c r="A410" s="12"/>
      <c r="B410" s="18"/>
    </row>
    <row r="411" spans="1:2" x14ac:dyDescent="0.25">
      <c r="A411" s="12"/>
      <c r="B411" s="18"/>
    </row>
    <row r="412" spans="1:2" x14ac:dyDescent="0.25">
      <c r="A412" s="12"/>
      <c r="B412" s="18"/>
    </row>
    <row r="413" spans="1:2" x14ac:dyDescent="0.25">
      <c r="A413" s="12"/>
      <c r="B413" s="18"/>
    </row>
    <row r="414" spans="1:2" x14ac:dyDescent="0.25">
      <c r="A414" s="12"/>
      <c r="B414" s="18"/>
    </row>
    <row r="415" spans="1:2" x14ac:dyDescent="0.25">
      <c r="A415" s="12"/>
      <c r="B415" s="18"/>
    </row>
    <row r="416" spans="1:2" x14ac:dyDescent="0.25">
      <c r="A416" s="12"/>
      <c r="B416" s="18"/>
    </row>
    <row r="417" spans="1:2" x14ac:dyDescent="0.25">
      <c r="A417" s="12"/>
      <c r="B417" s="18"/>
    </row>
    <row r="418" spans="1:2" x14ac:dyDescent="0.25">
      <c r="A418" s="12"/>
      <c r="B418" s="18"/>
    </row>
    <row r="419" spans="1:2" x14ac:dyDescent="0.25">
      <c r="A419" s="12"/>
      <c r="B419" s="18"/>
    </row>
    <row r="420" spans="1:2" x14ac:dyDescent="0.25">
      <c r="A420" s="12"/>
      <c r="B420" s="18"/>
    </row>
    <row r="421" spans="1:2" x14ac:dyDescent="0.25">
      <c r="A421" s="12"/>
      <c r="B421" s="18"/>
    </row>
    <row r="422" spans="1:2" x14ac:dyDescent="0.25">
      <c r="A422" s="12"/>
      <c r="B422" s="18"/>
    </row>
    <row r="423" spans="1:2" x14ac:dyDescent="0.25">
      <c r="A423" s="12"/>
      <c r="B423" s="18"/>
    </row>
    <row r="424" spans="1:2" x14ac:dyDescent="0.25">
      <c r="A424" s="12"/>
      <c r="B424" s="18"/>
    </row>
    <row r="425" spans="1:2" x14ac:dyDescent="0.25">
      <c r="A425" s="12"/>
      <c r="B425" s="18"/>
    </row>
    <row r="426" spans="1:2" x14ac:dyDescent="0.25">
      <c r="A426" s="12"/>
      <c r="B426" s="18"/>
    </row>
    <row r="427" spans="1:2" x14ac:dyDescent="0.25">
      <c r="A427" s="12"/>
      <c r="B427" s="18"/>
    </row>
    <row r="428" spans="1:2" x14ac:dyDescent="0.25">
      <c r="A428" s="12"/>
      <c r="B428" s="18"/>
    </row>
    <row r="429" spans="1:2" x14ac:dyDescent="0.25">
      <c r="A429" s="12"/>
      <c r="B429" s="18"/>
    </row>
    <row r="430" spans="1:2" x14ac:dyDescent="0.25">
      <c r="A430" s="12"/>
      <c r="B430" s="18"/>
    </row>
    <row r="431" spans="1:2" x14ac:dyDescent="0.25">
      <c r="A431" s="12"/>
      <c r="B431" s="18"/>
    </row>
    <row r="432" spans="1:2" x14ac:dyDescent="0.25">
      <c r="A432" s="12"/>
      <c r="B432" s="18"/>
    </row>
    <row r="433" spans="1:2" x14ac:dyDescent="0.25">
      <c r="A433" s="12"/>
      <c r="B433" s="18"/>
    </row>
    <row r="434" spans="1:2" x14ac:dyDescent="0.25">
      <c r="A434" s="12"/>
      <c r="B434" s="18"/>
    </row>
    <row r="435" spans="1:2" x14ac:dyDescent="0.25">
      <c r="A435" s="12"/>
      <c r="B435" s="18"/>
    </row>
    <row r="436" spans="1:2" x14ac:dyDescent="0.25">
      <c r="A436" s="12"/>
      <c r="B436" s="18"/>
    </row>
    <row r="437" spans="1:2" x14ac:dyDescent="0.25">
      <c r="A437" s="12"/>
      <c r="B437" s="18"/>
    </row>
    <row r="438" spans="1:2" x14ac:dyDescent="0.25">
      <c r="A438" s="12"/>
      <c r="B438" s="18"/>
    </row>
    <row r="439" spans="1:2" x14ac:dyDescent="0.25">
      <c r="A439" s="12"/>
      <c r="B439" s="18"/>
    </row>
    <row r="440" spans="1:2" x14ac:dyDescent="0.25">
      <c r="A440" s="12"/>
      <c r="B440" s="18"/>
    </row>
    <row r="441" spans="1:2" x14ac:dyDescent="0.25">
      <c r="A441" s="12"/>
      <c r="B441" s="18"/>
    </row>
    <row r="442" spans="1:2" x14ac:dyDescent="0.25">
      <c r="A442" s="12"/>
      <c r="B442" s="18"/>
    </row>
    <row r="443" spans="1:2" x14ac:dyDescent="0.25">
      <c r="A443" s="12"/>
      <c r="B443" s="18"/>
    </row>
    <row r="444" spans="1:2" x14ac:dyDescent="0.25">
      <c r="A444" s="12"/>
      <c r="B444" s="18"/>
    </row>
    <row r="445" spans="1:2" x14ac:dyDescent="0.25">
      <c r="A445" s="12"/>
      <c r="B445" s="18"/>
    </row>
    <row r="446" spans="1:2" x14ac:dyDescent="0.25">
      <c r="A446" s="12"/>
      <c r="B446" s="18"/>
    </row>
    <row r="447" spans="1:2" x14ac:dyDescent="0.25">
      <c r="A447" s="12"/>
      <c r="B447" s="18"/>
    </row>
    <row r="448" spans="1:2" x14ac:dyDescent="0.25">
      <c r="A448" s="12"/>
      <c r="B448" s="18"/>
    </row>
    <row r="449" spans="1:2" x14ac:dyDescent="0.25">
      <c r="A449" s="12"/>
      <c r="B449" s="18"/>
    </row>
    <row r="450" spans="1:2" x14ac:dyDescent="0.25">
      <c r="A450" s="12"/>
      <c r="B450" s="18"/>
    </row>
    <row r="451" spans="1:2" x14ac:dyDescent="0.25">
      <c r="A451" s="12"/>
      <c r="B451" s="18"/>
    </row>
    <row r="452" spans="1:2" x14ac:dyDescent="0.25">
      <c r="A452" s="12"/>
      <c r="B452" s="18"/>
    </row>
    <row r="453" spans="1:2" x14ac:dyDescent="0.25">
      <c r="A453" s="12"/>
      <c r="B453" s="18"/>
    </row>
    <row r="454" spans="1:2" x14ac:dyDescent="0.25">
      <c r="A454" s="12"/>
      <c r="B454" s="18"/>
    </row>
    <row r="455" spans="1:2" x14ac:dyDescent="0.25">
      <c r="A455" s="12"/>
      <c r="B455" s="18"/>
    </row>
    <row r="456" spans="1:2" x14ac:dyDescent="0.25">
      <c r="A456" s="12"/>
      <c r="B456" s="18"/>
    </row>
    <row r="457" spans="1:2" x14ac:dyDescent="0.25">
      <c r="A457" s="12"/>
      <c r="B457" s="18"/>
    </row>
    <row r="458" spans="1:2" x14ac:dyDescent="0.25">
      <c r="A458" s="12"/>
      <c r="B458" s="18"/>
    </row>
    <row r="459" spans="1:2" x14ac:dyDescent="0.25">
      <c r="A459" s="12"/>
      <c r="B459" s="18"/>
    </row>
    <row r="460" spans="1:2" x14ac:dyDescent="0.25">
      <c r="A460" s="12"/>
      <c r="B460" s="18"/>
    </row>
    <row r="461" spans="1:2" x14ac:dyDescent="0.25">
      <c r="A461" s="12"/>
      <c r="B461" s="18"/>
    </row>
    <row r="462" spans="1:2" x14ac:dyDescent="0.25">
      <c r="A462" s="12"/>
      <c r="B462" s="18"/>
    </row>
    <row r="463" spans="1:2" x14ac:dyDescent="0.25">
      <c r="A463" s="12"/>
      <c r="B463" s="18"/>
    </row>
    <row r="464" spans="1:2" x14ac:dyDescent="0.25">
      <c r="A464" s="12"/>
      <c r="B464" s="18"/>
    </row>
    <row r="465" spans="1:2" x14ac:dyDescent="0.25">
      <c r="A465" s="12"/>
      <c r="B465" s="18"/>
    </row>
    <row r="466" spans="1:2" x14ac:dyDescent="0.25">
      <c r="A466" s="12"/>
      <c r="B466" s="18"/>
    </row>
    <row r="467" spans="1:2" x14ac:dyDescent="0.25">
      <c r="A467" s="12"/>
      <c r="B467" s="18"/>
    </row>
    <row r="468" spans="1:2" x14ac:dyDescent="0.25">
      <c r="A468" s="12"/>
      <c r="B468" s="18"/>
    </row>
    <row r="469" spans="1:2" x14ac:dyDescent="0.25">
      <c r="A469" s="12"/>
      <c r="B469" s="18"/>
    </row>
    <row r="470" spans="1:2" x14ac:dyDescent="0.25">
      <c r="A470" s="12"/>
      <c r="B470" s="18"/>
    </row>
    <row r="471" spans="1:2" x14ac:dyDescent="0.25">
      <c r="A471" s="12"/>
      <c r="B471" s="18"/>
    </row>
    <row r="472" spans="1:2" x14ac:dyDescent="0.25">
      <c r="A472" s="12"/>
      <c r="B472" s="18"/>
    </row>
    <row r="473" spans="1:2" x14ac:dyDescent="0.25">
      <c r="A473" s="12"/>
      <c r="B473" s="18"/>
    </row>
    <row r="474" spans="1:2" x14ac:dyDescent="0.25">
      <c r="A474" s="12"/>
      <c r="B474" s="18"/>
    </row>
    <row r="475" spans="1:2" x14ac:dyDescent="0.25">
      <c r="A475" s="12"/>
      <c r="B475" s="18"/>
    </row>
    <row r="476" spans="1:2" x14ac:dyDescent="0.25">
      <c r="A476" s="12"/>
      <c r="B476" s="18"/>
    </row>
    <row r="477" spans="1:2" x14ac:dyDescent="0.25">
      <c r="A477" s="12"/>
      <c r="B477" s="18"/>
    </row>
    <row r="478" spans="1:2" x14ac:dyDescent="0.25">
      <c r="A478" s="12"/>
      <c r="B478" s="18"/>
    </row>
    <row r="479" spans="1:2" x14ac:dyDescent="0.25">
      <c r="A479" s="12"/>
      <c r="B479" s="18"/>
    </row>
    <row r="480" spans="1:2" x14ac:dyDescent="0.25">
      <c r="A480" s="12"/>
      <c r="B480" s="18"/>
    </row>
    <row r="481" spans="1:2" x14ac:dyDescent="0.25">
      <c r="A481" s="12"/>
      <c r="B481" s="18"/>
    </row>
    <row r="482" spans="1:2" x14ac:dyDescent="0.25">
      <c r="A482" s="12"/>
      <c r="B482" s="18"/>
    </row>
    <row r="483" spans="1:2" x14ac:dyDescent="0.25">
      <c r="A483" s="12"/>
      <c r="B483" s="18"/>
    </row>
    <row r="484" spans="1:2" x14ac:dyDescent="0.25">
      <c r="A484" s="12"/>
      <c r="B484" s="18"/>
    </row>
    <row r="485" spans="1:2" x14ac:dyDescent="0.25">
      <c r="A485" s="12"/>
      <c r="B485" s="18"/>
    </row>
    <row r="486" spans="1:2" x14ac:dyDescent="0.25">
      <c r="A486" s="12"/>
      <c r="B486" s="18"/>
    </row>
    <row r="487" spans="1:2" x14ac:dyDescent="0.25">
      <c r="A487" s="12"/>
      <c r="B487" s="18"/>
    </row>
    <row r="488" spans="1:2" x14ac:dyDescent="0.25">
      <c r="A488" s="12"/>
      <c r="B488" s="18"/>
    </row>
    <row r="489" spans="1:2" x14ac:dyDescent="0.25">
      <c r="A489" s="12"/>
      <c r="B489" s="18"/>
    </row>
    <row r="490" spans="1:2" x14ac:dyDescent="0.25">
      <c r="A490" s="12"/>
      <c r="B490" s="18"/>
    </row>
    <row r="491" spans="1:2" x14ac:dyDescent="0.25">
      <c r="A491" s="12"/>
      <c r="B491" s="18"/>
    </row>
    <row r="492" spans="1:2" x14ac:dyDescent="0.25">
      <c r="A492" s="12"/>
      <c r="B492" s="18"/>
    </row>
    <row r="493" spans="1:2" x14ac:dyDescent="0.25">
      <c r="A493" s="12"/>
      <c r="B493" s="18"/>
    </row>
    <row r="494" spans="1:2" x14ac:dyDescent="0.25">
      <c r="A494" s="12"/>
      <c r="B494" s="18"/>
    </row>
    <row r="495" spans="1:2" x14ac:dyDescent="0.25">
      <c r="A495" s="12"/>
      <c r="B495" s="18"/>
    </row>
    <row r="496" spans="1:2" x14ac:dyDescent="0.25">
      <c r="A496" s="12"/>
      <c r="B496" s="18"/>
    </row>
    <row r="497" spans="1:2" x14ac:dyDescent="0.25">
      <c r="A497" s="12"/>
      <c r="B497" s="18"/>
    </row>
    <row r="498" spans="1:2" x14ac:dyDescent="0.25">
      <c r="A498" s="12"/>
      <c r="B498" s="18"/>
    </row>
    <row r="499" spans="1:2" x14ac:dyDescent="0.25">
      <c r="A499" s="12"/>
      <c r="B499" s="18"/>
    </row>
    <row r="500" spans="1:2" x14ac:dyDescent="0.25">
      <c r="A500" s="12"/>
      <c r="B500" s="18"/>
    </row>
    <row r="501" spans="1:2" x14ac:dyDescent="0.25">
      <c r="A501" s="12"/>
      <c r="B501" s="18"/>
    </row>
    <row r="502" spans="1:2" x14ac:dyDescent="0.25">
      <c r="A502" s="12"/>
      <c r="B502" s="18"/>
    </row>
    <row r="503" spans="1:2" x14ac:dyDescent="0.25">
      <c r="A503" s="12"/>
      <c r="B503" s="18"/>
    </row>
    <row r="504" spans="1:2" x14ac:dyDescent="0.25">
      <c r="A504" s="12"/>
      <c r="B504" s="18"/>
    </row>
    <row r="505" spans="1:2" x14ac:dyDescent="0.25">
      <c r="A505" s="12"/>
      <c r="B505" s="18"/>
    </row>
    <row r="506" spans="1:2" x14ac:dyDescent="0.25">
      <c r="A506" s="12"/>
      <c r="B506" s="18"/>
    </row>
    <row r="507" spans="1:2" x14ac:dyDescent="0.25">
      <c r="A507" s="12"/>
      <c r="B507" s="18"/>
    </row>
    <row r="508" spans="1:2" x14ac:dyDescent="0.25">
      <c r="A508" s="12"/>
      <c r="B508" s="18"/>
    </row>
    <row r="509" spans="1:2" x14ac:dyDescent="0.25">
      <c r="A509" s="12"/>
      <c r="B509" s="18"/>
    </row>
    <row r="510" spans="1:2" x14ac:dyDescent="0.25">
      <c r="A510" s="12"/>
      <c r="B510" s="18"/>
    </row>
    <row r="511" spans="1:2" x14ac:dyDescent="0.25">
      <c r="A511" s="12"/>
      <c r="B511" s="18"/>
    </row>
    <row r="512" spans="1:2" x14ac:dyDescent="0.25">
      <c r="A512" s="12"/>
      <c r="B512" s="18"/>
    </row>
    <row r="513" spans="1:2" x14ac:dyDescent="0.25">
      <c r="A513" s="12"/>
      <c r="B513" s="18"/>
    </row>
    <row r="514" spans="1:2" x14ac:dyDescent="0.25">
      <c r="A514" s="12"/>
      <c r="B514" s="18"/>
    </row>
    <row r="515" spans="1:2" x14ac:dyDescent="0.25">
      <c r="A515" s="12"/>
      <c r="B515" s="18"/>
    </row>
    <row r="516" spans="1:2" x14ac:dyDescent="0.25">
      <c r="A516" s="12"/>
      <c r="B516" s="18"/>
    </row>
    <row r="517" spans="1:2" x14ac:dyDescent="0.25">
      <c r="A517" s="12"/>
      <c r="B517" s="18"/>
    </row>
    <row r="518" spans="1:2" x14ac:dyDescent="0.25">
      <c r="A518" s="12"/>
      <c r="B518" s="18"/>
    </row>
    <row r="519" spans="1:2" x14ac:dyDescent="0.25">
      <c r="A519" s="12"/>
      <c r="B519" s="18"/>
    </row>
    <row r="520" spans="1:2" x14ac:dyDescent="0.25">
      <c r="A520" s="12"/>
      <c r="B520" s="18"/>
    </row>
    <row r="521" spans="1:2" x14ac:dyDescent="0.25">
      <c r="A521" s="12"/>
      <c r="B521" s="18"/>
    </row>
    <row r="522" spans="1:2" x14ac:dyDescent="0.25">
      <c r="A522" s="12"/>
      <c r="B522" s="18"/>
    </row>
    <row r="523" spans="1:2" x14ac:dyDescent="0.25">
      <c r="A523" s="12"/>
      <c r="B523" s="18"/>
    </row>
    <row r="524" spans="1:2" x14ac:dyDescent="0.25">
      <c r="A524" s="12"/>
      <c r="B524" s="18"/>
    </row>
    <row r="525" spans="1:2" x14ac:dyDescent="0.25">
      <c r="A525" s="12"/>
      <c r="B525" s="18"/>
    </row>
    <row r="526" spans="1:2" x14ac:dyDescent="0.25">
      <c r="A526" s="12"/>
      <c r="B526" s="18"/>
    </row>
    <row r="527" spans="1:2" x14ac:dyDescent="0.25">
      <c r="A527" s="12"/>
      <c r="B527" s="18"/>
    </row>
    <row r="528" spans="1:2" x14ac:dyDescent="0.25">
      <c r="A528" s="12"/>
      <c r="B528" s="18"/>
    </row>
    <row r="529" spans="1:2" x14ac:dyDescent="0.25">
      <c r="A529" s="12"/>
      <c r="B529" s="18"/>
    </row>
    <row r="530" spans="1:2" x14ac:dyDescent="0.25">
      <c r="A530" s="12"/>
      <c r="B530" s="18"/>
    </row>
    <row r="531" spans="1:2" x14ac:dyDescent="0.25">
      <c r="A531" s="12"/>
      <c r="B531" s="18"/>
    </row>
    <row r="532" spans="1:2" x14ac:dyDescent="0.25">
      <c r="A532" s="12"/>
      <c r="B532" s="18"/>
    </row>
    <row r="533" spans="1:2" x14ac:dyDescent="0.25">
      <c r="A533" s="12"/>
      <c r="B533" s="18"/>
    </row>
    <row r="534" spans="1:2" x14ac:dyDescent="0.25">
      <c r="A534" s="12"/>
      <c r="B534" s="18"/>
    </row>
    <row r="535" spans="1:2" x14ac:dyDescent="0.25">
      <c r="A535" s="12"/>
      <c r="B535" s="18"/>
    </row>
    <row r="536" spans="1:2" x14ac:dyDescent="0.25">
      <c r="A536" s="12"/>
      <c r="B536" s="18"/>
    </row>
    <row r="537" spans="1:2" x14ac:dyDescent="0.25">
      <c r="A537" s="12"/>
      <c r="B537" s="18"/>
    </row>
    <row r="538" spans="1:2" x14ac:dyDescent="0.25">
      <c r="A538" s="12"/>
      <c r="B538" s="18"/>
    </row>
    <row r="539" spans="1:2" x14ac:dyDescent="0.25">
      <c r="A539" s="12"/>
      <c r="B539" s="18"/>
    </row>
    <row r="540" spans="1:2" x14ac:dyDescent="0.25">
      <c r="A540" s="12"/>
      <c r="B540" s="18"/>
    </row>
    <row r="541" spans="1:2" x14ac:dyDescent="0.25">
      <c r="A541" s="12"/>
      <c r="B541" s="18"/>
    </row>
    <row r="542" spans="1:2" x14ac:dyDescent="0.25">
      <c r="A542" s="12"/>
      <c r="B542" s="18"/>
    </row>
    <row r="543" spans="1:2" x14ac:dyDescent="0.25">
      <c r="A543" s="12"/>
      <c r="B543" s="18"/>
    </row>
    <row r="544" spans="1:2" x14ac:dyDescent="0.25">
      <c r="A544" s="12"/>
      <c r="B544" s="18"/>
    </row>
    <row r="545" spans="1:2" x14ac:dyDescent="0.25">
      <c r="A545" s="12"/>
      <c r="B545" s="18"/>
    </row>
    <row r="546" spans="1:2" x14ac:dyDescent="0.25">
      <c r="A546" s="12"/>
      <c r="B546" s="18"/>
    </row>
    <row r="547" spans="1:2" x14ac:dyDescent="0.25">
      <c r="A547" s="12"/>
      <c r="B547" s="18"/>
    </row>
    <row r="548" spans="1:2" x14ac:dyDescent="0.25">
      <c r="A548" s="12"/>
      <c r="B548" s="18"/>
    </row>
    <row r="549" spans="1:2" x14ac:dyDescent="0.25">
      <c r="A549" s="12"/>
      <c r="B549" s="18"/>
    </row>
    <row r="550" spans="1:2" x14ac:dyDescent="0.25">
      <c r="A550" s="12"/>
      <c r="B550" s="18"/>
    </row>
    <row r="551" spans="1:2" x14ac:dyDescent="0.25">
      <c r="A551" s="12"/>
      <c r="B551" s="18"/>
    </row>
    <row r="552" spans="1:2" x14ac:dyDescent="0.25">
      <c r="A552" s="12"/>
      <c r="B552" s="18"/>
    </row>
    <row r="553" spans="1:2" x14ac:dyDescent="0.25">
      <c r="A553" s="12"/>
      <c r="B553" s="18"/>
    </row>
    <row r="554" spans="1:2" x14ac:dyDescent="0.25">
      <c r="A554" s="12"/>
      <c r="B554" s="18"/>
    </row>
    <row r="555" spans="1:2" x14ac:dyDescent="0.25">
      <c r="A555" s="12"/>
      <c r="B555" s="18"/>
    </row>
    <row r="556" spans="1:2" x14ac:dyDescent="0.25">
      <c r="A556" s="12"/>
      <c r="B556" s="18"/>
    </row>
    <row r="557" spans="1:2" x14ac:dyDescent="0.25">
      <c r="A557" s="12"/>
      <c r="B557" s="18"/>
    </row>
    <row r="558" spans="1:2" x14ac:dyDescent="0.25">
      <c r="A558" s="12"/>
      <c r="B558" s="18"/>
    </row>
    <row r="559" spans="1:2" x14ac:dyDescent="0.25">
      <c r="A559" s="12"/>
      <c r="B559" s="18"/>
    </row>
    <row r="560" spans="1:2" x14ac:dyDescent="0.25">
      <c r="A560" s="12"/>
      <c r="B560" s="18"/>
    </row>
    <row r="561" spans="1:2" x14ac:dyDescent="0.25">
      <c r="A561" s="12"/>
      <c r="B561" s="18"/>
    </row>
    <row r="562" spans="1:2" x14ac:dyDescent="0.25">
      <c r="A562" s="12"/>
      <c r="B562" s="18"/>
    </row>
    <row r="563" spans="1:2" x14ac:dyDescent="0.25">
      <c r="A563" s="12"/>
      <c r="B563" s="18"/>
    </row>
    <row r="564" spans="1:2" x14ac:dyDescent="0.25">
      <c r="A564" s="12"/>
      <c r="B564" s="18"/>
    </row>
    <row r="565" spans="1:2" x14ac:dyDescent="0.25">
      <c r="A565" s="12"/>
      <c r="B565" s="18"/>
    </row>
    <row r="566" spans="1:2" x14ac:dyDescent="0.25">
      <c r="A566" s="12"/>
      <c r="B566" s="18"/>
    </row>
    <row r="567" spans="1:2" x14ac:dyDescent="0.25">
      <c r="A567" s="12"/>
      <c r="B567" s="18"/>
    </row>
    <row r="568" spans="1:2" x14ac:dyDescent="0.25">
      <c r="A568" s="12"/>
      <c r="B568" s="18"/>
    </row>
    <row r="569" spans="1:2" x14ac:dyDescent="0.25">
      <c r="A569" s="12"/>
      <c r="B569" s="18"/>
    </row>
    <row r="570" spans="1:2" x14ac:dyDescent="0.25">
      <c r="A570" s="12"/>
      <c r="B570" s="18"/>
    </row>
    <row r="571" spans="1:2" x14ac:dyDescent="0.25">
      <c r="A571" s="12"/>
      <c r="B571" s="18"/>
    </row>
    <row r="572" spans="1:2" x14ac:dyDescent="0.25">
      <c r="A572" s="12"/>
      <c r="B572" s="18"/>
    </row>
    <row r="573" spans="1:2" x14ac:dyDescent="0.25">
      <c r="A573" s="12"/>
      <c r="B573" s="18"/>
    </row>
    <row r="574" spans="1:2" x14ac:dyDescent="0.25">
      <c r="A574" s="12"/>
      <c r="B574" s="18"/>
    </row>
    <row r="575" spans="1:2" x14ac:dyDescent="0.25">
      <c r="A575" s="12"/>
      <c r="B575" s="18"/>
    </row>
    <row r="576" spans="1:2" x14ac:dyDescent="0.25">
      <c r="A576" s="12"/>
      <c r="B576" s="18"/>
    </row>
    <row r="577" spans="1:2" x14ac:dyDescent="0.25">
      <c r="A577" s="12"/>
      <c r="B577" s="18"/>
    </row>
    <row r="578" spans="1:2" x14ac:dyDescent="0.25">
      <c r="A578" s="12"/>
      <c r="B578" s="18"/>
    </row>
    <row r="579" spans="1:2" x14ac:dyDescent="0.25">
      <c r="A579" s="12"/>
      <c r="B579" s="18"/>
    </row>
    <row r="580" spans="1:2" x14ac:dyDescent="0.25">
      <c r="A580" s="12"/>
      <c r="B580" s="18"/>
    </row>
    <row r="581" spans="1:2" x14ac:dyDescent="0.25">
      <c r="A581" s="12"/>
      <c r="B581" s="18"/>
    </row>
    <row r="582" spans="1:2" x14ac:dyDescent="0.25">
      <c r="A582" s="12"/>
      <c r="B582" s="18"/>
    </row>
    <row r="583" spans="1:2" x14ac:dyDescent="0.25">
      <c r="A583" s="12"/>
      <c r="B583" s="18"/>
    </row>
    <row r="584" spans="1:2" x14ac:dyDescent="0.25">
      <c r="A584" s="12"/>
      <c r="B584" s="18"/>
    </row>
    <row r="585" spans="1:2" x14ac:dyDescent="0.25">
      <c r="A585" s="12"/>
      <c r="B585" s="18"/>
    </row>
    <row r="586" spans="1:2" x14ac:dyDescent="0.25">
      <c r="A586" s="12"/>
      <c r="B586" s="18"/>
    </row>
    <row r="587" spans="1:2" x14ac:dyDescent="0.25">
      <c r="A587" s="12"/>
      <c r="B587" s="18"/>
    </row>
    <row r="588" spans="1:2" x14ac:dyDescent="0.25">
      <c r="A588" s="12"/>
      <c r="B588" s="18"/>
    </row>
    <row r="589" spans="1:2" x14ac:dyDescent="0.25">
      <c r="A589" s="12"/>
      <c r="B589" s="18"/>
    </row>
    <row r="590" spans="1:2" x14ac:dyDescent="0.25">
      <c r="A590" s="12"/>
      <c r="B590" s="18"/>
    </row>
    <row r="591" spans="1:2" x14ac:dyDescent="0.25">
      <c r="A591" s="12"/>
      <c r="B591" s="18"/>
    </row>
    <row r="592" spans="1:2" x14ac:dyDescent="0.25">
      <c r="A592" s="12"/>
      <c r="B592" s="18"/>
    </row>
    <row r="593" spans="1:2" x14ac:dyDescent="0.25">
      <c r="A593" s="12"/>
      <c r="B593" s="18"/>
    </row>
    <row r="594" spans="1:2" x14ac:dyDescent="0.25">
      <c r="A594" s="12"/>
      <c r="B594" s="18"/>
    </row>
    <row r="595" spans="1:2" x14ac:dyDescent="0.25">
      <c r="A595" s="12"/>
      <c r="B595" s="18"/>
    </row>
    <row r="596" spans="1:2" x14ac:dyDescent="0.25">
      <c r="A596" s="12"/>
      <c r="B596" s="18"/>
    </row>
    <row r="597" spans="1:2" x14ac:dyDescent="0.25">
      <c r="A597" s="12"/>
      <c r="B597" s="18"/>
    </row>
    <row r="598" spans="1:2" x14ac:dyDescent="0.25">
      <c r="A598" s="12"/>
      <c r="B598" s="18"/>
    </row>
    <row r="599" spans="1:2" x14ac:dyDescent="0.25">
      <c r="A599" s="12"/>
      <c r="B599" s="18"/>
    </row>
    <row r="600" spans="1:2" x14ac:dyDescent="0.25">
      <c r="A600" s="12"/>
      <c r="B600" s="18"/>
    </row>
    <row r="601" spans="1:2" x14ac:dyDescent="0.25">
      <c r="A601" s="12"/>
      <c r="B601" s="18"/>
    </row>
    <row r="602" spans="1:2" x14ac:dyDescent="0.25">
      <c r="A602" s="12"/>
      <c r="B602" s="18"/>
    </row>
    <row r="603" spans="1:2" x14ac:dyDescent="0.25">
      <c r="A603" s="12"/>
      <c r="B603" s="18"/>
    </row>
    <row r="604" spans="1:2" x14ac:dyDescent="0.25">
      <c r="A604" s="12"/>
      <c r="B604" s="18"/>
    </row>
    <row r="605" spans="1:2" x14ac:dyDescent="0.25">
      <c r="A605" s="12"/>
      <c r="B605" s="18"/>
    </row>
    <row r="606" spans="1:2" x14ac:dyDescent="0.25">
      <c r="A606" s="12"/>
      <c r="B606" s="18"/>
    </row>
    <row r="607" spans="1:2" x14ac:dyDescent="0.25">
      <c r="A607" s="12"/>
      <c r="B607" s="18"/>
    </row>
    <row r="608" spans="1:2" x14ac:dyDescent="0.25">
      <c r="A608" s="12"/>
      <c r="B608" s="18"/>
    </row>
    <row r="609" spans="1:2" x14ac:dyDescent="0.25">
      <c r="A609" s="12"/>
      <c r="B609" s="18"/>
    </row>
    <row r="610" spans="1:2" x14ac:dyDescent="0.25">
      <c r="A610" s="12"/>
      <c r="B610" s="18"/>
    </row>
    <row r="611" spans="1:2" x14ac:dyDescent="0.25">
      <c r="A611" s="12"/>
      <c r="B611" s="18"/>
    </row>
    <row r="612" spans="1:2" x14ac:dyDescent="0.25">
      <c r="A612" s="12"/>
      <c r="B612" s="18"/>
    </row>
    <row r="613" spans="1:2" x14ac:dyDescent="0.25">
      <c r="A613" s="12"/>
      <c r="B613" s="18"/>
    </row>
    <row r="614" spans="1:2" x14ac:dyDescent="0.25">
      <c r="A614" s="12"/>
      <c r="B614" s="18"/>
    </row>
    <row r="615" spans="1:2" x14ac:dyDescent="0.25">
      <c r="A615" s="12"/>
      <c r="B615" s="18"/>
    </row>
    <row r="616" spans="1:2" x14ac:dyDescent="0.25">
      <c r="A616" s="12"/>
      <c r="B616" s="18"/>
    </row>
    <row r="617" spans="1:2" x14ac:dyDescent="0.25">
      <c r="A617" s="12"/>
      <c r="B617" s="18"/>
    </row>
    <row r="618" spans="1:2" x14ac:dyDescent="0.25">
      <c r="A618" s="12"/>
      <c r="B618" s="18"/>
    </row>
    <row r="619" spans="1:2" x14ac:dyDescent="0.25">
      <c r="A619" s="12"/>
      <c r="B619" s="18"/>
    </row>
    <row r="620" spans="1:2" x14ac:dyDescent="0.25">
      <c r="A620" s="12"/>
      <c r="B620" s="18"/>
    </row>
    <row r="621" spans="1:2" x14ac:dyDescent="0.25">
      <c r="A621" s="12"/>
      <c r="B621" s="18"/>
    </row>
    <row r="622" spans="1:2" x14ac:dyDescent="0.25">
      <c r="A622" s="12"/>
      <c r="B622" s="18"/>
    </row>
    <row r="623" spans="1:2" x14ac:dyDescent="0.25">
      <c r="A623" s="12"/>
      <c r="B623" s="18"/>
    </row>
    <row r="624" spans="1:2" x14ac:dyDescent="0.25">
      <c r="A624" s="12"/>
      <c r="B624" s="18"/>
    </row>
    <row r="625" spans="1:2" x14ac:dyDescent="0.25">
      <c r="A625" s="12"/>
      <c r="B625" s="18"/>
    </row>
    <row r="626" spans="1:2" x14ac:dyDescent="0.25">
      <c r="A626" s="12"/>
      <c r="B626" s="18"/>
    </row>
    <row r="627" spans="1:2" x14ac:dyDescent="0.25">
      <c r="A627" s="12"/>
      <c r="B627" s="18"/>
    </row>
    <row r="628" spans="1:2" x14ac:dyDescent="0.25">
      <c r="A628" s="12"/>
      <c r="B628" s="18"/>
    </row>
    <row r="629" spans="1:2" x14ac:dyDescent="0.25">
      <c r="A629" s="12"/>
      <c r="B629" s="18"/>
    </row>
    <row r="630" spans="1:2" x14ac:dyDescent="0.25">
      <c r="A630" s="12"/>
      <c r="B630" s="18"/>
    </row>
    <row r="631" spans="1:2" x14ac:dyDescent="0.25">
      <c r="A631" s="12"/>
      <c r="B631" s="18"/>
    </row>
    <row r="632" spans="1:2" x14ac:dyDescent="0.25">
      <c r="A632" s="12"/>
      <c r="B632" s="18"/>
    </row>
    <row r="633" spans="1:2" x14ac:dyDescent="0.25">
      <c r="A633" s="12"/>
      <c r="B633" s="18"/>
    </row>
    <row r="634" spans="1:2" x14ac:dyDescent="0.25">
      <c r="A634" s="12"/>
      <c r="B634" s="18"/>
    </row>
    <row r="635" spans="1:2" x14ac:dyDescent="0.25">
      <c r="A635" s="12"/>
      <c r="B635" s="18"/>
    </row>
    <row r="636" spans="1:2" x14ac:dyDescent="0.25">
      <c r="A636" s="12"/>
      <c r="B636" s="18"/>
    </row>
    <row r="637" spans="1:2" x14ac:dyDescent="0.25">
      <c r="A637" s="12"/>
      <c r="B637" s="18"/>
    </row>
    <row r="638" spans="1:2" x14ac:dyDescent="0.25">
      <c r="A638" s="12"/>
      <c r="B638" s="18"/>
    </row>
    <row r="639" spans="1:2" x14ac:dyDescent="0.25">
      <c r="A639" s="12"/>
      <c r="B639" s="18"/>
    </row>
    <row r="640" spans="1:2" x14ac:dyDescent="0.25">
      <c r="A640" s="12"/>
      <c r="B640" s="18"/>
    </row>
    <row r="641" spans="1:2" x14ac:dyDescent="0.25">
      <c r="A641" s="12"/>
      <c r="B641" s="18"/>
    </row>
    <row r="642" spans="1:2" x14ac:dyDescent="0.25">
      <c r="A642" s="12"/>
      <c r="B642" s="18"/>
    </row>
    <row r="643" spans="1:2" x14ac:dyDescent="0.25">
      <c r="A643" s="12"/>
      <c r="B643" s="18"/>
    </row>
    <row r="644" spans="1:2" x14ac:dyDescent="0.25">
      <c r="A644" s="12"/>
      <c r="B644" s="18"/>
    </row>
    <row r="645" spans="1:2" x14ac:dyDescent="0.25">
      <c r="A645" s="12"/>
      <c r="B645" s="18"/>
    </row>
    <row r="646" spans="1:2" x14ac:dyDescent="0.25">
      <c r="A646" s="12"/>
      <c r="B646" s="18"/>
    </row>
    <row r="647" spans="1:2" x14ac:dyDescent="0.25">
      <c r="A647" s="12"/>
      <c r="B647" s="18"/>
    </row>
    <row r="648" spans="1:2" x14ac:dyDescent="0.25">
      <c r="A648" s="12"/>
      <c r="B648" s="18"/>
    </row>
    <row r="649" spans="1:2" x14ac:dyDescent="0.25">
      <c r="A649" s="12"/>
      <c r="B649" s="18"/>
    </row>
    <row r="650" spans="1:2" x14ac:dyDescent="0.25">
      <c r="A650" s="12"/>
      <c r="B650" s="18"/>
    </row>
    <row r="651" spans="1:2" x14ac:dyDescent="0.25">
      <c r="A651" s="12"/>
      <c r="B651" s="18"/>
    </row>
    <row r="652" spans="1:2" x14ac:dyDescent="0.25">
      <c r="A652" s="12"/>
      <c r="B652" s="18"/>
    </row>
    <row r="653" spans="1:2" x14ac:dyDescent="0.25">
      <c r="A653" s="12"/>
      <c r="B653" s="18"/>
    </row>
    <row r="654" spans="1:2" x14ac:dyDescent="0.25">
      <c r="A654" s="12"/>
      <c r="B654" s="18"/>
    </row>
    <row r="655" spans="1:2" x14ac:dyDescent="0.25">
      <c r="A655" s="12"/>
      <c r="B655" s="18"/>
    </row>
    <row r="656" spans="1:2" x14ac:dyDescent="0.25">
      <c r="A656" s="12"/>
      <c r="B656" s="18"/>
    </row>
    <row r="657" spans="1:2" x14ac:dyDescent="0.25">
      <c r="A657" s="12"/>
      <c r="B657" s="18"/>
    </row>
    <row r="658" spans="1:2" x14ac:dyDescent="0.25">
      <c r="A658" s="12"/>
      <c r="B658" s="18"/>
    </row>
    <row r="659" spans="1:2" x14ac:dyDescent="0.25">
      <c r="A659" s="12"/>
      <c r="B659" s="18"/>
    </row>
    <row r="660" spans="1:2" x14ac:dyDescent="0.25">
      <c r="A660" s="12"/>
      <c r="B660" s="18"/>
    </row>
    <row r="661" spans="1:2" x14ac:dyDescent="0.25">
      <c r="A661" s="12"/>
      <c r="B661" s="18"/>
    </row>
    <row r="662" spans="1:2" x14ac:dyDescent="0.25">
      <c r="A662" s="12"/>
      <c r="B662" s="18"/>
    </row>
    <row r="663" spans="1:2" x14ac:dyDescent="0.25">
      <c r="A663" s="12"/>
      <c r="B663" s="18"/>
    </row>
    <row r="664" spans="1:2" x14ac:dyDescent="0.25">
      <c r="A664" s="12"/>
      <c r="B664" s="18"/>
    </row>
    <row r="665" spans="1:2" x14ac:dyDescent="0.25">
      <c r="A665" s="12"/>
      <c r="B665" s="18"/>
    </row>
    <row r="666" spans="1:2" x14ac:dyDescent="0.25">
      <c r="A666" s="12"/>
      <c r="B666" s="18"/>
    </row>
    <row r="667" spans="1:2" x14ac:dyDescent="0.25">
      <c r="A667" s="12"/>
      <c r="B667" s="18"/>
    </row>
    <row r="668" spans="1:2" x14ac:dyDescent="0.25">
      <c r="A668" s="12"/>
      <c r="B668" s="18"/>
    </row>
    <row r="669" spans="1:2" x14ac:dyDescent="0.25">
      <c r="A669" s="12"/>
      <c r="B669" s="18"/>
    </row>
    <row r="670" spans="1:2" x14ac:dyDescent="0.25">
      <c r="A670" s="12"/>
      <c r="B670" s="18"/>
    </row>
    <row r="671" spans="1:2" x14ac:dyDescent="0.25">
      <c r="A671" s="12"/>
      <c r="B671" s="18"/>
    </row>
    <row r="672" spans="1:2" x14ac:dyDescent="0.25">
      <c r="A672" s="12"/>
      <c r="B672" s="18"/>
    </row>
    <row r="673" spans="1:2" x14ac:dyDescent="0.25">
      <c r="A673" s="12"/>
      <c r="B673" s="18"/>
    </row>
    <row r="674" spans="1:2" x14ac:dyDescent="0.25">
      <c r="A674" s="12"/>
      <c r="B674" s="18"/>
    </row>
    <row r="675" spans="1:2" x14ac:dyDescent="0.25">
      <c r="A675" s="12"/>
      <c r="B675" s="18"/>
    </row>
    <row r="676" spans="1:2" x14ac:dyDescent="0.25">
      <c r="A676" s="12"/>
      <c r="B676" s="18"/>
    </row>
    <row r="677" spans="1:2" x14ac:dyDescent="0.25">
      <c r="A677" s="12"/>
      <c r="B677" s="18"/>
    </row>
    <row r="678" spans="1:2" x14ac:dyDescent="0.25">
      <c r="A678" s="12"/>
      <c r="B678" s="18"/>
    </row>
    <row r="679" spans="1:2" x14ac:dyDescent="0.25">
      <c r="A679" s="12"/>
      <c r="B679" s="18"/>
    </row>
    <row r="680" spans="1:2" x14ac:dyDescent="0.25">
      <c r="A680" s="12"/>
      <c r="B680" s="18"/>
    </row>
    <row r="681" spans="1:2" x14ac:dyDescent="0.25">
      <c r="A681" s="12"/>
      <c r="B681" s="18"/>
    </row>
    <row r="682" spans="1:2" x14ac:dyDescent="0.25">
      <c r="A682" s="12"/>
      <c r="B682" s="18"/>
    </row>
    <row r="683" spans="1:2" x14ac:dyDescent="0.25">
      <c r="A683" s="12"/>
      <c r="B683" s="18"/>
    </row>
    <row r="684" spans="1:2" x14ac:dyDescent="0.25">
      <c r="A684" s="12"/>
      <c r="B684" s="18"/>
    </row>
    <row r="685" spans="1:2" x14ac:dyDescent="0.25">
      <c r="A685" s="12"/>
      <c r="B685" s="18"/>
    </row>
    <row r="686" spans="1:2" x14ac:dyDescent="0.25">
      <c r="A686" s="12"/>
      <c r="B686" s="18"/>
    </row>
    <row r="687" spans="1:2" x14ac:dyDescent="0.25">
      <c r="A687" s="12"/>
      <c r="B687" s="18"/>
    </row>
    <row r="688" spans="1:2" x14ac:dyDescent="0.25">
      <c r="A688" s="12"/>
      <c r="B688" s="18"/>
    </row>
    <row r="689" spans="1:2" x14ac:dyDescent="0.25">
      <c r="A689" s="12"/>
      <c r="B689" s="18"/>
    </row>
    <row r="690" spans="1:2" x14ac:dyDescent="0.25">
      <c r="A690" s="12"/>
      <c r="B690" s="18"/>
    </row>
    <row r="691" spans="1:2" x14ac:dyDescent="0.25">
      <c r="A691" s="12"/>
      <c r="B691" s="18"/>
    </row>
    <row r="692" spans="1:2" x14ac:dyDescent="0.25">
      <c r="A692" s="12"/>
      <c r="B692" s="18"/>
    </row>
    <row r="693" spans="1:2" x14ac:dyDescent="0.25">
      <c r="A693" s="12"/>
      <c r="B693" s="18"/>
    </row>
    <row r="694" spans="1:2" x14ac:dyDescent="0.25">
      <c r="A694" s="12"/>
      <c r="B694" s="18"/>
    </row>
    <row r="695" spans="1:2" x14ac:dyDescent="0.25">
      <c r="A695" s="12"/>
      <c r="B695" s="18"/>
    </row>
    <row r="696" spans="1:2" x14ac:dyDescent="0.25">
      <c r="A696" s="12"/>
      <c r="B696" s="18"/>
    </row>
    <row r="697" spans="1:2" x14ac:dyDescent="0.25">
      <c r="A697" s="12"/>
      <c r="B697" s="18"/>
    </row>
    <row r="698" spans="1:2" x14ac:dyDescent="0.25">
      <c r="A698" s="12"/>
      <c r="B698" s="18"/>
    </row>
    <row r="699" spans="1:2" x14ac:dyDescent="0.25">
      <c r="A699" s="12"/>
      <c r="B699" s="18"/>
    </row>
    <row r="700" spans="1:2" x14ac:dyDescent="0.25">
      <c r="A700" s="12"/>
      <c r="B700" s="18"/>
    </row>
    <row r="701" spans="1:2" x14ac:dyDescent="0.25">
      <c r="A701" s="12"/>
      <c r="B701" s="18"/>
    </row>
    <row r="702" spans="1:2" x14ac:dyDescent="0.25">
      <c r="A702" s="12"/>
      <c r="B702" s="18"/>
    </row>
    <row r="703" spans="1:2" x14ac:dyDescent="0.25">
      <c r="A703" s="12"/>
      <c r="B703" s="18"/>
    </row>
    <row r="704" spans="1:2" x14ac:dyDescent="0.25">
      <c r="A704" s="12"/>
      <c r="B704" s="18"/>
    </row>
    <row r="705" spans="1:2" x14ac:dyDescent="0.25">
      <c r="A705" s="12"/>
      <c r="B705" s="18"/>
    </row>
    <row r="706" spans="1:2" x14ac:dyDescent="0.25">
      <c r="A706" s="12"/>
      <c r="B706" s="18"/>
    </row>
    <row r="707" spans="1:2" x14ac:dyDescent="0.25">
      <c r="A707" s="12"/>
      <c r="B707" s="18"/>
    </row>
    <row r="708" spans="1:2" x14ac:dyDescent="0.25">
      <c r="A708" s="12"/>
      <c r="B708" s="18"/>
    </row>
    <row r="709" spans="1:2" x14ac:dyDescent="0.25">
      <c r="A709" s="12"/>
      <c r="B709" s="18"/>
    </row>
    <row r="710" spans="1:2" x14ac:dyDescent="0.25">
      <c r="A710" s="12"/>
      <c r="B710" s="18"/>
    </row>
    <row r="711" spans="1:2" x14ac:dyDescent="0.25">
      <c r="A711" s="12"/>
      <c r="B711" s="18"/>
    </row>
    <row r="712" spans="1:2" x14ac:dyDescent="0.25">
      <c r="A712" s="12"/>
      <c r="B712" s="18"/>
    </row>
    <row r="713" spans="1:2" x14ac:dyDescent="0.25">
      <c r="A713" s="12"/>
      <c r="B713" s="18"/>
    </row>
    <row r="714" spans="1:2" x14ac:dyDescent="0.25">
      <c r="A714" s="12"/>
      <c r="B714" s="18"/>
    </row>
    <row r="715" spans="1:2" x14ac:dyDescent="0.25">
      <c r="A715" s="12"/>
      <c r="B715" s="18"/>
    </row>
    <row r="716" spans="1:2" x14ac:dyDescent="0.25">
      <c r="A716" s="12"/>
      <c r="B716" s="18"/>
    </row>
    <row r="717" spans="1:2" x14ac:dyDescent="0.25">
      <c r="A717" s="12"/>
      <c r="B717" s="18"/>
    </row>
    <row r="718" spans="1:2" x14ac:dyDescent="0.25">
      <c r="A718" s="12"/>
      <c r="B718" s="18"/>
    </row>
    <row r="719" spans="1:2" x14ac:dyDescent="0.25">
      <c r="A719" s="12"/>
      <c r="B719" s="18"/>
    </row>
    <row r="720" spans="1:2" x14ac:dyDescent="0.25">
      <c r="A720" s="12"/>
      <c r="B720" s="18"/>
    </row>
    <row r="721" spans="1:2" x14ac:dyDescent="0.25">
      <c r="A721" s="12"/>
      <c r="B721" s="18"/>
    </row>
    <row r="722" spans="1:2" x14ac:dyDescent="0.25">
      <c r="A722" s="12"/>
      <c r="B722" s="18"/>
    </row>
    <row r="723" spans="1:2" x14ac:dyDescent="0.25">
      <c r="A723" s="12"/>
      <c r="B723" s="18"/>
    </row>
    <row r="724" spans="1:2" x14ac:dyDescent="0.25">
      <c r="A724" s="12"/>
      <c r="B724" s="18"/>
    </row>
    <row r="725" spans="1:2" x14ac:dyDescent="0.25">
      <c r="A725" s="12"/>
      <c r="B725" s="18"/>
    </row>
    <row r="726" spans="1:2" x14ac:dyDescent="0.25">
      <c r="A726" s="12"/>
      <c r="B726" s="18"/>
    </row>
    <row r="727" spans="1:2" x14ac:dyDescent="0.25">
      <c r="A727" s="12"/>
      <c r="B727" s="18"/>
    </row>
    <row r="728" spans="1:2" x14ac:dyDescent="0.25">
      <c r="A728" s="12"/>
      <c r="B728" s="18"/>
    </row>
    <row r="729" spans="1:2" x14ac:dyDescent="0.25">
      <c r="A729" s="12"/>
      <c r="B729" s="18"/>
    </row>
    <row r="730" spans="1:2" x14ac:dyDescent="0.25">
      <c r="A730" s="12"/>
      <c r="B730" s="18"/>
    </row>
    <row r="731" spans="1:2" x14ac:dyDescent="0.25">
      <c r="A731" s="12"/>
      <c r="B731" s="18"/>
    </row>
    <row r="732" spans="1:2" x14ac:dyDescent="0.25">
      <c r="A732" s="12"/>
      <c r="B732" s="18"/>
    </row>
    <row r="733" spans="1:2" x14ac:dyDescent="0.25">
      <c r="A733" s="12"/>
      <c r="B733" s="18"/>
    </row>
    <row r="734" spans="1:2" x14ac:dyDescent="0.25">
      <c r="A734" s="12"/>
      <c r="B734" s="18"/>
    </row>
    <row r="735" spans="1:2" x14ac:dyDescent="0.25">
      <c r="A735" s="12"/>
      <c r="B735" s="18"/>
    </row>
    <row r="736" spans="1:2" x14ac:dyDescent="0.25">
      <c r="A736" s="12"/>
      <c r="B736" s="18"/>
    </row>
    <row r="737" spans="1:2" x14ac:dyDescent="0.25">
      <c r="A737" s="12"/>
      <c r="B737" s="18"/>
    </row>
    <row r="738" spans="1:2" x14ac:dyDescent="0.25">
      <c r="A738" s="12"/>
      <c r="B738" s="18"/>
    </row>
    <row r="739" spans="1:2" x14ac:dyDescent="0.25">
      <c r="A739" s="12"/>
      <c r="B739" s="18"/>
    </row>
    <row r="740" spans="1:2" x14ac:dyDescent="0.25">
      <c r="A740" s="12"/>
      <c r="B740" s="18"/>
    </row>
    <row r="741" spans="1:2" x14ac:dyDescent="0.25">
      <c r="A741" s="12"/>
      <c r="B741" s="18"/>
    </row>
    <row r="742" spans="1:2" x14ac:dyDescent="0.25">
      <c r="A742" s="12"/>
      <c r="B742" s="18"/>
    </row>
    <row r="743" spans="1:2" x14ac:dyDescent="0.25">
      <c r="A743" s="12"/>
      <c r="B743" s="18"/>
    </row>
    <row r="744" spans="1:2" x14ac:dyDescent="0.25">
      <c r="A744" s="12"/>
      <c r="B744" s="18"/>
    </row>
    <row r="745" spans="1:2" x14ac:dyDescent="0.25">
      <c r="A745" s="12"/>
      <c r="B745" s="18"/>
    </row>
    <row r="746" spans="1:2" x14ac:dyDescent="0.25">
      <c r="A746" s="12"/>
      <c r="B746" s="18"/>
    </row>
    <row r="747" spans="1:2" x14ac:dyDescent="0.25">
      <c r="A747" s="12"/>
      <c r="B747" s="18"/>
    </row>
    <row r="748" spans="1:2" x14ac:dyDescent="0.25">
      <c r="A748" s="12"/>
      <c r="B748" s="18"/>
    </row>
    <row r="749" spans="1:2" x14ac:dyDescent="0.25">
      <c r="A749" s="12"/>
      <c r="B749" s="18"/>
    </row>
    <row r="750" spans="1:2" x14ac:dyDescent="0.25">
      <c r="A750" s="12"/>
      <c r="B750" s="18"/>
    </row>
    <row r="751" spans="1:2" x14ac:dyDescent="0.25">
      <c r="A751" s="12"/>
      <c r="B751" s="18"/>
    </row>
    <row r="752" spans="1:2" x14ac:dyDescent="0.25">
      <c r="A752" s="12"/>
      <c r="B752" s="18"/>
    </row>
    <row r="753" spans="1:2" x14ac:dyDescent="0.25">
      <c r="A753" s="12"/>
      <c r="B753" s="18"/>
    </row>
    <row r="754" spans="1:2" x14ac:dyDescent="0.25">
      <c r="A754" s="12"/>
      <c r="B754" s="18"/>
    </row>
    <row r="755" spans="1:2" x14ac:dyDescent="0.25">
      <c r="A755" s="12"/>
      <c r="B755" s="18"/>
    </row>
    <row r="756" spans="1:2" x14ac:dyDescent="0.25">
      <c r="A756" s="12"/>
      <c r="B756" s="18"/>
    </row>
    <row r="757" spans="1:2" x14ac:dyDescent="0.25">
      <c r="A757" s="12"/>
      <c r="B757" s="18"/>
    </row>
    <row r="758" spans="1:2" x14ac:dyDescent="0.25">
      <c r="A758" s="12"/>
      <c r="B758" s="18"/>
    </row>
    <row r="759" spans="1:2" x14ac:dyDescent="0.25">
      <c r="A759" s="12"/>
      <c r="B759" s="18"/>
    </row>
    <row r="760" spans="1:2" x14ac:dyDescent="0.25">
      <c r="A760" s="12"/>
      <c r="B760" s="18"/>
    </row>
    <row r="761" spans="1:2" x14ac:dyDescent="0.25">
      <c r="A761" s="12"/>
      <c r="B761" s="18"/>
    </row>
    <row r="762" spans="1:2" x14ac:dyDescent="0.25">
      <c r="A762" s="12"/>
      <c r="B762" s="18"/>
    </row>
    <row r="763" spans="1:2" x14ac:dyDescent="0.25">
      <c r="A763" s="12"/>
      <c r="B763" s="18"/>
    </row>
    <row r="764" spans="1:2" x14ac:dyDescent="0.25">
      <c r="A764" s="12"/>
      <c r="B764" s="18"/>
    </row>
    <row r="765" spans="1:2" x14ac:dyDescent="0.25">
      <c r="A765" s="12"/>
      <c r="B765" s="18"/>
    </row>
    <row r="766" spans="1:2" x14ac:dyDescent="0.25">
      <c r="A766" s="12"/>
      <c r="B766" s="18"/>
    </row>
    <row r="767" spans="1:2" x14ac:dyDescent="0.25">
      <c r="A767" s="12"/>
      <c r="B767" s="18"/>
    </row>
    <row r="768" spans="1:2" x14ac:dyDescent="0.25">
      <c r="A768" s="12"/>
      <c r="B768" s="18"/>
    </row>
    <row r="769" spans="1:2" x14ac:dyDescent="0.25">
      <c r="A769" s="12"/>
      <c r="B769" s="18"/>
    </row>
    <row r="770" spans="1:2" x14ac:dyDescent="0.25">
      <c r="A770" s="12"/>
      <c r="B770" s="18"/>
    </row>
    <row r="771" spans="1:2" x14ac:dyDescent="0.25">
      <c r="A771" s="12"/>
      <c r="B771" s="18"/>
    </row>
    <row r="772" spans="1:2" x14ac:dyDescent="0.25">
      <c r="A772" s="12"/>
      <c r="B772" s="18"/>
    </row>
    <row r="773" spans="1:2" x14ac:dyDescent="0.25">
      <c r="A773" s="12"/>
      <c r="B773" s="18"/>
    </row>
    <row r="774" spans="1:2" x14ac:dyDescent="0.25">
      <c r="A774" s="12"/>
      <c r="B774" s="18"/>
    </row>
    <row r="775" spans="1:2" x14ac:dyDescent="0.25">
      <c r="A775" s="12"/>
      <c r="B775" s="18"/>
    </row>
    <row r="776" spans="1:2" x14ac:dyDescent="0.25">
      <c r="A776" s="12"/>
      <c r="B776" s="18"/>
    </row>
    <row r="777" spans="1:2" x14ac:dyDescent="0.25">
      <c r="A777" s="12"/>
      <c r="B777" s="18"/>
    </row>
    <row r="778" spans="1:2" x14ac:dyDescent="0.25">
      <c r="A778" s="12"/>
      <c r="B778" s="18"/>
    </row>
    <row r="779" spans="1:2" x14ac:dyDescent="0.25">
      <c r="A779" s="12"/>
      <c r="B779" s="18"/>
    </row>
    <row r="780" spans="1:2" x14ac:dyDescent="0.25">
      <c r="A780" s="12"/>
      <c r="B780" s="18"/>
    </row>
    <row r="781" spans="1:2" x14ac:dyDescent="0.25">
      <c r="A781" s="12"/>
      <c r="B781" s="18"/>
    </row>
    <row r="782" spans="1:2" x14ac:dyDescent="0.25">
      <c r="A782" s="12"/>
      <c r="B782" s="18"/>
    </row>
    <row r="783" spans="1:2" x14ac:dyDescent="0.25">
      <c r="A783" s="12"/>
      <c r="B783" s="18"/>
    </row>
    <row r="784" spans="1:2" x14ac:dyDescent="0.25">
      <c r="A784" s="12"/>
      <c r="B784" s="18"/>
    </row>
    <row r="785" spans="1:2" x14ac:dyDescent="0.25">
      <c r="A785" s="12"/>
      <c r="B785" s="18"/>
    </row>
    <row r="786" spans="1:2" x14ac:dyDescent="0.25">
      <c r="A786" s="12"/>
      <c r="B786" s="18"/>
    </row>
    <row r="787" spans="1:2" x14ac:dyDescent="0.25">
      <c r="A787" s="12"/>
      <c r="B787" s="18"/>
    </row>
    <row r="788" spans="1:2" x14ac:dyDescent="0.25">
      <c r="A788" s="12"/>
      <c r="B788" s="18"/>
    </row>
    <row r="789" spans="1:2" x14ac:dyDescent="0.25">
      <c r="A789" s="12"/>
      <c r="B789" s="18"/>
    </row>
    <row r="790" spans="1:2" x14ac:dyDescent="0.25">
      <c r="A790" s="12"/>
      <c r="B790" s="18"/>
    </row>
    <row r="791" spans="1:2" x14ac:dyDescent="0.25">
      <c r="A791" s="12"/>
      <c r="B791" s="18"/>
    </row>
    <row r="792" spans="1:2" x14ac:dyDescent="0.25">
      <c r="A792" s="12"/>
      <c r="B792" s="18"/>
    </row>
    <row r="793" spans="1:2" x14ac:dyDescent="0.25">
      <c r="A793" s="12"/>
      <c r="B793" s="18"/>
    </row>
    <row r="794" spans="1:2" x14ac:dyDescent="0.25">
      <c r="A794" s="12"/>
      <c r="B794" s="18"/>
    </row>
    <row r="795" spans="1:2" x14ac:dyDescent="0.25">
      <c r="A795" s="12"/>
      <c r="B795" s="18"/>
    </row>
    <row r="796" spans="1:2" x14ac:dyDescent="0.25">
      <c r="A796" s="12"/>
      <c r="B796" s="18"/>
    </row>
    <row r="797" spans="1:2" x14ac:dyDescent="0.25">
      <c r="A797" s="12"/>
      <c r="B797" s="18"/>
    </row>
    <row r="798" spans="1:2" x14ac:dyDescent="0.25">
      <c r="A798" s="12"/>
      <c r="B798" s="18"/>
    </row>
    <row r="799" spans="1:2" x14ac:dyDescent="0.25">
      <c r="A799" s="12"/>
      <c r="B799" s="18"/>
    </row>
    <row r="800" spans="1:2" x14ac:dyDescent="0.25">
      <c r="A800" s="12"/>
      <c r="B800" s="18"/>
    </row>
    <row r="801" spans="1:2" x14ac:dyDescent="0.25">
      <c r="A801" s="12"/>
      <c r="B801" s="18"/>
    </row>
    <row r="802" spans="1:2" x14ac:dyDescent="0.25">
      <c r="A802" s="12"/>
      <c r="B802" s="18"/>
    </row>
    <row r="803" spans="1:2" x14ac:dyDescent="0.25">
      <c r="A803" s="12"/>
      <c r="B803" s="18"/>
    </row>
    <row r="804" spans="1:2" x14ac:dyDescent="0.25">
      <c r="A804" s="12"/>
      <c r="B804" s="18"/>
    </row>
    <row r="805" spans="1:2" x14ac:dyDescent="0.25">
      <c r="A805" s="12"/>
      <c r="B805" s="18"/>
    </row>
    <row r="806" spans="1:2" x14ac:dyDescent="0.25">
      <c r="A806" s="12"/>
      <c r="B806" s="18"/>
    </row>
    <row r="807" spans="1:2" x14ac:dyDescent="0.25">
      <c r="A807" s="12"/>
      <c r="B807" s="18"/>
    </row>
    <row r="808" spans="1:2" x14ac:dyDescent="0.25">
      <c r="A808" s="12"/>
      <c r="B808" s="18"/>
    </row>
    <row r="809" spans="1:2" x14ac:dyDescent="0.25">
      <c r="A809" s="12"/>
      <c r="B809" s="18"/>
    </row>
    <row r="810" spans="1:2" x14ac:dyDescent="0.25">
      <c r="A810" s="12"/>
      <c r="B810" s="18"/>
    </row>
    <row r="811" spans="1:2" x14ac:dyDescent="0.25">
      <c r="A811" s="12"/>
      <c r="B811" s="18"/>
    </row>
    <row r="812" spans="1:2" x14ac:dyDescent="0.25">
      <c r="A812" s="12"/>
      <c r="B812" s="18"/>
    </row>
    <row r="813" spans="1:2" x14ac:dyDescent="0.25">
      <c r="A813" s="12"/>
      <c r="B813" s="18"/>
    </row>
    <row r="814" spans="1:2" x14ac:dyDescent="0.25">
      <c r="A814" s="12"/>
      <c r="B814" s="18"/>
    </row>
    <row r="815" spans="1:2" x14ac:dyDescent="0.25">
      <c r="A815" s="12"/>
      <c r="B815" s="18"/>
    </row>
    <row r="816" spans="1:2" x14ac:dyDescent="0.25">
      <c r="A816" s="12"/>
      <c r="B816" s="18"/>
    </row>
    <row r="817" spans="1:2" x14ac:dyDescent="0.25">
      <c r="A817" s="12"/>
      <c r="B817" s="18"/>
    </row>
    <row r="818" spans="1:2" x14ac:dyDescent="0.25">
      <c r="A818" s="12"/>
      <c r="B818" s="18"/>
    </row>
    <row r="819" spans="1:2" x14ac:dyDescent="0.25">
      <c r="A819" s="12"/>
      <c r="B819" s="18"/>
    </row>
    <row r="820" spans="1:2" x14ac:dyDescent="0.25">
      <c r="A820" s="12"/>
      <c r="B820" s="18"/>
    </row>
    <row r="821" spans="1:2" x14ac:dyDescent="0.25">
      <c r="A821" s="12"/>
      <c r="B821" s="18"/>
    </row>
    <row r="822" spans="1:2" x14ac:dyDescent="0.25">
      <c r="A822" s="12"/>
      <c r="B822" s="18"/>
    </row>
    <row r="823" spans="1:2" x14ac:dyDescent="0.25">
      <c r="A823" s="12"/>
      <c r="B823" s="18"/>
    </row>
    <row r="824" spans="1:2" x14ac:dyDescent="0.25">
      <c r="A824" s="12"/>
      <c r="B824" s="18"/>
    </row>
    <row r="825" spans="1:2" x14ac:dyDescent="0.25">
      <c r="A825" s="12"/>
      <c r="B825" s="18"/>
    </row>
    <row r="826" spans="1:2" x14ac:dyDescent="0.25">
      <c r="A826" s="12"/>
      <c r="B826" s="18"/>
    </row>
    <row r="827" spans="1:2" x14ac:dyDescent="0.25">
      <c r="A827" s="12"/>
      <c r="B827" s="18"/>
    </row>
    <row r="828" spans="1:2" x14ac:dyDescent="0.25">
      <c r="A828" s="12"/>
      <c r="B828" s="18"/>
    </row>
    <row r="829" spans="1:2" x14ac:dyDescent="0.25">
      <c r="A829" s="12"/>
      <c r="B829" s="18"/>
    </row>
    <row r="830" spans="1:2" x14ac:dyDescent="0.25">
      <c r="A830" s="12"/>
      <c r="B830" s="18"/>
    </row>
    <row r="831" spans="1:2" x14ac:dyDescent="0.25">
      <c r="A831" s="12"/>
      <c r="B831" s="18"/>
    </row>
    <row r="832" spans="1:2" x14ac:dyDescent="0.25">
      <c r="A832" s="12"/>
      <c r="B832" s="18"/>
    </row>
    <row r="833" spans="1:2" x14ac:dyDescent="0.25">
      <c r="A833" s="12"/>
      <c r="B833" s="18"/>
    </row>
    <row r="834" spans="1:2" x14ac:dyDescent="0.25">
      <c r="A834" s="12"/>
      <c r="B834" s="18"/>
    </row>
    <row r="835" spans="1:2" x14ac:dyDescent="0.25">
      <c r="A835" s="12"/>
      <c r="B835" s="18"/>
    </row>
    <row r="836" spans="1:2" x14ac:dyDescent="0.25">
      <c r="A836" s="12"/>
      <c r="B836" s="18"/>
    </row>
    <row r="837" spans="1:2" x14ac:dyDescent="0.25">
      <c r="A837" s="12"/>
      <c r="B837" s="18"/>
    </row>
    <row r="838" spans="1:2" x14ac:dyDescent="0.25">
      <c r="A838" s="12"/>
      <c r="B838" s="18"/>
    </row>
    <row r="839" spans="1:2" x14ac:dyDescent="0.25">
      <c r="A839" s="12"/>
      <c r="B839" s="18"/>
    </row>
    <row r="840" spans="1:2" x14ac:dyDescent="0.25">
      <c r="A840" s="12"/>
      <c r="B840" s="18"/>
    </row>
    <row r="841" spans="1:2" x14ac:dyDescent="0.25">
      <c r="A841" s="12"/>
      <c r="B841" s="18"/>
    </row>
    <row r="842" spans="1:2" x14ac:dyDescent="0.25">
      <c r="A842" s="12"/>
      <c r="B842" s="18"/>
    </row>
    <row r="843" spans="1:2" x14ac:dyDescent="0.25">
      <c r="A843" s="12"/>
      <c r="B843" s="18"/>
    </row>
    <row r="844" spans="1:2" x14ac:dyDescent="0.25">
      <c r="A844" s="12"/>
      <c r="B844" s="18"/>
    </row>
    <row r="845" spans="1:2" x14ac:dyDescent="0.25">
      <c r="A845" s="12"/>
      <c r="B845" s="18"/>
    </row>
    <row r="846" spans="1:2" x14ac:dyDescent="0.25">
      <c r="A846" s="12"/>
      <c r="B846" s="18"/>
    </row>
    <row r="847" spans="1:2" x14ac:dyDescent="0.25">
      <c r="A847" s="12"/>
      <c r="B847" s="18"/>
    </row>
    <row r="848" spans="1:2" x14ac:dyDescent="0.25">
      <c r="A848" s="12"/>
      <c r="B848" s="18"/>
    </row>
    <row r="849" spans="1:2" x14ac:dyDescent="0.25">
      <c r="A849" s="12"/>
      <c r="B849" s="18"/>
    </row>
    <row r="850" spans="1:2" x14ac:dyDescent="0.25">
      <c r="A850" s="12"/>
      <c r="B850" s="18"/>
    </row>
    <row r="851" spans="1:2" x14ac:dyDescent="0.25">
      <c r="A851" s="12"/>
      <c r="B851" s="18"/>
    </row>
    <row r="852" spans="1:2" x14ac:dyDescent="0.25">
      <c r="A852" s="12"/>
      <c r="B852" s="18"/>
    </row>
    <row r="853" spans="1:2" x14ac:dyDescent="0.25">
      <c r="A853" s="12"/>
      <c r="B853" s="18"/>
    </row>
    <row r="854" spans="1:2" x14ac:dyDescent="0.25">
      <c r="A854" s="12"/>
      <c r="B854" s="18"/>
    </row>
    <row r="855" spans="1:2" x14ac:dyDescent="0.25">
      <c r="A855" s="12"/>
      <c r="B855" s="18"/>
    </row>
    <row r="856" spans="1:2" x14ac:dyDescent="0.25">
      <c r="A856" s="12"/>
      <c r="B856" s="18"/>
    </row>
    <row r="857" spans="1:2" x14ac:dyDescent="0.25">
      <c r="A857" s="12"/>
      <c r="B857" s="18"/>
    </row>
    <row r="858" spans="1:2" x14ac:dyDescent="0.25">
      <c r="A858" s="12"/>
      <c r="B858" s="18"/>
    </row>
    <row r="859" spans="1:2" x14ac:dyDescent="0.25">
      <c r="A859" s="12"/>
      <c r="B859" s="18"/>
    </row>
    <row r="860" spans="1:2" x14ac:dyDescent="0.25">
      <c r="A860" s="12"/>
      <c r="B860" s="18"/>
    </row>
    <row r="861" spans="1:2" x14ac:dyDescent="0.25">
      <c r="A861" s="12"/>
      <c r="B861" s="18"/>
    </row>
    <row r="862" spans="1:2" x14ac:dyDescent="0.25">
      <c r="A862" s="12"/>
      <c r="B862" s="18"/>
    </row>
    <row r="863" spans="1:2" x14ac:dyDescent="0.25">
      <c r="A863" s="12"/>
      <c r="B863" s="18"/>
    </row>
    <row r="864" spans="1:2" x14ac:dyDescent="0.25">
      <c r="A864" s="12"/>
      <c r="B864" s="18"/>
    </row>
    <row r="865" spans="1:2" x14ac:dyDescent="0.25">
      <c r="A865" s="12"/>
      <c r="B865" s="18"/>
    </row>
    <row r="866" spans="1:2" x14ac:dyDescent="0.25">
      <c r="A866" s="12"/>
      <c r="B866" s="18"/>
    </row>
    <row r="867" spans="1:2" x14ac:dyDescent="0.25">
      <c r="A867" s="12"/>
      <c r="B867" s="18"/>
    </row>
    <row r="868" spans="1:2" x14ac:dyDescent="0.25">
      <c r="A868" s="12"/>
      <c r="B868" s="18"/>
    </row>
    <row r="869" spans="1:2" x14ac:dyDescent="0.25">
      <c r="A869" s="12"/>
      <c r="B869" s="18"/>
    </row>
    <row r="870" spans="1:2" x14ac:dyDescent="0.25">
      <c r="A870" s="12"/>
      <c r="B870" s="18"/>
    </row>
    <row r="871" spans="1:2" x14ac:dyDescent="0.25">
      <c r="A871" s="12"/>
      <c r="B871" s="18"/>
    </row>
    <row r="872" spans="1:2" x14ac:dyDescent="0.25">
      <c r="A872" s="12"/>
      <c r="B872" s="18"/>
    </row>
    <row r="873" spans="1:2" x14ac:dyDescent="0.25">
      <c r="A873" s="12"/>
      <c r="B873" s="18"/>
    </row>
    <row r="874" spans="1:2" x14ac:dyDescent="0.25">
      <c r="A874" s="12"/>
      <c r="B874" s="18"/>
    </row>
    <row r="875" spans="1:2" x14ac:dyDescent="0.25">
      <c r="A875" s="12"/>
      <c r="B875" s="18"/>
    </row>
    <row r="876" spans="1:2" x14ac:dyDescent="0.25">
      <c r="A876" s="12"/>
      <c r="B876" s="18"/>
    </row>
    <row r="877" spans="1:2" x14ac:dyDescent="0.25">
      <c r="A877" s="12"/>
      <c r="B877" s="18"/>
    </row>
    <row r="878" spans="1:2" x14ac:dyDescent="0.25">
      <c r="A878" s="12"/>
      <c r="B878" s="18"/>
    </row>
    <row r="879" spans="1:2" x14ac:dyDescent="0.25">
      <c r="A879" s="12"/>
      <c r="B879" s="18"/>
    </row>
    <row r="880" spans="1:2" x14ac:dyDescent="0.25">
      <c r="A880" s="12"/>
      <c r="B880" s="18"/>
    </row>
    <row r="881" spans="1:2" x14ac:dyDescent="0.25">
      <c r="A881" s="12"/>
      <c r="B881" s="18"/>
    </row>
    <row r="882" spans="1:2" x14ac:dyDescent="0.25">
      <c r="A882" s="12"/>
      <c r="B882" s="18"/>
    </row>
    <row r="883" spans="1:2" x14ac:dyDescent="0.25">
      <c r="A883" s="12"/>
      <c r="B883" s="18"/>
    </row>
    <row r="884" spans="1:2" x14ac:dyDescent="0.25">
      <c r="A884" s="12"/>
      <c r="B884" s="18"/>
    </row>
    <row r="885" spans="1:2" x14ac:dyDescent="0.25">
      <c r="A885" s="12"/>
      <c r="B885" s="18"/>
    </row>
    <row r="886" spans="1:2" x14ac:dyDescent="0.25">
      <c r="A886" s="12"/>
      <c r="B886" s="18"/>
    </row>
    <row r="887" spans="1:2" x14ac:dyDescent="0.25">
      <c r="A887" s="12"/>
      <c r="B887" s="18"/>
    </row>
    <row r="888" spans="1:2" x14ac:dyDescent="0.25">
      <c r="A888" s="12"/>
      <c r="B888" s="18"/>
    </row>
    <row r="889" spans="1:2" x14ac:dyDescent="0.25">
      <c r="A889" s="12"/>
      <c r="B889" s="18"/>
    </row>
    <row r="890" spans="1:2" x14ac:dyDescent="0.25">
      <c r="A890" s="12"/>
      <c r="B890" s="18"/>
    </row>
    <row r="891" spans="1:2" x14ac:dyDescent="0.25">
      <c r="A891" s="12"/>
      <c r="B891" s="18"/>
    </row>
    <row r="892" spans="1:2" x14ac:dyDescent="0.25">
      <c r="A892" s="12"/>
      <c r="B892" s="18"/>
    </row>
    <row r="893" spans="1:2" x14ac:dyDescent="0.25">
      <c r="A893" s="12"/>
      <c r="B893" s="18"/>
    </row>
    <row r="894" spans="1:2" x14ac:dyDescent="0.25">
      <c r="A894" s="12"/>
      <c r="B894" s="18"/>
    </row>
    <row r="895" spans="1:2" x14ac:dyDescent="0.25">
      <c r="A895" s="12"/>
      <c r="B895" s="18"/>
    </row>
    <row r="896" spans="1:2" x14ac:dyDescent="0.25">
      <c r="A896" s="12"/>
      <c r="B896" s="18"/>
    </row>
    <row r="897" spans="1:2" x14ac:dyDescent="0.25">
      <c r="A897" s="12"/>
      <c r="B897" s="18"/>
    </row>
    <row r="898" spans="1:2" x14ac:dyDescent="0.25">
      <c r="A898" s="12"/>
      <c r="B898" s="18"/>
    </row>
    <row r="899" spans="1:2" x14ac:dyDescent="0.25">
      <c r="A899" s="12"/>
      <c r="B899" s="18"/>
    </row>
    <row r="900" spans="1:2" x14ac:dyDescent="0.25">
      <c r="A900" s="12"/>
      <c r="B900" s="18"/>
    </row>
    <row r="901" spans="1:2" x14ac:dyDescent="0.25">
      <c r="A901" s="12"/>
      <c r="B901" s="18"/>
    </row>
    <row r="902" spans="1:2" x14ac:dyDescent="0.25">
      <c r="A902" s="12"/>
      <c r="B902" s="18"/>
    </row>
    <row r="903" spans="1:2" x14ac:dyDescent="0.25">
      <c r="A903" s="12"/>
      <c r="B903" s="18"/>
    </row>
    <row r="904" spans="1:2" x14ac:dyDescent="0.25">
      <c r="A904" s="12"/>
      <c r="B904" s="18"/>
    </row>
    <row r="905" spans="1:2" x14ac:dyDescent="0.25">
      <c r="A905" s="12"/>
      <c r="B905" s="18"/>
    </row>
    <row r="906" spans="1:2" x14ac:dyDescent="0.25">
      <c r="A906" s="12"/>
      <c r="B906" s="18"/>
    </row>
    <row r="907" spans="1:2" x14ac:dyDescent="0.25">
      <c r="A907" s="12"/>
      <c r="B907" s="18"/>
    </row>
    <row r="908" spans="1:2" x14ac:dyDescent="0.25">
      <c r="A908" s="12"/>
      <c r="B908" s="18"/>
    </row>
    <row r="909" spans="1:2" x14ac:dyDescent="0.25">
      <c r="A909" s="12"/>
      <c r="B909" s="18"/>
    </row>
    <row r="910" spans="1:2" x14ac:dyDescent="0.25">
      <c r="A910" s="12"/>
      <c r="B910" s="18"/>
    </row>
    <row r="911" spans="1:2" x14ac:dyDescent="0.25">
      <c r="A911" s="12"/>
      <c r="B911" s="18"/>
    </row>
    <row r="912" spans="1:2" x14ac:dyDescent="0.25">
      <c r="A912" s="12"/>
      <c r="B912" s="18"/>
    </row>
    <row r="913" spans="1:2" x14ac:dyDescent="0.25">
      <c r="A913" s="12"/>
      <c r="B913" s="18"/>
    </row>
    <row r="914" spans="1:2" x14ac:dyDescent="0.25">
      <c r="A914" s="12"/>
      <c r="B914" s="18"/>
    </row>
    <row r="915" spans="1:2" x14ac:dyDescent="0.25">
      <c r="A915" s="12"/>
      <c r="B915" s="18"/>
    </row>
    <row r="916" spans="1:2" x14ac:dyDescent="0.25">
      <c r="A916" s="12"/>
      <c r="B916" s="18"/>
    </row>
    <row r="917" spans="1:2" x14ac:dyDescent="0.25">
      <c r="A917" s="12"/>
      <c r="B917" s="18"/>
    </row>
    <row r="918" spans="1:2" x14ac:dyDescent="0.25">
      <c r="A918" s="12"/>
      <c r="B918" s="18"/>
    </row>
    <row r="919" spans="1:2" x14ac:dyDescent="0.25">
      <c r="A919" s="12"/>
      <c r="B919" s="18"/>
    </row>
    <row r="920" spans="1:2" x14ac:dyDescent="0.25">
      <c r="A920" s="12"/>
      <c r="B920" s="18"/>
    </row>
    <row r="921" spans="1:2" x14ac:dyDescent="0.25">
      <c r="A921" s="12"/>
      <c r="B921" s="18"/>
    </row>
    <row r="922" spans="1:2" x14ac:dyDescent="0.25">
      <c r="A922" s="12"/>
      <c r="B922" s="18"/>
    </row>
    <row r="923" spans="1:2" x14ac:dyDescent="0.25">
      <c r="A923" s="12"/>
      <c r="B923" s="18"/>
    </row>
    <row r="924" spans="1:2" x14ac:dyDescent="0.25">
      <c r="A924" s="12"/>
      <c r="B924" s="18"/>
    </row>
    <row r="925" spans="1:2" x14ac:dyDescent="0.25">
      <c r="A925" s="12"/>
      <c r="B925" s="18"/>
    </row>
    <row r="926" spans="1:2" x14ac:dyDescent="0.25">
      <c r="A926" s="12"/>
      <c r="B926" s="18"/>
    </row>
    <row r="927" spans="1:2" x14ac:dyDescent="0.25">
      <c r="A927" s="12"/>
      <c r="B927" s="18"/>
    </row>
    <row r="928" spans="1:2" x14ac:dyDescent="0.25">
      <c r="A928" s="12"/>
      <c r="B928" s="18"/>
    </row>
    <row r="929" spans="1:2" x14ac:dyDescent="0.25">
      <c r="A929" s="12"/>
      <c r="B929" s="18"/>
    </row>
    <row r="930" spans="1:2" x14ac:dyDescent="0.25">
      <c r="A930" s="12"/>
      <c r="B930" s="18"/>
    </row>
    <row r="931" spans="1:2" x14ac:dyDescent="0.25">
      <c r="A931" s="12"/>
      <c r="B931" s="18"/>
    </row>
    <row r="932" spans="1:2" x14ac:dyDescent="0.25">
      <c r="A932" s="12"/>
      <c r="B932" s="18"/>
    </row>
    <row r="933" spans="1:2" x14ac:dyDescent="0.25">
      <c r="A933" s="12"/>
      <c r="B933" s="18"/>
    </row>
    <row r="934" spans="1:2" x14ac:dyDescent="0.25">
      <c r="A934" s="12"/>
      <c r="B934" s="18"/>
    </row>
    <row r="935" spans="1:2" x14ac:dyDescent="0.25">
      <c r="A935" s="12"/>
      <c r="B935" s="18"/>
    </row>
    <row r="936" spans="1:2" x14ac:dyDescent="0.25">
      <c r="A936" s="12"/>
      <c r="B936" s="18"/>
    </row>
    <row r="937" spans="1:2" x14ac:dyDescent="0.25">
      <c r="A937" s="12"/>
      <c r="B937" s="18"/>
    </row>
    <row r="938" spans="1:2" x14ac:dyDescent="0.25">
      <c r="A938" s="12"/>
      <c r="B938" s="18"/>
    </row>
    <row r="939" spans="1:2" x14ac:dyDescent="0.25">
      <c r="A939" s="12"/>
      <c r="B939" s="18"/>
    </row>
    <row r="940" spans="1:2" x14ac:dyDescent="0.25">
      <c r="A940" s="12"/>
      <c r="B940" s="18"/>
    </row>
    <row r="941" spans="1:2" x14ac:dyDescent="0.25">
      <c r="A941" s="12"/>
      <c r="B941" s="18"/>
    </row>
    <row r="942" spans="1:2" x14ac:dyDescent="0.25">
      <c r="A942" s="12"/>
      <c r="B942" s="18"/>
    </row>
    <row r="943" spans="1:2" x14ac:dyDescent="0.25">
      <c r="A943" s="12"/>
      <c r="B943" s="18"/>
    </row>
    <row r="944" spans="1:2" x14ac:dyDescent="0.25">
      <c r="A944" s="12"/>
      <c r="B944" s="18"/>
    </row>
    <row r="945" spans="1:2" x14ac:dyDescent="0.25">
      <c r="A945" s="12"/>
      <c r="B945" s="18"/>
    </row>
    <row r="946" spans="1:2" x14ac:dyDescent="0.25">
      <c r="A946" s="12"/>
      <c r="B946" s="18"/>
    </row>
    <row r="947" spans="1:2" x14ac:dyDescent="0.25">
      <c r="A947" s="12"/>
      <c r="B947" s="18"/>
    </row>
    <row r="948" spans="1:2" x14ac:dyDescent="0.25">
      <c r="A948" s="12"/>
      <c r="B948" s="18"/>
    </row>
    <row r="949" spans="1:2" x14ac:dyDescent="0.25">
      <c r="A949" s="12"/>
      <c r="B949" s="18"/>
    </row>
    <row r="950" spans="1:2" x14ac:dyDescent="0.25">
      <c r="A950" s="12"/>
      <c r="B950" s="18"/>
    </row>
    <row r="951" spans="1:2" x14ac:dyDescent="0.25">
      <c r="A951" s="12"/>
      <c r="B951" s="18"/>
    </row>
    <row r="952" spans="1:2" x14ac:dyDescent="0.25">
      <c r="A952" s="12"/>
      <c r="B952" s="18"/>
    </row>
    <row r="953" spans="1:2" x14ac:dyDescent="0.25">
      <c r="A953" s="12"/>
      <c r="B953" s="18"/>
    </row>
    <row r="954" spans="1:2" x14ac:dyDescent="0.25">
      <c r="A954" s="12"/>
      <c r="B954" s="18"/>
    </row>
    <row r="955" spans="1:2" x14ac:dyDescent="0.25">
      <c r="A955" s="12"/>
      <c r="B955" s="18"/>
    </row>
    <row r="956" spans="1:2" x14ac:dyDescent="0.25">
      <c r="A956" s="12"/>
      <c r="B956" s="18"/>
    </row>
    <row r="957" spans="1:2" x14ac:dyDescent="0.25">
      <c r="A957" s="12"/>
      <c r="B957" s="18"/>
    </row>
    <row r="958" spans="1:2" x14ac:dyDescent="0.25">
      <c r="A958" s="12"/>
      <c r="B958" s="18"/>
    </row>
    <row r="959" spans="1:2" x14ac:dyDescent="0.25">
      <c r="A959" s="12"/>
      <c r="B959" s="18"/>
    </row>
    <row r="960" spans="1:2" x14ac:dyDescent="0.25">
      <c r="A960" s="12"/>
      <c r="B960" s="18"/>
    </row>
    <row r="961" spans="1:2" x14ac:dyDescent="0.25">
      <c r="A961" s="12"/>
      <c r="B961" s="18"/>
    </row>
    <row r="962" spans="1:2" x14ac:dyDescent="0.25">
      <c r="A962" s="12"/>
      <c r="B962" s="18"/>
    </row>
    <row r="963" spans="1:2" x14ac:dyDescent="0.25">
      <c r="A963" s="12"/>
      <c r="B963" s="18"/>
    </row>
    <row r="964" spans="1:2" x14ac:dyDescent="0.25">
      <c r="A964" s="12"/>
      <c r="B964" s="18"/>
    </row>
    <row r="965" spans="1:2" x14ac:dyDescent="0.25">
      <c r="A965" s="12"/>
      <c r="B965" s="18"/>
    </row>
    <row r="966" spans="1:2" x14ac:dyDescent="0.25">
      <c r="A966" s="12"/>
      <c r="B966" s="18"/>
    </row>
    <row r="967" spans="1:2" x14ac:dyDescent="0.25">
      <c r="A967" s="12"/>
      <c r="B967" s="18"/>
    </row>
    <row r="968" spans="1:2" x14ac:dyDescent="0.25">
      <c r="A968" s="12"/>
      <c r="B968" s="18"/>
    </row>
    <row r="969" spans="1:2" x14ac:dyDescent="0.25">
      <c r="A969" s="12"/>
      <c r="B969" s="18"/>
    </row>
    <row r="970" spans="1:2" x14ac:dyDescent="0.25">
      <c r="A970" s="12"/>
      <c r="B970" s="18"/>
    </row>
    <row r="971" spans="1:2" x14ac:dyDescent="0.25">
      <c r="A971" s="12"/>
      <c r="B971" s="18"/>
    </row>
    <row r="972" spans="1:2" x14ac:dyDescent="0.25">
      <c r="A972" s="12"/>
      <c r="B972" s="18"/>
    </row>
    <row r="973" spans="1:2" x14ac:dyDescent="0.25">
      <c r="A973" s="12"/>
      <c r="B973" s="18"/>
    </row>
    <row r="974" spans="1:2" x14ac:dyDescent="0.25">
      <c r="A974" s="12"/>
      <c r="B974" s="18"/>
    </row>
    <row r="975" spans="1:2" x14ac:dyDescent="0.25">
      <c r="A975" s="12"/>
      <c r="B975" s="18"/>
    </row>
    <row r="976" spans="1:2" x14ac:dyDescent="0.25">
      <c r="A976" s="12"/>
      <c r="B976" s="18"/>
    </row>
    <row r="977" spans="1:2" x14ac:dyDescent="0.25">
      <c r="A977" s="12"/>
      <c r="B977" s="18"/>
    </row>
    <row r="978" spans="1:2" x14ac:dyDescent="0.25">
      <c r="A978" s="12"/>
      <c r="B978" s="18"/>
    </row>
    <row r="979" spans="1:2" x14ac:dyDescent="0.25">
      <c r="A979" s="12"/>
      <c r="B979" s="18"/>
    </row>
    <row r="980" spans="1:2" x14ac:dyDescent="0.25">
      <c r="A980" s="12"/>
      <c r="B980" s="18"/>
    </row>
    <row r="981" spans="1:2" x14ac:dyDescent="0.25">
      <c r="A981" s="12"/>
      <c r="B981" s="18"/>
    </row>
    <row r="982" spans="1:2" x14ac:dyDescent="0.25">
      <c r="A982" s="12"/>
      <c r="B982" s="18"/>
    </row>
    <row r="983" spans="1:2" x14ac:dyDescent="0.25">
      <c r="A983" s="12"/>
      <c r="B983" s="18"/>
    </row>
    <row r="984" spans="1:2" x14ac:dyDescent="0.25">
      <c r="A984" s="12"/>
      <c r="B984" s="18"/>
    </row>
    <row r="985" spans="1:2" x14ac:dyDescent="0.25">
      <c r="A985" s="12"/>
      <c r="B985" s="18"/>
    </row>
    <row r="986" spans="1:2" x14ac:dyDescent="0.25">
      <c r="A986" s="12"/>
      <c r="B986" s="18"/>
    </row>
    <row r="987" spans="1:2" x14ac:dyDescent="0.25">
      <c r="A987" s="12"/>
      <c r="B987" s="18"/>
    </row>
    <row r="988" spans="1:2" x14ac:dyDescent="0.25">
      <c r="A988" s="12"/>
      <c r="B988" s="18"/>
    </row>
    <row r="989" spans="1:2" x14ac:dyDescent="0.25">
      <c r="A989" s="12"/>
      <c r="B989" s="18"/>
    </row>
    <row r="990" spans="1:2" x14ac:dyDescent="0.25">
      <c r="A990" s="12"/>
      <c r="B990" s="18"/>
    </row>
    <row r="991" spans="1:2" x14ac:dyDescent="0.25">
      <c r="A991" s="12"/>
      <c r="B991" s="18"/>
    </row>
    <row r="992" spans="1:2" x14ac:dyDescent="0.25">
      <c r="A992" s="12"/>
      <c r="B992" s="18"/>
    </row>
    <row r="993" spans="1:2" x14ac:dyDescent="0.25">
      <c r="A993" s="12"/>
      <c r="B993" s="18"/>
    </row>
    <row r="994" spans="1:2" x14ac:dyDescent="0.25">
      <c r="A994" s="12"/>
      <c r="B994" s="18"/>
    </row>
    <row r="995" spans="1:2" x14ac:dyDescent="0.25">
      <c r="A995" s="12"/>
      <c r="B995" s="18"/>
    </row>
    <row r="996" spans="1:2" x14ac:dyDescent="0.25">
      <c r="A996" s="12"/>
      <c r="B996" s="18"/>
    </row>
    <row r="997" spans="1:2" x14ac:dyDescent="0.25">
      <c r="A997" s="12"/>
      <c r="B997" s="18"/>
    </row>
    <row r="998" spans="1:2" x14ac:dyDescent="0.25">
      <c r="A998" s="12"/>
      <c r="B998" s="18"/>
    </row>
    <row r="999" spans="1:2" x14ac:dyDescent="0.25">
      <c r="A999" s="12"/>
      <c r="B999" s="18"/>
    </row>
    <row r="1000" spans="1:2" x14ac:dyDescent="0.25">
      <c r="A1000" s="12"/>
      <c r="B1000" s="18"/>
    </row>
    <row r="1001" spans="1:2" x14ac:dyDescent="0.25">
      <c r="A1001" s="12"/>
      <c r="B1001" s="18"/>
    </row>
    <row r="1002" spans="1:2" x14ac:dyDescent="0.25">
      <c r="A1002" s="12"/>
      <c r="B1002" s="18"/>
    </row>
    <row r="1003" spans="1:2" x14ac:dyDescent="0.25">
      <c r="A1003" s="12"/>
      <c r="B1003" s="18"/>
    </row>
    <row r="1004" spans="1:2" x14ac:dyDescent="0.25">
      <c r="A1004" s="12"/>
      <c r="B1004" s="18"/>
    </row>
    <row r="1005" spans="1:2" x14ac:dyDescent="0.25">
      <c r="A1005" s="12"/>
      <c r="B1005" s="18"/>
    </row>
    <row r="1006" spans="1:2" x14ac:dyDescent="0.25">
      <c r="A1006" s="12"/>
      <c r="B1006" s="18"/>
    </row>
    <row r="1007" spans="1:2" x14ac:dyDescent="0.25">
      <c r="A1007" s="12"/>
      <c r="B1007" s="18"/>
    </row>
    <row r="1008" spans="1:2" x14ac:dyDescent="0.25">
      <c r="A1008" s="12"/>
      <c r="B1008" s="18"/>
    </row>
    <row r="1009" spans="1:2" x14ac:dyDescent="0.25">
      <c r="A1009" s="12"/>
      <c r="B1009" s="18"/>
    </row>
    <row r="1010" spans="1:2" x14ac:dyDescent="0.25">
      <c r="A1010" s="12"/>
      <c r="B1010" s="18"/>
    </row>
    <row r="1011" spans="1:2" x14ac:dyDescent="0.25">
      <c r="A1011" s="12"/>
      <c r="B1011" s="18"/>
    </row>
    <row r="1012" spans="1:2" x14ac:dyDescent="0.25">
      <c r="A1012" s="12"/>
      <c r="B1012" s="18"/>
    </row>
    <row r="1013" spans="1:2" x14ac:dyDescent="0.25">
      <c r="A1013" s="12"/>
      <c r="B1013" s="18"/>
    </row>
    <row r="1014" spans="1:2" x14ac:dyDescent="0.25">
      <c r="A1014" s="12"/>
      <c r="B1014" s="18"/>
    </row>
    <row r="1015" spans="1:2" x14ac:dyDescent="0.25">
      <c r="A1015" s="12"/>
      <c r="B1015" s="18"/>
    </row>
    <row r="1016" spans="1:2" x14ac:dyDescent="0.25">
      <c r="A1016" s="12"/>
      <c r="B1016" s="18"/>
    </row>
    <row r="1017" spans="1:2" x14ac:dyDescent="0.25">
      <c r="A1017" s="12"/>
      <c r="B1017" s="18"/>
    </row>
    <row r="1018" spans="1:2" x14ac:dyDescent="0.25">
      <c r="A1018" s="12"/>
      <c r="B1018" s="18"/>
    </row>
    <row r="1019" spans="1:2" x14ac:dyDescent="0.25">
      <c r="A1019" s="12"/>
      <c r="B1019" s="18"/>
    </row>
    <row r="1020" spans="1:2" x14ac:dyDescent="0.25">
      <c r="A1020" s="12"/>
      <c r="B1020" s="18"/>
    </row>
    <row r="1021" spans="1:2" x14ac:dyDescent="0.25">
      <c r="A1021" s="12"/>
      <c r="B1021" s="18"/>
    </row>
    <row r="1022" spans="1:2" x14ac:dyDescent="0.25">
      <c r="A1022" s="12"/>
      <c r="B1022" s="18"/>
    </row>
    <row r="1023" spans="1:2" x14ac:dyDescent="0.25">
      <c r="A1023" s="12"/>
      <c r="B1023" s="18"/>
    </row>
    <row r="1024" spans="1:2" x14ac:dyDescent="0.25">
      <c r="A1024" s="12"/>
      <c r="B1024" s="18"/>
    </row>
    <row r="1025" spans="1:2" x14ac:dyDescent="0.25">
      <c r="A1025" s="12"/>
      <c r="B1025" s="18"/>
    </row>
    <row r="1026" spans="1:2" x14ac:dyDescent="0.25">
      <c r="A1026" s="12"/>
      <c r="B1026" s="18"/>
    </row>
    <row r="1027" spans="1:2" x14ac:dyDescent="0.25">
      <c r="A1027" s="12"/>
      <c r="B1027" s="18"/>
    </row>
    <row r="1028" spans="1:2" x14ac:dyDescent="0.25">
      <c r="A1028" s="12"/>
      <c r="B1028" s="18"/>
    </row>
    <row r="1029" spans="1:2" x14ac:dyDescent="0.25">
      <c r="A1029" s="12"/>
      <c r="B1029" s="18"/>
    </row>
    <row r="1030" spans="1:2" x14ac:dyDescent="0.25">
      <c r="A1030" s="12"/>
      <c r="B1030" s="18"/>
    </row>
    <row r="1031" spans="1:2" x14ac:dyDescent="0.25">
      <c r="A1031" s="12"/>
      <c r="B1031" s="18"/>
    </row>
    <row r="1032" spans="1:2" x14ac:dyDescent="0.25">
      <c r="A1032" s="12"/>
      <c r="B1032" s="18"/>
    </row>
    <row r="1033" spans="1:2" x14ac:dyDescent="0.25">
      <c r="A1033" s="12"/>
      <c r="B1033" s="18"/>
    </row>
    <row r="1034" spans="1:2" x14ac:dyDescent="0.25">
      <c r="A1034" s="12"/>
      <c r="B1034" s="18"/>
    </row>
    <row r="1035" spans="1:2" x14ac:dyDescent="0.25">
      <c r="A1035" s="12"/>
      <c r="B1035" s="18"/>
    </row>
    <row r="1036" spans="1:2" x14ac:dyDescent="0.25">
      <c r="A1036" s="12"/>
      <c r="B1036" s="18"/>
    </row>
    <row r="1037" spans="1:2" x14ac:dyDescent="0.25">
      <c r="A1037" s="12"/>
      <c r="B1037" s="18"/>
    </row>
    <row r="1038" spans="1:2" x14ac:dyDescent="0.25">
      <c r="A1038" s="12"/>
      <c r="B1038" s="18"/>
    </row>
    <row r="1039" spans="1:2" x14ac:dyDescent="0.25">
      <c r="A1039" s="12"/>
      <c r="B1039" s="18"/>
    </row>
    <row r="1040" spans="1:2" x14ac:dyDescent="0.25">
      <c r="A1040" s="12"/>
      <c r="B1040" s="18"/>
    </row>
    <row r="1041" spans="1:2" x14ac:dyDescent="0.25">
      <c r="A1041" s="12"/>
      <c r="B1041" s="18"/>
    </row>
    <row r="1042" spans="1:2" x14ac:dyDescent="0.25">
      <c r="A1042" s="12"/>
      <c r="B1042" s="18"/>
    </row>
    <row r="1043" spans="1:2" x14ac:dyDescent="0.25">
      <c r="A1043" s="12"/>
      <c r="B1043" s="18"/>
    </row>
    <row r="1044" spans="1:2" x14ac:dyDescent="0.25">
      <c r="A1044" s="12"/>
      <c r="B1044" s="18"/>
    </row>
    <row r="1045" spans="1:2" x14ac:dyDescent="0.25">
      <c r="A1045" s="12"/>
      <c r="B1045" s="18"/>
    </row>
    <row r="1046" spans="1:2" x14ac:dyDescent="0.25">
      <c r="A1046" s="12"/>
      <c r="B1046" s="18"/>
    </row>
    <row r="1047" spans="1:2" x14ac:dyDescent="0.25">
      <c r="A1047" s="12"/>
      <c r="B1047" s="18"/>
    </row>
    <row r="1048" spans="1:2" x14ac:dyDescent="0.25">
      <c r="A1048" s="12"/>
      <c r="B1048" s="18"/>
    </row>
    <row r="1049" spans="1:2" x14ac:dyDescent="0.25">
      <c r="A1049" s="12"/>
      <c r="B1049" s="18"/>
    </row>
    <row r="1050" spans="1:2" x14ac:dyDescent="0.25">
      <c r="A1050" s="12"/>
      <c r="B1050" s="18"/>
    </row>
    <row r="1051" spans="1:2" x14ac:dyDescent="0.25">
      <c r="A1051" s="12"/>
      <c r="B1051" s="18"/>
    </row>
    <row r="1052" spans="1:2" x14ac:dyDescent="0.25">
      <c r="A1052" s="12"/>
      <c r="B1052" s="18"/>
    </row>
    <row r="1053" spans="1:2" x14ac:dyDescent="0.25">
      <c r="A1053" s="12"/>
      <c r="B1053" s="18"/>
    </row>
    <row r="1054" spans="1:2" x14ac:dyDescent="0.25">
      <c r="A1054" s="12"/>
      <c r="B1054" s="18"/>
    </row>
    <row r="1055" spans="1:2" x14ac:dyDescent="0.25">
      <c r="A1055" s="12"/>
      <c r="B1055" s="18"/>
    </row>
    <row r="1056" spans="1:2" x14ac:dyDescent="0.25">
      <c r="A1056" s="12"/>
      <c r="B1056" s="18"/>
    </row>
    <row r="1057" spans="1:2" x14ac:dyDescent="0.25">
      <c r="A1057" s="12"/>
      <c r="B1057" s="18"/>
    </row>
    <row r="1058" spans="1:2" x14ac:dyDescent="0.25">
      <c r="A1058" s="12"/>
      <c r="B1058" s="18"/>
    </row>
    <row r="1059" spans="1:2" x14ac:dyDescent="0.25">
      <c r="A1059" s="12"/>
      <c r="B1059" s="18"/>
    </row>
    <row r="1060" spans="1:2" x14ac:dyDescent="0.25">
      <c r="A1060" s="12"/>
      <c r="B1060" s="18"/>
    </row>
    <row r="1061" spans="1:2" x14ac:dyDescent="0.25">
      <c r="A1061" s="12"/>
      <c r="B1061" s="18"/>
    </row>
    <row r="1062" spans="1:2" x14ac:dyDescent="0.25">
      <c r="A1062" s="12"/>
      <c r="B1062" s="18"/>
    </row>
    <row r="1063" spans="1:2" x14ac:dyDescent="0.25">
      <c r="A1063" s="12"/>
      <c r="B1063" s="18"/>
    </row>
    <row r="1064" spans="1:2" x14ac:dyDescent="0.25">
      <c r="A1064" s="12"/>
      <c r="B1064" s="18"/>
    </row>
    <row r="1065" spans="1:2" x14ac:dyDescent="0.25">
      <c r="A1065" s="12"/>
      <c r="B1065" s="18"/>
    </row>
    <row r="1066" spans="1:2" x14ac:dyDescent="0.25">
      <c r="A1066" s="12"/>
      <c r="B1066" s="18"/>
    </row>
    <row r="1067" spans="1:2" x14ac:dyDescent="0.25">
      <c r="A1067" s="12"/>
      <c r="B1067" s="18"/>
    </row>
    <row r="1068" spans="1:2" x14ac:dyDescent="0.25">
      <c r="A1068" s="12"/>
      <c r="B1068" s="18"/>
    </row>
    <row r="1069" spans="1:2" x14ac:dyDescent="0.25">
      <c r="A1069" s="12"/>
      <c r="B1069" s="18"/>
    </row>
    <row r="1070" spans="1:2" x14ac:dyDescent="0.25">
      <c r="A1070" s="12"/>
      <c r="B1070" s="18"/>
    </row>
    <row r="1071" spans="1:2" x14ac:dyDescent="0.25">
      <c r="A1071" s="12"/>
      <c r="B1071" s="18"/>
    </row>
    <row r="1072" spans="1:2" x14ac:dyDescent="0.25">
      <c r="A1072" s="12"/>
      <c r="B1072" s="18"/>
    </row>
    <row r="1073" spans="1:2" x14ac:dyDescent="0.25">
      <c r="A1073" s="12"/>
      <c r="B1073" s="18"/>
    </row>
    <row r="1074" spans="1:2" x14ac:dyDescent="0.25">
      <c r="A1074" s="12"/>
      <c r="B1074" s="18"/>
    </row>
    <row r="1075" spans="1:2" x14ac:dyDescent="0.25">
      <c r="A1075" s="12"/>
      <c r="B1075" s="18"/>
    </row>
    <row r="1076" spans="1:2" x14ac:dyDescent="0.25">
      <c r="A1076" s="12"/>
      <c r="B1076" s="18"/>
    </row>
    <row r="1077" spans="1:2" x14ac:dyDescent="0.25">
      <c r="A1077" s="12"/>
      <c r="B1077" s="18"/>
    </row>
    <row r="1078" spans="1:2" x14ac:dyDescent="0.25">
      <c r="A1078" s="12"/>
      <c r="B1078" s="18"/>
    </row>
    <row r="1079" spans="1:2" x14ac:dyDescent="0.25">
      <c r="A1079" s="12"/>
      <c r="B1079" s="18"/>
    </row>
    <row r="1080" spans="1:2" x14ac:dyDescent="0.25">
      <c r="A1080" s="12"/>
      <c r="B1080" s="18"/>
    </row>
    <row r="1081" spans="1:2" x14ac:dyDescent="0.25">
      <c r="A1081" s="12"/>
      <c r="B1081" s="18"/>
    </row>
    <row r="1082" spans="1:2" x14ac:dyDescent="0.25">
      <c r="A1082" s="12"/>
      <c r="B1082" s="18"/>
    </row>
    <row r="1083" spans="1:2" x14ac:dyDescent="0.25">
      <c r="A1083" s="12"/>
      <c r="B1083" s="18"/>
    </row>
    <row r="1084" spans="1:2" x14ac:dyDescent="0.25">
      <c r="A1084" s="12"/>
      <c r="B1084" s="18"/>
    </row>
    <row r="1085" spans="1:2" x14ac:dyDescent="0.25">
      <c r="A1085" s="12"/>
      <c r="B1085" s="18"/>
    </row>
    <row r="1086" spans="1:2" x14ac:dyDescent="0.25">
      <c r="A1086" s="12"/>
      <c r="B1086" s="18"/>
    </row>
    <row r="1087" spans="1:2" x14ac:dyDescent="0.25">
      <c r="A1087" s="12"/>
      <c r="B1087" s="18"/>
    </row>
    <row r="1088" spans="1:2" x14ac:dyDescent="0.25">
      <c r="A1088" s="12"/>
      <c r="B1088" s="18"/>
    </row>
    <row r="1089" spans="1:2" x14ac:dyDescent="0.25">
      <c r="A1089" s="12"/>
      <c r="B1089" s="18"/>
    </row>
    <row r="1090" spans="1:2" x14ac:dyDescent="0.25">
      <c r="A1090" s="12"/>
      <c r="B1090" s="18"/>
    </row>
    <row r="1091" spans="1:2" x14ac:dyDescent="0.25">
      <c r="A1091" s="12"/>
      <c r="B1091" s="18"/>
    </row>
    <row r="1092" spans="1:2" x14ac:dyDescent="0.25">
      <c r="A1092" s="12"/>
      <c r="B1092" s="18"/>
    </row>
    <row r="1093" spans="1:2" x14ac:dyDescent="0.25">
      <c r="A1093" s="12"/>
      <c r="B1093" s="18"/>
    </row>
    <row r="1094" spans="1:2" x14ac:dyDescent="0.25">
      <c r="A1094" s="12"/>
      <c r="B1094" s="18"/>
    </row>
    <row r="1095" spans="1:2" x14ac:dyDescent="0.25">
      <c r="A1095" s="12"/>
      <c r="B1095" s="18"/>
    </row>
    <row r="1096" spans="1:2" x14ac:dyDescent="0.25">
      <c r="A1096" s="12"/>
      <c r="B1096" s="18"/>
    </row>
    <row r="1097" spans="1:2" x14ac:dyDescent="0.25">
      <c r="A1097" s="12"/>
      <c r="B1097" s="18"/>
    </row>
    <row r="1098" spans="1:2" x14ac:dyDescent="0.25">
      <c r="A1098" s="12"/>
      <c r="B1098" s="18"/>
    </row>
    <row r="1099" spans="1:2" x14ac:dyDescent="0.25">
      <c r="A1099" s="12"/>
      <c r="B1099" s="18"/>
    </row>
    <row r="1100" spans="1:2" x14ac:dyDescent="0.25">
      <c r="A1100" s="12"/>
      <c r="B1100" s="18"/>
    </row>
    <row r="1101" spans="1:2" x14ac:dyDescent="0.25">
      <c r="A1101" s="12"/>
      <c r="B1101" s="18"/>
    </row>
    <row r="1102" spans="1:2" x14ac:dyDescent="0.25">
      <c r="A1102" s="12"/>
      <c r="B1102" s="18"/>
    </row>
    <row r="1103" spans="1:2" x14ac:dyDescent="0.25">
      <c r="A1103" s="12"/>
      <c r="B1103" s="18"/>
    </row>
    <row r="1104" spans="1:2" x14ac:dyDescent="0.25">
      <c r="A1104" s="12"/>
      <c r="B1104" s="18"/>
    </row>
    <row r="1105" spans="1:2" x14ac:dyDescent="0.25">
      <c r="A1105" s="12"/>
      <c r="B1105" s="18"/>
    </row>
    <row r="1106" spans="1:2" x14ac:dyDescent="0.25">
      <c r="A1106" s="12"/>
      <c r="B1106" s="18"/>
    </row>
    <row r="1107" spans="1:2" x14ac:dyDescent="0.25">
      <c r="A1107" s="12"/>
      <c r="B1107" s="18"/>
    </row>
    <row r="1108" spans="1:2" x14ac:dyDescent="0.25">
      <c r="A1108" s="12"/>
      <c r="B1108" s="18"/>
    </row>
    <row r="1109" spans="1:2" x14ac:dyDescent="0.25">
      <c r="A1109" s="12"/>
      <c r="B1109" s="18"/>
    </row>
    <row r="1110" spans="1:2" x14ac:dyDescent="0.25">
      <c r="A1110" s="12"/>
      <c r="B1110" s="18"/>
    </row>
    <row r="1111" spans="1:2" x14ac:dyDescent="0.25">
      <c r="A1111" s="12"/>
      <c r="B1111" s="18"/>
    </row>
    <row r="1112" spans="1:2" x14ac:dyDescent="0.25">
      <c r="A1112" s="12"/>
      <c r="B1112" s="18"/>
    </row>
    <row r="1113" spans="1:2" x14ac:dyDescent="0.25">
      <c r="A1113" s="12"/>
      <c r="B1113" s="18"/>
    </row>
    <row r="1114" spans="1:2" x14ac:dyDescent="0.25">
      <c r="A1114" s="12"/>
      <c r="B1114" s="18"/>
    </row>
    <row r="1115" spans="1:2" x14ac:dyDescent="0.25">
      <c r="A1115" s="12"/>
      <c r="B1115" s="18"/>
    </row>
    <row r="1116" spans="1:2" x14ac:dyDescent="0.25">
      <c r="A1116" s="12"/>
      <c r="B1116" s="18"/>
    </row>
    <row r="1117" spans="1:2" x14ac:dyDescent="0.25">
      <c r="A1117" s="12"/>
      <c r="B1117" s="18"/>
    </row>
    <row r="1118" spans="1:2" x14ac:dyDescent="0.25">
      <c r="A1118" s="12"/>
      <c r="B1118" s="18"/>
    </row>
    <row r="1119" spans="1:2" x14ac:dyDescent="0.25">
      <c r="A1119" s="12"/>
      <c r="B1119" s="18"/>
    </row>
    <row r="1120" spans="1:2" x14ac:dyDescent="0.25">
      <c r="A1120" s="12"/>
      <c r="B1120" s="18"/>
    </row>
    <row r="1121" spans="1:2" x14ac:dyDescent="0.25">
      <c r="A1121" s="12"/>
      <c r="B1121" s="18"/>
    </row>
    <row r="1122" spans="1:2" x14ac:dyDescent="0.25">
      <c r="A1122" s="12"/>
      <c r="B1122" s="18"/>
    </row>
    <row r="1123" spans="1:2" x14ac:dyDescent="0.25">
      <c r="A1123" s="12"/>
      <c r="B1123" s="18"/>
    </row>
    <row r="1124" spans="1:2" x14ac:dyDescent="0.25">
      <c r="A1124" s="12"/>
      <c r="B1124" s="18"/>
    </row>
    <row r="1125" spans="1:2" x14ac:dyDescent="0.25">
      <c r="A1125" s="12"/>
      <c r="B1125" s="18"/>
    </row>
    <row r="1126" spans="1:2" x14ac:dyDescent="0.25">
      <c r="A1126" s="12"/>
      <c r="B1126" s="18"/>
    </row>
    <row r="1127" spans="1:2" x14ac:dyDescent="0.25">
      <c r="A1127" s="12"/>
      <c r="B1127" s="18"/>
    </row>
    <row r="1128" spans="1:2" x14ac:dyDescent="0.25">
      <c r="A1128" s="12"/>
      <c r="B1128" s="18"/>
    </row>
    <row r="1129" spans="1:2" x14ac:dyDescent="0.25">
      <c r="A1129" s="12"/>
      <c r="B1129" s="18"/>
    </row>
    <row r="1130" spans="1:2" x14ac:dyDescent="0.25">
      <c r="A1130" s="12"/>
      <c r="B1130" s="18"/>
    </row>
    <row r="1131" spans="1:2" x14ac:dyDescent="0.25">
      <c r="A1131" s="12"/>
      <c r="B1131" s="18"/>
    </row>
    <row r="1132" spans="1:2" x14ac:dyDescent="0.25">
      <c r="A1132" s="12"/>
      <c r="B1132" s="18"/>
    </row>
    <row r="1133" spans="1:2" x14ac:dyDescent="0.25">
      <c r="A1133" s="12"/>
      <c r="B1133" s="18"/>
    </row>
    <row r="1134" spans="1:2" x14ac:dyDescent="0.25">
      <c r="A1134" s="12"/>
      <c r="B1134" s="18"/>
    </row>
    <row r="1135" spans="1:2" x14ac:dyDescent="0.25">
      <c r="A1135" s="12"/>
      <c r="B1135" s="18"/>
    </row>
    <row r="1136" spans="1:2" x14ac:dyDescent="0.25">
      <c r="A1136" s="12"/>
      <c r="B1136" s="18"/>
    </row>
    <row r="1137" spans="1:2" x14ac:dyDescent="0.25">
      <c r="A1137" s="12"/>
      <c r="B1137" s="18"/>
    </row>
    <row r="1138" spans="1:2" x14ac:dyDescent="0.25">
      <c r="A1138" s="12"/>
      <c r="B1138" s="18"/>
    </row>
    <row r="1139" spans="1:2" x14ac:dyDescent="0.25">
      <c r="A1139" s="12"/>
      <c r="B1139" s="18"/>
    </row>
    <row r="1140" spans="1:2" x14ac:dyDescent="0.25">
      <c r="A1140" s="12"/>
      <c r="B1140" s="18"/>
    </row>
    <row r="1141" spans="1:2" x14ac:dyDescent="0.25">
      <c r="A1141" s="12"/>
      <c r="B1141" s="18"/>
    </row>
    <row r="1142" spans="1:2" x14ac:dyDescent="0.25">
      <c r="A1142" s="12"/>
      <c r="B1142" s="18"/>
    </row>
    <row r="1143" spans="1:2" x14ac:dyDescent="0.25">
      <c r="A1143" s="12"/>
      <c r="B1143" s="18"/>
    </row>
    <row r="1144" spans="1:2" x14ac:dyDescent="0.25">
      <c r="A1144" s="12"/>
      <c r="B1144" s="18"/>
    </row>
    <row r="1145" spans="1:2" x14ac:dyDescent="0.25">
      <c r="A1145" s="12"/>
      <c r="B1145" s="18"/>
    </row>
    <row r="1146" spans="1:2" x14ac:dyDescent="0.25">
      <c r="A1146" s="12"/>
      <c r="B1146" s="18"/>
    </row>
    <row r="1147" spans="1:2" x14ac:dyDescent="0.25">
      <c r="A1147" s="12"/>
      <c r="B1147" s="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34C9-60E4-4481-A5AB-C7748C68FD5F}">
  <dimension ref="A1:M158"/>
  <sheetViews>
    <sheetView workbookViewId="0">
      <selection activeCell="C2" sqref="C2:C152"/>
    </sheetView>
  </sheetViews>
  <sheetFormatPr defaultRowHeight="15" x14ac:dyDescent="0.25"/>
  <cols>
    <col min="1" max="1" width="5.5703125" customWidth="1"/>
    <col min="2" max="2" width="10.140625" bestFit="1" customWidth="1"/>
    <col min="8" max="8" width="19.7109375" bestFit="1" customWidth="1"/>
    <col min="9" max="9" width="15.7109375" bestFit="1" customWidth="1"/>
    <col min="10" max="10" width="12.5703125" bestFit="1" customWidth="1"/>
    <col min="11" max="11" width="19" bestFit="1" customWidth="1"/>
    <col min="12" max="12" width="25.7109375" bestFit="1" customWidth="1"/>
    <col min="13" max="13" width="22" bestFit="1" customWidth="1"/>
  </cols>
  <sheetData>
    <row r="1" spans="1:13" ht="16.5" thickBot="1" x14ac:dyDescent="0.3">
      <c r="A1" s="8" t="s">
        <v>42</v>
      </c>
      <c r="B1" s="1" t="s">
        <v>69</v>
      </c>
      <c r="C1" s="1" t="s">
        <v>0</v>
      </c>
      <c r="D1" s="1" t="s">
        <v>157</v>
      </c>
      <c r="H1" s="117" t="s">
        <v>158</v>
      </c>
      <c r="I1" s="118"/>
      <c r="J1" s="118"/>
      <c r="K1" s="118"/>
      <c r="L1" s="118"/>
      <c r="M1" s="119"/>
    </row>
    <row r="2" spans="1:13" ht="15.75" thickBot="1" x14ac:dyDescent="0.3">
      <c r="B2" s="12">
        <v>45404</v>
      </c>
      <c r="C2" s="18">
        <v>187.25</v>
      </c>
      <c r="D2" s="54">
        <f>C2/C3-1</f>
        <v>5.1552760150502586E-2</v>
      </c>
      <c r="F2" s="18"/>
      <c r="H2" s="55"/>
      <c r="I2" s="56"/>
      <c r="J2" s="56"/>
      <c r="K2" s="56"/>
      <c r="L2" s="56"/>
      <c r="M2" s="57"/>
    </row>
    <row r="3" spans="1:13" ht="15.75" thickBot="1" x14ac:dyDescent="0.3">
      <c r="B3" s="12">
        <v>45397</v>
      </c>
      <c r="C3" s="18">
        <v>178.07</v>
      </c>
      <c r="D3" s="54">
        <f t="shared" ref="D3:D66" si="0">C3/C4-1</f>
        <v>-7.7883071824348948E-2</v>
      </c>
      <c r="H3" s="58" t="s">
        <v>159</v>
      </c>
      <c r="I3" s="59" t="s">
        <v>160</v>
      </c>
      <c r="J3" s="60" t="s">
        <v>161</v>
      </c>
      <c r="K3" s="61" t="s">
        <v>162</v>
      </c>
      <c r="L3" s="61" t="s">
        <v>163</v>
      </c>
      <c r="M3" s="62" t="s">
        <v>164</v>
      </c>
    </row>
    <row r="4" spans="1:13" x14ac:dyDescent="0.25">
      <c r="B4" s="12">
        <v>45390</v>
      </c>
      <c r="C4" s="18">
        <v>193.11</v>
      </c>
      <c r="D4" s="54">
        <f t="shared" si="0"/>
        <v>-0.11009216589861748</v>
      </c>
      <c r="H4" s="63">
        <f>$I$19-3*$I$23</f>
        <v>-0.29929355502952232</v>
      </c>
      <c r="I4" s="64">
        <f>H4</f>
        <v>-0.29929355502952232</v>
      </c>
      <c r="J4" s="65">
        <f>COUNTIF(D:D,"&lt;="&amp;H4)</f>
        <v>0</v>
      </c>
      <c r="K4" s="65" t="str">
        <f>"Less than "&amp;TEXT(H4,"0,00%")</f>
        <v>Less than -29,93%</v>
      </c>
      <c r="L4" s="66">
        <f>J4/$I$31</f>
        <v>0</v>
      </c>
      <c r="M4" s="67">
        <f>L4</f>
        <v>0</v>
      </c>
    </row>
    <row r="5" spans="1:13" x14ac:dyDescent="0.25">
      <c r="B5" s="12">
        <v>45383</v>
      </c>
      <c r="C5" s="18">
        <v>217</v>
      </c>
      <c r="D5" s="54">
        <f t="shared" si="0"/>
        <v>-3.9270355498081888E-2</v>
      </c>
      <c r="H5" s="68">
        <f>$I$19-2.4*$I$23</f>
        <v>-0.23845054251640807</v>
      </c>
      <c r="I5" s="69">
        <f>H5</f>
        <v>-0.23845054251640807</v>
      </c>
      <c r="J5" s="70">
        <f>COUNTIFS(D:D,"&lt;="&amp;H5,D:D,"&gt;"&amp;H4)</f>
        <v>1</v>
      </c>
      <c r="K5" s="71" t="str">
        <f t="shared" ref="K5:K14" si="1">TEXT(H4,"0,00%")&amp;" to "&amp;TEXT(H5,"0,00%")</f>
        <v>-29,93% to -23,85%</v>
      </c>
      <c r="L5" s="72">
        <f>J5/$I$31</f>
        <v>6.6666666666666671E-3</v>
      </c>
      <c r="M5" s="73">
        <f>M4+L5</f>
        <v>6.6666666666666671E-3</v>
      </c>
    </row>
    <row r="6" spans="1:13" x14ac:dyDescent="0.25">
      <c r="B6" s="12">
        <v>45376</v>
      </c>
      <c r="C6" s="18">
        <v>225.86999499999999</v>
      </c>
      <c r="D6" s="54">
        <f t="shared" si="0"/>
        <v>-9.3421271929825522E-3</v>
      </c>
      <c r="H6" s="68">
        <f>$I$19-1.8*$I$23</f>
        <v>-0.17760753000329388</v>
      </c>
      <c r="I6" s="69">
        <f t="shared" ref="I6:I14" si="2">H6</f>
        <v>-0.17760753000329388</v>
      </c>
      <c r="J6" s="70">
        <f t="shared" ref="J6:J14" si="3">COUNTIFS(D:D,"&lt;="&amp;H6,D:D,"&gt;"&amp;H5)</f>
        <v>4</v>
      </c>
      <c r="K6" s="71" t="str">
        <f t="shared" si="1"/>
        <v>-23,85% to -17,76%</v>
      </c>
      <c r="L6" s="72">
        <f t="shared" ref="L6:L15" si="4">J6/$I$31</f>
        <v>2.6666666666666668E-2</v>
      </c>
      <c r="M6" s="73">
        <f t="shared" ref="M6:M15" si="5">M5+L6</f>
        <v>3.3333333333333333E-2</v>
      </c>
    </row>
    <row r="7" spans="1:13" x14ac:dyDescent="0.25">
      <c r="B7" s="12">
        <v>45369</v>
      </c>
      <c r="C7" s="18">
        <v>228</v>
      </c>
      <c r="D7" s="54">
        <f t="shared" si="0"/>
        <v>5.0691244239631228E-2</v>
      </c>
      <c r="H7" s="68">
        <f>$I$19-1.2*$I$23</f>
        <v>-0.11676451749017966</v>
      </c>
      <c r="I7" s="69">
        <f t="shared" si="2"/>
        <v>-0.11676451749017966</v>
      </c>
      <c r="J7" s="70">
        <f t="shared" si="3"/>
        <v>9</v>
      </c>
      <c r="K7" s="71" t="str">
        <f t="shared" si="1"/>
        <v>-17,76% to -11,68%</v>
      </c>
      <c r="L7" s="72">
        <f t="shared" si="4"/>
        <v>0.06</v>
      </c>
      <c r="M7" s="73">
        <f>M6+L7</f>
        <v>9.3333333333333324E-2</v>
      </c>
    </row>
    <row r="8" spans="1:13" x14ac:dyDescent="0.25">
      <c r="B8" s="12">
        <v>45362</v>
      </c>
      <c r="C8" s="18">
        <v>217</v>
      </c>
      <c r="D8" s="54">
        <f t="shared" si="0"/>
        <v>-1.5649793816962521E-2</v>
      </c>
      <c r="H8" s="68">
        <f>$I$19-0.6*$I$23</f>
        <v>-5.5921504977065453E-2</v>
      </c>
      <c r="I8" s="69">
        <f t="shared" si="2"/>
        <v>-5.5921504977065453E-2</v>
      </c>
      <c r="J8" s="70">
        <f t="shared" si="3"/>
        <v>24</v>
      </c>
      <c r="K8" s="71" t="str">
        <f t="shared" si="1"/>
        <v>-11,68% to -5,59%</v>
      </c>
      <c r="L8" s="72">
        <f t="shared" si="4"/>
        <v>0.16</v>
      </c>
      <c r="M8" s="73">
        <f t="shared" si="5"/>
        <v>0.2533333333333333</v>
      </c>
    </row>
    <row r="9" spans="1:13" x14ac:dyDescent="0.25">
      <c r="B9" s="12">
        <v>45355</v>
      </c>
      <c r="C9" s="18">
        <v>220.449997</v>
      </c>
      <c r="D9" s="54">
        <f t="shared" si="0"/>
        <v>-3.6999829958062502E-2</v>
      </c>
      <c r="H9" s="68">
        <f>$I$19</f>
        <v>4.9215075360487543E-3</v>
      </c>
      <c r="I9" s="69">
        <f t="shared" si="2"/>
        <v>4.9215075360487543E-3</v>
      </c>
      <c r="J9" s="70">
        <f t="shared" si="3"/>
        <v>37</v>
      </c>
      <c r="K9" s="71" t="str">
        <f t="shared" si="1"/>
        <v>-5,59% to 0,49%</v>
      </c>
      <c r="L9" s="72">
        <f t="shared" si="4"/>
        <v>0.24666666666666667</v>
      </c>
      <c r="M9" s="73">
        <f t="shared" si="5"/>
        <v>0.5</v>
      </c>
    </row>
    <row r="10" spans="1:13" x14ac:dyDescent="0.25">
      <c r="B10" s="12">
        <v>45348</v>
      </c>
      <c r="C10" s="18">
        <v>228.91999799999999</v>
      </c>
      <c r="D10" s="54">
        <f t="shared" si="0"/>
        <v>0.10110632326425173</v>
      </c>
      <c r="H10" s="68">
        <f>$I$19+0.6*$I$23</f>
        <v>6.5764520049162958E-2</v>
      </c>
      <c r="I10" s="69">
        <f t="shared" si="2"/>
        <v>6.5764520049162958E-2</v>
      </c>
      <c r="J10" s="70">
        <f t="shared" si="3"/>
        <v>42</v>
      </c>
      <c r="K10" s="71" t="str">
        <f t="shared" si="1"/>
        <v>0,49% to 6,58%</v>
      </c>
      <c r="L10" s="72">
        <f t="shared" si="4"/>
        <v>0.28000000000000003</v>
      </c>
      <c r="M10" s="73">
        <f t="shared" si="5"/>
        <v>0.78</v>
      </c>
    </row>
    <row r="11" spans="1:13" x14ac:dyDescent="0.25">
      <c r="B11" s="12">
        <v>45341</v>
      </c>
      <c r="C11" s="18">
        <v>207.89999399999999</v>
      </c>
      <c r="D11" s="54">
        <f t="shared" si="0"/>
        <v>-7.7230398439009362E-2</v>
      </c>
      <c r="H11" s="68">
        <f>$I$19+1.2*$I$23</f>
        <v>0.12660753256227716</v>
      </c>
      <c r="I11" s="69">
        <f t="shared" si="2"/>
        <v>0.12660753256227716</v>
      </c>
      <c r="J11" s="70">
        <f t="shared" si="3"/>
        <v>19</v>
      </c>
      <c r="K11" s="71" t="str">
        <f t="shared" si="1"/>
        <v>6,58% to 12,66%</v>
      </c>
      <c r="L11" s="72">
        <f t="shared" si="4"/>
        <v>0.12666666666666668</v>
      </c>
      <c r="M11" s="73">
        <f t="shared" si="5"/>
        <v>0.90666666666666673</v>
      </c>
    </row>
    <row r="12" spans="1:13" x14ac:dyDescent="0.25">
      <c r="B12" s="12">
        <v>45334</v>
      </c>
      <c r="C12" s="18">
        <v>225.300003</v>
      </c>
      <c r="D12" s="54">
        <f t="shared" si="0"/>
        <v>-4.5015238597958862E-2</v>
      </c>
      <c r="H12" s="68">
        <f>$I$19+1.8*$I$23</f>
        <v>0.18745054507539138</v>
      </c>
      <c r="I12" s="69">
        <f t="shared" si="2"/>
        <v>0.18745054507539138</v>
      </c>
      <c r="J12" s="70">
        <f t="shared" si="3"/>
        <v>8</v>
      </c>
      <c r="K12" s="71" t="str">
        <f t="shared" si="1"/>
        <v>12,66% to 18,75%</v>
      </c>
      <c r="L12" s="72">
        <f t="shared" si="4"/>
        <v>5.3333333333333337E-2</v>
      </c>
      <c r="M12" s="73">
        <f t="shared" si="5"/>
        <v>0.96000000000000008</v>
      </c>
    </row>
    <row r="13" spans="1:13" x14ac:dyDescent="0.25">
      <c r="B13" s="12">
        <v>45327</v>
      </c>
      <c r="C13" s="18">
        <v>235.91999799999999</v>
      </c>
      <c r="D13" s="54">
        <f t="shared" si="0"/>
        <v>0.10212090163618504</v>
      </c>
      <c r="H13" s="68">
        <f>$I$19+2.4*$I$23</f>
        <v>0.24829355758850558</v>
      </c>
      <c r="I13" s="69">
        <f t="shared" si="2"/>
        <v>0.24829355758850558</v>
      </c>
      <c r="J13" s="70">
        <f t="shared" si="3"/>
        <v>3</v>
      </c>
      <c r="K13" s="71" t="str">
        <f t="shared" si="1"/>
        <v>18,75% to 24,83%</v>
      </c>
      <c r="L13" s="72">
        <f t="shared" si="4"/>
        <v>0.02</v>
      </c>
      <c r="M13" s="73">
        <f t="shared" si="5"/>
        <v>0.98000000000000009</v>
      </c>
    </row>
    <row r="14" spans="1:13" x14ac:dyDescent="0.25">
      <c r="B14" s="12">
        <v>45320</v>
      </c>
      <c r="C14" s="18">
        <v>214.05999800000001</v>
      </c>
      <c r="D14" s="54">
        <f t="shared" si="0"/>
        <v>2.6026903464820395E-2</v>
      </c>
      <c r="H14" s="68">
        <f>$I$19+3*$I$23</f>
        <v>0.30913657010161982</v>
      </c>
      <c r="I14" s="69">
        <f t="shared" si="2"/>
        <v>0.30913657010161982</v>
      </c>
      <c r="J14" s="70">
        <f t="shared" si="3"/>
        <v>1</v>
      </c>
      <c r="K14" s="71" t="str">
        <f t="shared" si="1"/>
        <v>24,83% to 30,91%</v>
      </c>
      <c r="L14" s="72">
        <f t="shared" si="4"/>
        <v>6.6666666666666671E-3</v>
      </c>
      <c r="M14" s="73">
        <f t="shared" si="5"/>
        <v>0.9866666666666668</v>
      </c>
    </row>
    <row r="15" spans="1:13" ht="15.75" thickBot="1" x14ac:dyDescent="0.3">
      <c r="B15" s="12">
        <v>45313</v>
      </c>
      <c r="C15" s="18">
        <v>208.63000500000001</v>
      </c>
      <c r="D15" s="54">
        <f t="shared" si="0"/>
        <v>6.6451973969943845E-2</v>
      </c>
      <c r="H15" s="74"/>
      <c r="I15" s="75" t="s">
        <v>165</v>
      </c>
      <c r="J15" s="75">
        <f>COUNTIF(D:D,"&gt;"&amp;H14)</f>
        <v>2</v>
      </c>
      <c r="K15" s="75" t="str">
        <f>"Greater than "&amp;TEXT(H14,"0,00%")</f>
        <v>Greater than 30,91%</v>
      </c>
      <c r="L15" s="76">
        <f t="shared" si="4"/>
        <v>1.3333333333333334E-2</v>
      </c>
      <c r="M15" s="76">
        <f t="shared" si="5"/>
        <v>1.0000000000000002</v>
      </c>
    </row>
    <row r="16" spans="1:13" ht="15.75" thickBot="1" x14ac:dyDescent="0.3">
      <c r="B16" s="12">
        <v>45306</v>
      </c>
      <c r="C16" s="18">
        <v>195.63000500000001</v>
      </c>
      <c r="D16" s="54">
        <f t="shared" si="0"/>
        <v>2.5798321112745937E-2</v>
      </c>
      <c r="H16" s="77"/>
      <c r="M16" s="78"/>
    </row>
    <row r="17" spans="2:13" x14ac:dyDescent="0.25">
      <c r="B17" s="12">
        <v>45299</v>
      </c>
      <c r="C17" s="18">
        <v>190.71000699999999</v>
      </c>
      <c r="D17" s="54">
        <f t="shared" si="0"/>
        <v>7.8737567459488345E-2</v>
      </c>
      <c r="H17" s="120" t="s">
        <v>166</v>
      </c>
      <c r="I17" s="121"/>
      <c r="M17" s="78"/>
    </row>
    <row r="18" spans="2:13" x14ac:dyDescent="0.25">
      <c r="B18" s="12">
        <v>45292</v>
      </c>
      <c r="C18" s="18">
        <v>176.78999300000001</v>
      </c>
      <c r="D18" s="54">
        <f t="shared" si="0"/>
        <v>-5.8676349062098399E-2</v>
      </c>
      <c r="H18" s="122"/>
      <c r="I18" s="123"/>
      <c r="M18" s="78"/>
    </row>
    <row r="19" spans="2:13" x14ac:dyDescent="0.25">
      <c r="B19" s="12">
        <v>45285</v>
      </c>
      <c r="C19" s="18">
        <v>187.80999800000001</v>
      </c>
      <c r="D19" s="54">
        <f t="shared" si="0"/>
        <v>-8.7090094956028263E-3</v>
      </c>
      <c r="H19" s="79" t="s">
        <v>167</v>
      </c>
      <c r="I19" s="114">
        <f>AVERAGE(D:D)</f>
        <v>4.9215075360487543E-3</v>
      </c>
      <c r="M19" s="78"/>
    </row>
    <row r="20" spans="2:13" x14ac:dyDescent="0.25">
      <c r="B20" s="12">
        <v>45278</v>
      </c>
      <c r="C20" s="18">
        <v>189.46000699999999</v>
      </c>
      <c r="D20" s="54">
        <f t="shared" si="0"/>
        <v>2.0627280137561765E-3</v>
      </c>
      <c r="H20" s="79" t="s">
        <v>168</v>
      </c>
      <c r="I20" s="114">
        <f>_xlfn.STDEV.S(D:D)/SQRT(COUNT(D:D))</f>
        <v>8.2796852817167681E-3</v>
      </c>
      <c r="M20" s="78"/>
    </row>
    <row r="21" spans="2:13" x14ac:dyDescent="0.25">
      <c r="B21" s="12">
        <v>45271</v>
      </c>
      <c r="C21" s="18">
        <v>189.070007</v>
      </c>
      <c r="D21" s="54">
        <f t="shared" si="0"/>
        <v>8.0214866481259639E-2</v>
      </c>
      <c r="H21" s="79" t="s">
        <v>169</v>
      </c>
      <c r="I21" s="114">
        <f>MEDIAN(D:D)</f>
        <v>4.6071114441967875E-3</v>
      </c>
      <c r="M21" s="78"/>
    </row>
    <row r="22" spans="2:13" x14ac:dyDescent="0.25">
      <c r="B22" s="12">
        <v>45264</v>
      </c>
      <c r="C22" s="18">
        <v>175.029999</v>
      </c>
      <c r="D22" s="54">
        <f t="shared" si="0"/>
        <v>-7.5976415376095563E-3</v>
      </c>
      <c r="H22" s="79" t="s">
        <v>170</v>
      </c>
      <c r="I22" s="114" t="e">
        <f>MODE(D:D)</f>
        <v>#N/A</v>
      </c>
      <c r="M22" s="78"/>
    </row>
    <row r="23" spans="2:13" x14ac:dyDescent="0.25">
      <c r="B23" s="12">
        <v>45257</v>
      </c>
      <c r="C23" s="18">
        <v>176.36999499999999</v>
      </c>
      <c r="D23" s="54">
        <f t="shared" si="0"/>
        <v>7.5406568259241968E-3</v>
      </c>
      <c r="H23" s="79" t="s">
        <v>171</v>
      </c>
      <c r="I23" s="114">
        <f>_xlfn.STDEV.S(D:D)</f>
        <v>0.10140502085519035</v>
      </c>
      <c r="M23" s="78"/>
    </row>
    <row r="24" spans="2:13" x14ac:dyDescent="0.25">
      <c r="B24" s="12">
        <v>45250</v>
      </c>
      <c r="C24" s="18">
        <v>175.050003</v>
      </c>
      <c r="D24" s="54">
        <f t="shared" si="0"/>
        <v>3.1526258659863249E-2</v>
      </c>
      <c r="H24" s="79" t="s">
        <v>172</v>
      </c>
      <c r="I24" s="114">
        <f>_xlfn.VAR.S(D:D)</f>
        <v>1.0282978254641591E-2</v>
      </c>
      <c r="M24" s="78"/>
    </row>
    <row r="25" spans="2:13" x14ac:dyDescent="0.25">
      <c r="B25" s="12">
        <v>45243</v>
      </c>
      <c r="C25" s="18">
        <v>169.699997</v>
      </c>
      <c r="D25" s="54">
        <f t="shared" si="0"/>
        <v>0.21110478914875785</v>
      </c>
      <c r="H25" s="79" t="s">
        <v>173</v>
      </c>
      <c r="I25" s="115">
        <f>KURT(D:D)</f>
        <v>1.5661200667339727</v>
      </c>
      <c r="M25" s="78"/>
    </row>
    <row r="26" spans="2:13" x14ac:dyDescent="0.25">
      <c r="B26" s="12">
        <v>45236</v>
      </c>
      <c r="C26" s="18">
        <v>140.11999499999999</v>
      </c>
      <c r="D26" s="54">
        <f t="shared" si="0"/>
        <v>6.1836826062005246E-2</v>
      </c>
      <c r="H26" s="79" t="s">
        <v>174</v>
      </c>
      <c r="I26" s="115">
        <f>SKEW(D:D)</f>
        <v>0.53352625699346223</v>
      </c>
      <c r="M26" s="78"/>
    </row>
    <row r="27" spans="2:13" x14ac:dyDescent="0.25">
      <c r="B27" s="12">
        <v>45229</v>
      </c>
      <c r="C27" s="18">
        <v>131.96000699999999</v>
      </c>
      <c r="D27" s="54">
        <f t="shared" si="0"/>
        <v>2.1046130414495101E-2</v>
      </c>
      <c r="H27" s="79" t="s">
        <v>162</v>
      </c>
      <c r="I27" s="114">
        <f>I29-I28</f>
        <v>0.64261673853228041</v>
      </c>
      <c r="M27" s="78"/>
    </row>
    <row r="28" spans="2:13" x14ac:dyDescent="0.25">
      <c r="B28" s="12">
        <v>45222</v>
      </c>
      <c r="C28" s="18">
        <v>129.240005</v>
      </c>
      <c r="D28" s="54">
        <f t="shared" si="0"/>
        <v>-2.0983183886947421E-2</v>
      </c>
      <c r="H28" s="79" t="s">
        <v>175</v>
      </c>
      <c r="I28" s="114">
        <f>MIN(D:D)</f>
        <v>-0.24576270941784439</v>
      </c>
      <c r="M28" s="78"/>
    </row>
    <row r="29" spans="2:13" x14ac:dyDescent="0.25">
      <c r="B29" s="12">
        <v>45215</v>
      </c>
      <c r="C29" s="18">
        <v>132.009995</v>
      </c>
      <c r="D29" s="54">
        <f t="shared" si="0"/>
        <v>-5.7609986327670115E-2</v>
      </c>
      <c r="H29" s="79" t="s">
        <v>176</v>
      </c>
      <c r="I29" s="114">
        <f>MAX(D:D)</f>
        <v>0.39685402911443601</v>
      </c>
      <c r="M29" s="78"/>
    </row>
    <row r="30" spans="2:13" x14ac:dyDescent="0.25">
      <c r="B30" s="12">
        <v>45208</v>
      </c>
      <c r="C30" s="18">
        <v>140.08000200000001</v>
      </c>
      <c r="D30" s="54">
        <f t="shared" si="0"/>
        <v>-0.11688307643686402</v>
      </c>
      <c r="H30" s="79" t="s">
        <v>177</v>
      </c>
      <c r="I30" s="115">
        <f>SUM(D:D)</f>
        <v>0.73822613040731311</v>
      </c>
      <c r="M30" s="78"/>
    </row>
    <row r="31" spans="2:13" ht="15.75" thickBot="1" x14ac:dyDescent="0.3">
      <c r="B31" s="12">
        <v>45201</v>
      </c>
      <c r="C31" s="18">
        <v>158.61999499999999</v>
      </c>
      <c r="D31" s="54">
        <f t="shared" si="0"/>
        <v>-3.7684084677276353E-3</v>
      </c>
      <c r="H31" s="80" t="s">
        <v>178</v>
      </c>
      <c r="I31" s="116">
        <f>COUNT(D:D)</f>
        <v>150</v>
      </c>
      <c r="M31" s="78"/>
    </row>
    <row r="32" spans="2:13" ht="15.75" thickBot="1" x14ac:dyDescent="0.3">
      <c r="B32" s="12">
        <v>45194</v>
      </c>
      <c r="C32" s="18">
        <v>159.220001</v>
      </c>
      <c r="D32" s="54">
        <f t="shared" si="0"/>
        <v>1.4140133757961859E-2</v>
      </c>
      <c r="H32" s="81"/>
      <c r="M32" s="78"/>
    </row>
    <row r="33" spans="2:13" x14ac:dyDescent="0.25">
      <c r="B33" s="12">
        <v>45187</v>
      </c>
      <c r="C33" s="18">
        <v>157</v>
      </c>
      <c r="D33" s="54">
        <f t="shared" si="0"/>
        <v>-3.9050096736133688E-2</v>
      </c>
      <c r="H33" s="82"/>
      <c r="I33" s="83" t="s">
        <v>179</v>
      </c>
      <c r="J33" s="83" t="s">
        <v>178</v>
      </c>
      <c r="K33" s="83" t="s">
        <v>180</v>
      </c>
      <c r="L33" s="84" t="s">
        <v>181</v>
      </c>
      <c r="M33" s="78"/>
    </row>
    <row r="34" spans="2:13" x14ac:dyDescent="0.25">
      <c r="B34" s="12">
        <v>45180</v>
      </c>
      <c r="C34" s="18">
        <v>163.38000500000001</v>
      </c>
      <c r="D34" s="54">
        <f t="shared" si="0"/>
        <v>-4.5677524164909777E-2</v>
      </c>
      <c r="H34" s="85" t="s">
        <v>182</v>
      </c>
      <c r="I34" s="72">
        <f>AVERAGEIF(D:D,"&gt;0")</f>
        <v>7.5259194491714337E-2</v>
      </c>
      <c r="J34" s="70">
        <f>COUNTIF(D:D,"&gt;0")</f>
        <v>79</v>
      </c>
      <c r="K34" s="72">
        <f>J34/$I$31</f>
        <v>0.52666666666666662</v>
      </c>
      <c r="L34" s="73">
        <f>K34*I34</f>
        <v>3.9636509098969548E-2</v>
      </c>
      <c r="M34" s="78"/>
    </row>
    <row r="35" spans="2:13" x14ac:dyDescent="0.25">
      <c r="B35" s="12">
        <v>45173</v>
      </c>
      <c r="C35" s="18">
        <v>171.199997</v>
      </c>
      <c r="D35" s="54">
        <f t="shared" si="0"/>
        <v>-3.0522674681979223E-2</v>
      </c>
      <c r="H35" s="85" t="s">
        <v>183</v>
      </c>
      <c r="I35" s="72">
        <f>AVERAGEIF(D:D,"&lt;0")</f>
        <v>-7.3341552597719989E-2</v>
      </c>
      <c r="J35" s="70">
        <f>COUNTIF(D:D,"&lt;0")</f>
        <v>71</v>
      </c>
      <c r="K35" s="72">
        <f>J35/$I$31</f>
        <v>0.47333333333333333</v>
      </c>
      <c r="L35" s="73">
        <f t="shared" ref="L35:L36" si="6">K35*I35</f>
        <v>-3.4715001562920796E-2</v>
      </c>
      <c r="M35" s="78"/>
    </row>
    <row r="36" spans="2:13" ht="15.75" thickBot="1" x14ac:dyDescent="0.3">
      <c r="B36" s="12">
        <v>45166</v>
      </c>
      <c r="C36" s="18">
        <v>176.58999600000001</v>
      </c>
      <c r="D36" s="54">
        <f t="shared" si="0"/>
        <v>4.3737773583098827E-2</v>
      </c>
      <c r="H36" s="86" t="s">
        <v>184</v>
      </c>
      <c r="I36" s="75">
        <v>0</v>
      </c>
      <c r="J36" s="75">
        <f>COUNTIF(D:D,"0")</f>
        <v>0</v>
      </c>
      <c r="K36" s="87">
        <f>J36/$I$31</f>
        <v>0</v>
      </c>
      <c r="L36" s="76">
        <f t="shared" si="6"/>
        <v>0</v>
      </c>
      <c r="M36" s="78"/>
    </row>
    <row r="37" spans="2:13" ht="15.75" thickBot="1" x14ac:dyDescent="0.3">
      <c r="B37" s="12">
        <v>45159</v>
      </c>
      <c r="C37" s="18">
        <v>169.19000199999999</v>
      </c>
      <c r="D37" s="54">
        <f t="shared" si="0"/>
        <v>5.0412830738872483E-2</v>
      </c>
      <c r="H37" s="81"/>
      <c r="I37" s="88"/>
      <c r="J37" s="88"/>
      <c r="K37" s="88"/>
      <c r="L37" s="88"/>
      <c r="M37" s="78"/>
    </row>
    <row r="38" spans="2:13" x14ac:dyDescent="0.25">
      <c r="B38" s="12">
        <v>45152</v>
      </c>
      <c r="C38" s="18">
        <v>161.070007</v>
      </c>
      <c r="D38" s="54">
        <f t="shared" si="0"/>
        <v>3.3560133048258001E-2</v>
      </c>
      <c r="H38" s="63" t="s">
        <v>185</v>
      </c>
      <c r="I38" s="83" t="s">
        <v>186</v>
      </c>
      <c r="J38" s="83" t="s">
        <v>187</v>
      </c>
      <c r="K38" s="83" t="s">
        <v>188</v>
      </c>
      <c r="L38" s="83" t="s">
        <v>189</v>
      </c>
      <c r="M38" s="84" t="s">
        <v>190</v>
      </c>
    </row>
    <row r="39" spans="2:13" x14ac:dyDescent="0.25">
      <c r="B39" s="12">
        <v>45145</v>
      </c>
      <c r="C39" s="18">
        <v>155.83999600000001</v>
      </c>
      <c r="D39" s="54">
        <f t="shared" si="0"/>
        <v>-3.1989619479793063E-2</v>
      </c>
      <c r="H39" s="89">
        <v>1</v>
      </c>
      <c r="I39" s="72">
        <f>$I$19+($H39*$I$23)</f>
        <v>0.1063265283912391</v>
      </c>
      <c r="J39" s="72">
        <f>$I$19-($H39*$I$23)</f>
        <v>-9.6483513319141595E-2</v>
      </c>
      <c r="K39" s="70">
        <f>COUNTIFS(D:D,"&lt;"&amp;I39,D:D,"&gt;"&amp;J39)</f>
        <v>110</v>
      </c>
      <c r="L39" s="72">
        <f>K39/$I$31</f>
        <v>0.73333333333333328</v>
      </c>
      <c r="M39" s="73">
        <v>0.68269999999999997</v>
      </c>
    </row>
    <row r="40" spans="2:13" x14ac:dyDescent="0.25">
      <c r="B40" s="12">
        <v>45138</v>
      </c>
      <c r="C40" s="18">
        <v>160.990005</v>
      </c>
      <c r="D40" s="54">
        <f t="shared" si="0"/>
        <v>-0.10176862917521912</v>
      </c>
      <c r="H40" s="89">
        <v>2</v>
      </c>
      <c r="I40" s="72">
        <f>$I$19+($H40*$I$23)</f>
        <v>0.20773154924642945</v>
      </c>
      <c r="J40" s="72">
        <f>$I$19-($H40*$I$23)</f>
        <v>-0.19788853417433194</v>
      </c>
      <c r="K40" s="70">
        <f>COUNTIFS(D:D,"&lt;"&amp;I40,D:D,"&gt;"&amp;J40)</f>
        <v>141</v>
      </c>
      <c r="L40" s="72">
        <f>K40/$I$31</f>
        <v>0.94</v>
      </c>
      <c r="M40" s="73">
        <v>0.95450000000000002</v>
      </c>
    </row>
    <row r="41" spans="2:13" x14ac:dyDescent="0.25">
      <c r="B41" s="12">
        <v>45131</v>
      </c>
      <c r="C41" s="18">
        <v>179.229996</v>
      </c>
      <c r="D41" s="54">
        <f t="shared" si="0"/>
        <v>3.4695733548691043E-2</v>
      </c>
      <c r="H41" s="89">
        <v>3</v>
      </c>
      <c r="I41" s="72">
        <f>$I$19+($H41*$I$23)</f>
        <v>0.30913657010161982</v>
      </c>
      <c r="J41" s="72">
        <f>$I$19-($H41*$I$23)</f>
        <v>-0.29929355502952232</v>
      </c>
      <c r="K41" s="70">
        <f>COUNTIFS(D:D,"&lt;"&amp;I41,D:D,"&gt;"&amp;J41)</f>
        <v>148</v>
      </c>
      <c r="L41" s="72">
        <f>K41/$I$31</f>
        <v>0.98666666666666669</v>
      </c>
      <c r="M41" s="90">
        <v>0.99729999999999996</v>
      </c>
    </row>
    <row r="42" spans="2:13" ht="15.75" thickBot="1" x14ac:dyDescent="0.3">
      <c r="B42" s="12">
        <v>45124</v>
      </c>
      <c r="C42" s="18">
        <v>173.220001</v>
      </c>
      <c r="D42" s="54">
        <f t="shared" si="0"/>
        <v>-7.676426531581515E-3</v>
      </c>
      <c r="H42" s="68"/>
      <c r="M42" s="90"/>
    </row>
    <row r="43" spans="2:13" ht="15.75" thickBot="1" x14ac:dyDescent="0.3">
      <c r="B43" s="12">
        <v>45117</v>
      </c>
      <c r="C43" s="18">
        <v>174.55999800000001</v>
      </c>
      <c r="D43" s="54">
        <f t="shared" si="0"/>
        <v>7.8462850126882255E-2</v>
      </c>
      <c r="H43" s="124" t="s">
        <v>191</v>
      </c>
      <c r="I43" s="125"/>
      <c r="J43" s="125"/>
      <c r="K43" s="125"/>
      <c r="L43" s="125"/>
      <c r="M43" s="126"/>
    </row>
    <row r="44" spans="2:13" x14ac:dyDescent="0.25">
      <c r="B44" s="12">
        <v>45110</v>
      </c>
      <c r="C44" s="18">
        <v>161.86000100000001</v>
      </c>
      <c r="D44" s="54">
        <f t="shared" si="0"/>
        <v>-5.4666510602344842E-2</v>
      </c>
      <c r="H44" s="91">
        <v>0.01</v>
      </c>
      <c r="I44" s="92">
        <f t="shared" ref="I44:I58" si="7">_xlfn.PERCENTILE.INC(D:D,H44)</f>
        <v>-0.21728143418206292</v>
      </c>
      <c r="J44" s="93">
        <v>0.2</v>
      </c>
      <c r="K44" s="92">
        <f t="shared" ref="K44:K56" si="8">_xlfn.PERCENTILE.INC(D:D,J44)</f>
        <v>-6.7353114422406962E-2</v>
      </c>
      <c r="L44" s="93">
        <v>0.85</v>
      </c>
      <c r="M44" s="94">
        <f t="shared" ref="M44:M58" si="9">_xlfn.PERCENTILE.INC(D:D,L44)</f>
        <v>9.5265571975656646E-2</v>
      </c>
    </row>
    <row r="45" spans="2:13" x14ac:dyDescent="0.25">
      <c r="B45" s="12">
        <v>45103</v>
      </c>
      <c r="C45" s="18">
        <v>171.220001</v>
      </c>
      <c r="D45" s="54">
        <f t="shared" si="0"/>
        <v>1.0028297309384149E-2</v>
      </c>
      <c r="H45" s="95">
        <v>0.02</v>
      </c>
      <c r="I45" s="96">
        <f t="shared" si="7"/>
        <v>-0.1921140423757404</v>
      </c>
      <c r="J45" s="97">
        <v>0.25</v>
      </c>
      <c r="K45" s="96">
        <f t="shared" si="8"/>
        <v>-5.620622451747373E-2</v>
      </c>
      <c r="L45" s="97">
        <v>0.86</v>
      </c>
      <c r="M45" s="98">
        <f t="shared" si="9"/>
        <v>0.10124836423632237</v>
      </c>
    </row>
    <row r="46" spans="2:13" x14ac:dyDescent="0.25">
      <c r="B46" s="12">
        <v>45096</v>
      </c>
      <c r="C46" s="18">
        <v>169.520004</v>
      </c>
      <c r="D46" s="54">
        <f t="shared" si="0"/>
        <v>-5.1954555695481908E-2</v>
      </c>
      <c r="H46" s="95">
        <v>0.03</v>
      </c>
      <c r="I46" s="96">
        <f t="shared" si="7"/>
        <v>-0.18215598129918717</v>
      </c>
      <c r="J46" s="97">
        <v>0.3</v>
      </c>
      <c r="K46" s="96">
        <f t="shared" si="8"/>
        <v>-4.5349268763198301E-2</v>
      </c>
      <c r="L46" s="97">
        <v>0.87</v>
      </c>
      <c r="M46" s="98">
        <f t="shared" si="9"/>
        <v>0.10372768165929941</v>
      </c>
    </row>
    <row r="47" spans="2:13" x14ac:dyDescent="0.25">
      <c r="B47" s="12">
        <v>45089</v>
      </c>
      <c r="C47" s="18">
        <v>178.80999800000001</v>
      </c>
      <c r="D47" s="54">
        <f t="shared" si="0"/>
        <v>2.3408865479573882E-2</v>
      </c>
      <c r="H47" s="95">
        <v>0.04</v>
      </c>
      <c r="I47" s="96">
        <f t="shared" si="7"/>
        <v>-0.17186106978788865</v>
      </c>
      <c r="J47" s="97">
        <v>0.35</v>
      </c>
      <c r="K47" s="96">
        <f t="shared" si="8"/>
        <v>-2.976993111770658E-2</v>
      </c>
      <c r="L47" s="97">
        <v>0.88</v>
      </c>
      <c r="M47" s="98">
        <f t="shared" si="9"/>
        <v>0.10965719237104032</v>
      </c>
    </row>
    <row r="48" spans="2:13" x14ac:dyDescent="0.25">
      <c r="B48" s="12">
        <v>45082</v>
      </c>
      <c r="C48" s="18">
        <v>174.720001</v>
      </c>
      <c r="D48" s="54">
        <f t="shared" si="0"/>
        <v>-1.5999942857143346E-3</v>
      </c>
      <c r="H48" s="95">
        <v>0.05</v>
      </c>
      <c r="I48" s="96">
        <f t="shared" si="7"/>
        <v>-0.16196721016684931</v>
      </c>
      <c r="J48" s="97">
        <v>0.4</v>
      </c>
      <c r="K48" s="96">
        <f t="shared" si="8"/>
        <v>-1.4367674296328323E-2</v>
      </c>
      <c r="L48" s="97">
        <v>0.89</v>
      </c>
      <c r="M48" s="98">
        <f t="shared" si="9"/>
        <v>0.11509554299783335</v>
      </c>
    </row>
    <row r="49" spans="2:13" x14ac:dyDescent="0.25">
      <c r="B49" s="12">
        <v>45075</v>
      </c>
      <c r="C49" s="18">
        <v>175</v>
      </c>
      <c r="D49" s="54">
        <f t="shared" si="0"/>
        <v>4.6650736482967803E-2</v>
      </c>
      <c r="H49" s="95">
        <v>0.06</v>
      </c>
      <c r="I49" s="96">
        <f t="shared" si="7"/>
        <v>-0.14967110049247095</v>
      </c>
      <c r="J49" s="97">
        <v>0.45</v>
      </c>
      <c r="K49" s="96">
        <f t="shared" si="8"/>
        <v>-3.6599877586269763E-3</v>
      </c>
      <c r="L49" s="97">
        <v>0.9</v>
      </c>
      <c r="M49" s="98">
        <f t="shared" si="9"/>
        <v>0.11668665628971416</v>
      </c>
    </row>
    <row r="50" spans="2:13" x14ac:dyDescent="0.25">
      <c r="B50" s="12">
        <v>45068</v>
      </c>
      <c r="C50" s="18">
        <v>167.199997</v>
      </c>
      <c r="D50" s="54">
        <f t="shared" si="0"/>
        <v>0.11630389982844092</v>
      </c>
      <c r="H50" s="95">
        <v>7.0000000000000007E-2</v>
      </c>
      <c r="I50" s="96">
        <f t="shared" si="7"/>
        <v>-0.13475325137988969</v>
      </c>
      <c r="J50" s="97">
        <v>0.5</v>
      </c>
      <c r="K50" s="96">
        <f t="shared" si="8"/>
        <v>4.6071114441967875E-3</v>
      </c>
      <c r="L50" s="97">
        <v>0.91</v>
      </c>
      <c r="M50" s="98">
        <f t="shared" si="9"/>
        <v>0.12321298649192654</v>
      </c>
    </row>
    <row r="51" spans="2:13" x14ac:dyDescent="0.25">
      <c r="B51" s="12">
        <v>45061</v>
      </c>
      <c r="C51" s="18">
        <v>149.779999</v>
      </c>
      <c r="D51" s="54">
        <f t="shared" si="0"/>
        <v>0.14248659149565568</v>
      </c>
      <c r="H51" s="95">
        <v>0.08</v>
      </c>
      <c r="I51" s="96">
        <f t="shared" si="7"/>
        <v>-0.11814904983411739</v>
      </c>
      <c r="J51" s="97">
        <v>0.55000000000000004</v>
      </c>
      <c r="K51" s="96">
        <f t="shared" si="8"/>
        <v>1.0376097785862393E-2</v>
      </c>
      <c r="L51" s="97">
        <v>0.92</v>
      </c>
      <c r="M51" s="98">
        <f t="shared" si="9"/>
        <v>0.14338616925063022</v>
      </c>
    </row>
    <row r="52" spans="2:13" x14ac:dyDescent="0.25">
      <c r="B52" s="12">
        <v>45054</v>
      </c>
      <c r="C52" s="18">
        <v>131.10000600000001</v>
      </c>
      <c r="D52" s="54">
        <f t="shared" si="0"/>
        <v>0.1277419870967742</v>
      </c>
      <c r="H52" s="95">
        <v>0.09</v>
      </c>
      <c r="I52" s="96">
        <f t="shared" si="7"/>
        <v>-0.11443093953817206</v>
      </c>
      <c r="J52" s="97">
        <v>0.6</v>
      </c>
      <c r="K52" s="96">
        <f t="shared" si="8"/>
        <v>1.799720841593843E-2</v>
      </c>
      <c r="L52" s="97">
        <v>0.93</v>
      </c>
      <c r="M52" s="98">
        <f t="shared" si="9"/>
        <v>0.16139418292696572</v>
      </c>
    </row>
    <row r="53" spans="2:13" x14ac:dyDescent="0.25">
      <c r="B53" s="12">
        <v>45047</v>
      </c>
      <c r="C53" s="18">
        <v>116.25</v>
      </c>
      <c r="D53" s="54">
        <f t="shared" si="0"/>
        <v>-4.6505889870503525E-2</v>
      </c>
      <c r="H53" s="95">
        <v>0.1</v>
      </c>
      <c r="I53" s="96">
        <f t="shared" si="7"/>
        <v>-0.11037763903524136</v>
      </c>
      <c r="J53" s="97">
        <v>0.65</v>
      </c>
      <c r="K53" s="96">
        <f t="shared" si="8"/>
        <v>2.5992616112009228E-2</v>
      </c>
      <c r="L53" s="97">
        <v>0.94</v>
      </c>
      <c r="M53" s="98">
        <f t="shared" si="9"/>
        <v>0.17375485880242725</v>
      </c>
    </row>
    <row r="54" spans="2:13" x14ac:dyDescent="0.25">
      <c r="B54" s="12">
        <v>45040</v>
      </c>
      <c r="C54" s="18">
        <v>121.91999800000001</v>
      </c>
      <c r="D54" s="54">
        <f t="shared" si="0"/>
        <v>-6.4456787513831215E-2</v>
      </c>
      <c r="H54" s="95">
        <v>0.11</v>
      </c>
      <c r="I54" s="96">
        <f t="shared" si="7"/>
        <v>-0.10872888178319928</v>
      </c>
      <c r="J54" s="97">
        <v>0.7</v>
      </c>
      <c r="K54" s="96">
        <f t="shared" si="8"/>
        <v>4.2550615575621759E-2</v>
      </c>
      <c r="L54" s="97">
        <v>0.95</v>
      </c>
      <c r="M54" s="98">
        <f t="shared" si="9"/>
        <v>0.17589320109779533</v>
      </c>
    </row>
    <row r="55" spans="2:13" x14ac:dyDescent="0.25">
      <c r="B55" s="12">
        <v>45033</v>
      </c>
      <c r="C55" s="18">
        <v>130.320007</v>
      </c>
      <c r="D55" s="54">
        <f t="shared" si="0"/>
        <v>-4.5828827464540201E-3</v>
      </c>
      <c r="H55" s="95">
        <v>0.12</v>
      </c>
      <c r="I55" s="96">
        <f t="shared" si="7"/>
        <v>-0.10417902056122498</v>
      </c>
      <c r="J55" s="97">
        <v>0.75</v>
      </c>
      <c r="K55" s="96">
        <f t="shared" si="8"/>
        <v>5.1478487483061941E-2</v>
      </c>
      <c r="L55" s="97">
        <v>0.96</v>
      </c>
      <c r="M55" s="98">
        <f t="shared" si="9"/>
        <v>0.18642646696418014</v>
      </c>
    </row>
    <row r="56" spans="2:13" x14ac:dyDescent="0.25">
      <c r="B56" s="12">
        <v>45026</v>
      </c>
      <c r="C56" s="18">
        <v>130.91999799999999</v>
      </c>
      <c r="D56" s="54">
        <f t="shared" si="0"/>
        <v>-2.2036282290142761E-2</v>
      </c>
      <c r="H56" s="95">
        <v>0.13</v>
      </c>
      <c r="I56" s="96">
        <f t="shared" si="7"/>
        <v>-0.10185499262705529</v>
      </c>
      <c r="J56" s="97">
        <v>0.8</v>
      </c>
      <c r="K56" s="96">
        <f t="shared" si="8"/>
        <v>7.5680249292055024E-2</v>
      </c>
      <c r="L56" s="97">
        <v>0.97</v>
      </c>
      <c r="M56" s="98">
        <f t="shared" si="9"/>
        <v>0.22016372637341972</v>
      </c>
    </row>
    <row r="57" spans="2:13" x14ac:dyDescent="0.25">
      <c r="B57" s="12">
        <v>45019</v>
      </c>
      <c r="C57" s="18">
        <v>133.86999499999999</v>
      </c>
      <c r="D57" s="54">
        <f t="shared" si="0"/>
        <v>-6.2206690017513222E-2</v>
      </c>
      <c r="H57" s="95">
        <v>0.14000000000000001</v>
      </c>
      <c r="I57" s="96">
        <f t="shared" si="7"/>
        <v>-9.4110244010921912E-2</v>
      </c>
      <c r="J57" s="97"/>
      <c r="K57" s="96"/>
      <c r="L57" s="97">
        <v>0.98</v>
      </c>
      <c r="M57" s="98">
        <f t="shared" si="9"/>
        <v>0.24451695530154785</v>
      </c>
    </row>
    <row r="58" spans="2:13" ht="15.75" thickBot="1" x14ac:dyDescent="0.3">
      <c r="B58" s="12">
        <v>45012</v>
      </c>
      <c r="C58" s="18">
        <v>142.75</v>
      </c>
      <c r="D58" s="54">
        <f t="shared" si="0"/>
        <v>5.1255669480740007E-2</v>
      </c>
      <c r="H58" s="99">
        <v>0.15</v>
      </c>
      <c r="I58" s="100">
        <f t="shared" si="7"/>
        <v>-8.95937009732138E-2</v>
      </c>
      <c r="J58" s="101"/>
      <c r="K58" s="102"/>
      <c r="L58" s="103">
        <v>0.99</v>
      </c>
      <c r="M58" s="104">
        <f t="shared" si="9"/>
        <v>0.28494122636306279</v>
      </c>
    </row>
    <row r="59" spans="2:13" ht="15.75" thickBot="1" x14ac:dyDescent="0.3">
      <c r="B59" s="12">
        <v>45005</v>
      </c>
      <c r="C59" s="18">
        <v>135.78999300000001</v>
      </c>
      <c r="D59" s="54">
        <f t="shared" si="0"/>
        <v>1.4722692355539913E-4</v>
      </c>
    </row>
    <row r="60" spans="2:13" x14ac:dyDescent="0.25">
      <c r="B60" s="12">
        <v>44998</v>
      </c>
      <c r="C60" s="18">
        <v>135.770004</v>
      </c>
      <c r="D60" s="54">
        <f t="shared" si="0"/>
        <v>4.882199417895694E-2</v>
      </c>
      <c r="H60" s="105" t="s">
        <v>192</v>
      </c>
      <c r="I60" s="106">
        <v>-0.08</v>
      </c>
    </row>
    <row r="61" spans="2:13" ht="15.75" thickBot="1" x14ac:dyDescent="0.3">
      <c r="B61" s="12">
        <v>44991</v>
      </c>
      <c r="C61" s="18">
        <v>129.449997</v>
      </c>
      <c r="D61" s="54">
        <f t="shared" si="0"/>
        <v>-0.17167905152085394</v>
      </c>
      <c r="H61" s="107" t="s">
        <v>193</v>
      </c>
      <c r="I61" s="108">
        <v>-0.24</v>
      </c>
    </row>
    <row r="62" spans="2:13" ht="15.75" thickBot="1" x14ac:dyDescent="0.3">
      <c r="B62" s="12">
        <v>44984</v>
      </c>
      <c r="C62" s="18">
        <v>156.279999</v>
      </c>
      <c r="D62" s="54">
        <f t="shared" si="0"/>
        <v>1.0213329221977929E-2</v>
      </c>
      <c r="H62" s="109"/>
    </row>
    <row r="63" spans="2:13" x14ac:dyDescent="0.25">
      <c r="B63" s="12">
        <v>44977</v>
      </c>
      <c r="C63" s="18">
        <v>154.699997</v>
      </c>
      <c r="D63" s="54">
        <f t="shared" si="0"/>
        <v>1.0384664552382628E-2</v>
      </c>
      <c r="H63" s="105" t="s">
        <v>194</v>
      </c>
      <c r="I63" s="110">
        <v>200</v>
      </c>
    </row>
    <row r="64" spans="2:13" x14ac:dyDescent="0.25">
      <c r="B64" s="12">
        <v>44970</v>
      </c>
      <c r="C64" s="18">
        <v>153.11000100000001</v>
      </c>
      <c r="D64" s="54">
        <f t="shared" si="0"/>
        <v>0.16717494412429201</v>
      </c>
      <c r="H64" s="111" t="s">
        <v>195</v>
      </c>
      <c r="I64" s="112">
        <f>I63*(1-I60)</f>
        <v>216</v>
      </c>
    </row>
    <row r="65" spans="2:9" ht="15.75" thickBot="1" x14ac:dyDescent="0.3">
      <c r="B65" s="12">
        <v>44963</v>
      </c>
      <c r="C65" s="18">
        <v>131.179993</v>
      </c>
      <c r="D65" s="54">
        <f t="shared" si="0"/>
        <v>-6.8390065597472738E-2</v>
      </c>
      <c r="H65" s="107" t="s">
        <v>196</v>
      </c>
      <c r="I65" s="113">
        <f>I63*(1+I61)</f>
        <v>152</v>
      </c>
    </row>
    <row r="66" spans="2:9" x14ac:dyDescent="0.25">
      <c r="B66" s="12">
        <v>44956</v>
      </c>
      <c r="C66" s="18">
        <v>140.80999800000001</v>
      </c>
      <c r="D66" s="54">
        <f t="shared" si="0"/>
        <v>8.5324437901786787E-2</v>
      </c>
    </row>
    <row r="67" spans="2:9" x14ac:dyDescent="0.25">
      <c r="B67" s="12">
        <v>44949</v>
      </c>
      <c r="C67" s="18">
        <v>129.740005</v>
      </c>
      <c r="D67" s="54">
        <f t="shared" ref="D67:D130" si="10">C67/C68-1</f>
        <v>0.1091733255606282</v>
      </c>
    </row>
    <row r="68" spans="2:9" x14ac:dyDescent="0.25">
      <c r="B68" s="12">
        <v>44942</v>
      </c>
      <c r="C68" s="18">
        <v>116.970001</v>
      </c>
      <c r="D68" s="54">
        <f t="shared" si="10"/>
        <v>8.7969299386871924E-3</v>
      </c>
    </row>
    <row r="69" spans="2:9" x14ac:dyDescent="0.25">
      <c r="B69" s="12">
        <v>44935</v>
      </c>
      <c r="C69" s="18">
        <v>115.949997</v>
      </c>
      <c r="D69" s="54">
        <f t="shared" si="10"/>
        <v>0.15373131343283575</v>
      </c>
    </row>
    <row r="70" spans="2:9" x14ac:dyDescent="0.25">
      <c r="B70" s="12">
        <v>44928</v>
      </c>
      <c r="C70" s="18">
        <v>100.5</v>
      </c>
      <c r="D70" s="54">
        <f t="shared" si="10"/>
        <v>-0.17622950819672134</v>
      </c>
    </row>
    <row r="71" spans="2:9" x14ac:dyDescent="0.25">
      <c r="B71" s="12">
        <v>44921</v>
      </c>
      <c r="C71" s="18">
        <v>122</v>
      </c>
      <c r="D71" s="54">
        <f t="shared" si="10"/>
        <v>7.4984599083348202E-2</v>
      </c>
    </row>
    <row r="72" spans="2:9" x14ac:dyDescent="0.25">
      <c r="B72" s="12">
        <v>44914</v>
      </c>
      <c r="C72" s="18">
        <v>113.489998</v>
      </c>
      <c r="D72" s="54">
        <f t="shared" si="10"/>
        <v>-7.4608619329815884E-2</v>
      </c>
    </row>
    <row r="73" spans="2:9" x14ac:dyDescent="0.25">
      <c r="B73" s="12">
        <v>44907</v>
      </c>
      <c r="C73" s="18">
        <v>122.639999</v>
      </c>
      <c r="D73" s="54">
        <f t="shared" si="10"/>
        <v>0.11668565763766892</v>
      </c>
    </row>
    <row r="74" spans="2:9" x14ac:dyDescent="0.25">
      <c r="B74" s="12">
        <v>44900</v>
      </c>
      <c r="C74" s="18">
        <v>109.824997</v>
      </c>
      <c r="D74" s="54">
        <f t="shared" si="10"/>
        <v>1.6239446654945811E-2</v>
      </c>
    </row>
    <row r="75" spans="2:9" x14ac:dyDescent="0.25">
      <c r="B75" s="12">
        <v>44893</v>
      </c>
      <c r="C75" s="18">
        <v>108.07</v>
      </c>
      <c r="D75" s="54">
        <f t="shared" si="10"/>
        <v>0.10467134611731899</v>
      </c>
    </row>
    <row r="76" spans="2:9" x14ac:dyDescent="0.25">
      <c r="B76" s="12">
        <v>44886</v>
      </c>
      <c r="C76" s="18">
        <v>97.830001999999993</v>
      </c>
      <c r="D76" s="54">
        <f t="shared" si="10"/>
        <v>1.0953860006836624E-2</v>
      </c>
    </row>
    <row r="77" spans="2:9" x14ac:dyDescent="0.25">
      <c r="B77" s="12">
        <v>44879</v>
      </c>
      <c r="C77" s="18">
        <v>96.769997000000004</v>
      </c>
      <c r="D77" s="54">
        <f t="shared" si="10"/>
        <v>1.6598329307735415E-2</v>
      </c>
    </row>
    <row r="78" spans="2:9" x14ac:dyDescent="0.25">
      <c r="B78" s="12">
        <v>44872</v>
      </c>
      <c r="C78" s="18">
        <v>95.190002000000007</v>
      </c>
      <c r="D78" s="54">
        <f t="shared" si="10"/>
        <v>0.17533034140833048</v>
      </c>
    </row>
    <row r="79" spans="2:9" x14ac:dyDescent="0.25">
      <c r="B79" s="12">
        <v>44865</v>
      </c>
      <c r="C79" s="18">
        <v>80.989998</v>
      </c>
      <c r="D79" s="54">
        <f t="shared" si="10"/>
        <v>-0.24576270941784439</v>
      </c>
    </row>
    <row r="80" spans="2:9" x14ac:dyDescent="0.25">
      <c r="B80" s="12">
        <v>44858</v>
      </c>
      <c r="C80" s="18">
        <v>107.379997</v>
      </c>
      <c r="D80" s="54">
        <f t="shared" si="10"/>
        <v>7.89791020592574E-2</v>
      </c>
    </row>
    <row r="81" spans="2:4" x14ac:dyDescent="0.25">
      <c r="B81" s="12">
        <v>44851</v>
      </c>
      <c r="C81" s="18">
        <v>99.519997000000004</v>
      </c>
      <c r="D81" s="54">
        <f t="shared" si="10"/>
        <v>8.7769146087422589E-2</v>
      </c>
    </row>
    <row r="82" spans="2:4" x14ac:dyDescent="0.25">
      <c r="B82" s="12">
        <v>44844</v>
      </c>
      <c r="C82" s="18">
        <v>91.489998</v>
      </c>
      <c r="D82" s="54">
        <f t="shared" si="10"/>
        <v>-0.16240963574815614</v>
      </c>
    </row>
    <row r="83" spans="2:4" x14ac:dyDescent="0.25">
      <c r="B83" s="12">
        <v>44837</v>
      </c>
      <c r="C83" s="18">
        <v>109.230003</v>
      </c>
      <c r="D83" s="54">
        <f t="shared" si="10"/>
        <v>-3.6262512308541162E-2</v>
      </c>
    </row>
    <row r="84" spans="2:4" x14ac:dyDescent="0.25">
      <c r="B84" s="12">
        <v>44830</v>
      </c>
      <c r="C84" s="18">
        <v>113.339996</v>
      </c>
      <c r="D84" s="54">
        <f t="shared" si="10"/>
        <v>-5.0992246504228511E-2</v>
      </c>
    </row>
    <row r="85" spans="2:4" x14ac:dyDescent="0.25">
      <c r="B85" s="12">
        <v>44823</v>
      </c>
      <c r="C85" s="18">
        <v>119.43</v>
      </c>
      <c r="D85" s="54">
        <f t="shared" si="10"/>
        <v>-0.1038493553283002</v>
      </c>
    </row>
    <row r="86" spans="2:4" x14ac:dyDescent="0.25">
      <c r="B86" s="12">
        <v>44816</v>
      </c>
      <c r="C86" s="18">
        <v>133.270004</v>
      </c>
      <c r="D86" s="54">
        <f t="shared" si="10"/>
        <v>2.2479730626967287E-2</v>
      </c>
    </row>
    <row r="87" spans="2:4" x14ac:dyDescent="0.25">
      <c r="B87" s="12">
        <v>44809</v>
      </c>
      <c r="C87" s="18">
        <v>130.33999600000001</v>
      </c>
      <c r="D87" s="54">
        <f t="shared" si="10"/>
        <v>0.17635372266190297</v>
      </c>
    </row>
    <row r="88" spans="2:4" x14ac:dyDescent="0.25">
      <c r="B88" s="12">
        <v>44802</v>
      </c>
      <c r="C88" s="18">
        <v>110.800003</v>
      </c>
      <c r="D88" s="54">
        <f t="shared" si="10"/>
        <v>-6.0300235423620174E-2</v>
      </c>
    </row>
    <row r="89" spans="2:4" x14ac:dyDescent="0.25">
      <c r="B89" s="12">
        <v>44795</v>
      </c>
      <c r="C89" s="18">
        <v>117.910004</v>
      </c>
      <c r="D89" s="54">
        <f t="shared" si="10"/>
        <v>-6.7093876628640525E-2</v>
      </c>
    </row>
    <row r="90" spans="2:4" x14ac:dyDescent="0.25">
      <c r="B90" s="12">
        <v>44788</v>
      </c>
      <c r="C90" s="18">
        <v>126.389999</v>
      </c>
      <c r="D90" s="54">
        <f t="shared" si="10"/>
        <v>-7.8118209564483898E-2</v>
      </c>
    </row>
    <row r="91" spans="2:4" x14ac:dyDescent="0.25">
      <c r="B91" s="12">
        <v>44781</v>
      </c>
      <c r="C91" s="18">
        <v>137.10000600000001</v>
      </c>
      <c r="D91" s="54">
        <f t="shared" si="10"/>
        <v>7.2518218375683174E-2</v>
      </c>
    </row>
    <row r="92" spans="2:4" x14ac:dyDescent="0.25">
      <c r="B92" s="12">
        <v>44774</v>
      </c>
      <c r="C92" s="18">
        <v>127.83000199999999</v>
      </c>
      <c r="D92" s="54">
        <f t="shared" si="10"/>
        <v>0.24432977968471392</v>
      </c>
    </row>
    <row r="93" spans="2:4" x14ac:dyDescent="0.25">
      <c r="B93" s="12">
        <v>44767</v>
      </c>
      <c r="C93" s="18">
        <v>102.730003</v>
      </c>
      <c r="D93" s="54">
        <f t="shared" si="10"/>
        <v>-2.9193265294025217E-4</v>
      </c>
    </row>
    <row r="94" spans="2:4" x14ac:dyDescent="0.25">
      <c r="B94" s="12">
        <v>44760</v>
      </c>
      <c r="C94" s="18">
        <v>102.760002</v>
      </c>
      <c r="D94" s="54">
        <f t="shared" si="10"/>
        <v>0.1132055489807291</v>
      </c>
    </row>
    <row r="95" spans="2:4" x14ac:dyDescent="0.25">
      <c r="B95" s="12">
        <v>44753</v>
      </c>
      <c r="C95" s="18">
        <v>92.309997999999993</v>
      </c>
      <c r="D95" s="54">
        <f t="shared" si="10"/>
        <v>-0.19189358683637614</v>
      </c>
    </row>
    <row r="96" spans="2:4" x14ac:dyDescent="0.25">
      <c r="B96" s="12">
        <v>44746</v>
      </c>
      <c r="C96" s="18">
        <v>114.230003</v>
      </c>
      <c r="D96" s="54">
        <f t="shared" si="10"/>
        <v>5.0004613935061837E-2</v>
      </c>
    </row>
    <row r="97" spans="2:4" x14ac:dyDescent="0.25">
      <c r="B97" s="12">
        <v>44739</v>
      </c>
      <c r="C97" s="18">
        <v>108.790001</v>
      </c>
      <c r="D97" s="54">
        <f t="shared" si="10"/>
        <v>-0.11090225473273729</v>
      </c>
    </row>
    <row r="98" spans="2:4" x14ac:dyDescent="0.25">
      <c r="B98" s="12">
        <v>44732</v>
      </c>
      <c r="C98" s="18">
        <v>122.360001</v>
      </c>
      <c r="D98" s="54">
        <f t="shared" si="10"/>
        <v>0.25368856052640498</v>
      </c>
    </row>
    <row r="99" spans="2:4" x14ac:dyDescent="0.25">
      <c r="B99" s="12">
        <v>44725</v>
      </c>
      <c r="C99" s="18">
        <v>97.599997999999999</v>
      </c>
      <c r="D99" s="54">
        <f t="shared" si="10"/>
        <v>2.5680534682701595E-3</v>
      </c>
    </row>
    <row r="100" spans="2:4" x14ac:dyDescent="0.25">
      <c r="B100" s="12">
        <v>44718</v>
      </c>
      <c r="C100" s="18">
        <v>97.349997999999999</v>
      </c>
      <c r="D100" s="54">
        <f t="shared" si="10"/>
        <v>-0.16142646778969649</v>
      </c>
    </row>
    <row r="101" spans="2:4" x14ac:dyDescent="0.25">
      <c r="B101" s="12">
        <v>44711</v>
      </c>
      <c r="C101" s="18">
        <v>116.089996</v>
      </c>
      <c r="D101" s="54">
        <f t="shared" si="10"/>
        <v>9.3904354509966037E-3</v>
      </c>
    </row>
    <row r="102" spans="2:4" x14ac:dyDescent="0.25">
      <c r="B102" s="12">
        <v>44704</v>
      </c>
      <c r="C102" s="18">
        <v>115.010002</v>
      </c>
      <c r="D102" s="54">
        <f t="shared" si="10"/>
        <v>6.4759343609679387E-3</v>
      </c>
    </row>
    <row r="103" spans="2:4" x14ac:dyDescent="0.25">
      <c r="B103" s="12">
        <v>44697</v>
      </c>
      <c r="C103" s="18">
        <v>114.269997</v>
      </c>
      <c r="D103" s="54">
        <f t="shared" si="10"/>
        <v>3.5241892604871206E-2</v>
      </c>
    </row>
    <row r="104" spans="2:4" x14ac:dyDescent="0.25">
      <c r="B104" s="12">
        <v>44690</v>
      </c>
      <c r="C104" s="18">
        <v>110.379997</v>
      </c>
      <c r="D104" s="54">
        <f t="shared" si="10"/>
        <v>-0.10659656560267339</v>
      </c>
    </row>
    <row r="105" spans="2:4" x14ac:dyDescent="0.25">
      <c r="B105" s="12">
        <v>44683</v>
      </c>
      <c r="C105" s="18">
        <v>123.550003</v>
      </c>
      <c r="D105" s="54">
        <f t="shared" si="10"/>
        <v>-4.5208587876750528E-2</v>
      </c>
    </row>
    <row r="106" spans="2:4" x14ac:dyDescent="0.25">
      <c r="B106" s="12">
        <v>44676</v>
      </c>
      <c r="C106" s="18">
        <v>129.39999399999999</v>
      </c>
      <c r="D106" s="54">
        <f t="shared" si="10"/>
        <v>-5.9798086906993952E-2</v>
      </c>
    </row>
    <row r="107" spans="2:4" x14ac:dyDescent="0.25">
      <c r="B107" s="12">
        <v>44669</v>
      </c>
      <c r="C107" s="18">
        <v>137.63000500000001</v>
      </c>
      <c r="D107" s="54">
        <f t="shared" si="10"/>
        <v>3.3535540330038582E-3</v>
      </c>
    </row>
    <row r="108" spans="2:4" x14ac:dyDescent="0.25">
      <c r="B108" s="12">
        <v>44662</v>
      </c>
      <c r="C108" s="18">
        <v>137.16999799999999</v>
      </c>
      <c r="D108" s="54">
        <f t="shared" si="10"/>
        <v>-2.5504384253494883E-2</v>
      </c>
    </row>
    <row r="109" spans="2:4" x14ac:dyDescent="0.25">
      <c r="B109" s="12">
        <v>44655</v>
      </c>
      <c r="C109" s="18">
        <v>140.759995</v>
      </c>
      <c r="D109" s="54">
        <f t="shared" si="10"/>
        <v>-0.14892075789903103</v>
      </c>
    </row>
    <row r="110" spans="2:4" x14ac:dyDescent="0.25">
      <c r="B110" s="12">
        <v>44648</v>
      </c>
      <c r="C110" s="18">
        <v>165.38999899999999</v>
      </c>
      <c r="D110" s="54">
        <f t="shared" si="10"/>
        <v>9.9302108992398219E-2</v>
      </c>
    </row>
    <row r="111" spans="2:4" x14ac:dyDescent="0.25">
      <c r="B111" s="12">
        <v>44641</v>
      </c>
      <c r="C111" s="18">
        <v>150.449997</v>
      </c>
      <c r="D111" s="54">
        <f t="shared" si="10"/>
        <v>-0.11759532551319651</v>
      </c>
    </row>
    <row r="112" spans="2:4" x14ac:dyDescent="0.25">
      <c r="B112" s="12">
        <v>44634</v>
      </c>
      <c r="C112" s="18">
        <v>170.5</v>
      </c>
      <c r="D112" s="54">
        <f t="shared" si="10"/>
        <v>0.39685402911443601</v>
      </c>
    </row>
    <row r="113" spans="2:4" x14ac:dyDescent="0.25">
      <c r="B113" s="12">
        <v>44627</v>
      </c>
      <c r="C113" s="18">
        <v>122.05999799999999</v>
      </c>
      <c r="D113" s="54">
        <f t="shared" si="10"/>
        <v>-0.10190571401940351</v>
      </c>
    </row>
    <row r="114" spans="2:4" x14ac:dyDescent="0.25">
      <c r="B114" s="12">
        <v>44620</v>
      </c>
      <c r="C114" s="18">
        <v>135.91000399999999</v>
      </c>
      <c r="D114" s="54">
        <f t="shared" si="10"/>
        <v>-0.12451687952470758</v>
      </c>
    </row>
    <row r="115" spans="2:4" x14ac:dyDescent="0.25">
      <c r="B115" s="12">
        <v>44613</v>
      </c>
      <c r="C115" s="18">
        <v>155.240005</v>
      </c>
      <c r="D115" s="54">
        <f t="shared" si="10"/>
        <v>-0.20291636380458933</v>
      </c>
    </row>
    <row r="116" spans="2:4" x14ac:dyDescent="0.25">
      <c r="B116" s="12">
        <v>44606</v>
      </c>
      <c r="C116" s="18">
        <v>194.759995</v>
      </c>
      <c r="D116" s="54">
        <f t="shared" si="10"/>
        <v>-0.11031934840218627</v>
      </c>
    </row>
    <row r="117" spans="2:4" x14ac:dyDescent="0.25">
      <c r="B117" s="12">
        <v>44599</v>
      </c>
      <c r="C117" s="18">
        <v>218.91000399999999</v>
      </c>
      <c r="D117" s="54">
        <f t="shared" si="10"/>
        <v>0.1736542960829015</v>
      </c>
    </row>
    <row r="118" spans="2:4" x14ac:dyDescent="0.25">
      <c r="B118" s="12">
        <v>44592</v>
      </c>
      <c r="C118" s="18">
        <v>186.520004</v>
      </c>
      <c r="D118" s="54">
        <f t="shared" si="10"/>
        <v>-1.039893910014722E-2</v>
      </c>
    </row>
    <row r="119" spans="2:4" x14ac:dyDescent="0.25">
      <c r="B119" s="12">
        <v>44585</v>
      </c>
      <c r="C119" s="18">
        <v>188.479996</v>
      </c>
      <c r="D119" s="54">
        <f t="shared" si="10"/>
        <v>-5.0478609571788402E-2</v>
      </c>
    </row>
    <row r="120" spans="2:4" x14ac:dyDescent="0.25">
      <c r="B120" s="12">
        <v>44578</v>
      </c>
      <c r="C120" s="18">
        <v>198.5</v>
      </c>
      <c r="D120" s="54">
        <f t="shared" si="10"/>
        <v>-7.9484321459303953E-2</v>
      </c>
    </row>
    <row r="121" spans="2:4" x14ac:dyDescent="0.25">
      <c r="B121" s="12">
        <v>44571</v>
      </c>
      <c r="C121" s="18">
        <v>215.63999899999999</v>
      </c>
      <c r="D121" s="54">
        <f t="shared" si="10"/>
        <v>-9.1583139026389482E-2</v>
      </c>
    </row>
    <row r="122" spans="2:4" x14ac:dyDescent="0.25">
      <c r="B122" s="12">
        <v>44564</v>
      </c>
      <c r="C122" s="18">
        <v>237.38000500000001</v>
      </c>
      <c r="D122" s="54">
        <f t="shared" si="10"/>
        <v>-0.23108316846630228</v>
      </c>
    </row>
    <row r="123" spans="2:4" x14ac:dyDescent="0.25">
      <c r="B123" s="12">
        <v>44557</v>
      </c>
      <c r="C123" s="18">
        <v>308.72000100000002</v>
      </c>
      <c r="D123" s="54">
        <f t="shared" si="10"/>
        <v>1.4291835829612687E-2</v>
      </c>
    </row>
    <row r="124" spans="2:4" x14ac:dyDescent="0.25">
      <c r="B124" s="12">
        <v>44550</v>
      </c>
      <c r="C124" s="18">
        <v>304.36999500000002</v>
      </c>
      <c r="D124" s="54">
        <f t="shared" si="10"/>
        <v>4.2041833572417309E-2</v>
      </c>
    </row>
    <row r="125" spans="2:4" x14ac:dyDescent="0.25">
      <c r="B125" s="12">
        <v>44543</v>
      </c>
      <c r="C125" s="18">
        <v>292.08999599999999</v>
      </c>
      <c r="D125" s="54">
        <f t="shared" si="10"/>
        <v>-5.1471084942059653E-2</v>
      </c>
    </row>
    <row r="126" spans="2:4" x14ac:dyDescent="0.25">
      <c r="B126" s="12">
        <v>44536</v>
      </c>
      <c r="C126" s="18">
        <v>307.94000199999999</v>
      </c>
      <c r="D126" s="54">
        <f t="shared" si="10"/>
        <v>0.11669564415812128</v>
      </c>
    </row>
    <row r="127" spans="2:4" x14ac:dyDescent="0.25">
      <c r="B127" s="12">
        <v>44529</v>
      </c>
      <c r="C127" s="18">
        <v>275.76001000000002</v>
      </c>
      <c r="D127" s="54">
        <f t="shared" si="10"/>
        <v>-0.18741153291835499</v>
      </c>
    </row>
    <row r="128" spans="2:4" x14ac:dyDescent="0.25">
      <c r="B128" s="12">
        <v>44522</v>
      </c>
      <c r="C128" s="18">
        <v>339.35998499999999</v>
      </c>
      <c r="D128" s="54">
        <f t="shared" si="10"/>
        <v>-8.5899030303030366E-2</v>
      </c>
    </row>
    <row r="129" spans="2:4" x14ac:dyDescent="0.25">
      <c r="B129" s="12">
        <v>44515</v>
      </c>
      <c r="C129" s="18">
        <v>371.25</v>
      </c>
      <c r="D129" s="54">
        <f t="shared" si="10"/>
        <v>2.0141752962621551E-2</v>
      </c>
    </row>
    <row r="130" spans="2:4" x14ac:dyDescent="0.25">
      <c r="B130" s="12">
        <v>44508</v>
      </c>
      <c r="C130" s="18">
        <v>363.92001299999998</v>
      </c>
      <c r="D130" s="54">
        <f t="shared" si="10"/>
        <v>3.7577759524940468E-2</v>
      </c>
    </row>
    <row r="131" spans="2:4" x14ac:dyDescent="0.25">
      <c r="B131" s="12">
        <v>44501</v>
      </c>
      <c r="C131" s="18">
        <v>350.73998999999998</v>
      </c>
      <c r="D131" s="54">
        <f t="shared" ref="D131:D151" si="11">C131/C132-1</f>
        <v>-5.6719462489183359E-2</v>
      </c>
    </row>
    <row r="132" spans="2:4" x14ac:dyDescent="0.25">
      <c r="B132" s="12">
        <v>44494</v>
      </c>
      <c r="C132" s="18">
        <v>371.82998700000002</v>
      </c>
      <c r="D132" s="54">
        <f t="shared" si="11"/>
        <v>-1.9590842177112266E-2</v>
      </c>
    </row>
    <row r="133" spans="2:4" x14ac:dyDescent="0.25">
      <c r="B133" s="12">
        <v>44487</v>
      </c>
      <c r="C133" s="18">
        <v>379.26001000000002</v>
      </c>
      <c r="D133" s="54">
        <f t="shared" si="11"/>
        <v>5.7288671951152947E-2</v>
      </c>
    </row>
    <row r="134" spans="2:4" x14ac:dyDescent="0.25">
      <c r="B134" s="12">
        <v>44480</v>
      </c>
      <c r="C134" s="18">
        <v>358.709991</v>
      </c>
      <c r="D134" s="54">
        <f t="shared" si="11"/>
        <v>5.6272039641836802E-2</v>
      </c>
    </row>
    <row r="135" spans="2:4" x14ac:dyDescent="0.25">
      <c r="B135" s="12">
        <v>44473</v>
      </c>
      <c r="C135" s="18">
        <v>339.60000600000001</v>
      </c>
      <c r="D135" s="54">
        <f t="shared" si="11"/>
        <v>2.0095527078243025E-2</v>
      </c>
    </row>
    <row r="136" spans="2:4" x14ac:dyDescent="0.25">
      <c r="B136" s="12">
        <v>44466</v>
      </c>
      <c r="C136" s="18">
        <v>332.91000400000001</v>
      </c>
      <c r="D136" s="54">
        <f t="shared" si="11"/>
        <v>-9.2863530146966577E-2</v>
      </c>
    </row>
    <row r="137" spans="2:4" x14ac:dyDescent="0.25">
      <c r="B137" s="12">
        <v>44459</v>
      </c>
      <c r="C137" s="18">
        <v>366.98998999999998</v>
      </c>
      <c r="D137" s="54">
        <f t="shared" si="11"/>
        <v>-1.9136720873500823E-2</v>
      </c>
    </row>
    <row r="138" spans="2:4" x14ac:dyDescent="0.25">
      <c r="B138" s="12">
        <v>44452</v>
      </c>
      <c r="C138" s="18">
        <v>374.14999399999999</v>
      </c>
      <c r="D138" s="54">
        <f t="shared" si="11"/>
        <v>5.8606688553897168E-3</v>
      </c>
    </row>
    <row r="139" spans="2:4" x14ac:dyDescent="0.25">
      <c r="B139" s="12">
        <v>44445</v>
      </c>
      <c r="C139" s="18">
        <v>371.97000100000002</v>
      </c>
      <c r="D139" s="54">
        <f t="shared" si="11"/>
        <v>-2.0641892107326698E-2</v>
      </c>
    </row>
    <row r="140" spans="2:4" x14ac:dyDescent="0.25">
      <c r="B140" s="12">
        <v>44438</v>
      </c>
      <c r="C140" s="18">
        <v>379.80999800000001</v>
      </c>
      <c r="D140" s="54">
        <f t="shared" si="11"/>
        <v>6.3327629198311142E-2</v>
      </c>
    </row>
    <row r="141" spans="2:4" x14ac:dyDescent="0.25">
      <c r="B141" s="12">
        <v>44431</v>
      </c>
      <c r="C141" s="18">
        <v>357.19000199999999</v>
      </c>
      <c r="D141" s="54">
        <f t="shared" si="11"/>
        <v>1.3937785323997476E-2</v>
      </c>
    </row>
    <row r="142" spans="2:4" x14ac:dyDescent="0.25">
      <c r="B142" s="12">
        <v>44424</v>
      </c>
      <c r="C142" s="18">
        <v>352.27999899999998</v>
      </c>
      <c r="D142" s="54">
        <f t="shared" si="11"/>
        <v>0.31496829746102928</v>
      </c>
    </row>
    <row r="143" spans="2:4" x14ac:dyDescent="0.25">
      <c r="B143" s="12">
        <v>44417</v>
      </c>
      <c r="C143" s="18">
        <v>267.89999399999999</v>
      </c>
      <c r="D143" s="54">
        <f t="shared" si="11"/>
        <v>0.18539820353982295</v>
      </c>
    </row>
    <row r="144" spans="2:4" x14ac:dyDescent="0.25">
      <c r="B144" s="12">
        <v>44410</v>
      </c>
      <c r="C144" s="18">
        <v>226</v>
      </c>
      <c r="D144" s="54">
        <f t="shared" si="11"/>
        <v>2.1284319892404646E-2</v>
      </c>
    </row>
    <row r="145" spans="2:4" x14ac:dyDescent="0.25">
      <c r="B145" s="12">
        <v>44403</v>
      </c>
      <c r="C145" s="18">
        <v>221.28999300000001</v>
      </c>
      <c r="D145" s="54">
        <f t="shared" si="11"/>
        <v>7.9832140530059048E-2</v>
      </c>
    </row>
    <row r="146" spans="2:4" x14ac:dyDescent="0.25">
      <c r="B146" s="12">
        <v>44396</v>
      </c>
      <c r="C146" s="18">
        <v>204.929993</v>
      </c>
      <c r="D146" s="54">
        <f t="shared" si="11"/>
        <v>2.9902488288320095E-2</v>
      </c>
    </row>
    <row r="147" spans="2:4" x14ac:dyDescent="0.25">
      <c r="B147" s="12">
        <v>44389</v>
      </c>
      <c r="C147" s="18">
        <v>198.979996</v>
      </c>
      <c r="D147" s="54">
        <f t="shared" si="11"/>
        <v>-0.14247542663906221</v>
      </c>
    </row>
    <row r="148" spans="2:4" x14ac:dyDescent="0.25">
      <c r="B148" s="12">
        <v>44382</v>
      </c>
      <c r="C148" s="18">
        <v>232.03999300000001</v>
      </c>
      <c r="D148" s="54">
        <f t="shared" si="11"/>
        <v>1.2258417524031229E-2</v>
      </c>
    </row>
    <row r="149" spans="2:4" x14ac:dyDescent="0.25">
      <c r="B149" s="12">
        <v>44375</v>
      </c>
      <c r="C149" s="18">
        <v>229.229996</v>
      </c>
      <c r="D149" s="54">
        <f t="shared" si="11"/>
        <v>-1.3512927949238862E-2</v>
      </c>
    </row>
    <row r="150" spans="2:4" x14ac:dyDescent="0.25">
      <c r="B150" s="12">
        <v>44368</v>
      </c>
      <c r="C150" s="18">
        <v>232.36999499999999</v>
      </c>
      <c r="D150" s="54">
        <f t="shared" si="11"/>
        <v>-6.0212465274889215E-4</v>
      </c>
    </row>
    <row r="151" spans="2:4" x14ac:dyDescent="0.25">
      <c r="B151" s="12">
        <v>44361</v>
      </c>
      <c r="C151" s="18">
        <v>232.509995</v>
      </c>
      <c r="D151" s="54">
        <f t="shared" si="11"/>
        <v>0.22819712353491228</v>
      </c>
    </row>
    <row r="152" spans="2:4" x14ac:dyDescent="0.25">
      <c r="B152" s="12">
        <v>44354</v>
      </c>
      <c r="C152" s="18">
        <v>189.30999800000001</v>
      </c>
      <c r="D152" s="54"/>
    </row>
    <row r="153" spans="2:4" x14ac:dyDescent="0.25">
      <c r="B153" s="12"/>
      <c r="C153" s="17"/>
      <c r="D153" s="54"/>
    </row>
    <row r="154" spans="2:4" x14ac:dyDescent="0.25">
      <c r="B154" s="12"/>
      <c r="C154" s="17"/>
      <c r="D154" s="54"/>
    </row>
    <row r="155" spans="2:4" x14ac:dyDescent="0.25">
      <c r="B155" s="12"/>
      <c r="C155" s="17"/>
      <c r="D155" s="54"/>
    </row>
    <row r="156" spans="2:4" x14ac:dyDescent="0.25">
      <c r="B156" s="12"/>
      <c r="C156" s="17"/>
      <c r="D156" s="54"/>
    </row>
    <row r="157" spans="2:4" x14ac:dyDescent="0.25">
      <c r="B157" s="12"/>
      <c r="C157" s="17"/>
      <c r="D157" s="54"/>
    </row>
    <row r="158" spans="2:4" x14ac:dyDescent="0.25">
      <c r="B158" s="12"/>
      <c r="C158" s="17"/>
      <c r="D158" s="54"/>
    </row>
  </sheetData>
  <autoFilter ref="B1:C1" xr:uid="{459034C9-60E4-4481-A5AB-C7748C68FD5F}">
    <sortState xmlns:xlrd2="http://schemas.microsoft.com/office/spreadsheetml/2017/richdata2" ref="B2:C150">
      <sortCondition descending="1" ref="B1"/>
    </sortState>
  </autoFilter>
  <mergeCells count="4">
    <mergeCell ref="H1:M1"/>
    <mergeCell ref="H17:I17"/>
    <mergeCell ref="H18:I18"/>
    <mergeCell ref="H43:M43"/>
  </mergeCells>
  <hyperlinks>
    <hyperlink ref="A1" location="Main!A1" display="Main" xr:uid="{39B2CEA3-DA91-49C0-B446-894452E6E4AA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Model-graph</vt:lpstr>
      <vt:lpstr>KPI</vt:lpstr>
      <vt:lpstr>Catalysts</vt:lpstr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2025-11-10T13:26:04Z</dcterms:modified>
</cp:coreProperties>
</file>