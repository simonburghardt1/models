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models\x_Screenings\"/>
    </mc:Choice>
  </mc:AlternateContent>
  <xr:revisionPtr revIDLastSave="0" documentId="8_{DF74A363-99C6-4E82-BD15-176303514E9C}" xr6:coauthVersionLast="47" xr6:coauthVersionMax="47" xr10:uidLastSave="{00000000-0000-0000-0000-000000000000}"/>
  <bookViews>
    <workbookView xWindow="-120" yWindow="-120" windowWidth="29040" windowHeight="15720" xr2:uid="{ADE368A1-625D-40C8-9589-92E4807FC2C5}"/>
  </bookViews>
  <sheets>
    <sheet name="zacks_custom_screen_2026-03-10" sheetId="1" r:id="rId1"/>
  </sheets>
  <definedNames>
    <definedName name="_xlnm._FilterDatabase" localSheetId="0" hidden="1">'zacks_custom_screen_2026-03-10'!$A$1:$T$3157</definedName>
  </definedNames>
  <calcPr calcId="0"/>
</workbook>
</file>

<file path=xl/calcChain.xml><?xml version="1.0" encoding="utf-8"?>
<calcChain xmlns="http://schemas.openxmlformats.org/spreadsheetml/2006/main">
  <c r="Q3" i="1" l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Q255" i="1"/>
  <c r="R255" i="1"/>
  <c r="Q256" i="1"/>
  <c r="R256" i="1"/>
  <c r="Q257" i="1"/>
  <c r="R257" i="1"/>
  <c r="Q258" i="1"/>
  <c r="R258" i="1"/>
  <c r="Q259" i="1"/>
  <c r="R259" i="1"/>
  <c r="Q260" i="1"/>
  <c r="R260" i="1"/>
  <c r="Q261" i="1"/>
  <c r="R261" i="1"/>
  <c r="Q262" i="1"/>
  <c r="R262" i="1"/>
  <c r="Q263" i="1"/>
  <c r="R263" i="1"/>
  <c r="Q264" i="1"/>
  <c r="R264" i="1"/>
  <c r="Q265" i="1"/>
  <c r="R265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Q277" i="1"/>
  <c r="R277" i="1"/>
  <c r="Q278" i="1"/>
  <c r="R278" i="1"/>
  <c r="Q279" i="1"/>
  <c r="R279" i="1"/>
  <c r="Q280" i="1"/>
  <c r="R280" i="1"/>
  <c r="Q281" i="1"/>
  <c r="R281" i="1"/>
  <c r="Q282" i="1"/>
  <c r="R282" i="1"/>
  <c r="Q283" i="1"/>
  <c r="R283" i="1"/>
  <c r="Q284" i="1"/>
  <c r="R284" i="1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Q314" i="1"/>
  <c r="R314" i="1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Q361" i="1"/>
  <c r="R361" i="1"/>
  <c r="Q362" i="1"/>
  <c r="R362" i="1"/>
  <c r="Q363" i="1"/>
  <c r="R363" i="1"/>
  <c r="Q364" i="1"/>
  <c r="R364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Q372" i="1"/>
  <c r="R372" i="1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2" i="1"/>
  <c r="R382" i="1"/>
  <c r="Q383" i="1"/>
  <c r="R383" i="1"/>
  <c r="Q384" i="1"/>
  <c r="R384" i="1"/>
  <c r="Q385" i="1"/>
  <c r="R385" i="1"/>
  <c r="Q386" i="1"/>
  <c r="R386" i="1"/>
  <c r="Q387" i="1"/>
  <c r="R387" i="1"/>
  <c r="Q388" i="1"/>
  <c r="R388" i="1"/>
  <c r="Q389" i="1"/>
  <c r="R389" i="1"/>
  <c r="Q390" i="1"/>
  <c r="R390" i="1"/>
  <c r="Q391" i="1"/>
  <c r="R391" i="1"/>
  <c r="Q392" i="1"/>
  <c r="R392" i="1"/>
  <c r="Q393" i="1"/>
  <c r="R393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Q416" i="1"/>
  <c r="R416" i="1"/>
  <c r="Q417" i="1"/>
  <c r="R417" i="1"/>
  <c r="Q418" i="1"/>
  <c r="R418" i="1"/>
  <c r="Q419" i="1"/>
  <c r="R419" i="1"/>
  <c r="Q420" i="1"/>
  <c r="R420" i="1"/>
  <c r="Q421" i="1"/>
  <c r="R421" i="1"/>
  <c r="Q422" i="1"/>
  <c r="R422" i="1"/>
  <c r="Q423" i="1"/>
  <c r="R423" i="1"/>
  <c r="Q424" i="1"/>
  <c r="R424" i="1"/>
  <c r="Q425" i="1"/>
  <c r="R425" i="1"/>
  <c r="Q426" i="1"/>
  <c r="R426" i="1"/>
  <c r="Q427" i="1"/>
  <c r="R427" i="1"/>
  <c r="Q428" i="1"/>
  <c r="R428" i="1"/>
  <c r="Q429" i="1"/>
  <c r="R429" i="1"/>
  <c r="Q430" i="1"/>
  <c r="R430" i="1"/>
  <c r="Q431" i="1"/>
  <c r="R431" i="1"/>
  <c r="Q432" i="1"/>
  <c r="R432" i="1"/>
  <c r="Q433" i="1"/>
  <c r="R433" i="1"/>
  <c r="Q434" i="1"/>
  <c r="R434" i="1"/>
  <c r="Q435" i="1"/>
  <c r="R435" i="1"/>
  <c r="Q436" i="1"/>
  <c r="R436" i="1"/>
  <c r="Q437" i="1"/>
  <c r="R437" i="1"/>
  <c r="Q438" i="1"/>
  <c r="R438" i="1"/>
  <c r="Q439" i="1"/>
  <c r="R439" i="1"/>
  <c r="Q440" i="1"/>
  <c r="R440" i="1"/>
  <c r="Q441" i="1"/>
  <c r="R441" i="1"/>
  <c r="Q442" i="1"/>
  <c r="R442" i="1"/>
  <c r="Q443" i="1"/>
  <c r="R443" i="1"/>
  <c r="Q444" i="1"/>
  <c r="R444" i="1"/>
  <c r="Q445" i="1"/>
  <c r="R445" i="1"/>
  <c r="Q446" i="1"/>
  <c r="R446" i="1"/>
  <c r="Q447" i="1"/>
  <c r="R447" i="1"/>
  <c r="Q448" i="1"/>
  <c r="R448" i="1"/>
  <c r="Q449" i="1"/>
  <c r="R449" i="1"/>
  <c r="Q450" i="1"/>
  <c r="R450" i="1"/>
  <c r="Q451" i="1"/>
  <c r="R451" i="1"/>
  <c r="Q452" i="1"/>
  <c r="R452" i="1"/>
  <c r="Q453" i="1"/>
  <c r="R453" i="1"/>
  <c r="Q454" i="1"/>
  <c r="R454" i="1"/>
  <c r="Q455" i="1"/>
  <c r="R455" i="1"/>
  <c r="Q456" i="1"/>
  <c r="R456" i="1"/>
  <c r="Q457" i="1"/>
  <c r="R457" i="1"/>
  <c r="Q458" i="1"/>
  <c r="R458" i="1"/>
  <c r="Q459" i="1"/>
  <c r="R459" i="1"/>
  <c r="Q460" i="1"/>
  <c r="R460" i="1"/>
  <c r="Q461" i="1"/>
  <c r="R461" i="1"/>
  <c r="Q462" i="1"/>
  <c r="R462" i="1"/>
  <c r="Q463" i="1"/>
  <c r="R463" i="1"/>
  <c r="Q464" i="1"/>
  <c r="R464" i="1"/>
  <c r="Q465" i="1"/>
  <c r="R465" i="1"/>
  <c r="Q466" i="1"/>
  <c r="R466" i="1"/>
  <c r="Q467" i="1"/>
  <c r="R467" i="1"/>
  <c r="Q468" i="1"/>
  <c r="R468" i="1"/>
  <c r="Q469" i="1"/>
  <c r="R469" i="1"/>
  <c r="Q470" i="1"/>
  <c r="R470" i="1"/>
  <c r="Q471" i="1"/>
  <c r="R471" i="1"/>
  <c r="Q472" i="1"/>
  <c r="R472" i="1"/>
  <c r="Q473" i="1"/>
  <c r="R473" i="1"/>
  <c r="Q474" i="1"/>
  <c r="R474" i="1"/>
  <c r="Q475" i="1"/>
  <c r="R475" i="1"/>
  <c r="Q476" i="1"/>
  <c r="R476" i="1"/>
  <c r="Q477" i="1"/>
  <c r="R477" i="1"/>
  <c r="Q478" i="1"/>
  <c r="R478" i="1"/>
  <c r="Q479" i="1"/>
  <c r="R479" i="1"/>
  <c r="Q480" i="1"/>
  <c r="R480" i="1"/>
  <c r="Q481" i="1"/>
  <c r="R481" i="1"/>
  <c r="Q482" i="1"/>
  <c r="R482" i="1"/>
  <c r="Q483" i="1"/>
  <c r="R483" i="1"/>
  <c r="Q484" i="1"/>
  <c r="R484" i="1"/>
  <c r="Q485" i="1"/>
  <c r="R485" i="1"/>
  <c r="Q486" i="1"/>
  <c r="R486" i="1"/>
  <c r="Q487" i="1"/>
  <c r="R487" i="1"/>
  <c r="Q488" i="1"/>
  <c r="R488" i="1"/>
  <c r="Q489" i="1"/>
  <c r="R489" i="1"/>
  <c r="Q490" i="1"/>
  <c r="R490" i="1"/>
  <c r="Q491" i="1"/>
  <c r="R491" i="1"/>
  <c r="Q492" i="1"/>
  <c r="R492" i="1"/>
  <c r="Q493" i="1"/>
  <c r="R493" i="1"/>
  <c r="Q494" i="1"/>
  <c r="R494" i="1"/>
  <c r="Q495" i="1"/>
  <c r="R495" i="1"/>
  <c r="Q496" i="1"/>
  <c r="R496" i="1"/>
  <c r="Q497" i="1"/>
  <c r="R497" i="1"/>
  <c r="Q498" i="1"/>
  <c r="R498" i="1"/>
  <c r="Q499" i="1"/>
  <c r="R499" i="1"/>
  <c r="Q500" i="1"/>
  <c r="R500" i="1"/>
  <c r="Q501" i="1"/>
  <c r="R501" i="1"/>
  <c r="Q502" i="1"/>
  <c r="R502" i="1"/>
  <c r="Q503" i="1"/>
  <c r="R503" i="1"/>
  <c r="Q504" i="1"/>
  <c r="R504" i="1"/>
  <c r="Q505" i="1"/>
  <c r="R505" i="1"/>
  <c r="Q506" i="1"/>
  <c r="R506" i="1"/>
  <c r="Q507" i="1"/>
  <c r="R507" i="1"/>
  <c r="Q508" i="1"/>
  <c r="R508" i="1"/>
  <c r="Q509" i="1"/>
  <c r="R509" i="1"/>
  <c r="Q510" i="1"/>
  <c r="R510" i="1"/>
  <c r="Q511" i="1"/>
  <c r="R511" i="1"/>
  <c r="Q512" i="1"/>
  <c r="R512" i="1"/>
  <c r="Q513" i="1"/>
  <c r="R513" i="1"/>
  <c r="Q514" i="1"/>
  <c r="R514" i="1"/>
  <c r="Q515" i="1"/>
  <c r="R515" i="1"/>
  <c r="Q516" i="1"/>
  <c r="R516" i="1"/>
  <c r="Q517" i="1"/>
  <c r="R517" i="1"/>
  <c r="Q518" i="1"/>
  <c r="R518" i="1"/>
  <c r="Q519" i="1"/>
  <c r="R519" i="1"/>
  <c r="Q520" i="1"/>
  <c r="R520" i="1"/>
  <c r="Q521" i="1"/>
  <c r="R521" i="1"/>
  <c r="Q522" i="1"/>
  <c r="R522" i="1"/>
  <c r="Q523" i="1"/>
  <c r="R523" i="1"/>
  <c r="Q524" i="1"/>
  <c r="R524" i="1"/>
  <c r="Q525" i="1"/>
  <c r="R525" i="1"/>
  <c r="Q526" i="1"/>
  <c r="R526" i="1"/>
  <c r="Q527" i="1"/>
  <c r="R527" i="1"/>
  <c r="Q528" i="1"/>
  <c r="R528" i="1"/>
  <c r="Q529" i="1"/>
  <c r="R529" i="1"/>
  <c r="Q530" i="1"/>
  <c r="R530" i="1"/>
  <c r="Q531" i="1"/>
  <c r="R531" i="1"/>
  <c r="Q532" i="1"/>
  <c r="R532" i="1"/>
  <c r="Q533" i="1"/>
  <c r="R533" i="1"/>
  <c r="Q534" i="1"/>
  <c r="R534" i="1"/>
  <c r="Q535" i="1"/>
  <c r="R535" i="1"/>
  <c r="Q536" i="1"/>
  <c r="R536" i="1"/>
  <c r="Q537" i="1"/>
  <c r="R537" i="1"/>
  <c r="Q538" i="1"/>
  <c r="R538" i="1"/>
  <c r="Q539" i="1"/>
  <c r="R539" i="1"/>
  <c r="Q540" i="1"/>
  <c r="R540" i="1"/>
  <c r="Q541" i="1"/>
  <c r="R541" i="1"/>
  <c r="Q542" i="1"/>
  <c r="R542" i="1"/>
  <c r="Q543" i="1"/>
  <c r="R543" i="1"/>
  <c r="Q544" i="1"/>
  <c r="R544" i="1"/>
  <c r="Q545" i="1"/>
  <c r="R545" i="1"/>
  <c r="Q546" i="1"/>
  <c r="R546" i="1"/>
  <c r="Q547" i="1"/>
  <c r="R547" i="1"/>
  <c r="Q548" i="1"/>
  <c r="R548" i="1"/>
  <c r="Q549" i="1"/>
  <c r="R549" i="1"/>
  <c r="Q550" i="1"/>
  <c r="R550" i="1"/>
  <c r="Q551" i="1"/>
  <c r="R551" i="1"/>
  <c r="Q552" i="1"/>
  <c r="R552" i="1"/>
  <c r="Q553" i="1"/>
  <c r="R553" i="1"/>
  <c r="Q554" i="1"/>
  <c r="R554" i="1"/>
  <c r="Q555" i="1"/>
  <c r="R555" i="1"/>
  <c r="Q556" i="1"/>
  <c r="R556" i="1"/>
  <c r="Q557" i="1"/>
  <c r="R557" i="1"/>
  <c r="Q558" i="1"/>
  <c r="R558" i="1"/>
  <c r="Q559" i="1"/>
  <c r="R559" i="1"/>
  <c r="Q560" i="1"/>
  <c r="R560" i="1"/>
  <c r="Q561" i="1"/>
  <c r="R561" i="1"/>
  <c r="Q562" i="1"/>
  <c r="R562" i="1"/>
  <c r="Q563" i="1"/>
  <c r="R563" i="1"/>
  <c r="Q564" i="1"/>
  <c r="R564" i="1"/>
  <c r="Q565" i="1"/>
  <c r="R565" i="1"/>
  <c r="Q566" i="1"/>
  <c r="R566" i="1"/>
  <c r="Q567" i="1"/>
  <c r="R567" i="1"/>
  <c r="Q568" i="1"/>
  <c r="R568" i="1"/>
  <c r="Q569" i="1"/>
  <c r="R569" i="1"/>
  <c r="Q570" i="1"/>
  <c r="R570" i="1"/>
  <c r="Q571" i="1"/>
  <c r="R571" i="1"/>
  <c r="Q572" i="1"/>
  <c r="R572" i="1"/>
  <c r="Q573" i="1"/>
  <c r="R573" i="1"/>
  <c r="Q574" i="1"/>
  <c r="R574" i="1"/>
  <c r="Q575" i="1"/>
  <c r="R575" i="1"/>
  <c r="Q576" i="1"/>
  <c r="R576" i="1"/>
  <c r="Q577" i="1"/>
  <c r="R577" i="1"/>
  <c r="Q578" i="1"/>
  <c r="R578" i="1"/>
  <c r="Q579" i="1"/>
  <c r="R579" i="1"/>
  <c r="Q580" i="1"/>
  <c r="R580" i="1"/>
  <c r="Q581" i="1"/>
  <c r="R581" i="1"/>
  <c r="Q582" i="1"/>
  <c r="R582" i="1"/>
  <c r="Q583" i="1"/>
  <c r="R583" i="1"/>
  <c r="Q584" i="1"/>
  <c r="R584" i="1"/>
  <c r="Q585" i="1"/>
  <c r="R585" i="1"/>
  <c r="Q586" i="1"/>
  <c r="R586" i="1"/>
  <c r="Q587" i="1"/>
  <c r="R587" i="1"/>
  <c r="Q588" i="1"/>
  <c r="R588" i="1"/>
  <c r="Q589" i="1"/>
  <c r="R589" i="1"/>
  <c r="Q590" i="1"/>
  <c r="R590" i="1"/>
  <c r="Q591" i="1"/>
  <c r="R591" i="1"/>
  <c r="Q592" i="1"/>
  <c r="R592" i="1"/>
  <c r="Q593" i="1"/>
  <c r="R593" i="1"/>
  <c r="Q594" i="1"/>
  <c r="R594" i="1"/>
  <c r="Q595" i="1"/>
  <c r="R595" i="1"/>
  <c r="Q596" i="1"/>
  <c r="R596" i="1"/>
  <c r="Q597" i="1"/>
  <c r="R597" i="1"/>
  <c r="Q598" i="1"/>
  <c r="R598" i="1"/>
  <c r="Q599" i="1"/>
  <c r="R599" i="1"/>
  <c r="Q600" i="1"/>
  <c r="R600" i="1"/>
  <c r="Q601" i="1"/>
  <c r="R601" i="1"/>
  <c r="Q602" i="1"/>
  <c r="R602" i="1"/>
  <c r="Q603" i="1"/>
  <c r="R603" i="1"/>
  <c r="Q604" i="1"/>
  <c r="R604" i="1"/>
  <c r="Q605" i="1"/>
  <c r="R605" i="1"/>
  <c r="Q606" i="1"/>
  <c r="R606" i="1"/>
  <c r="Q607" i="1"/>
  <c r="R607" i="1"/>
  <c r="Q608" i="1"/>
  <c r="R608" i="1"/>
  <c r="Q609" i="1"/>
  <c r="R609" i="1"/>
  <c r="Q610" i="1"/>
  <c r="R610" i="1"/>
  <c r="Q611" i="1"/>
  <c r="R611" i="1"/>
  <c r="Q612" i="1"/>
  <c r="R612" i="1"/>
  <c r="Q613" i="1"/>
  <c r="R613" i="1"/>
  <c r="Q614" i="1"/>
  <c r="R614" i="1"/>
  <c r="Q615" i="1"/>
  <c r="R615" i="1"/>
  <c r="Q616" i="1"/>
  <c r="R616" i="1"/>
  <c r="Q617" i="1"/>
  <c r="R617" i="1"/>
  <c r="Q618" i="1"/>
  <c r="R618" i="1"/>
  <c r="Q619" i="1"/>
  <c r="R619" i="1"/>
  <c r="Q620" i="1"/>
  <c r="R620" i="1"/>
  <c r="Q621" i="1"/>
  <c r="R621" i="1"/>
  <c r="Q622" i="1"/>
  <c r="R622" i="1"/>
  <c r="Q623" i="1"/>
  <c r="R623" i="1"/>
  <c r="Q624" i="1"/>
  <c r="R624" i="1"/>
  <c r="Q625" i="1"/>
  <c r="R625" i="1"/>
  <c r="Q626" i="1"/>
  <c r="R626" i="1"/>
  <c r="Q627" i="1"/>
  <c r="R627" i="1"/>
  <c r="Q628" i="1"/>
  <c r="R628" i="1"/>
  <c r="Q629" i="1"/>
  <c r="R629" i="1"/>
  <c r="Q630" i="1"/>
  <c r="R630" i="1"/>
  <c r="Q631" i="1"/>
  <c r="R631" i="1"/>
  <c r="Q632" i="1"/>
  <c r="R632" i="1"/>
  <c r="Q633" i="1"/>
  <c r="R633" i="1"/>
  <c r="Q634" i="1"/>
  <c r="R634" i="1"/>
  <c r="Q635" i="1"/>
  <c r="R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Q643" i="1"/>
  <c r="R643" i="1"/>
  <c r="Q644" i="1"/>
  <c r="R644" i="1"/>
  <c r="Q645" i="1"/>
  <c r="R645" i="1"/>
  <c r="Q646" i="1"/>
  <c r="R646" i="1"/>
  <c r="Q647" i="1"/>
  <c r="R647" i="1"/>
  <c r="Q648" i="1"/>
  <c r="R648" i="1"/>
  <c r="Q649" i="1"/>
  <c r="R649" i="1"/>
  <c r="Q650" i="1"/>
  <c r="R650" i="1"/>
  <c r="Q651" i="1"/>
  <c r="R651" i="1"/>
  <c r="Q652" i="1"/>
  <c r="R652" i="1"/>
  <c r="Q653" i="1"/>
  <c r="R653" i="1"/>
  <c r="Q654" i="1"/>
  <c r="R654" i="1"/>
  <c r="Q655" i="1"/>
  <c r="R655" i="1"/>
  <c r="Q656" i="1"/>
  <c r="R656" i="1"/>
  <c r="Q657" i="1"/>
  <c r="R657" i="1"/>
  <c r="Q658" i="1"/>
  <c r="R658" i="1"/>
  <c r="Q659" i="1"/>
  <c r="R659" i="1"/>
  <c r="Q660" i="1"/>
  <c r="R660" i="1"/>
  <c r="Q661" i="1"/>
  <c r="R661" i="1"/>
  <c r="Q662" i="1"/>
  <c r="R662" i="1"/>
  <c r="Q663" i="1"/>
  <c r="R663" i="1"/>
  <c r="Q664" i="1"/>
  <c r="R664" i="1"/>
  <c r="Q665" i="1"/>
  <c r="R665" i="1"/>
  <c r="Q666" i="1"/>
  <c r="R666" i="1"/>
  <c r="Q667" i="1"/>
  <c r="R667" i="1"/>
  <c r="Q668" i="1"/>
  <c r="R668" i="1"/>
  <c r="Q669" i="1"/>
  <c r="R669" i="1"/>
  <c r="Q670" i="1"/>
  <c r="R670" i="1"/>
  <c r="Q671" i="1"/>
  <c r="R671" i="1"/>
  <c r="Q672" i="1"/>
  <c r="R672" i="1"/>
  <c r="Q673" i="1"/>
  <c r="R673" i="1"/>
  <c r="Q674" i="1"/>
  <c r="R674" i="1"/>
  <c r="Q675" i="1"/>
  <c r="R675" i="1"/>
  <c r="Q676" i="1"/>
  <c r="R676" i="1"/>
  <c r="Q677" i="1"/>
  <c r="R677" i="1"/>
  <c r="Q678" i="1"/>
  <c r="R678" i="1"/>
  <c r="Q679" i="1"/>
  <c r="R679" i="1"/>
  <c r="Q680" i="1"/>
  <c r="R680" i="1"/>
  <c r="Q681" i="1"/>
  <c r="R681" i="1"/>
  <c r="Q682" i="1"/>
  <c r="R682" i="1"/>
  <c r="Q683" i="1"/>
  <c r="R683" i="1"/>
  <c r="Q684" i="1"/>
  <c r="R684" i="1"/>
  <c r="Q685" i="1"/>
  <c r="R685" i="1"/>
  <c r="Q686" i="1"/>
  <c r="R686" i="1"/>
  <c r="Q687" i="1"/>
  <c r="R687" i="1"/>
  <c r="Q688" i="1"/>
  <c r="R688" i="1"/>
  <c r="Q689" i="1"/>
  <c r="R689" i="1"/>
  <c r="Q690" i="1"/>
  <c r="R690" i="1"/>
  <c r="Q691" i="1"/>
  <c r="R691" i="1"/>
  <c r="Q692" i="1"/>
  <c r="R692" i="1"/>
  <c r="Q693" i="1"/>
  <c r="R693" i="1"/>
  <c r="Q694" i="1"/>
  <c r="R694" i="1"/>
  <c r="Q695" i="1"/>
  <c r="R695" i="1"/>
  <c r="Q696" i="1"/>
  <c r="R696" i="1"/>
  <c r="Q697" i="1"/>
  <c r="R697" i="1"/>
  <c r="Q698" i="1"/>
  <c r="R698" i="1"/>
  <c r="Q699" i="1"/>
  <c r="R699" i="1"/>
  <c r="Q700" i="1"/>
  <c r="R700" i="1"/>
  <c r="Q701" i="1"/>
  <c r="R701" i="1"/>
  <c r="Q702" i="1"/>
  <c r="R702" i="1"/>
  <c r="Q703" i="1"/>
  <c r="R703" i="1"/>
  <c r="Q704" i="1"/>
  <c r="R704" i="1"/>
  <c r="Q705" i="1"/>
  <c r="R705" i="1"/>
  <c r="Q706" i="1"/>
  <c r="R706" i="1"/>
  <c r="Q707" i="1"/>
  <c r="R707" i="1"/>
  <c r="Q708" i="1"/>
  <c r="R708" i="1"/>
  <c r="Q709" i="1"/>
  <c r="R709" i="1"/>
  <c r="Q710" i="1"/>
  <c r="R710" i="1"/>
  <c r="Q711" i="1"/>
  <c r="R711" i="1"/>
  <c r="Q712" i="1"/>
  <c r="R712" i="1"/>
  <c r="Q713" i="1"/>
  <c r="R713" i="1"/>
  <c r="Q714" i="1"/>
  <c r="R714" i="1"/>
  <c r="Q715" i="1"/>
  <c r="R715" i="1"/>
  <c r="Q716" i="1"/>
  <c r="R716" i="1"/>
  <c r="Q717" i="1"/>
  <c r="R717" i="1"/>
  <c r="Q718" i="1"/>
  <c r="R718" i="1"/>
  <c r="Q719" i="1"/>
  <c r="R719" i="1"/>
  <c r="Q720" i="1"/>
  <c r="R720" i="1"/>
  <c r="Q721" i="1"/>
  <c r="R721" i="1"/>
  <c r="Q722" i="1"/>
  <c r="R722" i="1"/>
  <c r="Q723" i="1"/>
  <c r="R723" i="1"/>
  <c r="Q724" i="1"/>
  <c r="R724" i="1"/>
  <c r="Q725" i="1"/>
  <c r="R725" i="1"/>
  <c r="Q726" i="1"/>
  <c r="R726" i="1"/>
  <c r="Q727" i="1"/>
  <c r="R727" i="1"/>
  <c r="Q728" i="1"/>
  <c r="R728" i="1"/>
  <c r="Q729" i="1"/>
  <c r="R729" i="1"/>
  <c r="Q730" i="1"/>
  <c r="R730" i="1"/>
  <c r="Q731" i="1"/>
  <c r="R731" i="1"/>
  <c r="Q732" i="1"/>
  <c r="R732" i="1"/>
  <c r="Q733" i="1"/>
  <c r="R733" i="1"/>
  <c r="Q734" i="1"/>
  <c r="R734" i="1"/>
  <c r="Q735" i="1"/>
  <c r="R735" i="1"/>
  <c r="Q736" i="1"/>
  <c r="R736" i="1"/>
  <c r="Q737" i="1"/>
  <c r="R737" i="1"/>
  <c r="Q738" i="1"/>
  <c r="R738" i="1"/>
  <c r="Q739" i="1"/>
  <c r="R739" i="1"/>
  <c r="Q740" i="1"/>
  <c r="R740" i="1"/>
  <c r="Q741" i="1"/>
  <c r="R741" i="1"/>
  <c r="Q742" i="1"/>
  <c r="R742" i="1"/>
  <c r="Q743" i="1"/>
  <c r="R743" i="1"/>
  <c r="Q744" i="1"/>
  <c r="R744" i="1"/>
  <c r="Q745" i="1"/>
  <c r="R745" i="1"/>
  <c r="Q746" i="1"/>
  <c r="R746" i="1"/>
  <c r="Q747" i="1"/>
  <c r="R747" i="1"/>
  <c r="Q748" i="1"/>
  <c r="R748" i="1"/>
  <c r="Q749" i="1"/>
  <c r="R749" i="1"/>
  <c r="Q750" i="1"/>
  <c r="R750" i="1"/>
  <c r="Q751" i="1"/>
  <c r="R751" i="1"/>
  <c r="Q752" i="1"/>
  <c r="R752" i="1"/>
  <c r="Q753" i="1"/>
  <c r="R753" i="1"/>
  <c r="Q754" i="1"/>
  <c r="R754" i="1"/>
  <c r="Q755" i="1"/>
  <c r="R755" i="1"/>
  <c r="Q756" i="1"/>
  <c r="R756" i="1"/>
  <c r="Q757" i="1"/>
  <c r="R757" i="1"/>
  <c r="Q758" i="1"/>
  <c r="R758" i="1"/>
  <c r="Q759" i="1"/>
  <c r="R759" i="1"/>
  <c r="Q760" i="1"/>
  <c r="R760" i="1"/>
  <c r="Q761" i="1"/>
  <c r="R761" i="1"/>
  <c r="Q762" i="1"/>
  <c r="R762" i="1"/>
  <c r="Q763" i="1"/>
  <c r="R763" i="1"/>
  <c r="Q764" i="1"/>
  <c r="R764" i="1"/>
  <c r="Q765" i="1"/>
  <c r="R765" i="1"/>
  <c r="Q766" i="1"/>
  <c r="R766" i="1"/>
  <c r="Q767" i="1"/>
  <c r="R767" i="1"/>
  <c r="Q768" i="1"/>
  <c r="R768" i="1"/>
  <c r="Q769" i="1"/>
  <c r="R769" i="1"/>
  <c r="Q770" i="1"/>
  <c r="R770" i="1"/>
  <c r="Q771" i="1"/>
  <c r="R771" i="1"/>
  <c r="Q772" i="1"/>
  <c r="R772" i="1"/>
  <c r="Q773" i="1"/>
  <c r="R773" i="1"/>
  <c r="Q774" i="1"/>
  <c r="R774" i="1"/>
  <c r="Q775" i="1"/>
  <c r="R775" i="1"/>
  <c r="Q776" i="1"/>
  <c r="R776" i="1"/>
  <c r="Q777" i="1"/>
  <c r="R777" i="1"/>
  <c r="Q778" i="1"/>
  <c r="R778" i="1"/>
  <c r="Q779" i="1"/>
  <c r="R779" i="1"/>
  <c r="Q780" i="1"/>
  <c r="R780" i="1"/>
  <c r="Q781" i="1"/>
  <c r="R781" i="1"/>
  <c r="Q782" i="1"/>
  <c r="R782" i="1"/>
  <c r="Q783" i="1"/>
  <c r="R783" i="1"/>
  <c r="Q784" i="1"/>
  <c r="R784" i="1"/>
  <c r="Q785" i="1"/>
  <c r="R785" i="1"/>
  <c r="Q786" i="1"/>
  <c r="R786" i="1"/>
  <c r="Q787" i="1"/>
  <c r="R787" i="1"/>
  <c r="Q788" i="1"/>
  <c r="R788" i="1"/>
  <c r="Q789" i="1"/>
  <c r="R789" i="1"/>
  <c r="Q790" i="1"/>
  <c r="R790" i="1"/>
  <c r="Q791" i="1"/>
  <c r="R791" i="1"/>
  <c r="Q792" i="1"/>
  <c r="R792" i="1"/>
  <c r="Q793" i="1"/>
  <c r="R793" i="1"/>
  <c r="Q794" i="1"/>
  <c r="R794" i="1"/>
  <c r="Q795" i="1"/>
  <c r="R795" i="1"/>
  <c r="Q796" i="1"/>
  <c r="R796" i="1"/>
  <c r="Q797" i="1"/>
  <c r="R797" i="1"/>
  <c r="Q798" i="1"/>
  <c r="R798" i="1"/>
  <c r="Q799" i="1"/>
  <c r="R799" i="1"/>
  <c r="Q800" i="1"/>
  <c r="R800" i="1"/>
  <c r="Q801" i="1"/>
  <c r="R801" i="1"/>
  <c r="Q802" i="1"/>
  <c r="R802" i="1"/>
  <c r="Q803" i="1"/>
  <c r="R803" i="1"/>
  <c r="Q804" i="1"/>
  <c r="R804" i="1"/>
  <c r="Q805" i="1"/>
  <c r="R805" i="1"/>
  <c r="Q806" i="1"/>
  <c r="R806" i="1"/>
  <c r="Q807" i="1"/>
  <c r="R807" i="1"/>
  <c r="Q808" i="1"/>
  <c r="R808" i="1"/>
  <c r="Q809" i="1"/>
  <c r="R809" i="1"/>
  <c r="Q810" i="1"/>
  <c r="R810" i="1"/>
  <c r="Q811" i="1"/>
  <c r="R811" i="1"/>
  <c r="Q812" i="1"/>
  <c r="R812" i="1"/>
  <c r="Q813" i="1"/>
  <c r="R813" i="1"/>
  <c r="Q814" i="1"/>
  <c r="R814" i="1"/>
  <c r="Q815" i="1"/>
  <c r="R815" i="1"/>
  <c r="Q816" i="1"/>
  <c r="R816" i="1"/>
  <c r="Q817" i="1"/>
  <c r="R817" i="1"/>
  <c r="Q818" i="1"/>
  <c r="R818" i="1"/>
  <c r="Q819" i="1"/>
  <c r="R819" i="1"/>
  <c r="Q820" i="1"/>
  <c r="R820" i="1"/>
  <c r="Q821" i="1"/>
  <c r="R821" i="1"/>
  <c r="Q822" i="1"/>
  <c r="R822" i="1"/>
  <c r="Q823" i="1"/>
  <c r="R823" i="1"/>
  <c r="Q824" i="1"/>
  <c r="R824" i="1"/>
  <c r="Q825" i="1"/>
  <c r="R825" i="1"/>
  <c r="Q826" i="1"/>
  <c r="R826" i="1"/>
  <c r="Q827" i="1"/>
  <c r="R827" i="1"/>
  <c r="Q828" i="1"/>
  <c r="R828" i="1"/>
  <c r="Q829" i="1"/>
  <c r="R829" i="1"/>
  <c r="Q830" i="1"/>
  <c r="R830" i="1"/>
  <c r="Q831" i="1"/>
  <c r="R831" i="1"/>
  <c r="Q832" i="1"/>
  <c r="R832" i="1"/>
  <c r="Q833" i="1"/>
  <c r="R833" i="1"/>
  <c r="Q834" i="1"/>
  <c r="R834" i="1"/>
  <c r="Q835" i="1"/>
  <c r="R835" i="1"/>
  <c r="Q836" i="1"/>
  <c r="R836" i="1"/>
  <c r="Q837" i="1"/>
  <c r="R837" i="1"/>
  <c r="Q838" i="1"/>
  <c r="R838" i="1"/>
  <c r="Q839" i="1"/>
  <c r="R839" i="1"/>
  <c r="Q840" i="1"/>
  <c r="R840" i="1"/>
  <c r="Q841" i="1"/>
  <c r="R841" i="1"/>
  <c r="Q842" i="1"/>
  <c r="R842" i="1"/>
  <c r="Q843" i="1"/>
  <c r="R843" i="1"/>
  <c r="Q844" i="1"/>
  <c r="R844" i="1"/>
  <c r="Q845" i="1"/>
  <c r="R845" i="1"/>
  <c r="Q846" i="1"/>
  <c r="R846" i="1"/>
  <c r="Q847" i="1"/>
  <c r="R847" i="1"/>
  <c r="Q848" i="1"/>
  <c r="R848" i="1"/>
  <c r="Q849" i="1"/>
  <c r="R849" i="1"/>
  <c r="Q850" i="1"/>
  <c r="R850" i="1"/>
  <c r="Q851" i="1"/>
  <c r="R851" i="1"/>
  <c r="Q852" i="1"/>
  <c r="R852" i="1"/>
  <c r="Q853" i="1"/>
  <c r="R853" i="1"/>
  <c r="Q854" i="1"/>
  <c r="R854" i="1"/>
  <c r="Q855" i="1"/>
  <c r="R855" i="1"/>
  <c r="Q856" i="1"/>
  <c r="R856" i="1"/>
  <c r="Q857" i="1"/>
  <c r="R857" i="1"/>
  <c r="Q858" i="1"/>
  <c r="R858" i="1"/>
  <c r="Q859" i="1"/>
  <c r="R859" i="1"/>
  <c r="Q860" i="1"/>
  <c r="R860" i="1"/>
  <c r="Q861" i="1"/>
  <c r="R861" i="1"/>
  <c r="Q862" i="1"/>
  <c r="R862" i="1"/>
  <c r="Q863" i="1"/>
  <c r="R863" i="1"/>
  <c r="Q864" i="1"/>
  <c r="R864" i="1"/>
  <c r="Q865" i="1"/>
  <c r="R865" i="1"/>
  <c r="Q866" i="1"/>
  <c r="R866" i="1"/>
  <c r="Q867" i="1"/>
  <c r="R867" i="1"/>
  <c r="Q868" i="1"/>
  <c r="R868" i="1"/>
  <c r="Q869" i="1"/>
  <c r="R869" i="1"/>
  <c r="Q870" i="1"/>
  <c r="R870" i="1"/>
  <c r="Q871" i="1"/>
  <c r="R871" i="1"/>
  <c r="Q872" i="1"/>
  <c r="R872" i="1"/>
  <c r="Q873" i="1"/>
  <c r="R873" i="1"/>
  <c r="Q874" i="1"/>
  <c r="R874" i="1"/>
  <c r="Q875" i="1"/>
  <c r="R875" i="1"/>
  <c r="Q876" i="1"/>
  <c r="R876" i="1"/>
  <c r="Q877" i="1"/>
  <c r="R877" i="1"/>
  <c r="Q878" i="1"/>
  <c r="R878" i="1"/>
  <c r="Q879" i="1"/>
  <c r="R879" i="1"/>
  <c r="Q880" i="1"/>
  <c r="R880" i="1"/>
  <c r="Q881" i="1"/>
  <c r="R881" i="1"/>
  <c r="Q882" i="1"/>
  <c r="R882" i="1"/>
  <c r="Q883" i="1"/>
  <c r="R883" i="1"/>
  <c r="Q884" i="1"/>
  <c r="R884" i="1"/>
  <c r="Q885" i="1"/>
  <c r="R885" i="1"/>
  <c r="Q886" i="1"/>
  <c r="R886" i="1"/>
  <c r="Q887" i="1"/>
  <c r="R887" i="1"/>
  <c r="Q888" i="1"/>
  <c r="R888" i="1"/>
  <c r="Q889" i="1"/>
  <c r="R889" i="1"/>
  <c r="Q890" i="1"/>
  <c r="R890" i="1"/>
  <c r="Q891" i="1"/>
  <c r="R891" i="1"/>
  <c r="Q892" i="1"/>
  <c r="R892" i="1"/>
  <c r="Q893" i="1"/>
  <c r="R893" i="1"/>
  <c r="Q894" i="1"/>
  <c r="R894" i="1"/>
  <c r="Q895" i="1"/>
  <c r="R895" i="1"/>
  <c r="Q896" i="1"/>
  <c r="R896" i="1"/>
  <c r="Q897" i="1"/>
  <c r="R897" i="1"/>
  <c r="Q898" i="1"/>
  <c r="R898" i="1"/>
  <c r="Q899" i="1"/>
  <c r="R899" i="1"/>
  <c r="Q900" i="1"/>
  <c r="R900" i="1"/>
  <c r="Q901" i="1"/>
  <c r="R901" i="1"/>
  <c r="Q902" i="1"/>
  <c r="R902" i="1"/>
  <c r="Q903" i="1"/>
  <c r="R903" i="1"/>
  <c r="Q904" i="1"/>
  <c r="R904" i="1"/>
  <c r="Q905" i="1"/>
  <c r="R905" i="1"/>
  <c r="Q906" i="1"/>
  <c r="R906" i="1"/>
  <c r="Q907" i="1"/>
  <c r="R907" i="1"/>
  <c r="Q908" i="1"/>
  <c r="R908" i="1"/>
  <c r="Q909" i="1"/>
  <c r="R909" i="1"/>
  <c r="Q910" i="1"/>
  <c r="R910" i="1"/>
  <c r="Q911" i="1"/>
  <c r="R911" i="1"/>
  <c r="Q912" i="1"/>
  <c r="R912" i="1"/>
  <c r="Q913" i="1"/>
  <c r="R913" i="1"/>
  <c r="Q914" i="1"/>
  <c r="R914" i="1"/>
  <c r="Q915" i="1"/>
  <c r="R915" i="1"/>
  <c r="Q916" i="1"/>
  <c r="R916" i="1"/>
  <c r="Q917" i="1"/>
  <c r="R917" i="1"/>
  <c r="Q918" i="1"/>
  <c r="R918" i="1"/>
  <c r="Q919" i="1"/>
  <c r="R919" i="1"/>
  <c r="Q920" i="1"/>
  <c r="R920" i="1"/>
  <c r="Q921" i="1"/>
  <c r="R921" i="1"/>
  <c r="Q922" i="1"/>
  <c r="R922" i="1"/>
  <c r="Q923" i="1"/>
  <c r="R923" i="1"/>
  <c r="Q924" i="1"/>
  <c r="R924" i="1"/>
  <c r="Q925" i="1"/>
  <c r="R925" i="1"/>
  <c r="Q926" i="1"/>
  <c r="R926" i="1"/>
  <c r="Q927" i="1"/>
  <c r="R927" i="1"/>
  <c r="Q928" i="1"/>
  <c r="R928" i="1"/>
  <c r="Q929" i="1"/>
  <c r="R929" i="1"/>
  <c r="Q930" i="1"/>
  <c r="R930" i="1"/>
  <c r="Q931" i="1"/>
  <c r="R931" i="1"/>
  <c r="Q932" i="1"/>
  <c r="R932" i="1"/>
  <c r="Q933" i="1"/>
  <c r="R933" i="1"/>
  <c r="Q934" i="1"/>
  <c r="R934" i="1"/>
  <c r="Q935" i="1"/>
  <c r="R935" i="1"/>
  <c r="Q936" i="1"/>
  <c r="R936" i="1"/>
  <c r="Q937" i="1"/>
  <c r="R937" i="1"/>
  <c r="Q938" i="1"/>
  <c r="R938" i="1"/>
  <c r="Q939" i="1"/>
  <c r="R939" i="1"/>
  <c r="Q940" i="1"/>
  <c r="R940" i="1"/>
  <c r="Q941" i="1"/>
  <c r="R941" i="1"/>
  <c r="Q942" i="1"/>
  <c r="R942" i="1"/>
  <c r="Q943" i="1"/>
  <c r="R943" i="1"/>
  <c r="Q944" i="1"/>
  <c r="R944" i="1"/>
  <c r="Q945" i="1"/>
  <c r="R945" i="1"/>
  <c r="Q946" i="1"/>
  <c r="R946" i="1"/>
  <c r="Q947" i="1"/>
  <c r="R947" i="1"/>
  <c r="Q948" i="1"/>
  <c r="R948" i="1"/>
  <c r="Q949" i="1"/>
  <c r="R949" i="1"/>
  <c r="Q950" i="1"/>
  <c r="R950" i="1"/>
  <c r="Q951" i="1"/>
  <c r="R951" i="1"/>
  <c r="Q952" i="1"/>
  <c r="R952" i="1"/>
  <c r="Q953" i="1"/>
  <c r="R953" i="1"/>
  <c r="Q954" i="1"/>
  <c r="R954" i="1"/>
  <c r="Q955" i="1"/>
  <c r="R955" i="1"/>
  <c r="Q956" i="1"/>
  <c r="R956" i="1"/>
  <c r="Q957" i="1"/>
  <c r="R957" i="1"/>
  <c r="Q958" i="1"/>
  <c r="R958" i="1"/>
  <c r="Q959" i="1"/>
  <c r="R959" i="1"/>
  <c r="Q960" i="1"/>
  <c r="R960" i="1"/>
  <c r="Q961" i="1"/>
  <c r="R961" i="1"/>
  <c r="Q962" i="1"/>
  <c r="R962" i="1"/>
  <c r="Q963" i="1"/>
  <c r="R963" i="1"/>
  <c r="Q964" i="1"/>
  <c r="R964" i="1"/>
  <c r="Q965" i="1"/>
  <c r="R965" i="1"/>
  <c r="Q966" i="1"/>
  <c r="R966" i="1"/>
  <c r="Q967" i="1"/>
  <c r="R967" i="1"/>
  <c r="Q968" i="1"/>
  <c r="R968" i="1"/>
  <c r="Q969" i="1"/>
  <c r="R969" i="1"/>
  <c r="Q970" i="1"/>
  <c r="R970" i="1"/>
  <c r="Q971" i="1"/>
  <c r="R971" i="1"/>
  <c r="Q972" i="1"/>
  <c r="R972" i="1"/>
  <c r="Q973" i="1"/>
  <c r="R973" i="1"/>
  <c r="Q974" i="1"/>
  <c r="R974" i="1"/>
  <c r="Q975" i="1"/>
  <c r="R975" i="1"/>
  <c r="Q976" i="1"/>
  <c r="R976" i="1"/>
  <c r="Q977" i="1"/>
  <c r="R977" i="1"/>
  <c r="Q978" i="1"/>
  <c r="R978" i="1"/>
  <c r="Q979" i="1"/>
  <c r="R979" i="1"/>
  <c r="Q980" i="1"/>
  <c r="R980" i="1"/>
  <c r="Q981" i="1"/>
  <c r="R981" i="1"/>
  <c r="Q982" i="1"/>
  <c r="R982" i="1"/>
  <c r="Q983" i="1"/>
  <c r="R983" i="1"/>
  <c r="Q984" i="1"/>
  <c r="R984" i="1"/>
  <c r="Q985" i="1"/>
  <c r="R985" i="1"/>
  <c r="Q986" i="1"/>
  <c r="R986" i="1"/>
  <c r="Q987" i="1"/>
  <c r="R987" i="1"/>
  <c r="Q988" i="1"/>
  <c r="R988" i="1"/>
  <c r="Q989" i="1"/>
  <c r="R989" i="1"/>
  <c r="Q990" i="1"/>
  <c r="R990" i="1"/>
  <c r="Q991" i="1"/>
  <c r="R991" i="1"/>
  <c r="Q992" i="1"/>
  <c r="R992" i="1"/>
  <c r="Q993" i="1"/>
  <c r="R993" i="1"/>
  <c r="Q994" i="1"/>
  <c r="R994" i="1"/>
  <c r="Q995" i="1"/>
  <c r="R995" i="1"/>
  <c r="Q996" i="1"/>
  <c r="R996" i="1"/>
  <c r="Q997" i="1"/>
  <c r="R997" i="1"/>
  <c r="Q998" i="1"/>
  <c r="R998" i="1"/>
  <c r="Q999" i="1"/>
  <c r="R999" i="1"/>
  <c r="Q1000" i="1"/>
  <c r="R1000" i="1"/>
  <c r="Q1001" i="1"/>
  <c r="R1001" i="1"/>
  <c r="Q1002" i="1"/>
  <c r="R1002" i="1"/>
  <c r="Q1003" i="1"/>
  <c r="R1003" i="1"/>
  <c r="Q1004" i="1"/>
  <c r="R1004" i="1"/>
  <c r="Q1005" i="1"/>
  <c r="R1005" i="1"/>
  <c r="Q1006" i="1"/>
  <c r="R1006" i="1"/>
  <c r="Q1007" i="1"/>
  <c r="R1007" i="1"/>
  <c r="Q1008" i="1"/>
  <c r="R1008" i="1"/>
  <c r="Q1009" i="1"/>
  <c r="R1009" i="1"/>
  <c r="Q1010" i="1"/>
  <c r="R1010" i="1"/>
  <c r="Q1011" i="1"/>
  <c r="R1011" i="1"/>
  <c r="Q1012" i="1"/>
  <c r="R1012" i="1"/>
  <c r="Q1013" i="1"/>
  <c r="R1013" i="1"/>
  <c r="Q1014" i="1"/>
  <c r="R1014" i="1"/>
  <c r="Q1015" i="1"/>
  <c r="R1015" i="1"/>
  <c r="Q1016" i="1"/>
  <c r="R1016" i="1"/>
  <c r="Q1017" i="1"/>
  <c r="R1017" i="1"/>
  <c r="Q1018" i="1"/>
  <c r="R1018" i="1"/>
  <c r="Q1019" i="1"/>
  <c r="R1019" i="1"/>
  <c r="Q1020" i="1"/>
  <c r="R1020" i="1"/>
  <c r="Q1021" i="1"/>
  <c r="R1021" i="1"/>
  <c r="Q1022" i="1"/>
  <c r="R1022" i="1"/>
  <c r="Q1023" i="1"/>
  <c r="R1023" i="1"/>
  <c r="Q1024" i="1"/>
  <c r="R1024" i="1"/>
  <c r="Q1025" i="1"/>
  <c r="R1025" i="1"/>
  <c r="Q1026" i="1"/>
  <c r="R1026" i="1"/>
  <c r="Q1027" i="1"/>
  <c r="R1027" i="1"/>
  <c r="Q1028" i="1"/>
  <c r="R1028" i="1"/>
  <c r="Q1029" i="1"/>
  <c r="R1029" i="1"/>
  <c r="Q1030" i="1"/>
  <c r="R1030" i="1"/>
  <c r="Q1031" i="1"/>
  <c r="R1031" i="1"/>
  <c r="Q1032" i="1"/>
  <c r="R1032" i="1"/>
  <c r="Q1033" i="1"/>
  <c r="R1033" i="1"/>
  <c r="Q1034" i="1"/>
  <c r="R1034" i="1"/>
  <c r="Q1035" i="1"/>
  <c r="R1035" i="1"/>
  <c r="Q1036" i="1"/>
  <c r="R1036" i="1"/>
  <c r="Q1037" i="1"/>
  <c r="R1037" i="1"/>
  <c r="Q1038" i="1"/>
  <c r="R1038" i="1"/>
  <c r="Q1039" i="1"/>
  <c r="R1039" i="1"/>
  <c r="Q1040" i="1"/>
  <c r="R1040" i="1"/>
  <c r="Q1041" i="1"/>
  <c r="R1041" i="1"/>
  <c r="Q1042" i="1"/>
  <c r="R1042" i="1"/>
  <c r="Q1043" i="1"/>
  <c r="R1043" i="1"/>
  <c r="Q1044" i="1"/>
  <c r="R1044" i="1"/>
  <c r="Q1045" i="1"/>
  <c r="R1045" i="1"/>
  <c r="Q1046" i="1"/>
  <c r="R1046" i="1"/>
  <c r="Q1047" i="1"/>
  <c r="R1047" i="1"/>
  <c r="Q1048" i="1"/>
  <c r="R1048" i="1"/>
  <c r="Q1049" i="1"/>
  <c r="R1049" i="1"/>
  <c r="Q1050" i="1"/>
  <c r="R1050" i="1"/>
  <c r="Q1051" i="1"/>
  <c r="R1051" i="1"/>
  <c r="Q1052" i="1"/>
  <c r="R1052" i="1"/>
  <c r="Q1053" i="1"/>
  <c r="R1053" i="1"/>
  <c r="Q1054" i="1"/>
  <c r="R1054" i="1"/>
  <c r="Q1055" i="1"/>
  <c r="R1055" i="1"/>
  <c r="Q1056" i="1"/>
  <c r="R1056" i="1"/>
  <c r="Q1057" i="1"/>
  <c r="R1057" i="1"/>
  <c r="Q1058" i="1"/>
  <c r="R1058" i="1"/>
  <c r="Q1059" i="1"/>
  <c r="R1059" i="1"/>
  <c r="Q1060" i="1"/>
  <c r="R1060" i="1"/>
  <c r="Q1061" i="1"/>
  <c r="R1061" i="1"/>
  <c r="Q1062" i="1"/>
  <c r="R1062" i="1"/>
  <c r="Q1063" i="1"/>
  <c r="R1063" i="1"/>
  <c r="Q1064" i="1"/>
  <c r="R1064" i="1"/>
  <c r="Q1065" i="1"/>
  <c r="R1065" i="1"/>
  <c r="Q1066" i="1"/>
  <c r="R1066" i="1"/>
  <c r="Q1067" i="1"/>
  <c r="R1067" i="1"/>
  <c r="Q1068" i="1"/>
  <c r="R1068" i="1"/>
  <c r="Q1069" i="1"/>
  <c r="R1069" i="1"/>
  <c r="Q1070" i="1"/>
  <c r="R1070" i="1"/>
  <c r="Q1071" i="1"/>
  <c r="R1071" i="1"/>
  <c r="Q1072" i="1"/>
  <c r="R1072" i="1"/>
  <c r="Q1073" i="1"/>
  <c r="R1073" i="1"/>
  <c r="Q1074" i="1"/>
  <c r="R1074" i="1"/>
  <c r="Q1075" i="1"/>
  <c r="R1075" i="1"/>
  <c r="Q1076" i="1"/>
  <c r="R1076" i="1"/>
  <c r="Q1077" i="1"/>
  <c r="R1077" i="1"/>
  <c r="Q1078" i="1"/>
  <c r="R1078" i="1"/>
  <c r="Q1079" i="1"/>
  <c r="R1079" i="1"/>
  <c r="Q1080" i="1"/>
  <c r="R1080" i="1"/>
  <c r="Q1081" i="1"/>
  <c r="R1081" i="1"/>
  <c r="Q1082" i="1"/>
  <c r="R1082" i="1"/>
  <c r="Q1083" i="1"/>
  <c r="R1083" i="1"/>
  <c r="Q1084" i="1"/>
  <c r="R1084" i="1"/>
  <c r="Q1085" i="1"/>
  <c r="R1085" i="1"/>
  <c r="Q1086" i="1"/>
  <c r="R1086" i="1"/>
  <c r="Q1087" i="1"/>
  <c r="R1087" i="1"/>
  <c r="Q1088" i="1"/>
  <c r="R1088" i="1"/>
  <c r="Q1089" i="1"/>
  <c r="R1089" i="1"/>
  <c r="Q1090" i="1"/>
  <c r="R1090" i="1"/>
  <c r="Q1091" i="1"/>
  <c r="R1091" i="1"/>
  <c r="Q1092" i="1"/>
  <c r="R1092" i="1"/>
  <c r="Q1093" i="1"/>
  <c r="R1093" i="1"/>
  <c r="Q1094" i="1"/>
  <c r="R1094" i="1"/>
  <c r="Q1095" i="1"/>
  <c r="R1095" i="1"/>
  <c r="Q1096" i="1"/>
  <c r="R1096" i="1"/>
  <c r="Q1097" i="1"/>
  <c r="R1097" i="1"/>
  <c r="Q1098" i="1"/>
  <c r="R1098" i="1"/>
  <c r="Q1099" i="1"/>
  <c r="R1099" i="1"/>
  <c r="Q1100" i="1"/>
  <c r="R1100" i="1"/>
  <c r="Q1101" i="1"/>
  <c r="R1101" i="1"/>
  <c r="Q1102" i="1"/>
  <c r="R1102" i="1"/>
  <c r="Q1103" i="1"/>
  <c r="R1103" i="1"/>
  <c r="Q1104" i="1"/>
  <c r="R1104" i="1"/>
  <c r="Q1105" i="1"/>
  <c r="R1105" i="1"/>
  <c r="Q1106" i="1"/>
  <c r="R1106" i="1"/>
  <c r="Q1107" i="1"/>
  <c r="R1107" i="1"/>
  <c r="Q1108" i="1"/>
  <c r="R1108" i="1"/>
  <c r="Q1109" i="1"/>
  <c r="R1109" i="1"/>
  <c r="Q1110" i="1"/>
  <c r="R1110" i="1"/>
  <c r="Q1111" i="1"/>
  <c r="R1111" i="1"/>
  <c r="Q1112" i="1"/>
  <c r="R1112" i="1"/>
  <c r="Q1113" i="1"/>
  <c r="R1113" i="1"/>
  <c r="Q1114" i="1"/>
  <c r="R1114" i="1"/>
  <c r="Q1115" i="1"/>
  <c r="R1115" i="1"/>
  <c r="Q1116" i="1"/>
  <c r="R1116" i="1"/>
  <c r="Q1117" i="1"/>
  <c r="R1117" i="1"/>
  <c r="Q1118" i="1"/>
  <c r="R1118" i="1"/>
  <c r="Q1119" i="1"/>
  <c r="R1119" i="1"/>
  <c r="Q1120" i="1"/>
  <c r="R1120" i="1"/>
  <c r="Q1121" i="1"/>
  <c r="R1121" i="1"/>
  <c r="Q1122" i="1"/>
  <c r="R1122" i="1"/>
  <c r="Q1123" i="1"/>
  <c r="R1123" i="1"/>
  <c r="Q1124" i="1"/>
  <c r="R1124" i="1"/>
  <c r="Q1125" i="1"/>
  <c r="R1125" i="1"/>
  <c r="Q1126" i="1"/>
  <c r="R1126" i="1"/>
  <c r="Q1127" i="1"/>
  <c r="R1127" i="1"/>
  <c r="Q1128" i="1"/>
  <c r="R1128" i="1"/>
  <c r="Q1129" i="1"/>
  <c r="R1129" i="1"/>
  <c r="Q1130" i="1"/>
  <c r="R1130" i="1"/>
  <c r="Q1131" i="1"/>
  <c r="R1131" i="1"/>
  <c r="Q1132" i="1"/>
  <c r="R1132" i="1"/>
  <c r="Q1133" i="1"/>
  <c r="R1133" i="1"/>
  <c r="Q1134" i="1"/>
  <c r="R1134" i="1"/>
  <c r="Q1135" i="1"/>
  <c r="R1135" i="1"/>
  <c r="Q1136" i="1"/>
  <c r="R1136" i="1"/>
  <c r="Q1137" i="1"/>
  <c r="R1137" i="1"/>
  <c r="Q1138" i="1"/>
  <c r="R1138" i="1"/>
  <c r="Q1139" i="1"/>
  <c r="R1139" i="1"/>
  <c r="Q1140" i="1"/>
  <c r="R1140" i="1"/>
  <c r="Q1141" i="1"/>
  <c r="R1141" i="1"/>
  <c r="Q1142" i="1"/>
  <c r="R1142" i="1"/>
  <c r="Q1143" i="1"/>
  <c r="R1143" i="1"/>
  <c r="Q1144" i="1"/>
  <c r="R1144" i="1"/>
  <c r="Q1145" i="1"/>
  <c r="R1145" i="1"/>
  <c r="Q1146" i="1"/>
  <c r="R1146" i="1"/>
  <c r="Q1147" i="1"/>
  <c r="R1147" i="1"/>
  <c r="Q1148" i="1"/>
  <c r="R1148" i="1"/>
  <c r="Q1149" i="1"/>
  <c r="R1149" i="1"/>
  <c r="Q1150" i="1"/>
  <c r="R1150" i="1"/>
  <c r="Q1151" i="1"/>
  <c r="R1151" i="1"/>
  <c r="Q1152" i="1"/>
  <c r="R1152" i="1"/>
  <c r="Q1153" i="1"/>
  <c r="R1153" i="1"/>
  <c r="Q1154" i="1"/>
  <c r="R1154" i="1"/>
  <c r="Q1155" i="1"/>
  <c r="R1155" i="1"/>
  <c r="Q1156" i="1"/>
  <c r="R1156" i="1"/>
  <c r="Q1157" i="1"/>
  <c r="R1157" i="1"/>
  <c r="Q1158" i="1"/>
  <c r="R1158" i="1"/>
  <c r="Q1159" i="1"/>
  <c r="R1159" i="1"/>
  <c r="Q1160" i="1"/>
  <c r="R1160" i="1"/>
  <c r="Q1161" i="1"/>
  <c r="R1161" i="1"/>
  <c r="Q1162" i="1"/>
  <c r="R1162" i="1"/>
  <c r="Q1163" i="1"/>
  <c r="R1163" i="1"/>
  <c r="Q1164" i="1"/>
  <c r="R1164" i="1"/>
  <c r="Q1165" i="1"/>
  <c r="R1165" i="1"/>
  <c r="Q1166" i="1"/>
  <c r="R1166" i="1"/>
  <c r="Q1167" i="1"/>
  <c r="R1167" i="1"/>
  <c r="Q1168" i="1"/>
  <c r="R1168" i="1"/>
  <c r="Q1169" i="1"/>
  <c r="R1169" i="1"/>
  <c r="Q1170" i="1"/>
  <c r="R1170" i="1"/>
  <c r="Q1171" i="1"/>
  <c r="R1171" i="1"/>
  <c r="Q1172" i="1"/>
  <c r="R1172" i="1"/>
  <c r="Q1173" i="1"/>
  <c r="R1173" i="1"/>
  <c r="Q1174" i="1"/>
  <c r="R1174" i="1"/>
  <c r="Q1175" i="1"/>
  <c r="R1175" i="1"/>
  <c r="Q1176" i="1"/>
  <c r="R1176" i="1"/>
  <c r="Q1177" i="1"/>
  <c r="R1177" i="1"/>
  <c r="Q1178" i="1"/>
  <c r="R1178" i="1"/>
  <c r="Q1179" i="1"/>
  <c r="R1179" i="1"/>
  <c r="Q1180" i="1"/>
  <c r="R1180" i="1"/>
  <c r="Q1181" i="1"/>
  <c r="R1181" i="1"/>
  <c r="Q1182" i="1"/>
  <c r="R1182" i="1"/>
  <c r="Q1183" i="1"/>
  <c r="R1183" i="1"/>
  <c r="Q1184" i="1"/>
  <c r="R1184" i="1"/>
  <c r="Q1185" i="1"/>
  <c r="R1185" i="1"/>
  <c r="Q1186" i="1"/>
  <c r="R1186" i="1"/>
  <c r="Q1187" i="1"/>
  <c r="R1187" i="1"/>
  <c r="Q1188" i="1"/>
  <c r="R1188" i="1"/>
  <c r="Q1189" i="1"/>
  <c r="R1189" i="1"/>
  <c r="Q1190" i="1"/>
  <c r="R1190" i="1"/>
  <c r="Q1191" i="1"/>
  <c r="R1191" i="1"/>
  <c r="Q1192" i="1"/>
  <c r="R1192" i="1"/>
  <c r="Q1193" i="1"/>
  <c r="R1193" i="1"/>
  <c r="Q1194" i="1"/>
  <c r="R1194" i="1"/>
  <c r="Q1195" i="1"/>
  <c r="R1195" i="1"/>
  <c r="Q1196" i="1"/>
  <c r="R1196" i="1"/>
  <c r="Q1197" i="1"/>
  <c r="R1197" i="1"/>
  <c r="Q1198" i="1"/>
  <c r="R1198" i="1"/>
  <c r="Q1199" i="1"/>
  <c r="R1199" i="1"/>
  <c r="Q1200" i="1"/>
  <c r="R1200" i="1"/>
  <c r="Q1201" i="1"/>
  <c r="R1201" i="1"/>
  <c r="Q1202" i="1"/>
  <c r="R1202" i="1"/>
  <c r="Q1203" i="1"/>
  <c r="R1203" i="1"/>
  <c r="Q1204" i="1"/>
  <c r="R1204" i="1"/>
  <c r="Q1205" i="1"/>
  <c r="R1205" i="1"/>
  <c r="Q1206" i="1"/>
  <c r="R1206" i="1"/>
  <c r="Q1207" i="1"/>
  <c r="R1207" i="1"/>
  <c r="Q1208" i="1"/>
  <c r="R1208" i="1"/>
  <c r="Q1209" i="1"/>
  <c r="R1209" i="1"/>
  <c r="Q1210" i="1"/>
  <c r="R1210" i="1"/>
  <c r="Q1211" i="1"/>
  <c r="R1211" i="1"/>
  <c r="Q1212" i="1"/>
  <c r="R1212" i="1"/>
  <c r="Q1213" i="1"/>
  <c r="R1213" i="1"/>
  <c r="Q1214" i="1"/>
  <c r="R1214" i="1"/>
  <c r="Q1215" i="1"/>
  <c r="R1215" i="1"/>
  <c r="Q1216" i="1"/>
  <c r="R1216" i="1"/>
  <c r="Q1217" i="1"/>
  <c r="R1217" i="1"/>
  <c r="Q1218" i="1"/>
  <c r="R1218" i="1"/>
  <c r="Q1219" i="1"/>
  <c r="R1219" i="1"/>
  <c r="Q1220" i="1"/>
  <c r="R1220" i="1"/>
  <c r="Q1221" i="1"/>
  <c r="R1221" i="1"/>
  <c r="Q1222" i="1"/>
  <c r="R1222" i="1"/>
  <c r="Q1223" i="1"/>
  <c r="R1223" i="1"/>
  <c r="Q1224" i="1"/>
  <c r="R1224" i="1"/>
  <c r="Q1225" i="1"/>
  <c r="R1225" i="1"/>
  <c r="Q1226" i="1"/>
  <c r="R1226" i="1"/>
  <c r="Q1227" i="1"/>
  <c r="R1227" i="1"/>
  <c r="Q1228" i="1"/>
  <c r="R1228" i="1"/>
  <c r="Q1229" i="1"/>
  <c r="R1229" i="1"/>
  <c r="Q1230" i="1"/>
  <c r="R1230" i="1"/>
  <c r="Q1231" i="1"/>
  <c r="R1231" i="1"/>
  <c r="Q1232" i="1"/>
  <c r="R1232" i="1"/>
  <c r="Q1233" i="1"/>
  <c r="R1233" i="1"/>
  <c r="Q1234" i="1"/>
  <c r="R1234" i="1"/>
  <c r="Q1235" i="1"/>
  <c r="R1235" i="1"/>
  <c r="Q1236" i="1"/>
  <c r="R1236" i="1"/>
  <c r="Q1237" i="1"/>
  <c r="R1237" i="1"/>
  <c r="Q1238" i="1"/>
  <c r="R1238" i="1"/>
  <c r="Q1239" i="1"/>
  <c r="R1239" i="1"/>
  <c r="Q1240" i="1"/>
  <c r="R1240" i="1"/>
  <c r="Q1241" i="1"/>
  <c r="R1241" i="1"/>
  <c r="Q1242" i="1"/>
  <c r="R1242" i="1"/>
  <c r="Q1243" i="1"/>
  <c r="R1243" i="1"/>
  <c r="Q1244" i="1"/>
  <c r="R1244" i="1"/>
  <c r="Q1245" i="1"/>
  <c r="R1245" i="1"/>
  <c r="Q1246" i="1"/>
  <c r="R1246" i="1"/>
  <c r="Q1247" i="1"/>
  <c r="R1247" i="1"/>
  <c r="Q1248" i="1"/>
  <c r="R1248" i="1"/>
  <c r="Q1249" i="1"/>
  <c r="R1249" i="1"/>
  <c r="Q1250" i="1"/>
  <c r="R1250" i="1"/>
  <c r="Q1251" i="1"/>
  <c r="R1251" i="1"/>
  <c r="Q1252" i="1"/>
  <c r="R1252" i="1"/>
  <c r="Q1253" i="1"/>
  <c r="R1253" i="1"/>
  <c r="Q1254" i="1"/>
  <c r="R1254" i="1"/>
  <c r="Q1255" i="1"/>
  <c r="R1255" i="1"/>
  <c r="Q1256" i="1"/>
  <c r="R1256" i="1"/>
  <c r="Q1257" i="1"/>
  <c r="R1257" i="1"/>
  <c r="Q1258" i="1"/>
  <c r="R1258" i="1"/>
  <c r="Q1259" i="1"/>
  <c r="R1259" i="1"/>
  <c r="Q1260" i="1"/>
  <c r="R1260" i="1"/>
  <c r="Q1261" i="1"/>
  <c r="R1261" i="1"/>
  <c r="Q1262" i="1"/>
  <c r="R1262" i="1"/>
  <c r="Q1263" i="1"/>
  <c r="R1263" i="1"/>
  <c r="Q1264" i="1"/>
  <c r="R1264" i="1"/>
  <c r="Q1265" i="1"/>
  <c r="R1265" i="1"/>
  <c r="Q1266" i="1"/>
  <c r="R1266" i="1"/>
  <c r="Q1267" i="1"/>
  <c r="R1267" i="1"/>
  <c r="Q1268" i="1"/>
  <c r="R1268" i="1"/>
  <c r="Q1269" i="1"/>
  <c r="R1269" i="1"/>
  <c r="Q1270" i="1"/>
  <c r="R1270" i="1"/>
  <c r="Q1271" i="1"/>
  <c r="R1271" i="1"/>
  <c r="Q1272" i="1"/>
  <c r="R1272" i="1"/>
  <c r="Q1273" i="1"/>
  <c r="R1273" i="1"/>
  <c r="Q1274" i="1"/>
  <c r="R1274" i="1"/>
  <c r="Q1275" i="1"/>
  <c r="R1275" i="1"/>
  <c r="Q1276" i="1"/>
  <c r="R1276" i="1"/>
  <c r="Q1277" i="1"/>
  <c r="R1277" i="1"/>
  <c r="Q1278" i="1"/>
  <c r="R1278" i="1"/>
  <c r="Q1279" i="1"/>
  <c r="R1279" i="1"/>
  <c r="Q1280" i="1"/>
  <c r="R1280" i="1"/>
  <c r="Q1281" i="1"/>
  <c r="R1281" i="1"/>
  <c r="Q1282" i="1"/>
  <c r="R1282" i="1"/>
  <c r="Q1283" i="1"/>
  <c r="R1283" i="1"/>
  <c r="Q1284" i="1"/>
  <c r="R1284" i="1"/>
  <c r="Q1285" i="1"/>
  <c r="R1285" i="1"/>
  <c r="Q1286" i="1"/>
  <c r="R1286" i="1"/>
  <c r="Q1287" i="1"/>
  <c r="R1287" i="1"/>
  <c r="Q1288" i="1"/>
  <c r="R1288" i="1"/>
  <c r="Q1289" i="1"/>
  <c r="R1289" i="1"/>
  <c r="Q1290" i="1"/>
  <c r="R1290" i="1"/>
  <c r="Q1291" i="1"/>
  <c r="R1291" i="1"/>
  <c r="Q1292" i="1"/>
  <c r="R1292" i="1"/>
  <c r="Q1293" i="1"/>
  <c r="R1293" i="1"/>
  <c r="Q1294" i="1"/>
  <c r="R1294" i="1"/>
  <c r="Q1295" i="1"/>
  <c r="R1295" i="1"/>
  <c r="Q1296" i="1"/>
  <c r="R1296" i="1"/>
  <c r="Q1297" i="1"/>
  <c r="R1297" i="1"/>
  <c r="Q1298" i="1"/>
  <c r="R1298" i="1"/>
  <c r="Q1299" i="1"/>
  <c r="R1299" i="1"/>
  <c r="Q1300" i="1"/>
  <c r="R1300" i="1"/>
  <c r="Q1301" i="1"/>
  <c r="R1301" i="1"/>
  <c r="Q1302" i="1"/>
  <c r="R1302" i="1"/>
  <c r="Q1303" i="1"/>
  <c r="R1303" i="1"/>
  <c r="Q1304" i="1"/>
  <c r="R1304" i="1"/>
  <c r="Q1305" i="1"/>
  <c r="R1305" i="1"/>
  <c r="Q1306" i="1"/>
  <c r="R1306" i="1"/>
  <c r="Q1307" i="1"/>
  <c r="R1307" i="1"/>
  <c r="Q1308" i="1"/>
  <c r="R1308" i="1"/>
  <c r="Q1309" i="1"/>
  <c r="R1309" i="1"/>
  <c r="Q1310" i="1"/>
  <c r="R1310" i="1"/>
  <c r="Q1311" i="1"/>
  <c r="R1311" i="1"/>
  <c r="Q1312" i="1"/>
  <c r="R1312" i="1"/>
  <c r="Q1313" i="1"/>
  <c r="R1313" i="1"/>
  <c r="Q1314" i="1"/>
  <c r="R1314" i="1"/>
  <c r="Q1315" i="1"/>
  <c r="R1315" i="1"/>
  <c r="Q1316" i="1"/>
  <c r="R1316" i="1"/>
  <c r="Q1317" i="1"/>
  <c r="R1317" i="1"/>
  <c r="Q1318" i="1"/>
  <c r="R1318" i="1"/>
  <c r="Q1319" i="1"/>
  <c r="R1319" i="1"/>
  <c r="Q1320" i="1"/>
  <c r="R1320" i="1"/>
  <c r="Q1321" i="1"/>
  <c r="R1321" i="1"/>
  <c r="Q1322" i="1"/>
  <c r="R1322" i="1"/>
  <c r="Q1323" i="1"/>
  <c r="R1323" i="1"/>
  <c r="Q1324" i="1"/>
  <c r="R1324" i="1"/>
  <c r="Q1325" i="1"/>
  <c r="R1325" i="1"/>
  <c r="Q1326" i="1"/>
  <c r="R1326" i="1"/>
  <c r="Q1327" i="1"/>
  <c r="R1327" i="1"/>
  <c r="Q1328" i="1"/>
  <c r="R1328" i="1"/>
  <c r="Q1329" i="1"/>
  <c r="R1329" i="1"/>
  <c r="Q1330" i="1"/>
  <c r="R1330" i="1"/>
  <c r="Q1331" i="1"/>
  <c r="R1331" i="1"/>
  <c r="Q1332" i="1"/>
  <c r="R1332" i="1"/>
  <c r="Q1333" i="1"/>
  <c r="R1333" i="1"/>
  <c r="Q1334" i="1"/>
  <c r="R1334" i="1"/>
  <c r="Q1335" i="1"/>
  <c r="R1335" i="1"/>
  <c r="Q1336" i="1"/>
  <c r="R1336" i="1"/>
  <c r="Q1337" i="1"/>
  <c r="R1337" i="1"/>
  <c r="Q1338" i="1"/>
  <c r="R1338" i="1"/>
  <c r="Q1339" i="1"/>
  <c r="R1339" i="1"/>
  <c r="Q1340" i="1"/>
  <c r="R1340" i="1"/>
  <c r="Q1341" i="1"/>
  <c r="R1341" i="1"/>
  <c r="Q1342" i="1"/>
  <c r="R1342" i="1"/>
  <c r="Q1343" i="1"/>
  <c r="R1343" i="1"/>
  <c r="Q1344" i="1"/>
  <c r="R1344" i="1"/>
  <c r="Q1345" i="1"/>
  <c r="R1345" i="1"/>
  <c r="Q1346" i="1"/>
  <c r="R1346" i="1"/>
  <c r="Q1347" i="1"/>
  <c r="R1347" i="1"/>
  <c r="Q1348" i="1"/>
  <c r="R1348" i="1"/>
  <c r="Q1349" i="1"/>
  <c r="R1349" i="1"/>
  <c r="Q1350" i="1"/>
  <c r="R1350" i="1"/>
  <c r="Q1351" i="1"/>
  <c r="R1351" i="1"/>
  <c r="Q1352" i="1"/>
  <c r="R1352" i="1"/>
  <c r="Q1353" i="1"/>
  <c r="R1353" i="1"/>
  <c r="Q1354" i="1"/>
  <c r="R1354" i="1"/>
  <c r="Q1355" i="1"/>
  <c r="R1355" i="1"/>
  <c r="Q1356" i="1"/>
  <c r="R1356" i="1"/>
  <c r="Q1357" i="1"/>
  <c r="R1357" i="1"/>
  <c r="Q1358" i="1"/>
  <c r="R1358" i="1"/>
  <c r="Q1359" i="1"/>
  <c r="R1359" i="1"/>
  <c r="Q1360" i="1"/>
  <c r="R1360" i="1"/>
  <c r="Q1361" i="1"/>
  <c r="R1361" i="1"/>
  <c r="Q1362" i="1"/>
  <c r="R1362" i="1"/>
  <c r="Q1363" i="1"/>
  <c r="R1363" i="1"/>
  <c r="Q1364" i="1"/>
  <c r="R1364" i="1"/>
  <c r="Q1365" i="1"/>
  <c r="R1365" i="1"/>
  <c r="Q1366" i="1"/>
  <c r="R1366" i="1"/>
  <c r="Q1367" i="1"/>
  <c r="R1367" i="1"/>
  <c r="Q1368" i="1"/>
  <c r="R1368" i="1"/>
  <c r="Q1369" i="1"/>
  <c r="R1369" i="1"/>
  <c r="Q1370" i="1"/>
  <c r="R1370" i="1"/>
  <c r="Q1371" i="1"/>
  <c r="R1371" i="1"/>
  <c r="Q1372" i="1"/>
  <c r="R1372" i="1"/>
  <c r="Q1373" i="1"/>
  <c r="R1373" i="1"/>
  <c r="Q1374" i="1"/>
  <c r="R1374" i="1"/>
  <c r="Q1375" i="1"/>
  <c r="R1375" i="1"/>
  <c r="Q1376" i="1"/>
  <c r="R1376" i="1"/>
  <c r="Q1377" i="1"/>
  <c r="R1377" i="1"/>
  <c r="Q1378" i="1"/>
  <c r="R1378" i="1"/>
  <c r="Q1379" i="1"/>
  <c r="R1379" i="1"/>
  <c r="Q1380" i="1"/>
  <c r="R1380" i="1"/>
  <c r="Q1381" i="1"/>
  <c r="R1381" i="1"/>
  <c r="Q1382" i="1"/>
  <c r="R1382" i="1"/>
  <c r="Q1383" i="1"/>
  <c r="R1383" i="1"/>
  <c r="Q1384" i="1"/>
  <c r="R1384" i="1"/>
  <c r="Q1385" i="1"/>
  <c r="R1385" i="1"/>
  <c r="Q1386" i="1"/>
  <c r="R1386" i="1"/>
  <c r="Q1387" i="1"/>
  <c r="R1387" i="1"/>
  <c r="Q1388" i="1"/>
  <c r="R1388" i="1"/>
  <c r="Q1389" i="1"/>
  <c r="R1389" i="1"/>
  <c r="Q1390" i="1"/>
  <c r="R1390" i="1"/>
  <c r="Q1391" i="1"/>
  <c r="R1391" i="1"/>
  <c r="Q1392" i="1"/>
  <c r="R1392" i="1"/>
  <c r="Q1393" i="1"/>
  <c r="R1393" i="1"/>
  <c r="Q1394" i="1"/>
  <c r="R1394" i="1"/>
  <c r="Q1395" i="1"/>
  <c r="R1395" i="1"/>
  <c r="Q1396" i="1"/>
  <c r="R1396" i="1"/>
  <c r="Q1397" i="1"/>
  <c r="R1397" i="1"/>
  <c r="Q1398" i="1"/>
  <c r="R1398" i="1"/>
  <c r="Q1399" i="1"/>
  <c r="R1399" i="1"/>
  <c r="Q1400" i="1"/>
  <c r="R1400" i="1"/>
  <c r="Q1401" i="1"/>
  <c r="R1401" i="1"/>
  <c r="Q1402" i="1"/>
  <c r="R1402" i="1"/>
  <c r="Q1403" i="1"/>
  <c r="R1403" i="1"/>
  <c r="Q1404" i="1"/>
  <c r="R1404" i="1"/>
  <c r="Q1405" i="1"/>
  <c r="R1405" i="1"/>
  <c r="Q1406" i="1"/>
  <c r="R1406" i="1"/>
  <c r="Q1407" i="1"/>
  <c r="R1407" i="1"/>
  <c r="Q1408" i="1"/>
  <c r="R1408" i="1"/>
  <c r="Q1409" i="1"/>
  <c r="R1409" i="1"/>
  <c r="Q1410" i="1"/>
  <c r="R1410" i="1"/>
  <c r="Q1411" i="1"/>
  <c r="R1411" i="1"/>
  <c r="Q1412" i="1"/>
  <c r="R1412" i="1"/>
  <c r="Q1413" i="1"/>
  <c r="R1413" i="1"/>
  <c r="Q1414" i="1"/>
  <c r="R1414" i="1"/>
  <c r="Q1415" i="1"/>
  <c r="R1415" i="1"/>
  <c r="Q1416" i="1"/>
  <c r="R1416" i="1"/>
  <c r="Q1417" i="1"/>
  <c r="R1417" i="1"/>
  <c r="Q1418" i="1"/>
  <c r="R1418" i="1"/>
  <c r="Q1419" i="1"/>
  <c r="R1419" i="1"/>
  <c r="Q1420" i="1"/>
  <c r="R1420" i="1"/>
  <c r="Q1421" i="1"/>
  <c r="R1421" i="1"/>
  <c r="Q1422" i="1"/>
  <c r="R1422" i="1"/>
  <c r="Q1423" i="1"/>
  <c r="R1423" i="1"/>
  <c r="Q1424" i="1"/>
  <c r="R1424" i="1"/>
  <c r="Q1425" i="1"/>
  <c r="R1425" i="1"/>
  <c r="Q1426" i="1"/>
  <c r="R1426" i="1"/>
  <c r="Q1427" i="1"/>
  <c r="R1427" i="1"/>
  <c r="Q1428" i="1"/>
  <c r="R1428" i="1"/>
  <c r="Q1429" i="1"/>
  <c r="R1429" i="1"/>
  <c r="Q1430" i="1"/>
  <c r="R1430" i="1"/>
  <c r="Q1431" i="1"/>
  <c r="R1431" i="1"/>
  <c r="Q1432" i="1"/>
  <c r="R1432" i="1"/>
  <c r="Q1433" i="1"/>
  <c r="R1433" i="1"/>
  <c r="Q1434" i="1"/>
  <c r="R1434" i="1"/>
  <c r="Q1435" i="1"/>
  <c r="R1435" i="1"/>
  <c r="Q1436" i="1"/>
  <c r="R1436" i="1"/>
  <c r="Q1437" i="1"/>
  <c r="R1437" i="1"/>
  <c r="Q1438" i="1"/>
  <c r="R1438" i="1"/>
  <c r="Q1439" i="1"/>
  <c r="R1439" i="1"/>
  <c r="Q1440" i="1"/>
  <c r="R1440" i="1"/>
  <c r="Q1441" i="1"/>
  <c r="R1441" i="1"/>
  <c r="Q1442" i="1"/>
  <c r="R1442" i="1"/>
  <c r="Q1443" i="1"/>
  <c r="R1443" i="1"/>
  <c r="Q1444" i="1"/>
  <c r="R1444" i="1"/>
  <c r="Q1445" i="1"/>
  <c r="R1445" i="1"/>
  <c r="Q1446" i="1"/>
  <c r="R1446" i="1"/>
  <c r="Q1447" i="1"/>
  <c r="R1447" i="1"/>
  <c r="Q1448" i="1"/>
  <c r="R1448" i="1"/>
  <c r="Q1449" i="1"/>
  <c r="R1449" i="1"/>
  <c r="Q1450" i="1"/>
  <c r="R1450" i="1"/>
  <c r="Q1451" i="1"/>
  <c r="R1451" i="1"/>
  <c r="Q1452" i="1"/>
  <c r="R1452" i="1"/>
  <c r="Q1453" i="1"/>
  <c r="R1453" i="1"/>
  <c r="Q1454" i="1"/>
  <c r="R1454" i="1"/>
  <c r="Q1455" i="1"/>
  <c r="R1455" i="1"/>
  <c r="Q1456" i="1"/>
  <c r="R1456" i="1"/>
  <c r="Q1457" i="1"/>
  <c r="R1457" i="1"/>
  <c r="Q1458" i="1"/>
  <c r="R1458" i="1"/>
  <c r="Q1459" i="1"/>
  <c r="R1459" i="1"/>
  <c r="Q1460" i="1"/>
  <c r="R1460" i="1"/>
  <c r="Q1461" i="1"/>
  <c r="R1461" i="1"/>
  <c r="Q1462" i="1"/>
  <c r="R1462" i="1"/>
  <c r="Q1463" i="1"/>
  <c r="R1463" i="1"/>
  <c r="Q1464" i="1"/>
  <c r="R1464" i="1"/>
  <c r="Q1465" i="1"/>
  <c r="R1465" i="1"/>
  <c r="Q1466" i="1"/>
  <c r="R1466" i="1"/>
  <c r="Q1467" i="1"/>
  <c r="R1467" i="1"/>
  <c r="Q1468" i="1"/>
  <c r="R1468" i="1"/>
  <c r="Q1469" i="1"/>
  <c r="R1469" i="1"/>
  <c r="Q1470" i="1"/>
  <c r="R1470" i="1"/>
  <c r="Q1471" i="1"/>
  <c r="R1471" i="1"/>
  <c r="Q1472" i="1"/>
  <c r="R1472" i="1"/>
  <c r="Q1473" i="1"/>
  <c r="R1473" i="1"/>
  <c r="Q1474" i="1"/>
  <c r="R1474" i="1"/>
  <c r="Q1475" i="1"/>
  <c r="R1475" i="1"/>
  <c r="Q1476" i="1"/>
  <c r="R1476" i="1"/>
  <c r="Q1477" i="1"/>
  <c r="R1477" i="1"/>
  <c r="Q1478" i="1"/>
  <c r="R1478" i="1"/>
  <c r="Q1479" i="1"/>
  <c r="R1479" i="1"/>
  <c r="Q1480" i="1"/>
  <c r="R1480" i="1"/>
  <c r="Q1481" i="1"/>
  <c r="R1481" i="1"/>
  <c r="Q1482" i="1"/>
  <c r="R1482" i="1"/>
  <c r="Q1483" i="1"/>
  <c r="R1483" i="1"/>
  <c r="Q1484" i="1"/>
  <c r="R1484" i="1"/>
  <c r="Q1485" i="1"/>
  <c r="R1485" i="1"/>
  <c r="Q1486" i="1"/>
  <c r="R1486" i="1"/>
  <c r="Q1487" i="1"/>
  <c r="R1487" i="1"/>
  <c r="Q1488" i="1"/>
  <c r="R1488" i="1"/>
  <c r="Q1489" i="1"/>
  <c r="R1489" i="1"/>
  <c r="Q1490" i="1"/>
  <c r="R1490" i="1"/>
  <c r="Q1491" i="1"/>
  <c r="R1491" i="1"/>
  <c r="Q1492" i="1"/>
  <c r="R1492" i="1"/>
  <c r="Q1493" i="1"/>
  <c r="R1493" i="1"/>
  <c r="Q1494" i="1"/>
  <c r="R1494" i="1"/>
  <c r="Q1495" i="1"/>
  <c r="R1495" i="1"/>
  <c r="Q1496" i="1"/>
  <c r="R1496" i="1"/>
  <c r="Q1497" i="1"/>
  <c r="R1497" i="1"/>
  <c r="Q1498" i="1"/>
  <c r="R1498" i="1"/>
  <c r="Q1499" i="1"/>
  <c r="R1499" i="1"/>
  <c r="Q1500" i="1"/>
  <c r="R1500" i="1"/>
  <c r="Q1501" i="1"/>
  <c r="R1501" i="1"/>
  <c r="Q1502" i="1"/>
  <c r="R1502" i="1"/>
  <c r="Q1503" i="1"/>
  <c r="R1503" i="1"/>
  <c r="Q1504" i="1"/>
  <c r="R1504" i="1"/>
  <c r="Q1505" i="1"/>
  <c r="R1505" i="1"/>
  <c r="Q1506" i="1"/>
  <c r="R1506" i="1"/>
  <c r="Q1507" i="1"/>
  <c r="R1507" i="1"/>
  <c r="Q1508" i="1"/>
  <c r="R1508" i="1"/>
  <c r="Q1509" i="1"/>
  <c r="R1509" i="1"/>
  <c r="Q1510" i="1"/>
  <c r="R1510" i="1"/>
  <c r="Q1511" i="1"/>
  <c r="R1511" i="1"/>
  <c r="Q1512" i="1"/>
  <c r="R1512" i="1"/>
  <c r="Q1513" i="1"/>
  <c r="R1513" i="1"/>
  <c r="Q1514" i="1"/>
  <c r="R1514" i="1"/>
  <c r="Q1515" i="1"/>
  <c r="R1515" i="1"/>
  <c r="Q1516" i="1"/>
  <c r="R1516" i="1"/>
  <c r="Q1517" i="1"/>
  <c r="R1517" i="1"/>
  <c r="Q1518" i="1"/>
  <c r="R1518" i="1"/>
  <c r="Q1519" i="1"/>
  <c r="R1519" i="1"/>
  <c r="Q1520" i="1"/>
  <c r="R1520" i="1"/>
  <c r="Q1521" i="1"/>
  <c r="R1521" i="1"/>
  <c r="Q1522" i="1"/>
  <c r="R1522" i="1"/>
  <c r="Q1523" i="1"/>
  <c r="R1523" i="1"/>
  <c r="Q1524" i="1"/>
  <c r="R1524" i="1"/>
  <c r="Q1525" i="1"/>
  <c r="R1525" i="1"/>
  <c r="Q1526" i="1"/>
  <c r="R1526" i="1"/>
  <c r="Q1527" i="1"/>
  <c r="R1527" i="1"/>
  <c r="Q1528" i="1"/>
  <c r="R1528" i="1"/>
  <c r="Q1529" i="1"/>
  <c r="R1529" i="1"/>
  <c r="Q1530" i="1"/>
  <c r="R1530" i="1"/>
  <c r="Q1531" i="1"/>
  <c r="R1531" i="1"/>
  <c r="Q1532" i="1"/>
  <c r="R1532" i="1"/>
  <c r="Q1533" i="1"/>
  <c r="R1533" i="1"/>
  <c r="Q1534" i="1"/>
  <c r="R1534" i="1"/>
  <c r="Q1535" i="1"/>
  <c r="R1535" i="1"/>
  <c r="Q1536" i="1"/>
  <c r="R1536" i="1"/>
  <c r="Q1537" i="1"/>
  <c r="R1537" i="1"/>
  <c r="Q1538" i="1"/>
  <c r="R1538" i="1"/>
  <c r="Q1539" i="1"/>
  <c r="R1539" i="1"/>
  <c r="Q1540" i="1"/>
  <c r="R1540" i="1"/>
  <c r="Q1541" i="1"/>
  <c r="R1541" i="1"/>
  <c r="Q1542" i="1"/>
  <c r="R1542" i="1"/>
  <c r="Q1543" i="1"/>
  <c r="R1543" i="1"/>
  <c r="Q1544" i="1"/>
  <c r="R1544" i="1"/>
  <c r="Q1545" i="1"/>
  <c r="R1545" i="1"/>
  <c r="Q1546" i="1"/>
  <c r="R1546" i="1"/>
  <c r="Q1547" i="1"/>
  <c r="R1547" i="1"/>
  <c r="Q1548" i="1"/>
  <c r="R1548" i="1"/>
  <c r="Q1549" i="1"/>
  <c r="R1549" i="1"/>
  <c r="Q1550" i="1"/>
  <c r="R1550" i="1"/>
  <c r="Q1551" i="1"/>
  <c r="R1551" i="1"/>
  <c r="Q1552" i="1"/>
  <c r="R1552" i="1"/>
  <c r="Q1553" i="1"/>
  <c r="R1553" i="1"/>
  <c r="Q1554" i="1"/>
  <c r="R1554" i="1"/>
  <c r="Q1555" i="1"/>
  <c r="R1555" i="1"/>
  <c r="Q1556" i="1"/>
  <c r="R1556" i="1"/>
  <c r="Q1557" i="1"/>
  <c r="R1557" i="1"/>
  <c r="Q1558" i="1"/>
  <c r="R1558" i="1"/>
  <c r="Q1559" i="1"/>
  <c r="R1559" i="1"/>
  <c r="Q1560" i="1"/>
  <c r="R1560" i="1"/>
  <c r="Q1561" i="1"/>
  <c r="R1561" i="1"/>
  <c r="Q1562" i="1"/>
  <c r="R1562" i="1"/>
  <c r="Q1563" i="1"/>
  <c r="R1563" i="1"/>
  <c r="Q1564" i="1"/>
  <c r="R1564" i="1"/>
  <c r="Q1565" i="1"/>
  <c r="R1565" i="1"/>
  <c r="Q1566" i="1"/>
  <c r="R1566" i="1"/>
  <c r="Q1567" i="1"/>
  <c r="R1567" i="1"/>
  <c r="Q1568" i="1"/>
  <c r="R1568" i="1"/>
  <c r="Q1569" i="1"/>
  <c r="R1569" i="1"/>
  <c r="Q1570" i="1"/>
  <c r="R1570" i="1"/>
  <c r="Q1571" i="1"/>
  <c r="R1571" i="1"/>
  <c r="Q1572" i="1"/>
  <c r="R1572" i="1"/>
  <c r="Q1573" i="1"/>
  <c r="R1573" i="1"/>
  <c r="Q1574" i="1"/>
  <c r="R1574" i="1"/>
  <c r="Q1575" i="1"/>
  <c r="R1575" i="1"/>
  <c r="Q1576" i="1"/>
  <c r="R1576" i="1"/>
  <c r="Q1577" i="1"/>
  <c r="R1577" i="1"/>
  <c r="Q1578" i="1"/>
  <c r="R1578" i="1"/>
  <c r="Q1579" i="1"/>
  <c r="R1579" i="1"/>
  <c r="Q1580" i="1"/>
  <c r="R1580" i="1"/>
  <c r="Q1581" i="1"/>
  <c r="R1581" i="1"/>
  <c r="Q1582" i="1"/>
  <c r="R1582" i="1"/>
  <c r="Q1583" i="1"/>
  <c r="R1583" i="1"/>
  <c r="Q1584" i="1"/>
  <c r="R1584" i="1"/>
  <c r="Q1585" i="1"/>
  <c r="R1585" i="1"/>
  <c r="Q1586" i="1"/>
  <c r="R1586" i="1"/>
  <c r="Q1587" i="1"/>
  <c r="R1587" i="1"/>
  <c r="Q1588" i="1"/>
  <c r="R1588" i="1"/>
  <c r="Q1589" i="1"/>
  <c r="R1589" i="1"/>
  <c r="Q1590" i="1"/>
  <c r="R1590" i="1"/>
  <c r="Q1591" i="1"/>
  <c r="R1591" i="1"/>
  <c r="Q1592" i="1"/>
  <c r="R1592" i="1"/>
  <c r="Q1593" i="1"/>
  <c r="R1593" i="1"/>
  <c r="Q1594" i="1"/>
  <c r="R1594" i="1"/>
  <c r="Q1595" i="1"/>
  <c r="R1595" i="1"/>
  <c r="Q1596" i="1"/>
  <c r="R1596" i="1"/>
  <c r="Q1597" i="1"/>
  <c r="R1597" i="1"/>
  <c r="Q1598" i="1"/>
  <c r="R1598" i="1"/>
  <c r="Q1599" i="1"/>
  <c r="R1599" i="1"/>
  <c r="Q1600" i="1"/>
  <c r="R1600" i="1"/>
  <c r="Q1601" i="1"/>
  <c r="R1601" i="1"/>
  <c r="Q1602" i="1"/>
  <c r="R1602" i="1"/>
  <c r="Q1603" i="1"/>
  <c r="R1603" i="1"/>
  <c r="Q1604" i="1"/>
  <c r="R1604" i="1"/>
  <c r="Q1605" i="1"/>
  <c r="R1605" i="1"/>
  <c r="Q1606" i="1"/>
  <c r="R1606" i="1"/>
  <c r="Q1607" i="1"/>
  <c r="R1607" i="1"/>
  <c r="Q1608" i="1"/>
  <c r="R1608" i="1"/>
  <c r="Q1609" i="1"/>
  <c r="R1609" i="1"/>
  <c r="Q1610" i="1"/>
  <c r="R1610" i="1"/>
  <c r="Q1611" i="1"/>
  <c r="R1611" i="1"/>
  <c r="Q1612" i="1"/>
  <c r="R1612" i="1"/>
  <c r="Q1613" i="1"/>
  <c r="R1613" i="1"/>
  <c r="Q1614" i="1"/>
  <c r="R1614" i="1"/>
  <c r="Q1615" i="1"/>
  <c r="R1615" i="1"/>
  <c r="Q1616" i="1"/>
  <c r="R1616" i="1"/>
  <c r="Q1617" i="1"/>
  <c r="R1617" i="1"/>
  <c r="Q1618" i="1"/>
  <c r="R1618" i="1"/>
  <c r="Q1619" i="1"/>
  <c r="R1619" i="1"/>
  <c r="Q1620" i="1"/>
  <c r="R1620" i="1"/>
  <c r="Q1621" i="1"/>
  <c r="R1621" i="1"/>
  <c r="Q1622" i="1"/>
  <c r="R1622" i="1"/>
  <c r="Q1623" i="1"/>
  <c r="R1623" i="1"/>
  <c r="Q1624" i="1"/>
  <c r="R1624" i="1"/>
  <c r="Q1625" i="1"/>
  <c r="R1625" i="1"/>
  <c r="Q1626" i="1"/>
  <c r="R1626" i="1"/>
  <c r="Q1627" i="1"/>
  <c r="R1627" i="1"/>
  <c r="Q1628" i="1"/>
  <c r="R1628" i="1"/>
  <c r="Q1629" i="1"/>
  <c r="R1629" i="1"/>
  <c r="Q1630" i="1"/>
  <c r="R1630" i="1"/>
  <c r="Q1631" i="1"/>
  <c r="R1631" i="1"/>
  <c r="Q1632" i="1"/>
  <c r="R1632" i="1"/>
  <c r="Q1633" i="1"/>
  <c r="R1633" i="1"/>
  <c r="Q1634" i="1"/>
  <c r="R1634" i="1"/>
  <c r="Q1635" i="1"/>
  <c r="R1635" i="1"/>
  <c r="Q1636" i="1"/>
  <c r="R1636" i="1"/>
  <c r="Q1637" i="1"/>
  <c r="R1637" i="1"/>
  <c r="Q1638" i="1"/>
  <c r="R1638" i="1"/>
  <c r="Q1639" i="1"/>
  <c r="R1639" i="1"/>
  <c r="Q1640" i="1"/>
  <c r="R1640" i="1"/>
  <c r="Q1641" i="1"/>
  <c r="R1641" i="1"/>
  <c r="Q1642" i="1"/>
  <c r="R1642" i="1"/>
  <c r="Q1643" i="1"/>
  <c r="R1643" i="1"/>
  <c r="Q1644" i="1"/>
  <c r="R1644" i="1"/>
  <c r="Q1645" i="1"/>
  <c r="R1645" i="1"/>
  <c r="Q1646" i="1"/>
  <c r="R1646" i="1"/>
  <c r="Q1647" i="1"/>
  <c r="R1647" i="1"/>
  <c r="Q1648" i="1"/>
  <c r="R1648" i="1"/>
  <c r="Q1649" i="1"/>
  <c r="R1649" i="1"/>
  <c r="Q1650" i="1"/>
  <c r="R1650" i="1"/>
  <c r="Q1651" i="1"/>
  <c r="R1651" i="1"/>
  <c r="Q1652" i="1"/>
  <c r="R1652" i="1"/>
  <c r="Q1653" i="1"/>
  <c r="R1653" i="1"/>
  <c r="Q1654" i="1"/>
  <c r="R1654" i="1"/>
  <c r="Q1655" i="1"/>
  <c r="R1655" i="1"/>
  <c r="Q1656" i="1"/>
  <c r="R1656" i="1"/>
  <c r="Q1657" i="1"/>
  <c r="R1657" i="1"/>
  <c r="Q1658" i="1"/>
  <c r="R1658" i="1"/>
  <c r="Q1659" i="1"/>
  <c r="R1659" i="1"/>
  <c r="Q1660" i="1"/>
  <c r="R1660" i="1"/>
  <c r="Q1661" i="1"/>
  <c r="R1661" i="1"/>
  <c r="Q1662" i="1"/>
  <c r="R1662" i="1"/>
  <c r="Q1663" i="1"/>
  <c r="R1663" i="1"/>
  <c r="Q1664" i="1"/>
  <c r="R1664" i="1"/>
  <c r="Q1665" i="1"/>
  <c r="R1665" i="1"/>
  <c r="Q1666" i="1"/>
  <c r="R1666" i="1"/>
  <c r="Q1667" i="1"/>
  <c r="R1667" i="1"/>
  <c r="Q1668" i="1"/>
  <c r="R1668" i="1"/>
  <c r="Q1669" i="1"/>
  <c r="R1669" i="1"/>
  <c r="Q1670" i="1"/>
  <c r="R1670" i="1"/>
  <c r="Q1671" i="1"/>
  <c r="R1671" i="1"/>
  <c r="Q1672" i="1"/>
  <c r="R1672" i="1"/>
  <c r="Q1673" i="1"/>
  <c r="R1673" i="1"/>
  <c r="Q1674" i="1"/>
  <c r="R1674" i="1"/>
  <c r="Q1675" i="1"/>
  <c r="R1675" i="1"/>
  <c r="Q1676" i="1"/>
  <c r="R1676" i="1"/>
  <c r="Q1677" i="1"/>
  <c r="R1677" i="1"/>
  <c r="Q1678" i="1"/>
  <c r="R1678" i="1"/>
  <c r="Q1679" i="1"/>
  <c r="R1679" i="1"/>
  <c r="Q1680" i="1"/>
  <c r="R1680" i="1"/>
  <c r="Q1681" i="1"/>
  <c r="R1681" i="1"/>
  <c r="Q1682" i="1"/>
  <c r="R1682" i="1"/>
  <c r="Q1683" i="1"/>
  <c r="R1683" i="1"/>
  <c r="Q1684" i="1"/>
  <c r="R1684" i="1"/>
  <c r="Q1685" i="1"/>
  <c r="R1685" i="1"/>
  <c r="Q1686" i="1"/>
  <c r="R1686" i="1"/>
  <c r="Q1687" i="1"/>
  <c r="R1687" i="1"/>
  <c r="Q1688" i="1"/>
  <c r="R1688" i="1"/>
  <c r="Q1689" i="1"/>
  <c r="R1689" i="1"/>
  <c r="Q1690" i="1"/>
  <c r="R1690" i="1"/>
  <c r="Q1691" i="1"/>
  <c r="R1691" i="1"/>
  <c r="Q1692" i="1"/>
  <c r="R1692" i="1"/>
  <c r="Q1693" i="1"/>
  <c r="R1693" i="1"/>
  <c r="Q1694" i="1"/>
  <c r="R1694" i="1"/>
  <c r="Q1695" i="1"/>
  <c r="R1695" i="1"/>
  <c r="Q1696" i="1"/>
  <c r="R1696" i="1"/>
  <c r="Q1697" i="1"/>
  <c r="R1697" i="1"/>
  <c r="Q1698" i="1"/>
  <c r="R1698" i="1"/>
  <c r="Q1699" i="1"/>
  <c r="R1699" i="1"/>
  <c r="Q1700" i="1"/>
  <c r="R1700" i="1"/>
  <c r="Q1701" i="1"/>
  <c r="R1701" i="1"/>
  <c r="Q1702" i="1"/>
  <c r="R1702" i="1"/>
  <c r="Q1703" i="1"/>
  <c r="R1703" i="1"/>
  <c r="Q1704" i="1"/>
  <c r="R1704" i="1"/>
  <c r="Q1705" i="1"/>
  <c r="R1705" i="1"/>
  <c r="Q1706" i="1"/>
  <c r="R1706" i="1"/>
  <c r="Q1707" i="1"/>
  <c r="R1707" i="1"/>
  <c r="Q1708" i="1"/>
  <c r="R1708" i="1"/>
  <c r="Q1709" i="1"/>
  <c r="R1709" i="1"/>
  <c r="Q1710" i="1"/>
  <c r="R1710" i="1"/>
  <c r="Q1711" i="1"/>
  <c r="R1711" i="1"/>
  <c r="Q1712" i="1"/>
  <c r="R1712" i="1"/>
  <c r="Q1713" i="1"/>
  <c r="R1713" i="1"/>
  <c r="Q1714" i="1"/>
  <c r="R1714" i="1"/>
  <c r="Q1715" i="1"/>
  <c r="R1715" i="1"/>
  <c r="Q1716" i="1"/>
  <c r="R1716" i="1"/>
  <c r="Q1717" i="1"/>
  <c r="R1717" i="1"/>
  <c r="Q1718" i="1"/>
  <c r="R1718" i="1"/>
  <c r="Q1719" i="1"/>
  <c r="R1719" i="1"/>
  <c r="Q1720" i="1"/>
  <c r="R1720" i="1"/>
  <c r="Q1721" i="1"/>
  <c r="R1721" i="1"/>
  <c r="Q1722" i="1"/>
  <c r="R1722" i="1"/>
  <c r="Q1723" i="1"/>
  <c r="R1723" i="1"/>
  <c r="Q1724" i="1"/>
  <c r="R1724" i="1"/>
  <c r="Q1725" i="1"/>
  <c r="R1725" i="1"/>
  <c r="Q1726" i="1"/>
  <c r="R1726" i="1"/>
  <c r="Q1727" i="1"/>
  <c r="R1727" i="1"/>
  <c r="Q1728" i="1"/>
  <c r="R1728" i="1"/>
  <c r="Q1729" i="1"/>
  <c r="R1729" i="1"/>
  <c r="Q1730" i="1"/>
  <c r="R1730" i="1"/>
  <c r="Q1731" i="1"/>
  <c r="R1731" i="1"/>
  <c r="Q1732" i="1"/>
  <c r="R1732" i="1"/>
  <c r="Q1733" i="1"/>
  <c r="R1733" i="1"/>
  <c r="Q1734" i="1"/>
  <c r="R1734" i="1"/>
  <c r="Q1735" i="1"/>
  <c r="R1735" i="1"/>
  <c r="Q1736" i="1"/>
  <c r="R1736" i="1"/>
  <c r="Q1737" i="1"/>
  <c r="R1737" i="1"/>
  <c r="Q1738" i="1"/>
  <c r="R1738" i="1"/>
  <c r="Q1739" i="1"/>
  <c r="R1739" i="1"/>
  <c r="Q1740" i="1"/>
  <c r="R1740" i="1"/>
  <c r="Q1741" i="1"/>
  <c r="R1741" i="1"/>
  <c r="Q1742" i="1"/>
  <c r="R1742" i="1"/>
  <c r="Q1743" i="1"/>
  <c r="R1743" i="1"/>
  <c r="Q1744" i="1"/>
  <c r="R1744" i="1"/>
  <c r="Q1745" i="1"/>
  <c r="R1745" i="1"/>
  <c r="Q1746" i="1"/>
  <c r="R1746" i="1"/>
  <c r="Q1747" i="1"/>
  <c r="R1747" i="1"/>
  <c r="Q1748" i="1"/>
  <c r="R1748" i="1"/>
  <c r="Q1749" i="1"/>
  <c r="R1749" i="1"/>
  <c r="Q1750" i="1"/>
  <c r="R1750" i="1"/>
  <c r="Q1751" i="1"/>
  <c r="R1751" i="1"/>
  <c r="Q1752" i="1"/>
  <c r="R1752" i="1"/>
  <c r="Q1753" i="1"/>
  <c r="R1753" i="1"/>
  <c r="Q1754" i="1"/>
  <c r="R1754" i="1"/>
  <c r="Q1755" i="1"/>
  <c r="R1755" i="1"/>
  <c r="Q1756" i="1"/>
  <c r="R1756" i="1"/>
  <c r="Q1757" i="1"/>
  <c r="R1757" i="1"/>
  <c r="Q1758" i="1"/>
  <c r="R1758" i="1"/>
  <c r="Q1759" i="1"/>
  <c r="R1759" i="1"/>
  <c r="Q1760" i="1"/>
  <c r="R1760" i="1"/>
  <c r="Q1761" i="1"/>
  <c r="R1761" i="1"/>
  <c r="Q1762" i="1"/>
  <c r="R1762" i="1"/>
  <c r="Q1763" i="1"/>
  <c r="R1763" i="1"/>
  <c r="Q1764" i="1"/>
  <c r="R1764" i="1"/>
  <c r="Q1765" i="1"/>
  <c r="R1765" i="1"/>
  <c r="Q1766" i="1"/>
  <c r="R1766" i="1"/>
  <c r="Q1767" i="1"/>
  <c r="R1767" i="1"/>
  <c r="Q1768" i="1"/>
  <c r="R1768" i="1"/>
  <c r="Q1769" i="1"/>
  <c r="R1769" i="1"/>
  <c r="Q1770" i="1"/>
  <c r="R1770" i="1"/>
  <c r="Q1771" i="1"/>
  <c r="R1771" i="1"/>
  <c r="Q1772" i="1"/>
  <c r="R1772" i="1"/>
  <c r="Q1773" i="1"/>
  <c r="R1773" i="1"/>
  <c r="Q1774" i="1"/>
  <c r="R1774" i="1"/>
  <c r="Q1775" i="1"/>
  <c r="R1775" i="1"/>
  <c r="Q1776" i="1"/>
  <c r="R1776" i="1"/>
  <c r="Q1777" i="1"/>
  <c r="R1777" i="1"/>
  <c r="Q1778" i="1"/>
  <c r="R1778" i="1"/>
  <c r="Q1779" i="1"/>
  <c r="R1779" i="1"/>
  <c r="Q1780" i="1"/>
  <c r="R1780" i="1"/>
  <c r="Q1781" i="1"/>
  <c r="R1781" i="1"/>
  <c r="Q1782" i="1"/>
  <c r="R1782" i="1"/>
  <c r="Q1783" i="1"/>
  <c r="R1783" i="1"/>
  <c r="Q1784" i="1"/>
  <c r="R1784" i="1"/>
  <c r="Q1785" i="1"/>
  <c r="R1785" i="1"/>
  <c r="Q1786" i="1"/>
  <c r="R1786" i="1"/>
  <c r="Q1787" i="1"/>
  <c r="R1787" i="1"/>
  <c r="Q1788" i="1"/>
  <c r="R1788" i="1"/>
  <c r="Q1789" i="1"/>
  <c r="R1789" i="1"/>
  <c r="Q1790" i="1"/>
  <c r="R1790" i="1"/>
  <c r="Q1791" i="1"/>
  <c r="R1791" i="1"/>
  <c r="Q1792" i="1"/>
  <c r="R1792" i="1"/>
  <c r="Q1793" i="1"/>
  <c r="R1793" i="1"/>
  <c r="Q1794" i="1"/>
  <c r="R1794" i="1"/>
  <c r="Q1795" i="1"/>
  <c r="R1795" i="1"/>
  <c r="Q1796" i="1"/>
  <c r="R1796" i="1"/>
  <c r="Q1797" i="1"/>
  <c r="R1797" i="1"/>
  <c r="Q1798" i="1"/>
  <c r="R1798" i="1"/>
  <c r="Q1799" i="1"/>
  <c r="R1799" i="1"/>
  <c r="Q1800" i="1"/>
  <c r="R1800" i="1"/>
  <c r="Q1801" i="1"/>
  <c r="R1801" i="1"/>
  <c r="Q1802" i="1"/>
  <c r="R1802" i="1"/>
  <c r="Q1803" i="1"/>
  <c r="R1803" i="1"/>
  <c r="Q1804" i="1"/>
  <c r="R1804" i="1"/>
  <c r="Q1805" i="1"/>
  <c r="R1805" i="1"/>
  <c r="Q1806" i="1"/>
  <c r="R1806" i="1"/>
  <c r="Q1807" i="1"/>
  <c r="R1807" i="1"/>
  <c r="Q1808" i="1"/>
  <c r="R1808" i="1"/>
  <c r="Q1809" i="1"/>
  <c r="R1809" i="1"/>
  <c r="Q1810" i="1"/>
  <c r="R1810" i="1"/>
  <c r="Q1811" i="1"/>
  <c r="R1811" i="1"/>
  <c r="Q1812" i="1"/>
  <c r="R1812" i="1"/>
  <c r="Q1813" i="1"/>
  <c r="R1813" i="1"/>
  <c r="Q1814" i="1"/>
  <c r="R1814" i="1"/>
  <c r="Q1815" i="1"/>
  <c r="R1815" i="1"/>
  <c r="Q1816" i="1"/>
  <c r="R1816" i="1"/>
  <c r="Q1817" i="1"/>
  <c r="R1817" i="1"/>
  <c r="Q1818" i="1"/>
  <c r="R1818" i="1"/>
  <c r="Q1819" i="1"/>
  <c r="R1819" i="1"/>
  <c r="Q1820" i="1"/>
  <c r="R1820" i="1"/>
  <c r="Q1821" i="1"/>
  <c r="R1821" i="1"/>
  <c r="Q1822" i="1"/>
  <c r="R1822" i="1"/>
  <c r="Q1823" i="1"/>
  <c r="R1823" i="1"/>
  <c r="Q1824" i="1"/>
  <c r="R1824" i="1"/>
  <c r="Q1825" i="1"/>
  <c r="R1825" i="1"/>
  <c r="Q1826" i="1"/>
  <c r="R1826" i="1"/>
  <c r="Q1827" i="1"/>
  <c r="R1827" i="1"/>
  <c r="Q1828" i="1"/>
  <c r="R1828" i="1"/>
  <c r="Q1829" i="1"/>
  <c r="R1829" i="1"/>
  <c r="Q1830" i="1"/>
  <c r="R1830" i="1"/>
  <c r="Q1831" i="1"/>
  <c r="R1831" i="1"/>
  <c r="Q1832" i="1"/>
  <c r="R1832" i="1"/>
  <c r="Q1833" i="1"/>
  <c r="R1833" i="1"/>
  <c r="Q1834" i="1"/>
  <c r="R1834" i="1"/>
  <c r="Q1835" i="1"/>
  <c r="R1835" i="1"/>
  <c r="Q1836" i="1"/>
  <c r="R1836" i="1"/>
  <c r="Q1837" i="1"/>
  <c r="R1837" i="1"/>
  <c r="Q1838" i="1"/>
  <c r="R1838" i="1"/>
  <c r="Q1839" i="1"/>
  <c r="R1839" i="1"/>
  <c r="Q1840" i="1"/>
  <c r="R1840" i="1"/>
  <c r="Q1841" i="1"/>
  <c r="R1841" i="1"/>
  <c r="Q1842" i="1"/>
  <c r="R1842" i="1"/>
  <c r="Q1843" i="1"/>
  <c r="R1843" i="1"/>
  <c r="Q1844" i="1"/>
  <c r="R1844" i="1"/>
  <c r="Q1845" i="1"/>
  <c r="R1845" i="1"/>
  <c r="Q1846" i="1"/>
  <c r="R1846" i="1"/>
  <c r="Q1847" i="1"/>
  <c r="R1847" i="1"/>
  <c r="Q1848" i="1"/>
  <c r="R1848" i="1"/>
  <c r="Q1849" i="1"/>
  <c r="R1849" i="1"/>
  <c r="Q1850" i="1"/>
  <c r="R1850" i="1"/>
  <c r="Q1851" i="1"/>
  <c r="R1851" i="1"/>
  <c r="Q1852" i="1"/>
  <c r="R1852" i="1"/>
  <c r="Q1853" i="1"/>
  <c r="R1853" i="1"/>
  <c r="Q1854" i="1"/>
  <c r="R1854" i="1"/>
  <c r="Q1855" i="1"/>
  <c r="R1855" i="1"/>
  <c r="Q1856" i="1"/>
  <c r="R1856" i="1"/>
  <c r="Q1857" i="1"/>
  <c r="R1857" i="1"/>
  <c r="Q1858" i="1"/>
  <c r="R1858" i="1"/>
  <c r="Q1859" i="1"/>
  <c r="R1859" i="1"/>
  <c r="Q1860" i="1"/>
  <c r="R1860" i="1"/>
  <c r="Q1861" i="1"/>
  <c r="R1861" i="1"/>
  <c r="Q1862" i="1"/>
  <c r="R1862" i="1"/>
  <c r="Q1863" i="1"/>
  <c r="R1863" i="1"/>
  <c r="Q1864" i="1"/>
  <c r="R1864" i="1"/>
  <c r="Q1865" i="1"/>
  <c r="R1865" i="1"/>
  <c r="Q1866" i="1"/>
  <c r="R1866" i="1"/>
  <c r="Q1867" i="1"/>
  <c r="R1867" i="1"/>
  <c r="Q1868" i="1"/>
  <c r="R1868" i="1"/>
  <c r="Q1869" i="1"/>
  <c r="R1869" i="1"/>
  <c r="Q1870" i="1"/>
  <c r="R1870" i="1"/>
  <c r="Q1871" i="1"/>
  <c r="R1871" i="1"/>
  <c r="Q1872" i="1"/>
  <c r="R1872" i="1"/>
  <c r="Q1873" i="1"/>
  <c r="R1873" i="1"/>
  <c r="Q1874" i="1"/>
  <c r="R1874" i="1"/>
  <c r="Q1875" i="1"/>
  <c r="R1875" i="1"/>
  <c r="Q1876" i="1"/>
  <c r="R1876" i="1"/>
  <c r="Q1877" i="1"/>
  <c r="R1877" i="1"/>
  <c r="Q1878" i="1"/>
  <c r="R1878" i="1"/>
  <c r="Q1879" i="1"/>
  <c r="R1879" i="1"/>
  <c r="Q1880" i="1"/>
  <c r="R1880" i="1"/>
  <c r="Q1881" i="1"/>
  <c r="R1881" i="1"/>
  <c r="Q1882" i="1"/>
  <c r="R1882" i="1"/>
  <c r="Q1883" i="1"/>
  <c r="R1883" i="1"/>
  <c r="Q1884" i="1"/>
  <c r="R1884" i="1"/>
  <c r="Q1885" i="1"/>
  <c r="R1885" i="1"/>
  <c r="Q1886" i="1"/>
  <c r="R1886" i="1"/>
  <c r="Q1887" i="1"/>
  <c r="R1887" i="1"/>
  <c r="Q1888" i="1"/>
  <c r="R1888" i="1"/>
  <c r="Q1889" i="1"/>
  <c r="R1889" i="1"/>
  <c r="Q1890" i="1"/>
  <c r="R1890" i="1"/>
  <c r="Q1891" i="1"/>
  <c r="R1891" i="1"/>
  <c r="Q1892" i="1"/>
  <c r="R1892" i="1"/>
  <c r="Q1893" i="1"/>
  <c r="R1893" i="1"/>
  <c r="Q1894" i="1"/>
  <c r="R1894" i="1"/>
  <c r="Q1895" i="1"/>
  <c r="R1895" i="1"/>
  <c r="Q1896" i="1"/>
  <c r="R1896" i="1"/>
  <c r="Q1897" i="1"/>
  <c r="R1897" i="1"/>
  <c r="Q1898" i="1"/>
  <c r="R1898" i="1"/>
  <c r="Q1899" i="1"/>
  <c r="R1899" i="1"/>
  <c r="Q1900" i="1"/>
  <c r="R1900" i="1"/>
  <c r="Q1901" i="1"/>
  <c r="R1901" i="1"/>
  <c r="Q1902" i="1"/>
  <c r="R1902" i="1"/>
  <c r="Q1903" i="1"/>
  <c r="R1903" i="1"/>
  <c r="Q1904" i="1"/>
  <c r="R1904" i="1"/>
  <c r="Q1905" i="1"/>
  <c r="R1905" i="1"/>
  <c r="Q1906" i="1"/>
  <c r="R1906" i="1"/>
  <c r="Q1907" i="1"/>
  <c r="R1907" i="1"/>
  <c r="Q1908" i="1"/>
  <c r="R1908" i="1"/>
  <c r="Q1909" i="1"/>
  <c r="R1909" i="1"/>
  <c r="Q1910" i="1"/>
  <c r="R1910" i="1"/>
  <c r="Q1911" i="1"/>
  <c r="R1911" i="1"/>
  <c r="Q1912" i="1"/>
  <c r="R1912" i="1"/>
  <c r="Q1913" i="1"/>
  <c r="R1913" i="1"/>
  <c r="Q1914" i="1"/>
  <c r="R1914" i="1"/>
  <c r="Q1915" i="1"/>
  <c r="R1915" i="1"/>
  <c r="Q1916" i="1"/>
  <c r="R1916" i="1"/>
  <c r="Q1917" i="1"/>
  <c r="R1917" i="1"/>
  <c r="Q1918" i="1"/>
  <c r="R1918" i="1"/>
  <c r="Q1919" i="1"/>
  <c r="R1919" i="1"/>
  <c r="Q1920" i="1"/>
  <c r="R1920" i="1"/>
  <c r="Q1921" i="1"/>
  <c r="R1921" i="1"/>
  <c r="Q1922" i="1"/>
  <c r="R1922" i="1"/>
  <c r="Q1923" i="1"/>
  <c r="R1923" i="1"/>
  <c r="Q1924" i="1"/>
  <c r="R1924" i="1"/>
  <c r="Q1925" i="1"/>
  <c r="R1925" i="1"/>
  <c r="Q1926" i="1"/>
  <c r="R1926" i="1"/>
  <c r="Q1927" i="1"/>
  <c r="R1927" i="1"/>
  <c r="Q1928" i="1"/>
  <c r="R1928" i="1"/>
  <c r="Q1929" i="1"/>
  <c r="R1929" i="1"/>
  <c r="Q1930" i="1"/>
  <c r="R1930" i="1"/>
  <c r="Q1931" i="1"/>
  <c r="R1931" i="1"/>
  <c r="Q1932" i="1"/>
  <c r="R1932" i="1"/>
  <c r="Q1933" i="1"/>
  <c r="R1933" i="1"/>
  <c r="Q1934" i="1"/>
  <c r="R1934" i="1"/>
  <c r="Q1935" i="1"/>
  <c r="R1935" i="1"/>
  <c r="Q1936" i="1"/>
  <c r="R1936" i="1"/>
  <c r="Q1937" i="1"/>
  <c r="R1937" i="1"/>
  <c r="Q1938" i="1"/>
  <c r="R1938" i="1"/>
  <c r="Q1939" i="1"/>
  <c r="R1939" i="1"/>
  <c r="Q1940" i="1"/>
  <c r="R1940" i="1"/>
  <c r="Q1941" i="1"/>
  <c r="R1941" i="1"/>
  <c r="Q1942" i="1"/>
  <c r="R1942" i="1"/>
  <c r="Q1943" i="1"/>
  <c r="R1943" i="1"/>
  <c r="Q1944" i="1"/>
  <c r="R1944" i="1"/>
  <c r="Q1945" i="1"/>
  <c r="R1945" i="1"/>
  <c r="Q1946" i="1"/>
  <c r="R1946" i="1"/>
  <c r="Q1947" i="1"/>
  <c r="R1947" i="1"/>
  <c r="Q1948" i="1"/>
  <c r="R1948" i="1"/>
  <c r="Q1949" i="1"/>
  <c r="R1949" i="1"/>
  <c r="Q1950" i="1"/>
  <c r="R1950" i="1"/>
  <c r="Q1951" i="1"/>
  <c r="R1951" i="1"/>
  <c r="Q1952" i="1"/>
  <c r="R1952" i="1"/>
  <c r="Q1953" i="1"/>
  <c r="R1953" i="1"/>
  <c r="Q1954" i="1"/>
  <c r="R1954" i="1"/>
  <c r="Q1955" i="1"/>
  <c r="R1955" i="1"/>
  <c r="Q1956" i="1"/>
  <c r="R1956" i="1"/>
  <c r="Q1957" i="1"/>
  <c r="R1957" i="1"/>
  <c r="Q1958" i="1"/>
  <c r="R1958" i="1"/>
  <c r="Q1959" i="1"/>
  <c r="R1959" i="1"/>
  <c r="Q1960" i="1"/>
  <c r="R1960" i="1"/>
  <c r="Q1961" i="1"/>
  <c r="R1961" i="1"/>
  <c r="Q1962" i="1"/>
  <c r="R1962" i="1"/>
  <c r="Q1963" i="1"/>
  <c r="R1963" i="1"/>
  <c r="Q1964" i="1"/>
  <c r="R1964" i="1"/>
  <c r="Q1965" i="1"/>
  <c r="R1965" i="1"/>
  <c r="Q1966" i="1"/>
  <c r="R1966" i="1"/>
  <c r="Q1967" i="1"/>
  <c r="R1967" i="1"/>
  <c r="Q1968" i="1"/>
  <c r="R1968" i="1"/>
  <c r="Q1969" i="1"/>
  <c r="R1969" i="1"/>
  <c r="Q1970" i="1"/>
  <c r="R1970" i="1"/>
  <c r="Q1971" i="1"/>
  <c r="R1971" i="1"/>
  <c r="Q1972" i="1"/>
  <c r="R1972" i="1"/>
  <c r="Q1973" i="1"/>
  <c r="R1973" i="1"/>
  <c r="Q1974" i="1"/>
  <c r="R1974" i="1"/>
  <c r="Q1975" i="1"/>
  <c r="R1975" i="1"/>
  <c r="Q1976" i="1"/>
  <c r="R1976" i="1"/>
  <c r="Q1977" i="1"/>
  <c r="R1977" i="1"/>
  <c r="Q1978" i="1"/>
  <c r="R1978" i="1"/>
  <c r="Q1979" i="1"/>
  <c r="R1979" i="1"/>
  <c r="Q1980" i="1"/>
  <c r="R1980" i="1"/>
  <c r="Q1981" i="1"/>
  <c r="R1981" i="1"/>
  <c r="Q1982" i="1"/>
  <c r="R1982" i="1"/>
  <c r="Q1983" i="1"/>
  <c r="R1983" i="1"/>
  <c r="Q1984" i="1"/>
  <c r="R1984" i="1"/>
  <c r="Q1985" i="1"/>
  <c r="R1985" i="1"/>
  <c r="Q1986" i="1"/>
  <c r="R1986" i="1"/>
  <c r="Q1987" i="1"/>
  <c r="R1987" i="1"/>
  <c r="Q1988" i="1"/>
  <c r="R1988" i="1"/>
  <c r="Q1989" i="1"/>
  <c r="R1989" i="1"/>
  <c r="Q1990" i="1"/>
  <c r="R1990" i="1"/>
  <c r="Q1991" i="1"/>
  <c r="R1991" i="1"/>
  <c r="Q1992" i="1"/>
  <c r="R1992" i="1"/>
  <c r="Q1993" i="1"/>
  <c r="R1993" i="1"/>
  <c r="Q1994" i="1"/>
  <c r="R1994" i="1"/>
  <c r="Q1995" i="1"/>
  <c r="R1995" i="1"/>
  <c r="Q1996" i="1"/>
  <c r="R1996" i="1"/>
  <c r="Q1997" i="1"/>
  <c r="R1997" i="1"/>
  <c r="Q1998" i="1"/>
  <c r="R1998" i="1"/>
  <c r="Q1999" i="1"/>
  <c r="R1999" i="1"/>
  <c r="Q2000" i="1"/>
  <c r="R2000" i="1"/>
  <c r="Q2001" i="1"/>
  <c r="R2001" i="1"/>
  <c r="Q2002" i="1"/>
  <c r="R2002" i="1"/>
  <c r="Q2003" i="1"/>
  <c r="R2003" i="1"/>
  <c r="Q2004" i="1"/>
  <c r="R2004" i="1"/>
  <c r="Q2005" i="1"/>
  <c r="R2005" i="1"/>
  <c r="Q2006" i="1"/>
  <c r="R2006" i="1"/>
  <c r="Q2007" i="1"/>
  <c r="R2007" i="1"/>
  <c r="Q2008" i="1"/>
  <c r="R2008" i="1"/>
  <c r="Q2009" i="1"/>
  <c r="R2009" i="1"/>
  <c r="Q2010" i="1"/>
  <c r="R2010" i="1"/>
  <c r="Q2011" i="1"/>
  <c r="R2011" i="1"/>
  <c r="Q2012" i="1"/>
  <c r="R2012" i="1"/>
  <c r="Q2013" i="1"/>
  <c r="R2013" i="1"/>
  <c r="Q2014" i="1"/>
  <c r="R2014" i="1"/>
  <c r="Q2015" i="1"/>
  <c r="R2015" i="1"/>
  <c r="Q2016" i="1"/>
  <c r="R2016" i="1"/>
  <c r="Q2017" i="1"/>
  <c r="R2017" i="1"/>
  <c r="Q2018" i="1"/>
  <c r="R2018" i="1"/>
  <c r="Q2019" i="1"/>
  <c r="R2019" i="1"/>
  <c r="Q2020" i="1"/>
  <c r="R2020" i="1"/>
  <c r="Q2021" i="1"/>
  <c r="R2021" i="1"/>
  <c r="Q2022" i="1"/>
  <c r="R2022" i="1"/>
  <c r="Q2023" i="1"/>
  <c r="R2023" i="1"/>
  <c r="Q2024" i="1"/>
  <c r="R2024" i="1"/>
  <c r="Q2025" i="1"/>
  <c r="R2025" i="1"/>
  <c r="Q2026" i="1"/>
  <c r="R2026" i="1"/>
  <c r="Q2027" i="1"/>
  <c r="R2027" i="1"/>
  <c r="Q2028" i="1"/>
  <c r="R2028" i="1"/>
  <c r="Q2029" i="1"/>
  <c r="R2029" i="1"/>
  <c r="Q2030" i="1"/>
  <c r="R2030" i="1"/>
  <c r="Q2031" i="1"/>
  <c r="R2031" i="1"/>
  <c r="Q2032" i="1"/>
  <c r="R2032" i="1"/>
  <c r="Q2033" i="1"/>
  <c r="R2033" i="1"/>
  <c r="Q2034" i="1"/>
  <c r="R2034" i="1"/>
  <c r="Q2035" i="1"/>
  <c r="R2035" i="1"/>
  <c r="Q2036" i="1"/>
  <c r="R2036" i="1"/>
  <c r="Q2037" i="1"/>
  <c r="R2037" i="1"/>
  <c r="Q2038" i="1"/>
  <c r="R2038" i="1"/>
  <c r="Q2039" i="1"/>
  <c r="R2039" i="1"/>
  <c r="Q2040" i="1"/>
  <c r="R2040" i="1"/>
  <c r="Q2041" i="1"/>
  <c r="R2041" i="1"/>
  <c r="Q2042" i="1"/>
  <c r="R2042" i="1"/>
  <c r="Q2043" i="1"/>
  <c r="R2043" i="1"/>
  <c r="Q2044" i="1"/>
  <c r="R2044" i="1"/>
  <c r="Q2045" i="1"/>
  <c r="R2045" i="1"/>
  <c r="Q2046" i="1"/>
  <c r="R2046" i="1"/>
  <c r="Q2047" i="1"/>
  <c r="R2047" i="1"/>
  <c r="Q2048" i="1"/>
  <c r="R2048" i="1"/>
  <c r="Q2049" i="1"/>
  <c r="R2049" i="1"/>
  <c r="Q2050" i="1"/>
  <c r="R2050" i="1"/>
  <c r="Q2051" i="1"/>
  <c r="R2051" i="1"/>
  <c r="Q2052" i="1"/>
  <c r="R2052" i="1"/>
  <c r="Q2053" i="1"/>
  <c r="R2053" i="1"/>
  <c r="Q2054" i="1"/>
  <c r="R2054" i="1"/>
  <c r="Q2055" i="1"/>
  <c r="R2055" i="1"/>
  <c r="Q2056" i="1"/>
  <c r="R2056" i="1"/>
  <c r="Q2057" i="1"/>
  <c r="R2057" i="1"/>
  <c r="Q2058" i="1"/>
  <c r="R2058" i="1"/>
  <c r="Q2059" i="1"/>
  <c r="R2059" i="1"/>
  <c r="Q2060" i="1"/>
  <c r="R2060" i="1"/>
  <c r="Q2061" i="1"/>
  <c r="R2061" i="1"/>
  <c r="Q2062" i="1"/>
  <c r="R2062" i="1"/>
  <c r="Q2063" i="1"/>
  <c r="R2063" i="1"/>
  <c r="Q2064" i="1"/>
  <c r="R2064" i="1"/>
  <c r="Q2065" i="1"/>
  <c r="R2065" i="1"/>
  <c r="Q2066" i="1"/>
  <c r="R2066" i="1"/>
  <c r="Q2067" i="1"/>
  <c r="R2067" i="1"/>
  <c r="Q2068" i="1"/>
  <c r="R2068" i="1"/>
  <c r="Q2069" i="1"/>
  <c r="R2069" i="1"/>
  <c r="Q2070" i="1"/>
  <c r="R2070" i="1"/>
  <c r="Q2071" i="1"/>
  <c r="R2071" i="1"/>
  <c r="Q2072" i="1"/>
  <c r="R2072" i="1"/>
  <c r="Q2073" i="1"/>
  <c r="R2073" i="1"/>
  <c r="Q2074" i="1"/>
  <c r="R2074" i="1"/>
  <c r="Q2075" i="1"/>
  <c r="R2075" i="1"/>
  <c r="Q2076" i="1"/>
  <c r="R2076" i="1"/>
  <c r="Q2077" i="1"/>
  <c r="R2077" i="1"/>
  <c r="Q2078" i="1"/>
  <c r="R2078" i="1"/>
  <c r="Q2079" i="1"/>
  <c r="R2079" i="1"/>
  <c r="Q2080" i="1"/>
  <c r="R2080" i="1"/>
  <c r="Q2081" i="1"/>
  <c r="R2081" i="1"/>
  <c r="Q2082" i="1"/>
  <c r="R2082" i="1"/>
  <c r="Q2083" i="1"/>
  <c r="R2083" i="1"/>
  <c r="Q2084" i="1"/>
  <c r="R2084" i="1"/>
  <c r="Q2085" i="1"/>
  <c r="R2085" i="1"/>
  <c r="Q2086" i="1"/>
  <c r="R2086" i="1"/>
  <c r="Q2087" i="1"/>
  <c r="R2087" i="1"/>
  <c r="Q2088" i="1"/>
  <c r="R2088" i="1"/>
  <c r="Q2089" i="1"/>
  <c r="R2089" i="1"/>
  <c r="Q2090" i="1"/>
  <c r="R2090" i="1"/>
  <c r="Q2091" i="1"/>
  <c r="R2091" i="1"/>
  <c r="Q2092" i="1"/>
  <c r="R2092" i="1"/>
  <c r="Q2093" i="1"/>
  <c r="R2093" i="1"/>
  <c r="Q2094" i="1"/>
  <c r="R2094" i="1"/>
  <c r="Q2095" i="1"/>
  <c r="R2095" i="1"/>
  <c r="Q2096" i="1"/>
  <c r="R2096" i="1"/>
  <c r="Q2097" i="1"/>
  <c r="R2097" i="1"/>
  <c r="Q2098" i="1"/>
  <c r="R2098" i="1"/>
  <c r="Q2099" i="1"/>
  <c r="R2099" i="1"/>
  <c r="Q2100" i="1"/>
  <c r="R2100" i="1"/>
  <c r="Q2101" i="1"/>
  <c r="R2101" i="1"/>
  <c r="Q2102" i="1"/>
  <c r="R2102" i="1"/>
  <c r="Q2103" i="1"/>
  <c r="R2103" i="1"/>
  <c r="Q2104" i="1"/>
  <c r="R2104" i="1"/>
  <c r="Q2105" i="1"/>
  <c r="R2105" i="1"/>
  <c r="Q2106" i="1"/>
  <c r="R2106" i="1"/>
  <c r="Q2107" i="1"/>
  <c r="R2107" i="1"/>
  <c r="Q2108" i="1"/>
  <c r="R2108" i="1"/>
  <c r="Q2109" i="1"/>
  <c r="R2109" i="1"/>
  <c r="Q2110" i="1"/>
  <c r="R2110" i="1"/>
  <c r="Q2111" i="1"/>
  <c r="R2111" i="1"/>
  <c r="Q2112" i="1"/>
  <c r="R2112" i="1"/>
  <c r="Q2113" i="1"/>
  <c r="R2113" i="1"/>
  <c r="Q2114" i="1"/>
  <c r="R2114" i="1"/>
  <c r="Q2115" i="1"/>
  <c r="R2115" i="1"/>
  <c r="Q2116" i="1"/>
  <c r="R2116" i="1"/>
  <c r="Q2117" i="1"/>
  <c r="R2117" i="1"/>
  <c r="Q2118" i="1"/>
  <c r="R2118" i="1"/>
  <c r="Q2119" i="1"/>
  <c r="R2119" i="1"/>
  <c r="Q2120" i="1"/>
  <c r="R2120" i="1"/>
  <c r="Q2121" i="1"/>
  <c r="R2121" i="1"/>
  <c r="Q2122" i="1"/>
  <c r="R2122" i="1"/>
  <c r="Q2123" i="1"/>
  <c r="R2123" i="1"/>
  <c r="Q2124" i="1"/>
  <c r="R2124" i="1"/>
  <c r="Q2125" i="1"/>
  <c r="R2125" i="1"/>
  <c r="Q2126" i="1"/>
  <c r="R2126" i="1"/>
  <c r="Q2127" i="1"/>
  <c r="R2127" i="1"/>
  <c r="Q2128" i="1"/>
  <c r="R2128" i="1"/>
  <c r="Q2129" i="1"/>
  <c r="R2129" i="1"/>
  <c r="Q2130" i="1"/>
  <c r="R2130" i="1"/>
  <c r="Q2131" i="1"/>
  <c r="R2131" i="1"/>
  <c r="Q2132" i="1"/>
  <c r="R2132" i="1"/>
  <c r="Q2133" i="1"/>
  <c r="R2133" i="1"/>
  <c r="Q2134" i="1"/>
  <c r="R2134" i="1"/>
  <c r="Q2135" i="1"/>
  <c r="R2135" i="1"/>
  <c r="Q2136" i="1"/>
  <c r="R2136" i="1"/>
  <c r="Q2137" i="1"/>
  <c r="R2137" i="1"/>
  <c r="Q2138" i="1"/>
  <c r="R2138" i="1"/>
  <c r="Q2139" i="1"/>
  <c r="R2139" i="1"/>
  <c r="Q2140" i="1"/>
  <c r="R2140" i="1"/>
  <c r="Q2141" i="1"/>
  <c r="R2141" i="1"/>
  <c r="Q2142" i="1"/>
  <c r="R2142" i="1"/>
  <c r="Q2143" i="1"/>
  <c r="R2143" i="1"/>
  <c r="Q2144" i="1"/>
  <c r="R2144" i="1"/>
  <c r="Q2145" i="1"/>
  <c r="R2145" i="1"/>
  <c r="Q2146" i="1"/>
  <c r="R2146" i="1"/>
  <c r="Q2147" i="1"/>
  <c r="R2147" i="1"/>
  <c r="Q2148" i="1"/>
  <c r="R2148" i="1"/>
  <c r="Q2149" i="1"/>
  <c r="R2149" i="1"/>
  <c r="Q2150" i="1"/>
  <c r="R2150" i="1"/>
  <c r="Q2151" i="1"/>
  <c r="R2151" i="1"/>
  <c r="Q2152" i="1"/>
  <c r="R2152" i="1"/>
  <c r="Q2153" i="1"/>
  <c r="R2153" i="1"/>
  <c r="Q2154" i="1"/>
  <c r="R2154" i="1"/>
  <c r="Q2155" i="1"/>
  <c r="R2155" i="1"/>
  <c r="Q2156" i="1"/>
  <c r="R2156" i="1"/>
  <c r="Q2157" i="1"/>
  <c r="R2157" i="1"/>
  <c r="Q2158" i="1"/>
  <c r="R2158" i="1"/>
  <c r="Q2159" i="1"/>
  <c r="R2159" i="1"/>
  <c r="Q2160" i="1"/>
  <c r="R2160" i="1"/>
  <c r="Q2161" i="1"/>
  <c r="R2161" i="1"/>
  <c r="Q2162" i="1"/>
  <c r="R2162" i="1"/>
  <c r="Q2163" i="1"/>
  <c r="R2163" i="1"/>
  <c r="Q2164" i="1"/>
  <c r="R2164" i="1"/>
  <c r="Q2165" i="1"/>
  <c r="R2165" i="1"/>
  <c r="Q2166" i="1"/>
  <c r="R2166" i="1"/>
  <c r="Q2167" i="1"/>
  <c r="R2167" i="1"/>
  <c r="Q2168" i="1"/>
  <c r="R2168" i="1"/>
  <c r="Q2169" i="1"/>
  <c r="R2169" i="1"/>
  <c r="Q2170" i="1"/>
  <c r="R2170" i="1"/>
  <c r="Q2171" i="1"/>
  <c r="R2171" i="1"/>
  <c r="Q2172" i="1"/>
  <c r="R2172" i="1"/>
  <c r="Q2173" i="1"/>
  <c r="R2173" i="1"/>
  <c r="Q2174" i="1"/>
  <c r="R2174" i="1"/>
  <c r="Q2175" i="1"/>
  <c r="R2175" i="1"/>
  <c r="Q2176" i="1"/>
  <c r="R2176" i="1"/>
  <c r="Q2177" i="1"/>
  <c r="R2177" i="1"/>
  <c r="Q2178" i="1"/>
  <c r="R2178" i="1"/>
  <c r="Q2179" i="1"/>
  <c r="R2179" i="1"/>
  <c r="Q2180" i="1"/>
  <c r="R2180" i="1"/>
  <c r="Q2181" i="1"/>
  <c r="R2181" i="1"/>
  <c r="Q2182" i="1"/>
  <c r="R2182" i="1"/>
  <c r="Q2183" i="1"/>
  <c r="R2183" i="1"/>
  <c r="Q2184" i="1"/>
  <c r="R2184" i="1"/>
  <c r="Q2185" i="1"/>
  <c r="R2185" i="1"/>
  <c r="Q2186" i="1"/>
  <c r="R2186" i="1"/>
  <c r="Q2187" i="1"/>
  <c r="R2187" i="1"/>
  <c r="Q2188" i="1"/>
  <c r="R2188" i="1"/>
  <c r="Q2189" i="1"/>
  <c r="R2189" i="1"/>
  <c r="Q2190" i="1"/>
  <c r="R2190" i="1"/>
  <c r="Q2191" i="1"/>
  <c r="R2191" i="1"/>
  <c r="Q2192" i="1"/>
  <c r="R2192" i="1"/>
  <c r="Q2193" i="1"/>
  <c r="R2193" i="1"/>
  <c r="Q2194" i="1"/>
  <c r="R2194" i="1"/>
  <c r="Q2195" i="1"/>
  <c r="R2195" i="1"/>
  <c r="Q2196" i="1"/>
  <c r="R2196" i="1"/>
  <c r="Q2197" i="1"/>
  <c r="R2197" i="1"/>
  <c r="Q2198" i="1"/>
  <c r="R2198" i="1"/>
  <c r="Q2199" i="1"/>
  <c r="R2199" i="1"/>
  <c r="Q2200" i="1"/>
  <c r="R2200" i="1"/>
  <c r="Q2201" i="1"/>
  <c r="R2201" i="1"/>
  <c r="Q2202" i="1"/>
  <c r="R2202" i="1"/>
  <c r="Q2203" i="1"/>
  <c r="R2203" i="1"/>
  <c r="Q2204" i="1"/>
  <c r="R2204" i="1"/>
  <c r="Q2205" i="1"/>
  <c r="R2205" i="1"/>
  <c r="Q2206" i="1"/>
  <c r="R2206" i="1"/>
  <c r="Q2207" i="1"/>
  <c r="R2207" i="1"/>
  <c r="Q2208" i="1"/>
  <c r="R2208" i="1"/>
  <c r="Q2209" i="1"/>
  <c r="R2209" i="1"/>
  <c r="Q2210" i="1"/>
  <c r="R2210" i="1"/>
  <c r="Q2211" i="1"/>
  <c r="R2211" i="1"/>
  <c r="Q2212" i="1"/>
  <c r="R2212" i="1"/>
  <c r="Q2213" i="1"/>
  <c r="R2213" i="1"/>
  <c r="Q2214" i="1"/>
  <c r="R2214" i="1"/>
  <c r="Q2215" i="1"/>
  <c r="R2215" i="1"/>
  <c r="Q2216" i="1"/>
  <c r="R2216" i="1"/>
  <c r="Q2217" i="1"/>
  <c r="R2217" i="1"/>
  <c r="Q2218" i="1"/>
  <c r="R2218" i="1"/>
  <c r="Q2219" i="1"/>
  <c r="R2219" i="1"/>
  <c r="Q2220" i="1"/>
  <c r="R2220" i="1"/>
  <c r="Q2221" i="1"/>
  <c r="R2221" i="1"/>
  <c r="Q2222" i="1"/>
  <c r="R2222" i="1"/>
  <c r="Q2223" i="1"/>
  <c r="R2223" i="1"/>
  <c r="Q2224" i="1"/>
  <c r="R2224" i="1"/>
  <c r="Q2225" i="1"/>
  <c r="R2225" i="1"/>
  <c r="Q2226" i="1"/>
  <c r="R2226" i="1"/>
  <c r="Q2227" i="1"/>
  <c r="R2227" i="1"/>
  <c r="Q2228" i="1"/>
  <c r="R2228" i="1"/>
  <c r="Q2229" i="1"/>
  <c r="R2229" i="1"/>
  <c r="Q2230" i="1"/>
  <c r="R2230" i="1"/>
  <c r="Q2231" i="1"/>
  <c r="R2231" i="1"/>
  <c r="Q2232" i="1"/>
  <c r="R2232" i="1"/>
  <c r="Q2233" i="1"/>
  <c r="R2233" i="1"/>
  <c r="Q2234" i="1"/>
  <c r="R2234" i="1"/>
  <c r="Q2235" i="1"/>
  <c r="R2235" i="1"/>
  <c r="Q2236" i="1"/>
  <c r="R2236" i="1"/>
  <c r="Q2237" i="1"/>
  <c r="R2237" i="1"/>
  <c r="Q2238" i="1"/>
  <c r="R2238" i="1"/>
  <c r="Q2239" i="1"/>
  <c r="R2239" i="1"/>
  <c r="Q2240" i="1"/>
  <c r="R2240" i="1"/>
  <c r="Q2241" i="1"/>
  <c r="R2241" i="1"/>
  <c r="Q2242" i="1"/>
  <c r="R2242" i="1"/>
  <c r="Q2243" i="1"/>
  <c r="R2243" i="1"/>
  <c r="Q2244" i="1"/>
  <c r="R2244" i="1"/>
  <c r="Q2245" i="1"/>
  <c r="R2245" i="1"/>
  <c r="Q2246" i="1"/>
  <c r="R2246" i="1"/>
  <c r="Q2247" i="1"/>
  <c r="R2247" i="1"/>
  <c r="Q2248" i="1"/>
  <c r="R2248" i="1"/>
  <c r="Q2249" i="1"/>
  <c r="R2249" i="1"/>
  <c r="Q2250" i="1"/>
  <c r="R2250" i="1"/>
  <c r="Q2251" i="1"/>
  <c r="R2251" i="1"/>
  <c r="Q2252" i="1"/>
  <c r="R2252" i="1"/>
  <c r="Q2253" i="1"/>
  <c r="R2253" i="1"/>
  <c r="Q2254" i="1"/>
  <c r="R2254" i="1"/>
  <c r="Q2255" i="1"/>
  <c r="R2255" i="1"/>
  <c r="Q2256" i="1"/>
  <c r="R2256" i="1"/>
  <c r="Q2257" i="1"/>
  <c r="R2257" i="1"/>
  <c r="Q2258" i="1"/>
  <c r="R2258" i="1"/>
  <c r="Q2259" i="1"/>
  <c r="R2259" i="1"/>
  <c r="Q2260" i="1"/>
  <c r="R2260" i="1"/>
  <c r="Q2261" i="1"/>
  <c r="R2261" i="1"/>
  <c r="Q2262" i="1"/>
  <c r="R2262" i="1"/>
  <c r="Q2263" i="1"/>
  <c r="R2263" i="1"/>
  <c r="Q2264" i="1"/>
  <c r="R2264" i="1"/>
  <c r="Q2265" i="1"/>
  <c r="R2265" i="1"/>
  <c r="Q2266" i="1"/>
  <c r="R2266" i="1"/>
  <c r="Q2267" i="1"/>
  <c r="R2267" i="1"/>
  <c r="Q2268" i="1"/>
  <c r="R2268" i="1"/>
  <c r="Q2269" i="1"/>
  <c r="R2269" i="1"/>
  <c r="Q2270" i="1"/>
  <c r="R2270" i="1"/>
  <c r="Q2271" i="1"/>
  <c r="R2271" i="1"/>
  <c r="Q2272" i="1"/>
  <c r="R2272" i="1"/>
  <c r="Q2273" i="1"/>
  <c r="R2273" i="1"/>
  <c r="Q2274" i="1"/>
  <c r="R2274" i="1"/>
  <c r="Q2275" i="1"/>
  <c r="R2275" i="1"/>
  <c r="Q2276" i="1"/>
  <c r="R2276" i="1"/>
  <c r="Q2277" i="1"/>
  <c r="R2277" i="1"/>
  <c r="Q2278" i="1"/>
  <c r="R2278" i="1"/>
  <c r="Q2279" i="1"/>
  <c r="R2279" i="1"/>
  <c r="Q2280" i="1"/>
  <c r="R2280" i="1"/>
  <c r="Q2281" i="1"/>
  <c r="R2281" i="1"/>
  <c r="Q2282" i="1"/>
  <c r="R2282" i="1"/>
  <c r="Q2283" i="1"/>
  <c r="R2283" i="1"/>
  <c r="Q2284" i="1"/>
  <c r="R2284" i="1"/>
  <c r="Q2285" i="1"/>
  <c r="R2285" i="1"/>
  <c r="Q2286" i="1"/>
  <c r="R2286" i="1"/>
  <c r="Q2287" i="1"/>
  <c r="R2287" i="1"/>
  <c r="Q2288" i="1"/>
  <c r="R2288" i="1"/>
  <c r="Q2289" i="1"/>
  <c r="R2289" i="1"/>
  <c r="Q2290" i="1"/>
  <c r="R2290" i="1"/>
  <c r="Q2291" i="1"/>
  <c r="R2291" i="1"/>
  <c r="Q2292" i="1"/>
  <c r="R2292" i="1"/>
  <c r="Q2293" i="1"/>
  <c r="R2293" i="1"/>
  <c r="Q2294" i="1"/>
  <c r="R2294" i="1"/>
  <c r="Q2295" i="1"/>
  <c r="R2295" i="1"/>
  <c r="Q2296" i="1"/>
  <c r="R2296" i="1"/>
  <c r="Q2297" i="1"/>
  <c r="R2297" i="1"/>
  <c r="Q2298" i="1"/>
  <c r="R2298" i="1"/>
  <c r="Q2299" i="1"/>
  <c r="R2299" i="1"/>
  <c r="Q2300" i="1"/>
  <c r="R2300" i="1"/>
  <c r="Q2301" i="1"/>
  <c r="R2301" i="1"/>
  <c r="Q2302" i="1"/>
  <c r="R2302" i="1"/>
  <c r="Q2303" i="1"/>
  <c r="R2303" i="1"/>
  <c r="Q2304" i="1"/>
  <c r="R2304" i="1"/>
  <c r="Q2305" i="1"/>
  <c r="R2305" i="1"/>
  <c r="Q2306" i="1"/>
  <c r="R2306" i="1"/>
  <c r="Q2307" i="1"/>
  <c r="R2307" i="1"/>
  <c r="Q2308" i="1"/>
  <c r="R2308" i="1"/>
  <c r="Q2309" i="1"/>
  <c r="R2309" i="1"/>
  <c r="Q2310" i="1"/>
  <c r="R2310" i="1"/>
  <c r="Q2311" i="1"/>
  <c r="R2311" i="1"/>
  <c r="Q2312" i="1"/>
  <c r="R2312" i="1"/>
  <c r="Q2313" i="1"/>
  <c r="R2313" i="1"/>
  <c r="Q2314" i="1"/>
  <c r="R2314" i="1"/>
  <c r="Q2315" i="1"/>
  <c r="R2315" i="1"/>
  <c r="Q2316" i="1"/>
  <c r="R2316" i="1"/>
  <c r="Q2317" i="1"/>
  <c r="R2317" i="1"/>
  <c r="Q2318" i="1"/>
  <c r="R2318" i="1"/>
  <c r="Q2319" i="1"/>
  <c r="R2319" i="1"/>
  <c r="Q2320" i="1"/>
  <c r="R2320" i="1"/>
  <c r="Q2321" i="1"/>
  <c r="R2321" i="1"/>
  <c r="Q2322" i="1"/>
  <c r="R2322" i="1"/>
  <c r="Q2323" i="1"/>
  <c r="R2323" i="1"/>
  <c r="Q2324" i="1"/>
  <c r="R2324" i="1"/>
  <c r="Q2325" i="1"/>
  <c r="R2325" i="1"/>
  <c r="Q2326" i="1"/>
  <c r="R2326" i="1"/>
  <c r="Q2327" i="1"/>
  <c r="R2327" i="1"/>
  <c r="Q2328" i="1"/>
  <c r="R2328" i="1"/>
  <c r="Q2329" i="1"/>
  <c r="R2329" i="1"/>
  <c r="Q2330" i="1"/>
  <c r="R2330" i="1"/>
  <c r="Q2331" i="1"/>
  <c r="R2331" i="1"/>
  <c r="Q2332" i="1"/>
  <c r="R2332" i="1"/>
  <c r="Q2333" i="1"/>
  <c r="R2333" i="1"/>
  <c r="Q2334" i="1"/>
  <c r="R2334" i="1"/>
  <c r="Q2335" i="1"/>
  <c r="R2335" i="1"/>
  <c r="Q2336" i="1"/>
  <c r="R2336" i="1"/>
  <c r="Q2337" i="1"/>
  <c r="R2337" i="1"/>
  <c r="Q2338" i="1"/>
  <c r="R2338" i="1"/>
  <c r="Q2339" i="1"/>
  <c r="R2339" i="1"/>
  <c r="Q2340" i="1"/>
  <c r="R2340" i="1"/>
  <c r="Q2341" i="1"/>
  <c r="R2341" i="1"/>
  <c r="Q2342" i="1"/>
  <c r="R2342" i="1"/>
  <c r="Q2343" i="1"/>
  <c r="R2343" i="1"/>
  <c r="Q2344" i="1"/>
  <c r="R2344" i="1"/>
  <c r="Q2345" i="1"/>
  <c r="R2345" i="1"/>
  <c r="Q2346" i="1"/>
  <c r="R2346" i="1"/>
  <c r="Q2347" i="1"/>
  <c r="R2347" i="1"/>
  <c r="Q2348" i="1"/>
  <c r="R2348" i="1"/>
  <c r="Q2349" i="1"/>
  <c r="R2349" i="1"/>
  <c r="Q2350" i="1"/>
  <c r="R2350" i="1"/>
  <c r="Q2351" i="1"/>
  <c r="R2351" i="1"/>
  <c r="Q2352" i="1"/>
  <c r="R2352" i="1"/>
  <c r="Q2353" i="1"/>
  <c r="R2353" i="1"/>
  <c r="Q2354" i="1"/>
  <c r="R2354" i="1"/>
  <c r="Q2355" i="1"/>
  <c r="R2355" i="1"/>
  <c r="Q2356" i="1"/>
  <c r="R2356" i="1"/>
  <c r="Q2357" i="1"/>
  <c r="R2357" i="1"/>
  <c r="Q2358" i="1"/>
  <c r="R2358" i="1"/>
  <c r="Q2359" i="1"/>
  <c r="R2359" i="1"/>
  <c r="Q2360" i="1"/>
  <c r="R2360" i="1"/>
  <c r="Q2361" i="1"/>
  <c r="R2361" i="1"/>
  <c r="Q2362" i="1"/>
  <c r="R2362" i="1"/>
  <c r="Q2363" i="1"/>
  <c r="R2363" i="1"/>
  <c r="Q2364" i="1"/>
  <c r="R2364" i="1"/>
  <c r="Q2365" i="1"/>
  <c r="R2365" i="1"/>
  <c r="Q2366" i="1"/>
  <c r="R2366" i="1"/>
  <c r="Q2367" i="1"/>
  <c r="R2367" i="1"/>
  <c r="Q2368" i="1"/>
  <c r="R2368" i="1"/>
  <c r="Q2369" i="1"/>
  <c r="R2369" i="1"/>
  <c r="Q2370" i="1"/>
  <c r="R2370" i="1"/>
  <c r="Q2371" i="1"/>
  <c r="R2371" i="1"/>
  <c r="Q2372" i="1"/>
  <c r="R2372" i="1"/>
  <c r="Q2373" i="1"/>
  <c r="R2373" i="1"/>
  <c r="Q2374" i="1"/>
  <c r="R2374" i="1"/>
  <c r="Q2375" i="1"/>
  <c r="R2375" i="1"/>
  <c r="Q2376" i="1"/>
  <c r="R2376" i="1"/>
  <c r="Q2377" i="1"/>
  <c r="R2377" i="1"/>
  <c r="Q2378" i="1"/>
  <c r="R2378" i="1"/>
  <c r="Q2379" i="1"/>
  <c r="R2379" i="1"/>
  <c r="Q2380" i="1"/>
  <c r="R2380" i="1"/>
  <c r="Q2381" i="1"/>
  <c r="R2381" i="1"/>
  <c r="Q2382" i="1"/>
  <c r="R2382" i="1"/>
  <c r="Q2383" i="1"/>
  <c r="R2383" i="1"/>
  <c r="Q2384" i="1"/>
  <c r="R2384" i="1"/>
  <c r="Q2385" i="1"/>
  <c r="R2385" i="1"/>
  <c r="Q2386" i="1"/>
  <c r="R2386" i="1"/>
  <c r="Q2387" i="1"/>
  <c r="R2387" i="1"/>
  <c r="Q2388" i="1"/>
  <c r="R2388" i="1"/>
  <c r="Q2389" i="1"/>
  <c r="R2389" i="1"/>
  <c r="Q2390" i="1"/>
  <c r="R2390" i="1"/>
  <c r="Q2391" i="1"/>
  <c r="R2391" i="1"/>
  <c r="Q2392" i="1"/>
  <c r="R2392" i="1"/>
  <c r="Q2393" i="1"/>
  <c r="R2393" i="1"/>
  <c r="Q2394" i="1"/>
  <c r="R2394" i="1"/>
  <c r="Q2395" i="1"/>
  <c r="R2395" i="1"/>
  <c r="Q2396" i="1"/>
  <c r="R2396" i="1"/>
  <c r="Q2397" i="1"/>
  <c r="R2397" i="1"/>
  <c r="Q2398" i="1"/>
  <c r="R2398" i="1"/>
  <c r="Q2399" i="1"/>
  <c r="R2399" i="1"/>
  <c r="Q2400" i="1"/>
  <c r="R2400" i="1"/>
  <c r="Q2401" i="1"/>
  <c r="R2401" i="1"/>
  <c r="Q2402" i="1"/>
  <c r="R2402" i="1"/>
  <c r="Q2403" i="1"/>
  <c r="R2403" i="1"/>
  <c r="Q2404" i="1"/>
  <c r="R2404" i="1"/>
  <c r="Q2405" i="1"/>
  <c r="R2405" i="1"/>
  <c r="Q2406" i="1"/>
  <c r="R2406" i="1"/>
  <c r="Q2407" i="1"/>
  <c r="R2407" i="1"/>
  <c r="Q2408" i="1"/>
  <c r="R2408" i="1"/>
  <c r="Q2409" i="1"/>
  <c r="R2409" i="1"/>
  <c r="Q2410" i="1"/>
  <c r="R2410" i="1"/>
  <c r="Q2411" i="1"/>
  <c r="R2411" i="1"/>
  <c r="Q2412" i="1"/>
  <c r="R2412" i="1"/>
  <c r="Q2413" i="1"/>
  <c r="R2413" i="1"/>
  <c r="Q2414" i="1"/>
  <c r="R2414" i="1"/>
  <c r="Q2415" i="1"/>
  <c r="R2415" i="1"/>
  <c r="Q2416" i="1"/>
  <c r="R2416" i="1"/>
  <c r="Q2417" i="1"/>
  <c r="R2417" i="1"/>
  <c r="Q2418" i="1"/>
  <c r="R2418" i="1"/>
  <c r="Q2419" i="1"/>
  <c r="R2419" i="1"/>
  <c r="Q2420" i="1"/>
  <c r="R2420" i="1"/>
  <c r="Q2421" i="1"/>
  <c r="R2421" i="1"/>
  <c r="Q2422" i="1"/>
  <c r="R2422" i="1"/>
  <c r="Q2423" i="1"/>
  <c r="R2423" i="1"/>
  <c r="Q2424" i="1"/>
  <c r="R2424" i="1"/>
  <c r="Q2425" i="1"/>
  <c r="R2425" i="1"/>
  <c r="Q2426" i="1"/>
  <c r="R2426" i="1"/>
  <c r="Q2427" i="1"/>
  <c r="R2427" i="1"/>
  <c r="Q2428" i="1"/>
  <c r="R2428" i="1"/>
  <c r="Q2429" i="1"/>
  <c r="R2429" i="1"/>
  <c r="Q2430" i="1"/>
  <c r="R2430" i="1"/>
  <c r="Q2431" i="1"/>
  <c r="R2431" i="1"/>
  <c r="Q2432" i="1"/>
  <c r="R2432" i="1"/>
  <c r="Q2433" i="1"/>
  <c r="R2433" i="1"/>
  <c r="Q2434" i="1"/>
  <c r="R2434" i="1"/>
  <c r="Q2435" i="1"/>
  <c r="R2435" i="1"/>
  <c r="Q2436" i="1"/>
  <c r="R2436" i="1"/>
  <c r="Q2437" i="1"/>
  <c r="R2437" i="1"/>
  <c r="Q2438" i="1"/>
  <c r="R2438" i="1"/>
  <c r="Q2439" i="1"/>
  <c r="R2439" i="1"/>
  <c r="Q2440" i="1"/>
  <c r="R2440" i="1"/>
  <c r="Q2441" i="1"/>
  <c r="R2441" i="1"/>
  <c r="Q2442" i="1"/>
  <c r="R2442" i="1"/>
  <c r="Q2443" i="1"/>
  <c r="R2443" i="1"/>
  <c r="Q2444" i="1"/>
  <c r="R2444" i="1"/>
  <c r="Q2445" i="1"/>
  <c r="R2445" i="1"/>
  <c r="Q2446" i="1"/>
  <c r="R2446" i="1"/>
  <c r="Q2447" i="1"/>
  <c r="R2447" i="1"/>
  <c r="Q2448" i="1"/>
  <c r="R2448" i="1"/>
  <c r="Q2449" i="1"/>
  <c r="R2449" i="1"/>
  <c r="Q2450" i="1"/>
  <c r="R2450" i="1"/>
  <c r="Q2451" i="1"/>
  <c r="R2451" i="1"/>
  <c r="Q2452" i="1"/>
  <c r="R2452" i="1"/>
  <c r="Q2453" i="1"/>
  <c r="R2453" i="1"/>
  <c r="Q2454" i="1"/>
  <c r="R2454" i="1"/>
  <c r="Q2455" i="1"/>
  <c r="R2455" i="1"/>
  <c r="Q2456" i="1"/>
  <c r="R2456" i="1"/>
  <c r="Q2457" i="1"/>
  <c r="R2457" i="1"/>
  <c r="Q2458" i="1"/>
  <c r="R2458" i="1"/>
  <c r="Q2459" i="1"/>
  <c r="R2459" i="1"/>
  <c r="Q2460" i="1"/>
  <c r="R2460" i="1"/>
  <c r="Q2461" i="1"/>
  <c r="R2461" i="1"/>
  <c r="Q2462" i="1"/>
  <c r="R2462" i="1"/>
  <c r="Q2463" i="1"/>
  <c r="R2463" i="1"/>
  <c r="Q2464" i="1"/>
  <c r="R2464" i="1"/>
  <c r="Q2465" i="1"/>
  <c r="R2465" i="1"/>
  <c r="Q2466" i="1"/>
  <c r="R2466" i="1"/>
  <c r="Q2467" i="1"/>
  <c r="R2467" i="1"/>
  <c r="Q2468" i="1"/>
  <c r="R2468" i="1"/>
  <c r="Q2469" i="1"/>
  <c r="R2469" i="1"/>
  <c r="Q2470" i="1"/>
  <c r="R2470" i="1"/>
  <c r="Q2471" i="1"/>
  <c r="R2471" i="1"/>
  <c r="Q2472" i="1"/>
  <c r="R2472" i="1"/>
  <c r="Q2473" i="1"/>
  <c r="R2473" i="1"/>
  <c r="Q2474" i="1"/>
  <c r="R2474" i="1"/>
  <c r="Q2475" i="1"/>
  <c r="R2475" i="1"/>
  <c r="Q2476" i="1"/>
  <c r="R2476" i="1"/>
  <c r="Q2477" i="1"/>
  <c r="R2477" i="1"/>
  <c r="Q2478" i="1"/>
  <c r="R2478" i="1"/>
  <c r="Q2479" i="1"/>
  <c r="R2479" i="1"/>
  <c r="Q2480" i="1"/>
  <c r="R2480" i="1"/>
  <c r="Q2481" i="1"/>
  <c r="R2481" i="1"/>
  <c r="Q2482" i="1"/>
  <c r="R2482" i="1"/>
  <c r="Q2483" i="1"/>
  <c r="R2483" i="1"/>
  <c r="Q2484" i="1"/>
  <c r="R2484" i="1"/>
  <c r="Q2485" i="1"/>
  <c r="R2485" i="1"/>
  <c r="Q2486" i="1"/>
  <c r="R2486" i="1"/>
  <c r="Q2487" i="1"/>
  <c r="R2487" i="1"/>
  <c r="Q2488" i="1"/>
  <c r="R2488" i="1"/>
  <c r="Q2489" i="1"/>
  <c r="R2489" i="1"/>
  <c r="Q2490" i="1"/>
  <c r="R2490" i="1"/>
  <c r="Q2491" i="1"/>
  <c r="R2491" i="1"/>
  <c r="Q2492" i="1"/>
  <c r="R2492" i="1"/>
  <c r="Q2493" i="1"/>
  <c r="R2493" i="1"/>
  <c r="Q2494" i="1"/>
  <c r="R2494" i="1"/>
  <c r="Q2495" i="1"/>
  <c r="R2495" i="1"/>
  <c r="Q2496" i="1"/>
  <c r="R2496" i="1"/>
  <c r="Q2497" i="1"/>
  <c r="R2497" i="1"/>
  <c r="Q2498" i="1"/>
  <c r="R2498" i="1"/>
  <c r="Q2499" i="1"/>
  <c r="R2499" i="1"/>
  <c r="Q2500" i="1"/>
  <c r="R2500" i="1"/>
  <c r="Q2501" i="1"/>
  <c r="R2501" i="1"/>
  <c r="Q2502" i="1"/>
  <c r="R2502" i="1"/>
  <c r="Q2503" i="1"/>
  <c r="R2503" i="1"/>
  <c r="Q2504" i="1"/>
  <c r="R2504" i="1"/>
  <c r="Q2505" i="1"/>
  <c r="R2505" i="1"/>
  <c r="Q2506" i="1"/>
  <c r="R2506" i="1"/>
  <c r="Q2507" i="1"/>
  <c r="R2507" i="1"/>
  <c r="Q2508" i="1"/>
  <c r="R2508" i="1"/>
  <c r="Q2509" i="1"/>
  <c r="R2509" i="1"/>
  <c r="Q2510" i="1"/>
  <c r="R2510" i="1"/>
  <c r="Q2511" i="1"/>
  <c r="R2511" i="1"/>
  <c r="Q2512" i="1"/>
  <c r="R2512" i="1"/>
  <c r="Q2513" i="1"/>
  <c r="R2513" i="1"/>
  <c r="Q2514" i="1"/>
  <c r="R2514" i="1"/>
  <c r="Q2515" i="1"/>
  <c r="R2515" i="1"/>
  <c r="Q2516" i="1"/>
  <c r="R2516" i="1"/>
  <c r="Q2517" i="1"/>
  <c r="R2517" i="1"/>
  <c r="Q2518" i="1"/>
  <c r="R2518" i="1"/>
  <c r="Q2519" i="1"/>
  <c r="R2519" i="1"/>
  <c r="Q2520" i="1"/>
  <c r="R2520" i="1"/>
  <c r="Q2521" i="1"/>
  <c r="R2521" i="1"/>
  <c r="Q2522" i="1"/>
  <c r="R2522" i="1"/>
  <c r="Q2523" i="1"/>
  <c r="R2523" i="1"/>
  <c r="Q2524" i="1"/>
  <c r="R2524" i="1"/>
  <c r="Q2525" i="1"/>
  <c r="R2525" i="1"/>
  <c r="Q2526" i="1"/>
  <c r="R2526" i="1"/>
  <c r="Q2527" i="1"/>
  <c r="R2527" i="1"/>
  <c r="Q2528" i="1"/>
  <c r="R2528" i="1"/>
  <c r="Q2529" i="1"/>
  <c r="R2529" i="1"/>
  <c r="Q2530" i="1"/>
  <c r="R2530" i="1"/>
  <c r="Q2531" i="1"/>
  <c r="R2531" i="1"/>
  <c r="Q2532" i="1"/>
  <c r="R2532" i="1"/>
  <c r="Q2533" i="1"/>
  <c r="R2533" i="1"/>
  <c r="Q2534" i="1"/>
  <c r="R2534" i="1"/>
  <c r="Q2535" i="1"/>
  <c r="R2535" i="1"/>
  <c r="Q2536" i="1"/>
  <c r="R2536" i="1"/>
  <c r="Q2537" i="1"/>
  <c r="R2537" i="1"/>
  <c r="Q2538" i="1"/>
  <c r="R2538" i="1"/>
  <c r="Q2539" i="1"/>
  <c r="R2539" i="1"/>
  <c r="Q2540" i="1"/>
  <c r="R2540" i="1"/>
  <c r="Q2541" i="1"/>
  <c r="R2541" i="1"/>
  <c r="Q2542" i="1"/>
  <c r="R2542" i="1"/>
  <c r="Q2543" i="1"/>
  <c r="R2543" i="1"/>
  <c r="Q2544" i="1"/>
  <c r="R2544" i="1"/>
  <c r="Q2545" i="1"/>
  <c r="R2545" i="1"/>
  <c r="Q2546" i="1"/>
  <c r="R2546" i="1"/>
  <c r="Q2547" i="1"/>
  <c r="R2547" i="1"/>
  <c r="Q2548" i="1"/>
  <c r="R2548" i="1"/>
  <c r="Q2549" i="1"/>
  <c r="R2549" i="1"/>
  <c r="Q2550" i="1"/>
  <c r="R2550" i="1"/>
  <c r="Q2551" i="1"/>
  <c r="R2551" i="1"/>
  <c r="Q2552" i="1"/>
  <c r="R2552" i="1"/>
  <c r="Q2553" i="1"/>
  <c r="R2553" i="1"/>
  <c r="Q2554" i="1"/>
  <c r="R2554" i="1"/>
  <c r="Q2555" i="1"/>
  <c r="R2555" i="1"/>
  <c r="Q2556" i="1"/>
  <c r="R2556" i="1"/>
  <c r="Q2557" i="1"/>
  <c r="R2557" i="1"/>
  <c r="Q2558" i="1"/>
  <c r="R2558" i="1"/>
  <c r="Q2559" i="1"/>
  <c r="R2559" i="1"/>
  <c r="Q2560" i="1"/>
  <c r="R2560" i="1"/>
  <c r="Q2561" i="1"/>
  <c r="R2561" i="1"/>
  <c r="Q2562" i="1"/>
  <c r="R2562" i="1"/>
  <c r="Q2563" i="1"/>
  <c r="R2563" i="1"/>
  <c r="Q2564" i="1"/>
  <c r="R2564" i="1"/>
  <c r="Q2565" i="1"/>
  <c r="R2565" i="1"/>
  <c r="Q2566" i="1"/>
  <c r="R2566" i="1"/>
  <c r="Q2567" i="1"/>
  <c r="R2567" i="1"/>
  <c r="Q2568" i="1"/>
  <c r="R2568" i="1"/>
  <c r="Q2569" i="1"/>
  <c r="R2569" i="1"/>
  <c r="Q2570" i="1"/>
  <c r="R2570" i="1"/>
  <c r="Q2571" i="1"/>
  <c r="R2571" i="1"/>
  <c r="Q2572" i="1"/>
  <c r="R2572" i="1"/>
  <c r="Q2573" i="1"/>
  <c r="R2573" i="1"/>
  <c r="Q2574" i="1"/>
  <c r="R2574" i="1"/>
  <c r="Q2575" i="1"/>
  <c r="R2575" i="1"/>
  <c r="Q2576" i="1"/>
  <c r="R2576" i="1"/>
  <c r="Q2577" i="1"/>
  <c r="R2577" i="1"/>
  <c r="Q2578" i="1"/>
  <c r="R2578" i="1"/>
  <c r="Q2579" i="1"/>
  <c r="R2579" i="1"/>
  <c r="Q2580" i="1"/>
  <c r="R2580" i="1"/>
  <c r="Q2581" i="1"/>
  <c r="R2581" i="1"/>
  <c r="Q2582" i="1"/>
  <c r="R2582" i="1"/>
  <c r="Q2583" i="1"/>
  <c r="R2583" i="1"/>
  <c r="Q2584" i="1"/>
  <c r="R2584" i="1"/>
  <c r="Q2585" i="1"/>
  <c r="R2585" i="1"/>
  <c r="Q2586" i="1"/>
  <c r="R2586" i="1"/>
  <c r="Q2587" i="1"/>
  <c r="R2587" i="1"/>
  <c r="Q2588" i="1"/>
  <c r="R2588" i="1"/>
  <c r="Q2589" i="1"/>
  <c r="R2589" i="1"/>
  <c r="Q2590" i="1"/>
  <c r="R2590" i="1"/>
  <c r="Q2591" i="1"/>
  <c r="R2591" i="1"/>
  <c r="Q2592" i="1"/>
  <c r="R2592" i="1"/>
  <c r="Q2593" i="1"/>
  <c r="R2593" i="1"/>
  <c r="Q2594" i="1"/>
  <c r="R2594" i="1"/>
  <c r="Q2595" i="1"/>
  <c r="R2595" i="1"/>
  <c r="Q2596" i="1"/>
  <c r="R2596" i="1"/>
  <c r="Q2597" i="1"/>
  <c r="R2597" i="1"/>
  <c r="Q2598" i="1"/>
  <c r="R2598" i="1"/>
  <c r="Q2599" i="1"/>
  <c r="R2599" i="1"/>
  <c r="Q2600" i="1"/>
  <c r="R2600" i="1"/>
  <c r="Q2601" i="1"/>
  <c r="R2601" i="1"/>
  <c r="Q2602" i="1"/>
  <c r="R2602" i="1"/>
  <c r="Q2603" i="1"/>
  <c r="R2603" i="1"/>
  <c r="Q2604" i="1"/>
  <c r="R2604" i="1"/>
  <c r="Q2605" i="1"/>
  <c r="R2605" i="1"/>
  <c r="Q2606" i="1"/>
  <c r="R2606" i="1"/>
  <c r="Q2607" i="1"/>
  <c r="R2607" i="1"/>
  <c r="Q2608" i="1"/>
  <c r="R2608" i="1"/>
  <c r="Q2609" i="1"/>
  <c r="R2609" i="1"/>
  <c r="Q2610" i="1"/>
  <c r="R2610" i="1"/>
  <c r="Q2611" i="1"/>
  <c r="R2611" i="1"/>
  <c r="Q2612" i="1"/>
  <c r="R2612" i="1"/>
  <c r="Q2613" i="1"/>
  <c r="R2613" i="1"/>
  <c r="Q2614" i="1"/>
  <c r="R2614" i="1"/>
  <c r="Q2615" i="1"/>
  <c r="R2615" i="1"/>
  <c r="Q2616" i="1"/>
  <c r="R2616" i="1"/>
  <c r="Q2617" i="1"/>
  <c r="R2617" i="1"/>
  <c r="Q2618" i="1"/>
  <c r="R2618" i="1"/>
  <c r="Q2619" i="1"/>
  <c r="R2619" i="1"/>
  <c r="Q2620" i="1"/>
  <c r="R2620" i="1"/>
  <c r="Q2621" i="1"/>
  <c r="R2621" i="1"/>
  <c r="Q2622" i="1"/>
  <c r="R2622" i="1"/>
  <c r="Q2623" i="1"/>
  <c r="R2623" i="1"/>
  <c r="Q2624" i="1"/>
  <c r="R2624" i="1"/>
  <c r="Q2625" i="1"/>
  <c r="R2625" i="1"/>
  <c r="Q2626" i="1"/>
  <c r="R2626" i="1"/>
  <c r="Q2627" i="1"/>
  <c r="R2627" i="1"/>
  <c r="Q2628" i="1"/>
  <c r="R2628" i="1"/>
  <c r="Q2629" i="1"/>
  <c r="R2629" i="1"/>
  <c r="Q2630" i="1"/>
  <c r="R2630" i="1"/>
  <c r="Q2631" i="1"/>
  <c r="R2631" i="1"/>
  <c r="Q2632" i="1"/>
  <c r="R2632" i="1"/>
  <c r="Q2633" i="1"/>
  <c r="R2633" i="1"/>
  <c r="Q2634" i="1"/>
  <c r="R2634" i="1"/>
  <c r="Q2635" i="1"/>
  <c r="R2635" i="1"/>
  <c r="Q2636" i="1"/>
  <c r="R2636" i="1"/>
  <c r="Q2637" i="1"/>
  <c r="R2637" i="1"/>
  <c r="Q2638" i="1"/>
  <c r="R2638" i="1"/>
  <c r="Q2639" i="1"/>
  <c r="R2639" i="1"/>
  <c r="Q2640" i="1"/>
  <c r="R2640" i="1"/>
  <c r="Q2641" i="1"/>
  <c r="R2641" i="1"/>
  <c r="Q2642" i="1"/>
  <c r="R2642" i="1"/>
  <c r="Q2643" i="1"/>
  <c r="R2643" i="1"/>
  <c r="Q2644" i="1"/>
  <c r="R2644" i="1"/>
  <c r="Q2645" i="1"/>
  <c r="R2645" i="1"/>
  <c r="Q2646" i="1"/>
  <c r="R2646" i="1"/>
  <c r="Q2647" i="1"/>
  <c r="R2647" i="1"/>
  <c r="Q2648" i="1"/>
  <c r="R2648" i="1"/>
  <c r="Q2649" i="1"/>
  <c r="R2649" i="1"/>
  <c r="Q2650" i="1"/>
  <c r="R2650" i="1"/>
  <c r="Q2651" i="1"/>
  <c r="R2651" i="1"/>
  <c r="Q2652" i="1"/>
  <c r="R2652" i="1"/>
  <c r="Q2653" i="1"/>
  <c r="R2653" i="1"/>
  <c r="Q2654" i="1"/>
  <c r="R2654" i="1"/>
  <c r="Q2655" i="1"/>
  <c r="R2655" i="1"/>
  <c r="Q2656" i="1"/>
  <c r="R2656" i="1"/>
  <c r="Q2657" i="1"/>
  <c r="R2657" i="1"/>
  <c r="Q2658" i="1"/>
  <c r="R2658" i="1"/>
  <c r="Q2659" i="1"/>
  <c r="R2659" i="1"/>
  <c r="Q2660" i="1"/>
  <c r="R2660" i="1"/>
  <c r="Q2661" i="1"/>
  <c r="R2661" i="1"/>
  <c r="Q2662" i="1"/>
  <c r="R2662" i="1"/>
  <c r="Q2663" i="1"/>
  <c r="R2663" i="1"/>
  <c r="Q2664" i="1"/>
  <c r="R2664" i="1"/>
  <c r="Q2665" i="1"/>
  <c r="R2665" i="1"/>
  <c r="Q2666" i="1"/>
  <c r="R2666" i="1"/>
  <c r="Q2667" i="1"/>
  <c r="R2667" i="1"/>
  <c r="Q2668" i="1"/>
  <c r="R2668" i="1"/>
  <c r="Q2669" i="1"/>
  <c r="R2669" i="1"/>
  <c r="Q2670" i="1"/>
  <c r="R2670" i="1"/>
  <c r="Q2671" i="1"/>
  <c r="R2671" i="1"/>
  <c r="Q2672" i="1"/>
  <c r="R2672" i="1"/>
  <c r="Q2673" i="1"/>
  <c r="R2673" i="1"/>
  <c r="Q2674" i="1"/>
  <c r="R2674" i="1"/>
  <c r="Q2675" i="1"/>
  <c r="R2675" i="1"/>
  <c r="Q2676" i="1"/>
  <c r="R2676" i="1"/>
  <c r="Q2677" i="1"/>
  <c r="R2677" i="1"/>
  <c r="Q2678" i="1"/>
  <c r="R2678" i="1"/>
  <c r="Q2679" i="1"/>
  <c r="R2679" i="1"/>
  <c r="Q2680" i="1"/>
  <c r="R2680" i="1"/>
  <c r="Q2681" i="1"/>
  <c r="R2681" i="1"/>
  <c r="Q2682" i="1"/>
  <c r="R2682" i="1"/>
  <c r="Q2683" i="1"/>
  <c r="R2683" i="1"/>
  <c r="Q2684" i="1"/>
  <c r="R2684" i="1"/>
  <c r="Q2685" i="1"/>
  <c r="R2685" i="1"/>
  <c r="Q2686" i="1"/>
  <c r="R2686" i="1"/>
  <c r="Q2687" i="1"/>
  <c r="R2687" i="1"/>
  <c r="Q2688" i="1"/>
  <c r="R2688" i="1"/>
  <c r="Q2689" i="1"/>
  <c r="R2689" i="1"/>
  <c r="Q2690" i="1"/>
  <c r="R2690" i="1"/>
  <c r="Q2691" i="1"/>
  <c r="R2691" i="1"/>
  <c r="Q2692" i="1"/>
  <c r="R2692" i="1"/>
  <c r="Q2693" i="1"/>
  <c r="R2693" i="1"/>
  <c r="Q2694" i="1"/>
  <c r="R2694" i="1"/>
  <c r="Q2695" i="1"/>
  <c r="R2695" i="1"/>
  <c r="Q2696" i="1"/>
  <c r="R2696" i="1"/>
  <c r="Q2697" i="1"/>
  <c r="R2697" i="1"/>
  <c r="Q2698" i="1"/>
  <c r="R2698" i="1"/>
  <c r="Q2699" i="1"/>
  <c r="R2699" i="1"/>
  <c r="Q2700" i="1"/>
  <c r="R2700" i="1"/>
  <c r="Q2701" i="1"/>
  <c r="R2701" i="1"/>
  <c r="Q2702" i="1"/>
  <c r="R2702" i="1"/>
  <c r="Q2703" i="1"/>
  <c r="R2703" i="1"/>
  <c r="Q2704" i="1"/>
  <c r="R2704" i="1"/>
  <c r="Q2705" i="1"/>
  <c r="R2705" i="1"/>
  <c r="Q2706" i="1"/>
  <c r="R2706" i="1"/>
  <c r="Q2707" i="1"/>
  <c r="R2707" i="1"/>
  <c r="Q2708" i="1"/>
  <c r="R2708" i="1"/>
  <c r="Q2709" i="1"/>
  <c r="R2709" i="1"/>
  <c r="Q2710" i="1"/>
  <c r="R2710" i="1"/>
  <c r="Q2711" i="1"/>
  <c r="R2711" i="1"/>
  <c r="Q2712" i="1"/>
  <c r="R2712" i="1"/>
  <c r="Q2713" i="1"/>
  <c r="R2713" i="1"/>
  <c r="Q2714" i="1"/>
  <c r="R2714" i="1"/>
  <c r="Q2715" i="1"/>
  <c r="R2715" i="1"/>
  <c r="Q2716" i="1"/>
  <c r="R2716" i="1"/>
  <c r="Q2717" i="1"/>
  <c r="R2717" i="1"/>
  <c r="Q2718" i="1"/>
  <c r="R2718" i="1"/>
  <c r="Q2719" i="1"/>
  <c r="R2719" i="1"/>
  <c r="Q2720" i="1"/>
  <c r="R2720" i="1"/>
  <c r="Q2721" i="1"/>
  <c r="R2721" i="1"/>
  <c r="Q2722" i="1"/>
  <c r="R2722" i="1"/>
  <c r="Q2723" i="1"/>
  <c r="R2723" i="1"/>
  <c r="Q2724" i="1"/>
  <c r="R2724" i="1"/>
  <c r="Q2725" i="1"/>
  <c r="R2725" i="1"/>
  <c r="Q2726" i="1"/>
  <c r="R2726" i="1"/>
  <c r="Q2727" i="1"/>
  <c r="R2727" i="1"/>
  <c r="Q2728" i="1"/>
  <c r="R2728" i="1"/>
  <c r="Q2729" i="1"/>
  <c r="R2729" i="1"/>
  <c r="Q2730" i="1"/>
  <c r="R2730" i="1"/>
  <c r="Q2731" i="1"/>
  <c r="R2731" i="1"/>
  <c r="Q2732" i="1"/>
  <c r="R2732" i="1"/>
  <c r="Q2733" i="1"/>
  <c r="R2733" i="1"/>
  <c r="Q2734" i="1"/>
  <c r="R2734" i="1"/>
  <c r="Q2735" i="1"/>
  <c r="R2735" i="1"/>
  <c r="Q2736" i="1"/>
  <c r="R2736" i="1"/>
  <c r="Q2737" i="1"/>
  <c r="R2737" i="1"/>
  <c r="Q2738" i="1"/>
  <c r="R2738" i="1"/>
  <c r="Q2739" i="1"/>
  <c r="R2739" i="1"/>
  <c r="Q2740" i="1"/>
  <c r="R2740" i="1"/>
  <c r="Q2741" i="1"/>
  <c r="R2741" i="1"/>
  <c r="Q2742" i="1"/>
  <c r="R2742" i="1"/>
  <c r="Q2743" i="1"/>
  <c r="R2743" i="1"/>
  <c r="Q2744" i="1"/>
  <c r="R2744" i="1"/>
  <c r="Q2745" i="1"/>
  <c r="R2745" i="1"/>
  <c r="Q2746" i="1"/>
  <c r="R2746" i="1"/>
  <c r="Q2747" i="1"/>
  <c r="R2747" i="1"/>
  <c r="Q2748" i="1"/>
  <c r="R2748" i="1"/>
  <c r="Q2749" i="1"/>
  <c r="R2749" i="1"/>
  <c r="Q2750" i="1"/>
  <c r="R2750" i="1"/>
  <c r="Q2751" i="1"/>
  <c r="R2751" i="1"/>
  <c r="Q2752" i="1"/>
  <c r="R2752" i="1"/>
  <c r="Q2753" i="1"/>
  <c r="R2753" i="1"/>
  <c r="Q2754" i="1"/>
  <c r="R2754" i="1"/>
  <c r="Q2755" i="1"/>
  <c r="R2755" i="1"/>
  <c r="Q2756" i="1"/>
  <c r="R2756" i="1"/>
  <c r="Q2757" i="1"/>
  <c r="R2757" i="1"/>
  <c r="Q2758" i="1"/>
  <c r="R2758" i="1"/>
  <c r="Q2759" i="1"/>
  <c r="R2759" i="1"/>
  <c r="Q2760" i="1"/>
  <c r="R2760" i="1"/>
  <c r="Q2761" i="1"/>
  <c r="R2761" i="1"/>
  <c r="Q2762" i="1"/>
  <c r="R2762" i="1"/>
  <c r="Q2763" i="1"/>
  <c r="R2763" i="1"/>
  <c r="Q2764" i="1"/>
  <c r="R2764" i="1"/>
  <c r="Q2765" i="1"/>
  <c r="R2765" i="1"/>
  <c r="Q2766" i="1"/>
  <c r="R2766" i="1"/>
  <c r="Q2767" i="1"/>
  <c r="R2767" i="1"/>
  <c r="Q2768" i="1"/>
  <c r="R2768" i="1"/>
  <c r="Q2769" i="1"/>
  <c r="R2769" i="1"/>
  <c r="Q2770" i="1"/>
  <c r="R2770" i="1"/>
  <c r="Q2771" i="1"/>
  <c r="R2771" i="1"/>
  <c r="Q2772" i="1"/>
  <c r="R2772" i="1"/>
  <c r="Q2773" i="1"/>
  <c r="R2773" i="1"/>
  <c r="Q2774" i="1"/>
  <c r="R2774" i="1"/>
  <c r="Q2775" i="1"/>
  <c r="R2775" i="1"/>
  <c r="Q2776" i="1"/>
  <c r="R2776" i="1"/>
  <c r="Q2777" i="1"/>
  <c r="R2777" i="1"/>
  <c r="Q2778" i="1"/>
  <c r="R2778" i="1"/>
  <c r="Q2779" i="1"/>
  <c r="R2779" i="1"/>
  <c r="Q2780" i="1"/>
  <c r="R2780" i="1"/>
  <c r="Q2781" i="1"/>
  <c r="R2781" i="1"/>
  <c r="Q2782" i="1"/>
  <c r="R2782" i="1"/>
  <c r="Q2783" i="1"/>
  <c r="R2783" i="1"/>
  <c r="Q2784" i="1"/>
  <c r="R2784" i="1"/>
  <c r="Q2785" i="1"/>
  <c r="R2785" i="1"/>
  <c r="Q2786" i="1"/>
  <c r="R2786" i="1"/>
  <c r="Q2787" i="1"/>
  <c r="R2787" i="1"/>
  <c r="Q2788" i="1"/>
  <c r="R2788" i="1"/>
  <c r="Q2789" i="1"/>
  <c r="R2789" i="1"/>
  <c r="Q2790" i="1"/>
  <c r="R2790" i="1"/>
  <c r="Q2791" i="1"/>
  <c r="R2791" i="1"/>
  <c r="Q2792" i="1"/>
  <c r="R2792" i="1"/>
  <c r="Q2793" i="1"/>
  <c r="R2793" i="1"/>
  <c r="Q2794" i="1"/>
  <c r="R2794" i="1"/>
  <c r="Q2795" i="1"/>
  <c r="R2795" i="1"/>
  <c r="Q2796" i="1"/>
  <c r="R2796" i="1"/>
  <c r="Q2797" i="1"/>
  <c r="R2797" i="1"/>
  <c r="Q2798" i="1"/>
  <c r="R2798" i="1"/>
  <c r="Q2799" i="1"/>
  <c r="R2799" i="1"/>
  <c r="Q2800" i="1"/>
  <c r="R2800" i="1"/>
  <c r="Q2801" i="1"/>
  <c r="R2801" i="1"/>
  <c r="Q2802" i="1"/>
  <c r="R2802" i="1"/>
  <c r="Q2803" i="1"/>
  <c r="R2803" i="1"/>
  <c r="Q2804" i="1"/>
  <c r="R2804" i="1"/>
  <c r="Q2805" i="1"/>
  <c r="R2805" i="1"/>
  <c r="Q2806" i="1"/>
  <c r="R2806" i="1"/>
  <c r="Q2807" i="1"/>
  <c r="R2807" i="1"/>
  <c r="Q2808" i="1"/>
  <c r="R2808" i="1"/>
  <c r="Q2809" i="1"/>
  <c r="R2809" i="1"/>
  <c r="Q2810" i="1"/>
  <c r="R2810" i="1"/>
  <c r="Q2811" i="1"/>
  <c r="R2811" i="1"/>
  <c r="Q2812" i="1"/>
  <c r="R2812" i="1"/>
  <c r="Q2813" i="1"/>
  <c r="R2813" i="1"/>
  <c r="Q2814" i="1"/>
  <c r="R2814" i="1"/>
  <c r="Q2815" i="1"/>
  <c r="R2815" i="1"/>
  <c r="Q2816" i="1"/>
  <c r="R2816" i="1"/>
  <c r="Q2817" i="1"/>
  <c r="R2817" i="1"/>
  <c r="Q2818" i="1"/>
  <c r="R2818" i="1"/>
  <c r="Q2819" i="1"/>
  <c r="R2819" i="1"/>
  <c r="Q2820" i="1"/>
  <c r="R2820" i="1"/>
  <c r="Q2821" i="1"/>
  <c r="R2821" i="1"/>
  <c r="Q2822" i="1"/>
  <c r="R2822" i="1"/>
  <c r="Q2823" i="1"/>
  <c r="R2823" i="1"/>
  <c r="Q2824" i="1"/>
  <c r="R2824" i="1"/>
  <c r="Q2825" i="1"/>
  <c r="R2825" i="1"/>
  <c r="Q2826" i="1"/>
  <c r="R2826" i="1"/>
  <c r="Q2827" i="1"/>
  <c r="R2827" i="1"/>
  <c r="Q2828" i="1"/>
  <c r="R2828" i="1"/>
  <c r="Q2829" i="1"/>
  <c r="R2829" i="1"/>
  <c r="Q2830" i="1"/>
  <c r="R2830" i="1"/>
  <c r="Q2831" i="1"/>
  <c r="R2831" i="1"/>
  <c r="Q2832" i="1"/>
  <c r="R2832" i="1"/>
  <c r="Q2833" i="1"/>
  <c r="R2833" i="1"/>
  <c r="Q2834" i="1"/>
  <c r="R2834" i="1"/>
  <c r="Q2835" i="1"/>
  <c r="R2835" i="1"/>
  <c r="Q2836" i="1"/>
  <c r="R2836" i="1"/>
  <c r="Q2837" i="1"/>
  <c r="R2837" i="1"/>
  <c r="Q2838" i="1"/>
  <c r="R2838" i="1"/>
  <c r="Q2839" i="1"/>
  <c r="R2839" i="1"/>
  <c r="Q2840" i="1"/>
  <c r="R2840" i="1"/>
  <c r="Q2841" i="1"/>
  <c r="R2841" i="1"/>
  <c r="Q2842" i="1"/>
  <c r="R2842" i="1"/>
  <c r="Q2843" i="1"/>
  <c r="R2843" i="1"/>
  <c r="Q2844" i="1"/>
  <c r="R2844" i="1"/>
  <c r="Q2845" i="1"/>
  <c r="R2845" i="1"/>
  <c r="Q2846" i="1"/>
  <c r="R2846" i="1"/>
  <c r="Q2847" i="1"/>
  <c r="R2847" i="1"/>
  <c r="Q2848" i="1"/>
  <c r="R2848" i="1"/>
  <c r="Q2849" i="1"/>
  <c r="R2849" i="1"/>
  <c r="Q2850" i="1"/>
  <c r="R2850" i="1"/>
  <c r="Q2851" i="1"/>
  <c r="R2851" i="1"/>
  <c r="Q2852" i="1"/>
  <c r="R2852" i="1"/>
  <c r="Q2853" i="1"/>
  <c r="R2853" i="1"/>
  <c r="Q2854" i="1"/>
  <c r="R2854" i="1"/>
  <c r="Q2855" i="1"/>
  <c r="R2855" i="1"/>
  <c r="Q2856" i="1"/>
  <c r="R2856" i="1"/>
  <c r="Q2857" i="1"/>
  <c r="R2857" i="1"/>
  <c r="Q2858" i="1"/>
  <c r="R2858" i="1"/>
  <c r="Q2859" i="1"/>
  <c r="R2859" i="1"/>
  <c r="Q2860" i="1"/>
  <c r="R2860" i="1"/>
  <c r="Q2861" i="1"/>
  <c r="R2861" i="1"/>
  <c r="Q2862" i="1"/>
  <c r="R2862" i="1"/>
  <c r="Q2863" i="1"/>
  <c r="R2863" i="1"/>
  <c r="Q2864" i="1"/>
  <c r="R2864" i="1"/>
  <c r="Q2865" i="1"/>
  <c r="R2865" i="1"/>
  <c r="Q2866" i="1"/>
  <c r="R2866" i="1"/>
  <c r="Q2867" i="1"/>
  <c r="R2867" i="1"/>
  <c r="Q2868" i="1"/>
  <c r="R2868" i="1"/>
  <c r="Q2869" i="1"/>
  <c r="R2869" i="1"/>
  <c r="Q2870" i="1"/>
  <c r="R2870" i="1"/>
  <c r="Q2871" i="1"/>
  <c r="R2871" i="1"/>
  <c r="Q2872" i="1"/>
  <c r="R2872" i="1"/>
  <c r="Q2873" i="1"/>
  <c r="R2873" i="1"/>
  <c r="Q2874" i="1"/>
  <c r="R2874" i="1"/>
  <c r="Q2875" i="1"/>
  <c r="R2875" i="1"/>
  <c r="Q2876" i="1"/>
  <c r="R2876" i="1"/>
  <c r="Q2877" i="1"/>
  <c r="R2877" i="1"/>
  <c r="Q2878" i="1"/>
  <c r="R2878" i="1"/>
  <c r="Q2879" i="1"/>
  <c r="R2879" i="1"/>
  <c r="Q2880" i="1"/>
  <c r="R2880" i="1"/>
  <c r="Q2881" i="1"/>
  <c r="R2881" i="1"/>
  <c r="Q2882" i="1"/>
  <c r="R2882" i="1"/>
  <c r="Q2883" i="1"/>
  <c r="R2883" i="1"/>
  <c r="Q2884" i="1"/>
  <c r="R2884" i="1"/>
  <c r="Q2885" i="1"/>
  <c r="R2885" i="1"/>
  <c r="Q2886" i="1"/>
  <c r="R2886" i="1"/>
  <c r="Q2887" i="1"/>
  <c r="R2887" i="1"/>
  <c r="Q2888" i="1"/>
  <c r="R2888" i="1"/>
  <c r="Q2889" i="1"/>
  <c r="R2889" i="1"/>
  <c r="Q2890" i="1"/>
  <c r="R2890" i="1"/>
  <c r="Q2891" i="1"/>
  <c r="R2891" i="1"/>
  <c r="Q2892" i="1"/>
  <c r="R2892" i="1"/>
  <c r="Q2893" i="1"/>
  <c r="R2893" i="1"/>
  <c r="Q2894" i="1"/>
  <c r="R2894" i="1"/>
  <c r="Q2895" i="1"/>
  <c r="R2895" i="1"/>
  <c r="Q2896" i="1"/>
  <c r="R2896" i="1"/>
  <c r="Q2897" i="1"/>
  <c r="R2897" i="1"/>
  <c r="Q2898" i="1"/>
  <c r="R2898" i="1"/>
  <c r="Q2899" i="1"/>
  <c r="R2899" i="1"/>
  <c r="Q2900" i="1"/>
  <c r="R2900" i="1"/>
  <c r="Q2901" i="1"/>
  <c r="R2901" i="1"/>
  <c r="Q2902" i="1"/>
  <c r="R2902" i="1"/>
  <c r="Q2903" i="1"/>
  <c r="R2903" i="1"/>
  <c r="Q2904" i="1"/>
  <c r="R2904" i="1"/>
  <c r="Q2905" i="1"/>
  <c r="R2905" i="1"/>
  <c r="Q2906" i="1"/>
  <c r="R2906" i="1"/>
  <c r="Q2907" i="1"/>
  <c r="R2907" i="1"/>
  <c r="Q2908" i="1"/>
  <c r="R2908" i="1"/>
  <c r="Q2909" i="1"/>
  <c r="R2909" i="1"/>
  <c r="Q2910" i="1"/>
  <c r="R2910" i="1"/>
  <c r="Q2911" i="1"/>
  <c r="R2911" i="1"/>
  <c r="Q2912" i="1"/>
  <c r="R2912" i="1"/>
  <c r="Q2913" i="1"/>
  <c r="R2913" i="1"/>
  <c r="Q2914" i="1"/>
  <c r="R2914" i="1"/>
  <c r="Q2915" i="1"/>
  <c r="R2915" i="1"/>
  <c r="Q2916" i="1"/>
  <c r="R2916" i="1"/>
  <c r="Q2917" i="1"/>
  <c r="R2917" i="1"/>
  <c r="Q2918" i="1"/>
  <c r="R2918" i="1"/>
  <c r="Q2919" i="1"/>
  <c r="R2919" i="1"/>
  <c r="Q2920" i="1"/>
  <c r="R2920" i="1"/>
  <c r="Q2921" i="1"/>
  <c r="R2921" i="1"/>
  <c r="Q2922" i="1"/>
  <c r="R2922" i="1"/>
  <c r="Q2923" i="1"/>
  <c r="R2923" i="1"/>
  <c r="Q2924" i="1"/>
  <c r="R2924" i="1"/>
  <c r="Q2925" i="1"/>
  <c r="R2925" i="1"/>
  <c r="Q2926" i="1"/>
  <c r="R2926" i="1"/>
  <c r="Q2927" i="1"/>
  <c r="R2927" i="1"/>
  <c r="Q2928" i="1"/>
  <c r="R2928" i="1"/>
  <c r="Q2929" i="1"/>
  <c r="R2929" i="1"/>
  <c r="Q2930" i="1"/>
  <c r="R2930" i="1"/>
  <c r="Q2931" i="1"/>
  <c r="R2931" i="1"/>
  <c r="Q2932" i="1"/>
  <c r="R2932" i="1"/>
  <c r="Q2933" i="1"/>
  <c r="R2933" i="1"/>
  <c r="Q2934" i="1"/>
  <c r="R2934" i="1"/>
  <c r="Q2935" i="1"/>
  <c r="R2935" i="1"/>
  <c r="Q2936" i="1"/>
  <c r="R2936" i="1"/>
  <c r="Q2937" i="1"/>
  <c r="R2937" i="1"/>
  <c r="Q2938" i="1"/>
  <c r="R2938" i="1"/>
  <c r="Q2939" i="1"/>
  <c r="R2939" i="1"/>
  <c r="Q2940" i="1"/>
  <c r="R2940" i="1"/>
  <c r="Q2941" i="1"/>
  <c r="R2941" i="1"/>
  <c r="Q2942" i="1"/>
  <c r="R2942" i="1"/>
  <c r="Q2943" i="1"/>
  <c r="R2943" i="1"/>
  <c r="Q2944" i="1"/>
  <c r="R2944" i="1"/>
  <c r="Q2945" i="1"/>
  <c r="R2945" i="1"/>
  <c r="Q2946" i="1"/>
  <c r="R2946" i="1"/>
  <c r="Q2947" i="1"/>
  <c r="R2947" i="1"/>
  <c r="Q2948" i="1"/>
  <c r="R2948" i="1"/>
  <c r="Q2949" i="1"/>
  <c r="R2949" i="1"/>
  <c r="Q2950" i="1"/>
  <c r="R2950" i="1"/>
  <c r="Q2951" i="1"/>
  <c r="R2951" i="1"/>
  <c r="Q2952" i="1"/>
  <c r="R2952" i="1"/>
  <c r="Q2953" i="1"/>
  <c r="R2953" i="1"/>
  <c r="Q2954" i="1"/>
  <c r="R2954" i="1"/>
  <c r="Q2955" i="1"/>
  <c r="R2955" i="1"/>
  <c r="Q2956" i="1"/>
  <c r="R2956" i="1"/>
  <c r="Q2957" i="1"/>
  <c r="R2957" i="1"/>
  <c r="Q2958" i="1"/>
  <c r="R2958" i="1"/>
  <c r="Q2959" i="1"/>
  <c r="R2959" i="1"/>
  <c r="Q2960" i="1"/>
  <c r="R2960" i="1"/>
  <c r="Q2961" i="1"/>
  <c r="R2961" i="1"/>
  <c r="Q2962" i="1"/>
  <c r="R2962" i="1"/>
  <c r="Q2963" i="1"/>
  <c r="R2963" i="1"/>
  <c r="Q2964" i="1"/>
  <c r="R2964" i="1"/>
  <c r="Q2965" i="1"/>
  <c r="R2965" i="1"/>
  <c r="Q2966" i="1"/>
  <c r="R2966" i="1"/>
  <c r="Q2967" i="1"/>
  <c r="R2967" i="1"/>
  <c r="Q2968" i="1"/>
  <c r="R2968" i="1"/>
  <c r="Q2969" i="1"/>
  <c r="R2969" i="1"/>
  <c r="Q2970" i="1"/>
  <c r="R2970" i="1"/>
  <c r="Q2971" i="1"/>
  <c r="R2971" i="1"/>
  <c r="Q2972" i="1"/>
  <c r="R2972" i="1"/>
  <c r="Q2973" i="1"/>
  <c r="R2973" i="1"/>
  <c r="Q2974" i="1"/>
  <c r="R2974" i="1"/>
  <c r="Q2975" i="1"/>
  <c r="R2975" i="1"/>
  <c r="Q2976" i="1"/>
  <c r="R2976" i="1"/>
  <c r="Q2977" i="1"/>
  <c r="R2977" i="1"/>
  <c r="Q2978" i="1"/>
  <c r="R2978" i="1"/>
  <c r="Q2979" i="1"/>
  <c r="R2979" i="1"/>
  <c r="Q2980" i="1"/>
  <c r="R2980" i="1"/>
  <c r="Q2981" i="1"/>
  <c r="R2981" i="1"/>
  <c r="Q2982" i="1"/>
  <c r="R2982" i="1"/>
  <c r="Q2983" i="1"/>
  <c r="R2983" i="1"/>
  <c r="Q2984" i="1"/>
  <c r="R2984" i="1"/>
  <c r="Q2985" i="1"/>
  <c r="R2985" i="1"/>
  <c r="Q2986" i="1"/>
  <c r="R2986" i="1"/>
  <c r="Q2987" i="1"/>
  <c r="R2987" i="1"/>
  <c r="Q2988" i="1"/>
  <c r="R2988" i="1"/>
  <c r="Q2989" i="1"/>
  <c r="R2989" i="1"/>
  <c r="Q2990" i="1"/>
  <c r="R2990" i="1"/>
  <c r="Q2991" i="1"/>
  <c r="R2991" i="1"/>
  <c r="Q2992" i="1"/>
  <c r="R2992" i="1"/>
  <c r="Q2993" i="1"/>
  <c r="R2993" i="1"/>
  <c r="Q2994" i="1"/>
  <c r="R2994" i="1"/>
  <c r="Q2995" i="1"/>
  <c r="R2995" i="1"/>
  <c r="Q2996" i="1"/>
  <c r="R2996" i="1"/>
  <c r="Q2997" i="1"/>
  <c r="R2997" i="1"/>
  <c r="Q2998" i="1"/>
  <c r="R2998" i="1"/>
  <c r="Q2999" i="1"/>
  <c r="R2999" i="1"/>
  <c r="Q3000" i="1"/>
  <c r="R3000" i="1"/>
  <c r="Q3001" i="1"/>
  <c r="R3001" i="1"/>
  <c r="Q3002" i="1"/>
  <c r="R3002" i="1"/>
  <c r="Q3003" i="1"/>
  <c r="R3003" i="1"/>
  <c r="Q3004" i="1"/>
  <c r="R3004" i="1"/>
  <c r="Q3005" i="1"/>
  <c r="R3005" i="1"/>
  <c r="Q3006" i="1"/>
  <c r="R3006" i="1"/>
  <c r="Q3007" i="1"/>
  <c r="R3007" i="1"/>
  <c r="Q3008" i="1"/>
  <c r="R3008" i="1"/>
  <c r="Q3009" i="1"/>
  <c r="R3009" i="1"/>
  <c r="Q3010" i="1"/>
  <c r="R3010" i="1"/>
  <c r="Q3011" i="1"/>
  <c r="R3011" i="1"/>
  <c r="Q3012" i="1"/>
  <c r="R3012" i="1"/>
  <c r="Q3013" i="1"/>
  <c r="R3013" i="1"/>
  <c r="Q3014" i="1"/>
  <c r="R3014" i="1"/>
  <c r="Q3015" i="1"/>
  <c r="R3015" i="1"/>
  <c r="Q3016" i="1"/>
  <c r="R3016" i="1"/>
  <c r="Q3017" i="1"/>
  <c r="R3017" i="1"/>
  <c r="Q3018" i="1"/>
  <c r="R3018" i="1"/>
  <c r="Q3019" i="1"/>
  <c r="R3019" i="1"/>
  <c r="Q3020" i="1"/>
  <c r="R3020" i="1"/>
  <c r="Q3021" i="1"/>
  <c r="R3021" i="1"/>
  <c r="Q3022" i="1"/>
  <c r="R3022" i="1"/>
  <c r="Q3023" i="1"/>
  <c r="R3023" i="1"/>
  <c r="Q3024" i="1"/>
  <c r="R3024" i="1"/>
  <c r="Q3025" i="1"/>
  <c r="R3025" i="1"/>
  <c r="Q3026" i="1"/>
  <c r="R3026" i="1"/>
  <c r="Q3027" i="1"/>
  <c r="R3027" i="1"/>
  <c r="Q3028" i="1"/>
  <c r="R3028" i="1"/>
  <c r="Q3029" i="1"/>
  <c r="R3029" i="1"/>
  <c r="Q3030" i="1"/>
  <c r="R3030" i="1"/>
  <c r="Q3031" i="1"/>
  <c r="R3031" i="1"/>
  <c r="Q3032" i="1"/>
  <c r="R3032" i="1"/>
  <c r="Q3033" i="1"/>
  <c r="R3033" i="1"/>
  <c r="Q3034" i="1"/>
  <c r="R3034" i="1"/>
  <c r="Q3035" i="1"/>
  <c r="R3035" i="1"/>
  <c r="Q3036" i="1"/>
  <c r="R3036" i="1"/>
  <c r="Q3037" i="1"/>
  <c r="R3037" i="1"/>
  <c r="Q3038" i="1"/>
  <c r="R3038" i="1"/>
  <c r="Q3039" i="1"/>
  <c r="R3039" i="1"/>
  <c r="Q3040" i="1"/>
  <c r="R3040" i="1"/>
  <c r="Q3041" i="1"/>
  <c r="R3041" i="1"/>
  <c r="Q3042" i="1"/>
  <c r="R3042" i="1"/>
  <c r="Q3043" i="1"/>
  <c r="R3043" i="1"/>
  <c r="Q3044" i="1"/>
  <c r="R3044" i="1"/>
  <c r="Q3045" i="1"/>
  <c r="R3045" i="1"/>
  <c r="Q3046" i="1"/>
  <c r="R3046" i="1"/>
  <c r="Q3047" i="1"/>
  <c r="R3047" i="1"/>
  <c r="Q3048" i="1"/>
  <c r="R3048" i="1"/>
  <c r="Q3049" i="1"/>
  <c r="R3049" i="1"/>
  <c r="Q3050" i="1"/>
  <c r="R3050" i="1"/>
  <c r="Q3051" i="1"/>
  <c r="R3051" i="1"/>
  <c r="Q3052" i="1"/>
  <c r="R3052" i="1"/>
  <c r="Q3053" i="1"/>
  <c r="R3053" i="1"/>
  <c r="Q3054" i="1"/>
  <c r="R3054" i="1"/>
  <c r="Q3055" i="1"/>
  <c r="R3055" i="1"/>
  <c r="Q3056" i="1"/>
  <c r="R3056" i="1"/>
  <c r="Q3057" i="1"/>
  <c r="R3057" i="1"/>
  <c r="Q3058" i="1"/>
  <c r="R3058" i="1"/>
  <c r="Q3059" i="1"/>
  <c r="R3059" i="1"/>
  <c r="Q3060" i="1"/>
  <c r="R3060" i="1"/>
  <c r="Q3061" i="1"/>
  <c r="R3061" i="1"/>
  <c r="Q3062" i="1"/>
  <c r="R3062" i="1"/>
  <c r="Q3063" i="1"/>
  <c r="R3063" i="1"/>
  <c r="Q3064" i="1"/>
  <c r="R3064" i="1"/>
  <c r="Q3065" i="1"/>
  <c r="R3065" i="1"/>
  <c r="Q3066" i="1"/>
  <c r="R3066" i="1"/>
  <c r="Q3067" i="1"/>
  <c r="R3067" i="1"/>
  <c r="Q3068" i="1"/>
  <c r="R3068" i="1"/>
  <c r="Q3069" i="1"/>
  <c r="R3069" i="1"/>
  <c r="Q3070" i="1"/>
  <c r="R3070" i="1"/>
  <c r="Q3071" i="1"/>
  <c r="R3071" i="1"/>
  <c r="Q3072" i="1"/>
  <c r="R3072" i="1"/>
  <c r="Q3073" i="1"/>
  <c r="R3073" i="1"/>
  <c r="Q3074" i="1"/>
  <c r="R3074" i="1"/>
  <c r="Q3075" i="1"/>
  <c r="R3075" i="1"/>
  <c r="Q3076" i="1"/>
  <c r="R3076" i="1"/>
  <c r="Q3077" i="1"/>
  <c r="R3077" i="1"/>
  <c r="Q3078" i="1"/>
  <c r="R3078" i="1"/>
  <c r="Q3079" i="1"/>
  <c r="R3079" i="1"/>
  <c r="Q3080" i="1"/>
  <c r="R3080" i="1"/>
  <c r="Q3081" i="1"/>
  <c r="R3081" i="1"/>
  <c r="Q3082" i="1"/>
  <c r="R3082" i="1"/>
  <c r="Q3083" i="1"/>
  <c r="R3083" i="1"/>
  <c r="Q3084" i="1"/>
  <c r="R3084" i="1"/>
  <c r="Q3085" i="1"/>
  <c r="R3085" i="1"/>
  <c r="Q3086" i="1"/>
  <c r="R3086" i="1"/>
  <c r="Q3087" i="1"/>
  <c r="R3087" i="1"/>
  <c r="Q3088" i="1"/>
  <c r="R3088" i="1"/>
  <c r="Q3089" i="1"/>
  <c r="R3089" i="1"/>
  <c r="Q3090" i="1"/>
  <c r="R3090" i="1"/>
  <c r="Q3091" i="1"/>
  <c r="R3091" i="1"/>
  <c r="Q3092" i="1"/>
  <c r="R3092" i="1"/>
  <c r="Q3093" i="1"/>
  <c r="R3093" i="1"/>
  <c r="Q3094" i="1"/>
  <c r="R3094" i="1"/>
  <c r="Q3095" i="1"/>
  <c r="R3095" i="1"/>
  <c r="Q3096" i="1"/>
  <c r="R3096" i="1"/>
  <c r="Q3097" i="1"/>
  <c r="R3097" i="1"/>
  <c r="Q3098" i="1"/>
  <c r="R3098" i="1"/>
  <c r="Q3099" i="1"/>
  <c r="R3099" i="1"/>
  <c r="Q3100" i="1"/>
  <c r="R3100" i="1"/>
  <c r="Q3101" i="1"/>
  <c r="R3101" i="1"/>
  <c r="Q3102" i="1"/>
  <c r="R3102" i="1"/>
  <c r="Q3103" i="1"/>
  <c r="R3103" i="1"/>
  <c r="Q3104" i="1"/>
  <c r="R3104" i="1"/>
  <c r="Q3105" i="1"/>
  <c r="R3105" i="1"/>
  <c r="Q3106" i="1"/>
  <c r="R3106" i="1"/>
  <c r="Q3107" i="1"/>
  <c r="R3107" i="1"/>
  <c r="Q3108" i="1"/>
  <c r="R3108" i="1"/>
  <c r="Q3109" i="1"/>
  <c r="R3109" i="1"/>
  <c r="Q3110" i="1"/>
  <c r="R3110" i="1"/>
  <c r="Q3111" i="1"/>
  <c r="R3111" i="1"/>
  <c r="Q3112" i="1"/>
  <c r="R3112" i="1"/>
  <c r="Q3113" i="1"/>
  <c r="R3113" i="1"/>
  <c r="Q3114" i="1"/>
  <c r="R3114" i="1"/>
  <c r="Q3115" i="1"/>
  <c r="R3115" i="1"/>
  <c r="Q3116" i="1"/>
  <c r="R3116" i="1"/>
  <c r="Q3117" i="1"/>
  <c r="R3117" i="1"/>
  <c r="Q3118" i="1"/>
  <c r="R3118" i="1"/>
  <c r="Q3119" i="1"/>
  <c r="R3119" i="1"/>
  <c r="Q3120" i="1"/>
  <c r="R3120" i="1"/>
  <c r="Q3121" i="1"/>
  <c r="R3121" i="1"/>
  <c r="Q3122" i="1"/>
  <c r="R3122" i="1"/>
  <c r="Q3123" i="1"/>
  <c r="R3123" i="1"/>
  <c r="Q3124" i="1"/>
  <c r="R3124" i="1"/>
  <c r="Q3125" i="1"/>
  <c r="R3125" i="1"/>
  <c r="Q3126" i="1"/>
  <c r="R3126" i="1"/>
  <c r="Q3127" i="1"/>
  <c r="R3127" i="1"/>
  <c r="Q3128" i="1"/>
  <c r="R3128" i="1"/>
  <c r="Q3129" i="1"/>
  <c r="R3129" i="1"/>
  <c r="Q3130" i="1"/>
  <c r="R3130" i="1"/>
  <c r="Q3131" i="1"/>
  <c r="R3131" i="1"/>
  <c r="Q3132" i="1"/>
  <c r="R3132" i="1"/>
  <c r="Q3133" i="1"/>
  <c r="R3133" i="1"/>
  <c r="Q3134" i="1"/>
  <c r="R3134" i="1"/>
  <c r="Q3135" i="1"/>
  <c r="R3135" i="1"/>
  <c r="Q3136" i="1"/>
  <c r="R3136" i="1"/>
  <c r="Q3137" i="1"/>
  <c r="R3137" i="1"/>
  <c r="Q3138" i="1"/>
  <c r="R3138" i="1"/>
  <c r="Q3139" i="1"/>
  <c r="R3139" i="1"/>
  <c r="Q3140" i="1"/>
  <c r="R3140" i="1"/>
  <c r="Q3141" i="1"/>
  <c r="R3141" i="1"/>
  <c r="Q3142" i="1"/>
  <c r="R3142" i="1"/>
  <c r="Q3143" i="1"/>
  <c r="R3143" i="1"/>
  <c r="Q3144" i="1"/>
  <c r="R3144" i="1"/>
  <c r="Q3145" i="1"/>
  <c r="R3145" i="1"/>
  <c r="Q3146" i="1"/>
  <c r="R3146" i="1"/>
  <c r="Q3147" i="1"/>
  <c r="R3147" i="1"/>
  <c r="Q3148" i="1"/>
  <c r="R3148" i="1"/>
  <c r="Q3149" i="1"/>
  <c r="R3149" i="1"/>
  <c r="Q3150" i="1"/>
  <c r="R3150" i="1"/>
  <c r="Q3151" i="1"/>
  <c r="R3151" i="1"/>
  <c r="Q3152" i="1"/>
  <c r="R3152" i="1"/>
  <c r="Q3153" i="1"/>
  <c r="R3153" i="1"/>
  <c r="Q3154" i="1"/>
  <c r="R3154" i="1"/>
  <c r="Q3155" i="1"/>
  <c r="R3155" i="1"/>
  <c r="Q3156" i="1"/>
  <c r="R3156" i="1"/>
  <c r="Q3157" i="1"/>
  <c r="R3157" i="1"/>
  <c r="R2" i="1"/>
  <c r="Q2" i="1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O98" i="1"/>
  <c r="P98" i="1"/>
  <c r="O99" i="1"/>
  <c r="P99" i="1"/>
  <c r="O100" i="1"/>
  <c r="P100" i="1"/>
  <c r="O101" i="1"/>
  <c r="P101" i="1"/>
  <c r="O102" i="1"/>
  <c r="P102" i="1"/>
  <c r="O103" i="1"/>
  <c r="P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O126" i="1"/>
  <c r="P126" i="1"/>
  <c r="O127" i="1"/>
  <c r="P127" i="1"/>
  <c r="O128" i="1"/>
  <c r="P128" i="1"/>
  <c r="O129" i="1"/>
  <c r="P129" i="1"/>
  <c r="O130" i="1"/>
  <c r="P130" i="1"/>
  <c r="O131" i="1"/>
  <c r="P131" i="1"/>
  <c r="O132" i="1"/>
  <c r="P132" i="1"/>
  <c r="O133" i="1"/>
  <c r="P133" i="1"/>
  <c r="O134" i="1"/>
  <c r="P134" i="1"/>
  <c r="O135" i="1"/>
  <c r="P135" i="1"/>
  <c r="O136" i="1"/>
  <c r="P136" i="1"/>
  <c r="O137" i="1"/>
  <c r="P137" i="1"/>
  <c r="O138" i="1"/>
  <c r="P138" i="1"/>
  <c r="O139" i="1"/>
  <c r="P139" i="1"/>
  <c r="O140" i="1"/>
  <c r="P140" i="1"/>
  <c r="O141" i="1"/>
  <c r="P141" i="1"/>
  <c r="O142" i="1"/>
  <c r="P142" i="1"/>
  <c r="O143" i="1"/>
  <c r="P143" i="1"/>
  <c r="O144" i="1"/>
  <c r="P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O152" i="1"/>
  <c r="P152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P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O169" i="1"/>
  <c r="P169" i="1"/>
  <c r="O170" i="1"/>
  <c r="P170" i="1"/>
  <c r="O171" i="1"/>
  <c r="P171" i="1"/>
  <c r="O172" i="1"/>
  <c r="P172" i="1"/>
  <c r="O173" i="1"/>
  <c r="P173" i="1"/>
  <c r="O174" i="1"/>
  <c r="P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O184" i="1"/>
  <c r="P184" i="1"/>
  <c r="O185" i="1"/>
  <c r="P185" i="1"/>
  <c r="O186" i="1"/>
  <c r="P186" i="1"/>
  <c r="O187" i="1"/>
  <c r="P187" i="1"/>
  <c r="O188" i="1"/>
  <c r="P188" i="1"/>
  <c r="O189" i="1"/>
  <c r="P189" i="1"/>
  <c r="O190" i="1"/>
  <c r="P190" i="1"/>
  <c r="O191" i="1"/>
  <c r="P191" i="1"/>
  <c r="O192" i="1"/>
  <c r="P192" i="1"/>
  <c r="O193" i="1"/>
  <c r="P193" i="1"/>
  <c r="O194" i="1"/>
  <c r="P194" i="1"/>
  <c r="O195" i="1"/>
  <c r="P195" i="1"/>
  <c r="O196" i="1"/>
  <c r="P196" i="1"/>
  <c r="O197" i="1"/>
  <c r="P197" i="1"/>
  <c r="O198" i="1"/>
  <c r="P198" i="1"/>
  <c r="O199" i="1"/>
  <c r="P199" i="1"/>
  <c r="O200" i="1"/>
  <c r="P200" i="1"/>
  <c r="O201" i="1"/>
  <c r="P201" i="1"/>
  <c r="O202" i="1"/>
  <c r="P202" i="1"/>
  <c r="O203" i="1"/>
  <c r="P203" i="1"/>
  <c r="O204" i="1"/>
  <c r="P204" i="1"/>
  <c r="O205" i="1"/>
  <c r="P205" i="1"/>
  <c r="O206" i="1"/>
  <c r="P206" i="1"/>
  <c r="O207" i="1"/>
  <c r="P207" i="1"/>
  <c r="O208" i="1"/>
  <c r="P208" i="1"/>
  <c r="O209" i="1"/>
  <c r="P209" i="1"/>
  <c r="O210" i="1"/>
  <c r="P210" i="1"/>
  <c r="O211" i="1"/>
  <c r="P211" i="1"/>
  <c r="O212" i="1"/>
  <c r="P212" i="1"/>
  <c r="O213" i="1"/>
  <c r="P213" i="1"/>
  <c r="O214" i="1"/>
  <c r="P214" i="1"/>
  <c r="O215" i="1"/>
  <c r="P215" i="1"/>
  <c r="O216" i="1"/>
  <c r="P216" i="1"/>
  <c r="O217" i="1"/>
  <c r="P217" i="1"/>
  <c r="O218" i="1"/>
  <c r="P218" i="1"/>
  <c r="O219" i="1"/>
  <c r="P219" i="1"/>
  <c r="O220" i="1"/>
  <c r="P220" i="1"/>
  <c r="O221" i="1"/>
  <c r="P221" i="1"/>
  <c r="O222" i="1"/>
  <c r="P222" i="1"/>
  <c r="O223" i="1"/>
  <c r="P223" i="1"/>
  <c r="O224" i="1"/>
  <c r="P224" i="1"/>
  <c r="O225" i="1"/>
  <c r="P225" i="1"/>
  <c r="O226" i="1"/>
  <c r="P226" i="1"/>
  <c r="O227" i="1"/>
  <c r="P227" i="1"/>
  <c r="O228" i="1"/>
  <c r="P228" i="1"/>
  <c r="O229" i="1"/>
  <c r="P229" i="1"/>
  <c r="O230" i="1"/>
  <c r="P230" i="1"/>
  <c r="O231" i="1"/>
  <c r="P231" i="1"/>
  <c r="O232" i="1"/>
  <c r="P232" i="1"/>
  <c r="O233" i="1"/>
  <c r="P233" i="1"/>
  <c r="O234" i="1"/>
  <c r="P234" i="1"/>
  <c r="O235" i="1"/>
  <c r="P235" i="1"/>
  <c r="O236" i="1"/>
  <c r="P236" i="1"/>
  <c r="O237" i="1"/>
  <c r="P237" i="1"/>
  <c r="O238" i="1"/>
  <c r="P238" i="1"/>
  <c r="O239" i="1"/>
  <c r="P239" i="1"/>
  <c r="O240" i="1"/>
  <c r="P240" i="1"/>
  <c r="O241" i="1"/>
  <c r="P241" i="1"/>
  <c r="O242" i="1"/>
  <c r="P242" i="1"/>
  <c r="O243" i="1"/>
  <c r="P243" i="1"/>
  <c r="O244" i="1"/>
  <c r="P244" i="1"/>
  <c r="O245" i="1"/>
  <c r="P245" i="1"/>
  <c r="O246" i="1"/>
  <c r="P246" i="1"/>
  <c r="O247" i="1"/>
  <c r="P247" i="1"/>
  <c r="O248" i="1"/>
  <c r="P248" i="1"/>
  <c r="O249" i="1"/>
  <c r="P249" i="1"/>
  <c r="O250" i="1"/>
  <c r="P250" i="1"/>
  <c r="O251" i="1"/>
  <c r="P251" i="1"/>
  <c r="O252" i="1"/>
  <c r="P252" i="1"/>
  <c r="O253" i="1"/>
  <c r="P253" i="1"/>
  <c r="O254" i="1"/>
  <c r="P254" i="1"/>
  <c r="O255" i="1"/>
  <c r="P255" i="1"/>
  <c r="O256" i="1"/>
  <c r="P256" i="1"/>
  <c r="O257" i="1"/>
  <c r="P257" i="1"/>
  <c r="O258" i="1"/>
  <c r="P258" i="1"/>
  <c r="O259" i="1"/>
  <c r="P259" i="1"/>
  <c r="O260" i="1"/>
  <c r="P260" i="1"/>
  <c r="O261" i="1"/>
  <c r="P261" i="1"/>
  <c r="O262" i="1"/>
  <c r="P262" i="1"/>
  <c r="O263" i="1"/>
  <c r="P263" i="1"/>
  <c r="O264" i="1"/>
  <c r="P264" i="1"/>
  <c r="O265" i="1"/>
  <c r="P265" i="1"/>
  <c r="O266" i="1"/>
  <c r="P266" i="1"/>
  <c r="O267" i="1"/>
  <c r="P267" i="1"/>
  <c r="O268" i="1"/>
  <c r="P268" i="1"/>
  <c r="O269" i="1"/>
  <c r="P269" i="1"/>
  <c r="O270" i="1"/>
  <c r="P270" i="1"/>
  <c r="O271" i="1"/>
  <c r="P271" i="1"/>
  <c r="O272" i="1"/>
  <c r="P272" i="1"/>
  <c r="O273" i="1"/>
  <c r="P273" i="1"/>
  <c r="O274" i="1"/>
  <c r="P274" i="1"/>
  <c r="O275" i="1"/>
  <c r="P275" i="1"/>
  <c r="O276" i="1"/>
  <c r="P276" i="1"/>
  <c r="O277" i="1"/>
  <c r="P277" i="1"/>
  <c r="O278" i="1"/>
  <c r="P278" i="1"/>
  <c r="O279" i="1"/>
  <c r="P279" i="1"/>
  <c r="O280" i="1"/>
  <c r="P280" i="1"/>
  <c r="O281" i="1"/>
  <c r="P281" i="1"/>
  <c r="O282" i="1"/>
  <c r="P282" i="1"/>
  <c r="O283" i="1"/>
  <c r="P283" i="1"/>
  <c r="O284" i="1"/>
  <c r="P284" i="1"/>
  <c r="O285" i="1"/>
  <c r="P285" i="1"/>
  <c r="O286" i="1"/>
  <c r="P286" i="1"/>
  <c r="O287" i="1"/>
  <c r="P287" i="1"/>
  <c r="O288" i="1"/>
  <c r="P288" i="1"/>
  <c r="O289" i="1"/>
  <c r="P289" i="1"/>
  <c r="O290" i="1"/>
  <c r="P290" i="1"/>
  <c r="O291" i="1"/>
  <c r="P291" i="1"/>
  <c r="O292" i="1"/>
  <c r="P292" i="1"/>
  <c r="O293" i="1"/>
  <c r="P293" i="1"/>
  <c r="O294" i="1"/>
  <c r="P294" i="1"/>
  <c r="O295" i="1"/>
  <c r="P295" i="1"/>
  <c r="O296" i="1"/>
  <c r="P296" i="1"/>
  <c r="O297" i="1"/>
  <c r="P297" i="1"/>
  <c r="O298" i="1"/>
  <c r="P298" i="1"/>
  <c r="O299" i="1"/>
  <c r="P299" i="1"/>
  <c r="O300" i="1"/>
  <c r="P300" i="1"/>
  <c r="O301" i="1"/>
  <c r="P301" i="1"/>
  <c r="O302" i="1"/>
  <c r="P302" i="1"/>
  <c r="O303" i="1"/>
  <c r="P303" i="1"/>
  <c r="O304" i="1"/>
  <c r="P304" i="1"/>
  <c r="O305" i="1"/>
  <c r="P305" i="1"/>
  <c r="O306" i="1"/>
  <c r="P306" i="1"/>
  <c r="O307" i="1"/>
  <c r="P307" i="1"/>
  <c r="O308" i="1"/>
  <c r="P308" i="1"/>
  <c r="O309" i="1"/>
  <c r="P309" i="1"/>
  <c r="O310" i="1"/>
  <c r="P310" i="1"/>
  <c r="O311" i="1"/>
  <c r="P311" i="1"/>
  <c r="O312" i="1"/>
  <c r="P312" i="1"/>
  <c r="O313" i="1"/>
  <c r="P313" i="1"/>
  <c r="O314" i="1"/>
  <c r="P314" i="1"/>
  <c r="O315" i="1"/>
  <c r="P315" i="1"/>
  <c r="O316" i="1"/>
  <c r="P316" i="1"/>
  <c r="O317" i="1"/>
  <c r="P317" i="1"/>
  <c r="O318" i="1"/>
  <c r="P318" i="1"/>
  <c r="O319" i="1"/>
  <c r="P319" i="1"/>
  <c r="O320" i="1"/>
  <c r="P320" i="1"/>
  <c r="O321" i="1"/>
  <c r="P321" i="1"/>
  <c r="O322" i="1"/>
  <c r="P322" i="1"/>
  <c r="O323" i="1"/>
  <c r="P323" i="1"/>
  <c r="O324" i="1"/>
  <c r="P324" i="1"/>
  <c r="O325" i="1"/>
  <c r="P325" i="1"/>
  <c r="O326" i="1"/>
  <c r="P326" i="1"/>
  <c r="O327" i="1"/>
  <c r="P327" i="1"/>
  <c r="O328" i="1"/>
  <c r="P328" i="1"/>
  <c r="O329" i="1"/>
  <c r="P329" i="1"/>
  <c r="O330" i="1"/>
  <c r="P330" i="1"/>
  <c r="O331" i="1"/>
  <c r="P331" i="1"/>
  <c r="O332" i="1"/>
  <c r="P332" i="1"/>
  <c r="O333" i="1"/>
  <c r="P333" i="1"/>
  <c r="O334" i="1"/>
  <c r="P334" i="1"/>
  <c r="O335" i="1"/>
  <c r="P335" i="1"/>
  <c r="O336" i="1"/>
  <c r="P336" i="1"/>
  <c r="O337" i="1"/>
  <c r="P337" i="1"/>
  <c r="O338" i="1"/>
  <c r="P338" i="1"/>
  <c r="O339" i="1"/>
  <c r="P339" i="1"/>
  <c r="O340" i="1"/>
  <c r="P340" i="1"/>
  <c r="O341" i="1"/>
  <c r="P341" i="1"/>
  <c r="O342" i="1"/>
  <c r="P342" i="1"/>
  <c r="O343" i="1"/>
  <c r="P343" i="1"/>
  <c r="O344" i="1"/>
  <c r="P344" i="1"/>
  <c r="O345" i="1"/>
  <c r="P345" i="1"/>
  <c r="O346" i="1"/>
  <c r="P346" i="1"/>
  <c r="O347" i="1"/>
  <c r="P347" i="1"/>
  <c r="O348" i="1"/>
  <c r="P348" i="1"/>
  <c r="O349" i="1"/>
  <c r="P349" i="1"/>
  <c r="O350" i="1"/>
  <c r="P350" i="1"/>
  <c r="O351" i="1"/>
  <c r="P351" i="1"/>
  <c r="O352" i="1"/>
  <c r="P352" i="1"/>
  <c r="O353" i="1"/>
  <c r="P353" i="1"/>
  <c r="O354" i="1"/>
  <c r="P354" i="1"/>
  <c r="O355" i="1"/>
  <c r="P355" i="1"/>
  <c r="O356" i="1"/>
  <c r="P356" i="1"/>
  <c r="O357" i="1"/>
  <c r="P357" i="1"/>
  <c r="O358" i="1"/>
  <c r="P358" i="1"/>
  <c r="O359" i="1"/>
  <c r="P359" i="1"/>
  <c r="O360" i="1"/>
  <c r="P360" i="1"/>
  <c r="O361" i="1"/>
  <c r="P361" i="1"/>
  <c r="O362" i="1"/>
  <c r="P362" i="1"/>
  <c r="O363" i="1"/>
  <c r="P363" i="1"/>
  <c r="O364" i="1"/>
  <c r="P364" i="1"/>
  <c r="O365" i="1"/>
  <c r="P365" i="1"/>
  <c r="O366" i="1"/>
  <c r="P366" i="1"/>
  <c r="O367" i="1"/>
  <c r="P367" i="1"/>
  <c r="O368" i="1"/>
  <c r="P368" i="1"/>
  <c r="O369" i="1"/>
  <c r="P369" i="1"/>
  <c r="O370" i="1"/>
  <c r="P370" i="1"/>
  <c r="O371" i="1"/>
  <c r="P371" i="1"/>
  <c r="O372" i="1"/>
  <c r="P372" i="1"/>
  <c r="O373" i="1"/>
  <c r="P373" i="1"/>
  <c r="O374" i="1"/>
  <c r="P374" i="1"/>
  <c r="O375" i="1"/>
  <c r="P375" i="1"/>
  <c r="O376" i="1"/>
  <c r="P376" i="1"/>
  <c r="O377" i="1"/>
  <c r="P377" i="1"/>
  <c r="O378" i="1"/>
  <c r="P378" i="1"/>
  <c r="O379" i="1"/>
  <c r="P379" i="1"/>
  <c r="O380" i="1"/>
  <c r="P380" i="1"/>
  <c r="O381" i="1"/>
  <c r="P381" i="1"/>
  <c r="O382" i="1"/>
  <c r="P382" i="1"/>
  <c r="O383" i="1"/>
  <c r="P383" i="1"/>
  <c r="O384" i="1"/>
  <c r="P384" i="1"/>
  <c r="O385" i="1"/>
  <c r="P385" i="1"/>
  <c r="O386" i="1"/>
  <c r="P386" i="1"/>
  <c r="O387" i="1"/>
  <c r="P387" i="1"/>
  <c r="O388" i="1"/>
  <c r="P388" i="1"/>
  <c r="O389" i="1"/>
  <c r="P389" i="1"/>
  <c r="O390" i="1"/>
  <c r="P390" i="1"/>
  <c r="O391" i="1"/>
  <c r="P391" i="1"/>
  <c r="O392" i="1"/>
  <c r="P392" i="1"/>
  <c r="O393" i="1"/>
  <c r="P393" i="1"/>
  <c r="O394" i="1"/>
  <c r="P394" i="1"/>
  <c r="O395" i="1"/>
  <c r="P395" i="1"/>
  <c r="O396" i="1"/>
  <c r="P396" i="1"/>
  <c r="O397" i="1"/>
  <c r="P397" i="1"/>
  <c r="O398" i="1"/>
  <c r="P398" i="1"/>
  <c r="O399" i="1"/>
  <c r="P399" i="1"/>
  <c r="O400" i="1"/>
  <c r="P400" i="1"/>
  <c r="O401" i="1"/>
  <c r="P401" i="1"/>
  <c r="O402" i="1"/>
  <c r="P402" i="1"/>
  <c r="O403" i="1"/>
  <c r="P403" i="1"/>
  <c r="O404" i="1"/>
  <c r="P404" i="1"/>
  <c r="O405" i="1"/>
  <c r="P405" i="1"/>
  <c r="O406" i="1"/>
  <c r="P406" i="1"/>
  <c r="O407" i="1"/>
  <c r="P407" i="1"/>
  <c r="O408" i="1"/>
  <c r="P408" i="1"/>
  <c r="O409" i="1"/>
  <c r="P409" i="1"/>
  <c r="O410" i="1"/>
  <c r="P410" i="1"/>
  <c r="O411" i="1"/>
  <c r="P411" i="1"/>
  <c r="O412" i="1"/>
  <c r="P412" i="1"/>
  <c r="O413" i="1"/>
  <c r="P413" i="1"/>
  <c r="O414" i="1"/>
  <c r="P414" i="1"/>
  <c r="O415" i="1"/>
  <c r="P415" i="1"/>
  <c r="O416" i="1"/>
  <c r="P416" i="1"/>
  <c r="O417" i="1"/>
  <c r="P417" i="1"/>
  <c r="O418" i="1"/>
  <c r="P418" i="1"/>
  <c r="O419" i="1"/>
  <c r="P419" i="1"/>
  <c r="O420" i="1"/>
  <c r="P420" i="1"/>
  <c r="O421" i="1"/>
  <c r="P421" i="1"/>
  <c r="O422" i="1"/>
  <c r="P422" i="1"/>
  <c r="O423" i="1"/>
  <c r="P423" i="1"/>
  <c r="O424" i="1"/>
  <c r="P424" i="1"/>
  <c r="O425" i="1"/>
  <c r="P425" i="1"/>
  <c r="O426" i="1"/>
  <c r="P426" i="1"/>
  <c r="O427" i="1"/>
  <c r="P427" i="1"/>
  <c r="O428" i="1"/>
  <c r="P428" i="1"/>
  <c r="O429" i="1"/>
  <c r="P429" i="1"/>
  <c r="O430" i="1"/>
  <c r="P430" i="1"/>
  <c r="O431" i="1"/>
  <c r="P431" i="1"/>
  <c r="O432" i="1"/>
  <c r="P432" i="1"/>
  <c r="O433" i="1"/>
  <c r="P433" i="1"/>
  <c r="O434" i="1"/>
  <c r="P434" i="1"/>
  <c r="O435" i="1"/>
  <c r="P435" i="1"/>
  <c r="O436" i="1"/>
  <c r="P436" i="1"/>
  <c r="O437" i="1"/>
  <c r="P437" i="1"/>
  <c r="O438" i="1"/>
  <c r="P438" i="1"/>
  <c r="O439" i="1"/>
  <c r="P439" i="1"/>
  <c r="O440" i="1"/>
  <c r="P440" i="1"/>
  <c r="O441" i="1"/>
  <c r="P441" i="1"/>
  <c r="O442" i="1"/>
  <c r="P442" i="1"/>
  <c r="O443" i="1"/>
  <c r="P443" i="1"/>
  <c r="O444" i="1"/>
  <c r="P444" i="1"/>
  <c r="O445" i="1"/>
  <c r="P445" i="1"/>
  <c r="O446" i="1"/>
  <c r="P446" i="1"/>
  <c r="O447" i="1"/>
  <c r="P447" i="1"/>
  <c r="O448" i="1"/>
  <c r="P448" i="1"/>
  <c r="O449" i="1"/>
  <c r="P449" i="1"/>
  <c r="O450" i="1"/>
  <c r="P450" i="1"/>
  <c r="O451" i="1"/>
  <c r="P451" i="1"/>
  <c r="O452" i="1"/>
  <c r="P452" i="1"/>
  <c r="O453" i="1"/>
  <c r="P453" i="1"/>
  <c r="O454" i="1"/>
  <c r="P454" i="1"/>
  <c r="O455" i="1"/>
  <c r="P455" i="1"/>
  <c r="O456" i="1"/>
  <c r="P456" i="1"/>
  <c r="O457" i="1"/>
  <c r="P457" i="1"/>
  <c r="O458" i="1"/>
  <c r="P458" i="1"/>
  <c r="O459" i="1"/>
  <c r="P459" i="1"/>
  <c r="O460" i="1"/>
  <c r="P460" i="1"/>
  <c r="O461" i="1"/>
  <c r="P461" i="1"/>
  <c r="O462" i="1"/>
  <c r="P462" i="1"/>
  <c r="O463" i="1"/>
  <c r="P463" i="1"/>
  <c r="O464" i="1"/>
  <c r="P464" i="1"/>
  <c r="O465" i="1"/>
  <c r="P465" i="1"/>
  <c r="O466" i="1"/>
  <c r="P466" i="1"/>
  <c r="O467" i="1"/>
  <c r="P467" i="1"/>
  <c r="O468" i="1"/>
  <c r="P468" i="1"/>
  <c r="O469" i="1"/>
  <c r="P469" i="1"/>
  <c r="O470" i="1"/>
  <c r="P470" i="1"/>
  <c r="O471" i="1"/>
  <c r="P471" i="1"/>
  <c r="O472" i="1"/>
  <c r="P472" i="1"/>
  <c r="O473" i="1"/>
  <c r="P473" i="1"/>
  <c r="O474" i="1"/>
  <c r="P474" i="1"/>
  <c r="O475" i="1"/>
  <c r="P475" i="1"/>
  <c r="O476" i="1"/>
  <c r="P476" i="1"/>
  <c r="O477" i="1"/>
  <c r="P477" i="1"/>
  <c r="O478" i="1"/>
  <c r="P478" i="1"/>
  <c r="O479" i="1"/>
  <c r="P479" i="1"/>
  <c r="O480" i="1"/>
  <c r="P480" i="1"/>
  <c r="O481" i="1"/>
  <c r="P481" i="1"/>
  <c r="O482" i="1"/>
  <c r="P482" i="1"/>
  <c r="O483" i="1"/>
  <c r="P483" i="1"/>
  <c r="O484" i="1"/>
  <c r="P484" i="1"/>
  <c r="O485" i="1"/>
  <c r="P485" i="1"/>
  <c r="O486" i="1"/>
  <c r="P486" i="1"/>
  <c r="O487" i="1"/>
  <c r="P487" i="1"/>
  <c r="O488" i="1"/>
  <c r="P488" i="1"/>
  <c r="O489" i="1"/>
  <c r="P489" i="1"/>
  <c r="O490" i="1"/>
  <c r="P490" i="1"/>
  <c r="O491" i="1"/>
  <c r="P491" i="1"/>
  <c r="O492" i="1"/>
  <c r="P492" i="1"/>
  <c r="O493" i="1"/>
  <c r="P493" i="1"/>
  <c r="O494" i="1"/>
  <c r="P494" i="1"/>
  <c r="O495" i="1"/>
  <c r="P495" i="1"/>
  <c r="O496" i="1"/>
  <c r="P496" i="1"/>
  <c r="O497" i="1"/>
  <c r="P497" i="1"/>
  <c r="O498" i="1"/>
  <c r="P498" i="1"/>
  <c r="O499" i="1"/>
  <c r="P499" i="1"/>
  <c r="O500" i="1"/>
  <c r="P500" i="1"/>
  <c r="O501" i="1"/>
  <c r="P501" i="1"/>
  <c r="O502" i="1"/>
  <c r="P502" i="1"/>
  <c r="O503" i="1"/>
  <c r="P503" i="1"/>
  <c r="O504" i="1"/>
  <c r="P504" i="1"/>
  <c r="O505" i="1"/>
  <c r="P505" i="1"/>
  <c r="O506" i="1"/>
  <c r="P506" i="1"/>
  <c r="O507" i="1"/>
  <c r="P507" i="1"/>
  <c r="O508" i="1"/>
  <c r="P508" i="1"/>
  <c r="O509" i="1"/>
  <c r="P509" i="1"/>
  <c r="O510" i="1"/>
  <c r="P510" i="1"/>
  <c r="O511" i="1"/>
  <c r="P511" i="1"/>
  <c r="O512" i="1"/>
  <c r="P512" i="1"/>
  <c r="O513" i="1"/>
  <c r="P513" i="1"/>
  <c r="O514" i="1"/>
  <c r="P514" i="1"/>
  <c r="O515" i="1"/>
  <c r="P515" i="1"/>
  <c r="O516" i="1"/>
  <c r="P516" i="1"/>
  <c r="O517" i="1"/>
  <c r="P517" i="1"/>
  <c r="O518" i="1"/>
  <c r="P518" i="1"/>
  <c r="O519" i="1"/>
  <c r="P519" i="1"/>
  <c r="O520" i="1"/>
  <c r="P520" i="1"/>
  <c r="O521" i="1"/>
  <c r="P521" i="1"/>
  <c r="O522" i="1"/>
  <c r="P522" i="1"/>
  <c r="O523" i="1"/>
  <c r="P523" i="1"/>
  <c r="O524" i="1"/>
  <c r="P524" i="1"/>
  <c r="O525" i="1"/>
  <c r="P525" i="1"/>
  <c r="O526" i="1"/>
  <c r="P526" i="1"/>
  <c r="O527" i="1"/>
  <c r="P527" i="1"/>
  <c r="O528" i="1"/>
  <c r="P528" i="1"/>
  <c r="O529" i="1"/>
  <c r="P529" i="1"/>
  <c r="O530" i="1"/>
  <c r="P530" i="1"/>
  <c r="O531" i="1"/>
  <c r="P531" i="1"/>
  <c r="O532" i="1"/>
  <c r="P532" i="1"/>
  <c r="O533" i="1"/>
  <c r="P533" i="1"/>
  <c r="O534" i="1"/>
  <c r="P534" i="1"/>
  <c r="O535" i="1"/>
  <c r="P535" i="1"/>
  <c r="O536" i="1"/>
  <c r="P536" i="1"/>
  <c r="O537" i="1"/>
  <c r="P537" i="1"/>
  <c r="O538" i="1"/>
  <c r="P538" i="1"/>
  <c r="O539" i="1"/>
  <c r="P539" i="1"/>
  <c r="O540" i="1"/>
  <c r="P540" i="1"/>
  <c r="O541" i="1"/>
  <c r="P541" i="1"/>
  <c r="O542" i="1"/>
  <c r="P542" i="1"/>
  <c r="O543" i="1"/>
  <c r="P543" i="1"/>
  <c r="O544" i="1"/>
  <c r="P544" i="1"/>
  <c r="O545" i="1"/>
  <c r="P545" i="1"/>
  <c r="O546" i="1"/>
  <c r="P546" i="1"/>
  <c r="O547" i="1"/>
  <c r="P547" i="1"/>
  <c r="O548" i="1"/>
  <c r="P548" i="1"/>
  <c r="O549" i="1"/>
  <c r="P549" i="1"/>
  <c r="O550" i="1"/>
  <c r="P550" i="1"/>
  <c r="O551" i="1"/>
  <c r="P551" i="1"/>
  <c r="O552" i="1"/>
  <c r="P552" i="1"/>
  <c r="O553" i="1"/>
  <c r="P553" i="1"/>
  <c r="O554" i="1"/>
  <c r="P554" i="1"/>
  <c r="O555" i="1"/>
  <c r="P555" i="1"/>
  <c r="O556" i="1"/>
  <c r="P556" i="1"/>
  <c r="O557" i="1"/>
  <c r="P557" i="1"/>
  <c r="O558" i="1"/>
  <c r="P558" i="1"/>
  <c r="O559" i="1"/>
  <c r="P559" i="1"/>
  <c r="O560" i="1"/>
  <c r="P560" i="1"/>
  <c r="O561" i="1"/>
  <c r="P561" i="1"/>
  <c r="O562" i="1"/>
  <c r="P562" i="1"/>
  <c r="O563" i="1"/>
  <c r="P563" i="1"/>
  <c r="O564" i="1"/>
  <c r="P564" i="1"/>
  <c r="O565" i="1"/>
  <c r="P565" i="1"/>
  <c r="O566" i="1"/>
  <c r="P566" i="1"/>
  <c r="O567" i="1"/>
  <c r="P567" i="1"/>
  <c r="O568" i="1"/>
  <c r="P568" i="1"/>
  <c r="O569" i="1"/>
  <c r="P569" i="1"/>
  <c r="O570" i="1"/>
  <c r="P570" i="1"/>
  <c r="O571" i="1"/>
  <c r="P571" i="1"/>
  <c r="O572" i="1"/>
  <c r="P572" i="1"/>
  <c r="O573" i="1"/>
  <c r="P573" i="1"/>
  <c r="O574" i="1"/>
  <c r="P574" i="1"/>
  <c r="O575" i="1"/>
  <c r="P575" i="1"/>
  <c r="O576" i="1"/>
  <c r="P576" i="1"/>
  <c r="O577" i="1"/>
  <c r="P577" i="1"/>
  <c r="O578" i="1"/>
  <c r="P578" i="1"/>
  <c r="O579" i="1"/>
  <c r="P579" i="1"/>
  <c r="O580" i="1"/>
  <c r="P580" i="1"/>
  <c r="O581" i="1"/>
  <c r="P581" i="1"/>
  <c r="O582" i="1"/>
  <c r="P582" i="1"/>
  <c r="O583" i="1"/>
  <c r="P583" i="1"/>
  <c r="O584" i="1"/>
  <c r="P584" i="1"/>
  <c r="O585" i="1"/>
  <c r="P585" i="1"/>
  <c r="O586" i="1"/>
  <c r="P586" i="1"/>
  <c r="O587" i="1"/>
  <c r="P587" i="1"/>
  <c r="O588" i="1"/>
  <c r="P588" i="1"/>
  <c r="O589" i="1"/>
  <c r="P589" i="1"/>
  <c r="O590" i="1"/>
  <c r="P590" i="1"/>
  <c r="O591" i="1"/>
  <c r="P591" i="1"/>
  <c r="O592" i="1"/>
  <c r="P592" i="1"/>
  <c r="O593" i="1"/>
  <c r="P593" i="1"/>
  <c r="O594" i="1"/>
  <c r="P594" i="1"/>
  <c r="O595" i="1"/>
  <c r="P595" i="1"/>
  <c r="O596" i="1"/>
  <c r="P596" i="1"/>
  <c r="O597" i="1"/>
  <c r="P597" i="1"/>
  <c r="O598" i="1"/>
  <c r="P598" i="1"/>
  <c r="O599" i="1"/>
  <c r="P599" i="1"/>
  <c r="O600" i="1"/>
  <c r="P600" i="1"/>
  <c r="O601" i="1"/>
  <c r="P601" i="1"/>
  <c r="O602" i="1"/>
  <c r="P602" i="1"/>
  <c r="O603" i="1"/>
  <c r="P603" i="1"/>
  <c r="O604" i="1"/>
  <c r="P604" i="1"/>
  <c r="O605" i="1"/>
  <c r="P605" i="1"/>
  <c r="O606" i="1"/>
  <c r="P606" i="1"/>
  <c r="O607" i="1"/>
  <c r="P607" i="1"/>
  <c r="O608" i="1"/>
  <c r="P608" i="1"/>
  <c r="O609" i="1"/>
  <c r="P609" i="1"/>
  <c r="O610" i="1"/>
  <c r="P610" i="1"/>
  <c r="O611" i="1"/>
  <c r="P611" i="1"/>
  <c r="O612" i="1"/>
  <c r="P612" i="1"/>
  <c r="O613" i="1"/>
  <c r="P613" i="1"/>
  <c r="O614" i="1"/>
  <c r="P614" i="1"/>
  <c r="O615" i="1"/>
  <c r="P615" i="1"/>
  <c r="O616" i="1"/>
  <c r="P616" i="1"/>
  <c r="O617" i="1"/>
  <c r="P617" i="1"/>
  <c r="O618" i="1"/>
  <c r="P618" i="1"/>
  <c r="O619" i="1"/>
  <c r="P619" i="1"/>
  <c r="O620" i="1"/>
  <c r="P620" i="1"/>
  <c r="O621" i="1"/>
  <c r="P621" i="1"/>
  <c r="O622" i="1"/>
  <c r="P622" i="1"/>
  <c r="O623" i="1"/>
  <c r="P623" i="1"/>
  <c r="O624" i="1"/>
  <c r="P624" i="1"/>
  <c r="O625" i="1"/>
  <c r="P625" i="1"/>
  <c r="O626" i="1"/>
  <c r="P626" i="1"/>
  <c r="O627" i="1"/>
  <c r="P627" i="1"/>
  <c r="O628" i="1"/>
  <c r="P628" i="1"/>
  <c r="O629" i="1"/>
  <c r="P629" i="1"/>
  <c r="O630" i="1"/>
  <c r="P630" i="1"/>
  <c r="O631" i="1"/>
  <c r="P631" i="1"/>
  <c r="O632" i="1"/>
  <c r="P632" i="1"/>
  <c r="O633" i="1"/>
  <c r="P633" i="1"/>
  <c r="O634" i="1"/>
  <c r="P634" i="1"/>
  <c r="O635" i="1"/>
  <c r="P635" i="1"/>
  <c r="O636" i="1"/>
  <c r="P636" i="1"/>
  <c r="O637" i="1"/>
  <c r="P637" i="1"/>
  <c r="O638" i="1"/>
  <c r="P638" i="1"/>
  <c r="O639" i="1"/>
  <c r="P639" i="1"/>
  <c r="O640" i="1"/>
  <c r="P640" i="1"/>
  <c r="O641" i="1"/>
  <c r="P641" i="1"/>
  <c r="O642" i="1"/>
  <c r="P642" i="1"/>
  <c r="O643" i="1"/>
  <c r="P643" i="1"/>
  <c r="O644" i="1"/>
  <c r="P644" i="1"/>
  <c r="O645" i="1"/>
  <c r="P645" i="1"/>
  <c r="O646" i="1"/>
  <c r="P646" i="1"/>
  <c r="O647" i="1"/>
  <c r="P647" i="1"/>
  <c r="O648" i="1"/>
  <c r="P648" i="1"/>
  <c r="O649" i="1"/>
  <c r="P649" i="1"/>
  <c r="O650" i="1"/>
  <c r="P650" i="1"/>
  <c r="O651" i="1"/>
  <c r="P651" i="1"/>
  <c r="O652" i="1"/>
  <c r="P652" i="1"/>
  <c r="O653" i="1"/>
  <c r="P653" i="1"/>
  <c r="O654" i="1"/>
  <c r="P654" i="1"/>
  <c r="O655" i="1"/>
  <c r="P655" i="1"/>
  <c r="O656" i="1"/>
  <c r="P656" i="1"/>
  <c r="O657" i="1"/>
  <c r="P657" i="1"/>
  <c r="O658" i="1"/>
  <c r="P658" i="1"/>
  <c r="O659" i="1"/>
  <c r="P659" i="1"/>
  <c r="O660" i="1"/>
  <c r="P660" i="1"/>
  <c r="O661" i="1"/>
  <c r="P661" i="1"/>
  <c r="O662" i="1"/>
  <c r="P662" i="1"/>
  <c r="O663" i="1"/>
  <c r="P663" i="1"/>
  <c r="O664" i="1"/>
  <c r="P664" i="1"/>
  <c r="O665" i="1"/>
  <c r="P665" i="1"/>
  <c r="O666" i="1"/>
  <c r="P666" i="1"/>
  <c r="O667" i="1"/>
  <c r="P667" i="1"/>
  <c r="O668" i="1"/>
  <c r="P668" i="1"/>
  <c r="O669" i="1"/>
  <c r="P669" i="1"/>
  <c r="O670" i="1"/>
  <c r="P670" i="1"/>
  <c r="O671" i="1"/>
  <c r="P671" i="1"/>
  <c r="O672" i="1"/>
  <c r="P672" i="1"/>
  <c r="O673" i="1"/>
  <c r="P673" i="1"/>
  <c r="O674" i="1"/>
  <c r="P674" i="1"/>
  <c r="O675" i="1"/>
  <c r="P675" i="1"/>
  <c r="O676" i="1"/>
  <c r="P676" i="1"/>
  <c r="O677" i="1"/>
  <c r="P677" i="1"/>
  <c r="O678" i="1"/>
  <c r="P678" i="1"/>
  <c r="O679" i="1"/>
  <c r="P679" i="1"/>
  <c r="O680" i="1"/>
  <c r="P680" i="1"/>
  <c r="O681" i="1"/>
  <c r="P681" i="1"/>
  <c r="O682" i="1"/>
  <c r="P682" i="1"/>
  <c r="O683" i="1"/>
  <c r="P683" i="1"/>
  <c r="O684" i="1"/>
  <c r="P684" i="1"/>
  <c r="O685" i="1"/>
  <c r="P685" i="1"/>
  <c r="O686" i="1"/>
  <c r="P686" i="1"/>
  <c r="O687" i="1"/>
  <c r="P687" i="1"/>
  <c r="O688" i="1"/>
  <c r="P688" i="1"/>
  <c r="O689" i="1"/>
  <c r="P689" i="1"/>
  <c r="O690" i="1"/>
  <c r="P690" i="1"/>
  <c r="O691" i="1"/>
  <c r="P691" i="1"/>
  <c r="O692" i="1"/>
  <c r="P692" i="1"/>
  <c r="O693" i="1"/>
  <c r="P693" i="1"/>
  <c r="O694" i="1"/>
  <c r="P694" i="1"/>
  <c r="O695" i="1"/>
  <c r="P695" i="1"/>
  <c r="O696" i="1"/>
  <c r="P696" i="1"/>
  <c r="O697" i="1"/>
  <c r="P697" i="1"/>
  <c r="O698" i="1"/>
  <c r="P698" i="1"/>
  <c r="O699" i="1"/>
  <c r="P699" i="1"/>
  <c r="O700" i="1"/>
  <c r="P700" i="1"/>
  <c r="O701" i="1"/>
  <c r="P701" i="1"/>
  <c r="O702" i="1"/>
  <c r="P702" i="1"/>
  <c r="O703" i="1"/>
  <c r="P703" i="1"/>
  <c r="O704" i="1"/>
  <c r="P704" i="1"/>
  <c r="O705" i="1"/>
  <c r="P705" i="1"/>
  <c r="O706" i="1"/>
  <c r="P706" i="1"/>
  <c r="O707" i="1"/>
  <c r="P707" i="1"/>
  <c r="O708" i="1"/>
  <c r="P708" i="1"/>
  <c r="O709" i="1"/>
  <c r="P709" i="1"/>
  <c r="O710" i="1"/>
  <c r="P710" i="1"/>
  <c r="O711" i="1"/>
  <c r="P711" i="1"/>
  <c r="O712" i="1"/>
  <c r="P712" i="1"/>
  <c r="O713" i="1"/>
  <c r="P713" i="1"/>
  <c r="O714" i="1"/>
  <c r="P714" i="1"/>
  <c r="O715" i="1"/>
  <c r="P715" i="1"/>
  <c r="O716" i="1"/>
  <c r="P716" i="1"/>
  <c r="O717" i="1"/>
  <c r="P717" i="1"/>
  <c r="O718" i="1"/>
  <c r="P718" i="1"/>
  <c r="O719" i="1"/>
  <c r="P719" i="1"/>
  <c r="O720" i="1"/>
  <c r="P720" i="1"/>
  <c r="O721" i="1"/>
  <c r="P721" i="1"/>
  <c r="O722" i="1"/>
  <c r="P722" i="1"/>
  <c r="O723" i="1"/>
  <c r="P723" i="1"/>
  <c r="O724" i="1"/>
  <c r="P724" i="1"/>
  <c r="O725" i="1"/>
  <c r="P725" i="1"/>
  <c r="O726" i="1"/>
  <c r="P726" i="1"/>
  <c r="O727" i="1"/>
  <c r="P727" i="1"/>
  <c r="O728" i="1"/>
  <c r="P728" i="1"/>
  <c r="O729" i="1"/>
  <c r="P729" i="1"/>
  <c r="O730" i="1"/>
  <c r="P730" i="1"/>
  <c r="O731" i="1"/>
  <c r="P731" i="1"/>
  <c r="O732" i="1"/>
  <c r="P732" i="1"/>
  <c r="O733" i="1"/>
  <c r="P733" i="1"/>
  <c r="O734" i="1"/>
  <c r="P734" i="1"/>
  <c r="O735" i="1"/>
  <c r="P735" i="1"/>
  <c r="O736" i="1"/>
  <c r="P736" i="1"/>
  <c r="O737" i="1"/>
  <c r="P737" i="1"/>
  <c r="O738" i="1"/>
  <c r="P738" i="1"/>
  <c r="O739" i="1"/>
  <c r="P739" i="1"/>
  <c r="O740" i="1"/>
  <c r="P740" i="1"/>
  <c r="O741" i="1"/>
  <c r="P741" i="1"/>
  <c r="O742" i="1"/>
  <c r="P742" i="1"/>
  <c r="O743" i="1"/>
  <c r="P743" i="1"/>
  <c r="O744" i="1"/>
  <c r="P744" i="1"/>
  <c r="O745" i="1"/>
  <c r="P745" i="1"/>
  <c r="O746" i="1"/>
  <c r="P746" i="1"/>
  <c r="O747" i="1"/>
  <c r="P747" i="1"/>
  <c r="O748" i="1"/>
  <c r="P748" i="1"/>
  <c r="O749" i="1"/>
  <c r="P749" i="1"/>
  <c r="O750" i="1"/>
  <c r="P750" i="1"/>
  <c r="O751" i="1"/>
  <c r="P751" i="1"/>
  <c r="O752" i="1"/>
  <c r="P752" i="1"/>
  <c r="O753" i="1"/>
  <c r="P753" i="1"/>
  <c r="O754" i="1"/>
  <c r="P754" i="1"/>
  <c r="O755" i="1"/>
  <c r="P755" i="1"/>
  <c r="O756" i="1"/>
  <c r="P756" i="1"/>
  <c r="O757" i="1"/>
  <c r="P757" i="1"/>
  <c r="O758" i="1"/>
  <c r="P758" i="1"/>
  <c r="O759" i="1"/>
  <c r="P759" i="1"/>
  <c r="O760" i="1"/>
  <c r="P760" i="1"/>
  <c r="O761" i="1"/>
  <c r="P761" i="1"/>
  <c r="O762" i="1"/>
  <c r="P762" i="1"/>
  <c r="O763" i="1"/>
  <c r="P763" i="1"/>
  <c r="O764" i="1"/>
  <c r="P764" i="1"/>
  <c r="O765" i="1"/>
  <c r="P765" i="1"/>
  <c r="O766" i="1"/>
  <c r="P766" i="1"/>
  <c r="O767" i="1"/>
  <c r="P767" i="1"/>
  <c r="O768" i="1"/>
  <c r="P768" i="1"/>
  <c r="O769" i="1"/>
  <c r="P769" i="1"/>
  <c r="O770" i="1"/>
  <c r="P770" i="1"/>
  <c r="O771" i="1"/>
  <c r="P771" i="1"/>
  <c r="O772" i="1"/>
  <c r="P772" i="1"/>
  <c r="O773" i="1"/>
  <c r="P773" i="1"/>
  <c r="O774" i="1"/>
  <c r="P774" i="1"/>
  <c r="O775" i="1"/>
  <c r="P775" i="1"/>
  <c r="O776" i="1"/>
  <c r="P776" i="1"/>
  <c r="O777" i="1"/>
  <c r="P777" i="1"/>
  <c r="O778" i="1"/>
  <c r="P778" i="1"/>
  <c r="O779" i="1"/>
  <c r="P779" i="1"/>
  <c r="O780" i="1"/>
  <c r="P780" i="1"/>
  <c r="O781" i="1"/>
  <c r="P781" i="1"/>
  <c r="O782" i="1"/>
  <c r="P782" i="1"/>
  <c r="O783" i="1"/>
  <c r="P783" i="1"/>
  <c r="O784" i="1"/>
  <c r="P784" i="1"/>
  <c r="O785" i="1"/>
  <c r="P785" i="1"/>
  <c r="O786" i="1"/>
  <c r="P786" i="1"/>
  <c r="O787" i="1"/>
  <c r="P787" i="1"/>
  <c r="O788" i="1"/>
  <c r="P788" i="1"/>
  <c r="O789" i="1"/>
  <c r="P789" i="1"/>
  <c r="O790" i="1"/>
  <c r="P790" i="1"/>
  <c r="O791" i="1"/>
  <c r="P791" i="1"/>
  <c r="O792" i="1"/>
  <c r="P792" i="1"/>
  <c r="O793" i="1"/>
  <c r="P793" i="1"/>
  <c r="O794" i="1"/>
  <c r="P794" i="1"/>
  <c r="O795" i="1"/>
  <c r="P795" i="1"/>
  <c r="O796" i="1"/>
  <c r="P796" i="1"/>
  <c r="O797" i="1"/>
  <c r="P797" i="1"/>
  <c r="O798" i="1"/>
  <c r="P798" i="1"/>
  <c r="O799" i="1"/>
  <c r="P799" i="1"/>
  <c r="O800" i="1"/>
  <c r="P800" i="1"/>
  <c r="O801" i="1"/>
  <c r="P801" i="1"/>
  <c r="O802" i="1"/>
  <c r="P802" i="1"/>
  <c r="O803" i="1"/>
  <c r="P803" i="1"/>
  <c r="O804" i="1"/>
  <c r="P804" i="1"/>
  <c r="O805" i="1"/>
  <c r="P805" i="1"/>
  <c r="O806" i="1"/>
  <c r="P806" i="1"/>
  <c r="O807" i="1"/>
  <c r="P807" i="1"/>
  <c r="O808" i="1"/>
  <c r="P808" i="1"/>
  <c r="O809" i="1"/>
  <c r="P809" i="1"/>
  <c r="O810" i="1"/>
  <c r="P810" i="1"/>
  <c r="O811" i="1"/>
  <c r="P811" i="1"/>
  <c r="O812" i="1"/>
  <c r="P812" i="1"/>
  <c r="O813" i="1"/>
  <c r="P813" i="1"/>
  <c r="O814" i="1"/>
  <c r="P814" i="1"/>
  <c r="O815" i="1"/>
  <c r="P815" i="1"/>
  <c r="O816" i="1"/>
  <c r="P816" i="1"/>
  <c r="O817" i="1"/>
  <c r="P817" i="1"/>
  <c r="O818" i="1"/>
  <c r="P818" i="1"/>
  <c r="O819" i="1"/>
  <c r="P819" i="1"/>
  <c r="O820" i="1"/>
  <c r="P820" i="1"/>
  <c r="O821" i="1"/>
  <c r="P821" i="1"/>
  <c r="O822" i="1"/>
  <c r="P822" i="1"/>
  <c r="O823" i="1"/>
  <c r="P823" i="1"/>
  <c r="O824" i="1"/>
  <c r="P824" i="1"/>
  <c r="O825" i="1"/>
  <c r="P825" i="1"/>
  <c r="O826" i="1"/>
  <c r="P826" i="1"/>
  <c r="O827" i="1"/>
  <c r="P827" i="1"/>
  <c r="O828" i="1"/>
  <c r="P828" i="1"/>
  <c r="O829" i="1"/>
  <c r="P829" i="1"/>
  <c r="O830" i="1"/>
  <c r="P830" i="1"/>
  <c r="O831" i="1"/>
  <c r="P831" i="1"/>
  <c r="O832" i="1"/>
  <c r="P832" i="1"/>
  <c r="O833" i="1"/>
  <c r="P833" i="1"/>
  <c r="O834" i="1"/>
  <c r="P834" i="1"/>
  <c r="O835" i="1"/>
  <c r="P835" i="1"/>
  <c r="O836" i="1"/>
  <c r="P836" i="1"/>
  <c r="O837" i="1"/>
  <c r="P837" i="1"/>
  <c r="O838" i="1"/>
  <c r="P838" i="1"/>
  <c r="O839" i="1"/>
  <c r="P839" i="1"/>
  <c r="O840" i="1"/>
  <c r="P840" i="1"/>
  <c r="O841" i="1"/>
  <c r="P841" i="1"/>
  <c r="O842" i="1"/>
  <c r="P842" i="1"/>
  <c r="O843" i="1"/>
  <c r="P843" i="1"/>
  <c r="O844" i="1"/>
  <c r="P844" i="1"/>
  <c r="O845" i="1"/>
  <c r="P845" i="1"/>
  <c r="O846" i="1"/>
  <c r="P846" i="1"/>
  <c r="O847" i="1"/>
  <c r="P847" i="1"/>
  <c r="O848" i="1"/>
  <c r="P848" i="1"/>
  <c r="O849" i="1"/>
  <c r="P849" i="1"/>
  <c r="O850" i="1"/>
  <c r="P850" i="1"/>
  <c r="O851" i="1"/>
  <c r="P851" i="1"/>
  <c r="O852" i="1"/>
  <c r="P852" i="1"/>
  <c r="O853" i="1"/>
  <c r="P853" i="1"/>
  <c r="O854" i="1"/>
  <c r="P854" i="1"/>
  <c r="O855" i="1"/>
  <c r="P855" i="1"/>
  <c r="O856" i="1"/>
  <c r="P856" i="1"/>
  <c r="O857" i="1"/>
  <c r="P857" i="1"/>
  <c r="O858" i="1"/>
  <c r="P858" i="1"/>
  <c r="O859" i="1"/>
  <c r="P859" i="1"/>
  <c r="O860" i="1"/>
  <c r="P860" i="1"/>
  <c r="O861" i="1"/>
  <c r="P861" i="1"/>
  <c r="O862" i="1"/>
  <c r="P862" i="1"/>
  <c r="O863" i="1"/>
  <c r="P863" i="1"/>
  <c r="O864" i="1"/>
  <c r="P864" i="1"/>
  <c r="O865" i="1"/>
  <c r="P865" i="1"/>
  <c r="O866" i="1"/>
  <c r="P866" i="1"/>
  <c r="O867" i="1"/>
  <c r="P867" i="1"/>
  <c r="O868" i="1"/>
  <c r="P868" i="1"/>
  <c r="O869" i="1"/>
  <c r="P869" i="1"/>
  <c r="O870" i="1"/>
  <c r="P870" i="1"/>
  <c r="O871" i="1"/>
  <c r="P871" i="1"/>
  <c r="O872" i="1"/>
  <c r="P872" i="1"/>
  <c r="O873" i="1"/>
  <c r="P873" i="1"/>
  <c r="O874" i="1"/>
  <c r="P874" i="1"/>
  <c r="O875" i="1"/>
  <c r="P875" i="1"/>
  <c r="O876" i="1"/>
  <c r="P876" i="1"/>
  <c r="O877" i="1"/>
  <c r="P877" i="1"/>
  <c r="O878" i="1"/>
  <c r="P878" i="1"/>
  <c r="O879" i="1"/>
  <c r="P879" i="1"/>
  <c r="O880" i="1"/>
  <c r="P880" i="1"/>
  <c r="O881" i="1"/>
  <c r="P881" i="1"/>
  <c r="O882" i="1"/>
  <c r="P882" i="1"/>
  <c r="O883" i="1"/>
  <c r="P883" i="1"/>
  <c r="O884" i="1"/>
  <c r="P884" i="1"/>
  <c r="O885" i="1"/>
  <c r="P885" i="1"/>
  <c r="O886" i="1"/>
  <c r="P886" i="1"/>
  <c r="O887" i="1"/>
  <c r="P887" i="1"/>
  <c r="O888" i="1"/>
  <c r="P888" i="1"/>
  <c r="O889" i="1"/>
  <c r="P889" i="1"/>
  <c r="O890" i="1"/>
  <c r="P890" i="1"/>
  <c r="O891" i="1"/>
  <c r="P891" i="1"/>
  <c r="O892" i="1"/>
  <c r="P892" i="1"/>
  <c r="O893" i="1"/>
  <c r="P893" i="1"/>
  <c r="O894" i="1"/>
  <c r="P894" i="1"/>
  <c r="O895" i="1"/>
  <c r="P895" i="1"/>
  <c r="O896" i="1"/>
  <c r="P896" i="1"/>
  <c r="O897" i="1"/>
  <c r="P897" i="1"/>
  <c r="O898" i="1"/>
  <c r="P898" i="1"/>
  <c r="O899" i="1"/>
  <c r="P899" i="1"/>
  <c r="O900" i="1"/>
  <c r="P900" i="1"/>
  <c r="O901" i="1"/>
  <c r="P901" i="1"/>
  <c r="O902" i="1"/>
  <c r="P902" i="1"/>
  <c r="O903" i="1"/>
  <c r="P903" i="1"/>
  <c r="O904" i="1"/>
  <c r="P904" i="1"/>
  <c r="O905" i="1"/>
  <c r="P905" i="1"/>
  <c r="O906" i="1"/>
  <c r="P906" i="1"/>
  <c r="O907" i="1"/>
  <c r="P907" i="1"/>
  <c r="O908" i="1"/>
  <c r="P908" i="1"/>
  <c r="O909" i="1"/>
  <c r="P909" i="1"/>
  <c r="O910" i="1"/>
  <c r="P910" i="1"/>
  <c r="O911" i="1"/>
  <c r="P911" i="1"/>
  <c r="O912" i="1"/>
  <c r="P912" i="1"/>
  <c r="O913" i="1"/>
  <c r="P913" i="1"/>
  <c r="O914" i="1"/>
  <c r="P914" i="1"/>
  <c r="O915" i="1"/>
  <c r="P915" i="1"/>
  <c r="O916" i="1"/>
  <c r="P916" i="1"/>
  <c r="O917" i="1"/>
  <c r="P917" i="1"/>
  <c r="O918" i="1"/>
  <c r="P918" i="1"/>
  <c r="O919" i="1"/>
  <c r="P919" i="1"/>
  <c r="O920" i="1"/>
  <c r="P920" i="1"/>
  <c r="O921" i="1"/>
  <c r="P921" i="1"/>
  <c r="O922" i="1"/>
  <c r="P922" i="1"/>
  <c r="O923" i="1"/>
  <c r="P923" i="1"/>
  <c r="O924" i="1"/>
  <c r="P924" i="1"/>
  <c r="O925" i="1"/>
  <c r="P925" i="1"/>
  <c r="O926" i="1"/>
  <c r="P926" i="1"/>
  <c r="O927" i="1"/>
  <c r="P927" i="1"/>
  <c r="O928" i="1"/>
  <c r="P928" i="1"/>
  <c r="O929" i="1"/>
  <c r="P929" i="1"/>
  <c r="O930" i="1"/>
  <c r="P930" i="1"/>
  <c r="O931" i="1"/>
  <c r="P931" i="1"/>
  <c r="O932" i="1"/>
  <c r="P932" i="1"/>
  <c r="O933" i="1"/>
  <c r="P933" i="1"/>
  <c r="O934" i="1"/>
  <c r="P934" i="1"/>
  <c r="O935" i="1"/>
  <c r="P935" i="1"/>
  <c r="O936" i="1"/>
  <c r="P936" i="1"/>
  <c r="O937" i="1"/>
  <c r="P937" i="1"/>
  <c r="O938" i="1"/>
  <c r="P938" i="1"/>
  <c r="O939" i="1"/>
  <c r="P939" i="1"/>
  <c r="O940" i="1"/>
  <c r="P940" i="1"/>
  <c r="O941" i="1"/>
  <c r="P941" i="1"/>
  <c r="O942" i="1"/>
  <c r="P942" i="1"/>
  <c r="O943" i="1"/>
  <c r="P943" i="1"/>
  <c r="O944" i="1"/>
  <c r="P944" i="1"/>
  <c r="O945" i="1"/>
  <c r="P945" i="1"/>
  <c r="O946" i="1"/>
  <c r="P946" i="1"/>
  <c r="O947" i="1"/>
  <c r="P947" i="1"/>
  <c r="O948" i="1"/>
  <c r="P948" i="1"/>
  <c r="O949" i="1"/>
  <c r="P949" i="1"/>
  <c r="O950" i="1"/>
  <c r="P950" i="1"/>
  <c r="O951" i="1"/>
  <c r="P951" i="1"/>
  <c r="O952" i="1"/>
  <c r="P952" i="1"/>
  <c r="O953" i="1"/>
  <c r="P953" i="1"/>
  <c r="O954" i="1"/>
  <c r="P954" i="1"/>
  <c r="O955" i="1"/>
  <c r="P955" i="1"/>
  <c r="O956" i="1"/>
  <c r="P956" i="1"/>
  <c r="O957" i="1"/>
  <c r="P957" i="1"/>
  <c r="O958" i="1"/>
  <c r="P958" i="1"/>
  <c r="O959" i="1"/>
  <c r="P959" i="1"/>
  <c r="O960" i="1"/>
  <c r="P960" i="1"/>
  <c r="O961" i="1"/>
  <c r="P961" i="1"/>
  <c r="O962" i="1"/>
  <c r="P962" i="1"/>
  <c r="O963" i="1"/>
  <c r="P963" i="1"/>
  <c r="O964" i="1"/>
  <c r="P964" i="1"/>
  <c r="O965" i="1"/>
  <c r="P965" i="1"/>
  <c r="O966" i="1"/>
  <c r="P966" i="1"/>
  <c r="O967" i="1"/>
  <c r="P967" i="1"/>
  <c r="O968" i="1"/>
  <c r="P968" i="1"/>
  <c r="O969" i="1"/>
  <c r="P969" i="1"/>
  <c r="O970" i="1"/>
  <c r="P970" i="1"/>
  <c r="O971" i="1"/>
  <c r="P971" i="1"/>
  <c r="O972" i="1"/>
  <c r="P972" i="1"/>
  <c r="O973" i="1"/>
  <c r="P973" i="1"/>
  <c r="O974" i="1"/>
  <c r="P974" i="1"/>
  <c r="O975" i="1"/>
  <c r="P975" i="1"/>
  <c r="O976" i="1"/>
  <c r="P976" i="1"/>
  <c r="O977" i="1"/>
  <c r="P977" i="1"/>
  <c r="O978" i="1"/>
  <c r="P978" i="1"/>
  <c r="O979" i="1"/>
  <c r="P979" i="1"/>
  <c r="O980" i="1"/>
  <c r="P980" i="1"/>
  <c r="O981" i="1"/>
  <c r="P981" i="1"/>
  <c r="O982" i="1"/>
  <c r="P982" i="1"/>
  <c r="O983" i="1"/>
  <c r="P983" i="1"/>
  <c r="O984" i="1"/>
  <c r="P984" i="1"/>
  <c r="O985" i="1"/>
  <c r="P985" i="1"/>
  <c r="O986" i="1"/>
  <c r="P986" i="1"/>
  <c r="O987" i="1"/>
  <c r="P987" i="1"/>
  <c r="O988" i="1"/>
  <c r="P988" i="1"/>
  <c r="O989" i="1"/>
  <c r="P989" i="1"/>
  <c r="O990" i="1"/>
  <c r="P990" i="1"/>
  <c r="O991" i="1"/>
  <c r="P991" i="1"/>
  <c r="O992" i="1"/>
  <c r="P992" i="1"/>
  <c r="O993" i="1"/>
  <c r="P993" i="1"/>
  <c r="O994" i="1"/>
  <c r="P994" i="1"/>
  <c r="O995" i="1"/>
  <c r="P995" i="1"/>
  <c r="O996" i="1"/>
  <c r="P996" i="1"/>
  <c r="O997" i="1"/>
  <c r="P997" i="1"/>
  <c r="O998" i="1"/>
  <c r="P998" i="1"/>
  <c r="O999" i="1"/>
  <c r="P999" i="1"/>
  <c r="O1000" i="1"/>
  <c r="P1000" i="1"/>
  <c r="O1001" i="1"/>
  <c r="P1001" i="1"/>
  <c r="O1002" i="1"/>
  <c r="P1002" i="1"/>
  <c r="O1003" i="1"/>
  <c r="P1003" i="1"/>
  <c r="O1004" i="1"/>
  <c r="P1004" i="1"/>
  <c r="O1005" i="1"/>
  <c r="P1005" i="1"/>
  <c r="O1006" i="1"/>
  <c r="P1006" i="1"/>
  <c r="O1007" i="1"/>
  <c r="P1007" i="1"/>
  <c r="O1008" i="1"/>
  <c r="P1008" i="1"/>
  <c r="O1009" i="1"/>
  <c r="P1009" i="1"/>
  <c r="O1010" i="1"/>
  <c r="P1010" i="1"/>
  <c r="O1011" i="1"/>
  <c r="P1011" i="1"/>
  <c r="O1012" i="1"/>
  <c r="P1012" i="1"/>
  <c r="O1013" i="1"/>
  <c r="P1013" i="1"/>
  <c r="O1014" i="1"/>
  <c r="P1014" i="1"/>
  <c r="O1015" i="1"/>
  <c r="P1015" i="1"/>
  <c r="O1016" i="1"/>
  <c r="P1016" i="1"/>
  <c r="O1017" i="1"/>
  <c r="P1017" i="1"/>
  <c r="O1018" i="1"/>
  <c r="P1018" i="1"/>
  <c r="O1019" i="1"/>
  <c r="P1019" i="1"/>
  <c r="O1020" i="1"/>
  <c r="P1020" i="1"/>
  <c r="O1021" i="1"/>
  <c r="P1021" i="1"/>
  <c r="O1022" i="1"/>
  <c r="P1022" i="1"/>
  <c r="O1023" i="1"/>
  <c r="P1023" i="1"/>
  <c r="O1024" i="1"/>
  <c r="P1024" i="1"/>
  <c r="O1025" i="1"/>
  <c r="P1025" i="1"/>
  <c r="O1026" i="1"/>
  <c r="P1026" i="1"/>
  <c r="O1027" i="1"/>
  <c r="P1027" i="1"/>
  <c r="O1028" i="1"/>
  <c r="P1028" i="1"/>
  <c r="O1029" i="1"/>
  <c r="P1029" i="1"/>
  <c r="O1030" i="1"/>
  <c r="P1030" i="1"/>
  <c r="O1031" i="1"/>
  <c r="P1031" i="1"/>
  <c r="O1032" i="1"/>
  <c r="P1032" i="1"/>
  <c r="O1033" i="1"/>
  <c r="P1033" i="1"/>
  <c r="O1034" i="1"/>
  <c r="P1034" i="1"/>
  <c r="O1035" i="1"/>
  <c r="P1035" i="1"/>
  <c r="O1036" i="1"/>
  <c r="P1036" i="1"/>
  <c r="O1037" i="1"/>
  <c r="P1037" i="1"/>
  <c r="O1038" i="1"/>
  <c r="P1038" i="1"/>
  <c r="O1039" i="1"/>
  <c r="P1039" i="1"/>
  <c r="O1040" i="1"/>
  <c r="P1040" i="1"/>
  <c r="O1041" i="1"/>
  <c r="P1041" i="1"/>
  <c r="O1042" i="1"/>
  <c r="P1042" i="1"/>
  <c r="O1043" i="1"/>
  <c r="P1043" i="1"/>
  <c r="O1044" i="1"/>
  <c r="P1044" i="1"/>
  <c r="O1045" i="1"/>
  <c r="P1045" i="1"/>
  <c r="O1046" i="1"/>
  <c r="P1046" i="1"/>
  <c r="O1047" i="1"/>
  <c r="P1047" i="1"/>
  <c r="O1048" i="1"/>
  <c r="P1048" i="1"/>
  <c r="O1049" i="1"/>
  <c r="P1049" i="1"/>
  <c r="O1050" i="1"/>
  <c r="P1050" i="1"/>
  <c r="O1051" i="1"/>
  <c r="P1051" i="1"/>
  <c r="O1052" i="1"/>
  <c r="P1052" i="1"/>
  <c r="O1053" i="1"/>
  <c r="P1053" i="1"/>
  <c r="O1054" i="1"/>
  <c r="P1054" i="1"/>
  <c r="O1055" i="1"/>
  <c r="P1055" i="1"/>
  <c r="O1056" i="1"/>
  <c r="P1056" i="1"/>
  <c r="O1057" i="1"/>
  <c r="P1057" i="1"/>
  <c r="O1058" i="1"/>
  <c r="P1058" i="1"/>
  <c r="O1059" i="1"/>
  <c r="P1059" i="1"/>
  <c r="O1060" i="1"/>
  <c r="P1060" i="1"/>
  <c r="O1061" i="1"/>
  <c r="P1061" i="1"/>
  <c r="O1062" i="1"/>
  <c r="P1062" i="1"/>
  <c r="O1063" i="1"/>
  <c r="P1063" i="1"/>
  <c r="O1064" i="1"/>
  <c r="P1064" i="1"/>
  <c r="O1065" i="1"/>
  <c r="P1065" i="1"/>
  <c r="O1066" i="1"/>
  <c r="P1066" i="1"/>
  <c r="O1067" i="1"/>
  <c r="P1067" i="1"/>
  <c r="O1068" i="1"/>
  <c r="P1068" i="1"/>
  <c r="O1069" i="1"/>
  <c r="P1069" i="1"/>
  <c r="O1070" i="1"/>
  <c r="P1070" i="1"/>
  <c r="O1071" i="1"/>
  <c r="P1071" i="1"/>
  <c r="O1072" i="1"/>
  <c r="P1072" i="1"/>
  <c r="O1073" i="1"/>
  <c r="P1073" i="1"/>
  <c r="O1074" i="1"/>
  <c r="P1074" i="1"/>
  <c r="O1075" i="1"/>
  <c r="P1075" i="1"/>
  <c r="O1076" i="1"/>
  <c r="P1076" i="1"/>
  <c r="O1077" i="1"/>
  <c r="P1077" i="1"/>
  <c r="O1078" i="1"/>
  <c r="P1078" i="1"/>
  <c r="O1079" i="1"/>
  <c r="P1079" i="1"/>
  <c r="O1080" i="1"/>
  <c r="P1080" i="1"/>
  <c r="O1081" i="1"/>
  <c r="P1081" i="1"/>
  <c r="O1082" i="1"/>
  <c r="P1082" i="1"/>
  <c r="O1083" i="1"/>
  <c r="P1083" i="1"/>
  <c r="O1084" i="1"/>
  <c r="P1084" i="1"/>
  <c r="O1085" i="1"/>
  <c r="P1085" i="1"/>
  <c r="O1086" i="1"/>
  <c r="P1086" i="1"/>
  <c r="O1087" i="1"/>
  <c r="P1087" i="1"/>
  <c r="O1088" i="1"/>
  <c r="P1088" i="1"/>
  <c r="O1089" i="1"/>
  <c r="P1089" i="1"/>
  <c r="O1090" i="1"/>
  <c r="P1090" i="1"/>
  <c r="O1091" i="1"/>
  <c r="P1091" i="1"/>
  <c r="O1092" i="1"/>
  <c r="P1092" i="1"/>
  <c r="O1093" i="1"/>
  <c r="P1093" i="1"/>
  <c r="O1094" i="1"/>
  <c r="P1094" i="1"/>
  <c r="O1095" i="1"/>
  <c r="P1095" i="1"/>
  <c r="O1096" i="1"/>
  <c r="P1096" i="1"/>
  <c r="O1097" i="1"/>
  <c r="P1097" i="1"/>
  <c r="O1098" i="1"/>
  <c r="P1098" i="1"/>
  <c r="O1099" i="1"/>
  <c r="P1099" i="1"/>
  <c r="O1100" i="1"/>
  <c r="P1100" i="1"/>
  <c r="O1101" i="1"/>
  <c r="P1101" i="1"/>
  <c r="O1102" i="1"/>
  <c r="P1102" i="1"/>
  <c r="O1103" i="1"/>
  <c r="P1103" i="1"/>
  <c r="O1104" i="1"/>
  <c r="P1104" i="1"/>
  <c r="O1105" i="1"/>
  <c r="P1105" i="1"/>
  <c r="O1106" i="1"/>
  <c r="P1106" i="1"/>
  <c r="O1107" i="1"/>
  <c r="P1107" i="1"/>
  <c r="O1108" i="1"/>
  <c r="P1108" i="1"/>
  <c r="O1109" i="1"/>
  <c r="P1109" i="1"/>
  <c r="O1110" i="1"/>
  <c r="P1110" i="1"/>
  <c r="O1111" i="1"/>
  <c r="P1111" i="1"/>
  <c r="O1112" i="1"/>
  <c r="P1112" i="1"/>
  <c r="O1113" i="1"/>
  <c r="P1113" i="1"/>
  <c r="O1114" i="1"/>
  <c r="P1114" i="1"/>
  <c r="O1115" i="1"/>
  <c r="P1115" i="1"/>
  <c r="O1116" i="1"/>
  <c r="P1116" i="1"/>
  <c r="O1117" i="1"/>
  <c r="P1117" i="1"/>
  <c r="O1118" i="1"/>
  <c r="P1118" i="1"/>
  <c r="O1119" i="1"/>
  <c r="P1119" i="1"/>
  <c r="O1120" i="1"/>
  <c r="P1120" i="1"/>
  <c r="O1121" i="1"/>
  <c r="P1121" i="1"/>
  <c r="O1122" i="1"/>
  <c r="P1122" i="1"/>
  <c r="O1123" i="1"/>
  <c r="P1123" i="1"/>
  <c r="O1124" i="1"/>
  <c r="P1124" i="1"/>
  <c r="O1125" i="1"/>
  <c r="P1125" i="1"/>
  <c r="O1126" i="1"/>
  <c r="P1126" i="1"/>
  <c r="O1127" i="1"/>
  <c r="P1127" i="1"/>
  <c r="O1128" i="1"/>
  <c r="P1128" i="1"/>
  <c r="O1129" i="1"/>
  <c r="P1129" i="1"/>
  <c r="O1130" i="1"/>
  <c r="P1130" i="1"/>
  <c r="O1131" i="1"/>
  <c r="P1131" i="1"/>
  <c r="O1132" i="1"/>
  <c r="P1132" i="1"/>
  <c r="O1133" i="1"/>
  <c r="P1133" i="1"/>
  <c r="O1134" i="1"/>
  <c r="P1134" i="1"/>
  <c r="O1135" i="1"/>
  <c r="P1135" i="1"/>
  <c r="O1136" i="1"/>
  <c r="P1136" i="1"/>
  <c r="O1137" i="1"/>
  <c r="P1137" i="1"/>
  <c r="O1138" i="1"/>
  <c r="P1138" i="1"/>
  <c r="O1139" i="1"/>
  <c r="P1139" i="1"/>
  <c r="O1140" i="1"/>
  <c r="P1140" i="1"/>
  <c r="O1141" i="1"/>
  <c r="P1141" i="1"/>
  <c r="O1142" i="1"/>
  <c r="P1142" i="1"/>
  <c r="O1143" i="1"/>
  <c r="P1143" i="1"/>
  <c r="O1144" i="1"/>
  <c r="P1144" i="1"/>
  <c r="O1145" i="1"/>
  <c r="P1145" i="1"/>
  <c r="O1146" i="1"/>
  <c r="P1146" i="1"/>
  <c r="O1147" i="1"/>
  <c r="P1147" i="1"/>
  <c r="O1148" i="1"/>
  <c r="P1148" i="1"/>
  <c r="O1149" i="1"/>
  <c r="P1149" i="1"/>
  <c r="O1150" i="1"/>
  <c r="P1150" i="1"/>
  <c r="O1151" i="1"/>
  <c r="P1151" i="1"/>
  <c r="O1152" i="1"/>
  <c r="P1152" i="1"/>
  <c r="O1153" i="1"/>
  <c r="P1153" i="1"/>
  <c r="O1154" i="1"/>
  <c r="P1154" i="1"/>
  <c r="O1155" i="1"/>
  <c r="P1155" i="1"/>
  <c r="O1156" i="1"/>
  <c r="P1156" i="1"/>
  <c r="O1157" i="1"/>
  <c r="P1157" i="1"/>
  <c r="O1158" i="1"/>
  <c r="P1158" i="1"/>
  <c r="O1159" i="1"/>
  <c r="P1159" i="1"/>
  <c r="O1160" i="1"/>
  <c r="P1160" i="1"/>
  <c r="O1161" i="1"/>
  <c r="P1161" i="1"/>
  <c r="O1162" i="1"/>
  <c r="P1162" i="1"/>
  <c r="O1163" i="1"/>
  <c r="P1163" i="1"/>
  <c r="O1164" i="1"/>
  <c r="P1164" i="1"/>
  <c r="O1165" i="1"/>
  <c r="P1165" i="1"/>
  <c r="O1166" i="1"/>
  <c r="P1166" i="1"/>
  <c r="O1167" i="1"/>
  <c r="P1167" i="1"/>
  <c r="O1168" i="1"/>
  <c r="P1168" i="1"/>
  <c r="O1169" i="1"/>
  <c r="P1169" i="1"/>
  <c r="O1170" i="1"/>
  <c r="P1170" i="1"/>
  <c r="O1171" i="1"/>
  <c r="P1171" i="1"/>
  <c r="O1172" i="1"/>
  <c r="P1172" i="1"/>
  <c r="O1173" i="1"/>
  <c r="P1173" i="1"/>
  <c r="O1174" i="1"/>
  <c r="P1174" i="1"/>
  <c r="O1175" i="1"/>
  <c r="P1175" i="1"/>
  <c r="O1176" i="1"/>
  <c r="P1176" i="1"/>
  <c r="O1177" i="1"/>
  <c r="P1177" i="1"/>
  <c r="O1178" i="1"/>
  <c r="P1178" i="1"/>
  <c r="O1179" i="1"/>
  <c r="P1179" i="1"/>
  <c r="O1180" i="1"/>
  <c r="P1180" i="1"/>
  <c r="O1181" i="1"/>
  <c r="P1181" i="1"/>
  <c r="O1182" i="1"/>
  <c r="P1182" i="1"/>
  <c r="O1183" i="1"/>
  <c r="P1183" i="1"/>
  <c r="O1184" i="1"/>
  <c r="P1184" i="1"/>
  <c r="O1185" i="1"/>
  <c r="P1185" i="1"/>
  <c r="O1186" i="1"/>
  <c r="P1186" i="1"/>
  <c r="O1187" i="1"/>
  <c r="P1187" i="1"/>
  <c r="O1188" i="1"/>
  <c r="P1188" i="1"/>
  <c r="O1189" i="1"/>
  <c r="P1189" i="1"/>
  <c r="O1190" i="1"/>
  <c r="P1190" i="1"/>
  <c r="O1191" i="1"/>
  <c r="P1191" i="1"/>
  <c r="O1192" i="1"/>
  <c r="P1192" i="1"/>
  <c r="O1193" i="1"/>
  <c r="P1193" i="1"/>
  <c r="O1194" i="1"/>
  <c r="P1194" i="1"/>
  <c r="O1195" i="1"/>
  <c r="P1195" i="1"/>
  <c r="O1196" i="1"/>
  <c r="P1196" i="1"/>
  <c r="O1197" i="1"/>
  <c r="P1197" i="1"/>
  <c r="O1198" i="1"/>
  <c r="P1198" i="1"/>
  <c r="O1199" i="1"/>
  <c r="P1199" i="1"/>
  <c r="O1200" i="1"/>
  <c r="P1200" i="1"/>
  <c r="O1201" i="1"/>
  <c r="P1201" i="1"/>
  <c r="O1202" i="1"/>
  <c r="P1202" i="1"/>
  <c r="O1203" i="1"/>
  <c r="P1203" i="1"/>
  <c r="O1204" i="1"/>
  <c r="P1204" i="1"/>
  <c r="O1205" i="1"/>
  <c r="P1205" i="1"/>
  <c r="O1206" i="1"/>
  <c r="P1206" i="1"/>
  <c r="O1207" i="1"/>
  <c r="P1207" i="1"/>
  <c r="O1208" i="1"/>
  <c r="P1208" i="1"/>
  <c r="O1209" i="1"/>
  <c r="P1209" i="1"/>
  <c r="O1210" i="1"/>
  <c r="P1210" i="1"/>
  <c r="O1211" i="1"/>
  <c r="P1211" i="1"/>
  <c r="O1212" i="1"/>
  <c r="P1212" i="1"/>
  <c r="O1213" i="1"/>
  <c r="P1213" i="1"/>
  <c r="O1214" i="1"/>
  <c r="P1214" i="1"/>
  <c r="O1215" i="1"/>
  <c r="P1215" i="1"/>
  <c r="O1216" i="1"/>
  <c r="P1216" i="1"/>
  <c r="O1217" i="1"/>
  <c r="P1217" i="1"/>
  <c r="O1218" i="1"/>
  <c r="P1218" i="1"/>
  <c r="O1219" i="1"/>
  <c r="P1219" i="1"/>
  <c r="O1220" i="1"/>
  <c r="P1220" i="1"/>
  <c r="O1221" i="1"/>
  <c r="P1221" i="1"/>
  <c r="O1222" i="1"/>
  <c r="P1222" i="1"/>
  <c r="O1223" i="1"/>
  <c r="P1223" i="1"/>
  <c r="O1224" i="1"/>
  <c r="P1224" i="1"/>
  <c r="O1225" i="1"/>
  <c r="P1225" i="1"/>
  <c r="O1226" i="1"/>
  <c r="P1226" i="1"/>
  <c r="O1227" i="1"/>
  <c r="P1227" i="1"/>
  <c r="O1228" i="1"/>
  <c r="P1228" i="1"/>
  <c r="O1229" i="1"/>
  <c r="P1229" i="1"/>
  <c r="O1230" i="1"/>
  <c r="P1230" i="1"/>
  <c r="O1231" i="1"/>
  <c r="P1231" i="1"/>
  <c r="O1232" i="1"/>
  <c r="P1232" i="1"/>
  <c r="O1233" i="1"/>
  <c r="P1233" i="1"/>
  <c r="O1234" i="1"/>
  <c r="P1234" i="1"/>
  <c r="O1235" i="1"/>
  <c r="P1235" i="1"/>
  <c r="O1236" i="1"/>
  <c r="P1236" i="1"/>
  <c r="O1237" i="1"/>
  <c r="P1237" i="1"/>
  <c r="O1238" i="1"/>
  <c r="P1238" i="1"/>
  <c r="O1239" i="1"/>
  <c r="P1239" i="1"/>
  <c r="O1240" i="1"/>
  <c r="P1240" i="1"/>
  <c r="O1241" i="1"/>
  <c r="P1241" i="1"/>
  <c r="O1242" i="1"/>
  <c r="P1242" i="1"/>
  <c r="O1243" i="1"/>
  <c r="P1243" i="1"/>
  <c r="O1244" i="1"/>
  <c r="P1244" i="1"/>
  <c r="O1245" i="1"/>
  <c r="P1245" i="1"/>
  <c r="O1246" i="1"/>
  <c r="P1246" i="1"/>
  <c r="O1247" i="1"/>
  <c r="P1247" i="1"/>
  <c r="O1248" i="1"/>
  <c r="P1248" i="1"/>
  <c r="O1249" i="1"/>
  <c r="P1249" i="1"/>
  <c r="O1250" i="1"/>
  <c r="P1250" i="1"/>
  <c r="O1251" i="1"/>
  <c r="P1251" i="1"/>
  <c r="O1252" i="1"/>
  <c r="P1252" i="1"/>
  <c r="O1253" i="1"/>
  <c r="P1253" i="1"/>
  <c r="O1254" i="1"/>
  <c r="P1254" i="1"/>
  <c r="O1255" i="1"/>
  <c r="P1255" i="1"/>
  <c r="O1256" i="1"/>
  <c r="P1256" i="1"/>
  <c r="O1257" i="1"/>
  <c r="P1257" i="1"/>
  <c r="O1258" i="1"/>
  <c r="P1258" i="1"/>
  <c r="O1259" i="1"/>
  <c r="P1259" i="1"/>
  <c r="O1260" i="1"/>
  <c r="P1260" i="1"/>
  <c r="O1261" i="1"/>
  <c r="P1261" i="1"/>
  <c r="O1262" i="1"/>
  <c r="P1262" i="1"/>
  <c r="O1263" i="1"/>
  <c r="P1263" i="1"/>
  <c r="O1264" i="1"/>
  <c r="P1264" i="1"/>
  <c r="O1265" i="1"/>
  <c r="P1265" i="1"/>
  <c r="O1266" i="1"/>
  <c r="P1266" i="1"/>
  <c r="O1267" i="1"/>
  <c r="P1267" i="1"/>
  <c r="O1268" i="1"/>
  <c r="P1268" i="1"/>
  <c r="O1269" i="1"/>
  <c r="P1269" i="1"/>
  <c r="O1270" i="1"/>
  <c r="P1270" i="1"/>
  <c r="O1271" i="1"/>
  <c r="P1271" i="1"/>
  <c r="O1272" i="1"/>
  <c r="P1272" i="1"/>
  <c r="O1273" i="1"/>
  <c r="P1273" i="1"/>
  <c r="O1274" i="1"/>
  <c r="P1274" i="1"/>
  <c r="O1275" i="1"/>
  <c r="P1275" i="1"/>
  <c r="O1276" i="1"/>
  <c r="P1276" i="1"/>
  <c r="O1277" i="1"/>
  <c r="P1277" i="1"/>
  <c r="O1278" i="1"/>
  <c r="P1278" i="1"/>
  <c r="O1279" i="1"/>
  <c r="P1279" i="1"/>
  <c r="O1280" i="1"/>
  <c r="P1280" i="1"/>
  <c r="O1281" i="1"/>
  <c r="P1281" i="1"/>
  <c r="O1282" i="1"/>
  <c r="P1282" i="1"/>
  <c r="O1283" i="1"/>
  <c r="P1283" i="1"/>
  <c r="O1284" i="1"/>
  <c r="P1284" i="1"/>
  <c r="O1285" i="1"/>
  <c r="P1285" i="1"/>
  <c r="O1286" i="1"/>
  <c r="P1286" i="1"/>
  <c r="O1287" i="1"/>
  <c r="P1287" i="1"/>
  <c r="O1288" i="1"/>
  <c r="P1288" i="1"/>
  <c r="O1289" i="1"/>
  <c r="P1289" i="1"/>
  <c r="O1290" i="1"/>
  <c r="P1290" i="1"/>
  <c r="O1291" i="1"/>
  <c r="P1291" i="1"/>
  <c r="O1292" i="1"/>
  <c r="P1292" i="1"/>
  <c r="O1293" i="1"/>
  <c r="P1293" i="1"/>
  <c r="O1294" i="1"/>
  <c r="P1294" i="1"/>
  <c r="O1295" i="1"/>
  <c r="P1295" i="1"/>
  <c r="O1296" i="1"/>
  <c r="P1296" i="1"/>
  <c r="O1297" i="1"/>
  <c r="P1297" i="1"/>
  <c r="O1298" i="1"/>
  <c r="P1298" i="1"/>
  <c r="O1299" i="1"/>
  <c r="P1299" i="1"/>
  <c r="O1300" i="1"/>
  <c r="P1300" i="1"/>
  <c r="O1301" i="1"/>
  <c r="P1301" i="1"/>
  <c r="O1302" i="1"/>
  <c r="P1302" i="1"/>
  <c r="O1303" i="1"/>
  <c r="P1303" i="1"/>
  <c r="O1304" i="1"/>
  <c r="P1304" i="1"/>
  <c r="O1305" i="1"/>
  <c r="P1305" i="1"/>
  <c r="O1306" i="1"/>
  <c r="P1306" i="1"/>
  <c r="O1307" i="1"/>
  <c r="P1307" i="1"/>
  <c r="O1308" i="1"/>
  <c r="P1308" i="1"/>
  <c r="O1309" i="1"/>
  <c r="P1309" i="1"/>
  <c r="O1310" i="1"/>
  <c r="P1310" i="1"/>
  <c r="O1311" i="1"/>
  <c r="P1311" i="1"/>
  <c r="O1312" i="1"/>
  <c r="P1312" i="1"/>
  <c r="O1313" i="1"/>
  <c r="P1313" i="1"/>
  <c r="O1314" i="1"/>
  <c r="P1314" i="1"/>
  <c r="O1315" i="1"/>
  <c r="P1315" i="1"/>
  <c r="O1316" i="1"/>
  <c r="P1316" i="1"/>
  <c r="O1317" i="1"/>
  <c r="P1317" i="1"/>
  <c r="O1318" i="1"/>
  <c r="P1318" i="1"/>
  <c r="O1319" i="1"/>
  <c r="P1319" i="1"/>
  <c r="O1320" i="1"/>
  <c r="P1320" i="1"/>
  <c r="O1321" i="1"/>
  <c r="P1321" i="1"/>
  <c r="O1322" i="1"/>
  <c r="P1322" i="1"/>
  <c r="O1323" i="1"/>
  <c r="P1323" i="1"/>
  <c r="O1324" i="1"/>
  <c r="P1324" i="1"/>
  <c r="O1325" i="1"/>
  <c r="P1325" i="1"/>
  <c r="O1326" i="1"/>
  <c r="P1326" i="1"/>
  <c r="O1327" i="1"/>
  <c r="P1327" i="1"/>
  <c r="O1328" i="1"/>
  <c r="P1328" i="1"/>
  <c r="O1329" i="1"/>
  <c r="P1329" i="1"/>
  <c r="O1330" i="1"/>
  <c r="P1330" i="1"/>
  <c r="O1331" i="1"/>
  <c r="P1331" i="1"/>
  <c r="O1332" i="1"/>
  <c r="P1332" i="1"/>
  <c r="O1333" i="1"/>
  <c r="P1333" i="1"/>
  <c r="O1334" i="1"/>
  <c r="P1334" i="1"/>
  <c r="O1335" i="1"/>
  <c r="P1335" i="1"/>
  <c r="O1336" i="1"/>
  <c r="P1336" i="1"/>
  <c r="O1337" i="1"/>
  <c r="P1337" i="1"/>
  <c r="O1338" i="1"/>
  <c r="P1338" i="1"/>
  <c r="O1339" i="1"/>
  <c r="P1339" i="1"/>
  <c r="O1340" i="1"/>
  <c r="P1340" i="1"/>
  <c r="O1341" i="1"/>
  <c r="P1341" i="1"/>
  <c r="O1342" i="1"/>
  <c r="P1342" i="1"/>
  <c r="O1343" i="1"/>
  <c r="P1343" i="1"/>
  <c r="O1344" i="1"/>
  <c r="P1344" i="1"/>
  <c r="O1345" i="1"/>
  <c r="P1345" i="1"/>
  <c r="O1346" i="1"/>
  <c r="P1346" i="1"/>
  <c r="O1347" i="1"/>
  <c r="P1347" i="1"/>
  <c r="O1348" i="1"/>
  <c r="P1348" i="1"/>
  <c r="O1349" i="1"/>
  <c r="P1349" i="1"/>
  <c r="O1350" i="1"/>
  <c r="P1350" i="1"/>
  <c r="O1351" i="1"/>
  <c r="P1351" i="1"/>
  <c r="O1352" i="1"/>
  <c r="P1352" i="1"/>
  <c r="O1353" i="1"/>
  <c r="P1353" i="1"/>
  <c r="O1354" i="1"/>
  <c r="P1354" i="1"/>
  <c r="O1355" i="1"/>
  <c r="P1355" i="1"/>
  <c r="O1356" i="1"/>
  <c r="P1356" i="1"/>
  <c r="O1357" i="1"/>
  <c r="P1357" i="1"/>
  <c r="O1358" i="1"/>
  <c r="P1358" i="1"/>
  <c r="O1359" i="1"/>
  <c r="P1359" i="1"/>
  <c r="O1360" i="1"/>
  <c r="P1360" i="1"/>
  <c r="O1361" i="1"/>
  <c r="P1361" i="1"/>
  <c r="O1362" i="1"/>
  <c r="P1362" i="1"/>
  <c r="O1363" i="1"/>
  <c r="P1363" i="1"/>
  <c r="O1364" i="1"/>
  <c r="P1364" i="1"/>
  <c r="O1365" i="1"/>
  <c r="P1365" i="1"/>
  <c r="O1366" i="1"/>
  <c r="P1366" i="1"/>
  <c r="O1367" i="1"/>
  <c r="P1367" i="1"/>
  <c r="O1368" i="1"/>
  <c r="P1368" i="1"/>
  <c r="O1369" i="1"/>
  <c r="P1369" i="1"/>
  <c r="O1370" i="1"/>
  <c r="P1370" i="1"/>
  <c r="O1371" i="1"/>
  <c r="P1371" i="1"/>
  <c r="O1372" i="1"/>
  <c r="P1372" i="1"/>
  <c r="O1373" i="1"/>
  <c r="P1373" i="1"/>
  <c r="O1374" i="1"/>
  <c r="P1374" i="1"/>
  <c r="O1375" i="1"/>
  <c r="P1375" i="1"/>
  <c r="O1376" i="1"/>
  <c r="P1376" i="1"/>
  <c r="O1377" i="1"/>
  <c r="P1377" i="1"/>
  <c r="O1378" i="1"/>
  <c r="P1378" i="1"/>
  <c r="O1379" i="1"/>
  <c r="P1379" i="1"/>
  <c r="O1380" i="1"/>
  <c r="P1380" i="1"/>
  <c r="O1381" i="1"/>
  <c r="P1381" i="1"/>
  <c r="O1382" i="1"/>
  <c r="P1382" i="1"/>
  <c r="O1383" i="1"/>
  <c r="P1383" i="1"/>
  <c r="O1384" i="1"/>
  <c r="P1384" i="1"/>
  <c r="O1385" i="1"/>
  <c r="P1385" i="1"/>
  <c r="O1386" i="1"/>
  <c r="P1386" i="1"/>
  <c r="O1387" i="1"/>
  <c r="P1387" i="1"/>
  <c r="O1388" i="1"/>
  <c r="P1388" i="1"/>
  <c r="O1389" i="1"/>
  <c r="P1389" i="1"/>
  <c r="O1390" i="1"/>
  <c r="P1390" i="1"/>
  <c r="O1391" i="1"/>
  <c r="P1391" i="1"/>
  <c r="O1392" i="1"/>
  <c r="P1392" i="1"/>
  <c r="O1393" i="1"/>
  <c r="P1393" i="1"/>
  <c r="O1394" i="1"/>
  <c r="P1394" i="1"/>
  <c r="O1395" i="1"/>
  <c r="P1395" i="1"/>
  <c r="O1396" i="1"/>
  <c r="P1396" i="1"/>
  <c r="O1397" i="1"/>
  <c r="P1397" i="1"/>
  <c r="O1398" i="1"/>
  <c r="P1398" i="1"/>
  <c r="O1399" i="1"/>
  <c r="P1399" i="1"/>
  <c r="O1400" i="1"/>
  <c r="P1400" i="1"/>
  <c r="O1401" i="1"/>
  <c r="P1401" i="1"/>
  <c r="O1402" i="1"/>
  <c r="P1402" i="1"/>
  <c r="O1403" i="1"/>
  <c r="P1403" i="1"/>
  <c r="O1404" i="1"/>
  <c r="P1404" i="1"/>
  <c r="O1405" i="1"/>
  <c r="P1405" i="1"/>
  <c r="O1406" i="1"/>
  <c r="P1406" i="1"/>
  <c r="O1407" i="1"/>
  <c r="P1407" i="1"/>
  <c r="O1408" i="1"/>
  <c r="P1408" i="1"/>
  <c r="O1409" i="1"/>
  <c r="P1409" i="1"/>
  <c r="O1410" i="1"/>
  <c r="P1410" i="1"/>
  <c r="O1411" i="1"/>
  <c r="P1411" i="1"/>
  <c r="O1412" i="1"/>
  <c r="P1412" i="1"/>
  <c r="O1413" i="1"/>
  <c r="P1413" i="1"/>
  <c r="O1414" i="1"/>
  <c r="P1414" i="1"/>
  <c r="O1415" i="1"/>
  <c r="P1415" i="1"/>
  <c r="O1416" i="1"/>
  <c r="P1416" i="1"/>
  <c r="O1417" i="1"/>
  <c r="P1417" i="1"/>
  <c r="O1418" i="1"/>
  <c r="P1418" i="1"/>
  <c r="O1419" i="1"/>
  <c r="P1419" i="1"/>
  <c r="O1420" i="1"/>
  <c r="P1420" i="1"/>
  <c r="O1421" i="1"/>
  <c r="P1421" i="1"/>
  <c r="O1422" i="1"/>
  <c r="P1422" i="1"/>
  <c r="O1423" i="1"/>
  <c r="P1423" i="1"/>
  <c r="O1424" i="1"/>
  <c r="P1424" i="1"/>
  <c r="O1425" i="1"/>
  <c r="P1425" i="1"/>
  <c r="O1426" i="1"/>
  <c r="P1426" i="1"/>
  <c r="O1427" i="1"/>
  <c r="P1427" i="1"/>
  <c r="O1428" i="1"/>
  <c r="P1428" i="1"/>
  <c r="O1429" i="1"/>
  <c r="P1429" i="1"/>
  <c r="O1430" i="1"/>
  <c r="P1430" i="1"/>
  <c r="O1431" i="1"/>
  <c r="P1431" i="1"/>
  <c r="O1432" i="1"/>
  <c r="P1432" i="1"/>
  <c r="O1433" i="1"/>
  <c r="P1433" i="1"/>
  <c r="O1434" i="1"/>
  <c r="P1434" i="1"/>
  <c r="O1435" i="1"/>
  <c r="P1435" i="1"/>
  <c r="O1436" i="1"/>
  <c r="P1436" i="1"/>
  <c r="O1437" i="1"/>
  <c r="P1437" i="1"/>
  <c r="O1438" i="1"/>
  <c r="P1438" i="1"/>
  <c r="O1439" i="1"/>
  <c r="P1439" i="1"/>
  <c r="O1440" i="1"/>
  <c r="P1440" i="1"/>
  <c r="O1441" i="1"/>
  <c r="P1441" i="1"/>
  <c r="O1442" i="1"/>
  <c r="P1442" i="1"/>
  <c r="O1443" i="1"/>
  <c r="P1443" i="1"/>
  <c r="O1444" i="1"/>
  <c r="P1444" i="1"/>
  <c r="O1445" i="1"/>
  <c r="P1445" i="1"/>
  <c r="O1446" i="1"/>
  <c r="P1446" i="1"/>
  <c r="O1447" i="1"/>
  <c r="P1447" i="1"/>
  <c r="O1448" i="1"/>
  <c r="P1448" i="1"/>
  <c r="O1449" i="1"/>
  <c r="P1449" i="1"/>
  <c r="O1450" i="1"/>
  <c r="P1450" i="1"/>
  <c r="O1451" i="1"/>
  <c r="P1451" i="1"/>
  <c r="O1452" i="1"/>
  <c r="P1452" i="1"/>
  <c r="O1453" i="1"/>
  <c r="P1453" i="1"/>
  <c r="O1454" i="1"/>
  <c r="P1454" i="1"/>
  <c r="O1455" i="1"/>
  <c r="P1455" i="1"/>
  <c r="O1456" i="1"/>
  <c r="P1456" i="1"/>
  <c r="O1457" i="1"/>
  <c r="P1457" i="1"/>
  <c r="O1458" i="1"/>
  <c r="P1458" i="1"/>
  <c r="O1459" i="1"/>
  <c r="P1459" i="1"/>
  <c r="O1460" i="1"/>
  <c r="P1460" i="1"/>
  <c r="O1461" i="1"/>
  <c r="P1461" i="1"/>
  <c r="O1462" i="1"/>
  <c r="P1462" i="1"/>
  <c r="O1463" i="1"/>
  <c r="P1463" i="1"/>
  <c r="O1464" i="1"/>
  <c r="P1464" i="1"/>
  <c r="O1465" i="1"/>
  <c r="P1465" i="1"/>
  <c r="O1466" i="1"/>
  <c r="P1466" i="1"/>
  <c r="O1467" i="1"/>
  <c r="P1467" i="1"/>
  <c r="O1468" i="1"/>
  <c r="P1468" i="1"/>
  <c r="O1469" i="1"/>
  <c r="P1469" i="1"/>
  <c r="O1470" i="1"/>
  <c r="P1470" i="1"/>
  <c r="O1471" i="1"/>
  <c r="P1471" i="1"/>
  <c r="O1472" i="1"/>
  <c r="P1472" i="1"/>
  <c r="O1473" i="1"/>
  <c r="P1473" i="1"/>
  <c r="O1474" i="1"/>
  <c r="P1474" i="1"/>
  <c r="O1475" i="1"/>
  <c r="P1475" i="1"/>
  <c r="O1476" i="1"/>
  <c r="P1476" i="1"/>
  <c r="O1477" i="1"/>
  <c r="P1477" i="1"/>
  <c r="O1478" i="1"/>
  <c r="P1478" i="1"/>
  <c r="O1479" i="1"/>
  <c r="P1479" i="1"/>
  <c r="O1480" i="1"/>
  <c r="P1480" i="1"/>
  <c r="O1481" i="1"/>
  <c r="P1481" i="1"/>
  <c r="O1482" i="1"/>
  <c r="P1482" i="1"/>
  <c r="O1483" i="1"/>
  <c r="P1483" i="1"/>
  <c r="O1484" i="1"/>
  <c r="P1484" i="1"/>
  <c r="O1485" i="1"/>
  <c r="P1485" i="1"/>
  <c r="O1486" i="1"/>
  <c r="P1486" i="1"/>
  <c r="O1487" i="1"/>
  <c r="P1487" i="1"/>
  <c r="O1488" i="1"/>
  <c r="P1488" i="1"/>
  <c r="O1489" i="1"/>
  <c r="P1489" i="1"/>
  <c r="O1490" i="1"/>
  <c r="P1490" i="1"/>
  <c r="O1491" i="1"/>
  <c r="P1491" i="1"/>
  <c r="O1492" i="1"/>
  <c r="P1492" i="1"/>
  <c r="O1493" i="1"/>
  <c r="P1493" i="1"/>
  <c r="O1494" i="1"/>
  <c r="P1494" i="1"/>
  <c r="O1495" i="1"/>
  <c r="P1495" i="1"/>
  <c r="O1496" i="1"/>
  <c r="P1496" i="1"/>
  <c r="O1497" i="1"/>
  <c r="P1497" i="1"/>
  <c r="O1498" i="1"/>
  <c r="P1498" i="1"/>
  <c r="O1499" i="1"/>
  <c r="P1499" i="1"/>
  <c r="O1500" i="1"/>
  <c r="P1500" i="1"/>
  <c r="O1501" i="1"/>
  <c r="P1501" i="1"/>
  <c r="O1502" i="1"/>
  <c r="P1502" i="1"/>
  <c r="O1503" i="1"/>
  <c r="P1503" i="1"/>
  <c r="O1504" i="1"/>
  <c r="P1504" i="1"/>
  <c r="O1505" i="1"/>
  <c r="P1505" i="1"/>
  <c r="O1506" i="1"/>
  <c r="P1506" i="1"/>
  <c r="O1507" i="1"/>
  <c r="P1507" i="1"/>
  <c r="O1508" i="1"/>
  <c r="P1508" i="1"/>
  <c r="O1509" i="1"/>
  <c r="P1509" i="1"/>
  <c r="O1510" i="1"/>
  <c r="P1510" i="1"/>
  <c r="O1511" i="1"/>
  <c r="P1511" i="1"/>
  <c r="O1512" i="1"/>
  <c r="P1512" i="1"/>
  <c r="O1513" i="1"/>
  <c r="P1513" i="1"/>
  <c r="O1514" i="1"/>
  <c r="P1514" i="1"/>
  <c r="O1515" i="1"/>
  <c r="P1515" i="1"/>
  <c r="O1516" i="1"/>
  <c r="P1516" i="1"/>
  <c r="O1517" i="1"/>
  <c r="P1517" i="1"/>
  <c r="O1518" i="1"/>
  <c r="P1518" i="1"/>
  <c r="O1519" i="1"/>
  <c r="P1519" i="1"/>
  <c r="O1520" i="1"/>
  <c r="P1520" i="1"/>
  <c r="O1521" i="1"/>
  <c r="P1521" i="1"/>
  <c r="O1522" i="1"/>
  <c r="P1522" i="1"/>
  <c r="O1523" i="1"/>
  <c r="P1523" i="1"/>
  <c r="O1524" i="1"/>
  <c r="P1524" i="1"/>
  <c r="O1525" i="1"/>
  <c r="P1525" i="1"/>
  <c r="O1526" i="1"/>
  <c r="P1526" i="1"/>
  <c r="O1527" i="1"/>
  <c r="P1527" i="1"/>
  <c r="O1528" i="1"/>
  <c r="P1528" i="1"/>
  <c r="O1529" i="1"/>
  <c r="P1529" i="1"/>
  <c r="O1530" i="1"/>
  <c r="P1530" i="1"/>
  <c r="O1531" i="1"/>
  <c r="P1531" i="1"/>
  <c r="O1532" i="1"/>
  <c r="P1532" i="1"/>
  <c r="O1533" i="1"/>
  <c r="P1533" i="1"/>
  <c r="O1534" i="1"/>
  <c r="P1534" i="1"/>
  <c r="O1535" i="1"/>
  <c r="P1535" i="1"/>
  <c r="O1536" i="1"/>
  <c r="P1536" i="1"/>
  <c r="O1537" i="1"/>
  <c r="P1537" i="1"/>
  <c r="O1538" i="1"/>
  <c r="P1538" i="1"/>
  <c r="O1539" i="1"/>
  <c r="P1539" i="1"/>
  <c r="O1540" i="1"/>
  <c r="P1540" i="1"/>
  <c r="O1541" i="1"/>
  <c r="P1541" i="1"/>
  <c r="O1542" i="1"/>
  <c r="P1542" i="1"/>
  <c r="O1543" i="1"/>
  <c r="P1543" i="1"/>
  <c r="O1544" i="1"/>
  <c r="P1544" i="1"/>
  <c r="O1545" i="1"/>
  <c r="P1545" i="1"/>
  <c r="O1546" i="1"/>
  <c r="P1546" i="1"/>
  <c r="O1547" i="1"/>
  <c r="P1547" i="1"/>
  <c r="O1548" i="1"/>
  <c r="P1548" i="1"/>
  <c r="O1549" i="1"/>
  <c r="P1549" i="1"/>
  <c r="O1550" i="1"/>
  <c r="P1550" i="1"/>
  <c r="O1551" i="1"/>
  <c r="P1551" i="1"/>
  <c r="O1552" i="1"/>
  <c r="P1552" i="1"/>
  <c r="O1553" i="1"/>
  <c r="P1553" i="1"/>
  <c r="O1554" i="1"/>
  <c r="P1554" i="1"/>
  <c r="O1555" i="1"/>
  <c r="P1555" i="1"/>
  <c r="O1556" i="1"/>
  <c r="P1556" i="1"/>
  <c r="O1557" i="1"/>
  <c r="P1557" i="1"/>
  <c r="O1558" i="1"/>
  <c r="P1558" i="1"/>
  <c r="O1559" i="1"/>
  <c r="P1559" i="1"/>
  <c r="O1560" i="1"/>
  <c r="P1560" i="1"/>
  <c r="O1561" i="1"/>
  <c r="P1561" i="1"/>
  <c r="O1562" i="1"/>
  <c r="P1562" i="1"/>
  <c r="O1563" i="1"/>
  <c r="P1563" i="1"/>
  <c r="O1564" i="1"/>
  <c r="P1564" i="1"/>
  <c r="O1565" i="1"/>
  <c r="P1565" i="1"/>
  <c r="O1566" i="1"/>
  <c r="P1566" i="1"/>
  <c r="O1567" i="1"/>
  <c r="P1567" i="1"/>
  <c r="O1568" i="1"/>
  <c r="P1568" i="1"/>
  <c r="O1569" i="1"/>
  <c r="P1569" i="1"/>
  <c r="O1570" i="1"/>
  <c r="P1570" i="1"/>
  <c r="O1571" i="1"/>
  <c r="P1571" i="1"/>
  <c r="O1572" i="1"/>
  <c r="P1572" i="1"/>
  <c r="O1573" i="1"/>
  <c r="P1573" i="1"/>
  <c r="O1574" i="1"/>
  <c r="P1574" i="1"/>
  <c r="O1575" i="1"/>
  <c r="P1575" i="1"/>
  <c r="O1576" i="1"/>
  <c r="P1576" i="1"/>
  <c r="O1577" i="1"/>
  <c r="P1577" i="1"/>
  <c r="O1578" i="1"/>
  <c r="P1578" i="1"/>
  <c r="O1579" i="1"/>
  <c r="P1579" i="1"/>
  <c r="O1580" i="1"/>
  <c r="P1580" i="1"/>
  <c r="O1581" i="1"/>
  <c r="P1581" i="1"/>
  <c r="O1582" i="1"/>
  <c r="P1582" i="1"/>
  <c r="O1583" i="1"/>
  <c r="P1583" i="1"/>
  <c r="O1584" i="1"/>
  <c r="P1584" i="1"/>
  <c r="O1585" i="1"/>
  <c r="P1585" i="1"/>
  <c r="O1586" i="1"/>
  <c r="P1586" i="1"/>
  <c r="O1587" i="1"/>
  <c r="P1587" i="1"/>
  <c r="O1588" i="1"/>
  <c r="P1588" i="1"/>
  <c r="O1589" i="1"/>
  <c r="P1589" i="1"/>
  <c r="O1590" i="1"/>
  <c r="P1590" i="1"/>
  <c r="O1591" i="1"/>
  <c r="P1591" i="1"/>
  <c r="O1592" i="1"/>
  <c r="P1592" i="1"/>
  <c r="O1593" i="1"/>
  <c r="P1593" i="1"/>
  <c r="O1594" i="1"/>
  <c r="P1594" i="1"/>
  <c r="O1595" i="1"/>
  <c r="P1595" i="1"/>
  <c r="O1596" i="1"/>
  <c r="P1596" i="1"/>
  <c r="O1597" i="1"/>
  <c r="P1597" i="1"/>
  <c r="O1598" i="1"/>
  <c r="P1598" i="1"/>
  <c r="O1599" i="1"/>
  <c r="P1599" i="1"/>
  <c r="O1600" i="1"/>
  <c r="P1600" i="1"/>
  <c r="O1601" i="1"/>
  <c r="P1601" i="1"/>
  <c r="O1602" i="1"/>
  <c r="P1602" i="1"/>
  <c r="O1603" i="1"/>
  <c r="P1603" i="1"/>
  <c r="O1604" i="1"/>
  <c r="P1604" i="1"/>
  <c r="O1605" i="1"/>
  <c r="P1605" i="1"/>
  <c r="O1606" i="1"/>
  <c r="P1606" i="1"/>
  <c r="O1607" i="1"/>
  <c r="P1607" i="1"/>
  <c r="O1608" i="1"/>
  <c r="P1608" i="1"/>
  <c r="O1609" i="1"/>
  <c r="P1609" i="1"/>
  <c r="O1610" i="1"/>
  <c r="P1610" i="1"/>
  <c r="O1611" i="1"/>
  <c r="P1611" i="1"/>
  <c r="O1612" i="1"/>
  <c r="P1612" i="1"/>
  <c r="O1613" i="1"/>
  <c r="P1613" i="1"/>
  <c r="O1614" i="1"/>
  <c r="P1614" i="1"/>
  <c r="O1615" i="1"/>
  <c r="P1615" i="1"/>
  <c r="O1616" i="1"/>
  <c r="P1616" i="1"/>
  <c r="O1617" i="1"/>
  <c r="P1617" i="1"/>
  <c r="O1618" i="1"/>
  <c r="P1618" i="1"/>
  <c r="O1619" i="1"/>
  <c r="P1619" i="1"/>
  <c r="O1620" i="1"/>
  <c r="P1620" i="1"/>
  <c r="O1621" i="1"/>
  <c r="P1621" i="1"/>
  <c r="O1622" i="1"/>
  <c r="P1622" i="1"/>
  <c r="O1623" i="1"/>
  <c r="P1623" i="1"/>
  <c r="O1624" i="1"/>
  <c r="P1624" i="1"/>
  <c r="O1625" i="1"/>
  <c r="P1625" i="1"/>
  <c r="O1626" i="1"/>
  <c r="P1626" i="1"/>
  <c r="O1627" i="1"/>
  <c r="P1627" i="1"/>
  <c r="O1628" i="1"/>
  <c r="P1628" i="1"/>
  <c r="O1629" i="1"/>
  <c r="P1629" i="1"/>
  <c r="O1630" i="1"/>
  <c r="P1630" i="1"/>
  <c r="O1631" i="1"/>
  <c r="P1631" i="1"/>
  <c r="O1632" i="1"/>
  <c r="P1632" i="1"/>
  <c r="O1633" i="1"/>
  <c r="P1633" i="1"/>
  <c r="O1634" i="1"/>
  <c r="P1634" i="1"/>
  <c r="O1635" i="1"/>
  <c r="P1635" i="1"/>
  <c r="O1636" i="1"/>
  <c r="P1636" i="1"/>
  <c r="O1637" i="1"/>
  <c r="P1637" i="1"/>
  <c r="O1638" i="1"/>
  <c r="P1638" i="1"/>
  <c r="O1639" i="1"/>
  <c r="P1639" i="1"/>
  <c r="O1640" i="1"/>
  <c r="P1640" i="1"/>
  <c r="O1641" i="1"/>
  <c r="P1641" i="1"/>
  <c r="O1642" i="1"/>
  <c r="P1642" i="1"/>
  <c r="O1643" i="1"/>
  <c r="P1643" i="1"/>
  <c r="O1644" i="1"/>
  <c r="P1644" i="1"/>
  <c r="O1645" i="1"/>
  <c r="P1645" i="1"/>
  <c r="O1646" i="1"/>
  <c r="P1646" i="1"/>
  <c r="O1647" i="1"/>
  <c r="P1647" i="1"/>
  <c r="O1648" i="1"/>
  <c r="P1648" i="1"/>
  <c r="O1649" i="1"/>
  <c r="P1649" i="1"/>
  <c r="O1650" i="1"/>
  <c r="P1650" i="1"/>
  <c r="O1651" i="1"/>
  <c r="P1651" i="1"/>
  <c r="O1652" i="1"/>
  <c r="P1652" i="1"/>
  <c r="O1653" i="1"/>
  <c r="P1653" i="1"/>
  <c r="O1654" i="1"/>
  <c r="P1654" i="1"/>
  <c r="O1655" i="1"/>
  <c r="P1655" i="1"/>
  <c r="O1656" i="1"/>
  <c r="P1656" i="1"/>
  <c r="O1657" i="1"/>
  <c r="P1657" i="1"/>
  <c r="O1658" i="1"/>
  <c r="P1658" i="1"/>
  <c r="O1659" i="1"/>
  <c r="P1659" i="1"/>
  <c r="O1660" i="1"/>
  <c r="P1660" i="1"/>
  <c r="O1661" i="1"/>
  <c r="P1661" i="1"/>
  <c r="O1662" i="1"/>
  <c r="P1662" i="1"/>
  <c r="O1663" i="1"/>
  <c r="P1663" i="1"/>
  <c r="O1664" i="1"/>
  <c r="P1664" i="1"/>
  <c r="O1665" i="1"/>
  <c r="P1665" i="1"/>
  <c r="O1666" i="1"/>
  <c r="P1666" i="1"/>
  <c r="O1667" i="1"/>
  <c r="P1667" i="1"/>
  <c r="O1668" i="1"/>
  <c r="P1668" i="1"/>
  <c r="O1669" i="1"/>
  <c r="P1669" i="1"/>
  <c r="O1670" i="1"/>
  <c r="P1670" i="1"/>
  <c r="O1671" i="1"/>
  <c r="P1671" i="1"/>
  <c r="O1672" i="1"/>
  <c r="P1672" i="1"/>
  <c r="O1673" i="1"/>
  <c r="P1673" i="1"/>
  <c r="O1674" i="1"/>
  <c r="P1674" i="1"/>
  <c r="O1675" i="1"/>
  <c r="P1675" i="1"/>
  <c r="O1676" i="1"/>
  <c r="P1676" i="1"/>
  <c r="O1677" i="1"/>
  <c r="P1677" i="1"/>
  <c r="O1678" i="1"/>
  <c r="P1678" i="1"/>
  <c r="O1679" i="1"/>
  <c r="P1679" i="1"/>
  <c r="O1680" i="1"/>
  <c r="P1680" i="1"/>
  <c r="O1681" i="1"/>
  <c r="P1681" i="1"/>
  <c r="O1682" i="1"/>
  <c r="P1682" i="1"/>
  <c r="O1683" i="1"/>
  <c r="P1683" i="1"/>
  <c r="O1684" i="1"/>
  <c r="P1684" i="1"/>
  <c r="O1685" i="1"/>
  <c r="P1685" i="1"/>
  <c r="O1686" i="1"/>
  <c r="P1686" i="1"/>
  <c r="O1687" i="1"/>
  <c r="P1687" i="1"/>
  <c r="O1688" i="1"/>
  <c r="P1688" i="1"/>
  <c r="O1689" i="1"/>
  <c r="P1689" i="1"/>
  <c r="O1690" i="1"/>
  <c r="P1690" i="1"/>
  <c r="O1691" i="1"/>
  <c r="P1691" i="1"/>
  <c r="O1692" i="1"/>
  <c r="P1692" i="1"/>
  <c r="O1693" i="1"/>
  <c r="P1693" i="1"/>
  <c r="O1694" i="1"/>
  <c r="P1694" i="1"/>
  <c r="O1695" i="1"/>
  <c r="P1695" i="1"/>
  <c r="O1696" i="1"/>
  <c r="P1696" i="1"/>
  <c r="O1697" i="1"/>
  <c r="P1697" i="1"/>
  <c r="O1698" i="1"/>
  <c r="P1698" i="1"/>
  <c r="O1699" i="1"/>
  <c r="P1699" i="1"/>
  <c r="O1700" i="1"/>
  <c r="P1700" i="1"/>
  <c r="O1701" i="1"/>
  <c r="P1701" i="1"/>
  <c r="O1702" i="1"/>
  <c r="P1702" i="1"/>
  <c r="O1703" i="1"/>
  <c r="P1703" i="1"/>
  <c r="O1704" i="1"/>
  <c r="P1704" i="1"/>
  <c r="O1705" i="1"/>
  <c r="P1705" i="1"/>
  <c r="O1706" i="1"/>
  <c r="P1706" i="1"/>
  <c r="O1707" i="1"/>
  <c r="P1707" i="1"/>
  <c r="O1708" i="1"/>
  <c r="P1708" i="1"/>
  <c r="O1709" i="1"/>
  <c r="P1709" i="1"/>
  <c r="O1710" i="1"/>
  <c r="P1710" i="1"/>
  <c r="O1711" i="1"/>
  <c r="P1711" i="1"/>
  <c r="O1712" i="1"/>
  <c r="P1712" i="1"/>
  <c r="O1713" i="1"/>
  <c r="P1713" i="1"/>
  <c r="O1714" i="1"/>
  <c r="P1714" i="1"/>
  <c r="O1715" i="1"/>
  <c r="P1715" i="1"/>
  <c r="O1716" i="1"/>
  <c r="P1716" i="1"/>
  <c r="O1717" i="1"/>
  <c r="P1717" i="1"/>
  <c r="O1718" i="1"/>
  <c r="P1718" i="1"/>
  <c r="O1719" i="1"/>
  <c r="P1719" i="1"/>
  <c r="O1720" i="1"/>
  <c r="P1720" i="1"/>
  <c r="O1721" i="1"/>
  <c r="P1721" i="1"/>
  <c r="O1722" i="1"/>
  <c r="P1722" i="1"/>
  <c r="O1723" i="1"/>
  <c r="P1723" i="1"/>
  <c r="O1724" i="1"/>
  <c r="P1724" i="1"/>
  <c r="O1725" i="1"/>
  <c r="P1725" i="1"/>
  <c r="O1726" i="1"/>
  <c r="P1726" i="1"/>
  <c r="O1727" i="1"/>
  <c r="P1727" i="1"/>
  <c r="O1728" i="1"/>
  <c r="P1728" i="1"/>
  <c r="O1729" i="1"/>
  <c r="P1729" i="1"/>
  <c r="O1730" i="1"/>
  <c r="P1730" i="1"/>
  <c r="O1731" i="1"/>
  <c r="P1731" i="1"/>
  <c r="O1732" i="1"/>
  <c r="P1732" i="1"/>
  <c r="O1733" i="1"/>
  <c r="P1733" i="1"/>
  <c r="O1734" i="1"/>
  <c r="P1734" i="1"/>
  <c r="O1735" i="1"/>
  <c r="P1735" i="1"/>
  <c r="O1736" i="1"/>
  <c r="P1736" i="1"/>
  <c r="O1737" i="1"/>
  <c r="P1737" i="1"/>
  <c r="O1738" i="1"/>
  <c r="P1738" i="1"/>
  <c r="O1739" i="1"/>
  <c r="P1739" i="1"/>
  <c r="O1740" i="1"/>
  <c r="P1740" i="1"/>
  <c r="O1741" i="1"/>
  <c r="P1741" i="1"/>
  <c r="O1742" i="1"/>
  <c r="P1742" i="1"/>
  <c r="O1743" i="1"/>
  <c r="P1743" i="1"/>
  <c r="O1744" i="1"/>
  <c r="P1744" i="1"/>
  <c r="O1745" i="1"/>
  <c r="P1745" i="1"/>
  <c r="O1746" i="1"/>
  <c r="P1746" i="1"/>
  <c r="O1747" i="1"/>
  <c r="P1747" i="1"/>
  <c r="O1748" i="1"/>
  <c r="P1748" i="1"/>
  <c r="O1749" i="1"/>
  <c r="P1749" i="1"/>
  <c r="O1750" i="1"/>
  <c r="P1750" i="1"/>
  <c r="O1751" i="1"/>
  <c r="P1751" i="1"/>
  <c r="O1752" i="1"/>
  <c r="P1752" i="1"/>
  <c r="O1753" i="1"/>
  <c r="P1753" i="1"/>
  <c r="O1754" i="1"/>
  <c r="P1754" i="1"/>
  <c r="O1755" i="1"/>
  <c r="P1755" i="1"/>
  <c r="O1756" i="1"/>
  <c r="P1756" i="1"/>
  <c r="O1757" i="1"/>
  <c r="P1757" i="1"/>
  <c r="O1758" i="1"/>
  <c r="P1758" i="1"/>
  <c r="O1759" i="1"/>
  <c r="P1759" i="1"/>
  <c r="O1760" i="1"/>
  <c r="P1760" i="1"/>
  <c r="O1761" i="1"/>
  <c r="P1761" i="1"/>
  <c r="O1762" i="1"/>
  <c r="P1762" i="1"/>
  <c r="O1763" i="1"/>
  <c r="P1763" i="1"/>
  <c r="O1764" i="1"/>
  <c r="P1764" i="1"/>
  <c r="O1765" i="1"/>
  <c r="P1765" i="1"/>
  <c r="O1766" i="1"/>
  <c r="P1766" i="1"/>
  <c r="O1767" i="1"/>
  <c r="P1767" i="1"/>
  <c r="O1768" i="1"/>
  <c r="P1768" i="1"/>
  <c r="O1769" i="1"/>
  <c r="P1769" i="1"/>
  <c r="O1770" i="1"/>
  <c r="P1770" i="1"/>
  <c r="O1771" i="1"/>
  <c r="P1771" i="1"/>
  <c r="O1772" i="1"/>
  <c r="P1772" i="1"/>
  <c r="O1773" i="1"/>
  <c r="P1773" i="1"/>
  <c r="O1774" i="1"/>
  <c r="P1774" i="1"/>
  <c r="O1775" i="1"/>
  <c r="P1775" i="1"/>
  <c r="O1776" i="1"/>
  <c r="P1776" i="1"/>
  <c r="O1777" i="1"/>
  <c r="P1777" i="1"/>
  <c r="O1778" i="1"/>
  <c r="P1778" i="1"/>
  <c r="O1779" i="1"/>
  <c r="P1779" i="1"/>
  <c r="O1780" i="1"/>
  <c r="P1780" i="1"/>
  <c r="O1781" i="1"/>
  <c r="P1781" i="1"/>
  <c r="O1782" i="1"/>
  <c r="P1782" i="1"/>
  <c r="O1783" i="1"/>
  <c r="P1783" i="1"/>
  <c r="O1784" i="1"/>
  <c r="P1784" i="1"/>
  <c r="O1785" i="1"/>
  <c r="P1785" i="1"/>
  <c r="O1786" i="1"/>
  <c r="P1786" i="1"/>
  <c r="O1787" i="1"/>
  <c r="P1787" i="1"/>
  <c r="O1788" i="1"/>
  <c r="P1788" i="1"/>
  <c r="O1789" i="1"/>
  <c r="P1789" i="1"/>
  <c r="O1790" i="1"/>
  <c r="P1790" i="1"/>
  <c r="O1791" i="1"/>
  <c r="P1791" i="1"/>
  <c r="O1792" i="1"/>
  <c r="P1792" i="1"/>
  <c r="O1793" i="1"/>
  <c r="P1793" i="1"/>
  <c r="O1794" i="1"/>
  <c r="P1794" i="1"/>
  <c r="O1795" i="1"/>
  <c r="P1795" i="1"/>
  <c r="O1796" i="1"/>
  <c r="P1796" i="1"/>
  <c r="O1797" i="1"/>
  <c r="P1797" i="1"/>
  <c r="O1798" i="1"/>
  <c r="P1798" i="1"/>
  <c r="O1799" i="1"/>
  <c r="P1799" i="1"/>
  <c r="O1800" i="1"/>
  <c r="P1800" i="1"/>
  <c r="O1801" i="1"/>
  <c r="P1801" i="1"/>
  <c r="O1802" i="1"/>
  <c r="P1802" i="1"/>
  <c r="O1803" i="1"/>
  <c r="P1803" i="1"/>
  <c r="O1804" i="1"/>
  <c r="P1804" i="1"/>
  <c r="O1805" i="1"/>
  <c r="P1805" i="1"/>
  <c r="O1806" i="1"/>
  <c r="P1806" i="1"/>
  <c r="O1807" i="1"/>
  <c r="P1807" i="1"/>
  <c r="O1808" i="1"/>
  <c r="P1808" i="1"/>
  <c r="O1809" i="1"/>
  <c r="P1809" i="1"/>
  <c r="O1810" i="1"/>
  <c r="P1810" i="1"/>
  <c r="O1811" i="1"/>
  <c r="P1811" i="1"/>
  <c r="O1812" i="1"/>
  <c r="P1812" i="1"/>
  <c r="O1813" i="1"/>
  <c r="P1813" i="1"/>
  <c r="O1814" i="1"/>
  <c r="P1814" i="1"/>
  <c r="O1815" i="1"/>
  <c r="P1815" i="1"/>
  <c r="O1816" i="1"/>
  <c r="P1816" i="1"/>
  <c r="O1817" i="1"/>
  <c r="P1817" i="1"/>
  <c r="O1818" i="1"/>
  <c r="P1818" i="1"/>
  <c r="O1819" i="1"/>
  <c r="P1819" i="1"/>
  <c r="O1820" i="1"/>
  <c r="P1820" i="1"/>
  <c r="O1821" i="1"/>
  <c r="P1821" i="1"/>
  <c r="O1822" i="1"/>
  <c r="P1822" i="1"/>
  <c r="O1823" i="1"/>
  <c r="P1823" i="1"/>
  <c r="O1824" i="1"/>
  <c r="P1824" i="1"/>
  <c r="O1825" i="1"/>
  <c r="P1825" i="1"/>
  <c r="O1826" i="1"/>
  <c r="P1826" i="1"/>
  <c r="O1827" i="1"/>
  <c r="P1827" i="1"/>
  <c r="O1828" i="1"/>
  <c r="P1828" i="1"/>
  <c r="O1829" i="1"/>
  <c r="P1829" i="1"/>
  <c r="O1830" i="1"/>
  <c r="P1830" i="1"/>
  <c r="O1831" i="1"/>
  <c r="P1831" i="1"/>
  <c r="O1832" i="1"/>
  <c r="P1832" i="1"/>
  <c r="O1833" i="1"/>
  <c r="P1833" i="1"/>
  <c r="O1834" i="1"/>
  <c r="P1834" i="1"/>
  <c r="O1835" i="1"/>
  <c r="P1835" i="1"/>
  <c r="O1836" i="1"/>
  <c r="P1836" i="1"/>
  <c r="O1837" i="1"/>
  <c r="P1837" i="1"/>
  <c r="O1838" i="1"/>
  <c r="P1838" i="1"/>
  <c r="O1839" i="1"/>
  <c r="P1839" i="1"/>
  <c r="O1840" i="1"/>
  <c r="P1840" i="1"/>
  <c r="O1841" i="1"/>
  <c r="P1841" i="1"/>
  <c r="O1842" i="1"/>
  <c r="P1842" i="1"/>
  <c r="O1843" i="1"/>
  <c r="P1843" i="1"/>
  <c r="O1844" i="1"/>
  <c r="P1844" i="1"/>
  <c r="O1845" i="1"/>
  <c r="P1845" i="1"/>
  <c r="O1846" i="1"/>
  <c r="P1846" i="1"/>
  <c r="O1847" i="1"/>
  <c r="P1847" i="1"/>
  <c r="O1848" i="1"/>
  <c r="P1848" i="1"/>
  <c r="O1849" i="1"/>
  <c r="P1849" i="1"/>
  <c r="O1850" i="1"/>
  <c r="P1850" i="1"/>
  <c r="O1851" i="1"/>
  <c r="P1851" i="1"/>
  <c r="O1852" i="1"/>
  <c r="P1852" i="1"/>
  <c r="O1853" i="1"/>
  <c r="P1853" i="1"/>
  <c r="O1854" i="1"/>
  <c r="P1854" i="1"/>
  <c r="O1855" i="1"/>
  <c r="P1855" i="1"/>
  <c r="O1856" i="1"/>
  <c r="P1856" i="1"/>
  <c r="O1857" i="1"/>
  <c r="P1857" i="1"/>
  <c r="O1858" i="1"/>
  <c r="P1858" i="1"/>
  <c r="O1859" i="1"/>
  <c r="P1859" i="1"/>
  <c r="O1860" i="1"/>
  <c r="P1860" i="1"/>
  <c r="O1861" i="1"/>
  <c r="P1861" i="1"/>
  <c r="O1862" i="1"/>
  <c r="P1862" i="1"/>
  <c r="O1863" i="1"/>
  <c r="P1863" i="1"/>
  <c r="O1864" i="1"/>
  <c r="P1864" i="1"/>
  <c r="O1865" i="1"/>
  <c r="P1865" i="1"/>
  <c r="O1866" i="1"/>
  <c r="P1866" i="1"/>
  <c r="O1867" i="1"/>
  <c r="P1867" i="1"/>
  <c r="O1868" i="1"/>
  <c r="P1868" i="1"/>
  <c r="O1869" i="1"/>
  <c r="P1869" i="1"/>
  <c r="O1870" i="1"/>
  <c r="P1870" i="1"/>
  <c r="O1871" i="1"/>
  <c r="P1871" i="1"/>
  <c r="O1872" i="1"/>
  <c r="P1872" i="1"/>
  <c r="O1873" i="1"/>
  <c r="P1873" i="1"/>
  <c r="O1874" i="1"/>
  <c r="P1874" i="1"/>
  <c r="O1875" i="1"/>
  <c r="P1875" i="1"/>
  <c r="O1876" i="1"/>
  <c r="P1876" i="1"/>
  <c r="O1877" i="1"/>
  <c r="P1877" i="1"/>
  <c r="O1878" i="1"/>
  <c r="P1878" i="1"/>
  <c r="O1879" i="1"/>
  <c r="P1879" i="1"/>
  <c r="O1880" i="1"/>
  <c r="P1880" i="1"/>
  <c r="O1881" i="1"/>
  <c r="P1881" i="1"/>
  <c r="O1882" i="1"/>
  <c r="P1882" i="1"/>
  <c r="O1883" i="1"/>
  <c r="P1883" i="1"/>
  <c r="O1884" i="1"/>
  <c r="P1884" i="1"/>
  <c r="O1885" i="1"/>
  <c r="P1885" i="1"/>
  <c r="O1886" i="1"/>
  <c r="P1886" i="1"/>
  <c r="O1887" i="1"/>
  <c r="P1887" i="1"/>
  <c r="O1888" i="1"/>
  <c r="P1888" i="1"/>
  <c r="O1889" i="1"/>
  <c r="P1889" i="1"/>
  <c r="O1890" i="1"/>
  <c r="P1890" i="1"/>
  <c r="O1891" i="1"/>
  <c r="P1891" i="1"/>
  <c r="O1892" i="1"/>
  <c r="P1892" i="1"/>
  <c r="O1893" i="1"/>
  <c r="P1893" i="1"/>
  <c r="O1894" i="1"/>
  <c r="P1894" i="1"/>
  <c r="O1895" i="1"/>
  <c r="P1895" i="1"/>
  <c r="O1896" i="1"/>
  <c r="P1896" i="1"/>
  <c r="O1897" i="1"/>
  <c r="P1897" i="1"/>
  <c r="O1898" i="1"/>
  <c r="P1898" i="1"/>
  <c r="O1899" i="1"/>
  <c r="P1899" i="1"/>
  <c r="O1900" i="1"/>
  <c r="P1900" i="1"/>
  <c r="O1901" i="1"/>
  <c r="P1901" i="1"/>
  <c r="O1902" i="1"/>
  <c r="P1902" i="1"/>
  <c r="O1903" i="1"/>
  <c r="P1903" i="1"/>
  <c r="O1904" i="1"/>
  <c r="P1904" i="1"/>
  <c r="O1905" i="1"/>
  <c r="P1905" i="1"/>
  <c r="O1906" i="1"/>
  <c r="P1906" i="1"/>
  <c r="O1907" i="1"/>
  <c r="P1907" i="1"/>
  <c r="O1908" i="1"/>
  <c r="P1908" i="1"/>
  <c r="O1909" i="1"/>
  <c r="P1909" i="1"/>
  <c r="O1910" i="1"/>
  <c r="P1910" i="1"/>
  <c r="O1911" i="1"/>
  <c r="P1911" i="1"/>
  <c r="O1912" i="1"/>
  <c r="P1912" i="1"/>
  <c r="O1913" i="1"/>
  <c r="P1913" i="1"/>
  <c r="O1914" i="1"/>
  <c r="P1914" i="1"/>
  <c r="O1915" i="1"/>
  <c r="P1915" i="1"/>
  <c r="O1916" i="1"/>
  <c r="P1916" i="1"/>
  <c r="O1917" i="1"/>
  <c r="P1917" i="1"/>
  <c r="O1918" i="1"/>
  <c r="P1918" i="1"/>
  <c r="O1919" i="1"/>
  <c r="P1919" i="1"/>
  <c r="O1920" i="1"/>
  <c r="P1920" i="1"/>
  <c r="O1921" i="1"/>
  <c r="P1921" i="1"/>
  <c r="O1922" i="1"/>
  <c r="P1922" i="1"/>
  <c r="O1923" i="1"/>
  <c r="P1923" i="1"/>
  <c r="O1924" i="1"/>
  <c r="P1924" i="1"/>
  <c r="O1925" i="1"/>
  <c r="P1925" i="1"/>
  <c r="O1926" i="1"/>
  <c r="P1926" i="1"/>
  <c r="O1927" i="1"/>
  <c r="P1927" i="1"/>
  <c r="O1928" i="1"/>
  <c r="P1928" i="1"/>
  <c r="O1929" i="1"/>
  <c r="P1929" i="1"/>
  <c r="O1930" i="1"/>
  <c r="P1930" i="1"/>
  <c r="O1931" i="1"/>
  <c r="P1931" i="1"/>
  <c r="O1932" i="1"/>
  <c r="P1932" i="1"/>
  <c r="O1933" i="1"/>
  <c r="P1933" i="1"/>
  <c r="O1934" i="1"/>
  <c r="P1934" i="1"/>
  <c r="O1935" i="1"/>
  <c r="P1935" i="1"/>
  <c r="O1936" i="1"/>
  <c r="P1936" i="1"/>
  <c r="O1937" i="1"/>
  <c r="P1937" i="1"/>
  <c r="O1938" i="1"/>
  <c r="P1938" i="1"/>
  <c r="O1939" i="1"/>
  <c r="P1939" i="1"/>
  <c r="O1940" i="1"/>
  <c r="P1940" i="1"/>
  <c r="O1941" i="1"/>
  <c r="P1941" i="1"/>
  <c r="O1942" i="1"/>
  <c r="P1942" i="1"/>
  <c r="O1943" i="1"/>
  <c r="P1943" i="1"/>
  <c r="O1944" i="1"/>
  <c r="P1944" i="1"/>
  <c r="O1945" i="1"/>
  <c r="P1945" i="1"/>
  <c r="O1946" i="1"/>
  <c r="P1946" i="1"/>
  <c r="O1947" i="1"/>
  <c r="P1947" i="1"/>
  <c r="O1948" i="1"/>
  <c r="P1948" i="1"/>
  <c r="O1949" i="1"/>
  <c r="P1949" i="1"/>
  <c r="O1950" i="1"/>
  <c r="P1950" i="1"/>
  <c r="O1951" i="1"/>
  <c r="P1951" i="1"/>
  <c r="O1952" i="1"/>
  <c r="P1952" i="1"/>
  <c r="O1953" i="1"/>
  <c r="P1953" i="1"/>
  <c r="O1954" i="1"/>
  <c r="P1954" i="1"/>
  <c r="O1955" i="1"/>
  <c r="P1955" i="1"/>
  <c r="O1956" i="1"/>
  <c r="P1956" i="1"/>
  <c r="O1957" i="1"/>
  <c r="P1957" i="1"/>
  <c r="O1958" i="1"/>
  <c r="P1958" i="1"/>
  <c r="O1959" i="1"/>
  <c r="P1959" i="1"/>
  <c r="O1960" i="1"/>
  <c r="P1960" i="1"/>
  <c r="O1961" i="1"/>
  <c r="P1961" i="1"/>
  <c r="O1962" i="1"/>
  <c r="P1962" i="1"/>
  <c r="O1963" i="1"/>
  <c r="P1963" i="1"/>
  <c r="O1964" i="1"/>
  <c r="P1964" i="1"/>
  <c r="O1965" i="1"/>
  <c r="P1965" i="1"/>
  <c r="O1966" i="1"/>
  <c r="P1966" i="1"/>
  <c r="O1967" i="1"/>
  <c r="P1967" i="1"/>
  <c r="O1968" i="1"/>
  <c r="P1968" i="1"/>
  <c r="O1969" i="1"/>
  <c r="P1969" i="1"/>
  <c r="O1970" i="1"/>
  <c r="P1970" i="1"/>
  <c r="O1971" i="1"/>
  <c r="P1971" i="1"/>
  <c r="O1972" i="1"/>
  <c r="P1972" i="1"/>
  <c r="O1973" i="1"/>
  <c r="P1973" i="1"/>
  <c r="O1974" i="1"/>
  <c r="P1974" i="1"/>
  <c r="O1975" i="1"/>
  <c r="P1975" i="1"/>
  <c r="O1976" i="1"/>
  <c r="P1976" i="1"/>
  <c r="O1977" i="1"/>
  <c r="P1977" i="1"/>
  <c r="O1978" i="1"/>
  <c r="P1978" i="1"/>
  <c r="O1979" i="1"/>
  <c r="P1979" i="1"/>
  <c r="O1980" i="1"/>
  <c r="P1980" i="1"/>
  <c r="O1981" i="1"/>
  <c r="P1981" i="1"/>
  <c r="O1982" i="1"/>
  <c r="P1982" i="1"/>
  <c r="O1983" i="1"/>
  <c r="P1983" i="1"/>
  <c r="O1984" i="1"/>
  <c r="P1984" i="1"/>
  <c r="O1985" i="1"/>
  <c r="P1985" i="1"/>
  <c r="O1986" i="1"/>
  <c r="P1986" i="1"/>
  <c r="O1987" i="1"/>
  <c r="P1987" i="1"/>
  <c r="O1988" i="1"/>
  <c r="P1988" i="1"/>
  <c r="O1989" i="1"/>
  <c r="P1989" i="1"/>
  <c r="O1990" i="1"/>
  <c r="P1990" i="1"/>
  <c r="O1991" i="1"/>
  <c r="P1991" i="1"/>
  <c r="O1992" i="1"/>
  <c r="P1992" i="1"/>
  <c r="O1993" i="1"/>
  <c r="P1993" i="1"/>
  <c r="O1994" i="1"/>
  <c r="P1994" i="1"/>
  <c r="O1995" i="1"/>
  <c r="P1995" i="1"/>
  <c r="O1996" i="1"/>
  <c r="P1996" i="1"/>
  <c r="O1997" i="1"/>
  <c r="P1997" i="1"/>
  <c r="O1998" i="1"/>
  <c r="P1998" i="1"/>
  <c r="O1999" i="1"/>
  <c r="P1999" i="1"/>
  <c r="O2000" i="1"/>
  <c r="P2000" i="1"/>
  <c r="O2001" i="1"/>
  <c r="P2001" i="1"/>
  <c r="O2002" i="1"/>
  <c r="P2002" i="1"/>
  <c r="O2003" i="1"/>
  <c r="P2003" i="1"/>
  <c r="O2004" i="1"/>
  <c r="P2004" i="1"/>
  <c r="O2005" i="1"/>
  <c r="P2005" i="1"/>
  <c r="O2006" i="1"/>
  <c r="P2006" i="1"/>
  <c r="O2007" i="1"/>
  <c r="P2007" i="1"/>
  <c r="O2008" i="1"/>
  <c r="P2008" i="1"/>
  <c r="O2009" i="1"/>
  <c r="P2009" i="1"/>
  <c r="O2010" i="1"/>
  <c r="P2010" i="1"/>
  <c r="O2011" i="1"/>
  <c r="P2011" i="1"/>
  <c r="O2012" i="1"/>
  <c r="P2012" i="1"/>
  <c r="O2013" i="1"/>
  <c r="P2013" i="1"/>
  <c r="O2014" i="1"/>
  <c r="P2014" i="1"/>
  <c r="O2015" i="1"/>
  <c r="P2015" i="1"/>
  <c r="O2016" i="1"/>
  <c r="P2016" i="1"/>
  <c r="O2017" i="1"/>
  <c r="P2017" i="1"/>
  <c r="O2018" i="1"/>
  <c r="P2018" i="1"/>
  <c r="O2019" i="1"/>
  <c r="P2019" i="1"/>
  <c r="O2020" i="1"/>
  <c r="P2020" i="1"/>
  <c r="O2021" i="1"/>
  <c r="P2021" i="1"/>
  <c r="O2022" i="1"/>
  <c r="P2022" i="1"/>
  <c r="O2023" i="1"/>
  <c r="P2023" i="1"/>
  <c r="O2024" i="1"/>
  <c r="P2024" i="1"/>
  <c r="O2025" i="1"/>
  <c r="P2025" i="1"/>
  <c r="O2026" i="1"/>
  <c r="P2026" i="1"/>
  <c r="O2027" i="1"/>
  <c r="P2027" i="1"/>
  <c r="O2028" i="1"/>
  <c r="P2028" i="1"/>
  <c r="O2029" i="1"/>
  <c r="P2029" i="1"/>
  <c r="O2030" i="1"/>
  <c r="P2030" i="1"/>
  <c r="O2031" i="1"/>
  <c r="P2031" i="1"/>
  <c r="O2032" i="1"/>
  <c r="P2032" i="1"/>
  <c r="O2033" i="1"/>
  <c r="P2033" i="1"/>
  <c r="O2034" i="1"/>
  <c r="P2034" i="1"/>
  <c r="O2035" i="1"/>
  <c r="P2035" i="1"/>
  <c r="O2036" i="1"/>
  <c r="P2036" i="1"/>
  <c r="O2037" i="1"/>
  <c r="P2037" i="1"/>
  <c r="O2038" i="1"/>
  <c r="P2038" i="1"/>
  <c r="O2039" i="1"/>
  <c r="P2039" i="1"/>
  <c r="O2040" i="1"/>
  <c r="P2040" i="1"/>
  <c r="O2041" i="1"/>
  <c r="P2041" i="1"/>
  <c r="O2042" i="1"/>
  <c r="P2042" i="1"/>
  <c r="O2043" i="1"/>
  <c r="P2043" i="1"/>
  <c r="O2044" i="1"/>
  <c r="P2044" i="1"/>
  <c r="O2045" i="1"/>
  <c r="P2045" i="1"/>
  <c r="O2046" i="1"/>
  <c r="P2046" i="1"/>
  <c r="O2047" i="1"/>
  <c r="P2047" i="1"/>
  <c r="O2048" i="1"/>
  <c r="P2048" i="1"/>
  <c r="O2049" i="1"/>
  <c r="P2049" i="1"/>
  <c r="O2050" i="1"/>
  <c r="P2050" i="1"/>
  <c r="O2051" i="1"/>
  <c r="P2051" i="1"/>
  <c r="O2052" i="1"/>
  <c r="P2052" i="1"/>
  <c r="O2053" i="1"/>
  <c r="P2053" i="1"/>
  <c r="O2054" i="1"/>
  <c r="P2054" i="1"/>
  <c r="O2055" i="1"/>
  <c r="P2055" i="1"/>
  <c r="O2056" i="1"/>
  <c r="P2056" i="1"/>
  <c r="O2057" i="1"/>
  <c r="P2057" i="1"/>
  <c r="O2058" i="1"/>
  <c r="P2058" i="1"/>
  <c r="O2059" i="1"/>
  <c r="P2059" i="1"/>
  <c r="O2060" i="1"/>
  <c r="P2060" i="1"/>
  <c r="O2061" i="1"/>
  <c r="P2061" i="1"/>
  <c r="O2062" i="1"/>
  <c r="P2062" i="1"/>
  <c r="O2063" i="1"/>
  <c r="P2063" i="1"/>
  <c r="O2064" i="1"/>
  <c r="P2064" i="1"/>
  <c r="O2065" i="1"/>
  <c r="P2065" i="1"/>
  <c r="O2066" i="1"/>
  <c r="P2066" i="1"/>
  <c r="O2067" i="1"/>
  <c r="P2067" i="1"/>
  <c r="O2068" i="1"/>
  <c r="P2068" i="1"/>
  <c r="O2069" i="1"/>
  <c r="P2069" i="1"/>
  <c r="O2070" i="1"/>
  <c r="P2070" i="1"/>
  <c r="O2071" i="1"/>
  <c r="P2071" i="1"/>
  <c r="O2072" i="1"/>
  <c r="P2072" i="1"/>
  <c r="O2073" i="1"/>
  <c r="P2073" i="1"/>
  <c r="O2074" i="1"/>
  <c r="P2074" i="1"/>
  <c r="O2075" i="1"/>
  <c r="P2075" i="1"/>
  <c r="O2076" i="1"/>
  <c r="P2076" i="1"/>
  <c r="O2077" i="1"/>
  <c r="P2077" i="1"/>
  <c r="O2078" i="1"/>
  <c r="P2078" i="1"/>
  <c r="O2079" i="1"/>
  <c r="P2079" i="1"/>
  <c r="O2080" i="1"/>
  <c r="P2080" i="1"/>
  <c r="O2081" i="1"/>
  <c r="P2081" i="1"/>
  <c r="O2082" i="1"/>
  <c r="P2082" i="1"/>
  <c r="O2083" i="1"/>
  <c r="P2083" i="1"/>
  <c r="O2084" i="1"/>
  <c r="P2084" i="1"/>
  <c r="O2085" i="1"/>
  <c r="P2085" i="1"/>
  <c r="O2086" i="1"/>
  <c r="P2086" i="1"/>
  <c r="O2087" i="1"/>
  <c r="P2087" i="1"/>
  <c r="O2088" i="1"/>
  <c r="P2088" i="1"/>
  <c r="O2089" i="1"/>
  <c r="P2089" i="1"/>
  <c r="O2090" i="1"/>
  <c r="P2090" i="1"/>
  <c r="O2091" i="1"/>
  <c r="P2091" i="1"/>
  <c r="O2092" i="1"/>
  <c r="P2092" i="1"/>
  <c r="O2093" i="1"/>
  <c r="P2093" i="1"/>
  <c r="O2094" i="1"/>
  <c r="P2094" i="1"/>
  <c r="O2095" i="1"/>
  <c r="P2095" i="1"/>
  <c r="O2096" i="1"/>
  <c r="P2096" i="1"/>
  <c r="O2097" i="1"/>
  <c r="P2097" i="1"/>
  <c r="O2098" i="1"/>
  <c r="P2098" i="1"/>
  <c r="O2099" i="1"/>
  <c r="P2099" i="1"/>
  <c r="O2100" i="1"/>
  <c r="P2100" i="1"/>
  <c r="O2101" i="1"/>
  <c r="P2101" i="1"/>
  <c r="O2102" i="1"/>
  <c r="P2102" i="1"/>
  <c r="O2103" i="1"/>
  <c r="P2103" i="1"/>
  <c r="O2104" i="1"/>
  <c r="P2104" i="1"/>
  <c r="O2105" i="1"/>
  <c r="P2105" i="1"/>
  <c r="O2106" i="1"/>
  <c r="P2106" i="1"/>
  <c r="O2107" i="1"/>
  <c r="P2107" i="1"/>
  <c r="O2108" i="1"/>
  <c r="P2108" i="1"/>
  <c r="O2109" i="1"/>
  <c r="P2109" i="1"/>
  <c r="O2110" i="1"/>
  <c r="P2110" i="1"/>
  <c r="O2111" i="1"/>
  <c r="P2111" i="1"/>
  <c r="O2112" i="1"/>
  <c r="P2112" i="1"/>
  <c r="O2113" i="1"/>
  <c r="P2113" i="1"/>
  <c r="O2114" i="1"/>
  <c r="P2114" i="1"/>
  <c r="O2115" i="1"/>
  <c r="P2115" i="1"/>
  <c r="O2116" i="1"/>
  <c r="P2116" i="1"/>
  <c r="O2117" i="1"/>
  <c r="P2117" i="1"/>
  <c r="O2118" i="1"/>
  <c r="P2118" i="1"/>
  <c r="O2119" i="1"/>
  <c r="P2119" i="1"/>
  <c r="O2120" i="1"/>
  <c r="P2120" i="1"/>
  <c r="O2121" i="1"/>
  <c r="P2121" i="1"/>
  <c r="O2122" i="1"/>
  <c r="P2122" i="1"/>
  <c r="O2123" i="1"/>
  <c r="P2123" i="1"/>
  <c r="O2124" i="1"/>
  <c r="P2124" i="1"/>
  <c r="O2125" i="1"/>
  <c r="P2125" i="1"/>
  <c r="O2126" i="1"/>
  <c r="P2126" i="1"/>
  <c r="O2127" i="1"/>
  <c r="P2127" i="1"/>
  <c r="O2128" i="1"/>
  <c r="P2128" i="1"/>
  <c r="O2129" i="1"/>
  <c r="P2129" i="1"/>
  <c r="O2130" i="1"/>
  <c r="P2130" i="1"/>
  <c r="O2131" i="1"/>
  <c r="P2131" i="1"/>
  <c r="O2132" i="1"/>
  <c r="P2132" i="1"/>
  <c r="O2133" i="1"/>
  <c r="P2133" i="1"/>
  <c r="O2134" i="1"/>
  <c r="P2134" i="1"/>
  <c r="O2135" i="1"/>
  <c r="P2135" i="1"/>
  <c r="O2136" i="1"/>
  <c r="P2136" i="1"/>
  <c r="O2137" i="1"/>
  <c r="P2137" i="1"/>
  <c r="O2138" i="1"/>
  <c r="P2138" i="1"/>
  <c r="O2139" i="1"/>
  <c r="P2139" i="1"/>
  <c r="O2140" i="1"/>
  <c r="P2140" i="1"/>
  <c r="O2141" i="1"/>
  <c r="P2141" i="1"/>
  <c r="O2142" i="1"/>
  <c r="P2142" i="1"/>
  <c r="O2143" i="1"/>
  <c r="P2143" i="1"/>
  <c r="O2144" i="1"/>
  <c r="P2144" i="1"/>
  <c r="O2145" i="1"/>
  <c r="P2145" i="1"/>
  <c r="O2146" i="1"/>
  <c r="P2146" i="1"/>
  <c r="O2147" i="1"/>
  <c r="P2147" i="1"/>
  <c r="O2148" i="1"/>
  <c r="P2148" i="1"/>
  <c r="O2149" i="1"/>
  <c r="P2149" i="1"/>
  <c r="O2150" i="1"/>
  <c r="P2150" i="1"/>
  <c r="O2151" i="1"/>
  <c r="P2151" i="1"/>
  <c r="O2152" i="1"/>
  <c r="P2152" i="1"/>
  <c r="O2153" i="1"/>
  <c r="P2153" i="1"/>
  <c r="O2154" i="1"/>
  <c r="P2154" i="1"/>
  <c r="O2155" i="1"/>
  <c r="P2155" i="1"/>
  <c r="O2156" i="1"/>
  <c r="P2156" i="1"/>
  <c r="O2157" i="1"/>
  <c r="P2157" i="1"/>
  <c r="O2158" i="1"/>
  <c r="P2158" i="1"/>
  <c r="O2159" i="1"/>
  <c r="P2159" i="1"/>
  <c r="O2160" i="1"/>
  <c r="P2160" i="1"/>
  <c r="O2161" i="1"/>
  <c r="P2161" i="1"/>
  <c r="O2162" i="1"/>
  <c r="P2162" i="1"/>
  <c r="O2163" i="1"/>
  <c r="P2163" i="1"/>
  <c r="O2164" i="1"/>
  <c r="P2164" i="1"/>
  <c r="O2165" i="1"/>
  <c r="P2165" i="1"/>
  <c r="O2166" i="1"/>
  <c r="P2166" i="1"/>
  <c r="O2167" i="1"/>
  <c r="P2167" i="1"/>
  <c r="O2168" i="1"/>
  <c r="P2168" i="1"/>
  <c r="O2169" i="1"/>
  <c r="P2169" i="1"/>
  <c r="O2170" i="1"/>
  <c r="P2170" i="1"/>
  <c r="O2171" i="1"/>
  <c r="P2171" i="1"/>
  <c r="O2172" i="1"/>
  <c r="P2172" i="1"/>
  <c r="O2173" i="1"/>
  <c r="P2173" i="1"/>
  <c r="O2174" i="1"/>
  <c r="P2174" i="1"/>
  <c r="O2175" i="1"/>
  <c r="P2175" i="1"/>
  <c r="O2176" i="1"/>
  <c r="P2176" i="1"/>
  <c r="O2177" i="1"/>
  <c r="P2177" i="1"/>
  <c r="O2178" i="1"/>
  <c r="P2178" i="1"/>
  <c r="O2179" i="1"/>
  <c r="P2179" i="1"/>
  <c r="O2180" i="1"/>
  <c r="P2180" i="1"/>
  <c r="O2181" i="1"/>
  <c r="P2181" i="1"/>
  <c r="O2182" i="1"/>
  <c r="P2182" i="1"/>
  <c r="O2183" i="1"/>
  <c r="P2183" i="1"/>
  <c r="O2184" i="1"/>
  <c r="P2184" i="1"/>
  <c r="O2185" i="1"/>
  <c r="P2185" i="1"/>
  <c r="O2186" i="1"/>
  <c r="P2186" i="1"/>
  <c r="O2187" i="1"/>
  <c r="P2187" i="1"/>
  <c r="O2188" i="1"/>
  <c r="P2188" i="1"/>
  <c r="O2189" i="1"/>
  <c r="P2189" i="1"/>
  <c r="O2190" i="1"/>
  <c r="P2190" i="1"/>
  <c r="O2191" i="1"/>
  <c r="P2191" i="1"/>
  <c r="O2192" i="1"/>
  <c r="P2192" i="1"/>
  <c r="O2193" i="1"/>
  <c r="P2193" i="1"/>
  <c r="O2194" i="1"/>
  <c r="P2194" i="1"/>
  <c r="O2195" i="1"/>
  <c r="P2195" i="1"/>
  <c r="O2196" i="1"/>
  <c r="P2196" i="1"/>
  <c r="O2197" i="1"/>
  <c r="P2197" i="1"/>
  <c r="O2198" i="1"/>
  <c r="P2198" i="1"/>
  <c r="O2199" i="1"/>
  <c r="P2199" i="1"/>
  <c r="O2200" i="1"/>
  <c r="P2200" i="1"/>
  <c r="O2201" i="1"/>
  <c r="P2201" i="1"/>
  <c r="O2202" i="1"/>
  <c r="P2202" i="1"/>
  <c r="O2203" i="1"/>
  <c r="P2203" i="1"/>
  <c r="O2204" i="1"/>
  <c r="P2204" i="1"/>
  <c r="O2205" i="1"/>
  <c r="P2205" i="1"/>
  <c r="O2206" i="1"/>
  <c r="P2206" i="1"/>
  <c r="O2207" i="1"/>
  <c r="P2207" i="1"/>
  <c r="O2208" i="1"/>
  <c r="P2208" i="1"/>
  <c r="O2209" i="1"/>
  <c r="P2209" i="1"/>
  <c r="O2210" i="1"/>
  <c r="P2210" i="1"/>
  <c r="O2211" i="1"/>
  <c r="P2211" i="1"/>
  <c r="O2212" i="1"/>
  <c r="P2212" i="1"/>
  <c r="O2213" i="1"/>
  <c r="P2213" i="1"/>
  <c r="O2214" i="1"/>
  <c r="P2214" i="1"/>
  <c r="O2215" i="1"/>
  <c r="P2215" i="1"/>
  <c r="O2216" i="1"/>
  <c r="P2216" i="1"/>
  <c r="O2217" i="1"/>
  <c r="P2217" i="1"/>
  <c r="O2218" i="1"/>
  <c r="P2218" i="1"/>
  <c r="O2219" i="1"/>
  <c r="P2219" i="1"/>
  <c r="O2220" i="1"/>
  <c r="P2220" i="1"/>
  <c r="O2221" i="1"/>
  <c r="P2221" i="1"/>
  <c r="O2222" i="1"/>
  <c r="P2222" i="1"/>
  <c r="O2223" i="1"/>
  <c r="P2223" i="1"/>
  <c r="O2224" i="1"/>
  <c r="P2224" i="1"/>
  <c r="O2225" i="1"/>
  <c r="P2225" i="1"/>
  <c r="O2226" i="1"/>
  <c r="P2226" i="1"/>
  <c r="O2227" i="1"/>
  <c r="P2227" i="1"/>
  <c r="O2228" i="1"/>
  <c r="P2228" i="1"/>
  <c r="O2229" i="1"/>
  <c r="P2229" i="1"/>
  <c r="O2230" i="1"/>
  <c r="P2230" i="1"/>
  <c r="O2231" i="1"/>
  <c r="P2231" i="1"/>
  <c r="O2232" i="1"/>
  <c r="P2232" i="1"/>
  <c r="O2233" i="1"/>
  <c r="P2233" i="1"/>
  <c r="O2234" i="1"/>
  <c r="P2234" i="1"/>
  <c r="O2235" i="1"/>
  <c r="P2235" i="1"/>
  <c r="O2236" i="1"/>
  <c r="P2236" i="1"/>
  <c r="O2237" i="1"/>
  <c r="P2237" i="1"/>
  <c r="O2238" i="1"/>
  <c r="P2238" i="1"/>
  <c r="O2239" i="1"/>
  <c r="P2239" i="1"/>
  <c r="O2240" i="1"/>
  <c r="P2240" i="1"/>
  <c r="O2241" i="1"/>
  <c r="P2241" i="1"/>
  <c r="O2242" i="1"/>
  <c r="P2242" i="1"/>
  <c r="O2243" i="1"/>
  <c r="P2243" i="1"/>
  <c r="O2244" i="1"/>
  <c r="P2244" i="1"/>
  <c r="O2245" i="1"/>
  <c r="P2245" i="1"/>
  <c r="O2246" i="1"/>
  <c r="P2246" i="1"/>
  <c r="O2247" i="1"/>
  <c r="P2247" i="1"/>
  <c r="O2248" i="1"/>
  <c r="P2248" i="1"/>
  <c r="O2249" i="1"/>
  <c r="P2249" i="1"/>
  <c r="O2250" i="1"/>
  <c r="P2250" i="1"/>
  <c r="O2251" i="1"/>
  <c r="P2251" i="1"/>
  <c r="O2252" i="1"/>
  <c r="P2252" i="1"/>
  <c r="O2253" i="1"/>
  <c r="P2253" i="1"/>
  <c r="O2254" i="1"/>
  <c r="P2254" i="1"/>
  <c r="O2255" i="1"/>
  <c r="P2255" i="1"/>
  <c r="O2256" i="1"/>
  <c r="P2256" i="1"/>
  <c r="O2257" i="1"/>
  <c r="P2257" i="1"/>
  <c r="O2258" i="1"/>
  <c r="P2258" i="1"/>
  <c r="O2259" i="1"/>
  <c r="P2259" i="1"/>
  <c r="O2260" i="1"/>
  <c r="P2260" i="1"/>
  <c r="O2261" i="1"/>
  <c r="P2261" i="1"/>
  <c r="O2262" i="1"/>
  <c r="P2262" i="1"/>
  <c r="O2263" i="1"/>
  <c r="P2263" i="1"/>
  <c r="O2264" i="1"/>
  <c r="P2264" i="1"/>
  <c r="O2265" i="1"/>
  <c r="P2265" i="1"/>
  <c r="O2266" i="1"/>
  <c r="P2266" i="1"/>
  <c r="O2267" i="1"/>
  <c r="P2267" i="1"/>
  <c r="O2268" i="1"/>
  <c r="P2268" i="1"/>
  <c r="O2269" i="1"/>
  <c r="P2269" i="1"/>
  <c r="O2270" i="1"/>
  <c r="P2270" i="1"/>
  <c r="O2271" i="1"/>
  <c r="P2271" i="1"/>
  <c r="O2272" i="1"/>
  <c r="P2272" i="1"/>
  <c r="O2273" i="1"/>
  <c r="P2273" i="1"/>
  <c r="O2274" i="1"/>
  <c r="P2274" i="1"/>
  <c r="O2275" i="1"/>
  <c r="P2275" i="1"/>
  <c r="O2276" i="1"/>
  <c r="P2276" i="1"/>
  <c r="O2277" i="1"/>
  <c r="P2277" i="1"/>
  <c r="O2278" i="1"/>
  <c r="P2278" i="1"/>
  <c r="O2279" i="1"/>
  <c r="P2279" i="1"/>
  <c r="O2280" i="1"/>
  <c r="P2280" i="1"/>
  <c r="O2281" i="1"/>
  <c r="P2281" i="1"/>
  <c r="O2282" i="1"/>
  <c r="P2282" i="1"/>
  <c r="O2283" i="1"/>
  <c r="P2283" i="1"/>
  <c r="O2284" i="1"/>
  <c r="P2284" i="1"/>
  <c r="O2285" i="1"/>
  <c r="P2285" i="1"/>
  <c r="O2286" i="1"/>
  <c r="P2286" i="1"/>
  <c r="O2287" i="1"/>
  <c r="P2287" i="1"/>
  <c r="O2288" i="1"/>
  <c r="P2288" i="1"/>
  <c r="O2289" i="1"/>
  <c r="P2289" i="1"/>
  <c r="O2290" i="1"/>
  <c r="P2290" i="1"/>
  <c r="O2291" i="1"/>
  <c r="P2291" i="1"/>
  <c r="O2292" i="1"/>
  <c r="P2292" i="1"/>
  <c r="O2293" i="1"/>
  <c r="P2293" i="1"/>
  <c r="O2294" i="1"/>
  <c r="P2294" i="1"/>
  <c r="O2295" i="1"/>
  <c r="P2295" i="1"/>
  <c r="O2296" i="1"/>
  <c r="P2296" i="1"/>
  <c r="O2297" i="1"/>
  <c r="P2297" i="1"/>
  <c r="O2298" i="1"/>
  <c r="P2298" i="1"/>
  <c r="O2299" i="1"/>
  <c r="P2299" i="1"/>
  <c r="O2300" i="1"/>
  <c r="P2300" i="1"/>
  <c r="O2301" i="1"/>
  <c r="P2301" i="1"/>
  <c r="O2302" i="1"/>
  <c r="P2302" i="1"/>
  <c r="O2303" i="1"/>
  <c r="P2303" i="1"/>
  <c r="O2304" i="1"/>
  <c r="P2304" i="1"/>
  <c r="O2305" i="1"/>
  <c r="P2305" i="1"/>
  <c r="O2306" i="1"/>
  <c r="P2306" i="1"/>
  <c r="O2307" i="1"/>
  <c r="P2307" i="1"/>
  <c r="O2308" i="1"/>
  <c r="P2308" i="1"/>
  <c r="O2309" i="1"/>
  <c r="P2309" i="1"/>
  <c r="O2310" i="1"/>
  <c r="P2310" i="1"/>
  <c r="O2311" i="1"/>
  <c r="P2311" i="1"/>
  <c r="O2312" i="1"/>
  <c r="P2312" i="1"/>
  <c r="O2313" i="1"/>
  <c r="P2313" i="1"/>
  <c r="O2314" i="1"/>
  <c r="P2314" i="1"/>
  <c r="O2315" i="1"/>
  <c r="P2315" i="1"/>
  <c r="O2316" i="1"/>
  <c r="P2316" i="1"/>
  <c r="O2317" i="1"/>
  <c r="P2317" i="1"/>
  <c r="O2318" i="1"/>
  <c r="P2318" i="1"/>
  <c r="O2319" i="1"/>
  <c r="P2319" i="1"/>
  <c r="O2320" i="1"/>
  <c r="P2320" i="1"/>
  <c r="O2321" i="1"/>
  <c r="P2321" i="1"/>
  <c r="O2322" i="1"/>
  <c r="P2322" i="1"/>
  <c r="O2323" i="1"/>
  <c r="P2323" i="1"/>
  <c r="O2324" i="1"/>
  <c r="P2324" i="1"/>
  <c r="O2325" i="1"/>
  <c r="P2325" i="1"/>
  <c r="O2326" i="1"/>
  <c r="P2326" i="1"/>
  <c r="O2327" i="1"/>
  <c r="P2327" i="1"/>
  <c r="O2328" i="1"/>
  <c r="P2328" i="1"/>
  <c r="O2329" i="1"/>
  <c r="P2329" i="1"/>
  <c r="O2330" i="1"/>
  <c r="P2330" i="1"/>
  <c r="O2331" i="1"/>
  <c r="P2331" i="1"/>
  <c r="O2332" i="1"/>
  <c r="P2332" i="1"/>
  <c r="O2333" i="1"/>
  <c r="P2333" i="1"/>
  <c r="O2334" i="1"/>
  <c r="P2334" i="1"/>
  <c r="O2335" i="1"/>
  <c r="P2335" i="1"/>
  <c r="O2336" i="1"/>
  <c r="P2336" i="1"/>
  <c r="O2337" i="1"/>
  <c r="P2337" i="1"/>
  <c r="O2338" i="1"/>
  <c r="P2338" i="1"/>
  <c r="O2339" i="1"/>
  <c r="P2339" i="1"/>
  <c r="O2340" i="1"/>
  <c r="P2340" i="1"/>
  <c r="O2341" i="1"/>
  <c r="P2341" i="1"/>
  <c r="O2342" i="1"/>
  <c r="P2342" i="1"/>
  <c r="O2343" i="1"/>
  <c r="P2343" i="1"/>
  <c r="O2344" i="1"/>
  <c r="P2344" i="1"/>
  <c r="O2345" i="1"/>
  <c r="P2345" i="1"/>
  <c r="O2346" i="1"/>
  <c r="P2346" i="1"/>
  <c r="O2347" i="1"/>
  <c r="P2347" i="1"/>
  <c r="O2348" i="1"/>
  <c r="P2348" i="1"/>
  <c r="O2349" i="1"/>
  <c r="P2349" i="1"/>
  <c r="O2350" i="1"/>
  <c r="P2350" i="1"/>
  <c r="O2351" i="1"/>
  <c r="P2351" i="1"/>
  <c r="O2352" i="1"/>
  <c r="P2352" i="1"/>
  <c r="O2353" i="1"/>
  <c r="P2353" i="1"/>
  <c r="O2354" i="1"/>
  <c r="P2354" i="1"/>
  <c r="O2355" i="1"/>
  <c r="P2355" i="1"/>
  <c r="O2356" i="1"/>
  <c r="P2356" i="1"/>
  <c r="O2357" i="1"/>
  <c r="P2357" i="1"/>
  <c r="O2358" i="1"/>
  <c r="P2358" i="1"/>
  <c r="O2359" i="1"/>
  <c r="P2359" i="1"/>
  <c r="O2360" i="1"/>
  <c r="P2360" i="1"/>
  <c r="O2361" i="1"/>
  <c r="P2361" i="1"/>
  <c r="O2362" i="1"/>
  <c r="P2362" i="1"/>
  <c r="O2363" i="1"/>
  <c r="P2363" i="1"/>
  <c r="O2364" i="1"/>
  <c r="P2364" i="1"/>
  <c r="O2365" i="1"/>
  <c r="P2365" i="1"/>
  <c r="O2366" i="1"/>
  <c r="P2366" i="1"/>
  <c r="O2367" i="1"/>
  <c r="P2367" i="1"/>
  <c r="O2368" i="1"/>
  <c r="P2368" i="1"/>
  <c r="O2369" i="1"/>
  <c r="P2369" i="1"/>
  <c r="O2370" i="1"/>
  <c r="P2370" i="1"/>
  <c r="O2371" i="1"/>
  <c r="P2371" i="1"/>
  <c r="O2372" i="1"/>
  <c r="P2372" i="1"/>
  <c r="O2373" i="1"/>
  <c r="P2373" i="1"/>
  <c r="O2374" i="1"/>
  <c r="P2374" i="1"/>
  <c r="O2375" i="1"/>
  <c r="P2375" i="1"/>
  <c r="O2376" i="1"/>
  <c r="P2376" i="1"/>
  <c r="O2377" i="1"/>
  <c r="P2377" i="1"/>
  <c r="O2378" i="1"/>
  <c r="P2378" i="1"/>
  <c r="O2379" i="1"/>
  <c r="P2379" i="1"/>
  <c r="O2380" i="1"/>
  <c r="P2380" i="1"/>
  <c r="O2381" i="1"/>
  <c r="P2381" i="1"/>
  <c r="O2382" i="1"/>
  <c r="P2382" i="1"/>
  <c r="O2383" i="1"/>
  <c r="P2383" i="1"/>
  <c r="O2384" i="1"/>
  <c r="P2384" i="1"/>
  <c r="O2385" i="1"/>
  <c r="P2385" i="1"/>
  <c r="O2386" i="1"/>
  <c r="P2386" i="1"/>
  <c r="O2387" i="1"/>
  <c r="P2387" i="1"/>
  <c r="O2388" i="1"/>
  <c r="P2388" i="1"/>
  <c r="O2389" i="1"/>
  <c r="P2389" i="1"/>
  <c r="O2390" i="1"/>
  <c r="P2390" i="1"/>
  <c r="O2391" i="1"/>
  <c r="P2391" i="1"/>
  <c r="O2392" i="1"/>
  <c r="P2392" i="1"/>
  <c r="O2393" i="1"/>
  <c r="P2393" i="1"/>
  <c r="O2394" i="1"/>
  <c r="P2394" i="1"/>
  <c r="O2395" i="1"/>
  <c r="P2395" i="1"/>
  <c r="O2396" i="1"/>
  <c r="P2396" i="1"/>
  <c r="O2397" i="1"/>
  <c r="P2397" i="1"/>
  <c r="O2398" i="1"/>
  <c r="P2398" i="1"/>
  <c r="O2399" i="1"/>
  <c r="P2399" i="1"/>
  <c r="O2400" i="1"/>
  <c r="P2400" i="1"/>
  <c r="O2401" i="1"/>
  <c r="P2401" i="1"/>
  <c r="O2402" i="1"/>
  <c r="P2402" i="1"/>
  <c r="O2403" i="1"/>
  <c r="P2403" i="1"/>
  <c r="O2404" i="1"/>
  <c r="P2404" i="1"/>
  <c r="O2405" i="1"/>
  <c r="P2405" i="1"/>
  <c r="O2406" i="1"/>
  <c r="P2406" i="1"/>
  <c r="O2407" i="1"/>
  <c r="P2407" i="1"/>
  <c r="O2408" i="1"/>
  <c r="P2408" i="1"/>
  <c r="O2409" i="1"/>
  <c r="P2409" i="1"/>
  <c r="O2410" i="1"/>
  <c r="P2410" i="1"/>
  <c r="O2411" i="1"/>
  <c r="P2411" i="1"/>
  <c r="O2412" i="1"/>
  <c r="P2412" i="1"/>
  <c r="O2413" i="1"/>
  <c r="P2413" i="1"/>
  <c r="O2414" i="1"/>
  <c r="P2414" i="1"/>
  <c r="O2415" i="1"/>
  <c r="P2415" i="1"/>
  <c r="O2416" i="1"/>
  <c r="P2416" i="1"/>
  <c r="O2417" i="1"/>
  <c r="P2417" i="1"/>
  <c r="O2418" i="1"/>
  <c r="P2418" i="1"/>
  <c r="O2419" i="1"/>
  <c r="P2419" i="1"/>
  <c r="O2420" i="1"/>
  <c r="P2420" i="1"/>
  <c r="O2421" i="1"/>
  <c r="P2421" i="1"/>
  <c r="O2422" i="1"/>
  <c r="P2422" i="1"/>
  <c r="O2423" i="1"/>
  <c r="P2423" i="1"/>
  <c r="O2424" i="1"/>
  <c r="P2424" i="1"/>
  <c r="O2425" i="1"/>
  <c r="P2425" i="1"/>
  <c r="O2426" i="1"/>
  <c r="P2426" i="1"/>
  <c r="O2427" i="1"/>
  <c r="P2427" i="1"/>
  <c r="O2428" i="1"/>
  <c r="P2428" i="1"/>
  <c r="O2429" i="1"/>
  <c r="P2429" i="1"/>
  <c r="O2430" i="1"/>
  <c r="P2430" i="1"/>
  <c r="O2431" i="1"/>
  <c r="P2431" i="1"/>
  <c r="O2432" i="1"/>
  <c r="P2432" i="1"/>
  <c r="O2433" i="1"/>
  <c r="P2433" i="1"/>
  <c r="O2434" i="1"/>
  <c r="P2434" i="1"/>
  <c r="O2435" i="1"/>
  <c r="P2435" i="1"/>
  <c r="O2436" i="1"/>
  <c r="P2436" i="1"/>
  <c r="O2437" i="1"/>
  <c r="P2437" i="1"/>
  <c r="O2438" i="1"/>
  <c r="P2438" i="1"/>
  <c r="O2439" i="1"/>
  <c r="P2439" i="1"/>
  <c r="O2440" i="1"/>
  <c r="P2440" i="1"/>
  <c r="O2441" i="1"/>
  <c r="P2441" i="1"/>
  <c r="O2442" i="1"/>
  <c r="P2442" i="1"/>
  <c r="O2443" i="1"/>
  <c r="P2443" i="1"/>
  <c r="O2444" i="1"/>
  <c r="P2444" i="1"/>
  <c r="O2445" i="1"/>
  <c r="P2445" i="1"/>
  <c r="O2446" i="1"/>
  <c r="P2446" i="1"/>
  <c r="O2447" i="1"/>
  <c r="P2447" i="1"/>
  <c r="O2448" i="1"/>
  <c r="P2448" i="1"/>
  <c r="O2449" i="1"/>
  <c r="P2449" i="1"/>
  <c r="O2450" i="1"/>
  <c r="P2450" i="1"/>
  <c r="O2451" i="1"/>
  <c r="P2451" i="1"/>
  <c r="O2452" i="1"/>
  <c r="P2452" i="1"/>
  <c r="O2453" i="1"/>
  <c r="P2453" i="1"/>
  <c r="O2454" i="1"/>
  <c r="P2454" i="1"/>
  <c r="O2455" i="1"/>
  <c r="P2455" i="1"/>
  <c r="O2456" i="1"/>
  <c r="P2456" i="1"/>
  <c r="O2457" i="1"/>
  <c r="P2457" i="1"/>
  <c r="O2458" i="1"/>
  <c r="P2458" i="1"/>
  <c r="O2459" i="1"/>
  <c r="P2459" i="1"/>
  <c r="O2460" i="1"/>
  <c r="P2460" i="1"/>
  <c r="O2461" i="1"/>
  <c r="P2461" i="1"/>
  <c r="O2462" i="1"/>
  <c r="P2462" i="1"/>
  <c r="O2463" i="1"/>
  <c r="P2463" i="1"/>
  <c r="O2464" i="1"/>
  <c r="P2464" i="1"/>
  <c r="O2465" i="1"/>
  <c r="P2465" i="1"/>
  <c r="O2466" i="1"/>
  <c r="P2466" i="1"/>
  <c r="O2467" i="1"/>
  <c r="P2467" i="1"/>
  <c r="O2468" i="1"/>
  <c r="P2468" i="1"/>
  <c r="O2469" i="1"/>
  <c r="P2469" i="1"/>
  <c r="O2470" i="1"/>
  <c r="P2470" i="1"/>
  <c r="O2471" i="1"/>
  <c r="P2471" i="1"/>
  <c r="O2472" i="1"/>
  <c r="P2472" i="1"/>
  <c r="O2473" i="1"/>
  <c r="P2473" i="1"/>
  <c r="O2474" i="1"/>
  <c r="P2474" i="1"/>
  <c r="O2475" i="1"/>
  <c r="P2475" i="1"/>
  <c r="O2476" i="1"/>
  <c r="P2476" i="1"/>
  <c r="O2477" i="1"/>
  <c r="P2477" i="1"/>
  <c r="O2478" i="1"/>
  <c r="P2478" i="1"/>
  <c r="O2479" i="1"/>
  <c r="P2479" i="1"/>
  <c r="O2480" i="1"/>
  <c r="P2480" i="1"/>
  <c r="O2481" i="1"/>
  <c r="P2481" i="1"/>
  <c r="O2482" i="1"/>
  <c r="P2482" i="1"/>
  <c r="O2483" i="1"/>
  <c r="P2483" i="1"/>
  <c r="O2484" i="1"/>
  <c r="P2484" i="1"/>
  <c r="O2485" i="1"/>
  <c r="P2485" i="1"/>
  <c r="O2486" i="1"/>
  <c r="P2486" i="1"/>
  <c r="O2487" i="1"/>
  <c r="P2487" i="1"/>
  <c r="O2488" i="1"/>
  <c r="P2488" i="1"/>
  <c r="O2489" i="1"/>
  <c r="P2489" i="1"/>
  <c r="O2490" i="1"/>
  <c r="P2490" i="1"/>
  <c r="O2491" i="1"/>
  <c r="P2491" i="1"/>
  <c r="O2492" i="1"/>
  <c r="P2492" i="1"/>
  <c r="O2493" i="1"/>
  <c r="P2493" i="1"/>
  <c r="O2494" i="1"/>
  <c r="P2494" i="1"/>
  <c r="O2495" i="1"/>
  <c r="P2495" i="1"/>
  <c r="O2496" i="1"/>
  <c r="P2496" i="1"/>
  <c r="O2497" i="1"/>
  <c r="P2497" i="1"/>
  <c r="O2498" i="1"/>
  <c r="P2498" i="1"/>
  <c r="O2499" i="1"/>
  <c r="P2499" i="1"/>
  <c r="O2500" i="1"/>
  <c r="P2500" i="1"/>
  <c r="O2501" i="1"/>
  <c r="P2501" i="1"/>
  <c r="O2502" i="1"/>
  <c r="P2502" i="1"/>
  <c r="O2503" i="1"/>
  <c r="P2503" i="1"/>
  <c r="O2504" i="1"/>
  <c r="P2504" i="1"/>
  <c r="O2505" i="1"/>
  <c r="P2505" i="1"/>
  <c r="O2506" i="1"/>
  <c r="P2506" i="1"/>
  <c r="O2507" i="1"/>
  <c r="P2507" i="1"/>
  <c r="O2508" i="1"/>
  <c r="P2508" i="1"/>
  <c r="O2509" i="1"/>
  <c r="P2509" i="1"/>
  <c r="O2510" i="1"/>
  <c r="P2510" i="1"/>
  <c r="O2511" i="1"/>
  <c r="P2511" i="1"/>
  <c r="O2512" i="1"/>
  <c r="P2512" i="1"/>
  <c r="O2513" i="1"/>
  <c r="P2513" i="1"/>
  <c r="O2514" i="1"/>
  <c r="P2514" i="1"/>
  <c r="O2515" i="1"/>
  <c r="P2515" i="1"/>
  <c r="O2516" i="1"/>
  <c r="P2516" i="1"/>
  <c r="O2517" i="1"/>
  <c r="P2517" i="1"/>
  <c r="O2518" i="1"/>
  <c r="P2518" i="1"/>
  <c r="O2519" i="1"/>
  <c r="P2519" i="1"/>
  <c r="O2520" i="1"/>
  <c r="P2520" i="1"/>
  <c r="O2521" i="1"/>
  <c r="P2521" i="1"/>
  <c r="O2522" i="1"/>
  <c r="P2522" i="1"/>
  <c r="O2523" i="1"/>
  <c r="P2523" i="1"/>
  <c r="O2524" i="1"/>
  <c r="P2524" i="1"/>
  <c r="O2525" i="1"/>
  <c r="P2525" i="1"/>
  <c r="O2526" i="1"/>
  <c r="P2526" i="1"/>
  <c r="O2527" i="1"/>
  <c r="P2527" i="1"/>
  <c r="O2528" i="1"/>
  <c r="P2528" i="1"/>
  <c r="O2529" i="1"/>
  <c r="P2529" i="1"/>
  <c r="O2530" i="1"/>
  <c r="P2530" i="1"/>
  <c r="O2531" i="1"/>
  <c r="P2531" i="1"/>
  <c r="O2532" i="1"/>
  <c r="P2532" i="1"/>
  <c r="O2533" i="1"/>
  <c r="P2533" i="1"/>
  <c r="O2534" i="1"/>
  <c r="P2534" i="1"/>
  <c r="O2535" i="1"/>
  <c r="P2535" i="1"/>
  <c r="O2536" i="1"/>
  <c r="P2536" i="1"/>
  <c r="O2537" i="1"/>
  <c r="P2537" i="1"/>
  <c r="O2538" i="1"/>
  <c r="P2538" i="1"/>
  <c r="O2539" i="1"/>
  <c r="P2539" i="1"/>
  <c r="O2540" i="1"/>
  <c r="P2540" i="1"/>
  <c r="O2541" i="1"/>
  <c r="P2541" i="1"/>
  <c r="O2542" i="1"/>
  <c r="P2542" i="1"/>
  <c r="O2543" i="1"/>
  <c r="P2543" i="1"/>
  <c r="O2544" i="1"/>
  <c r="P2544" i="1"/>
  <c r="O2545" i="1"/>
  <c r="P2545" i="1"/>
  <c r="O2546" i="1"/>
  <c r="P2546" i="1"/>
  <c r="O2547" i="1"/>
  <c r="P2547" i="1"/>
  <c r="O2548" i="1"/>
  <c r="P2548" i="1"/>
  <c r="O2549" i="1"/>
  <c r="P2549" i="1"/>
  <c r="O2550" i="1"/>
  <c r="P2550" i="1"/>
  <c r="O2551" i="1"/>
  <c r="P2551" i="1"/>
  <c r="O2552" i="1"/>
  <c r="P2552" i="1"/>
  <c r="O2553" i="1"/>
  <c r="P2553" i="1"/>
  <c r="O2554" i="1"/>
  <c r="P2554" i="1"/>
  <c r="O2555" i="1"/>
  <c r="P2555" i="1"/>
  <c r="O2556" i="1"/>
  <c r="P2556" i="1"/>
  <c r="O2557" i="1"/>
  <c r="P2557" i="1"/>
  <c r="O2558" i="1"/>
  <c r="P2558" i="1"/>
  <c r="O2559" i="1"/>
  <c r="P2559" i="1"/>
  <c r="O2560" i="1"/>
  <c r="P2560" i="1"/>
  <c r="O2561" i="1"/>
  <c r="P2561" i="1"/>
  <c r="O2562" i="1"/>
  <c r="P2562" i="1"/>
  <c r="O2563" i="1"/>
  <c r="P2563" i="1"/>
  <c r="O2564" i="1"/>
  <c r="P2564" i="1"/>
  <c r="O2565" i="1"/>
  <c r="P2565" i="1"/>
  <c r="O2566" i="1"/>
  <c r="P2566" i="1"/>
  <c r="O2567" i="1"/>
  <c r="P2567" i="1"/>
  <c r="O2568" i="1"/>
  <c r="P2568" i="1"/>
  <c r="O2569" i="1"/>
  <c r="P2569" i="1"/>
  <c r="O2570" i="1"/>
  <c r="P2570" i="1"/>
  <c r="O2571" i="1"/>
  <c r="P2571" i="1"/>
  <c r="O2572" i="1"/>
  <c r="P2572" i="1"/>
  <c r="O2573" i="1"/>
  <c r="P2573" i="1"/>
  <c r="O2574" i="1"/>
  <c r="P2574" i="1"/>
  <c r="O2575" i="1"/>
  <c r="P2575" i="1"/>
  <c r="O2576" i="1"/>
  <c r="P2576" i="1"/>
  <c r="O2577" i="1"/>
  <c r="P2577" i="1"/>
  <c r="O2578" i="1"/>
  <c r="P2578" i="1"/>
  <c r="O2579" i="1"/>
  <c r="P2579" i="1"/>
  <c r="O2580" i="1"/>
  <c r="P2580" i="1"/>
  <c r="O2581" i="1"/>
  <c r="P2581" i="1"/>
  <c r="O2582" i="1"/>
  <c r="P2582" i="1"/>
  <c r="O2583" i="1"/>
  <c r="P2583" i="1"/>
  <c r="O2584" i="1"/>
  <c r="P2584" i="1"/>
  <c r="O2585" i="1"/>
  <c r="P2585" i="1"/>
  <c r="O2586" i="1"/>
  <c r="P2586" i="1"/>
  <c r="O2587" i="1"/>
  <c r="P2587" i="1"/>
  <c r="O2588" i="1"/>
  <c r="P2588" i="1"/>
  <c r="O2589" i="1"/>
  <c r="P2589" i="1"/>
  <c r="O2590" i="1"/>
  <c r="P2590" i="1"/>
  <c r="O2591" i="1"/>
  <c r="P2591" i="1"/>
  <c r="O2592" i="1"/>
  <c r="P2592" i="1"/>
  <c r="O2593" i="1"/>
  <c r="P2593" i="1"/>
  <c r="O2594" i="1"/>
  <c r="P2594" i="1"/>
  <c r="O2595" i="1"/>
  <c r="P2595" i="1"/>
  <c r="O2596" i="1"/>
  <c r="P2596" i="1"/>
  <c r="O2597" i="1"/>
  <c r="P2597" i="1"/>
  <c r="O2598" i="1"/>
  <c r="P2598" i="1"/>
  <c r="O2599" i="1"/>
  <c r="P2599" i="1"/>
  <c r="O2600" i="1"/>
  <c r="P2600" i="1"/>
  <c r="O2601" i="1"/>
  <c r="P2601" i="1"/>
  <c r="O2602" i="1"/>
  <c r="P2602" i="1"/>
  <c r="O2603" i="1"/>
  <c r="P2603" i="1"/>
  <c r="O2604" i="1"/>
  <c r="P2604" i="1"/>
  <c r="O2605" i="1"/>
  <c r="P2605" i="1"/>
  <c r="O2606" i="1"/>
  <c r="P2606" i="1"/>
  <c r="O2607" i="1"/>
  <c r="P2607" i="1"/>
  <c r="O2608" i="1"/>
  <c r="P2608" i="1"/>
  <c r="O2609" i="1"/>
  <c r="P2609" i="1"/>
  <c r="O2610" i="1"/>
  <c r="P2610" i="1"/>
  <c r="O2611" i="1"/>
  <c r="P2611" i="1"/>
  <c r="O2612" i="1"/>
  <c r="P2612" i="1"/>
  <c r="O2613" i="1"/>
  <c r="P2613" i="1"/>
  <c r="O2614" i="1"/>
  <c r="P2614" i="1"/>
  <c r="O2615" i="1"/>
  <c r="P2615" i="1"/>
  <c r="O2616" i="1"/>
  <c r="P2616" i="1"/>
  <c r="O2617" i="1"/>
  <c r="P2617" i="1"/>
  <c r="O2618" i="1"/>
  <c r="P2618" i="1"/>
  <c r="O2619" i="1"/>
  <c r="P2619" i="1"/>
  <c r="O2620" i="1"/>
  <c r="P2620" i="1"/>
  <c r="O2621" i="1"/>
  <c r="P2621" i="1"/>
  <c r="O2622" i="1"/>
  <c r="P2622" i="1"/>
  <c r="O2623" i="1"/>
  <c r="P2623" i="1"/>
  <c r="O2624" i="1"/>
  <c r="P2624" i="1"/>
  <c r="O2625" i="1"/>
  <c r="P2625" i="1"/>
  <c r="O2626" i="1"/>
  <c r="P2626" i="1"/>
  <c r="O2627" i="1"/>
  <c r="P2627" i="1"/>
  <c r="O2628" i="1"/>
  <c r="P2628" i="1"/>
  <c r="O2629" i="1"/>
  <c r="P2629" i="1"/>
  <c r="O2630" i="1"/>
  <c r="P2630" i="1"/>
  <c r="O2631" i="1"/>
  <c r="P2631" i="1"/>
  <c r="O2632" i="1"/>
  <c r="P2632" i="1"/>
  <c r="O2633" i="1"/>
  <c r="P2633" i="1"/>
  <c r="O2634" i="1"/>
  <c r="P2634" i="1"/>
  <c r="O2635" i="1"/>
  <c r="P2635" i="1"/>
  <c r="O2636" i="1"/>
  <c r="P2636" i="1"/>
  <c r="O2637" i="1"/>
  <c r="P2637" i="1"/>
  <c r="O2638" i="1"/>
  <c r="P2638" i="1"/>
  <c r="O2639" i="1"/>
  <c r="P2639" i="1"/>
  <c r="O2640" i="1"/>
  <c r="P2640" i="1"/>
  <c r="O2641" i="1"/>
  <c r="P2641" i="1"/>
  <c r="O2642" i="1"/>
  <c r="P2642" i="1"/>
  <c r="O2643" i="1"/>
  <c r="P2643" i="1"/>
  <c r="O2644" i="1"/>
  <c r="P2644" i="1"/>
  <c r="O2645" i="1"/>
  <c r="P2645" i="1"/>
  <c r="O2646" i="1"/>
  <c r="P2646" i="1"/>
  <c r="O2647" i="1"/>
  <c r="P2647" i="1"/>
  <c r="O2648" i="1"/>
  <c r="P2648" i="1"/>
  <c r="O2649" i="1"/>
  <c r="P2649" i="1"/>
  <c r="O2650" i="1"/>
  <c r="P2650" i="1"/>
  <c r="O2651" i="1"/>
  <c r="P2651" i="1"/>
  <c r="O2652" i="1"/>
  <c r="P2652" i="1"/>
  <c r="O2653" i="1"/>
  <c r="P2653" i="1"/>
  <c r="O2654" i="1"/>
  <c r="P2654" i="1"/>
  <c r="O2655" i="1"/>
  <c r="P2655" i="1"/>
  <c r="O2656" i="1"/>
  <c r="P2656" i="1"/>
  <c r="O2657" i="1"/>
  <c r="P2657" i="1"/>
  <c r="O2658" i="1"/>
  <c r="P2658" i="1"/>
  <c r="O2659" i="1"/>
  <c r="P2659" i="1"/>
  <c r="O2660" i="1"/>
  <c r="P2660" i="1"/>
  <c r="O2661" i="1"/>
  <c r="P2661" i="1"/>
  <c r="O2662" i="1"/>
  <c r="P2662" i="1"/>
  <c r="O2663" i="1"/>
  <c r="P2663" i="1"/>
  <c r="O2664" i="1"/>
  <c r="P2664" i="1"/>
  <c r="O2665" i="1"/>
  <c r="P2665" i="1"/>
  <c r="O2666" i="1"/>
  <c r="P2666" i="1"/>
  <c r="O2667" i="1"/>
  <c r="P2667" i="1"/>
  <c r="O2668" i="1"/>
  <c r="P2668" i="1"/>
  <c r="O2669" i="1"/>
  <c r="P2669" i="1"/>
  <c r="O2670" i="1"/>
  <c r="P2670" i="1"/>
  <c r="O2671" i="1"/>
  <c r="P2671" i="1"/>
  <c r="O2672" i="1"/>
  <c r="P2672" i="1"/>
  <c r="O2673" i="1"/>
  <c r="P2673" i="1"/>
  <c r="O2674" i="1"/>
  <c r="P2674" i="1"/>
  <c r="O2675" i="1"/>
  <c r="P2675" i="1"/>
  <c r="O2676" i="1"/>
  <c r="P2676" i="1"/>
  <c r="O2677" i="1"/>
  <c r="P2677" i="1"/>
  <c r="O2678" i="1"/>
  <c r="P2678" i="1"/>
  <c r="O2679" i="1"/>
  <c r="P2679" i="1"/>
  <c r="O2680" i="1"/>
  <c r="P2680" i="1"/>
  <c r="O2681" i="1"/>
  <c r="P2681" i="1"/>
  <c r="O2682" i="1"/>
  <c r="P2682" i="1"/>
  <c r="O2683" i="1"/>
  <c r="P2683" i="1"/>
  <c r="O2684" i="1"/>
  <c r="P2684" i="1"/>
  <c r="O2685" i="1"/>
  <c r="P2685" i="1"/>
  <c r="O2686" i="1"/>
  <c r="P2686" i="1"/>
  <c r="O2687" i="1"/>
  <c r="P2687" i="1"/>
  <c r="O2688" i="1"/>
  <c r="P2688" i="1"/>
  <c r="O2689" i="1"/>
  <c r="P2689" i="1"/>
  <c r="O2690" i="1"/>
  <c r="P2690" i="1"/>
  <c r="O2691" i="1"/>
  <c r="P2691" i="1"/>
  <c r="O2692" i="1"/>
  <c r="P2692" i="1"/>
  <c r="O2693" i="1"/>
  <c r="P2693" i="1"/>
  <c r="O2694" i="1"/>
  <c r="P2694" i="1"/>
  <c r="O2695" i="1"/>
  <c r="P2695" i="1"/>
  <c r="O2696" i="1"/>
  <c r="P2696" i="1"/>
  <c r="O2697" i="1"/>
  <c r="P2697" i="1"/>
  <c r="O2698" i="1"/>
  <c r="P2698" i="1"/>
  <c r="O2699" i="1"/>
  <c r="P2699" i="1"/>
  <c r="O2700" i="1"/>
  <c r="P2700" i="1"/>
  <c r="O2701" i="1"/>
  <c r="P2701" i="1"/>
  <c r="O2702" i="1"/>
  <c r="P2702" i="1"/>
  <c r="O2703" i="1"/>
  <c r="P2703" i="1"/>
  <c r="O2704" i="1"/>
  <c r="P2704" i="1"/>
  <c r="O2705" i="1"/>
  <c r="P2705" i="1"/>
  <c r="O2706" i="1"/>
  <c r="P2706" i="1"/>
  <c r="O2707" i="1"/>
  <c r="P2707" i="1"/>
  <c r="O2708" i="1"/>
  <c r="P2708" i="1"/>
  <c r="O2709" i="1"/>
  <c r="P2709" i="1"/>
  <c r="O2710" i="1"/>
  <c r="P2710" i="1"/>
  <c r="O2711" i="1"/>
  <c r="P2711" i="1"/>
  <c r="O2712" i="1"/>
  <c r="P2712" i="1"/>
  <c r="O2713" i="1"/>
  <c r="P2713" i="1"/>
  <c r="O2714" i="1"/>
  <c r="P2714" i="1"/>
  <c r="O2715" i="1"/>
  <c r="P2715" i="1"/>
  <c r="O2716" i="1"/>
  <c r="P2716" i="1"/>
  <c r="O2717" i="1"/>
  <c r="P2717" i="1"/>
  <c r="O2718" i="1"/>
  <c r="P2718" i="1"/>
  <c r="O2719" i="1"/>
  <c r="P2719" i="1"/>
  <c r="O2720" i="1"/>
  <c r="P2720" i="1"/>
  <c r="O2721" i="1"/>
  <c r="P2721" i="1"/>
  <c r="O2722" i="1"/>
  <c r="P2722" i="1"/>
  <c r="O2723" i="1"/>
  <c r="P2723" i="1"/>
  <c r="O2724" i="1"/>
  <c r="P2724" i="1"/>
  <c r="O2725" i="1"/>
  <c r="P2725" i="1"/>
  <c r="O2726" i="1"/>
  <c r="P2726" i="1"/>
  <c r="O2727" i="1"/>
  <c r="P2727" i="1"/>
  <c r="O2728" i="1"/>
  <c r="P2728" i="1"/>
  <c r="O2729" i="1"/>
  <c r="P2729" i="1"/>
  <c r="O2730" i="1"/>
  <c r="P2730" i="1"/>
  <c r="O2731" i="1"/>
  <c r="P2731" i="1"/>
  <c r="O2732" i="1"/>
  <c r="P2732" i="1"/>
  <c r="O2733" i="1"/>
  <c r="P2733" i="1"/>
  <c r="O2734" i="1"/>
  <c r="P2734" i="1"/>
  <c r="O2735" i="1"/>
  <c r="P2735" i="1"/>
  <c r="O2736" i="1"/>
  <c r="P2736" i="1"/>
  <c r="O2737" i="1"/>
  <c r="P2737" i="1"/>
  <c r="O2738" i="1"/>
  <c r="P2738" i="1"/>
  <c r="O2739" i="1"/>
  <c r="P2739" i="1"/>
  <c r="O2740" i="1"/>
  <c r="P2740" i="1"/>
  <c r="O2741" i="1"/>
  <c r="P2741" i="1"/>
  <c r="O2742" i="1"/>
  <c r="P2742" i="1"/>
  <c r="O2743" i="1"/>
  <c r="P2743" i="1"/>
  <c r="O2744" i="1"/>
  <c r="P2744" i="1"/>
  <c r="O2745" i="1"/>
  <c r="P2745" i="1"/>
  <c r="O2746" i="1"/>
  <c r="P2746" i="1"/>
  <c r="O2747" i="1"/>
  <c r="P2747" i="1"/>
  <c r="O2748" i="1"/>
  <c r="P2748" i="1"/>
  <c r="O2749" i="1"/>
  <c r="P2749" i="1"/>
  <c r="O2750" i="1"/>
  <c r="P2750" i="1"/>
  <c r="O2751" i="1"/>
  <c r="P2751" i="1"/>
  <c r="O2752" i="1"/>
  <c r="P2752" i="1"/>
  <c r="O2753" i="1"/>
  <c r="P2753" i="1"/>
  <c r="O2754" i="1"/>
  <c r="P2754" i="1"/>
  <c r="O2755" i="1"/>
  <c r="P2755" i="1"/>
  <c r="O2756" i="1"/>
  <c r="P2756" i="1"/>
  <c r="O2757" i="1"/>
  <c r="P2757" i="1"/>
  <c r="O2758" i="1"/>
  <c r="P2758" i="1"/>
  <c r="O2759" i="1"/>
  <c r="P2759" i="1"/>
  <c r="O2760" i="1"/>
  <c r="P2760" i="1"/>
  <c r="O2761" i="1"/>
  <c r="P2761" i="1"/>
  <c r="O2762" i="1"/>
  <c r="P2762" i="1"/>
  <c r="O2763" i="1"/>
  <c r="P2763" i="1"/>
  <c r="O2764" i="1"/>
  <c r="P2764" i="1"/>
  <c r="O2765" i="1"/>
  <c r="P2765" i="1"/>
  <c r="O2766" i="1"/>
  <c r="P2766" i="1"/>
  <c r="O2767" i="1"/>
  <c r="P2767" i="1"/>
  <c r="O2768" i="1"/>
  <c r="P2768" i="1"/>
  <c r="O2769" i="1"/>
  <c r="P2769" i="1"/>
  <c r="O2770" i="1"/>
  <c r="P2770" i="1"/>
  <c r="O2771" i="1"/>
  <c r="P2771" i="1"/>
  <c r="O2772" i="1"/>
  <c r="P2772" i="1"/>
  <c r="O2773" i="1"/>
  <c r="P2773" i="1"/>
  <c r="O2774" i="1"/>
  <c r="P2774" i="1"/>
  <c r="O2775" i="1"/>
  <c r="P2775" i="1"/>
  <c r="O2776" i="1"/>
  <c r="P2776" i="1"/>
  <c r="O2777" i="1"/>
  <c r="P2777" i="1"/>
  <c r="O2778" i="1"/>
  <c r="P2778" i="1"/>
  <c r="O2779" i="1"/>
  <c r="P2779" i="1"/>
  <c r="O2780" i="1"/>
  <c r="P2780" i="1"/>
  <c r="O2781" i="1"/>
  <c r="P2781" i="1"/>
  <c r="O2782" i="1"/>
  <c r="P2782" i="1"/>
  <c r="O2783" i="1"/>
  <c r="P2783" i="1"/>
  <c r="O2784" i="1"/>
  <c r="P2784" i="1"/>
  <c r="O2785" i="1"/>
  <c r="P2785" i="1"/>
  <c r="O2786" i="1"/>
  <c r="P2786" i="1"/>
  <c r="O2787" i="1"/>
  <c r="P2787" i="1"/>
  <c r="O2788" i="1"/>
  <c r="P2788" i="1"/>
  <c r="O2789" i="1"/>
  <c r="P2789" i="1"/>
  <c r="O2790" i="1"/>
  <c r="P2790" i="1"/>
  <c r="O2791" i="1"/>
  <c r="P2791" i="1"/>
  <c r="O2792" i="1"/>
  <c r="P2792" i="1"/>
  <c r="O2793" i="1"/>
  <c r="P2793" i="1"/>
  <c r="O2794" i="1"/>
  <c r="P2794" i="1"/>
  <c r="O2795" i="1"/>
  <c r="P2795" i="1"/>
  <c r="O2796" i="1"/>
  <c r="P2796" i="1"/>
  <c r="O2797" i="1"/>
  <c r="P2797" i="1"/>
  <c r="O2798" i="1"/>
  <c r="P2798" i="1"/>
  <c r="O2799" i="1"/>
  <c r="P2799" i="1"/>
  <c r="O2800" i="1"/>
  <c r="P2800" i="1"/>
  <c r="O2801" i="1"/>
  <c r="P2801" i="1"/>
  <c r="O2802" i="1"/>
  <c r="P2802" i="1"/>
  <c r="O2803" i="1"/>
  <c r="P2803" i="1"/>
  <c r="O2804" i="1"/>
  <c r="P2804" i="1"/>
  <c r="O2805" i="1"/>
  <c r="P2805" i="1"/>
  <c r="O2806" i="1"/>
  <c r="P2806" i="1"/>
  <c r="O2807" i="1"/>
  <c r="P2807" i="1"/>
  <c r="O2808" i="1"/>
  <c r="P2808" i="1"/>
  <c r="O2809" i="1"/>
  <c r="P2809" i="1"/>
  <c r="O2810" i="1"/>
  <c r="P2810" i="1"/>
  <c r="O2811" i="1"/>
  <c r="P2811" i="1"/>
  <c r="O2812" i="1"/>
  <c r="P2812" i="1"/>
  <c r="O2813" i="1"/>
  <c r="P2813" i="1"/>
  <c r="O2814" i="1"/>
  <c r="P2814" i="1"/>
  <c r="O2815" i="1"/>
  <c r="P2815" i="1"/>
  <c r="O2816" i="1"/>
  <c r="P2816" i="1"/>
  <c r="O2817" i="1"/>
  <c r="P2817" i="1"/>
  <c r="O2818" i="1"/>
  <c r="P2818" i="1"/>
  <c r="O2819" i="1"/>
  <c r="P2819" i="1"/>
  <c r="O2820" i="1"/>
  <c r="P2820" i="1"/>
  <c r="O2821" i="1"/>
  <c r="P2821" i="1"/>
  <c r="O2822" i="1"/>
  <c r="P2822" i="1"/>
  <c r="O2823" i="1"/>
  <c r="P2823" i="1"/>
  <c r="O2824" i="1"/>
  <c r="P2824" i="1"/>
  <c r="O2825" i="1"/>
  <c r="P2825" i="1"/>
  <c r="O2826" i="1"/>
  <c r="P2826" i="1"/>
  <c r="O2827" i="1"/>
  <c r="P2827" i="1"/>
  <c r="O2828" i="1"/>
  <c r="P2828" i="1"/>
  <c r="O2829" i="1"/>
  <c r="P2829" i="1"/>
  <c r="O2830" i="1"/>
  <c r="P2830" i="1"/>
  <c r="O2831" i="1"/>
  <c r="P2831" i="1"/>
  <c r="O2832" i="1"/>
  <c r="P2832" i="1"/>
  <c r="O2833" i="1"/>
  <c r="P2833" i="1"/>
  <c r="O2834" i="1"/>
  <c r="P2834" i="1"/>
  <c r="O2835" i="1"/>
  <c r="P2835" i="1"/>
  <c r="O2836" i="1"/>
  <c r="P2836" i="1"/>
  <c r="O2837" i="1"/>
  <c r="P2837" i="1"/>
  <c r="O2838" i="1"/>
  <c r="P2838" i="1"/>
  <c r="O2839" i="1"/>
  <c r="P2839" i="1"/>
  <c r="O2840" i="1"/>
  <c r="P2840" i="1"/>
  <c r="O2841" i="1"/>
  <c r="P2841" i="1"/>
  <c r="O2842" i="1"/>
  <c r="P2842" i="1"/>
  <c r="O2843" i="1"/>
  <c r="P2843" i="1"/>
  <c r="O2844" i="1"/>
  <c r="P2844" i="1"/>
  <c r="O2845" i="1"/>
  <c r="P2845" i="1"/>
  <c r="O2846" i="1"/>
  <c r="P2846" i="1"/>
  <c r="O2847" i="1"/>
  <c r="P2847" i="1"/>
  <c r="O2848" i="1"/>
  <c r="P2848" i="1"/>
  <c r="O2849" i="1"/>
  <c r="P2849" i="1"/>
  <c r="O2850" i="1"/>
  <c r="P2850" i="1"/>
  <c r="O2851" i="1"/>
  <c r="P2851" i="1"/>
  <c r="O2852" i="1"/>
  <c r="P2852" i="1"/>
  <c r="O2853" i="1"/>
  <c r="P2853" i="1"/>
  <c r="O2854" i="1"/>
  <c r="P2854" i="1"/>
  <c r="O2855" i="1"/>
  <c r="P2855" i="1"/>
  <c r="O2856" i="1"/>
  <c r="P2856" i="1"/>
  <c r="O2857" i="1"/>
  <c r="P2857" i="1"/>
  <c r="O2858" i="1"/>
  <c r="P2858" i="1"/>
  <c r="O2859" i="1"/>
  <c r="P2859" i="1"/>
  <c r="O2860" i="1"/>
  <c r="P2860" i="1"/>
  <c r="O2861" i="1"/>
  <c r="P2861" i="1"/>
  <c r="O2862" i="1"/>
  <c r="P2862" i="1"/>
  <c r="O2863" i="1"/>
  <c r="P2863" i="1"/>
  <c r="O2864" i="1"/>
  <c r="P2864" i="1"/>
  <c r="O2865" i="1"/>
  <c r="P2865" i="1"/>
  <c r="O2866" i="1"/>
  <c r="P2866" i="1"/>
  <c r="O2867" i="1"/>
  <c r="P2867" i="1"/>
  <c r="O2868" i="1"/>
  <c r="P2868" i="1"/>
  <c r="O2869" i="1"/>
  <c r="P2869" i="1"/>
  <c r="O2870" i="1"/>
  <c r="P2870" i="1"/>
  <c r="O2871" i="1"/>
  <c r="P2871" i="1"/>
  <c r="O2872" i="1"/>
  <c r="P2872" i="1"/>
  <c r="O2873" i="1"/>
  <c r="P2873" i="1"/>
  <c r="O2874" i="1"/>
  <c r="P2874" i="1"/>
  <c r="O2875" i="1"/>
  <c r="P2875" i="1"/>
  <c r="O2876" i="1"/>
  <c r="P2876" i="1"/>
  <c r="O2877" i="1"/>
  <c r="P2877" i="1"/>
  <c r="O2878" i="1"/>
  <c r="P2878" i="1"/>
  <c r="O2879" i="1"/>
  <c r="P2879" i="1"/>
  <c r="O2880" i="1"/>
  <c r="P2880" i="1"/>
  <c r="O2881" i="1"/>
  <c r="P2881" i="1"/>
  <c r="O2882" i="1"/>
  <c r="P2882" i="1"/>
  <c r="O2883" i="1"/>
  <c r="P2883" i="1"/>
  <c r="O2884" i="1"/>
  <c r="P2884" i="1"/>
  <c r="O2885" i="1"/>
  <c r="P2885" i="1"/>
  <c r="O2886" i="1"/>
  <c r="P2886" i="1"/>
  <c r="O2887" i="1"/>
  <c r="P2887" i="1"/>
  <c r="O2888" i="1"/>
  <c r="P2888" i="1"/>
  <c r="O2889" i="1"/>
  <c r="P2889" i="1"/>
  <c r="O2890" i="1"/>
  <c r="P2890" i="1"/>
  <c r="O2891" i="1"/>
  <c r="P2891" i="1"/>
  <c r="O2892" i="1"/>
  <c r="P2892" i="1"/>
  <c r="O2893" i="1"/>
  <c r="P2893" i="1"/>
  <c r="O2894" i="1"/>
  <c r="P2894" i="1"/>
  <c r="O2895" i="1"/>
  <c r="P2895" i="1"/>
  <c r="O2896" i="1"/>
  <c r="P2896" i="1"/>
  <c r="O2897" i="1"/>
  <c r="P2897" i="1"/>
  <c r="O2898" i="1"/>
  <c r="P2898" i="1"/>
  <c r="O2899" i="1"/>
  <c r="P2899" i="1"/>
  <c r="O2900" i="1"/>
  <c r="P2900" i="1"/>
  <c r="O2901" i="1"/>
  <c r="P2901" i="1"/>
  <c r="O2902" i="1"/>
  <c r="P2902" i="1"/>
  <c r="O2903" i="1"/>
  <c r="P2903" i="1"/>
  <c r="O2904" i="1"/>
  <c r="P2904" i="1"/>
  <c r="O2905" i="1"/>
  <c r="P2905" i="1"/>
  <c r="O2906" i="1"/>
  <c r="P2906" i="1"/>
  <c r="O2907" i="1"/>
  <c r="P2907" i="1"/>
  <c r="O2908" i="1"/>
  <c r="P2908" i="1"/>
  <c r="O2909" i="1"/>
  <c r="P2909" i="1"/>
  <c r="O2910" i="1"/>
  <c r="P2910" i="1"/>
  <c r="O2911" i="1"/>
  <c r="P2911" i="1"/>
  <c r="O2912" i="1"/>
  <c r="P2912" i="1"/>
  <c r="O2913" i="1"/>
  <c r="P2913" i="1"/>
  <c r="O2914" i="1"/>
  <c r="P2914" i="1"/>
  <c r="O2915" i="1"/>
  <c r="P2915" i="1"/>
  <c r="O2916" i="1"/>
  <c r="P2916" i="1"/>
  <c r="O2917" i="1"/>
  <c r="P2917" i="1"/>
  <c r="O2918" i="1"/>
  <c r="P2918" i="1"/>
  <c r="O2919" i="1"/>
  <c r="P2919" i="1"/>
  <c r="O2920" i="1"/>
  <c r="P2920" i="1"/>
  <c r="O2921" i="1"/>
  <c r="P2921" i="1"/>
  <c r="O2922" i="1"/>
  <c r="P2922" i="1"/>
  <c r="O2923" i="1"/>
  <c r="P2923" i="1"/>
  <c r="O2924" i="1"/>
  <c r="P2924" i="1"/>
  <c r="O2925" i="1"/>
  <c r="P2925" i="1"/>
  <c r="O2926" i="1"/>
  <c r="P2926" i="1"/>
  <c r="O2927" i="1"/>
  <c r="P2927" i="1"/>
  <c r="O2928" i="1"/>
  <c r="P2928" i="1"/>
  <c r="O2929" i="1"/>
  <c r="P2929" i="1"/>
  <c r="O2930" i="1"/>
  <c r="P2930" i="1"/>
  <c r="O2931" i="1"/>
  <c r="P2931" i="1"/>
  <c r="O2932" i="1"/>
  <c r="P2932" i="1"/>
  <c r="O2933" i="1"/>
  <c r="P2933" i="1"/>
  <c r="O2934" i="1"/>
  <c r="P2934" i="1"/>
  <c r="O2935" i="1"/>
  <c r="P2935" i="1"/>
  <c r="O2936" i="1"/>
  <c r="P2936" i="1"/>
  <c r="O2937" i="1"/>
  <c r="P2937" i="1"/>
  <c r="O2938" i="1"/>
  <c r="P2938" i="1"/>
  <c r="O2939" i="1"/>
  <c r="P2939" i="1"/>
  <c r="O2940" i="1"/>
  <c r="P2940" i="1"/>
  <c r="O2941" i="1"/>
  <c r="P2941" i="1"/>
  <c r="O2942" i="1"/>
  <c r="P2942" i="1"/>
  <c r="O2943" i="1"/>
  <c r="P2943" i="1"/>
  <c r="O2944" i="1"/>
  <c r="P2944" i="1"/>
  <c r="O2945" i="1"/>
  <c r="P2945" i="1"/>
  <c r="O2946" i="1"/>
  <c r="P2946" i="1"/>
  <c r="O2947" i="1"/>
  <c r="P2947" i="1"/>
  <c r="O2948" i="1"/>
  <c r="P2948" i="1"/>
  <c r="O2949" i="1"/>
  <c r="P2949" i="1"/>
  <c r="O2950" i="1"/>
  <c r="P2950" i="1"/>
  <c r="O2951" i="1"/>
  <c r="P2951" i="1"/>
  <c r="O2952" i="1"/>
  <c r="P2952" i="1"/>
  <c r="O2953" i="1"/>
  <c r="P2953" i="1"/>
  <c r="O2954" i="1"/>
  <c r="P2954" i="1"/>
  <c r="O2955" i="1"/>
  <c r="P2955" i="1"/>
  <c r="O2956" i="1"/>
  <c r="P2956" i="1"/>
  <c r="O2957" i="1"/>
  <c r="P2957" i="1"/>
  <c r="O2958" i="1"/>
  <c r="P2958" i="1"/>
  <c r="O2959" i="1"/>
  <c r="P2959" i="1"/>
  <c r="O2960" i="1"/>
  <c r="P2960" i="1"/>
  <c r="O2961" i="1"/>
  <c r="P2961" i="1"/>
  <c r="O2962" i="1"/>
  <c r="P2962" i="1"/>
  <c r="O2963" i="1"/>
  <c r="P2963" i="1"/>
  <c r="O2964" i="1"/>
  <c r="P2964" i="1"/>
  <c r="O2965" i="1"/>
  <c r="P2965" i="1"/>
  <c r="O2966" i="1"/>
  <c r="P2966" i="1"/>
  <c r="O2967" i="1"/>
  <c r="P2967" i="1"/>
  <c r="O2968" i="1"/>
  <c r="P2968" i="1"/>
  <c r="O2969" i="1"/>
  <c r="P2969" i="1"/>
  <c r="O2970" i="1"/>
  <c r="P2970" i="1"/>
  <c r="O2971" i="1"/>
  <c r="P2971" i="1"/>
  <c r="O2972" i="1"/>
  <c r="P2972" i="1"/>
  <c r="O2973" i="1"/>
  <c r="P2973" i="1"/>
  <c r="O2974" i="1"/>
  <c r="P2974" i="1"/>
  <c r="O2975" i="1"/>
  <c r="P2975" i="1"/>
  <c r="O2976" i="1"/>
  <c r="P2976" i="1"/>
  <c r="O2977" i="1"/>
  <c r="P2977" i="1"/>
  <c r="O2978" i="1"/>
  <c r="P2978" i="1"/>
  <c r="O2979" i="1"/>
  <c r="P2979" i="1"/>
  <c r="O2980" i="1"/>
  <c r="P2980" i="1"/>
  <c r="O2981" i="1"/>
  <c r="P2981" i="1"/>
  <c r="O2982" i="1"/>
  <c r="P2982" i="1"/>
  <c r="O2983" i="1"/>
  <c r="P2983" i="1"/>
  <c r="O2984" i="1"/>
  <c r="P2984" i="1"/>
  <c r="O2985" i="1"/>
  <c r="P2985" i="1"/>
  <c r="O2986" i="1"/>
  <c r="P2986" i="1"/>
  <c r="O2987" i="1"/>
  <c r="P2987" i="1"/>
  <c r="O2988" i="1"/>
  <c r="P2988" i="1"/>
  <c r="O2989" i="1"/>
  <c r="P2989" i="1"/>
  <c r="O2990" i="1"/>
  <c r="P2990" i="1"/>
  <c r="O2991" i="1"/>
  <c r="P2991" i="1"/>
  <c r="O2992" i="1"/>
  <c r="P2992" i="1"/>
  <c r="O2993" i="1"/>
  <c r="P2993" i="1"/>
  <c r="O2994" i="1"/>
  <c r="P2994" i="1"/>
  <c r="O2995" i="1"/>
  <c r="P2995" i="1"/>
  <c r="O2996" i="1"/>
  <c r="P2996" i="1"/>
  <c r="O2997" i="1"/>
  <c r="P2997" i="1"/>
  <c r="O2998" i="1"/>
  <c r="P2998" i="1"/>
  <c r="O2999" i="1"/>
  <c r="P2999" i="1"/>
  <c r="O3000" i="1"/>
  <c r="P3000" i="1"/>
  <c r="O3001" i="1"/>
  <c r="P3001" i="1"/>
  <c r="O3002" i="1"/>
  <c r="P3002" i="1"/>
  <c r="O3003" i="1"/>
  <c r="P3003" i="1"/>
  <c r="O3004" i="1"/>
  <c r="P3004" i="1"/>
  <c r="O3005" i="1"/>
  <c r="P3005" i="1"/>
  <c r="O3006" i="1"/>
  <c r="P3006" i="1"/>
  <c r="O3007" i="1"/>
  <c r="P3007" i="1"/>
  <c r="O3008" i="1"/>
  <c r="P3008" i="1"/>
  <c r="O3009" i="1"/>
  <c r="P3009" i="1"/>
  <c r="O3010" i="1"/>
  <c r="P3010" i="1"/>
  <c r="O3011" i="1"/>
  <c r="P3011" i="1"/>
  <c r="O3012" i="1"/>
  <c r="P3012" i="1"/>
  <c r="O3013" i="1"/>
  <c r="P3013" i="1"/>
  <c r="O3014" i="1"/>
  <c r="P3014" i="1"/>
  <c r="O3015" i="1"/>
  <c r="P3015" i="1"/>
  <c r="O3016" i="1"/>
  <c r="P3016" i="1"/>
  <c r="O3017" i="1"/>
  <c r="P3017" i="1"/>
  <c r="O3018" i="1"/>
  <c r="P3018" i="1"/>
  <c r="O3019" i="1"/>
  <c r="P3019" i="1"/>
  <c r="O3020" i="1"/>
  <c r="P3020" i="1"/>
  <c r="O3021" i="1"/>
  <c r="P3021" i="1"/>
  <c r="O3022" i="1"/>
  <c r="P3022" i="1"/>
  <c r="O3023" i="1"/>
  <c r="P3023" i="1"/>
  <c r="O3024" i="1"/>
  <c r="P3024" i="1"/>
  <c r="O3025" i="1"/>
  <c r="P3025" i="1"/>
  <c r="O3026" i="1"/>
  <c r="P3026" i="1"/>
  <c r="O3027" i="1"/>
  <c r="P3027" i="1"/>
  <c r="O3028" i="1"/>
  <c r="P3028" i="1"/>
  <c r="O3029" i="1"/>
  <c r="P3029" i="1"/>
  <c r="O3030" i="1"/>
  <c r="P3030" i="1"/>
  <c r="O3031" i="1"/>
  <c r="P3031" i="1"/>
  <c r="O3032" i="1"/>
  <c r="P3032" i="1"/>
  <c r="O3033" i="1"/>
  <c r="P3033" i="1"/>
  <c r="O3034" i="1"/>
  <c r="P3034" i="1"/>
  <c r="O3035" i="1"/>
  <c r="P3035" i="1"/>
  <c r="O3036" i="1"/>
  <c r="P3036" i="1"/>
  <c r="O3037" i="1"/>
  <c r="P3037" i="1"/>
  <c r="O3038" i="1"/>
  <c r="P3038" i="1"/>
  <c r="O3039" i="1"/>
  <c r="P3039" i="1"/>
  <c r="O3040" i="1"/>
  <c r="P3040" i="1"/>
  <c r="O3041" i="1"/>
  <c r="P3041" i="1"/>
  <c r="O3042" i="1"/>
  <c r="P3042" i="1"/>
  <c r="O3043" i="1"/>
  <c r="P3043" i="1"/>
  <c r="O3044" i="1"/>
  <c r="P3044" i="1"/>
  <c r="O3045" i="1"/>
  <c r="P3045" i="1"/>
  <c r="O3046" i="1"/>
  <c r="P3046" i="1"/>
  <c r="O3047" i="1"/>
  <c r="P3047" i="1"/>
  <c r="O3048" i="1"/>
  <c r="P3048" i="1"/>
  <c r="O3049" i="1"/>
  <c r="P3049" i="1"/>
  <c r="O3050" i="1"/>
  <c r="P3050" i="1"/>
  <c r="O3051" i="1"/>
  <c r="P3051" i="1"/>
  <c r="O3052" i="1"/>
  <c r="P3052" i="1"/>
  <c r="O3053" i="1"/>
  <c r="P3053" i="1"/>
  <c r="O3054" i="1"/>
  <c r="P3054" i="1"/>
  <c r="O3055" i="1"/>
  <c r="P3055" i="1"/>
  <c r="O3056" i="1"/>
  <c r="P3056" i="1"/>
  <c r="O3057" i="1"/>
  <c r="P3057" i="1"/>
  <c r="O3058" i="1"/>
  <c r="P3058" i="1"/>
  <c r="O3059" i="1"/>
  <c r="P3059" i="1"/>
  <c r="O3060" i="1"/>
  <c r="P3060" i="1"/>
  <c r="O3061" i="1"/>
  <c r="P3061" i="1"/>
  <c r="O3062" i="1"/>
  <c r="P3062" i="1"/>
  <c r="O3063" i="1"/>
  <c r="P3063" i="1"/>
  <c r="O3064" i="1"/>
  <c r="P3064" i="1"/>
  <c r="O3065" i="1"/>
  <c r="P3065" i="1"/>
  <c r="O3066" i="1"/>
  <c r="P3066" i="1"/>
  <c r="O3067" i="1"/>
  <c r="P3067" i="1"/>
  <c r="O3068" i="1"/>
  <c r="P3068" i="1"/>
  <c r="O3069" i="1"/>
  <c r="P3069" i="1"/>
  <c r="O3070" i="1"/>
  <c r="P3070" i="1"/>
  <c r="O3071" i="1"/>
  <c r="P3071" i="1"/>
  <c r="O3072" i="1"/>
  <c r="P3072" i="1"/>
  <c r="O3073" i="1"/>
  <c r="P3073" i="1"/>
  <c r="O3074" i="1"/>
  <c r="P3074" i="1"/>
  <c r="O3075" i="1"/>
  <c r="P3075" i="1"/>
  <c r="O3076" i="1"/>
  <c r="P3076" i="1"/>
  <c r="O3077" i="1"/>
  <c r="P3077" i="1"/>
  <c r="O3078" i="1"/>
  <c r="P3078" i="1"/>
  <c r="O3079" i="1"/>
  <c r="P3079" i="1"/>
  <c r="O3080" i="1"/>
  <c r="P3080" i="1"/>
  <c r="O3081" i="1"/>
  <c r="P3081" i="1"/>
  <c r="O3082" i="1"/>
  <c r="P3082" i="1"/>
  <c r="O3083" i="1"/>
  <c r="P3083" i="1"/>
  <c r="O3084" i="1"/>
  <c r="P3084" i="1"/>
  <c r="O3085" i="1"/>
  <c r="P3085" i="1"/>
  <c r="O3086" i="1"/>
  <c r="P3086" i="1"/>
  <c r="O3087" i="1"/>
  <c r="P3087" i="1"/>
  <c r="O3088" i="1"/>
  <c r="P3088" i="1"/>
  <c r="O3089" i="1"/>
  <c r="P3089" i="1"/>
  <c r="O3090" i="1"/>
  <c r="P3090" i="1"/>
  <c r="O3091" i="1"/>
  <c r="P3091" i="1"/>
  <c r="O3092" i="1"/>
  <c r="P3092" i="1"/>
  <c r="O3093" i="1"/>
  <c r="P3093" i="1"/>
  <c r="O3094" i="1"/>
  <c r="P3094" i="1"/>
  <c r="O3095" i="1"/>
  <c r="P3095" i="1"/>
  <c r="O3096" i="1"/>
  <c r="P3096" i="1"/>
  <c r="O3097" i="1"/>
  <c r="P3097" i="1"/>
  <c r="O3098" i="1"/>
  <c r="P3098" i="1"/>
  <c r="O3099" i="1"/>
  <c r="P3099" i="1"/>
  <c r="O3100" i="1"/>
  <c r="P3100" i="1"/>
  <c r="O3101" i="1"/>
  <c r="P3101" i="1"/>
  <c r="O3102" i="1"/>
  <c r="P3102" i="1"/>
  <c r="O3103" i="1"/>
  <c r="P3103" i="1"/>
  <c r="O3104" i="1"/>
  <c r="P3104" i="1"/>
  <c r="O3105" i="1"/>
  <c r="P3105" i="1"/>
  <c r="O3106" i="1"/>
  <c r="P3106" i="1"/>
  <c r="O3107" i="1"/>
  <c r="P3107" i="1"/>
  <c r="O3108" i="1"/>
  <c r="P3108" i="1"/>
  <c r="O3109" i="1"/>
  <c r="P3109" i="1"/>
  <c r="O3110" i="1"/>
  <c r="P3110" i="1"/>
  <c r="O3111" i="1"/>
  <c r="P3111" i="1"/>
  <c r="O3112" i="1"/>
  <c r="P3112" i="1"/>
  <c r="O3113" i="1"/>
  <c r="P3113" i="1"/>
  <c r="O3114" i="1"/>
  <c r="P3114" i="1"/>
  <c r="O3115" i="1"/>
  <c r="P3115" i="1"/>
  <c r="O3116" i="1"/>
  <c r="P3116" i="1"/>
  <c r="O3117" i="1"/>
  <c r="P3117" i="1"/>
  <c r="O3118" i="1"/>
  <c r="P3118" i="1"/>
  <c r="O3119" i="1"/>
  <c r="P3119" i="1"/>
  <c r="O3120" i="1"/>
  <c r="P3120" i="1"/>
  <c r="O3121" i="1"/>
  <c r="P3121" i="1"/>
  <c r="O3122" i="1"/>
  <c r="P3122" i="1"/>
  <c r="O3123" i="1"/>
  <c r="P3123" i="1"/>
  <c r="O3124" i="1"/>
  <c r="P3124" i="1"/>
  <c r="O3125" i="1"/>
  <c r="P3125" i="1"/>
  <c r="O3126" i="1"/>
  <c r="P3126" i="1"/>
  <c r="O3127" i="1"/>
  <c r="P3127" i="1"/>
  <c r="O3128" i="1"/>
  <c r="P3128" i="1"/>
  <c r="O3129" i="1"/>
  <c r="P3129" i="1"/>
  <c r="O3130" i="1"/>
  <c r="P3130" i="1"/>
  <c r="O3131" i="1"/>
  <c r="P3131" i="1"/>
  <c r="O3132" i="1"/>
  <c r="P3132" i="1"/>
  <c r="O3133" i="1"/>
  <c r="P3133" i="1"/>
  <c r="O3134" i="1"/>
  <c r="P3134" i="1"/>
  <c r="O3135" i="1"/>
  <c r="P3135" i="1"/>
  <c r="O3136" i="1"/>
  <c r="P3136" i="1"/>
  <c r="O3137" i="1"/>
  <c r="P3137" i="1"/>
  <c r="O3138" i="1"/>
  <c r="P3138" i="1"/>
  <c r="O3139" i="1"/>
  <c r="P3139" i="1"/>
  <c r="O3140" i="1"/>
  <c r="P3140" i="1"/>
  <c r="O3141" i="1"/>
  <c r="P3141" i="1"/>
  <c r="O3142" i="1"/>
  <c r="P3142" i="1"/>
  <c r="O3143" i="1"/>
  <c r="P3143" i="1"/>
  <c r="O3144" i="1"/>
  <c r="P3144" i="1"/>
  <c r="O3145" i="1"/>
  <c r="P3145" i="1"/>
  <c r="O3146" i="1"/>
  <c r="P3146" i="1"/>
  <c r="O3147" i="1"/>
  <c r="P3147" i="1"/>
  <c r="O3148" i="1"/>
  <c r="P3148" i="1"/>
  <c r="O3149" i="1"/>
  <c r="P3149" i="1"/>
  <c r="O3150" i="1"/>
  <c r="P3150" i="1"/>
  <c r="O3151" i="1"/>
  <c r="P3151" i="1"/>
  <c r="O3152" i="1"/>
  <c r="P3152" i="1"/>
  <c r="O3153" i="1"/>
  <c r="P3153" i="1"/>
  <c r="O3154" i="1"/>
  <c r="P3154" i="1"/>
  <c r="O3155" i="1"/>
  <c r="P3155" i="1"/>
  <c r="O3156" i="1"/>
  <c r="P3156" i="1"/>
  <c r="O3157" i="1"/>
  <c r="P3157" i="1"/>
  <c r="P2" i="1"/>
  <c r="O2" i="1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M413" i="1"/>
  <c r="N413" i="1"/>
  <c r="M414" i="1"/>
  <c r="N414" i="1"/>
  <c r="M415" i="1"/>
  <c r="N415" i="1"/>
  <c r="M416" i="1"/>
  <c r="N416" i="1"/>
  <c r="M417" i="1"/>
  <c r="N417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M427" i="1"/>
  <c r="N427" i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M461" i="1"/>
  <c r="N461" i="1"/>
  <c r="M462" i="1"/>
  <c r="N462" i="1"/>
  <c r="M463" i="1"/>
  <c r="N463" i="1"/>
  <c r="M464" i="1"/>
  <c r="N464" i="1"/>
  <c r="M465" i="1"/>
  <c r="N465" i="1"/>
  <c r="M466" i="1"/>
  <c r="N466" i="1"/>
  <c r="M467" i="1"/>
  <c r="N467" i="1"/>
  <c r="M468" i="1"/>
  <c r="N468" i="1"/>
  <c r="M469" i="1"/>
  <c r="N469" i="1"/>
  <c r="M470" i="1"/>
  <c r="N470" i="1"/>
  <c r="M471" i="1"/>
  <c r="N471" i="1"/>
  <c r="M472" i="1"/>
  <c r="N472" i="1"/>
  <c r="M473" i="1"/>
  <c r="N473" i="1"/>
  <c r="M474" i="1"/>
  <c r="N474" i="1"/>
  <c r="M475" i="1"/>
  <c r="N475" i="1"/>
  <c r="M476" i="1"/>
  <c r="N476" i="1"/>
  <c r="M477" i="1"/>
  <c r="N477" i="1"/>
  <c r="M478" i="1"/>
  <c r="N478" i="1"/>
  <c r="M479" i="1"/>
  <c r="N479" i="1"/>
  <c r="M480" i="1"/>
  <c r="N480" i="1"/>
  <c r="M481" i="1"/>
  <c r="N481" i="1"/>
  <c r="M482" i="1"/>
  <c r="N482" i="1"/>
  <c r="M483" i="1"/>
  <c r="N483" i="1"/>
  <c r="M484" i="1"/>
  <c r="N484" i="1"/>
  <c r="M485" i="1"/>
  <c r="N485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M494" i="1"/>
  <c r="N494" i="1"/>
  <c r="M495" i="1"/>
  <c r="N495" i="1"/>
  <c r="M496" i="1"/>
  <c r="N496" i="1"/>
  <c r="M497" i="1"/>
  <c r="N497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/>
  <c r="M508" i="1"/>
  <c r="N508" i="1"/>
  <c r="M509" i="1"/>
  <c r="N509" i="1"/>
  <c r="M510" i="1"/>
  <c r="N510" i="1"/>
  <c r="M511" i="1"/>
  <c r="N511" i="1"/>
  <c r="M512" i="1"/>
  <c r="N512" i="1"/>
  <c r="M513" i="1"/>
  <c r="N513" i="1"/>
  <c r="M514" i="1"/>
  <c r="N514" i="1"/>
  <c r="M515" i="1"/>
  <c r="N515" i="1"/>
  <c r="M516" i="1"/>
  <c r="N516" i="1"/>
  <c r="M517" i="1"/>
  <c r="N517" i="1"/>
  <c r="M518" i="1"/>
  <c r="N518" i="1"/>
  <c r="M519" i="1"/>
  <c r="N519" i="1"/>
  <c r="M520" i="1"/>
  <c r="N520" i="1"/>
  <c r="M521" i="1"/>
  <c r="N521" i="1"/>
  <c r="M522" i="1"/>
  <c r="N522" i="1"/>
  <c r="M523" i="1"/>
  <c r="N523" i="1"/>
  <c r="M524" i="1"/>
  <c r="N524" i="1"/>
  <c r="M525" i="1"/>
  <c r="N525" i="1"/>
  <c r="M526" i="1"/>
  <c r="N526" i="1"/>
  <c r="M527" i="1"/>
  <c r="N527" i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M539" i="1"/>
  <c r="N539" i="1"/>
  <c r="M540" i="1"/>
  <c r="N540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M549" i="1"/>
  <c r="N549" i="1"/>
  <c r="M550" i="1"/>
  <c r="N550" i="1"/>
  <c r="M551" i="1"/>
  <c r="N551" i="1"/>
  <c r="M552" i="1"/>
  <c r="N552" i="1"/>
  <c r="M553" i="1"/>
  <c r="N553" i="1"/>
  <c r="M554" i="1"/>
  <c r="N554" i="1"/>
  <c r="M555" i="1"/>
  <c r="N555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M564" i="1"/>
  <c r="N564" i="1"/>
  <c r="M565" i="1"/>
  <c r="N565" i="1"/>
  <c r="M566" i="1"/>
  <c r="N566" i="1"/>
  <c r="M567" i="1"/>
  <c r="N567" i="1"/>
  <c r="M568" i="1"/>
  <c r="N568" i="1"/>
  <c r="M569" i="1"/>
  <c r="N569" i="1"/>
  <c r="M570" i="1"/>
  <c r="N570" i="1"/>
  <c r="M571" i="1"/>
  <c r="N571" i="1"/>
  <c r="M572" i="1"/>
  <c r="N572" i="1"/>
  <c r="M573" i="1"/>
  <c r="N573" i="1"/>
  <c r="M574" i="1"/>
  <c r="N574" i="1"/>
  <c r="M575" i="1"/>
  <c r="N575" i="1"/>
  <c r="M576" i="1"/>
  <c r="N576" i="1"/>
  <c r="M577" i="1"/>
  <c r="N577" i="1"/>
  <c r="M578" i="1"/>
  <c r="N578" i="1"/>
  <c r="M579" i="1"/>
  <c r="N579" i="1"/>
  <c r="M580" i="1"/>
  <c r="N580" i="1"/>
  <c r="M581" i="1"/>
  <c r="N581" i="1"/>
  <c r="M582" i="1"/>
  <c r="N582" i="1"/>
  <c r="M583" i="1"/>
  <c r="N583" i="1"/>
  <c r="M584" i="1"/>
  <c r="N584" i="1"/>
  <c r="M585" i="1"/>
  <c r="N585" i="1"/>
  <c r="M586" i="1"/>
  <c r="N586" i="1"/>
  <c r="M587" i="1"/>
  <c r="N587" i="1"/>
  <c r="M588" i="1"/>
  <c r="N588" i="1"/>
  <c r="M589" i="1"/>
  <c r="N589" i="1"/>
  <c r="M590" i="1"/>
  <c r="N590" i="1"/>
  <c r="M591" i="1"/>
  <c r="N591" i="1"/>
  <c r="M592" i="1"/>
  <c r="N592" i="1"/>
  <c r="M593" i="1"/>
  <c r="N593" i="1"/>
  <c r="M594" i="1"/>
  <c r="N594" i="1"/>
  <c r="M595" i="1"/>
  <c r="N595" i="1"/>
  <c r="M596" i="1"/>
  <c r="N596" i="1"/>
  <c r="M597" i="1"/>
  <c r="N597" i="1"/>
  <c r="M598" i="1"/>
  <c r="N598" i="1"/>
  <c r="M599" i="1"/>
  <c r="N599" i="1"/>
  <c r="M600" i="1"/>
  <c r="N600" i="1"/>
  <c r="M601" i="1"/>
  <c r="N601" i="1"/>
  <c r="M602" i="1"/>
  <c r="N602" i="1"/>
  <c r="M603" i="1"/>
  <c r="N603" i="1"/>
  <c r="M604" i="1"/>
  <c r="N604" i="1"/>
  <c r="M605" i="1"/>
  <c r="N605" i="1"/>
  <c r="M606" i="1"/>
  <c r="N606" i="1"/>
  <c r="M607" i="1"/>
  <c r="N607" i="1"/>
  <c r="M608" i="1"/>
  <c r="N608" i="1"/>
  <c r="M609" i="1"/>
  <c r="N609" i="1"/>
  <c r="M610" i="1"/>
  <c r="N610" i="1"/>
  <c r="M611" i="1"/>
  <c r="N611" i="1"/>
  <c r="M612" i="1"/>
  <c r="N612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M621" i="1"/>
  <c r="N621" i="1"/>
  <c r="M622" i="1"/>
  <c r="N622" i="1"/>
  <c r="M623" i="1"/>
  <c r="N623" i="1"/>
  <c r="M624" i="1"/>
  <c r="N624" i="1"/>
  <c r="M625" i="1"/>
  <c r="N625" i="1"/>
  <c r="M626" i="1"/>
  <c r="N626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M634" i="1"/>
  <c r="N634" i="1"/>
  <c r="M635" i="1"/>
  <c r="N635" i="1"/>
  <c r="M636" i="1"/>
  <c r="N636" i="1"/>
  <c r="M637" i="1"/>
  <c r="N637" i="1"/>
  <c r="M638" i="1"/>
  <c r="N638" i="1"/>
  <c r="M639" i="1"/>
  <c r="N639" i="1"/>
  <c r="M640" i="1"/>
  <c r="N640" i="1"/>
  <c r="M641" i="1"/>
  <c r="N641" i="1"/>
  <c r="M642" i="1"/>
  <c r="N642" i="1"/>
  <c r="M643" i="1"/>
  <c r="N643" i="1"/>
  <c r="M644" i="1"/>
  <c r="N644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M651" i="1"/>
  <c r="N651" i="1"/>
  <c r="M652" i="1"/>
  <c r="N652" i="1"/>
  <c r="M653" i="1"/>
  <c r="N653" i="1"/>
  <c r="M654" i="1"/>
  <c r="N654" i="1"/>
  <c r="M655" i="1"/>
  <c r="N655" i="1"/>
  <c r="M656" i="1"/>
  <c r="N656" i="1"/>
  <c r="M657" i="1"/>
  <c r="N657" i="1"/>
  <c r="M658" i="1"/>
  <c r="N658" i="1"/>
  <c r="M659" i="1"/>
  <c r="N659" i="1"/>
  <c r="M660" i="1"/>
  <c r="N660" i="1"/>
  <c r="M661" i="1"/>
  <c r="N661" i="1"/>
  <c r="M662" i="1"/>
  <c r="N662" i="1"/>
  <c r="M663" i="1"/>
  <c r="N663" i="1"/>
  <c r="M664" i="1"/>
  <c r="N664" i="1"/>
  <c r="M665" i="1"/>
  <c r="N665" i="1"/>
  <c r="M666" i="1"/>
  <c r="N666" i="1"/>
  <c r="M667" i="1"/>
  <c r="N667" i="1"/>
  <c r="M668" i="1"/>
  <c r="N668" i="1"/>
  <c r="M669" i="1"/>
  <c r="N669" i="1"/>
  <c r="M670" i="1"/>
  <c r="N670" i="1"/>
  <c r="M671" i="1"/>
  <c r="N671" i="1"/>
  <c r="M672" i="1"/>
  <c r="N672" i="1"/>
  <c r="M673" i="1"/>
  <c r="N673" i="1"/>
  <c r="M674" i="1"/>
  <c r="N674" i="1"/>
  <c r="M675" i="1"/>
  <c r="N675" i="1"/>
  <c r="M676" i="1"/>
  <c r="N676" i="1"/>
  <c r="M677" i="1"/>
  <c r="N677" i="1"/>
  <c r="M678" i="1"/>
  <c r="N678" i="1"/>
  <c r="M679" i="1"/>
  <c r="N679" i="1"/>
  <c r="M680" i="1"/>
  <c r="N680" i="1"/>
  <c r="M681" i="1"/>
  <c r="N681" i="1"/>
  <c r="M682" i="1"/>
  <c r="N682" i="1"/>
  <c r="M683" i="1"/>
  <c r="N683" i="1"/>
  <c r="M684" i="1"/>
  <c r="N684" i="1"/>
  <c r="M685" i="1"/>
  <c r="N685" i="1"/>
  <c r="M686" i="1"/>
  <c r="N686" i="1"/>
  <c r="M687" i="1"/>
  <c r="N687" i="1"/>
  <c r="M688" i="1"/>
  <c r="N688" i="1"/>
  <c r="M689" i="1"/>
  <c r="N689" i="1"/>
  <c r="M690" i="1"/>
  <c r="N690" i="1"/>
  <c r="M691" i="1"/>
  <c r="N691" i="1"/>
  <c r="M692" i="1"/>
  <c r="N692" i="1"/>
  <c r="M693" i="1"/>
  <c r="N693" i="1"/>
  <c r="M694" i="1"/>
  <c r="N694" i="1"/>
  <c r="M695" i="1"/>
  <c r="N695" i="1"/>
  <c r="M696" i="1"/>
  <c r="N696" i="1"/>
  <c r="M697" i="1"/>
  <c r="N697" i="1"/>
  <c r="M698" i="1"/>
  <c r="N698" i="1"/>
  <c r="M699" i="1"/>
  <c r="N699" i="1"/>
  <c r="M700" i="1"/>
  <c r="N700" i="1"/>
  <c r="M701" i="1"/>
  <c r="N701" i="1"/>
  <c r="M702" i="1"/>
  <c r="N702" i="1"/>
  <c r="M703" i="1"/>
  <c r="N703" i="1"/>
  <c r="M704" i="1"/>
  <c r="N704" i="1"/>
  <c r="M705" i="1"/>
  <c r="N705" i="1"/>
  <c r="M706" i="1"/>
  <c r="N706" i="1"/>
  <c r="M707" i="1"/>
  <c r="N707" i="1"/>
  <c r="M708" i="1"/>
  <c r="N708" i="1"/>
  <c r="M709" i="1"/>
  <c r="N709" i="1"/>
  <c r="M710" i="1"/>
  <c r="N710" i="1"/>
  <c r="M711" i="1"/>
  <c r="N711" i="1"/>
  <c r="M712" i="1"/>
  <c r="N712" i="1"/>
  <c r="M713" i="1"/>
  <c r="N713" i="1"/>
  <c r="M714" i="1"/>
  <c r="N714" i="1"/>
  <c r="M715" i="1"/>
  <c r="N715" i="1"/>
  <c r="M716" i="1"/>
  <c r="N716" i="1"/>
  <c r="M717" i="1"/>
  <c r="N717" i="1"/>
  <c r="M718" i="1"/>
  <c r="N718" i="1"/>
  <c r="M719" i="1"/>
  <c r="N719" i="1"/>
  <c r="M720" i="1"/>
  <c r="N720" i="1"/>
  <c r="M721" i="1"/>
  <c r="N721" i="1"/>
  <c r="M722" i="1"/>
  <c r="N722" i="1"/>
  <c r="M723" i="1"/>
  <c r="N723" i="1"/>
  <c r="M724" i="1"/>
  <c r="N724" i="1"/>
  <c r="M725" i="1"/>
  <c r="N725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M732" i="1"/>
  <c r="N732" i="1"/>
  <c r="M733" i="1"/>
  <c r="N733" i="1"/>
  <c r="M734" i="1"/>
  <c r="N734" i="1"/>
  <c r="M735" i="1"/>
  <c r="N735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M742" i="1"/>
  <c r="N742" i="1"/>
  <c r="M743" i="1"/>
  <c r="N743" i="1"/>
  <c r="M744" i="1"/>
  <c r="N744" i="1"/>
  <c r="M745" i="1"/>
  <c r="N745" i="1"/>
  <c r="M746" i="1"/>
  <c r="N746" i="1"/>
  <c r="M747" i="1"/>
  <c r="N747" i="1"/>
  <c r="M748" i="1"/>
  <c r="N748" i="1"/>
  <c r="M749" i="1"/>
  <c r="N749" i="1"/>
  <c r="M750" i="1"/>
  <c r="N750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M793" i="1"/>
  <c r="N793" i="1"/>
  <c r="M794" i="1"/>
  <c r="N794" i="1"/>
  <c r="M795" i="1"/>
  <c r="N795" i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N804" i="1"/>
  <c r="M805" i="1"/>
  <c r="N805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3" i="1"/>
  <c r="N833" i="1"/>
  <c r="M834" i="1"/>
  <c r="N834" i="1"/>
  <c r="M835" i="1"/>
  <c r="N835" i="1"/>
  <c r="M836" i="1"/>
  <c r="N836" i="1"/>
  <c r="M837" i="1"/>
  <c r="N837" i="1"/>
  <c r="M838" i="1"/>
  <c r="N838" i="1"/>
  <c r="M839" i="1"/>
  <c r="N839" i="1"/>
  <c r="M840" i="1"/>
  <c r="N840" i="1"/>
  <c r="M841" i="1"/>
  <c r="N841" i="1"/>
  <c r="M842" i="1"/>
  <c r="N842" i="1"/>
  <c r="M843" i="1"/>
  <c r="N843" i="1"/>
  <c r="M844" i="1"/>
  <c r="N844" i="1"/>
  <c r="M845" i="1"/>
  <c r="N845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M852" i="1"/>
  <c r="N852" i="1"/>
  <c r="M853" i="1"/>
  <c r="N853" i="1"/>
  <c r="M854" i="1"/>
  <c r="N854" i="1"/>
  <c r="M855" i="1"/>
  <c r="N855" i="1"/>
  <c r="M856" i="1"/>
  <c r="N856" i="1"/>
  <c r="M857" i="1"/>
  <c r="N857" i="1"/>
  <c r="M858" i="1"/>
  <c r="N858" i="1"/>
  <c r="M859" i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M895" i="1"/>
  <c r="N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M937" i="1"/>
  <c r="N937" i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M965" i="1"/>
  <c r="N965" i="1"/>
  <c r="M966" i="1"/>
  <c r="N966" i="1"/>
  <c r="M967" i="1"/>
  <c r="N967" i="1"/>
  <c r="M968" i="1"/>
  <c r="N968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M999" i="1"/>
  <c r="N999" i="1"/>
  <c r="M1000" i="1"/>
  <c r="N1000" i="1"/>
  <c r="M1001" i="1"/>
  <c r="N1001" i="1"/>
  <c r="M1002" i="1"/>
  <c r="N1002" i="1"/>
  <c r="M1003" i="1"/>
  <c r="N1003" i="1"/>
  <c r="M1004" i="1"/>
  <c r="N1004" i="1"/>
  <c r="M1005" i="1"/>
  <c r="N1005" i="1"/>
  <c r="M1006" i="1"/>
  <c r="N1006" i="1"/>
  <c r="M1007" i="1"/>
  <c r="N1007" i="1"/>
  <c r="M1008" i="1"/>
  <c r="N1008" i="1"/>
  <c r="M1009" i="1"/>
  <c r="N1009" i="1"/>
  <c r="M1010" i="1"/>
  <c r="N1010" i="1"/>
  <c r="M1011" i="1"/>
  <c r="N1011" i="1"/>
  <c r="M1012" i="1"/>
  <c r="N1012" i="1"/>
  <c r="M1013" i="1"/>
  <c r="N1013" i="1"/>
  <c r="M1014" i="1"/>
  <c r="N1014" i="1"/>
  <c r="M1015" i="1"/>
  <c r="N1015" i="1"/>
  <c r="M1016" i="1"/>
  <c r="N1016" i="1"/>
  <c r="M1017" i="1"/>
  <c r="N1017" i="1"/>
  <c r="M1018" i="1"/>
  <c r="N1018" i="1"/>
  <c r="M1019" i="1"/>
  <c r="N1019" i="1"/>
  <c r="M1020" i="1"/>
  <c r="N1020" i="1"/>
  <c r="M1021" i="1"/>
  <c r="N1021" i="1"/>
  <c r="M1022" i="1"/>
  <c r="N1022" i="1"/>
  <c r="M1023" i="1"/>
  <c r="N1023" i="1"/>
  <c r="M1024" i="1"/>
  <c r="N1024" i="1"/>
  <c r="M1025" i="1"/>
  <c r="N1025" i="1"/>
  <c r="M1026" i="1"/>
  <c r="N1026" i="1"/>
  <c r="M1027" i="1"/>
  <c r="N1027" i="1"/>
  <c r="M1028" i="1"/>
  <c r="N1028" i="1"/>
  <c r="M1029" i="1"/>
  <c r="N1029" i="1"/>
  <c r="M1030" i="1"/>
  <c r="N1030" i="1"/>
  <c r="M1031" i="1"/>
  <c r="N1031" i="1"/>
  <c r="M1032" i="1"/>
  <c r="N1032" i="1"/>
  <c r="M1033" i="1"/>
  <c r="N1033" i="1"/>
  <c r="M1034" i="1"/>
  <c r="N1034" i="1"/>
  <c r="M1035" i="1"/>
  <c r="N1035" i="1"/>
  <c r="M1036" i="1"/>
  <c r="N1036" i="1"/>
  <c r="M1037" i="1"/>
  <c r="N1037" i="1"/>
  <c r="M1038" i="1"/>
  <c r="N1038" i="1"/>
  <c r="M1039" i="1"/>
  <c r="N1039" i="1"/>
  <c r="M1040" i="1"/>
  <c r="N1040" i="1"/>
  <c r="M1041" i="1"/>
  <c r="N1041" i="1"/>
  <c r="M1042" i="1"/>
  <c r="N1042" i="1"/>
  <c r="M1043" i="1"/>
  <c r="N1043" i="1"/>
  <c r="M1044" i="1"/>
  <c r="N1044" i="1"/>
  <c r="M1045" i="1"/>
  <c r="N1045" i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M1053" i="1"/>
  <c r="N1053" i="1"/>
  <c r="M1054" i="1"/>
  <c r="N1054" i="1"/>
  <c r="M1055" i="1"/>
  <c r="N1055" i="1"/>
  <c r="M1056" i="1"/>
  <c r="N1056" i="1"/>
  <c r="M1057" i="1"/>
  <c r="N1057" i="1"/>
  <c r="M1058" i="1"/>
  <c r="N1058" i="1"/>
  <c r="M1059" i="1"/>
  <c r="N1059" i="1"/>
  <c r="M1060" i="1"/>
  <c r="N1060" i="1"/>
  <c r="M1061" i="1"/>
  <c r="N1061" i="1"/>
  <c r="M1062" i="1"/>
  <c r="N1062" i="1"/>
  <c r="M1063" i="1"/>
  <c r="N1063" i="1"/>
  <c r="M1064" i="1"/>
  <c r="N1064" i="1"/>
  <c r="M1065" i="1"/>
  <c r="N1065" i="1"/>
  <c r="M1066" i="1"/>
  <c r="N1066" i="1"/>
  <c r="M1067" i="1"/>
  <c r="N1067" i="1"/>
  <c r="M1068" i="1"/>
  <c r="N1068" i="1"/>
  <c r="M1069" i="1"/>
  <c r="N1069" i="1"/>
  <c r="M1070" i="1"/>
  <c r="N1070" i="1"/>
  <c r="M1071" i="1"/>
  <c r="N1071" i="1"/>
  <c r="M1072" i="1"/>
  <c r="N1072" i="1"/>
  <c r="M1073" i="1"/>
  <c r="N1073" i="1"/>
  <c r="M1074" i="1"/>
  <c r="N1074" i="1"/>
  <c r="M1075" i="1"/>
  <c r="N1075" i="1"/>
  <c r="M1076" i="1"/>
  <c r="N1076" i="1"/>
  <c r="M1077" i="1"/>
  <c r="N1077" i="1"/>
  <c r="M1078" i="1"/>
  <c r="N1078" i="1"/>
  <c r="M1079" i="1"/>
  <c r="N1079" i="1"/>
  <c r="M1080" i="1"/>
  <c r="N1080" i="1"/>
  <c r="M1081" i="1"/>
  <c r="N1081" i="1"/>
  <c r="M1082" i="1"/>
  <c r="N1082" i="1"/>
  <c r="M1083" i="1"/>
  <c r="N1083" i="1"/>
  <c r="M1084" i="1"/>
  <c r="N1084" i="1"/>
  <c r="M1085" i="1"/>
  <c r="N1085" i="1"/>
  <c r="M1086" i="1"/>
  <c r="N1086" i="1"/>
  <c r="M1087" i="1"/>
  <c r="N1087" i="1"/>
  <c r="M1088" i="1"/>
  <c r="N1088" i="1"/>
  <c r="M1089" i="1"/>
  <c r="N1089" i="1"/>
  <c r="M1090" i="1"/>
  <c r="N1090" i="1"/>
  <c r="M1091" i="1"/>
  <c r="N1091" i="1"/>
  <c r="M1092" i="1"/>
  <c r="N1092" i="1"/>
  <c r="M1093" i="1"/>
  <c r="N1093" i="1"/>
  <c r="M1094" i="1"/>
  <c r="N1094" i="1"/>
  <c r="M1095" i="1"/>
  <c r="N1095" i="1"/>
  <c r="M1096" i="1"/>
  <c r="N1096" i="1"/>
  <c r="M1097" i="1"/>
  <c r="N1097" i="1"/>
  <c r="M1098" i="1"/>
  <c r="N1098" i="1"/>
  <c r="M1099" i="1"/>
  <c r="N1099" i="1"/>
  <c r="M1100" i="1"/>
  <c r="N1100" i="1"/>
  <c r="M1101" i="1"/>
  <c r="N1101" i="1"/>
  <c r="M1102" i="1"/>
  <c r="N1102" i="1"/>
  <c r="M1103" i="1"/>
  <c r="N1103" i="1"/>
  <c r="M1104" i="1"/>
  <c r="N1104" i="1"/>
  <c r="M1105" i="1"/>
  <c r="N1105" i="1"/>
  <c r="M1106" i="1"/>
  <c r="N1106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4" i="1"/>
  <c r="N1114" i="1"/>
  <c r="M1115" i="1"/>
  <c r="N1115" i="1"/>
  <c r="M1116" i="1"/>
  <c r="N1116" i="1"/>
  <c r="M1117" i="1"/>
  <c r="N1117" i="1"/>
  <c r="M1118" i="1"/>
  <c r="N1118" i="1"/>
  <c r="M1119" i="1"/>
  <c r="N1119" i="1"/>
  <c r="M1120" i="1"/>
  <c r="N1120" i="1"/>
  <c r="M1121" i="1"/>
  <c r="N1121" i="1"/>
  <c r="M1122" i="1"/>
  <c r="N1122" i="1"/>
  <c r="M1123" i="1"/>
  <c r="N1123" i="1"/>
  <c r="M1124" i="1"/>
  <c r="N1124" i="1"/>
  <c r="M1125" i="1"/>
  <c r="N1125" i="1"/>
  <c r="M1126" i="1"/>
  <c r="N1126" i="1"/>
  <c r="M1127" i="1"/>
  <c r="N1127" i="1"/>
  <c r="M1128" i="1"/>
  <c r="N1128" i="1"/>
  <c r="M1129" i="1"/>
  <c r="N1129" i="1"/>
  <c r="M1130" i="1"/>
  <c r="N1130" i="1"/>
  <c r="M1131" i="1"/>
  <c r="N1131" i="1"/>
  <c r="M1132" i="1"/>
  <c r="N1132" i="1"/>
  <c r="M1133" i="1"/>
  <c r="N1133" i="1"/>
  <c r="M1134" i="1"/>
  <c r="N1134" i="1"/>
  <c r="M1135" i="1"/>
  <c r="N1135" i="1"/>
  <c r="M1136" i="1"/>
  <c r="N1136" i="1"/>
  <c r="M1137" i="1"/>
  <c r="N1137" i="1"/>
  <c r="M1138" i="1"/>
  <c r="N1138" i="1"/>
  <c r="M1139" i="1"/>
  <c r="N1139" i="1"/>
  <c r="M1140" i="1"/>
  <c r="N1140" i="1"/>
  <c r="M1141" i="1"/>
  <c r="N1141" i="1"/>
  <c r="M1142" i="1"/>
  <c r="N1142" i="1"/>
  <c r="M1143" i="1"/>
  <c r="N1143" i="1"/>
  <c r="M1144" i="1"/>
  <c r="N1144" i="1"/>
  <c r="M1145" i="1"/>
  <c r="N1145" i="1"/>
  <c r="M1146" i="1"/>
  <c r="N1146" i="1"/>
  <c r="M1147" i="1"/>
  <c r="N1147" i="1"/>
  <c r="M1148" i="1"/>
  <c r="N1148" i="1"/>
  <c r="M1149" i="1"/>
  <c r="N1149" i="1"/>
  <c r="M1150" i="1"/>
  <c r="N1150" i="1"/>
  <c r="M1151" i="1"/>
  <c r="N1151" i="1"/>
  <c r="M1152" i="1"/>
  <c r="N1152" i="1"/>
  <c r="M1153" i="1"/>
  <c r="N1153" i="1"/>
  <c r="M1154" i="1"/>
  <c r="N1154" i="1"/>
  <c r="M1155" i="1"/>
  <c r="N1155" i="1"/>
  <c r="M1156" i="1"/>
  <c r="N1156" i="1"/>
  <c r="M1157" i="1"/>
  <c r="N1157" i="1"/>
  <c r="M1158" i="1"/>
  <c r="N1158" i="1"/>
  <c r="M1159" i="1"/>
  <c r="N1159" i="1"/>
  <c r="M1160" i="1"/>
  <c r="N1160" i="1"/>
  <c r="M1161" i="1"/>
  <c r="N1161" i="1"/>
  <c r="M1162" i="1"/>
  <c r="N1162" i="1"/>
  <c r="M1163" i="1"/>
  <c r="N1163" i="1"/>
  <c r="M1164" i="1"/>
  <c r="N1164" i="1"/>
  <c r="M1165" i="1"/>
  <c r="N1165" i="1"/>
  <c r="M1166" i="1"/>
  <c r="N1166" i="1"/>
  <c r="M1167" i="1"/>
  <c r="N1167" i="1"/>
  <c r="M1168" i="1"/>
  <c r="N1168" i="1"/>
  <c r="M1169" i="1"/>
  <c r="N1169" i="1"/>
  <c r="M1170" i="1"/>
  <c r="N1170" i="1"/>
  <c r="M1171" i="1"/>
  <c r="N1171" i="1"/>
  <c r="M1172" i="1"/>
  <c r="N1172" i="1"/>
  <c r="M1173" i="1"/>
  <c r="N1173" i="1"/>
  <c r="M1174" i="1"/>
  <c r="N1174" i="1"/>
  <c r="M1175" i="1"/>
  <c r="N1175" i="1"/>
  <c r="M1176" i="1"/>
  <c r="N1176" i="1"/>
  <c r="M1177" i="1"/>
  <c r="N1177" i="1"/>
  <c r="M1178" i="1"/>
  <c r="N1178" i="1"/>
  <c r="M1179" i="1"/>
  <c r="N1179" i="1"/>
  <c r="M1180" i="1"/>
  <c r="N1180" i="1"/>
  <c r="M1181" i="1"/>
  <c r="N1181" i="1"/>
  <c r="M1182" i="1"/>
  <c r="N1182" i="1"/>
  <c r="M1183" i="1"/>
  <c r="N1183" i="1"/>
  <c r="M1184" i="1"/>
  <c r="N1184" i="1"/>
  <c r="M1185" i="1"/>
  <c r="N1185" i="1"/>
  <c r="M1186" i="1"/>
  <c r="N1186" i="1"/>
  <c r="M1187" i="1"/>
  <c r="N1187" i="1"/>
  <c r="M1188" i="1"/>
  <c r="N1188" i="1"/>
  <c r="M1189" i="1"/>
  <c r="N1189" i="1"/>
  <c r="M1190" i="1"/>
  <c r="N1190" i="1"/>
  <c r="M1191" i="1"/>
  <c r="N1191" i="1"/>
  <c r="M1192" i="1"/>
  <c r="N1192" i="1"/>
  <c r="M1193" i="1"/>
  <c r="N1193" i="1"/>
  <c r="M1194" i="1"/>
  <c r="N1194" i="1"/>
  <c r="M1195" i="1"/>
  <c r="N1195" i="1"/>
  <c r="M1196" i="1"/>
  <c r="N1196" i="1"/>
  <c r="M1197" i="1"/>
  <c r="N1197" i="1"/>
  <c r="M1198" i="1"/>
  <c r="N1198" i="1"/>
  <c r="M1199" i="1"/>
  <c r="N1199" i="1"/>
  <c r="M1200" i="1"/>
  <c r="N1200" i="1"/>
  <c r="M1201" i="1"/>
  <c r="N1201" i="1"/>
  <c r="M1202" i="1"/>
  <c r="N1202" i="1"/>
  <c r="M1203" i="1"/>
  <c r="N1203" i="1"/>
  <c r="M1204" i="1"/>
  <c r="N1204" i="1"/>
  <c r="M1205" i="1"/>
  <c r="N1205" i="1"/>
  <c r="M1206" i="1"/>
  <c r="N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M1213" i="1"/>
  <c r="N1213" i="1"/>
  <c r="M1214" i="1"/>
  <c r="N1214" i="1"/>
  <c r="M1215" i="1"/>
  <c r="N1215" i="1"/>
  <c r="M1216" i="1"/>
  <c r="N1216" i="1"/>
  <c r="M1217" i="1"/>
  <c r="N1217" i="1"/>
  <c r="M1218" i="1"/>
  <c r="N1218" i="1"/>
  <c r="M1219" i="1"/>
  <c r="N1219" i="1"/>
  <c r="M1220" i="1"/>
  <c r="N1220" i="1"/>
  <c r="M1221" i="1"/>
  <c r="N1221" i="1"/>
  <c r="M1222" i="1"/>
  <c r="N1222" i="1"/>
  <c r="M1223" i="1"/>
  <c r="N1223" i="1"/>
  <c r="M1224" i="1"/>
  <c r="N1224" i="1"/>
  <c r="M1225" i="1"/>
  <c r="N1225" i="1"/>
  <c r="M1226" i="1"/>
  <c r="N1226" i="1"/>
  <c r="M1227" i="1"/>
  <c r="N1227" i="1"/>
  <c r="M1228" i="1"/>
  <c r="N1228" i="1"/>
  <c r="M1229" i="1"/>
  <c r="N1229" i="1"/>
  <c r="M1230" i="1"/>
  <c r="N1230" i="1"/>
  <c r="M1231" i="1"/>
  <c r="N1231" i="1"/>
  <c r="M1232" i="1"/>
  <c r="N1232" i="1"/>
  <c r="M1233" i="1"/>
  <c r="N1233" i="1"/>
  <c r="M1234" i="1"/>
  <c r="N1234" i="1"/>
  <c r="M1235" i="1"/>
  <c r="N1235" i="1"/>
  <c r="M1236" i="1"/>
  <c r="N1236" i="1"/>
  <c r="M1237" i="1"/>
  <c r="N1237" i="1"/>
  <c r="M1238" i="1"/>
  <c r="N1238" i="1"/>
  <c r="M1239" i="1"/>
  <c r="N1239" i="1"/>
  <c r="M1240" i="1"/>
  <c r="N1240" i="1"/>
  <c r="M1241" i="1"/>
  <c r="N1241" i="1"/>
  <c r="M1242" i="1"/>
  <c r="N1242" i="1"/>
  <c r="M1243" i="1"/>
  <c r="N1243" i="1"/>
  <c r="M1244" i="1"/>
  <c r="N1244" i="1"/>
  <c r="M1245" i="1"/>
  <c r="N1245" i="1"/>
  <c r="M1246" i="1"/>
  <c r="N1246" i="1"/>
  <c r="M1247" i="1"/>
  <c r="N1247" i="1"/>
  <c r="M1248" i="1"/>
  <c r="N1248" i="1"/>
  <c r="M1249" i="1"/>
  <c r="N1249" i="1"/>
  <c r="M1250" i="1"/>
  <c r="N1250" i="1"/>
  <c r="M1251" i="1"/>
  <c r="N1251" i="1"/>
  <c r="M1252" i="1"/>
  <c r="N1252" i="1"/>
  <c r="M1253" i="1"/>
  <c r="N1253" i="1"/>
  <c r="M1254" i="1"/>
  <c r="N1254" i="1"/>
  <c r="M1255" i="1"/>
  <c r="N1255" i="1"/>
  <c r="M1256" i="1"/>
  <c r="N1256" i="1"/>
  <c r="M1257" i="1"/>
  <c r="N1257" i="1"/>
  <c r="M1258" i="1"/>
  <c r="N1258" i="1"/>
  <c r="M1259" i="1"/>
  <c r="N1259" i="1"/>
  <c r="M1260" i="1"/>
  <c r="N1260" i="1"/>
  <c r="M1261" i="1"/>
  <c r="N1261" i="1"/>
  <c r="M1262" i="1"/>
  <c r="N1262" i="1"/>
  <c r="M1263" i="1"/>
  <c r="N1263" i="1"/>
  <c r="M1264" i="1"/>
  <c r="N1264" i="1"/>
  <c r="M1265" i="1"/>
  <c r="N1265" i="1"/>
  <c r="M1266" i="1"/>
  <c r="N1266" i="1"/>
  <c r="M1267" i="1"/>
  <c r="N1267" i="1"/>
  <c r="M1268" i="1"/>
  <c r="N1268" i="1"/>
  <c r="M1269" i="1"/>
  <c r="N1269" i="1"/>
  <c r="M1270" i="1"/>
  <c r="N1270" i="1"/>
  <c r="M1271" i="1"/>
  <c r="N1271" i="1"/>
  <c r="M1272" i="1"/>
  <c r="N1272" i="1"/>
  <c r="M1273" i="1"/>
  <c r="N1273" i="1"/>
  <c r="M1274" i="1"/>
  <c r="N1274" i="1"/>
  <c r="M1275" i="1"/>
  <c r="N1275" i="1"/>
  <c r="M1276" i="1"/>
  <c r="N1276" i="1"/>
  <c r="M1277" i="1"/>
  <c r="N1277" i="1"/>
  <c r="M1278" i="1"/>
  <c r="N1278" i="1"/>
  <c r="M1279" i="1"/>
  <c r="N1279" i="1"/>
  <c r="M1280" i="1"/>
  <c r="N1280" i="1"/>
  <c r="M1281" i="1"/>
  <c r="N1281" i="1"/>
  <c r="M1282" i="1"/>
  <c r="N1282" i="1"/>
  <c r="M1283" i="1"/>
  <c r="N1283" i="1"/>
  <c r="M1284" i="1"/>
  <c r="N1284" i="1"/>
  <c r="M1285" i="1"/>
  <c r="N1285" i="1"/>
  <c r="M1286" i="1"/>
  <c r="N1286" i="1"/>
  <c r="M1287" i="1"/>
  <c r="N1287" i="1"/>
  <c r="M1288" i="1"/>
  <c r="N1288" i="1"/>
  <c r="M1289" i="1"/>
  <c r="N1289" i="1"/>
  <c r="M1290" i="1"/>
  <c r="N1290" i="1"/>
  <c r="M1291" i="1"/>
  <c r="N1291" i="1"/>
  <c r="M1292" i="1"/>
  <c r="N1292" i="1"/>
  <c r="M1293" i="1"/>
  <c r="N1293" i="1"/>
  <c r="M1294" i="1"/>
  <c r="N1294" i="1"/>
  <c r="M1295" i="1"/>
  <c r="N1295" i="1"/>
  <c r="M1296" i="1"/>
  <c r="N1296" i="1"/>
  <c r="M1297" i="1"/>
  <c r="N1297" i="1"/>
  <c r="M1298" i="1"/>
  <c r="N1298" i="1"/>
  <c r="M1299" i="1"/>
  <c r="N1299" i="1"/>
  <c r="M1300" i="1"/>
  <c r="N1300" i="1"/>
  <c r="M1301" i="1"/>
  <c r="N1301" i="1"/>
  <c r="M1302" i="1"/>
  <c r="N1302" i="1"/>
  <c r="M1303" i="1"/>
  <c r="N1303" i="1"/>
  <c r="M1304" i="1"/>
  <c r="N1304" i="1"/>
  <c r="M1305" i="1"/>
  <c r="N1305" i="1"/>
  <c r="M1306" i="1"/>
  <c r="N1306" i="1"/>
  <c r="M1307" i="1"/>
  <c r="N1307" i="1"/>
  <c r="M1308" i="1"/>
  <c r="N1308" i="1"/>
  <c r="M1309" i="1"/>
  <c r="N1309" i="1"/>
  <c r="M1310" i="1"/>
  <c r="N1310" i="1"/>
  <c r="M1311" i="1"/>
  <c r="N1311" i="1"/>
  <c r="M1312" i="1"/>
  <c r="N1312" i="1"/>
  <c r="M1313" i="1"/>
  <c r="N1313" i="1"/>
  <c r="M1314" i="1"/>
  <c r="N1314" i="1"/>
  <c r="M1315" i="1"/>
  <c r="N1315" i="1"/>
  <c r="M1316" i="1"/>
  <c r="N1316" i="1"/>
  <c r="M1317" i="1"/>
  <c r="N1317" i="1"/>
  <c r="M1318" i="1"/>
  <c r="N1318" i="1"/>
  <c r="M1319" i="1"/>
  <c r="N1319" i="1"/>
  <c r="M1320" i="1"/>
  <c r="N1320" i="1"/>
  <c r="M1321" i="1"/>
  <c r="N1321" i="1"/>
  <c r="M1322" i="1"/>
  <c r="N1322" i="1"/>
  <c r="M1323" i="1"/>
  <c r="N1323" i="1"/>
  <c r="M1324" i="1"/>
  <c r="N1324" i="1"/>
  <c r="M1325" i="1"/>
  <c r="N1325" i="1"/>
  <c r="M1326" i="1"/>
  <c r="N1326" i="1"/>
  <c r="M1327" i="1"/>
  <c r="N1327" i="1"/>
  <c r="M1328" i="1"/>
  <c r="N1328" i="1"/>
  <c r="M1329" i="1"/>
  <c r="N1329" i="1"/>
  <c r="M1330" i="1"/>
  <c r="N1330" i="1"/>
  <c r="M1331" i="1"/>
  <c r="N1331" i="1"/>
  <c r="M1332" i="1"/>
  <c r="N1332" i="1"/>
  <c r="M1333" i="1"/>
  <c r="N1333" i="1"/>
  <c r="M1334" i="1"/>
  <c r="N1334" i="1"/>
  <c r="M1335" i="1"/>
  <c r="N1335" i="1"/>
  <c r="M1336" i="1"/>
  <c r="N1336" i="1"/>
  <c r="M1337" i="1"/>
  <c r="N1337" i="1"/>
  <c r="M1338" i="1"/>
  <c r="N1338" i="1"/>
  <c r="M1339" i="1"/>
  <c r="N1339" i="1"/>
  <c r="M1340" i="1"/>
  <c r="N1340" i="1"/>
  <c r="M1341" i="1"/>
  <c r="N1341" i="1"/>
  <c r="M1342" i="1"/>
  <c r="N1342" i="1"/>
  <c r="M1343" i="1"/>
  <c r="N1343" i="1"/>
  <c r="M1344" i="1"/>
  <c r="N1344" i="1"/>
  <c r="M1345" i="1"/>
  <c r="N1345" i="1"/>
  <c r="M1346" i="1"/>
  <c r="N1346" i="1"/>
  <c r="M1347" i="1"/>
  <c r="N1347" i="1"/>
  <c r="M1348" i="1"/>
  <c r="N1348" i="1"/>
  <c r="M1349" i="1"/>
  <c r="N1349" i="1"/>
  <c r="M1350" i="1"/>
  <c r="N1350" i="1"/>
  <c r="M1351" i="1"/>
  <c r="N1351" i="1"/>
  <c r="M1352" i="1"/>
  <c r="N1352" i="1"/>
  <c r="M1353" i="1"/>
  <c r="N1353" i="1"/>
  <c r="M1354" i="1"/>
  <c r="N1354" i="1"/>
  <c r="M1355" i="1"/>
  <c r="N1355" i="1"/>
  <c r="M1356" i="1"/>
  <c r="N1356" i="1"/>
  <c r="M1357" i="1"/>
  <c r="N1357" i="1"/>
  <c r="M1358" i="1"/>
  <c r="N1358" i="1"/>
  <c r="M1359" i="1"/>
  <c r="N1359" i="1"/>
  <c r="M1360" i="1"/>
  <c r="N1360" i="1"/>
  <c r="M1361" i="1"/>
  <c r="N1361" i="1"/>
  <c r="M1362" i="1"/>
  <c r="N1362" i="1"/>
  <c r="M1363" i="1"/>
  <c r="N1363" i="1"/>
  <c r="M1364" i="1"/>
  <c r="N1364" i="1"/>
  <c r="M1365" i="1"/>
  <c r="N1365" i="1"/>
  <c r="M1366" i="1"/>
  <c r="N1366" i="1"/>
  <c r="M1367" i="1"/>
  <c r="N1367" i="1"/>
  <c r="M1368" i="1"/>
  <c r="N1368" i="1"/>
  <c r="M1369" i="1"/>
  <c r="N1369" i="1"/>
  <c r="M1370" i="1"/>
  <c r="N1370" i="1"/>
  <c r="M1371" i="1"/>
  <c r="N1371" i="1"/>
  <c r="M1372" i="1"/>
  <c r="N1372" i="1"/>
  <c r="M1373" i="1"/>
  <c r="N1373" i="1"/>
  <c r="M1374" i="1"/>
  <c r="N1374" i="1"/>
  <c r="M1375" i="1"/>
  <c r="N1375" i="1"/>
  <c r="M1376" i="1"/>
  <c r="N1376" i="1"/>
  <c r="M1377" i="1"/>
  <c r="N1377" i="1"/>
  <c r="M1378" i="1"/>
  <c r="N1378" i="1"/>
  <c r="M1379" i="1"/>
  <c r="N1379" i="1"/>
  <c r="M1380" i="1"/>
  <c r="N1380" i="1"/>
  <c r="M1381" i="1"/>
  <c r="N1381" i="1"/>
  <c r="M1382" i="1"/>
  <c r="N1382" i="1"/>
  <c r="M1383" i="1"/>
  <c r="N1383" i="1"/>
  <c r="M1384" i="1"/>
  <c r="N1384" i="1"/>
  <c r="M1385" i="1"/>
  <c r="N1385" i="1"/>
  <c r="M1386" i="1"/>
  <c r="N1386" i="1"/>
  <c r="M1387" i="1"/>
  <c r="N1387" i="1"/>
  <c r="M1388" i="1"/>
  <c r="N1388" i="1"/>
  <c r="M1389" i="1"/>
  <c r="N1389" i="1"/>
  <c r="M1390" i="1"/>
  <c r="N1390" i="1"/>
  <c r="M1391" i="1"/>
  <c r="N1391" i="1"/>
  <c r="M1392" i="1"/>
  <c r="N1392" i="1"/>
  <c r="M1393" i="1"/>
  <c r="N1393" i="1"/>
  <c r="M1394" i="1"/>
  <c r="N1394" i="1"/>
  <c r="M1395" i="1"/>
  <c r="N1395" i="1"/>
  <c r="M1396" i="1"/>
  <c r="N1396" i="1"/>
  <c r="M1397" i="1"/>
  <c r="N1397" i="1"/>
  <c r="M1398" i="1"/>
  <c r="N1398" i="1"/>
  <c r="M1399" i="1"/>
  <c r="N1399" i="1"/>
  <c r="M1400" i="1"/>
  <c r="N1400" i="1"/>
  <c r="M1401" i="1"/>
  <c r="N1401" i="1"/>
  <c r="M1402" i="1"/>
  <c r="N1402" i="1"/>
  <c r="M1403" i="1"/>
  <c r="N1403" i="1"/>
  <c r="M1404" i="1"/>
  <c r="N1404" i="1"/>
  <c r="M1405" i="1"/>
  <c r="N1405" i="1"/>
  <c r="M1406" i="1"/>
  <c r="N1406" i="1"/>
  <c r="M1407" i="1"/>
  <c r="N1407" i="1"/>
  <c r="M1408" i="1"/>
  <c r="N1408" i="1"/>
  <c r="M1409" i="1"/>
  <c r="N1409" i="1"/>
  <c r="M1410" i="1"/>
  <c r="N1410" i="1"/>
  <c r="M1411" i="1"/>
  <c r="N1411" i="1"/>
  <c r="M1412" i="1"/>
  <c r="N1412" i="1"/>
  <c r="M1413" i="1"/>
  <c r="N1413" i="1"/>
  <c r="M1414" i="1"/>
  <c r="N1414" i="1"/>
  <c r="M1415" i="1"/>
  <c r="N1415" i="1"/>
  <c r="M1416" i="1"/>
  <c r="N1416" i="1"/>
  <c r="M1417" i="1"/>
  <c r="N1417" i="1"/>
  <c r="M1418" i="1"/>
  <c r="N1418" i="1"/>
  <c r="M1419" i="1"/>
  <c r="N1419" i="1"/>
  <c r="M1420" i="1"/>
  <c r="N1420" i="1"/>
  <c r="M1421" i="1"/>
  <c r="N1421" i="1"/>
  <c r="M1422" i="1"/>
  <c r="N1422" i="1"/>
  <c r="M1423" i="1"/>
  <c r="N1423" i="1"/>
  <c r="M1424" i="1"/>
  <c r="N1424" i="1"/>
  <c r="M1425" i="1"/>
  <c r="N1425" i="1"/>
  <c r="M1426" i="1"/>
  <c r="N1426" i="1"/>
  <c r="M1427" i="1"/>
  <c r="N1427" i="1"/>
  <c r="M1428" i="1"/>
  <c r="N1428" i="1"/>
  <c r="M1429" i="1"/>
  <c r="N1429" i="1"/>
  <c r="M1430" i="1"/>
  <c r="N1430" i="1"/>
  <c r="M1431" i="1"/>
  <c r="N1431" i="1"/>
  <c r="M1432" i="1"/>
  <c r="N1432" i="1"/>
  <c r="M1433" i="1"/>
  <c r="N1433" i="1"/>
  <c r="M1434" i="1"/>
  <c r="N1434" i="1"/>
  <c r="M1435" i="1"/>
  <c r="N1435" i="1"/>
  <c r="M1436" i="1"/>
  <c r="N1436" i="1"/>
  <c r="M1437" i="1"/>
  <c r="N1437" i="1"/>
  <c r="M1438" i="1"/>
  <c r="N1438" i="1"/>
  <c r="M1439" i="1"/>
  <c r="N1439" i="1"/>
  <c r="M1440" i="1"/>
  <c r="N1440" i="1"/>
  <c r="M1441" i="1"/>
  <c r="N1441" i="1"/>
  <c r="M1442" i="1"/>
  <c r="N1442" i="1"/>
  <c r="M1443" i="1"/>
  <c r="N1443" i="1"/>
  <c r="M1444" i="1"/>
  <c r="N1444" i="1"/>
  <c r="M1445" i="1"/>
  <c r="N1445" i="1"/>
  <c r="M1446" i="1"/>
  <c r="N1446" i="1"/>
  <c r="M1447" i="1"/>
  <c r="N1447" i="1"/>
  <c r="M1448" i="1"/>
  <c r="N1448" i="1"/>
  <c r="M1449" i="1"/>
  <c r="N1449" i="1"/>
  <c r="M1450" i="1"/>
  <c r="N1450" i="1"/>
  <c r="M1451" i="1"/>
  <c r="N1451" i="1"/>
  <c r="M1452" i="1"/>
  <c r="N1452" i="1"/>
  <c r="M1453" i="1"/>
  <c r="N1453" i="1"/>
  <c r="M1454" i="1"/>
  <c r="N1454" i="1"/>
  <c r="M1455" i="1"/>
  <c r="N1455" i="1"/>
  <c r="M1456" i="1"/>
  <c r="N1456" i="1"/>
  <c r="M1457" i="1"/>
  <c r="N1457" i="1"/>
  <c r="M1458" i="1"/>
  <c r="N1458" i="1"/>
  <c r="M1459" i="1"/>
  <c r="N1459" i="1"/>
  <c r="M1460" i="1"/>
  <c r="N1460" i="1"/>
  <c r="M1461" i="1"/>
  <c r="N1461" i="1"/>
  <c r="M1462" i="1"/>
  <c r="N1462" i="1"/>
  <c r="M1463" i="1"/>
  <c r="N1463" i="1"/>
  <c r="M1464" i="1"/>
  <c r="N1464" i="1"/>
  <c r="M1465" i="1"/>
  <c r="N1465" i="1"/>
  <c r="M1466" i="1"/>
  <c r="N1466" i="1"/>
  <c r="M1467" i="1"/>
  <c r="N1467" i="1"/>
  <c r="M1468" i="1"/>
  <c r="N1468" i="1"/>
  <c r="M1469" i="1"/>
  <c r="N1469" i="1"/>
  <c r="M1470" i="1"/>
  <c r="N1470" i="1"/>
  <c r="M1471" i="1"/>
  <c r="N1471" i="1"/>
  <c r="M1472" i="1"/>
  <c r="N1472" i="1"/>
  <c r="M1473" i="1"/>
  <c r="N1473" i="1"/>
  <c r="M1474" i="1"/>
  <c r="N1474" i="1"/>
  <c r="M1475" i="1"/>
  <c r="N1475" i="1"/>
  <c r="M1476" i="1"/>
  <c r="N1476" i="1"/>
  <c r="M1477" i="1"/>
  <c r="N1477" i="1"/>
  <c r="M1478" i="1"/>
  <c r="N1478" i="1"/>
  <c r="M1479" i="1"/>
  <c r="N1479" i="1"/>
  <c r="M1480" i="1"/>
  <c r="N1480" i="1"/>
  <c r="M1481" i="1"/>
  <c r="N1481" i="1"/>
  <c r="M1482" i="1"/>
  <c r="N1482" i="1"/>
  <c r="M1483" i="1"/>
  <c r="N1483" i="1"/>
  <c r="M1484" i="1"/>
  <c r="N1484" i="1"/>
  <c r="M1485" i="1"/>
  <c r="N1485" i="1"/>
  <c r="M1486" i="1"/>
  <c r="N1486" i="1"/>
  <c r="M1487" i="1"/>
  <c r="N1487" i="1"/>
  <c r="M1488" i="1"/>
  <c r="N1488" i="1"/>
  <c r="M1489" i="1"/>
  <c r="N1489" i="1"/>
  <c r="M1490" i="1"/>
  <c r="N1490" i="1"/>
  <c r="M1491" i="1"/>
  <c r="N1491" i="1"/>
  <c r="M1492" i="1"/>
  <c r="N1492" i="1"/>
  <c r="M1493" i="1"/>
  <c r="N1493" i="1"/>
  <c r="M1494" i="1"/>
  <c r="N1494" i="1"/>
  <c r="M1495" i="1"/>
  <c r="N1495" i="1"/>
  <c r="M1496" i="1"/>
  <c r="N1496" i="1"/>
  <c r="M1497" i="1"/>
  <c r="N1497" i="1"/>
  <c r="M1498" i="1"/>
  <c r="N1498" i="1"/>
  <c r="M1499" i="1"/>
  <c r="N1499" i="1"/>
  <c r="M1500" i="1"/>
  <c r="N1500" i="1"/>
  <c r="M1501" i="1"/>
  <c r="N1501" i="1"/>
  <c r="M1502" i="1"/>
  <c r="N1502" i="1"/>
  <c r="M1503" i="1"/>
  <c r="N1503" i="1"/>
  <c r="M1504" i="1"/>
  <c r="N1504" i="1"/>
  <c r="M1505" i="1"/>
  <c r="N1505" i="1"/>
  <c r="M1506" i="1"/>
  <c r="N1506" i="1"/>
  <c r="M1507" i="1"/>
  <c r="N1507" i="1"/>
  <c r="M1508" i="1"/>
  <c r="N1508" i="1"/>
  <c r="M1509" i="1"/>
  <c r="N1509" i="1"/>
  <c r="M1510" i="1"/>
  <c r="N1510" i="1"/>
  <c r="M1511" i="1"/>
  <c r="N1511" i="1"/>
  <c r="M1512" i="1"/>
  <c r="N1512" i="1"/>
  <c r="M1513" i="1"/>
  <c r="N1513" i="1"/>
  <c r="M1514" i="1"/>
  <c r="N1514" i="1"/>
  <c r="M1515" i="1"/>
  <c r="N1515" i="1"/>
  <c r="M1516" i="1"/>
  <c r="N1516" i="1"/>
  <c r="M1517" i="1"/>
  <c r="N1517" i="1"/>
  <c r="M1518" i="1"/>
  <c r="N1518" i="1"/>
  <c r="M1519" i="1"/>
  <c r="N1519" i="1"/>
  <c r="M1520" i="1"/>
  <c r="N1520" i="1"/>
  <c r="M1521" i="1"/>
  <c r="N1521" i="1"/>
  <c r="M1522" i="1"/>
  <c r="N1522" i="1"/>
  <c r="M1523" i="1"/>
  <c r="N1523" i="1"/>
  <c r="M1524" i="1"/>
  <c r="N1524" i="1"/>
  <c r="M1525" i="1"/>
  <c r="N1525" i="1"/>
  <c r="M1526" i="1"/>
  <c r="N1526" i="1"/>
  <c r="M1527" i="1"/>
  <c r="N1527" i="1"/>
  <c r="M1528" i="1"/>
  <c r="N1528" i="1"/>
  <c r="M1529" i="1"/>
  <c r="N1529" i="1"/>
  <c r="M1530" i="1"/>
  <c r="N1530" i="1"/>
  <c r="M1531" i="1"/>
  <c r="N1531" i="1"/>
  <c r="M1532" i="1"/>
  <c r="N1532" i="1"/>
  <c r="M1533" i="1"/>
  <c r="N1533" i="1"/>
  <c r="M1534" i="1"/>
  <c r="N1534" i="1"/>
  <c r="M1535" i="1"/>
  <c r="N1535" i="1"/>
  <c r="M1536" i="1"/>
  <c r="N1536" i="1"/>
  <c r="M1537" i="1"/>
  <c r="N1537" i="1"/>
  <c r="M1538" i="1"/>
  <c r="N1538" i="1"/>
  <c r="M1539" i="1"/>
  <c r="N1539" i="1"/>
  <c r="M1540" i="1"/>
  <c r="N1540" i="1"/>
  <c r="M1541" i="1"/>
  <c r="N1541" i="1"/>
  <c r="M1542" i="1"/>
  <c r="N1542" i="1"/>
  <c r="M1543" i="1"/>
  <c r="N1543" i="1"/>
  <c r="M1544" i="1"/>
  <c r="N1544" i="1"/>
  <c r="M1545" i="1"/>
  <c r="N1545" i="1"/>
  <c r="M1546" i="1"/>
  <c r="N1546" i="1"/>
  <c r="M1547" i="1"/>
  <c r="N1547" i="1"/>
  <c r="M1548" i="1"/>
  <c r="N1548" i="1"/>
  <c r="M1549" i="1"/>
  <c r="N1549" i="1"/>
  <c r="M1550" i="1"/>
  <c r="N1550" i="1"/>
  <c r="M1551" i="1"/>
  <c r="N1551" i="1"/>
  <c r="M1552" i="1"/>
  <c r="N1552" i="1"/>
  <c r="M1553" i="1"/>
  <c r="N1553" i="1"/>
  <c r="M1554" i="1"/>
  <c r="N1554" i="1"/>
  <c r="M1555" i="1"/>
  <c r="N1555" i="1"/>
  <c r="M1556" i="1"/>
  <c r="N1556" i="1"/>
  <c r="M1557" i="1"/>
  <c r="N1557" i="1"/>
  <c r="M1558" i="1"/>
  <c r="N1558" i="1"/>
  <c r="M1559" i="1"/>
  <c r="N1559" i="1"/>
  <c r="M1560" i="1"/>
  <c r="N1560" i="1"/>
  <c r="M1561" i="1"/>
  <c r="N1561" i="1"/>
  <c r="M1562" i="1"/>
  <c r="N1562" i="1"/>
  <c r="M1563" i="1"/>
  <c r="N1563" i="1"/>
  <c r="M1564" i="1"/>
  <c r="N1564" i="1"/>
  <c r="M1565" i="1"/>
  <c r="N1565" i="1"/>
  <c r="M1566" i="1"/>
  <c r="N1566" i="1"/>
  <c r="M1567" i="1"/>
  <c r="N1567" i="1"/>
  <c r="M1568" i="1"/>
  <c r="N1568" i="1"/>
  <c r="M1569" i="1"/>
  <c r="N1569" i="1"/>
  <c r="M1570" i="1"/>
  <c r="N1570" i="1"/>
  <c r="M1571" i="1"/>
  <c r="N1571" i="1"/>
  <c r="M1572" i="1"/>
  <c r="N1572" i="1"/>
  <c r="M1573" i="1"/>
  <c r="N1573" i="1"/>
  <c r="M1574" i="1"/>
  <c r="N1574" i="1"/>
  <c r="M1575" i="1"/>
  <c r="N1575" i="1"/>
  <c r="M1576" i="1"/>
  <c r="N1576" i="1"/>
  <c r="M1577" i="1"/>
  <c r="N1577" i="1"/>
  <c r="M1578" i="1"/>
  <c r="N1578" i="1"/>
  <c r="M1579" i="1"/>
  <c r="N1579" i="1"/>
  <c r="M1580" i="1"/>
  <c r="N1580" i="1"/>
  <c r="M1581" i="1"/>
  <c r="N1581" i="1"/>
  <c r="M1582" i="1"/>
  <c r="N1582" i="1"/>
  <c r="M1583" i="1"/>
  <c r="N1583" i="1"/>
  <c r="M1584" i="1"/>
  <c r="N1584" i="1"/>
  <c r="M1585" i="1"/>
  <c r="N1585" i="1"/>
  <c r="M1586" i="1"/>
  <c r="N1586" i="1"/>
  <c r="M1587" i="1"/>
  <c r="N1587" i="1"/>
  <c r="M1588" i="1"/>
  <c r="N1588" i="1"/>
  <c r="M1589" i="1"/>
  <c r="N1589" i="1"/>
  <c r="M1590" i="1"/>
  <c r="N1590" i="1"/>
  <c r="M1591" i="1"/>
  <c r="N1591" i="1"/>
  <c r="M1592" i="1"/>
  <c r="N1592" i="1"/>
  <c r="M1593" i="1"/>
  <c r="N1593" i="1"/>
  <c r="M1594" i="1"/>
  <c r="N1594" i="1"/>
  <c r="M1595" i="1"/>
  <c r="N1595" i="1"/>
  <c r="M1596" i="1"/>
  <c r="N1596" i="1"/>
  <c r="M1597" i="1"/>
  <c r="N1597" i="1"/>
  <c r="M1598" i="1"/>
  <c r="N1598" i="1"/>
  <c r="M1599" i="1"/>
  <c r="N1599" i="1"/>
  <c r="M1600" i="1"/>
  <c r="N1600" i="1"/>
  <c r="M1601" i="1"/>
  <c r="N1601" i="1"/>
  <c r="M1602" i="1"/>
  <c r="N1602" i="1"/>
  <c r="M1603" i="1"/>
  <c r="N1603" i="1"/>
  <c r="M1604" i="1"/>
  <c r="N1604" i="1"/>
  <c r="M1605" i="1"/>
  <c r="N1605" i="1"/>
  <c r="M1606" i="1"/>
  <c r="N1606" i="1"/>
  <c r="M1607" i="1"/>
  <c r="N1607" i="1"/>
  <c r="M1608" i="1"/>
  <c r="N1608" i="1"/>
  <c r="M1609" i="1"/>
  <c r="N1609" i="1"/>
  <c r="M1610" i="1"/>
  <c r="N1610" i="1"/>
  <c r="M1611" i="1"/>
  <c r="N1611" i="1"/>
  <c r="M1612" i="1"/>
  <c r="N1612" i="1"/>
  <c r="M1613" i="1"/>
  <c r="N1613" i="1"/>
  <c r="M1614" i="1"/>
  <c r="N1614" i="1"/>
  <c r="M1615" i="1"/>
  <c r="N1615" i="1"/>
  <c r="M1616" i="1"/>
  <c r="N1616" i="1"/>
  <c r="M1617" i="1"/>
  <c r="N1617" i="1"/>
  <c r="M1618" i="1"/>
  <c r="N1618" i="1"/>
  <c r="M1619" i="1"/>
  <c r="N1619" i="1"/>
  <c r="M1620" i="1"/>
  <c r="N1620" i="1"/>
  <c r="M1621" i="1"/>
  <c r="N1621" i="1"/>
  <c r="M1622" i="1"/>
  <c r="N1622" i="1"/>
  <c r="M1623" i="1"/>
  <c r="N1623" i="1"/>
  <c r="M1624" i="1"/>
  <c r="N1624" i="1"/>
  <c r="M1625" i="1"/>
  <c r="N1625" i="1"/>
  <c r="M1626" i="1"/>
  <c r="N1626" i="1"/>
  <c r="M1627" i="1"/>
  <c r="N1627" i="1"/>
  <c r="M1628" i="1"/>
  <c r="N1628" i="1"/>
  <c r="M1629" i="1"/>
  <c r="N1629" i="1"/>
  <c r="M1630" i="1"/>
  <c r="N1630" i="1"/>
  <c r="M1631" i="1"/>
  <c r="N1631" i="1"/>
  <c r="M1632" i="1"/>
  <c r="N1632" i="1"/>
  <c r="M1633" i="1"/>
  <c r="N1633" i="1"/>
  <c r="M1634" i="1"/>
  <c r="N1634" i="1"/>
  <c r="M1635" i="1"/>
  <c r="N1635" i="1"/>
  <c r="M1636" i="1"/>
  <c r="N1636" i="1"/>
  <c r="M1637" i="1"/>
  <c r="N1637" i="1"/>
  <c r="M1638" i="1"/>
  <c r="N1638" i="1"/>
  <c r="M1639" i="1"/>
  <c r="N1639" i="1"/>
  <c r="M1640" i="1"/>
  <c r="N1640" i="1"/>
  <c r="M1641" i="1"/>
  <c r="N1641" i="1"/>
  <c r="M1642" i="1"/>
  <c r="N1642" i="1"/>
  <c r="M1643" i="1"/>
  <c r="N1643" i="1"/>
  <c r="M1644" i="1"/>
  <c r="N1644" i="1"/>
  <c r="M1645" i="1"/>
  <c r="N1645" i="1"/>
  <c r="M1646" i="1"/>
  <c r="N1646" i="1"/>
  <c r="M1647" i="1"/>
  <c r="N1647" i="1"/>
  <c r="M1648" i="1"/>
  <c r="N1648" i="1"/>
  <c r="M1649" i="1"/>
  <c r="N1649" i="1"/>
  <c r="M1650" i="1"/>
  <c r="N1650" i="1"/>
  <c r="M1651" i="1"/>
  <c r="N1651" i="1"/>
  <c r="M1652" i="1"/>
  <c r="N1652" i="1"/>
  <c r="M1653" i="1"/>
  <c r="N1653" i="1"/>
  <c r="M1654" i="1"/>
  <c r="N1654" i="1"/>
  <c r="M1655" i="1"/>
  <c r="N1655" i="1"/>
  <c r="M1656" i="1"/>
  <c r="N1656" i="1"/>
  <c r="M1657" i="1"/>
  <c r="N1657" i="1"/>
  <c r="M1658" i="1"/>
  <c r="N1658" i="1"/>
  <c r="M1659" i="1"/>
  <c r="N1659" i="1"/>
  <c r="M1660" i="1"/>
  <c r="N1660" i="1"/>
  <c r="M1661" i="1"/>
  <c r="N1661" i="1"/>
  <c r="M1662" i="1"/>
  <c r="N1662" i="1"/>
  <c r="M1663" i="1"/>
  <c r="N1663" i="1"/>
  <c r="M1664" i="1"/>
  <c r="N1664" i="1"/>
  <c r="M1665" i="1"/>
  <c r="N1665" i="1"/>
  <c r="M1666" i="1"/>
  <c r="N1666" i="1"/>
  <c r="M1667" i="1"/>
  <c r="N1667" i="1"/>
  <c r="M1668" i="1"/>
  <c r="N1668" i="1"/>
  <c r="M1669" i="1"/>
  <c r="N1669" i="1"/>
  <c r="M1670" i="1"/>
  <c r="N1670" i="1"/>
  <c r="M1671" i="1"/>
  <c r="N1671" i="1"/>
  <c r="M1672" i="1"/>
  <c r="N1672" i="1"/>
  <c r="M1673" i="1"/>
  <c r="N1673" i="1"/>
  <c r="M1674" i="1"/>
  <c r="N1674" i="1"/>
  <c r="M1675" i="1"/>
  <c r="N1675" i="1"/>
  <c r="M1676" i="1"/>
  <c r="N1676" i="1"/>
  <c r="M1677" i="1"/>
  <c r="N1677" i="1"/>
  <c r="M1678" i="1"/>
  <c r="N1678" i="1"/>
  <c r="M1679" i="1"/>
  <c r="N1679" i="1"/>
  <c r="M1680" i="1"/>
  <c r="N1680" i="1"/>
  <c r="M1681" i="1"/>
  <c r="N1681" i="1"/>
  <c r="M1682" i="1"/>
  <c r="N1682" i="1"/>
  <c r="M1683" i="1"/>
  <c r="N1683" i="1"/>
  <c r="M1684" i="1"/>
  <c r="N1684" i="1"/>
  <c r="M1685" i="1"/>
  <c r="N1685" i="1"/>
  <c r="M1686" i="1"/>
  <c r="N1686" i="1"/>
  <c r="M1687" i="1"/>
  <c r="N1687" i="1"/>
  <c r="M1688" i="1"/>
  <c r="N1688" i="1"/>
  <c r="M1689" i="1"/>
  <c r="N1689" i="1"/>
  <c r="M1690" i="1"/>
  <c r="N1690" i="1"/>
  <c r="M1691" i="1"/>
  <c r="N1691" i="1"/>
  <c r="M1692" i="1"/>
  <c r="N1692" i="1"/>
  <c r="M1693" i="1"/>
  <c r="N1693" i="1"/>
  <c r="M1694" i="1"/>
  <c r="N1694" i="1"/>
  <c r="M1695" i="1"/>
  <c r="N1695" i="1"/>
  <c r="M1696" i="1"/>
  <c r="N1696" i="1"/>
  <c r="M1697" i="1"/>
  <c r="N1697" i="1"/>
  <c r="M1698" i="1"/>
  <c r="N1698" i="1"/>
  <c r="M1699" i="1"/>
  <c r="N1699" i="1"/>
  <c r="M1700" i="1"/>
  <c r="N1700" i="1"/>
  <c r="M1701" i="1"/>
  <c r="N1701" i="1"/>
  <c r="M1702" i="1"/>
  <c r="N1702" i="1"/>
  <c r="M1703" i="1"/>
  <c r="N1703" i="1"/>
  <c r="M1704" i="1"/>
  <c r="N1704" i="1"/>
  <c r="M1705" i="1"/>
  <c r="N1705" i="1"/>
  <c r="M1706" i="1"/>
  <c r="N1706" i="1"/>
  <c r="M1707" i="1"/>
  <c r="N1707" i="1"/>
  <c r="M1708" i="1"/>
  <c r="N1708" i="1"/>
  <c r="M1709" i="1"/>
  <c r="N1709" i="1"/>
  <c r="M1710" i="1"/>
  <c r="N1710" i="1"/>
  <c r="M1711" i="1"/>
  <c r="N1711" i="1"/>
  <c r="M1712" i="1"/>
  <c r="N1712" i="1"/>
  <c r="M1713" i="1"/>
  <c r="N1713" i="1"/>
  <c r="M1714" i="1"/>
  <c r="N1714" i="1"/>
  <c r="M1715" i="1"/>
  <c r="N1715" i="1"/>
  <c r="M1716" i="1"/>
  <c r="N1716" i="1"/>
  <c r="M1717" i="1"/>
  <c r="N1717" i="1"/>
  <c r="M1718" i="1"/>
  <c r="N1718" i="1"/>
  <c r="M1719" i="1"/>
  <c r="N1719" i="1"/>
  <c r="M1720" i="1"/>
  <c r="N1720" i="1"/>
  <c r="M1721" i="1"/>
  <c r="N1721" i="1"/>
  <c r="M1722" i="1"/>
  <c r="N1722" i="1"/>
  <c r="M1723" i="1"/>
  <c r="N1723" i="1"/>
  <c r="M1724" i="1"/>
  <c r="N1724" i="1"/>
  <c r="M1725" i="1"/>
  <c r="N1725" i="1"/>
  <c r="M1726" i="1"/>
  <c r="N1726" i="1"/>
  <c r="M1727" i="1"/>
  <c r="N1727" i="1"/>
  <c r="M1728" i="1"/>
  <c r="N1728" i="1"/>
  <c r="M1729" i="1"/>
  <c r="N1729" i="1"/>
  <c r="M1730" i="1"/>
  <c r="N1730" i="1"/>
  <c r="M1731" i="1"/>
  <c r="N1731" i="1"/>
  <c r="M1732" i="1"/>
  <c r="N1732" i="1"/>
  <c r="M1733" i="1"/>
  <c r="N1733" i="1"/>
  <c r="M1734" i="1"/>
  <c r="N1734" i="1"/>
  <c r="M1735" i="1"/>
  <c r="N1735" i="1"/>
  <c r="M1736" i="1"/>
  <c r="N1736" i="1"/>
  <c r="M1737" i="1"/>
  <c r="N1737" i="1"/>
  <c r="M1738" i="1"/>
  <c r="N1738" i="1"/>
  <c r="M1739" i="1"/>
  <c r="N1739" i="1"/>
  <c r="M1740" i="1"/>
  <c r="N1740" i="1"/>
  <c r="M1741" i="1"/>
  <c r="N1741" i="1"/>
  <c r="M1742" i="1"/>
  <c r="N1742" i="1"/>
  <c r="M1743" i="1"/>
  <c r="N1743" i="1"/>
  <c r="M1744" i="1"/>
  <c r="N1744" i="1"/>
  <c r="M1745" i="1"/>
  <c r="N1745" i="1"/>
  <c r="M1746" i="1"/>
  <c r="N1746" i="1"/>
  <c r="M1747" i="1"/>
  <c r="N1747" i="1"/>
  <c r="M1748" i="1"/>
  <c r="N1748" i="1"/>
  <c r="M1749" i="1"/>
  <c r="N1749" i="1"/>
  <c r="M1750" i="1"/>
  <c r="N1750" i="1"/>
  <c r="M1751" i="1"/>
  <c r="N1751" i="1"/>
  <c r="M1752" i="1"/>
  <c r="N1752" i="1"/>
  <c r="M1753" i="1"/>
  <c r="N1753" i="1"/>
  <c r="M1754" i="1"/>
  <c r="N1754" i="1"/>
  <c r="M1755" i="1"/>
  <c r="N1755" i="1"/>
  <c r="M1756" i="1"/>
  <c r="N1756" i="1"/>
  <c r="M1757" i="1"/>
  <c r="N1757" i="1"/>
  <c r="M1758" i="1"/>
  <c r="N1758" i="1"/>
  <c r="M1759" i="1"/>
  <c r="N1759" i="1"/>
  <c r="M1760" i="1"/>
  <c r="N1760" i="1"/>
  <c r="M1761" i="1"/>
  <c r="N1761" i="1"/>
  <c r="M1762" i="1"/>
  <c r="N1762" i="1"/>
  <c r="M1763" i="1"/>
  <c r="N1763" i="1"/>
  <c r="M1764" i="1"/>
  <c r="N1764" i="1"/>
  <c r="M1765" i="1"/>
  <c r="N1765" i="1"/>
  <c r="M1766" i="1"/>
  <c r="N1766" i="1"/>
  <c r="M1767" i="1"/>
  <c r="N1767" i="1"/>
  <c r="M1768" i="1"/>
  <c r="N1768" i="1"/>
  <c r="M1769" i="1"/>
  <c r="N1769" i="1"/>
  <c r="M1770" i="1"/>
  <c r="N1770" i="1"/>
  <c r="M1771" i="1"/>
  <c r="N1771" i="1"/>
  <c r="M1772" i="1"/>
  <c r="N1772" i="1"/>
  <c r="M1773" i="1"/>
  <c r="N1773" i="1"/>
  <c r="M1774" i="1"/>
  <c r="N1774" i="1"/>
  <c r="M1775" i="1"/>
  <c r="N1775" i="1"/>
  <c r="M1776" i="1"/>
  <c r="N1776" i="1"/>
  <c r="M1777" i="1"/>
  <c r="N1777" i="1"/>
  <c r="M1778" i="1"/>
  <c r="N1778" i="1"/>
  <c r="M1779" i="1"/>
  <c r="N1779" i="1"/>
  <c r="M1780" i="1"/>
  <c r="N1780" i="1"/>
  <c r="M1781" i="1"/>
  <c r="N1781" i="1"/>
  <c r="M1782" i="1"/>
  <c r="N1782" i="1"/>
  <c r="M1783" i="1"/>
  <c r="N1783" i="1"/>
  <c r="M1784" i="1"/>
  <c r="N1784" i="1"/>
  <c r="M1785" i="1"/>
  <c r="N1785" i="1"/>
  <c r="M1786" i="1"/>
  <c r="N1786" i="1"/>
  <c r="M1787" i="1"/>
  <c r="N1787" i="1"/>
  <c r="M1788" i="1"/>
  <c r="N1788" i="1"/>
  <c r="M1789" i="1"/>
  <c r="N1789" i="1"/>
  <c r="M1790" i="1"/>
  <c r="N1790" i="1"/>
  <c r="M1791" i="1"/>
  <c r="N1791" i="1"/>
  <c r="M1792" i="1"/>
  <c r="N1792" i="1"/>
  <c r="M1793" i="1"/>
  <c r="N1793" i="1"/>
  <c r="M1794" i="1"/>
  <c r="N1794" i="1"/>
  <c r="M1795" i="1"/>
  <c r="N1795" i="1"/>
  <c r="M1796" i="1"/>
  <c r="N1796" i="1"/>
  <c r="M1797" i="1"/>
  <c r="N1797" i="1"/>
  <c r="M1798" i="1"/>
  <c r="N1798" i="1"/>
  <c r="M1799" i="1"/>
  <c r="N1799" i="1"/>
  <c r="M1800" i="1"/>
  <c r="N1800" i="1"/>
  <c r="M1801" i="1"/>
  <c r="N1801" i="1"/>
  <c r="M1802" i="1"/>
  <c r="N1802" i="1"/>
  <c r="M1803" i="1"/>
  <c r="N1803" i="1"/>
  <c r="M1804" i="1"/>
  <c r="N1804" i="1"/>
  <c r="M1805" i="1"/>
  <c r="N1805" i="1"/>
  <c r="M1806" i="1"/>
  <c r="N1806" i="1"/>
  <c r="M1807" i="1"/>
  <c r="N1807" i="1"/>
  <c r="M1808" i="1"/>
  <c r="N1808" i="1"/>
  <c r="M1809" i="1"/>
  <c r="N1809" i="1"/>
  <c r="M1810" i="1"/>
  <c r="N1810" i="1"/>
  <c r="M1811" i="1"/>
  <c r="N1811" i="1"/>
  <c r="M1812" i="1"/>
  <c r="N1812" i="1"/>
  <c r="M1813" i="1"/>
  <c r="N1813" i="1"/>
  <c r="M1814" i="1"/>
  <c r="N1814" i="1"/>
  <c r="M1815" i="1"/>
  <c r="N1815" i="1"/>
  <c r="M1816" i="1"/>
  <c r="N1816" i="1"/>
  <c r="M1817" i="1"/>
  <c r="N1817" i="1"/>
  <c r="M1818" i="1"/>
  <c r="N1818" i="1"/>
  <c r="M1819" i="1"/>
  <c r="N1819" i="1"/>
  <c r="M1820" i="1"/>
  <c r="N1820" i="1"/>
  <c r="M1821" i="1"/>
  <c r="N1821" i="1"/>
  <c r="M1822" i="1"/>
  <c r="N1822" i="1"/>
  <c r="M1823" i="1"/>
  <c r="N1823" i="1"/>
  <c r="M1824" i="1"/>
  <c r="N1824" i="1"/>
  <c r="M1825" i="1"/>
  <c r="N1825" i="1"/>
  <c r="M1826" i="1"/>
  <c r="N1826" i="1"/>
  <c r="M1827" i="1"/>
  <c r="N1827" i="1"/>
  <c r="M1828" i="1"/>
  <c r="N1828" i="1"/>
  <c r="M1829" i="1"/>
  <c r="N1829" i="1"/>
  <c r="M1830" i="1"/>
  <c r="N1830" i="1"/>
  <c r="M1831" i="1"/>
  <c r="N1831" i="1"/>
  <c r="M1832" i="1"/>
  <c r="N1832" i="1"/>
  <c r="M1833" i="1"/>
  <c r="N1833" i="1"/>
  <c r="M1834" i="1"/>
  <c r="N1834" i="1"/>
  <c r="M1835" i="1"/>
  <c r="N1835" i="1"/>
  <c r="M1836" i="1"/>
  <c r="N1836" i="1"/>
  <c r="M1837" i="1"/>
  <c r="N1837" i="1"/>
  <c r="M1838" i="1"/>
  <c r="N1838" i="1"/>
  <c r="M1839" i="1"/>
  <c r="N1839" i="1"/>
  <c r="M1840" i="1"/>
  <c r="N1840" i="1"/>
  <c r="M1841" i="1"/>
  <c r="N1841" i="1"/>
  <c r="M1842" i="1"/>
  <c r="N1842" i="1"/>
  <c r="M1843" i="1"/>
  <c r="N1843" i="1"/>
  <c r="M1844" i="1"/>
  <c r="N1844" i="1"/>
  <c r="M1845" i="1"/>
  <c r="N1845" i="1"/>
  <c r="M1846" i="1"/>
  <c r="N1846" i="1"/>
  <c r="M1847" i="1"/>
  <c r="N1847" i="1"/>
  <c r="M1848" i="1"/>
  <c r="N1848" i="1"/>
  <c r="M1849" i="1"/>
  <c r="N1849" i="1"/>
  <c r="M1850" i="1"/>
  <c r="N1850" i="1"/>
  <c r="M1851" i="1"/>
  <c r="N1851" i="1"/>
  <c r="M1852" i="1"/>
  <c r="N1852" i="1"/>
  <c r="M1853" i="1"/>
  <c r="N1853" i="1"/>
  <c r="M1854" i="1"/>
  <c r="N1854" i="1"/>
  <c r="M1855" i="1"/>
  <c r="N1855" i="1"/>
  <c r="M1856" i="1"/>
  <c r="N1856" i="1"/>
  <c r="M1857" i="1"/>
  <c r="N1857" i="1"/>
  <c r="M1858" i="1"/>
  <c r="N1858" i="1"/>
  <c r="M1859" i="1"/>
  <c r="N1859" i="1"/>
  <c r="M1860" i="1"/>
  <c r="N1860" i="1"/>
  <c r="M1861" i="1"/>
  <c r="N1861" i="1"/>
  <c r="M1862" i="1"/>
  <c r="N1862" i="1"/>
  <c r="M1863" i="1"/>
  <c r="N1863" i="1"/>
  <c r="M1864" i="1"/>
  <c r="N1864" i="1"/>
  <c r="M1865" i="1"/>
  <c r="N1865" i="1"/>
  <c r="M1866" i="1"/>
  <c r="N1866" i="1"/>
  <c r="M1867" i="1"/>
  <c r="N1867" i="1"/>
  <c r="M1868" i="1"/>
  <c r="N1868" i="1"/>
  <c r="M1869" i="1"/>
  <c r="N1869" i="1"/>
  <c r="M1870" i="1"/>
  <c r="N1870" i="1"/>
  <c r="M1871" i="1"/>
  <c r="N1871" i="1"/>
  <c r="M1872" i="1"/>
  <c r="N1872" i="1"/>
  <c r="M1873" i="1"/>
  <c r="N1873" i="1"/>
  <c r="M1874" i="1"/>
  <c r="N1874" i="1"/>
  <c r="M1875" i="1"/>
  <c r="N1875" i="1"/>
  <c r="M1876" i="1"/>
  <c r="N1876" i="1"/>
  <c r="M1877" i="1"/>
  <c r="N1877" i="1"/>
  <c r="M1878" i="1"/>
  <c r="N1878" i="1"/>
  <c r="M1879" i="1"/>
  <c r="N1879" i="1"/>
  <c r="M1880" i="1"/>
  <c r="N1880" i="1"/>
  <c r="M1881" i="1"/>
  <c r="N1881" i="1"/>
  <c r="M1882" i="1"/>
  <c r="N1882" i="1"/>
  <c r="M1883" i="1"/>
  <c r="N1883" i="1"/>
  <c r="M1884" i="1"/>
  <c r="N1884" i="1"/>
  <c r="M1885" i="1"/>
  <c r="N1885" i="1"/>
  <c r="M1886" i="1"/>
  <c r="N1886" i="1"/>
  <c r="M1887" i="1"/>
  <c r="N1887" i="1"/>
  <c r="M1888" i="1"/>
  <c r="N1888" i="1"/>
  <c r="M1889" i="1"/>
  <c r="N1889" i="1"/>
  <c r="M1890" i="1"/>
  <c r="N1890" i="1"/>
  <c r="M1891" i="1"/>
  <c r="N1891" i="1"/>
  <c r="M1892" i="1"/>
  <c r="N1892" i="1"/>
  <c r="M1893" i="1"/>
  <c r="N1893" i="1"/>
  <c r="M1894" i="1"/>
  <c r="N1894" i="1"/>
  <c r="M1895" i="1"/>
  <c r="N1895" i="1"/>
  <c r="M1896" i="1"/>
  <c r="N1896" i="1"/>
  <c r="M1897" i="1"/>
  <c r="N1897" i="1"/>
  <c r="M1898" i="1"/>
  <c r="N1898" i="1"/>
  <c r="M1899" i="1"/>
  <c r="N1899" i="1"/>
  <c r="M1900" i="1"/>
  <c r="N1900" i="1"/>
  <c r="M1901" i="1"/>
  <c r="N1901" i="1"/>
  <c r="M1902" i="1"/>
  <c r="N1902" i="1"/>
  <c r="M1903" i="1"/>
  <c r="N1903" i="1"/>
  <c r="M1904" i="1"/>
  <c r="N1904" i="1"/>
  <c r="M1905" i="1"/>
  <c r="N1905" i="1"/>
  <c r="M1906" i="1"/>
  <c r="N1906" i="1"/>
  <c r="M1907" i="1"/>
  <c r="N1907" i="1"/>
  <c r="M1908" i="1"/>
  <c r="N1908" i="1"/>
  <c r="M1909" i="1"/>
  <c r="N1909" i="1"/>
  <c r="M1910" i="1"/>
  <c r="N1910" i="1"/>
  <c r="M1911" i="1"/>
  <c r="N1911" i="1"/>
  <c r="M1912" i="1"/>
  <c r="N1912" i="1"/>
  <c r="M1913" i="1"/>
  <c r="N1913" i="1"/>
  <c r="M1914" i="1"/>
  <c r="N1914" i="1"/>
  <c r="M1915" i="1"/>
  <c r="N1915" i="1"/>
  <c r="M1916" i="1"/>
  <c r="N1916" i="1"/>
  <c r="M1917" i="1"/>
  <c r="N1917" i="1"/>
  <c r="M1918" i="1"/>
  <c r="N1918" i="1"/>
  <c r="M1919" i="1"/>
  <c r="N1919" i="1"/>
  <c r="M1920" i="1"/>
  <c r="N1920" i="1"/>
  <c r="M1921" i="1"/>
  <c r="N1921" i="1"/>
  <c r="M1922" i="1"/>
  <c r="N1922" i="1"/>
  <c r="M1923" i="1"/>
  <c r="N1923" i="1"/>
  <c r="M1924" i="1"/>
  <c r="N1924" i="1"/>
  <c r="M1925" i="1"/>
  <c r="N1925" i="1"/>
  <c r="M1926" i="1"/>
  <c r="N1926" i="1"/>
  <c r="M1927" i="1"/>
  <c r="N1927" i="1"/>
  <c r="M1928" i="1"/>
  <c r="N1928" i="1"/>
  <c r="M1929" i="1"/>
  <c r="N1929" i="1"/>
  <c r="M1930" i="1"/>
  <c r="N1930" i="1"/>
  <c r="M1931" i="1"/>
  <c r="N1931" i="1"/>
  <c r="M1932" i="1"/>
  <c r="N1932" i="1"/>
  <c r="M1933" i="1"/>
  <c r="N1933" i="1"/>
  <c r="M1934" i="1"/>
  <c r="N1934" i="1"/>
  <c r="M1935" i="1"/>
  <c r="N1935" i="1"/>
  <c r="M1936" i="1"/>
  <c r="N1936" i="1"/>
  <c r="M1937" i="1"/>
  <c r="N1937" i="1"/>
  <c r="M1938" i="1"/>
  <c r="N1938" i="1"/>
  <c r="M1939" i="1"/>
  <c r="N1939" i="1"/>
  <c r="M1940" i="1"/>
  <c r="N1940" i="1"/>
  <c r="M1941" i="1"/>
  <c r="N1941" i="1"/>
  <c r="M1942" i="1"/>
  <c r="N1942" i="1"/>
  <c r="M1943" i="1"/>
  <c r="N1943" i="1"/>
  <c r="M1944" i="1"/>
  <c r="N1944" i="1"/>
  <c r="M1945" i="1"/>
  <c r="N1945" i="1"/>
  <c r="M1946" i="1"/>
  <c r="N1946" i="1"/>
  <c r="M1947" i="1"/>
  <c r="N1947" i="1"/>
  <c r="M1948" i="1"/>
  <c r="N1948" i="1"/>
  <c r="M1949" i="1"/>
  <c r="N1949" i="1"/>
  <c r="M1950" i="1"/>
  <c r="N1950" i="1"/>
  <c r="M1951" i="1"/>
  <c r="N1951" i="1"/>
  <c r="M1952" i="1"/>
  <c r="N1952" i="1"/>
  <c r="M1953" i="1"/>
  <c r="N1953" i="1"/>
  <c r="M1954" i="1"/>
  <c r="N1954" i="1"/>
  <c r="M1955" i="1"/>
  <c r="N1955" i="1"/>
  <c r="M1956" i="1"/>
  <c r="N1956" i="1"/>
  <c r="M1957" i="1"/>
  <c r="N1957" i="1"/>
  <c r="M1958" i="1"/>
  <c r="N1958" i="1"/>
  <c r="M1959" i="1"/>
  <c r="N1959" i="1"/>
  <c r="M1960" i="1"/>
  <c r="N1960" i="1"/>
  <c r="M1961" i="1"/>
  <c r="N1961" i="1"/>
  <c r="M1962" i="1"/>
  <c r="N1962" i="1"/>
  <c r="M1963" i="1"/>
  <c r="N1963" i="1"/>
  <c r="M1964" i="1"/>
  <c r="N1964" i="1"/>
  <c r="M1965" i="1"/>
  <c r="N1965" i="1"/>
  <c r="M1966" i="1"/>
  <c r="N1966" i="1"/>
  <c r="M1967" i="1"/>
  <c r="N1967" i="1"/>
  <c r="M1968" i="1"/>
  <c r="N1968" i="1"/>
  <c r="M1969" i="1"/>
  <c r="N1969" i="1"/>
  <c r="M1970" i="1"/>
  <c r="N1970" i="1"/>
  <c r="M1971" i="1"/>
  <c r="N1971" i="1"/>
  <c r="M1972" i="1"/>
  <c r="N1972" i="1"/>
  <c r="M1973" i="1"/>
  <c r="N1973" i="1"/>
  <c r="M1974" i="1"/>
  <c r="N1974" i="1"/>
  <c r="M1975" i="1"/>
  <c r="N1975" i="1"/>
  <c r="M1976" i="1"/>
  <c r="N1976" i="1"/>
  <c r="M1977" i="1"/>
  <c r="N1977" i="1"/>
  <c r="M1978" i="1"/>
  <c r="N1978" i="1"/>
  <c r="M1979" i="1"/>
  <c r="N1979" i="1"/>
  <c r="M1980" i="1"/>
  <c r="N1980" i="1"/>
  <c r="M1981" i="1"/>
  <c r="N1981" i="1"/>
  <c r="M1982" i="1"/>
  <c r="N1982" i="1"/>
  <c r="M1983" i="1"/>
  <c r="N1983" i="1"/>
  <c r="M1984" i="1"/>
  <c r="N1984" i="1"/>
  <c r="M1985" i="1"/>
  <c r="N1985" i="1"/>
  <c r="M1986" i="1"/>
  <c r="N1986" i="1"/>
  <c r="M1987" i="1"/>
  <c r="N1987" i="1"/>
  <c r="M1988" i="1"/>
  <c r="N1988" i="1"/>
  <c r="M1989" i="1"/>
  <c r="N1989" i="1"/>
  <c r="M1990" i="1"/>
  <c r="N1990" i="1"/>
  <c r="M1991" i="1"/>
  <c r="N1991" i="1"/>
  <c r="M1992" i="1"/>
  <c r="N1992" i="1"/>
  <c r="M1993" i="1"/>
  <c r="N1993" i="1"/>
  <c r="M1994" i="1"/>
  <c r="N1994" i="1"/>
  <c r="M1995" i="1"/>
  <c r="N1995" i="1"/>
  <c r="M1996" i="1"/>
  <c r="N1996" i="1"/>
  <c r="M1997" i="1"/>
  <c r="N1997" i="1"/>
  <c r="M1998" i="1"/>
  <c r="N1998" i="1"/>
  <c r="M1999" i="1"/>
  <c r="N1999" i="1"/>
  <c r="M2000" i="1"/>
  <c r="N2000" i="1"/>
  <c r="M2001" i="1"/>
  <c r="N2001" i="1"/>
  <c r="M2002" i="1"/>
  <c r="N2002" i="1"/>
  <c r="M2003" i="1"/>
  <c r="N2003" i="1"/>
  <c r="M2004" i="1"/>
  <c r="N2004" i="1"/>
  <c r="M2005" i="1"/>
  <c r="N2005" i="1"/>
  <c r="M2006" i="1"/>
  <c r="N2006" i="1"/>
  <c r="M2007" i="1"/>
  <c r="N2007" i="1"/>
  <c r="M2008" i="1"/>
  <c r="N2008" i="1"/>
  <c r="M2009" i="1"/>
  <c r="N2009" i="1"/>
  <c r="M2010" i="1"/>
  <c r="N2010" i="1"/>
  <c r="M2011" i="1"/>
  <c r="N2011" i="1"/>
  <c r="M2012" i="1"/>
  <c r="N2012" i="1"/>
  <c r="M2013" i="1"/>
  <c r="N2013" i="1"/>
  <c r="M2014" i="1"/>
  <c r="N2014" i="1"/>
  <c r="M2015" i="1"/>
  <c r="N2015" i="1"/>
  <c r="M2016" i="1"/>
  <c r="N2016" i="1"/>
  <c r="M2017" i="1"/>
  <c r="N2017" i="1"/>
  <c r="M2018" i="1"/>
  <c r="N2018" i="1"/>
  <c r="M2019" i="1"/>
  <c r="N2019" i="1"/>
  <c r="M2020" i="1"/>
  <c r="N2020" i="1"/>
  <c r="M2021" i="1"/>
  <c r="N2021" i="1"/>
  <c r="M2022" i="1"/>
  <c r="N2022" i="1"/>
  <c r="M2023" i="1"/>
  <c r="N2023" i="1"/>
  <c r="M2024" i="1"/>
  <c r="N2024" i="1"/>
  <c r="M2025" i="1"/>
  <c r="N2025" i="1"/>
  <c r="M2026" i="1"/>
  <c r="N2026" i="1"/>
  <c r="M2027" i="1"/>
  <c r="N2027" i="1"/>
  <c r="M2028" i="1"/>
  <c r="N2028" i="1"/>
  <c r="M2029" i="1"/>
  <c r="N2029" i="1"/>
  <c r="M2030" i="1"/>
  <c r="N2030" i="1"/>
  <c r="M2031" i="1"/>
  <c r="N2031" i="1"/>
  <c r="M2032" i="1"/>
  <c r="N2032" i="1"/>
  <c r="M2033" i="1"/>
  <c r="N2033" i="1"/>
  <c r="M2034" i="1"/>
  <c r="N2034" i="1"/>
  <c r="M2035" i="1"/>
  <c r="N2035" i="1"/>
  <c r="M2036" i="1"/>
  <c r="N2036" i="1"/>
  <c r="M2037" i="1"/>
  <c r="N2037" i="1"/>
  <c r="M2038" i="1"/>
  <c r="N2038" i="1"/>
  <c r="M2039" i="1"/>
  <c r="N2039" i="1"/>
  <c r="M2040" i="1"/>
  <c r="N2040" i="1"/>
  <c r="M2041" i="1"/>
  <c r="N2041" i="1"/>
  <c r="M2042" i="1"/>
  <c r="N2042" i="1"/>
  <c r="M2043" i="1"/>
  <c r="N2043" i="1"/>
  <c r="M2044" i="1"/>
  <c r="N2044" i="1"/>
  <c r="M2045" i="1"/>
  <c r="N2045" i="1"/>
  <c r="M2046" i="1"/>
  <c r="N2046" i="1"/>
  <c r="M2047" i="1"/>
  <c r="N2047" i="1"/>
  <c r="M2048" i="1"/>
  <c r="N2048" i="1"/>
  <c r="M2049" i="1"/>
  <c r="N2049" i="1"/>
  <c r="M2050" i="1"/>
  <c r="N2050" i="1"/>
  <c r="M2051" i="1"/>
  <c r="N2051" i="1"/>
  <c r="M2052" i="1"/>
  <c r="N2052" i="1"/>
  <c r="M2053" i="1"/>
  <c r="N2053" i="1"/>
  <c r="M2054" i="1"/>
  <c r="N2054" i="1"/>
  <c r="M2055" i="1"/>
  <c r="N2055" i="1"/>
  <c r="M2056" i="1"/>
  <c r="N2056" i="1"/>
  <c r="M2057" i="1"/>
  <c r="N2057" i="1"/>
  <c r="M2058" i="1"/>
  <c r="N2058" i="1"/>
  <c r="M2059" i="1"/>
  <c r="N2059" i="1"/>
  <c r="M2060" i="1"/>
  <c r="N2060" i="1"/>
  <c r="M2061" i="1"/>
  <c r="N2061" i="1"/>
  <c r="M2062" i="1"/>
  <c r="N2062" i="1"/>
  <c r="M2063" i="1"/>
  <c r="N2063" i="1"/>
  <c r="M2064" i="1"/>
  <c r="N2064" i="1"/>
  <c r="M2065" i="1"/>
  <c r="N2065" i="1"/>
  <c r="M2066" i="1"/>
  <c r="N2066" i="1"/>
  <c r="M2067" i="1"/>
  <c r="N2067" i="1"/>
  <c r="M2068" i="1"/>
  <c r="N2068" i="1"/>
  <c r="M2069" i="1"/>
  <c r="N2069" i="1"/>
  <c r="M2070" i="1"/>
  <c r="N2070" i="1"/>
  <c r="M2071" i="1"/>
  <c r="N2071" i="1"/>
  <c r="M2072" i="1"/>
  <c r="N2072" i="1"/>
  <c r="M2073" i="1"/>
  <c r="N2073" i="1"/>
  <c r="M2074" i="1"/>
  <c r="N2074" i="1"/>
  <c r="M2075" i="1"/>
  <c r="N2075" i="1"/>
  <c r="M2076" i="1"/>
  <c r="N2076" i="1"/>
  <c r="M2077" i="1"/>
  <c r="N2077" i="1"/>
  <c r="M2078" i="1"/>
  <c r="N2078" i="1"/>
  <c r="M2079" i="1"/>
  <c r="N2079" i="1"/>
  <c r="M2080" i="1"/>
  <c r="N2080" i="1"/>
  <c r="M2081" i="1"/>
  <c r="N2081" i="1"/>
  <c r="M2082" i="1"/>
  <c r="N2082" i="1"/>
  <c r="M2083" i="1"/>
  <c r="N2083" i="1"/>
  <c r="M2084" i="1"/>
  <c r="N2084" i="1"/>
  <c r="M2085" i="1"/>
  <c r="N2085" i="1"/>
  <c r="M2086" i="1"/>
  <c r="N2086" i="1"/>
  <c r="M2087" i="1"/>
  <c r="N2087" i="1"/>
  <c r="M2088" i="1"/>
  <c r="N2088" i="1"/>
  <c r="M2089" i="1"/>
  <c r="N2089" i="1"/>
  <c r="M2090" i="1"/>
  <c r="N2090" i="1"/>
  <c r="M2091" i="1"/>
  <c r="N2091" i="1"/>
  <c r="M2092" i="1"/>
  <c r="N2092" i="1"/>
  <c r="M2093" i="1"/>
  <c r="N2093" i="1"/>
  <c r="M2094" i="1"/>
  <c r="N2094" i="1"/>
  <c r="M2095" i="1"/>
  <c r="N2095" i="1"/>
  <c r="M2096" i="1"/>
  <c r="N2096" i="1"/>
  <c r="M2097" i="1"/>
  <c r="N2097" i="1"/>
  <c r="M2098" i="1"/>
  <c r="N2098" i="1"/>
  <c r="M2099" i="1"/>
  <c r="N2099" i="1"/>
  <c r="M2100" i="1"/>
  <c r="N2100" i="1"/>
  <c r="M2101" i="1"/>
  <c r="N2101" i="1"/>
  <c r="M2102" i="1"/>
  <c r="N2102" i="1"/>
  <c r="M2103" i="1"/>
  <c r="N2103" i="1"/>
  <c r="M2104" i="1"/>
  <c r="N2104" i="1"/>
  <c r="M2105" i="1"/>
  <c r="N2105" i="1"/>
  <c r="M2106" i="1"/>
  <c r="N2106" i="1"/>
  <c r="M2107" i="1"/>
  <c r="N2107" i="1"/>
  <c r="M2108" i="1"/>
  <c r="N2108" i="1"/>
  <c r="M2109" i="1"/>
  <c r="N2109" i="1"/>
  <c r="M2110" i="1"/>
  <c r="N2110" i="1"/>
  <c r="M2111" i="1"/>
  <c r="N2111" i="1"/>
  <c r="M2112" i="1"/>
  <c r="N2112" i="1"/>
  <c r="M2113" i="1"/>
  <c r="N2113" i="1"/>
  <c r="M2114" i="1"/>
  <c r="N2114" i="1"/>
  <c r="M2115" i="1"/>
  <c r="N2115" i="1"/>
  <c r="M2116" i="1"/>
  <c r="N2116" i="1"/>
  <c r="M2117" i="1"/>
  <c r="N2117" i="1"/>
  <c r="M2118" i="1"/>
  <c r="N2118" i="1"/>
  <c r="M2119" i="1"/>
  <c r="N2119" i="1"/>
  <c r="M2120" i="1"/>
  <c r="N2120" i="1"/>
  <c r="M2121" i="1"/>
  <c r="N2121" i="1"/>
  <c r="M2122" i="1"/>
  <c r="N2122" i="1"/>
  <c r="M2123" i="1"/>
  <c r="N2123" i="1"/>
  <c r="M2124" i="1"/>
  <c r="N2124" i="1"/>
  <c r="M2125" i="1"/>
  <c r="N2125" i="1"/>
  <c r="M2126" i="1"/>
  <c r="N2126" i="1"/>
  <c r="M2127" i="1"/>
  <c r="N2127" i="1"/>
  <c r="M2128" i="1"/>
  <c r="N2128" i="1"/>
  <c r="M2129" i="1"/>
  <c r="N2129" i="1"/>
  <c r="M2130" i="1"/>
  <c r="N2130" i="1"/>
  <c r="M2131" i="1"/>
  <c r="N2131" i="1"/>
  <c r="M2132" i="1"/>
  <c r="N2132" i="1"/>
  <c r="M2133" i="1"/>
  <c r="N2133" i="1"/>
  <c r="M2134" i="1"/>
  <c r="N2134" i="1"/>
  <c r="M2135" i="1"/>
  <c r="N2135" i="1"/>
  <c r="M2136" i="1"/>
  <c r="N2136" i="1"/>
  <c r="M2137" i="1"/>
  <c r="N2137" i="1"/>
  <c r="M2138" i="1"/>
  <c r="N2138" i="1"/>
  <c r="M2139" i="1"/>
  <c r="N2139" i="1"/>
  <c r="M2140" i="1"/>
  <c r="N2140" i="1"/>
  <c r="M2141" i="1"/>
  <c r="N2141" i="1"/>
  <c r="M2142" i="1"/>
  <c r="N2142" i="1"/>
  <c r="M2143" i="1"/>
  <c r="N2143" i="1"/>
  <c r="M2144" i="1"/>
  <c r="N2144" i="1"/>
  <c r="M2145" i="1"/>
  <c r="N2145" i="1"/>
  <c r="M2146" i="1"/>
  <c r="N2146" i="1"/>
  <c r="M2147" i="1"/>
  <c r="N2147" i="1"/>
  <c r="M2148" i="1"/>
  <c r="N2148" i="1"/>
  <c r="M2149" i="1"/>
  <c r="N2149" i="1"/>
  <c r="M2150" i="1"/>
  <c r="N2150" i="1"/>
  <c r="M2151" i="1"/>
  <c r="N2151" i="1"/>
  <c r="M2152" i="1"/>
  <c r="N2152" i="1"/>
  <c r="M2153" i="1"/>
  <c r="N2153" i="1"/>
  <c r="M2154" i="1"/>
  <c r="N2154" i="1"/>
  <c r="M2155" i="1"/>
  <c r="N2155" i="1"/>
  <c r="M2156" i="1"/>
  <c r="N2156" i="1"/>
  <c r="M2157" i="1"/>
  <c r="N2157" i="1"/>
  <c r="M2158" i="1"/>
  <c r="N2158" i="1"/>
  <c r="M2159" i="1"/>
  <c r="N2159" i="1"/>
  <c r="M2160" i="1"/>
  <c r="N2160" i="1"/>
  <c r="M2161" i="1"/>
  <c r="N2161" i="1"/>
  <c r="M2162" i="1"/>
  <c r="N2162" i="1"/>
  <c r="M2163" i="1"/>
  <c r="N2163" i="1"/>
  <c r="M2164" i="1"/>
  <c r="N2164" i="1"/>
  <c r="M2165" i="1"/>
  <c r="N2165" i="1"/>
  <c r="M2166" i="1"/>
  <c r="N2166" i="1"/>
  <c r="M2167" i="1"/>
  <c r="N2167" i="1"/>
  <c r="M2168" i="1"/>
  <c r="N2168" i="1"/>
  <c r="M2169" i="1"/>
  <c r="N2169" i="1"/>
  <c r="M2170" i="1"/>
  <c r="N2170" i="1"/>
  <c r="M2171" i="1"/>
  <c r="N2171" i="1"/>
  <c r="M2172" i="1"/>
  <c r="N2172" i="1"/>
  <c r="M2173" i="1"/>
  <c r="N2173" i="1"/>
  <c r="M2174" i="1"/>
  <c r="N2174" i="1"/>
  <c r="M2175" i="1"/>
  <c r="N2175" i="1"/>
  <c r="M2176" i="1"/>
  <c r="N2176" i="1"/>
  <c r="M2177" i="1"/>
  <c r="N2177" i="1"/>
  <c r="M2178" i="1"/>
  <c r="N2178" i="1"/>
  <c r="M2179" i="1"/>
  <c r="N2179" i="1"/>
  <c r="M2180" i="1"/>
  <c r="N2180" i="1"/>
  <c r="M2181" i="1"/>
  <c r="N2181" i="1"/>
  <c r="M2182" i="1"/>
  <c r="N2182" i="1"/>
  <c r="M2183" i="1"/>
  <c r="N2183" i="1"/>
  <c r="M2184" i="1"/>
  <c r="N2184" i="1"/>
  <c r="M2185" i="1"/>
  <c r="N2185" i="1"/>
  <c r="M2186" i="1"/>
  <c r="N2186" i="1"/>
  <c r="M2187" i="1"/>
  <c r="N2187" i="1"/>
  <c r="M2188" i="1"/>
  <c r="N2188" i="1"/>
  <c r="M2189" i="1"/>
  <c r="N2189" i="1"/>
  <c r="M2190" i="1"/>
  <c r="N2190" i="1"/>
  <c r="M2191" i="1"/>
  <c r="N2191" i="1"/>
  <c r="M2192" i="1"/>
  <c r="N2192" i="1"/>
  <c r="M2193" i="1"/>
  <c r="N2193" i="1"/>
  <c r="M2194" i="1"/>
  <c r="N2194" i="1"/>
  <c r="M2195" i="1"/>
  <c r="N2195" i="1"/>
  <c r="M2196" i="1"/>
  <c r="N2196" i="1"/>
  <c r="M2197" i="1"/>
  <c r="N2197" i="1"/>
  <c r="M2198" i="1"/>
  <c r="N2198" i="1"/>
  <c r="M2199" i="1"/>
  <c r="N2199" i="1"/>
  <c r="M2200" i="1"/>
  <c r="N2200" i="1"/>
  <c r="M2201" i="1"/>
  <c r="N2201" i="1"/>
  <c r="M2202" i="1"/>
  <c r="N2202" i="1"/>
  <c r="M2203" i="1"/>
  <c r="N2203" i="1"/>
  <c r="M2204" i="1"/>
  <c r="N2204" i="1"/>
  <c r="M2205" i="1"/>
  <c r="N2205" i="1"/>
  <c r="M2206" i="1"/>
  <c r="N2206" i="1"/>
  <c r="M2207" i="1"/>
  <c r="N2207" i="1"/>
  <c r="M2208" i="1"/>
  <c r="N2208" i="1"/>
  <c r="M2209" i="1"/>
  <c r="N2209" i="1"/>
  <c r="M2210" i="1"/>
  <c r="N2210" i="1"/>
  <c r="M2211" i="1"/>
  <c r="N2211" i="1"/>
  <c r="M2212" i="1"/>
  <c r="N2212" i="1"/>
  <c r="M2213" i="1"/>
  <c r="N2213" i="1"/>
  <c r="M2214" i="1"/>
  <c r="N2214" i="1"/>
  <c r="M2215" i="1"/>
  <c r="N2215" i="1"/>
  <c r="M2216" i="1"/>
  <c r="N2216" i="1"/>
  <c r="M2217" i="1"/>
  <c r="N2217" i="1"/>
  <c r="M2218" i="1"/>
  <c r="N2218" i="1"/>
  <c r="M2219" i="1"/>
  <c r="N2219" i="1"/>
  <c r="M2220" i="1"/>
  <c r="N2220" i="1"/>
  <c r="M2221" i="1"/>
  <c r="N2221" i="1"/>
  <c r="M2222" i="1"/>
  <c r="N2222" i="1"/>
  <c r="M2223" i="1"/>
  <c r="N2223" i="1"/>
  <c r="M2224" i="1"/>
  <c r="N2224" i="1"/>
  <c r="M2225" i="1"/>
  <c r="N2225" i="1"/>
  <c r="M2226" i="1"/>
  <c r="N2226" i="1"/>
  <c r="M2227" i="1"/>
  <c r="N2227" i="1"/>
  <c r="M2228" i="1"/>
  <c r="N2228" i="1"/>
  <c r="M2229" i="1"/>
  <c r="N2229" i="1"/>
  <c r="M2230" i="1"/>
  <c r="N2230" i="1"/>
  <c r="M2231" i="1"/>
  <c r="N2231" i="1"/>
  <c r="M2232" i="1"/>
  <c r="N2232" i="1"/>
  <c r="M2233" i="1"/>
  <c r="N2233" i="1"/>
  <c r="M2234" i="1"/>
  <c r="N2234" i="1"/>
  <c r="M2235" i="1"/>
  <c r="N2235" i="1"/>
  <c r="M2236" i="1"/>
  <c r="N2236" i="1"/>
  <c r="M2237" i="1"/>
  <c r="N2237" i="1"/>
  <c r="M2238" i="1"/>
  <c r="N2238" i="1"/>
  <c r="M2239" i="1"/>
  <c r="N2239" i="1"/>
  <c r="M2240" i="1"/>
  <c r="N2240" i="1"/>
  <c r="M2241" i="1"/>
  <c r="N2241" i="1"/>
  <c r="M2242" i="1"/>
  <c r="N2242" i="1"/>
  <c r="M2243" i="1"/>
  <c r="N2243" i="1"/>
  <c r="M2244" i="1"/>
  <c r="N2244" i="1"/>
  <c r="M2245" i="1"/>
  <c r="N2245" i="1"/>
  <c r="M2246" i="1"/>
  <c r="N2246" i="1"/>
  <c r="M2247" i="1"/>
  <c r="N2247" i="1"/>
  <c r="M2248" i="1"/>
  <c r="N2248" i="1"/>
  <c r="M2249" i="1"/>
  <c r="N2249" i="1"/>
  <c r="M2250" i="1"/>
  <c r="N2250" i="1"/>
  <c r="M2251" i="1"/>
  <c r="N2251" i="1"/>
  <c r="M2252" i="1"/>
  <c r="N2252" i="1"/>
  <c r="M2253" i="1"/>
  <c r="N2253" i="1"/>
  <c r="M2254" i="1"/>
  <c r="N2254" i="1"/>
  <c r="M2255" i="1"/>
  <c r="N2255" i="1"/>
  <c r="M2256" i="1"/>
  <c r="N2256" i="1"/>
  <c r="M2257" i="1"/>
  <c r="N2257" i="1"/>
  <c r="M2258" i="1"/>
  <c r="N2258" i="1"/>
  <c r="M2259" i="1"/>
  <c r="N2259" i="1"/>
  <c r="M2260" i="1"/>
  <c r="N2260" i="1"/>
  <c r="M2261" i="1"/>
  <c r="N2261" i="1"/>
  <c r="M2262" i="1"/>
  <c r="N2262" i="1"/>
  <c r="M2263" i="1"/>
  <c r="N2263" i="1"/>
  <c r="M2264" i="1"/>
  <c r="N2264" i="1"/>
  <c r="M2265" i="1"/>
  <c r="N2265" i="1"/>
  <c r="M2266" i="1"/>
  <c r="N2266" i="1"/>
  <c r="M2267" i="1"/>
  <c r="N2267" i="1"/>
  <c r="M2268" i="1"/>
  <c r="N2268" i="1"/>
  <c r="M2269" i="1"/>
  <c r="N2269" i="1"/>
  <c r="M2270" i="1"/>
  <c r="N2270" i="1"/>
  <c r="M2271" i="1"/>
  <c r="N2271" i="1"/>
  <c r="M2272" i="1"/>
  <c r="N2272" i="1"/>
  <c r="M2273" i="1"/>
  <c r="N2273" i="1"/>
  <c r="M2274" i="1"/>
  <c r="N2274" i="1"/>
  <c r="M2275" i="1"/>
  <c r="N2275" i="1"/>
  <c r="M2276" i="1"/>
  <c r="N2276" i="1"/>
  <c r="M2277" i="1"/>
  <c r="N2277" i="1"/>
  <c r="M2278" i="1"/>
  <c r="N2278" i="1"/>
  <c r="M2279" i="1"/>
  <c r="N2279" i="1"/>
  <c r="M2280" i="1"/>
  <c r="N2280" i="1"/>
  <c r="M2281" i="1"/>
  <c r="N2281" i="1"/>
  <c r="M2282" i="1"/>
  <c r="N2282" i="1"/>
  <c r="M2283" i="1"/>
  <c r="N2283" i="1"/>
  <c r="M2284" i="1"/>
  <c r="N2284" i="1"/>
  <c r="M2285" i="1"/>
  <c r="N2285" i="1"/>
  <c r="M2286" i="1"/>
  <c r="N2286" i="1"/>
  <c r="M2287" i="1"/>
  <c r="N2287" i="1"/>
  <c r="M2288" i="1"/>
  <c r="N2288" i="1"/>
  <c r="M2289" i="1"/>
  <c r="N2289" i="1"/>
  <c r="M2290" i="1"/>
  <c r="N2290" i="1"/>
  <c r="M2291" i="1"/>
  <c r="N2291" i="1"/>
  <c r="M2292" i="1"/>
  <c r="N2292" i="1"/>
  <c r="M2293" i="1"/>
  <c r="N2293" i="1"/>
  <c r="M2294" i="1"/>
  <c r="N2294" i="1"/>
  <c r="M2295" i="1"/>
  <c r="N2295" i="1"/>
  <c r="M2296" i="1"/>
  <c r="N2296" i="1"/>
  <c r="M2297" i="1"/>
  <c r="N2297" i="1"/>
  <c r="M2298" i="1"/>
  <c r="N2298" i="1"/>
  <c r="M2299" i="1"/>
  <c r="N2299" i="1"/>
  <c r="M2300" i="1"/>
  <c r="N2300" i="1"/>
  <c r="M2301" i="1"/>
  <c r="N2301" i="1"/>
  <c r="M2302" i="1"/>
  <c r="N2302" i="1"/>
  <c r="M2303" i="1"/>
  <c r="N2303" i="1"/>
  <c r="M2304" i="1"/>
  <c r="N2304" i="1"/>
  <c r="M2305" i="1"/>
  <c r="N2305" i="1"/>
  <c r="M2306" i="1"/>
  <c r="N2306" i="1"/>
  <c r="M2307" i="1"/>
  <c r="N2307" i="1"/>
  <c r="M2308" i="1"/>
  <c r="N2308" i="1"/>
  <c r="M2309" i="1"/>
  <c r="N2309" i="1"/>
  <c r="M2310" i="1"/>
  <c r="N2310" i="1"/>
  <c r="M2311" i="1"/>
  <c r="N2311" i="1"/>
  <c r="M2312" i="1"/>
  <c r="N2312" i="1"/>
  <c r="M2313" i="1"/>
  <c r="N2313" i="1"/>
  <c r="M2314" i="1"/>
  <c r="N2314" i="1"/>
  <c r="M2315" i="1"/>
  <c r="N2315" i="1"/>
  <c r="M2316" i="1"/>
  <c r="N2316" i="1"/>
  <c r="M2317" i="1"/>
  <c r="N2317" i="1"/>
  <c r="M2318" i="1"/>
  <c r="N2318" i="1"/>
  <c r="M2319" i="1"/>
  <c r="N2319" i="1"/>
  <c r="M2320" i="1"/>
  <c r="N2320" i="1"/>
  <c r="M2321" i="1"/>
  <c r="N2321" i="1"/>
  <c r="M2322" i="1"/>
  <c r="N2322" i="1"/>
  <c r="M2323" i="1"/>
  <c r="N2323" i="1"/>
  <c r="M2324" i="1"/>
  <c r="N2324" i="1"/>
  <c r="M2325" i="1"/>
  <c r="N2325" i="1"/>
  <c r="M2326" i="1"/>
  <c r="N2326" i="1"/>
  <c r="M2327" i="1"/>
  <c r="N2327" i="1"/>
  <c r="M2328" i="1"/>
  <c r="N2328" i="1"/>
  <c r="M2329" i="1"/>
  <c r="N2329" i="1"/>
  <c r="M2330" i="1"/>
  <c r="N2330" i="1"/>
  <c r="M2331" i="1"/>
  <c r="N2331" i="1"/>
  <c r="M2332" i="1"/>
  <c r="N2332" i="1"/>
  <c r="M2333" i="1"/>
  <c r="N2333" i="1"/>
  <c r="M2334" i="1"/>
  <c r="N2334" i="1"/>
  <c r="M2335" i="1"/>
  <c r="N2335" i="1"/>
  <c r="M2336" i="1"/>
  <c r="N2336" i="1"/>
  <c r="M2337" i="1"/>
  <c r="N2337" i="1"/>
  <c r="M2338" i="1"/>
  <c r="N2338" i="1"/>
  <c r="M2339" i="1"/>
  <c r="N2339" i="1"/>
  <c r="M2340" i="1"/>
  <c r="N2340" i="1"/>
  <c r="M2341" i="1"/>
  <c r="N2341" i="1"/>
  <c r="M2342" i="1"/>
  <c r="N2342" i="1"/>
  <c r="M2343" i="1"/>
  <c r="N2343" i="1"/>
  <c r="M2344" i="1"/>
  <c r="N2344" i="1"/>
  <c r="M2345" i="1"/>
  <c r="N2345" i="1"/>
  <c r="M2346" i="1"/>
  <c r="N2346" i="1"/>
  <c r="M2347" i="1"/>
  <c r="N2347" i="1"/>
  <c r="M2348" i="1"/>
  <c r="N2348" i="1"/>
  <c r="M2349" i="1"/>
  <c r="N2349" i="1"/>
  <c r="M2350" i="1"/>
  <c r="N2350" i="1"/>
  <c r="M2351" i="1"/>
  <c r="N2351" i="1"/>
  <c r="M2352" i="1"/>
  <c r="N2352" i="1"/>
  <c r="M2353" i="1"/>
  <c r="N2353" i="1"/>
  <c r="M2354" i="1"/>
  <c r="N2354" i="1"/>
  <c r="M2355" i="1"/>
  <c r="N2355" i="1"/>
  <c r="M2356" i="1"/>
  <c r="N2356" i="1"/>
  <c r="M2357" i="1"/>
  <c r="N2357" i="1"/>
  <c r="M2358" i="1"/>
  <c r="N2358" i="1"/>
  <c r="M2359" i="1"/>
  <c r="N2359" i="1"/>
  <c r="M2360" i="1"/>
  <c r="N2360" i="1"/>
  <c r="M2361" i="1"/>
  <c r="N2361" i="1"/>
  <c r="M2362" i="1"/>
  <c r="N2362" i="1"/>
  <c r="M2363" i="1"/>
  <c r="N2363" i="1"/>
  <c r="M2364" i="1"/>
  <c r="N2364" i="1"/>
  <c r="M2365" i="1"/>
  <c r="N2365" i="1"/>
  <c r="M2366" i="1"/>
  <c r="N2366" i="1"/>
  <c r="M2367" i="1"/>
  <c r="N2367" i="1"/>
  <c r="M2368" i="1"/>
  <c r="N2368" i="1"/>
  <c r="M2369" i="1"/>
  <c r="N2369" i="1"/>
  <c r="M2370" i="1"/>
  <c r="N2370" i="1"/>
  <c r="M2371" i="1"/>
  <c r="N2371" i="1"/>
  <c r="M2372" i="1"/>
  <c r="N2372" i="1"/>
  <c r="M2373" i="1"/>
  <c r="N2373" i="1"/>
  <c r="M2374" i="1"/>
  <c r="N2374" i="1"/>
  <c r="M2375" i="1"/>
  <c r="N2375" i="1"/>
  <c r="M2376" i="1"/>
  <c r="N2376" i="1"/>
  <c r="M2377" i="1"/>
  <c r="N2377" i="1"/>
  <c r="M2378" i="1"/>
  <c r="N2378" i="1"/>
  <c r="M2379" i="1"/>
  <c r="N2379" i="1"/>
  <c r="M2380" i="1"/>
  <c r="N2380" i="1"/>
  <c r="M2381" i="1"/>
  <c r="N2381" i="1"/>
  <c r="M2382" i="1"/>
  <c r="N2382" i="1"/>
  <c r="M2383" i="1"/>
  <c r="N2383" i="1"/>
  <c r="M2384" i="1"/>
  <c r="N2384" i="1"/>
  <c r="M2385" i="1"/>
  <c r="N2385" i="1"/>
  <c r="M2386" i="1"/>
  <c r="N2386" i="1"/>
  <c r="M2387" i="1"/>
  <c r="N2387" i="1"/>
  <c r="M2388" i="1"/>
  <c r="N2388" i="1"/>
  <c r="M2389" i="1"/>
  <c r="N2389" i="1"/>
  <c r="M2390" i="1"/>
  <c r="N2390" i="1"/>
  <c r="M2391" i="1"/>
  <c r="N2391" i="1"/>
  <c r="M2392" i="1"/>
  <c r="N2392" i="1"/>
  <c r="M2393" i="1"/>
  <c r="N2393" i="1"/>
  <c r="M2394" i="1"/>
  <c r="N2394" i="1"/>
  <c r="M2395" i="1"/>
  <c r="N2395" i="1"/>
  <c r="M2396" i="1"/>
  <c r="N2396" i="1"/>
  <c r="M2397" i="1"/>
  <c r="N2397" i="1"/>
  <c r="M2398" i="1"/>
  <c r="N2398" i="1"/>
  <c r="M2399" i="1"/>
  <c r="N2399" i="1"/>
  <c r="M2400" i="1"/>
  <c r="N2400" i="1"/>
  <c r="M2401" i="1"/>
  <c r="N2401" i="1"/>
  <c r="M2402" i="1"/>
  <c r="N2402" i="1"/>
  <c r="M2403" i="1"/>
  <c r="N2403" i="1"/>
  <c r="M2404" i="1"/>
  <c r="N2404" i="1"/>
  <c r="M2405" i="1"/>
  <c r="N2405" i="1"/>
  <c r="M2406" i="1"/>
  <c r="N2406" i="1"/>
  <c r="M2407" i="1"/>
  <c r="N2407" i="1"/>
  <c r="M2408" i="1"/>
  <c r="N2408" i="1"/>
  <c r="M2409" i="1"/>
  <c r="N2409" i="1"/>
  <c r="M2410" i="1"/>
  <c r="N2410" i="1"/>
  <c r="M2411" i="1"/>
  <c r="N2411" i="1"/>
  <c r="M2412" i="1"/>
  <c r="N2412" i="1"/>
  <c r="M2413" i="1"/>
  <c r="N2413" i="1"/>
  <c r="M2414" i="1"/>
  <c r="N2414" i="1"/>
  <c r="M2415" i="1"/>
  <c r="N2415" i="1"/>
  <c r="M2416" i="1"/>
  <c r="N2416" i="1"/>
  <c r="M2417" i="1"/>
  <c r="N2417" i="1"/>
  <c r="M2418" i="1"/>
  <c r="N2418" i="1"/>
  <c r="M2419" i="1"/>
  <c r="N2419" i="1"/>
  <c r="M2420" i="1"/>
  <c r="N2420" i="1"/>
  <c r="M2421" i="1"/>
  <c r="N2421" i="1"/>
  <c r="M2422" i="1"/>
  <c r="N2422" i="1"/>
  <c r="M2423" i="1"/>
  <c r="N2423" i="1"/>
  <c r="M2424" i="1"/>
  <c r="N2424" i="1"/>
  <c r="M2425" i="1"/>
  <c r="N2425" i="1"/>
  <c r="M2426" i="1"/>
  <c r="N2426" i="1"/>
  <c r="M2427" i="1"/>
  <c r="N2427" i="1"/>
  <c r="M2428" i="1"/>
  <c r="N2428" i="1"/>
  <c r="M2429" i="1"/>
  <c r="N2429" i="1"/>
  <c r="M2430" i="1"/>
  <c r="N2430" i="1"/>
  <c r="M2431" i="1"/>
  <c r="N2431" i="1"/>
  <c r="M2432" i="1"/>
  <c r="N2432" i="1"/>
  <c r="M2433" i="1"/>
  <c r="N2433" i="1"/>
  <c r="M2434" i="1"/>
  <c r="N2434" i="1"/>
  <c r="M2435" i="1"/>
  <c r="N2435" i="1"/>
  <c r="M2436" i="1"/>
  <c r="N2436" i="1"/>
  <c r="M2437" i="1"/>
  <c r="N2437" i="1"/>
  <c r="M2438" i="1"/>
  <c r="N2438" i="1"/>
  <c r="M2439" i="1"/>
  <c r="N2439" i="1"/>
  <c r="M2440" i="1"/>
  <c r="N2440" i="1"/>
  <c r="M2441" i="1"/>
  <c r="N2441" i="1"/>
  <c r="M2442" i="1"/>
  <c r="N2442" i="1"/>
  <c r="M2443" i="1"/>
  <c r="N2443" i="1"/>
  <c r="M2444" i="1"/>
  <c r="N2444" i="1"/>
  <c r="M2445" i="1"/>
  <c r="N2445" i="1"/>
  <c r="M2446" i="1"/>
  <c r="N2446" i="1"/>
  <c r="M2447" i="1"/>
  <c r="N2447" i="1"/>
  <c r="M2448" i="1"/>
  <c r="N2448" i="1"/>
  <c r="M2449" i="1"/>
  <c r="N2449" i="1"/>
  <c r="M2450" i="1"/>
  <c r="N2450" i="1"/>
  <c r="M2451" i="1"/>
  <c r="N2451" i="1"/>
  <c r="M2452" i="1"/>
  <c r="N2452" i="1"/>
  <c r="M2453" i="1"/>
  <c r="N2453" i="1"/>
  <c r="M2454" i="1"/>
  <c r="N2454" i="1"/>
  <c r="M2455" i="1"/>
  <c r="N2455" i="1"/>
  <c r="M2456" i="1"/>
  <c r="N2456" i="1"/>
  <c r="M2457" i="1"/>
  <c r="N2457" i="1"/>
  <c r="M2458" i="1"/>
  <c r="N2458" i="1"/>
  <c r="M2459" i="1"/>
  <c r="N2459" i="1"/>
  <c r="M2460" i="1"/>
  <c r="N2460" i="1"/>
  <c r="M2461" i="1"/>
  <c r="N2461" i="1"/>
  <c r="M2462" i="1"/>
  <c r="N2462" i="1"/>
  <c r="M2463" i="1"/>
  <c r="N2463" i="1"/>
  <c r="M2464" i="1"/>
  <c r="N2464" i="1"/>
  <c r="M2465" i="1"/>
  <c r="N2465" i="1"/>
  <c r="M2466" i="1"/>
  <c r="N2466" i="1"/>
  <c r="M2467" i="1"/>
  <c r="N2467" i="1"/>
  <c r="M2468" i="1"/>
  <c r="N2468" i="1"/>
  <c r="M2469" i="1"/>
  <c r="N2469" i="1"/>
  <c r="M2470" i="1"/>
  <c r="N2470" i="1"/>
  <c r="M2471" i="1"/>
  <c r="N2471" i="1"/>
  <c r="M2472" i="1"/>
  <c r="N2472" i="1"/>
  <c r="M2473" i="1"/>
  <c r="N2473" i="1"/>
  <c r="M2474" i="1"/>
  <c r="N2474" i="1"/>
  <c r="M2475" i="1"/>
  <c r="N2475" i="1"/>
  <c r="M2476" i="1"/>
  <c r="N2476" i="1"/>
  <c r="M2477" i="1"/>
  <c r="N2477" i="1"/>
  <c r="M2478" i="1"/>
  <c r="N2478" i="1"/>
  <c r="M2479" i="1"/>
  <c r="N2479" i="1"/>
  <c r="M2480" i="1"/>
  <c r="N2480" i="1"/>
  <c r="M2481" i="1"/>
  <c r="N2481" i="1"/>
  <c r="M2482" i="1"/>
  <c r="N2482" i="1"/>
  <c r="M2483" i="1"/>
  <c r="N2483" i="1"/>
  <c r="M2484" i="1"/>
  <c r="N2484" i="1"/>
  <c r="M2485" i="1"/>
  <c r="N2485" i="1"/>
  <c r="M2486" i="1"/>
  <c r="N2486" i="1"/>
  <c r="M2487" i="1"/>
  <c r="N2487" i="1"/>
  <c r="M2488" i="1"/>
  <c r="N2488" i="1"/>
  <c r="M2489" i="1"/>
  <c r="N2489" i="1"/>
  <c r="M2490" i="1"/>
  <c r="N2490" i="1"/>
  <c r="M2491" i="1"/>
  <c r="N2491" i="1"/>
  <c r="M2492" i="1"/>
  <c r="N2492" i="1"/>
  <c r="M2493" i="1"/>
  <c r="N2493" i="1"/>
  <c r="M2494" i="1"/>
  <c r="N2494" i="1"/>
  <c r="M2495" i="1"/>
  <c r="N2495" i="1"/>
  <c r="M2496" i="1"/>
  <c r="N2496" i="1"/>
  <c r="M2497" i="1"/>
  <c r="N2497" i="1"/>
  <c r="M2498" i="1"/>
  <c r="N2498" i="1"/>
  <c r="M2499" i="1"/>
  <c r="N2499" i="1"/>
  <c r="M2500" i="1"/>
  <c r="N2500" i="1"/>
  <c r="M2501" i="1"/>
  <c r="N2501" i="1"/>
  <c r="M2502" i="1"/>
  <c r="N2502" i="1"/>
  <c r="M2503" i="1"/>
  <c r="N2503" i="1"/>
  <c r="M2504" i="1"/>
  <c r="N2504" i="1"/>
  <c r="M2505" i="1"/>
  <c r="N2505" i="1"/>
  <c r="M2506" i="1"/>
  <c r="N2506" i="1"/>
  <c r="M2507" i="1"/>
  <c r="N2507" i="1"/>
  <c r="M2508" i="1"/>
  <c r="N2508" i="1"/>
  <c r="M2509" i="1"/>
  <c r="N2509" i="1"/>
  <c r="M2510" i="1"/>
  <c r="N2510" i="1"/>
  <c r="M2511" i="1"/>
  <c r="N2511" i="1"/>
  <c r="M2512" i="1"/>
  <c r="N2512" i="1"/>
  <c r="M2513" i="1"/>
  <c r="N2513" i="1"/>
  <c r="M2514" i="1"/>
  <c r="N2514" i="1"/>
  <c r="M2515" i="1"/>
  <c r="N2515" i="1"/>
  <c r="M2516" i="1"/>
  <c r="N2516" i="1"/>
  <c r="M2517" i="1"/>
  <c r="N2517" i="1"/>
  <c r="M2518" i="1"/>
  <c r="N2518" i="1"/>
  <c r="M2519" i="1"/>
  <c r="N2519" i="1"/>
  <c r="M2520" i="1"/>
  <c r="N2520" i="1"/>
  <c r="M2521" i="1"/>
  <c r="N2521" i="1"/>
  <c r="M2522" i="1"/>
  <c r="N2522" i="1"/>
  <c r="M2523" i="1"/>
  <c r="N2523" i="1"/>
  <c r="M2524" i="1"/>
  <c r="N2524" i="1"/>
  <c r="M2525" i="1"/>
  <c r="N2525" i="1"/>
  <c r="M2526" i="1"/>
  <c r="N2526" i="1"/>
  <c r="M2527" i="1"/>
  <c r="N2527" i="1"/>
  <c r="M2528" i="1"/>
  <c r="N2528" i="1"/>
  <c r="M2529" i="1"/>
  <c r="N2529" i="1"/>
  <c r="M2530" i="1"/>
  <c r="N2530" i="1"/>
  <c r="M2531" i="1"/>
  <c r="N2531" i="1"/>
  <c r="M2532" i="1"/>
  <c r="N2532" i="1"/>
  <c r="M2533" i="1"/>
  <c r="N2533" i="1"/>
  <c r="M2534" i="1"/>
  <c r="N2534" i="1"/>
  <c r="M2535" i="1"/>
  <c r="N2535" i="1"/>
  <c r="M2536" i="1"/>
  <c r="N2536" i="1"/>
  <c r="M2537" i="1"/>
  <c r="N2537" i="1"/>
  <c r="M2538" i="1"/>
  <c r="N2538" i="1"/>
  <c r="M2539" i="1"/>
  <c r="N2539" i="1"/>
  <c r="M2540" i="1"/>
  <c r="N2540" i="1"/>
  <c r="M2541" i="1"/>
  <c r="N2541" i="1"/>
  <c r="M2542" i="1"/>
  <c r="N2542" i="1"/>
  <c r="M2543" i="1"/>
  <c r="N2543" i="1"/>
  <c r="M2544" i="1"/>
  <c r="N2544" i="1"/>
  <c r="M2545" i="1"/>
  <c r="N2545" i="1"/>
  <c r="M2546" i="1"/>
  <c r="N2546" i="1"/>
  <c r="M2547" i="1"/>
  <c r="N2547" i="1"/>
  <c r="M2548" i="1"/>
  <c r="N2548" i="1"/>
  <c r="M2549" i="1"/>
  <c r="N2549" i="1"/>
  <c r="M2550" i="1"/>
  <c r="N2550" i="1"/>
  <c r="M2551" i="1"/>
  <c r="N2551" i="1"/>
  <c r="M2552" i="1"/>
  <c r="N2552" i="1"/>
  <c r="M2553" i="1"/>
  <c r="N2553" i="1"/>
  <c r="M2554" i="1"/>
  <c r="N2554" i="1"/>
  <c r="M2555" i="1"/>
  <c r="N2555" i="1"/>
  <c r="M2556" i="1"/>
  <c r="N2556" i="1"/>
  <c r="M2557" i="1"/>
  <c r="N2557" i="1"/>
  <c r="M2558" i="1"/>
  <c r="N2558" i="1"/>
  <c r="M2559" i="1"/>
  <c r="N2559" i="1"/>
  <c r="M2560" i="1"/>
  <c r="N2560" i="1"/>
  <c r="M2561" i="1"/>
  <c r="N2561" i="1"/>
  <c r="M2562" i="1"/>
  <c r="N2562" i="1"/>
  <c r="M2563" i="1"/>
  <c r="N2563" i="1"/>
  <c r="M2564" i="1"/>
  <c r="N2564" i="1"/>
  <c r="M2565" i="1"/>
  <c r="N2565" i="1"/>
  <c r="M2566" i="1"/>
  <c r="N2566" i="1"/>
  <c r="M2567" i="1"/>
  <c r="N2567" i="1"/>
  <c r="M2568" i="1"/>
  <c r="N2568" i="1"/>
  <c r="M2569" i="1"/>
  <c r="N2569" i="1"/>
  <c r="M2570" i="1"/>
  <c r="N2570" i="1"/>
  <c r="M2571" i="1"/>
  <c r="N2571" i="1"/>
  <c r="M2572" i="1"/>
  <c r="N2572" i="1"/>
  <c r="M2573" i="1"/>
  <c r="N2573" i="1"/>
  <c r="M2574" i="1"/>
  <c r="N2574" i="1"/>
  <c r="M2575" i="1"/>
  <c r="N2575" i="1"/>
  <c r="M2576" i="1"/>
  <c r="N2576" i="1"/>
  <c r="M2577" i="1"/>
  <c r="N2577" i="1"/>
  <c r="M2578" i="1"/>
  <c r="N2578" i="1"/>
  <c r="M2579" i="1"/>
  <c r="N2579" i="1"/>
  <c r="M2580" i="1"/>
  <c r="N2580" i="1"/>
  <c r="M2581" i="1"/>
  <c r="N2581" i="1"/>
  <c r="M2582" i="1"/>
  <c r="N2582" i="1"/>
  <c r="M2583" i="1"/>
  <c r="N2583" i="1"/>
  <c r="M2584" i="1"/>
  <c r="N2584" i="1"/>
  <c r="M2585" i="1"/>
  <c r="N2585" i="1"/>
  <c r="M2586" i="1"/>
  <c r="N2586" i="1"/>
  <c r="M2587" i="1"/>
  <c r="N2587" i="1"/>
  <c r="M2588" i="1"/>
  <c r="N2588" i="1"/>
  <c r="M2589" i="1"/>
  <c r="N2589" i="1"/>
  <c r="M2590" i="1"/>
  <c r="N2590" i="1"/>
  <c r="M2591" i="1"/>
  <c r="N2591" i="1"/>
  <c r="M2592" i="1"/>
  <c r="N2592" i="1"/>
  <c r="M2593" i="1"/>
  <c r="N2593" i="1"/>
  <c r="M2594" i="1"/>
  <c r="N2594" i="1"/>
  <c r="M2595" i="1"/>
  <c r="N2595" i="1"/>
  <c r="M2596" i="1"/>
  <c r="N2596" i="1"/>
  <c r="M2597" i="1"/>
  <c r="N2597" i="1"/>
  <c r="M2598" i="1"/>
  <c r="N2598" i="1"/>
  <c r="M2599" i="1"/>
  <c r="N2599" i="1"/>
  <c r="M2600" i="1"/>
  <c r="N2600" i="1"/>
  <c r="M2601" i="1"/>
  <c r="N2601" i="1"/>
  <c r="M2602" i="1"/>
  <c r="N2602" i="1"/>
  <c r="M2603" i="1"/>
  <c r="N2603" i="1"/>
  <c r="M2604" i="1"/>
  <c r="N2604" i="1"/>
  <c r="M2605" i="1"/>
  <c r="N2605" i="1"/>
  <c r="M2606" i="1"/>
  <c r="N2606" i="1"/>
  <c r="M2607" i="1"/>
  <c r="N2607" i="1"/>
  <c r="M2608" i="1"/>
  <c r="N2608" i="1"/>
  <c r="M2609" i="1"/>
  <c r="N2609" i="1"/>
  <c r="M2610" i="1"/>
  <c r="N2610" i="1"/>
  <c r="M2611" i="1"/>
  <c r="N2611" i="1"/>
  <c r="M2612" i="1"/>
  <c r="N2612" i="1"/>
  <c r="M2613" i="1"/>
  <c r="N2613" i="1"/>
  <c r="M2614" i="1"/>
  <c r="N2614" i="1"/>
  <c r="M2615" i="1"/>
  <c r="N2615" i="1"/>
  <c r="M2616" i="1"/>
  <c r="N2616" i="1"/>
  <c r="M2617" i="1"/>
  <c r="N2617" i="1"/>
  <c r="M2618" i="1"/>
  <c r="N2618" i="1"/>
  <c r="M2619" i="1"/>
  <c r="N2619" i="1"/>
  <c r="M2620" i="1"/>
  <c r="N2620" i="1"/>
  <c r="M2621" i="1"/>
  <c r="N2621" i="1"/>
  <c r="M2622" i="1"/>
  <c r="N2622" i="1"/>
  <c r="M2623" i="1"/>
  <c r="N2623" i="1"/>
  <c r="M2624" i="1"/>
  <c r="N2624" i="1"/>
  <c r="M2625" i="1"/>
  <c r="N2625" i="1"/>
  <c r="M2626" i="1"/>
  <c r="N2626" i="1"/>
  <c r="M2627" i="1"/>
  <c r="N2627" i="1"/>
  <c r="M2628" i="1"/>
  <c r="N2628" i="1"/>
  <c r="M2629" i="1"/>
  <c r="N2629" i="1"/>
  <c r="M2630" i="1"/>
  <c r="N2630" i="1"/>
  <c r="M2631" i="1"/>
  <c r="N2631" i="1"/>
  <c r="M2632" i="1"/>
  <c r="N2632" i="1"/>
  <c r="M2633" i="1"/>
  <c r="N2633" i="1"/>
  <c r="M2634" i="1"/>
  <c r="N2634" i="1"/>
  <c r="M2635" i="1"/>
  <c r="N2635" i="1"/>
  <c r="M2636" i="1"/>
  <c r="N2636" i="1"/>
  <c r="M2637" i="1"/>
  <c r="N2637" i="1"/>
  <c r="M2638" i="1"/>
  <c r="N2638" i="1"/>
  <c r="M2639" i="1"/>
  <c r="N2639" i="1"/>
  <c r="M2640" i="1"/>
  <c r="N2640" i="1"/>
  <c r="M2641" i="1"/>
  <c r="N2641" i="1"/>
  <c r="M2642" i="1"/>
  <c r="N2642" i="1"/>
  <c r="M2643" i="1"/>
  <c r="N2643" i="1"/>
  <c r="M2644" i="1"/>
  <c r="N2644" i="1"/>
  <c r="M2645" i="1"/>
  <c r="N2645" i="1"/>
  <c r="M2646" i="1"/>
  <c r="N2646" i="1"/>
  <c r="M2647" i="1"/>
  <c r="N2647" i="1"/>
  <c r="M2648" i="1"/>
  <c r="N2648" i="1"/>
  <c r="M2649" i="1"/>
  <c r="N2649" i="1"/>
  <c r="M2650" i="1"/>
  <c r="N2650" i="1"/>
  <c r="M2651" i="1"/>
  <c r="N2651" i="1"/>
  <c r="M2652" i="1"/>
  <c r="N2652" i="1"/>
  <c r="M2653" i="1"/>
  <c r="N2653" i="1"/>
  <c r="M2654" i="1"/>
  <c r="N2654" i="1"/>
  <c r="M2655" i="1"/>
  <c r="N2655" i="1"/>
  <c r="M2656" i="1"/>
  <c r="N2656" i="1"/>
  <c r="M2657" i="1"/>
  <c r="N2657" i="1"/>
  <c r="M2658" i="1"/>
  <c r="N2658" i="1"/>
  <c r="M2659" i="1"/>
  <c r="N2659" i="1"/>
  <c r="M2660" i="1"/>
  <c r="N2660" i="1"/>
  <c r="M2661" i="1"/>
  <c r="N2661" i="1"/>
  <c r="M2662" i="1"/>
  <c r="N2662" i="1"/>
  <c r="M2663" i="1"/>
  <c r="N2663" i="1"/>
  <c r="M2664" i="1"/>
  <c r="N2664" i="1"/>
  <c r="M2665" i="1"/>
  <c r="N2665" i="1"/>
  <c r="M2666" i="1"/>
  <c r="N2666" i="1"/>
  <c r="M2667" i="1"/>
  <c r="N2667" i="1"/>
  <c r="M2668" i="1"/>
  <c r="N2668" i="1"/>
  <c r="M2669" i="1"/>
  <c r="N2669" i="1"/>
  <c r="M2670" i="1"/>
  <c r="N2670" i="1"/>
  <c r="M2671" i="1"/>
  <c r="N2671" i="1"/>
  <c r="M2672" i="1"/>
  <c r="N2672" i="1"/>
  <c r="M2673" i="1"/>
  <c r="N2673" i="1"/>
  <c r="M2674" i="1"/>
  <c r="N2674" i="1"/>
  <c r="M2675" i="1"/>
  <c r="N2675" i="1"/>
  <c r="M2676" i="1"/>
  <c r="N2676" i="1"/>
  <c r="M2677" i="1"/>
  <c r="N2677" i="1"/>
  <c r="M2678" i="1"/>
  <c r="N2678" i="1"/>
  <c r="M2679" i="1"/>
  <c r="N2679" i="1"/>
  <c r="M2680" i="1"/>
  <c r="N2680" i="1"/>
  <c r="M2681" i="1"/>
  <c r="N2681" i="1"/>
  <c r="M2682" i="1"/>
  <c r="N2682" i="1"/>
  <c r="M2683" i="1"/>
  <c r="N2683" i="1"/>
  <c r="M2684" i="1"/>
  <c r="N2684" i="1"/>
  <c r="M2685" i="1"/>
  <c r="N2685" i="1"/>
  <c r="M2686" i="1"/>
  <c r="N2686" i="1"/>
  <c r="M2687" i="1"/>
  <c r="N2687" i="1"/>
  <c r="M2688" i="1"/>
  <c r="N2688" i="1"/>
  <c r="M2689" i="1"/>
  <c r="N2689" i="1"/>
  <c r="M2690" i="1"/>
  <c r="N2690" i="1"/>
  <c r="M2691" i="1"/>
  <c r="N2691" i="1"/>
  <c r="M2692" i="1"/>
  <c r="N2692" i="1"/>
  <c r="M2693" i="1"/>
  <c r="N2693" i="1"/>
  <c r="M2694" i="1"/>
  <c r="N2694" i="1"/>
  <c r="M2695" i="1"/>
  <c r="N2695" i="1"/>
  <c r="M2696" i="1"/>
  <c r="N2696" i="1"/>
  <c r="M2697" i="1"/>
  <c r="N2697" i="1"/>
  <c r="M2698" i="1"/>
  <c r="N2698" i="1"/>
  <c r="M2699" i="1"/>
  <c r="N2699" i="1"/>
  <c r="M2700" i="1"/>
  <c r="N2700" i="1"/>
  <c r="M2701" i="1"/>
  <c r="N2701" i="1"/>
  <c r="M2702" i="1"/>
  <c r="N2702" i="1"/>
  <c r="M2703" i="1"/>
  <c r="N2703" i="1"/>
  <c r="M2704" i="1"/>
  <c r="N2704" i="1"/>
  <c r="M2705" i="1"/>
  <c r="N2705" i="1"/>
  <c r="M2706" i="1"/>
  <c r="N2706" i="1"/>
  <c r="M2707" i="1"/>
  <c r="N2707" i="1"/>
  <c r="M2708" i="1"/>
  <c r="N2708" i="1"/>
  <c r="M2709" i="1"/>
  <c r="N2709" i="1"/>
  <c r="M2710" i="1"/>
  <c r="N2710" i="1"/>
  <c r="M2711" i="1"/>
  <c r="N2711" i="1"/>
  <c r="M2712" i="1"/>
  <c r="N2712" i="1"/>
  <c r="M2713" i="1"/>
  <c r="N2713" i="1"/>
  <c r="M2714" i="1"/>
  <c r="N2714" i="1"/>
  <c r="M2715" i="1"/>
  <c r="N2715" i="1"/>
  <c r="M2716" i="1"/>
  <c r="N2716" i="1"/>
  <c r="M2717" i="1"/>
  <c r="N2717" i="1"/>
  <c r="M2718" i="1"/>
  <c r="N2718" i="1"/>
  <c r="M2719" i="1"/>
  <c r="N2719" i="1"/>
  <c r="M2720" i="1"/>
  <c r="N2720" i="1"/>
  <c r="M2721" i="1"/>
  <c r="N2721" i="1"/>
  <c r="M2722" i="1"/>
  <c r="N2722" i="1"/>
  <c r="M2723" i="1"/>
  <c r="N2723" i="1"/>
  <c r="M2724" i="1"/>
  <c r="N2724" i="1"/>
  <c r="M2725" i="1"/>
  <c r="N2725" i="1"/>
  <c r="M2726" i="1"/>
  <c r="N2726" i="1"/>
  <c r="M2727" i="1"/>
  <c r="N2727" i="1"/>
  <c r="M2728" i="1"/>
  <c r="N2728" i="1"/>
  <c r="M2729" i="1"/>
  <c r="N2729" i="1"/>
  <c r="M2730" i="1"/>
  <c r="N2730" i="1"/>
  <c r="M2731" i="1"/>
  <c r="N2731" i="1"/>
  <c r="M2732" i="1"/>
  <c r="N2732" i="1"/>
  <c r="M2733" i="1"/>
  <c r="N2733" i="1"/>
  <c r="M2734" i="1"/>
  <c r="N2734" i="1"/>
  <c r="M2735" i="1"/>
  <c r="N2735" i="1"/>
  <c r="M2736" i="1"/>
  <c r="N2736" i="1"/>
  <c r="M2737" i="1"/>
  <c r="N2737" i="1"/>
  <c r="M2738" i="1"/>
  <c r="N2738" i="1"/>
  <c r="M2739" i="1"/>
  <c r="N2739" i="1"/>
  <c r="M2740" i="1"/>
  <c r="N2740" i="1"/>
  <c r="M2741" i="1"/>
  <c r="N2741" i="1"/>
  <c r="M2742" i="1"/>
  <c r="N2742" i="1"/>
  <c r="M2743" i="1"/>
  <c r="N2743" i="1"/>
  <c r="M2744" i="1"/>
  <c r="N2744" i="1"/>
  <c r="M2745" i="1"/>
  <c r="N2745" i="1"/>
  <c r="M2746" i="1"/>
  <c r="N2746" i="1"/>
  <c r="M2747" i="1"/>
  <c r="N2747" i="1"/>
  <c r="M2748" i="1"/>
  <c r="N2748" i="1"/>
  <c r="M2749" i="1"/>
  <c r="N2749" i="1"/>
  <c r="M2750" i="1"/>
  <c r="N2750" i="1"/>
  <c r="M2751" i="1"/>
  <c r="N2751" i="1"/>
  <c r="M2752" i="1"/>
  <c r="N2752" i="1"/>
  <c r="M2753" i="1"/>
  <c r="N2753" i="1"/>
  <c r="M2754" i="1"/>
  <c r="N2754" i="1"/>
  <c r="M2755" i="1"/>
  <c r="N2755" i="1"/>
  <c r="M2756" i="1"/>
  <c r="N2756" i="1"/>
  <c r="M2757" i="1"/>
  <c r="N2757" i="1"/>
  <c r="M2758" i="1"/>
  <c r="N2758" i="1"/>
  <c r="M2759" i="1"/>
  <c r="N2759" i="1"/>
  <c r="M2760" i="1"/>
  <c r="N2760" i="1"/>
  <c r="M2761" i="1"/>
  <c r="N2761" i="1"/>
  <c r="M2762" i="1"/>
  <c r="N2762" i="1"/>
  <c r="M2763" i="1"/>
  <c r="N2763" i="1"/>
  <c r="M2764" i="1"/>
  <c r="N2764" i="1"/>
  <c r="M2765" i="1"/>
  <c r="N2765" i="1"/>
  <c r="M2766" i="1"/>
  <c r="N2766" i="1"/>
  <c r="M2767" i="1"/>
  <c r="N2767" i="1"/>
  <c r="M2768" i="1"/>
  <c r="N2768" i="1"/>
  <c r="M2769" i="1"/>
  <c r="N2769" i="1"/>
  <c r="M2770" i="1"/>
  <c r="N2770" i="1"/>
  <c r="M2771" i="1"/>
  <c r="N2771" i="1"/>
  <c r="M2772" i="1"/>
  <c r="N2772" i="1"/>
  <c r="M2773" i="1"/>
  <c r="N2773" i="1"/>
  <c r="M2774" i="1"/>
  <c r="N2774" i="1"/>
  <c r="M2775" i="1"/>
  <c r="N2775" i="1"/>
  <c r="M2776" i="1"/>
  <c r="N2776" i="1"/>
  <c r="M2777" i="1"/>
  <c r="N2777" i="1"/>
  <c r="M2778" i="1"/>
  <c r="N2778" i="1"/>
  <c r="M2779" i="1"/>
  <c r="N2779" i="1"/>
  <c r="M2780" i="1"/>
  <c r="N2780" i="1"/>
  <c r="M2781" i="1"/>
  <c r="N2781" i="1"/>
  <c r="M2782" i="1"/>
  <c r="N2782" i="1"/>
  <c r="M2783" i="1"/>
  <c r="N2783" i="1"/>
  <c r="M2784" i="1"/>
  <c r="N2784" i="1"/>
  <c r="M2785" i="1"/>
  <c r="N2785" i="1"/>
  <c r="M2786" i="1"/>
  <c r="N2786" i="1"/>
  <c r="M2787" i="1"/>
  <c r="N2787" i="1"/>
  <c r="M2788" i="1"/>
  <c r="N2788" i="1"/>
  <c r="M2789" i="1"/>
  <c r="N2789" i="1"/>
  <c r="M2790" i="1"/>
  <c r="N2790" i="1"/>
  <c r="M2791" i="1"/>
  <c r="N2791" i="1"/>
  <c r="M2792" i="1"/>
  <c r="N2792" i="1"/>
  <c r="M2793" i="1"/>
  <c r="N2793" i="1"/>
  <c r="M2794" i="1"/>
  <c r="N2794" i="1"/>
  <c r="M2795" i="1"/>
  <c r="N2795" i="1"/>
  <c r="M2796" i="1"/>
  <c r="N2796" i="1"/>
  <c r="M2797" i="1"/>
  <c r="N2797" i="1"/>
  <c r="M2798" i="1"/>
  <c r="N2798" i="1"/>
  <c r="M2799" i="1"/>
  <c r="N2799" i="1"/>
  <c r="M2800" i="1"/>
  <c r="N2800" i="1"/>
  <c r="M2801" i="1"/>
  <c r="N2801" i="1"/>
  <c r="M2802" i="1"/>
  <c r="N2802" i="1"/>
  <c r="M2803" i="1"/>
  <c r="N2803" i="1"/>
  <c r="M2804" i="1"/>
  <c r="N2804" i="1"/>
  <c r="M2805" i="1"/>
  <c r="N2805" i="1"/>
  <c r="M2806" i="1"/>
  <c r="N2806" i="1"/>
  <c r="M2807" i="1"/>
  <c r="N2807" i="1"/>
  <c r="M2808" i="1"/>
  <c r="N2808" i="1"/>
  <c r="M2809" i="1"/>
  <c r="N2809" i="1"/>
  <c r="M2810" i="1"/>
  <c r="N2810" i="1"/>
  <c r="M2811" i="1"/>
  <c r="N2811" i="1"/>
  <c r="M2812" i="1"/>
  <c r="N2812" i="1"/>
  <c r="M2813" i="1"/>
  <c r="N2813" i="1"/>
  <c r="M2814" i="1"/>
  <c r="N2814" i="1"/>
  <c r="M2815" i="1"/>
  <c r="N2815" i="1"/>
  <c r="M2816" i="1"/>
  <c r="N2816" i="1"/>
  <c r="M2817" i="1"/>
  <c r="N2817" i="1"/>
  <c r="M2818" i="1"/>
  <c r="N2818" i="1"/>
  <c r="M2819" i="1"/>
  <c r="N2819" i="1"/>
  <c r="M2820" i="1"/>
  <c r="N2820" i="1"/>
  <c r="M2821" i="1"/>
  <c r="N2821" i="1"/>
  <c r="M2822" i="1"/>
  <c r="N2822" i="1"/>
  <c r="M2823" i="1"/>
  <c r="N2823" i="1"/>
  <c r="M2824" i="1"/>
  <c r="N2824" i="1"/>
  <c r="M2825" i="1"/>
  <c r="N2825" i="1"/>
  <c r="M2826" i="1"/>
  <c r="N2826" i="1"/>
  <c r="M2827" i="1"/>
  <c r="N2827" i="1"/>
  <c r="M2828" i="1"/>
  <c r="N2828" i="1"/>
  <c r="M2829" i="1"/>
  <c r="N2829" i="1"/>
  <c r="M2830" i="1"/>
  <c r="N2830" i="1"/>
  <c r="M2831" i="1"/>
  <c r="N2831" i="1"/>
  <c r="M2832" i="1"/>
  <c r="N2832" i="1"/>
  <c r="M2833" i="1"/>
  <c r="N2833" i="1"/>
  <c r="M2834" i="1"/>
  <c r="N2834" i="1"/>
  <c r="M2835" i="1"/>
  <c r="N2835" i="1"/>
  <c r="M2836" i="1"/>
  <c r="N2836" i="1"/>
  <c r="M2837" i="1"/>
  <c r="N2837" i="1"/>
  <c r="M2838" i="1"/>
  <c r="N2838" i="1"/>
  <c r="M2839" i="1"/>
  <c r="N2839" i="1"/>
  <c r="M2840" i="1"/>
  <c r="N2840" i="1"/>
  <c r="M2841" i="1"/>
  <c r="N2841" i="1"/>
  <c r="M2842" i="1"/>
  <c r="N2842" i="1"/>
  <c r="M2843" i="1"/>
  <c r="N2843" i="1"/>
  <c r="M2844" i="1"/>
  <c r="N2844" i="1"/>
  <c r="M2845" i="1"/>
  <c r="N2845" i="1"/>
  <c r="M2846" i="1"/>
  <c r="N2846" i="1"/>
  <c r="M2847" i="1"/>
  <c r="N2847" i="1"/>
  <c r="M2848" i="1"/>
  <c r="N2848" i="1"/>
  <c r="M2849" i="1"/>
  <c r="N2849" i="1"/>
  <c r="M2850" i="1"/>
  <c r="N2850" i="1"/>
  <c r="M2851" i="1"/>
  <c r="N2851" i="1"/>
  <c r="M2852" i="1"/>
  <c r="N2852" i="1"/>
  <c r="M2853" i="1"/>
  <c r="N2853" i="1"/>
  <c r="M2854" i="1"/>
  <c r="N2854" i="1"/>
  <c r="M2855" i="1"/>
  <c r="N2855" i="1"/>
  <c r="M2856" i="1"/>
  <c r="N2856" i="1"/>
  <c r="M2857" i="1"/>
  <c r="N2857" i="1"/>
  <c r="M2858" i="1"/>
  <c r="N2858" i="1"/>
  <c r="M2859" i="1"/>
  <c r="N2859" i="1"/>
  <c r="M2860" i="1"/>
  <c r="N2860" i="1"/>
  <c r="M2861" i="1"/>
  <c r="N2861" i="1"/>
  <c r="M2862" i="1"/>
  <c r="N2862" i="1"/>
  <c r="M2863" i="1"/>
  <c r="N2863" i="1"/>
  <c r="M2864" i="1"/>
  <c r="N2864" i="1"/>
  <c r="M2865" i="1"/>
  <c r="N2865" i="1"/>
  <c r="M2866" i="1"/>
  <c r="N2866" i="1"/>
  <c r="M2867" i="1"/>
  <c r="N2867" i="1"/>
  <c r="M2868" i="1"/>
  <c r="N2868" i="1"/>
  <c r="M2869" i="1"/>
  <c r="N2869" i="1"/>
  <c r="M2870" i="1"/>
  <c r="N2870" i="1"/>
  <c r="M2871" i="1"/>
  <c r="N2871" i="1"/>
  <c r="M2872" i="1"/>
  <c r="N2872" i="1"/>
  <c r="M2873" i="1"/>
  <c r="N2873" i="1"/>
  <c r="M2874" i="1"/>
  <c r="N2874" i="1"/>
  <c r="M2875" i="1"/>
  <c r="N2875" i="1"/>
  <c r="M2876" i="1"/>
  <c r="N2876" i="1"/>
  <c r="M2877" i="1"/>
  <c r="N2877" i="1"/>
  <c r="M2878" i="1"/>
  <c r="N2878" i="1"/>
  <c r="M2879" i="1"/>
  <c r="N2879" i="1"/>
  <c r="M2880" i="1"/>
  <c r="N2880" i="1"/>
  <c r="M2881" i="1"/>
  <c r="N2881" i="1"/>
  <c r="M2882" i="1"/>
  <c r="N2882" i="1"/>
  <c r="M2883" i="1"/>
  <c r="N2883" i="1"/>
  <c r="M2884" i="1"/>
  <c r="N2884" i="1"/>
  <c r="M2885" i="1"/>
  <c r="N2885" i="1"/>
  <c r="M2886" i="1"/>
  <c r="N2886" i="1"/>
  <c r="M2887" i="1"/>
  <c r="N2887" i="1"/>
  <c r="M2888" i="1"/>
  <c r="N2888" i="1"/>
  <c r="M2889" i="1"/>
  <c r="N2889" i="1"/>
  <c r="M2890" i="1"/>
  <c r="N2890" i="1"/>
  <c r="M2891" i="1"/>
  <c r="N2891" i="1"/>
  <c r="M2892" i="1"/>
  <c r="N2892" i="1"/>
  <c r="M2893" i="1"/>
  <c r="N2893" i="1"/>
  <c r="M2894" i="1"/>
  <c r="N2894" i="1"/>
  <c r="M2895" i="1"/>
  <c r="N2895" i="1"/>
  <c r="M2896" i="1"/>
  <c r="N2896" i="1"/>
  <c r="M2897" i="1"/>
  <c r="N2897" i="1"/>
  <c r="M2898" i="1"/>
  <c r="N2898" i="1"/>
  <c r="M2899" i="1"/>
  <c r="N2899" i="1"/>
  <c r="M2900" i="1"/>
  <c r="N2900" i="1"/>
  <c r="M2901" i="1"/>
  <c r="N2901" i="1"/>
  <c r="M2902" i="1"/>
  <c r="N2902" i="1"/>
  <c r="M2903" i="1"/>
  <c r="N2903" i="1"/>
  <c r="M2904" i="1"/>
  <c r="N2904" i="1"/>
  <c r="M2905" i="1"/>
  <c r="N2905" i="1"/>
  <c r="M2906" i="1"/>
  <c r="N2906" i="1"/>
  <c r="M2907" i="1"/>
  <c r="N2907" i="1"/>
  <c r="M2908" i="1"/>
  <c r="N2908" i="1"/>
  <c r="M2909" i="1"/>
  <c r="N2909" i="1"/>
  <c r="M2910" i="1"/>
  <c r="N2910" i="1"/>
  <c r="M2911" i="1"/>
  <c r="N2911" i="1"/>
  <c r="M2912" i="1"/>
  <c r="N2912" i="1"/>
  <c r="M2913" i="1"/>
  <c r="N2913" i="1"/>
  <c r="M2914" i="1"/>
  <c r="N2914" i="1"/>
  <c r="M2915" i="1"/>
  <c r="N2915" i="1"/>
  <c r="M2916" i="1"/>
  <c r="N2916" i="1"/>
  <c r="M2917" i="1"/>
  <c r="N2917" i="1"/>
  <c r="M2918" i="1"/>
  <c r="N2918" i="1"/>
  <c r="M2919" i="1"/>
  <c r="N2919" i="1"/>
  <c r="M2920" i="1"/>
  <c r="N2920" i="1"/>
  <c r="M2921" i="1"/>
  <c r="N2921" i="1"/>
  <c r="M2922" i="1"/>
  <c r="N2922" i="1"/>
  <c r="M2923" i="1"/>
  <c r="N2923" i="1"/>
  <c r="M2924" i="1"/>
  <c r="N2924" i="1"/>
  <c r="M2925" i="1"/>
  <c r="N2925" i="1"/>
  <c r="M2926" i="1"/>
  <c r="N2926" i="1"/>
  <c r="M2927" i="1"/>
  <c r="N2927" i="1"/>
  <c r="M2928" i="1"/>
  <c r="N2928" i="1"/>
  <c r="M2929" i="1"/>
  <c r="N2929" i="1"/>
  <c r="M2930" i="1"/>
  <c r="N2930" i="1"/>
  <c r="M2931" i="1"/>
  <c r="N2931" i="1"/>
  <c r="M2932" i="1"/>
  <c r="N2932" i="1"/>
  <c r="M2933" i="1"/>
  <c r="N2933" i="1"/>
  <c r="M2934" i="1"/>
  <c r="N2934" i="1"/>
  <c r="M2935" i="1"/>
  <c r="N2935" i="1"/>
  <c r="M2936" i="1"/>
  <c r="N2936" i="1"/>
  <c r="M2937" i="1"/>
  <c r="N2937" i="1"/>
  <c r="M2938" i="1"/>
  <c r="N2938" i="1"/>
  <c r="M2939" i="1"/>
  <c r="N2939" i="1"/>
  <c r="M2940" i="1"/>
  <c r="N2940" i="1"/>
  <c r="M2941" i="1"/>
  <c r="N2941" i="1"/>
  <c r="M2942" i="1"/>
  <c r="N2942" i="1"/>
  <c r="M2943" i="1"/>
  <c r="N2943" i="1"/>
  <c r="M2944" i="1"/>
  <c r="N2944" i="1"/>
  <c r="M2945" i="1"/>
  <c r="N2945" i="1"/>
  <c r="M2946" i="1"/>
  <c r="N2946" i="1"/>
  <c r="M2947" i="1"/>
  <c r="N2947" i="1"/>
  <c r="M2948" i="1"/>
  <c r="N2948" i="1"/>
  <c r="M2949" i="1"/>
  <c r="N2949" i="1"/>
  <c r="M2950" i="1"/>
  <c r="N2950" i="1"/>
  <c r="M2951" i="1"/>
  <c r="N2951" i="1"/>
  <c r="M2952" i="1"/>
  <c r="N2952" i="1"/>
  <c r="M2953" i="1"/>
  <c r="N2953" i="1"/>
  <c r="M2954" i="1"/>
  <c r="N2954" i="1"/>
  <c r="M2955" i="1"/>
  <c r="N2955" i="1"/>
  <c r="M2956" i="1"/>
  <c r="N2956" i="1"/>
  <c r="M2957" i="1"/>
  <c r="N2957" i="1"/>
  <c r="M2958" i="1"/>
  <c r="N2958" i="1"/>
  <c r="M2959" i="1"/>
  <c r="N2959" i="1"/>
  <c r="M2960" i="1"/>
  <c r="N2960" i="1"/>
  <c r="M2961" i="1"/>
  <c r="N2961" i="1"/>
  <c r="M2962" i="1"/>
  <c r="N2962" i="1"/>
  <c r="M2963" i="1"/>
  <c r="N2963" i="1"/>
  <c r="M2964" i="1"/>
  <c r="N2964" i="1"/>
  <c r="M2965" i="1"/>
  <c r="N2965" i="1"/>
  <c r="M2966" i="1"/>
  <c r="N2966" i="1"/>
  <c r="M2967" i="1"/>
  <c r="N2967" i="1"/>
  <c r="M2968" i="1"/>
  <c r="N2968" i="1"/>
  <c r="M2969" i="1"/>
  <c r="N2969" i="1"/>
  <c r="M2970" i="1"/>
  <c r="N2970" i="1"/>
  <c r="M2971" i="1"/>
  <c r="N2971" i="1"/>
  <c r="M2972" i="1"/>
  <c r="N2972" i="1"/>
  <c r="M2973" i="1"/>
  <c r="N2973" i="1"/>
  <c r="M2974" i="1"/>
  <c r="N2974" i="1"/>
  <c r="M2975" i="1"/>
  <c r="N2975" i="1"/>
  <c r="M2976" i="1"/>
  <c r="N2976" i="1"/>
  <c r="M2977" i="1"/>
  <c r="N2977" i="1"/>
  <c r="M2978" i="1"/>
  <c r="N2978" i="1"/>
  <c r="M2979" i="1"/>
  <c r="N2979" i="1"/>
  <c r="M2980" i="1"/>
  <c r="N2980" i="1"/>
  <c r="M2981" i="1"/>
  <c r="N2981" i="1"/>
  <c r="M2982" i="1"/>
  <c r="N2982" i="1"/>
  <c r="M2983" i="1"/>
  <c r="N2983" i="1"/>
  <c r="M2984" i="1"/>
  <c r="N2984" i="1"/>
  <c r="M2985" i="1"/>
  <c r="N2985" i="1"/>
  <c r="M2986" i="1"/>
  <c r="N2986" i="1"/>
  <c r="M2987" i="1"/>
  <c r="N2987" i="1"/>
  <c r="M2988" i="1"/>
  <c r="N2988" i="1"/>
  <c r="M2989" i="1"/>
  <c r="N2989" i="1"/>
  <c r="M2990" i="1"/>
  <c r="N2990" i="1"/>
  <c r="M2991" i="1"/>
  <c r="N2991" i="1"/>
  <c r="M2992" i="1"/>
  <c r="N2992" i="1"/>
  <c r="M2993" i="1"/>
  <c r="N2993" i="1"/>
  <c r="M2994" i="1"/>
  <c r="N2994" i="1"/>
  <c r="M2995" i="1"/>
  <c r="N2995" i="1"/>
  <c r="M2996" i="1"/>
  <c r="N2996" i="1"/>
  <c r="M2997" i="1"/>
  <c r="N2997" i="1"/>
  <c r="M2998" i="1"/>
  <c r="N2998" i="1"/>
  <c r="M2999" i="1"/>
  <c r="N2999" i="1"/>
  <c r="M3000" i="1"/>
  <c r="N3000" i="1"/>
  <c r="M3001" i="1"/>
  <c r="N3001" i="1"/>
  <c r="M3002" i="1"/>
  <c r="N3002" i="1"/>
  <c r="M3003" i="1"/>
  <c r="N3003" i="1"/>
  <c r="M3004" i="1"/>
  <c r="N3004" i="1"/>
  <c r="M3005" i="1"/>
  <c r="N3005" i="1"/>
  <c r="M3006" i="1"/>
  <c r="N3006" i="1"/>
  <c r="M3007" i="1"/>
  <c r="N3007" i="1"/>
  <c r="M3008" i="1"/>
  <c r="N3008" i="1"/>
  <c r="M3009" i="1"/>
  <c r="N3009" i="1"/>
  <c r="M3010" i="1"/>
  <c r="N3010" i="1"/>
  <c r="M3011" i="1"/>
  <c r="N3011" i="1"/>
  <c r="M3012" i="1"/>
  <c r="N3012" i="1"/>
  <c r="M3013" i="1"/>
  <c r="N3013" i="1"/>
  <c r="M3014" i="1"/>
  <c r="N3014" i="1"/>
  <c r="M3015" i="1"/>
  <c r="N3015" i="1"/>
  <c r="M3016" i="1"/>
  <c r="N3016" i="1"/>
  <c r="M3017" i="1"/>
  <c r="N3017" i="1"/>
  <c r="M3018" i="1"/>
  <c r="N3018" i="1"/>
  <c r="M3019" i="1"/>
  <c r="N3019" i="1"/>
  <c r="M3020" i="1"/>
  <c r="N3020" i="1"/>
  <c r="M3021" i="1"/>
  <c r="N3021" i="1"/>
  <c r="M3022" i="1"/>
  <c r="N3022" i="1"/>
  <c r="M3023" i="1"/>
  <c r="N3023" i="1"/>
  <c r="M3024" i="1"/>
  <c r="N3024" i="1"/>
  <c r="M3025" i="1"/>
  <c r="N3025" i="1"/>
  <c r="M3026" i="1"/>
  <c r="N3026" i="1"/>
  <c r="M3027" i="1"/>
  <c r="N3027" i="1"/>
  <c r="M3028" i="1"/>
  <c r="N3028" i="1"/>
  <c r="M3029" i="1"/>
  <c r="N3029" i="1"/>
  <c r="M3030" i="1"/>
  <c r="N3030" i="1"/>
  <c r="M3031" i="1"/>
  <c r="N3031" i="1"/>
  <c r="M3032" i="1"/>
  <c r="N3032" i="1"/>
  <c r="M3033" i="1"/>
  <c r="N3033" i="1"/>
  <c r="M3034" i="1"/>
  <c r="N3034" i="1"/>
  <c r="M3035" i="1"/>
  <c r="N3035" i="1"/>
  <c r="M3036" i="1"/>
  <c r="N3036" i="1"/>
  <c r="M3037" i="1"/>
  <c r="N3037" i="1"/>
  <c r="M3038" i="1"/>
  <c r="N3038" i="1"/>
  <c r="M3039" i="1"/>
  <c r="N3039" i="1"/>
  <c r="M3040" i="1"/>
  <c r="N3040" i="1"/>
  <c r="M3041" i="1"/>
  <c r="N3041" i="1"/>
  <c r="M3042" i="1"/>
  <c r="N3042" i="1"/>
  <c r="M3043" i="1"/>
  <c r="N3043" i="1"/>
  <c r="M3044" i="1"/>
  <c r="N3044" i="1"/>
  <c r="M3045" i="1"/>
  <c r="N3045" i="1"/>
  <c r="M3046" i="1"/>
  <c r="N3046" i="1"/>
  <c r="M3047" i="1"/>
  <c r="N3047" i="1"/>
  <c r="M3048" i="1"/>
  <c r="N3048" i="1"/>
  <c r="M3049" i="1"/>
  <c r="N3049" i="1"/>
  <c r="M3050" i="1"/>
  <c r="N3050" i="1"/>
  <c r="M3051" i="1"/>
  <c r="N3051" i="1"/>
  <c r="M3052" i="1"/>
  <c r="N3052" i="1"/>
  <c r="M3053" i="1"/>
  <c r="N3053" i="1"/>
  <c r="M3054" i="1"/>
  <c r="N3054" i="1"/>
  <c r="M3055" i="1"/>
  <c r="N3055" i="1"/>
  <c r="M3056" i="1"/>
  <c r="N3056" i="1"/>
  <c r="M3057" i="1"/>
  <c r="N3057" i="1"/>
  <c r="M3058" i="1"/>
  <c r="N3058" i="1"/>
  <c r="M3059" i="1"/>
  <c r="N3059" i="1"/>
  <c r="M3060" i="1"/>
  <c r="N3060" i="1"/>
  <c r="M3061" i="1"/>
  <c r="N3061" i="1"/>
  <c r="M3062" i="1"/>
  <c r="N3062" i="1"/>
  <c r="M3063" i="1"/>
  <c r="N3063" i="1"/>
  <c r="M3064" i="1"/>
  <c r="N3064" i="1"/>
  <c r="M3065" i="1"/>
  <c r="N3065" i="1"/>
  <c r="M3066" i="1"/>
  <c r="N3066" i="1"/>
  <c r="M3067" i="1"/>
  <c r="N3067" i="1"/>
  <c r="M3068" i="1"/>
  <c r="N3068" i="1"/>
  <c r="M3069" i="1"/>
  <c r="N3069" i="1"/>
  <c r="M3070" i="1"/>
  <c r="N3070" i="1"/>
  <c r="M3071" i="1"/>
  <c r="N3071" i="1"/>
  <c r="M3072" i="1"/>
  <c r="N3072" i="1"/>
  <c r="M3073" i="1"/>
  <c r="N3073" i="1"/>
  <c r="M3074" i="1"/>
  <c r="N3074" i="1"/>
  <c r="M3075" i="1"/>
  <c r="N3075" i="1"/>
  <c r="M3076" i="1"/>
  <c r="N3076" i="1"/>
  <c r="M3077" i="1"/>
  <c r="N3077" i="1"/>
  <c r="M3078" i="1"/>
  <c r="N3078" i="1"/>
  <c r="M3079" i="1"/>
  <c r="N3079" i="1"/>
  <c r="M3080" i="1"/>
  <c r="N3080" i="1"/>
  <c r="M3081" i="1"/>
  <c r="N3081" i="1"/>
  <c r="M3082" i="1"/>
  <c r="N3082" i="1"/>
  <c r="M3083" i="1"/>
  <c r="N3083" i="1"/>
  <c r="M3084" i="1"/>
  <c r="N3084" i="1"/>
  <c r="M3085" i="1"/>
  <c r="N3085" i="1"/>
  <c r="M3086" i="1"/>
  <c r="N3086" i="1"/>
  <c r="M3087" i="1"/>
  <c r="N3087" i="1"/>
  <c r="M3088" i="1"/>
  <c r="N3088" i="1"/>
  <c r="M3089" i="1"/>
  <c r="N3089" i="1"/>
  <c r="M3090" i="1"/>
  <c r="N3090" i="1"/>
  <c r="M3091" i="1"/>
  <c r="N3091" i="1"/>
  <c r="M3092" i="1"/>
  <c r="N3092" i="1"/>
  <c r="M3093" i="1"/>
  <c r="N3093" i="1"/>
  <c r="M3094" i="1"/>
  <c r="N3094" i="1"/>
  <c r="M3095" i="1"/>
  <c r="N3095" i="1"/>
  <c r="M3096" i="1"/>
  <c r="N3096" i="1"/>
  <c r="M3097" i="1"/>
  <c r="N3097" i="1"/>
  <c r="M3098" i="1"/>
  <c r="N3098" i="1"/>
  <c r="M3099" i="1"/>
  <c r="N3099" i="1"/>
  <c r="M3100" i="1"/>
  <c r="N3100" i="1"/>
  <c r="M3101" i="1"/>
  <c r="N3101" i="1"/>
  <c r="M3102" i="1"/>
  <c r="N3102" i="1"/>
  <c r="M3103" i="1"/>
  <c r="N3103" i="1"/>
  <c r="M3104" i="1"/>
  <c r="N3104" i="1"/>
  <c r="M3105" i="1"/>
  <c r="N3105" i="1"/>
  <c r="M3106" i="1"/>
  <c r="N3106" i="1"/>
  <c r="M3107" i="1"/>
  <c r="N3107" i="1"/>
  <c r="M3108" i="1"/>
  <c r="N3108" i="1"/>
  <c r="M3109" i="1"/>
  <c r="N3109" i="1"/>
  <c r="M3110" i="1"/>
  <c r="N3110" i="1"/>
  <c r="M3111" i="1"/>
  <c r="N3111" i="1"/>
  <c r="M3112" i="1"/>
  <c r="N3112" i="1"/>
  <c r="M3113" i="1"/>
  <c r="N3113" i="1"/>
  <c r="M3114" i="1"/>
  <c r="N3114" i="1"/>
  <c r="M3115" i="1"/>
  <c r="N3115" i="1"/>
  <c r="M3116" i="1"/>
  <c r="N3116" i="1"/>
  <c r="M3117" i="1"/>
  <c r="N3117" i="1"/>
  <c r="M3118" i="1"/>
  <c r="N3118" i="1"/>
  <c r="M3119" i="1"/>
  <c r="N3119" i="1"/>
  <c r="M3120" i="1"/>
  <c r="N3120" i="1"/>
  <c r="M3121" i="1"/>
  <c r="N3121" i="1"/>
  <c r="M3122" i="1"/>
  <c r="N3122" i="1"/>
  <c r="M3123" i="1"/>
  <c r="N3123" i="1"/>
  <c r="M3124" i="1"/>
  <c r="N3124" i="1"/>
  <c r="M3125" i="1"/>
  <c r="N3125" i="1"/>
  <c r="M3126" i="1"/>
  <c r="N3126" i="1"/>
  <c r="M3127" i="1"/>
  <c r="N3127" i="1"/>
  <c r="M3128" i="1"/>
  <c r="N3128" i="1"/>
  <c r="M3129" i="1"/>
  <c r="N3129" i="1"/>
  <c r="M3130" i="1"/>
  <c r="N3130" i="1"/>
  <c r="M3131" i="1"/>
  <c r="N3131" i="1"/>
  <c r="M3132" i="1"/>
  <c r="N3132" i="1"/>
  <c r="M3133" i="1"/>
  <c r="N3133" i="1"/>
  <c r="M3134" i="1"/>
  <c r="N3134" i="1"/>
  <c r="M3135" i="1"/>
  <c r="N3135" i="1"/>
  <c r="M3136" i="1"/>
  <c r="N3136" i="1"/>
  <c r="M3137" i="1"/>
  <c r="N3137" i="1"/>
  <c r="M3138" i="1"/>
  <c r="N3138" i="1"/>
  <c r="M3139" i="1"/>
  <c r="N3139" i="1"/>
  <c r="M3140" i="1"/>
  <c r="N3140" i="1"/>
  <c r="M3141" i="1"/>
  <c r="N3141" i="1"/>
  <c r="M3142" i="1"/>
  <c r="N3142" i="1"/>
  <c r="M3143" i="1"/>
  <c r="N3143" i="1"/>
  <c r="M3144" i="1"/>
  <c r="N3144" i="1"/>
  <c r="M3145" i="1"/>
  <c r="N3145" i="1"/>
  <c r="M3146" i="1"/>
  <c r="N3146" i="1"/>
  <c r="M3147" i="1"/>
  <c r="N3147" i="1"/>
  <c r="M3148" i="1"/>
  <c r="N3148" i="1"/>
  <c r="M3149" i="1"/>
  <c r="N3149" i="1"/>
  <c r="M3150" i="1"/>
  <c r="N3150" i="1"/>
  <c r="M3151" i="1"/>
  <c r="N3151" i="1"/>
  <c r="M3152" i="1"/>
  <c r="N3152" i="1"/>
  <c r="M3153" i="1"/>
  <c r="N3153" i="1"/>
  <c r="M3154" i="1"/>
  <c r="N3154" i="1"/>
  <c r="M3155" i="1"/>
  <c r="N3155" i="1"/>
  <c r="M3156" i="1"/>
  <c r="N3156" i="1"/>
  <c r="M3157" i="1"/>
  <c r="N3157" i="1"/>
  <c r="N2" i="1"/>
  <c r="M2" i="1"/>
</calcChain>
</file>

<file path=xl/sharedStrings.xml><?xml version="1.0" encoding="utf-8"?>
<sst xmlns="http://schemas.openxmlformats.org/spreadsheetml/2006/main" count="25971" uniqueCount="12875">
  <si>
    <t>Company Name</t>
  </si>
  <si>
    <t>Ticker</t>
  </si>
  <si>
    <t>Exchange</t>
  </si>
  <si>
    <t>Sector</t>
  </si>
  <si>
    <t>Industry</t>
  </si>
  <si>
    <t>Month of Fiscal Yr End</t>
  </si>
  <si>
    <t>52 Week High</t>
  </si>
  <si>
    <t>52 Week Low</t>
  </si>
  <si>
    <t>Beta</t>
  </si>
  <si>
    <t>% Price Change (1 Week)</t>
  </si>
  <si>
    <t>% Price Change (4 Weeks)</t>
  </si>
  <si>
    <t>% Price Change (12 Weeks)</t>
  </si>
  <si>
    <t>% Price Change (YTD)</t>
  </si>
  <si>
    <t>Agilent Technologies</t>
  </si>
  <si>
    <t>A</t>
  </si>
  <si>
    <t>32962.73</t>
  </si>
  <si>
    <t>NYSE</t>
  </si>
  <si>
    <t>YES</t>
  </si>
  <si>
    <t>Medical</t>
  </si>
  <si>
    <t>Medical - Products</t>
  </si>
  <si>
    <t>282.6</t>
  </si>
  <si>
    <t>Alcoa</t>
  </si>
  <si>
    <t>AA</t>
  </si>
  <si>
    <t>16136.44</t>
  </si>
  <si>
    <t>NO</t>
  </si>
  <si>
    <t>Industrial Products</t>
  </si>
  <si>
    <t>Metal Products - Distribution</t>
  </si>
  <si>
    <t>263.84</t>
  </si>
  <si>
    <t>AAC Technologies</t>
  </si>
  <si>
    <t>AACAY</t>
  </si>
  <si>
    <t>4769.99</t>
  </si>
  <si>
    <t>OTC</t>
  </si>
  <si>
    <t>Computer and Technology</t>
  </si>
  <si>
    <t>Electronics - Miscellaneous Components</t>
  </si>
  <si>
    <t>1166.97</t>
  </si>
  <si>
    <t>AIA</t>
  </si>
  <si>
    <t>AAGIY</t>
  </si>
  <si>
    <t>111177.02</t>
  </si>
  <si>
    <t>Finance</t>
  </si>
  <si>
    <t>Insurance - Life Insurance</t>
  </si>
  <si>
    <t>2627.06</t>
  </si>
  <si>
    <t>25.77</t>
  </si>
  <si>
    <t>American Airlines</t>
  </si>
  <si>
    <t>AAL</t>
  </si>
  <si>
    <t>7553.88</t>
  </si>
  <si>
    <t>NSDQ</t>
  </si>
  <si>
    <t>Transportation</t>
  </si>
  <si>
    <t>Transportation - Airline</t>
  </si>
  <si>
    <t>660.3</t>
  </si>
  <si>
    <t>Acadian Asset Management Inc.</t>
  </si>
  <si>
    <t>AAMI</t>
  </si>
  <si>
    <t>1841.86</t>
  </si>
  <si>
    <t>Financial - Miscellaneous Services</t>
  </si>
  <si>
    <t>35.72</t>
  </si>
  <si>
    <t>Applied Optoelectronics</t>
  </si>
  <si>
    <t>AAOI</t>
  </si>
  <si>
    <t>8318.49</t>
  </si>
  <si>
    <t>Electronics - Semiconductors</t>
  </si>
  <si>
    <t>75.2</t>
  </si>
  <si>
    <t>AAON</t>
  </si>
  <si>
    <t>7361.88</t>
  </si>
  <si>
    <t>Construction</t>
  </si>
  <si>
    <t>Building Products - Air Conditioner and Heating</t>
  </si>
  <si>
    <t>81.5</t>
  </si>
  <si>
    <t>Advance Auto Parts</t>
  </si>
  <si>
    <t>AAP</t>
  </si>
  <si>
    <t>3070.51</t>
  </si>
  <si>
    <t>Retail-Wholesale</t>
  </si>
  <si>
    <t>Automotive - Retail and Wholesale - Parts</t>
  </si>
  <si>
    <t>60.1</t>
  </si>
  <si>
    <t>66.5</t>
  </si>
  <si>
    <t>51.09</t>
  </si>
  <si>
    <t>Ascentage Pharma Group International - Unsponsored ADR</t>
  </si>
  <si>
    <t>AAPG</t>
  </si>
  <si>
    <t>Medical - Biomedical and Genetics</t>
  </si>
  <si>
    <t>93.33</t>
  </si>
  <si>
    <t>Apple</t>
  </si>
  <si>
    <t>AAPL</t>
  </si>
  <si>
    <t>Computer - Micro Computers</t>
  </si>
  <si>
    <t>14681.14</t>
  </si>
  <si>
    <t>American Assets Trust</t>
  </si>
  <si>
    <t>AAT</t>
  </si>
  <si>
    <t>1169.5</t>
  </si>
  <si>
    <t>REIT and Equity Trust - Retail</t>
  </si>
  <si>
    <t>61.39</t>
  </si>
  <si>
    <t>Allied Gold Corporation</t>
  </si>
  <si>
    <t>AAUC</t>
  </si>
  <si>
    <t>3940.5</t>
  </si>
  <si>
    <t>Basic Materials</t>
  </si>
  <si>
    <t>Mining - Gold</t>
  </si>
  <si>
    <t>125.21</t>
  </si>
  <si>
    <t>Advantage Oil &amp; Gas</t>
  </si>
  <si>
    <t>AAVVF</t>
  </si>
  <si>
    <t>1308.83</t>
  </si>
  <si>
    <t>Oils-Energy</t>
  </si>
  <si>
    <t>Alternative Energy - Other</t>
  </si>
  <si>
    <t>166.94</t>
  </si>
  <si>
    <t>.96</t>
  </si>
  <si>
    <t>AllianceBernstein</t>
  </si>
  <si>
    <t>AB</t>
  </si>
  <si>
    <t>3498.5</t>
  </si>
  <si>
    <t>Financial - Investment Management</t>
  </si>
  <si>
    <t>92.28</t>
  </si>
  <si>
    <t>ABB</t>
  </si>
  <si>
    <t>ABBNY</t>
  </si>
  <si>
    <t>156694.56</t>
  </si>
  <si>
    <t>Manufacturing - Electronics</t>
  </si>
  <si>
    <t>1843.9</t>
  </si>
  <si>
    <t>46.47</t>
  </si>
  <si>
    <t>15.21</t>
  </si>
  <si>
    <t>AbbVie</t>
  </si>
  <si>
    <t>ABBV</t>
  </si>
  <si>
    <t>402170.03</t>
  </si>
  <si>
    <t>Large Cap Pharmaceuticals</t>
  </si>
  <si>
    <t>1768.17</t>
  </si>
  <si>
    <t>14.54</t>
  </si>
  <si>
    <t>Ameris Bancorp</t>
  </si>
  <si>
    <t>ABCB</t>
  </si>
  <si>
    <t>5186.06</t>
  </si>
  <si>
    <t>Banks - Southeast</t>
  </si>
  <si>
    <t>67.88</t>
  </si>
  <si>
    <t>ABCELLERA BIOLG</t>
  </si>
  <si>
    <t>ABCL</t>
  </si>
  <si>
    <t>1067.13</t>
  </si>
  <si>
    <t>303.16</t>
  </si>
  <si>
    <t>Ambev</t>
  </si>
  <si>
    <t>ABEV</t>
  </si>
  <si>
    <t>47272.97</t>
  </si>
  <si>
    <t>Consumer Staples</t>
  </si>
  <si>
    <t>Beverages - Alcohol</t>
  </si>
  <si>
    <t>15757.66</t>
  </si>
  <si>
    <t>Asbury Automotive Group</t>
  </si>
  <si>
    <t>ABG</t>
  </si>
  <si>
    <t>3931.89</t>
  </si>
  <si>
    <t>Automotive - Retail and Whole Sales</t>
  </si>
  <si>
    <t>19.26</t>
  </si>
  <si>
    <t>30.42</t>
  </si>
  <si>
    <t>ABM Industries</t>
  </si>
  <si>
    <t>ABM</t>
  </si>
  <si>
    <t>2536.14</t>
  </si>
  <si>
    <t>Business Services</t>
  </si>
  <si>
    <t>Business - Services</t>
  </si>
  <si>
    <t>58.6</t>
  </si>
  <si>
    <t>54.64</t>
  </si>
  <si>
    <t>Airbnb</t>
  </si>
  <si>
    <t>ABNB</t>
  </si>
  <si>
    <t>81585.94</t>
  </si>
  <si>
    <t>Consumer Discretionary</t>
  </si>
  <si>
    <t>Leisure and Recreation Services</t>
  </si>
  <si>
    <t>608.71</t>
  </si>
  <si>
    <t>Arbor Realty Trust</t>
  </si>
  <si>
    <t>ABR</t>
  </si>
  <si>
    <t>1641.48</t>
  </si>
  <si>
    <t>REIT and Equity Trust</t>
  </si>
  <si>
    <t>193.12</t>
  </si>
  <si>
    <t>Abbott Laboratories</t>
  </si>
  <si>
    <t>ABT</t>
  </si>
  <si>
    <t>195749.98</t>
  </si>
  <si>
    <t>1737.68</t>
  </si>
  <si>
    <t>American Bitcoin Corp.</t>
  </si>
  <si>
    <t>ABTC</t>
  </si>
  <si>
    <t>1020.36</t>
  </si>
  <si>
    <t>927.6</t>
  </si>
  <si>
    <t>Abivax SA Sponsored ADR</t>
  </si>
  <si>
    <t>ABVX</t>
  </si>
  <si>
    <t>8667.15</t>
  </si>
  <si>
    <t>79.07</t>
  </si>
  <si>
    <t>Arcosa</t>
  </si>
  <si>
    <t>ACA</t>
  </si>
  <si>
    <t>5391.41</t>
  </si>
  <si>
    <t>Building Products - Miscellaneous</t>
  </si>
  <si>
    <t>49.04</t>
  </si>
  <si>
    <t>109.93</t>
  </si>
  <si>
    <t>ACADIA Pharmaceuticals</t>
  </si>
  <si>
    <t>ACAD</t>
  </si>
  <si>
    <t>3849.77</t>
  </si>
  <si>
    <t>170.49</t>
  </si>
  <si>
    <t>Accor SA - Sponsored ADR</t>
  </si>
  <si>
    <t>ACCYY</t>
  </si>
  <si>
    <t>11547.6</t>
  </si>
  <si>
    <t>Hotels and Motels</t>
  </si>
  <si>
    <t>1173.54</t>
  </si>
  <si>
    <t>Air Canada</t>
  </si>
  <si>
    <t>ACDVF</t>
  </si>
  <si>
    <t>3821.02</t>
  </si>
  <si>
    <t>293.47</t>
  </si>
  <si>
    <t>Agri Bank China</t>
  </si>
  <si>
    <t>ACGBY</t>
  </si>
  <si>
    <t>233088.69</t>
  </si>
  <si>
    <t>Banks - Foreign</t>
  </si>
  <si>
    <t>13999.32</t>
  </si>
  <si>
    <t>Arch Capital Group</t>
  </si>
  <si>
    <t>ACGL</t>
  </si>
  <si>
    <t>34021.91</t>
  </si>
  <si>
    <t>Insurance - Property and Casualty</t>
  </si>
  <si>
    <t>355.8</t>
  </si>
  <si>
    <t>Acadia Healthcare</t>
  </si>
  <si>
    <t>ACHC</t>
  </si>
  <si>
    <t>2279.7</t>
  </si>
  <si>
    <t>Medical - Hospital</t>
  </si>
  <si>
    <t>92.26</t>
  </si>
  <si>
    <t>Archer Aviation</t>
  </si>
  <si>
    <t>ACHR</t>
  </si>
  <si>
    <t>4246.75</t>
  </si>
  <si>
    <t>Aerospace</t>
  </si>
  <si>
    <t>Aerospace - Defense</t>
  </si>
  <si>
    <t>651.34</t>
  </si>
  <si>
    <t>Albertsons Companies</t>
  </si>
  <si>
    <t>ACI</t>
  </si>
  <si>
    <t>8854.72</t>
  </si>
  <si>
    <t>Consumer Products - Staples</t>
  </si>
  <si>
    <t>513.91</t>
  </si>
  <si>
    <t>ACI Worldwide</t>
  </si>
  <si>
    <t>ACIW</t>
  </si>
  <si>
    <t>4336.32</t>
  </si>
  <si>
    <t>Computer - Software</t>
  </si>
  <si>
    <t>101.72</t>
  </si>
  <si>
    <t>Accelleron Industries AG - Unsponsored ADR</t>
  </si>
  <si>
    <t>ACLLY</t>
  </si>
  <si>
    <t>8017.38</t>
  </si>
  <si>
    <t xml:space="preserve">Manufacturing - General Industrial </t>
  </si>
  <si>
    <t>94.5</t>
  </si>
  <si>
    <t>96.44</t>
  </si>
  <si>
    <t>Axcelis Technologies</t>
  </si>
  <si>
    <t>ACLS</t>
  </si>
  <si>
    <t>2582.22</t>
  </si>
  <si>
    <t>Electronics - Manufacturing Machinery</t>
  </si>
  <si>
    <t>30.72</t>
  </si>
  <si>
    <t>Arcellx</t>
  </si>
  <si>
    <t>ACLX</t>
  </si>
  <si>
    <t>6695.94</t>
  </si>
  <si>
    <t>58.48</t>
  </si>
  <si>
    <t>114.5</t>
  </si>
  <si>
    <t>52.8</t>
  </si>
  <si>
    <t>AECOM</t>
  </si>
  <si>
    <t>ACM</t>
  </si>
  <si>
    <t>12163.47</t>
  </si>
  <si>
    <t>Engineering - R and D Services</t>
  </si>
  <si>
    <t>129.29</t>
  </si>
  <si>
    <t>ACM Research</t>
  </si>
  <si>
    <t>ACMR</t>
  </si>
  <si>
    <t>2834.35</t>
  </si>
  <si>
    <t>Semiconductor Equipment - Material Services</t>
  </si>
  <si>
    <t>60.71</t>
  </si>
  <si>
    <t>70.68</t>
  </si>
  <si>
    <t>Accenture</t>
  </si>
  <si>
    <t>ACN</t>
  </si>
  <si>
    <t>128883.91</t>
  </si>
  <si>
    <t>Computers - IT Services</t>
  </si>
  <si>
    <t>615.61</t>
  </si>
  <si>
    <t>13.87</t>
  </si>
  <si>
    <t>Enact Holdings</t>
  </si>
  <si>
    <t>ACT</t>
  </si>
  <si>
    <t>5903.96</t>
  </si>
  <si>
    <t>Insurance - Multi line</t>
  </si>
  <si>
    <t>141.51</t>
  </si>
  <si>
    <t>iShares MSCI ACWI ETF</t>
  </si>
  <si>
    <t>ACWI</t>
  </si>
  <si>
    <t>28295.29</t>
  </si>
  <si>
    <t>Financial - Investment Funds</t>
  </si>
  <si>
    <t>197.8</t>
  </si>
  <si>
    <t>Array Digital Infrastructure Inc.</t>
  </si>
  <si>
    <t>AD</t>
  </si>
  <si>
    <t>4170.1</t>
  </si>
  <si>
    <t>Wireless National</t>
  </si>
  <si>
    <t>44.45</t>
  </si>
  <si>
    <t>49.06</t>
  </si>
  <si>
    <t>Adobe</t>
  </si>
  <si>
    <t>ADBE</t>
  </si>
  <si>
    <t>115941.62</t>
  </si>
  <si>
    <t>410.5</t>
  </si>
  <si>
    <t>Agree Realty</t>
  </si>
  <si>
    <t>ADC</t>
  </si>
  <si>
    <t>9729.49</t>
  </si>
  <si>
    <t>120.03</t>
  </si>
  <si>
    <t>81.92</t>
  </si>
  <si>
    <t>Adidas</t>
  </si>
  <si>
    <t>ADDYY</t>
  </si>
  <si>
    <t>29478.46</t>
  </si>
  <si>
    <t xml:space="preserve">Shoes and Retail Apparel </t>
  </si>
  <si>
    <t>357.1</t>
  </si>
  <si>
    <t>ADEIA INC</t>
  </si>
  <si>
    <t>ADEA</t>
  </si>
  <si>
    <t>2432.96</t>
  </si>
  <si>
    <t>Technology Services</t>
  </si>
  <si>
    <t>109.05</t>
  </si>
  <si>
    <t>73.75</t>
  </si>
  <si>
    <t>Analog Devices</t>
  </si>
  <si>
    <t>ADI</t>
  </si>
  <si>
    <t>156083.75</t>
  </si>
  <si>
    <t>Semiconductor - Analog and Mixed</t>
  </si>
  <si>
    <t>488.2</t>
  </si>
  <si>
    <t>17.89</t>
  </si>
  <si>
    <t>Archer Daniels Midland</t>
  </si>
  <si>
    <t>ADM</t>
  </si>
  <si>
    <t>32683.23</t>
  </si>
  <si>
    <t>Agriculture - Operations</t>
  </si>
  <si>
    <t>481.2</t>
  </si>
  <si>
    <t>ADMA Biologics</t>
  </si>
  <si>
    <t>ADMA</t>
  </si>
  <si>
    <t>3765.3</t>
  </si>
  <si>
    <t>238.16</t>
  </si>
  <si>
    <t>Adient</t>
  </si>
  <si>
    <t>ADNT</t>
  </si>
  <si>
    <t>1659.27</t>
  </si>
  <si>
    <t>Auto-Tires-Trucks</t>
  </si>
  <si>
    <t>Automotive - Original Equipment</t>
  </si>
  <si>
    <t>78.34</t>
  </si>
  <si>
    <t>Automatic Data Processing</t>
  </si>
  <si>
    <t>ADP</t>
  </si>
  <si>
    <t>89805.79</t>
  </si>
  <si>
    <t>Internet - Software</t>
  </si>
  <si>
    <t>402.64</t>
  </si>
  <si>
    <t>Adaptive Biotechnologies</t>
  </si>
  <si>
    <t>ADPT</t>
  </si>
  <si>
    <t>2302.02</t>
  </si>
  <si>
    <t>153.98</t>
  </si>
  <si>
    <t>Ahold</t>
  </si>
  <si>
    <t>ADRNY</t>
  </si>
  <si>
    <t>42861.16</t>
  </si>
  <si>
    <t>892.4</t>
  </si>
  <si>
    <t>16.92</t>
  </si>
  <si>
    <t>Andritz</t>
  </si>
  <si>
    <t>ADRZY</t>
  </si>
  <si>
    <t>8876.14</t>
  </si>
  <si>
    <t>Industrial Services</t>
  </si>
  <si>
    <t>Autodesk</t>
  </si>
  <si>
    <t>ADSK</t>
  </si>
  <si>
    <t>55018.25</t>
  </si>
  <si>
    <t>ADT</t>
  </si>
  <si>
    <t>5353.05</t>
  </si>
  <si>
    <t>Security and Safety Services</t>
  </si>
  <si>
    <t>819.76</t>
  </si>
  <si>
    <t>Addus HomeCare</t>
  </si>
  <si>
    <t>ADUS</t>
  </si>
  <si>
    <t>1904.79</t>
  </si>
  <si>
    <t>Medical - Outpatient and Home Healthcare</t>
  </si>
  <si>
    <t>18.52</t>
  </si>
  <si>
    <t>Adams Diversified Equity Fund</t>
  </si>
  <si>
    <t>ADX</t>
  </si>
  <si>
    <t>2805.8</t>
  </si>
  <si>
    <t>122.52</t>
  </si>
  <si>
    <t>Adyen</t>
  </si>
  <si>
    <t>ADYEY</t>
  </si>
  <si>
    <t>34848.05</t>
  </si>
  <si>
    <t>3153.67</t>
  </si>
  <si>
    <t>Aebi Schmidt Holding AG</t>
  </si>
  <si>
    <t>AEBI</t>
  </si>
  <si>
    <t>1044.11</t>
  </si>
  <si>
    <t>Automotive - Domestic</t>
  </si>
  <si>
    <t>77.34</t>
  </si>
  <si>
    <t>Ameren</t>
  </si>
  <si>
    <t>AEE</t>
  </si>
  <si>
    <t>30727.35</t>
  </si>
  <si>
    <t>Utilities</t>
  </si>
  <si>
    <t>Utility - Electric Power</t>
  </si>
  <si>
    <t>276.42</t>
  </si>
  <si>
    <t>Aegon</t>
  </si>
  <si>
    <t>AEG</t>
  </si>
  <si>
    <t>14163.67</t>
  </si>
  <si>
    <t>2006.19</t>
  </si>
  <si>
    <t>Aehr Test Systems</t>
  </si>
  <si>
    <t>AEHR</t>
  </si>
  <si>
    <t>1252.05</t>
  </si>
  <si>
    <t>Electronics - Measuring Instruments</t>
  </si>
  <si>
    <t>30.63</t>
  </si>
  <si>
    <t>40.88</t>
  </si>
  <si>
    <t>Advanced Energy Industries</t>
  </si>
  <si>
    <t>AEIS</t>
  </si>
  <si>
    <t>11514.81</t>
  </si>
  <si>
    <t>Semiconductor Equipment - Wafer Fabrication</t>
  </si>
  <si>
    <t>37.75</t>
  </si>
  <si>
    <t>340.42</t>
  </si>
  <si>
    <t>45.69</t>
  </si>
  <si>
    <t>Agnico Eagle Mines</t>
  </si>
  <si>
    <t>AEM</t>
  </si>
  <si>
    <t>112606.41</t>
  </si>
  <si>
    <t>501.03</t>
  </si>
  <si>
    <t>American Eagle Outfitters</t>
  </si>
  <si>
    <t>AEO</t>
  </si>
  <si>
    <t>3130.89</t>
  </si>
  <si>
    <t>Retail - Apparel and Shoes</t>
  </si>
  <si>
    <t>169.51</t>
  </si>
  <si>
    <t>American Electric Power</t>
  </si>
  <si>
    <t>AEP</t>
  </si>
  <si>
    <t>71590.79</t>
  </si>
  <si>
    <t>542.93</t>
  </si>
  <si>
    <t>14.35</t>
  </si>
  <si>
    <t>Aercap</t>
  </si>
  <si>
    <t>AER</t>
  </si>
  <si>
    <t>23252.58</t>
  </si>
  <si>
    <t>Transportation - Equipment and Leasing</t>
  </si>
  <si>
    <t>166.88</t>
  </si>
  <si>
    <t>Grupo Aeromexico SAB DE CV - Sponsored ADR</t>
  </si>
  <si>
    <t>AERO</t>
  </si>
  <si>
    <t>2152.77</t>
  </si>
  <si>
    <t>136.42</t>
  </si>
  <si>
    <t>AES</t>
  </si>
  <si>
    <t>10111.21</t>
  </si>
  <si>
    <t>712.56</t>
  </si>
  <si>
    <t>Atlas Energy Solutions Inc.</t>
  </si>
  <si>
    <t>AESI</t>
  </si>
  <si>
    <t>1477.52</t>
  </si>
  <si>
    <t>Oil and Gas - Integrated - United States</t>
  </si>
  <si>
    <t>124.16</t>
  </si>
  <si>
    <t>18.53</t>
  </si>
  <si>
    <t>Arc Resources</t>
  </si>
  <si>
    <t>AETUF</t>
  </si>
  <si>
    <t>11226.52</t>
  </si>
  <si>
    <t>Oil and Gas - Exploration and Production - Canadian</t>
  </si>
  <si>
    <t>571.16</t>
  </si>
  <si>
    <t>46.06</t>
  </si>
  <si>
    <t>American Financial Group</t>
  </si>
  <si>
    <t>AFG</t>
  </si>
  <si>
    <t>10766.37</t>
  </si>
  <si>
    <t>83.3</t>
  </si>
  <si>
    <t>116.9</t>
  </si>
  <si>
    <t>Aflac</t>
  </si>
  <si>
    <t>AFL</t>
  </si>
  <si>
    <t>56893.59</t>
  </si>
  <si>
    <t>Insurance - Accident and Health</t>
  </si>
  <si>
    <t>516.37</t>
  </si>
  <si>
    <t>Air France-KLM</t>
  </si>
  <si>
    <t>AFLYY</t>
  </si>
  <si>
    <t>2943.02</t>
  </si>
  <si>
    <t>2627.7</t>
  </si>
  <si>
    <t>Affirm</t>
  </si>
  <si>
    <t>AFRM</t>
  </si>
  <si>
    <t>16925.35</t>
  </si>
  <si>
    <t>333.11</t>
  </si>
  <si>
    <t>50.81</t>
  </si>
  <si>
    <t>39.66</t>
  </si>
  <si>
    <t>Afya</t>
  </si>
  <si>
    <t>AFYA</t>
  </si>
  <si>
    <t>1313.06</t>
  </si>
  <si>
    <t>Schools</t>
  </si>
  <si>
    <t>93.72</t>
  </si>
  <si>
    <t>First Majestic Silver</t>
  </si>
  <si>
    <t>AG</t>
  </si>
  <si>
    <t>12886.36</t>
  </si>
  <si>
    <t>Mining - Silver</t>
  </si>
  <si>
    <t>492.98</t>
  </si>
  <si>
    <t>124.25</t>
  </si>
  <si>
    <t>AGI</t>
  </si>
  <si>
    <t>AGBK</t>
  </si>
  <si>
    <t>1692.06</t>
  </si>
  <si>
    <t>159.93</t>
  </si>
  <si>
    <t>AGCO</t>
  </si>
  <si>
    <t>8971.88</t>
  </si>
  <si>
    <t>Manufacturing - Farm Equipment</t>
  </si>
  <si>
    <t>72.4</t>
  </si>
  <si>
    <t>Ageas</t>
  </si>
  <si>
    <t>AGESY</t>
  </si>
  <si>
    <t>13260.54</t>
  </si>
  <si>
    <t>191.07</t>
  </si>
  <si>
    <t>69.4</t>
  </si>
  <si>
    <t>iShares Core U.S. Aggregate Bond ETF</t>
  </si>
  <si>
    <t>AGG</t>
  </si>
  <si>
    <t>140194.16</t>
  </si>
  <si>
    <t>1395.8</t>
  </si>
  <si>
    <t>.27</t>
  </si>
  <si>
    <t>Alamos Gold</t>
  </si>
  <si>
    <t>21480.77</t>
  </si>
  <si>
    <t>419.87</t>
  </si>
  <si>
    <t>51.16</t>
  </si>
  <si>
    <t>Agios Pharmaceuticals</t>
  </si>
  <si>
    <t>AGIO</t>
  </si>
  <si>
    <t>1671.64</t>
  </si>
  <si>
    <t>58.59</t>
  </si>
  <si>
    <t>45.49</t>
  </si>
  <si>
    <t>Federal Agricultural Mortgage</t>
  </si>
  <si>
    <t>AGM</t>
  </si>
  <si>
    <t>1752.97</t>
  </si>
  <si>
    <t>Financial - Mortgage &amp; Related Services</t>
  </si>
  <si>
    <t>AGNC Investment</t>
  </si>
  <si>
    <t>AGNC</t>
  </si>
  <si>
    <t>11838.94</t>
  </si>
  <si>
    <t>1123.24</t>
  </si>
  <si>
    <t>Assured Guaranty</t>
  </si>
  <si>
    <t>AGO</t>
  </si>
  <si>
    <t>3847.17</t>
  </si>
  <si>
    <t>44.95</t>
  </si>
  <si>
    <t>Argan</t>
  </si>
  <si>
    <t>AGX</t>
  </si>
  <si>
    <t>6470.28</t>
  </si>
  <si>
    <t>104.05</t>
  </si>
  <si>
    <t>46.85</t>
  </si>
  <si>
    <t>Agilysys</t>
  </si>
  <si>
    <t>AGYS</t>
  </si>
  <si>
    <t>2135.95</t>
  </si>
  <si>
    <t>Computer - Integrated Systems</t>
  </si>
  <si>
    <t>65.76</t>
  </si>
  <si>
    <t>AdaptHealth</t>
  </si>
  <si>
    <t>AHCO</t>
  </si>
  <si>
    <t>1314.3</t>
  </si>
  <si>
    <t>135.91</t>
  </si>
  <si>
    <t>Adecco</t>
  </si>
  <si>
    <t>AHEXY</t>
  </si>
  <si>
    <t>4537.51</t>
  </si>
  <si>
    <t>Outsourcing</t>
  </si>
  <si>
    <t>334.87</t>
  </si>
  <si>
    <t>Asahi Kasei</t>
  </si>
  <si>
    <t>AHKSY</t>
  </si>
  <si>
    <t>14608.41</t>
  </si>
  <si>
    <t xml:space="preserve">Chemical - Diversified </t>
  </si>
  <si>
    <t>696.97</t>
  </si>
  <si>
    <t>23.77</t>
  </si>
  <si>
    <t>American Healthcare REIT</t>
  </si>
  <si>
    <t>AHR</t>
  </si>
  <si>
    <t>9232.84</t>
  </si>
  <si>
    <t>REIT and Equity Trust - Other</t>
  </si>
  <si>
    <t>176.91</t>
  </si>
  <si>
    <t>52.19</t>
  </si>
  <si>
    <t>C3.ai</t>
  </si>
  <si>
    <t>AI</t>
  </si>
  <si>
    <t>1304.78</t>
  </si>
  <si>
    <t>140.75</t>
  </si>
  <si>
    <t>25.27</t>
  </si>
  <si>
    <t>American International Group</t>
  </si>
  <si>
    <t>AIG</t>
  </si>
  <si>
    <t>41647.76</t>
  </si>
  <si>
    <t>536.56</t>
  </si>
  <si>
    <t>Albany International</t>
  </si>
  <si>
    <t>AIN</t>
  </si>
  <si>
    <t>1620.98</t>
  </si>
  <si>
    <t>Textile - Products</t>
  </si>
  <si>
    <t>74.71</t>
  </si>
  <si>
    <t>Air Liquide</t>
  </si>
  <si>
    <t>AIQUY</t>
  </si>
  <si>
    <t>112962.13</t>
  </si>
  <si>
    <t>2896.47</t>
  </si>
  <si>
    <t>AAR</t>
  </si>
  <si>
    <t>AIR</t>
  </si>
  <si>
    <t>4268.69</t>
  </si>
  <si>
    <t>Aerospace - Defense Equipment</t>
  </si>
  <si>
    <t>39.57</t>
  </si>
  <si>
    <t>Air China</t>
  </si>
  <si>
    <t>AIRYY</t>
  </si>
  <si>
    <t>13635.94</t>
  </si>
  <si>
    <t>872.42</t>
  </si>
  <si>
    <t>Applied Industrial Technologies</t>
  </si>
  <si>
    <t>AIT</t>
  </si>
  <si>
    <t>9981.01</t>
  </si>
  <si>
    <t>37.3</t>
  </si>
  <si>
    <t>Assurant</t>
  </si>
  <si>
    <t>AIZ</t>
  </si>
  <si>
    <t>10917.55</t>
  </si>
  <si>
    <t>49.7</t>
  </si>
  <si>
    <t>Arthur J. Gallagher &amp; Co.</t>
  </si>
  <si>
    <t>AJG</t>
  </si>
  <si>
    <t>55991.24</t>
  </si>
  <si>
    <t>Insurance - Brokerage</t>
  </si>
  <si>
    <t>257.1</t>
  </si>
  <si>
    <t>Ajinomoto</t>
  </si>
  <si>
    <t>AJINY</t>
  </si>
  <si>
    <t>27269.04</t>
  </si>
  <si>
    <t>Food - Miscellaneous</t>
  </si>
  <si>
    <t>977.74</t>
  </si>
  <si>
    <t>Ashmore Group</t>
  </si>
  <si>
    <t>AJMPF</t>
  </si>
  <si>
    <t>2423.32</t>
  </si>
  <si>
    <t>712.74</t>
  </si>
  <si>
    <t>Akamai Technologies</t>
  </si>
  <si>
    <t>AKAM</t>
  </si>
  <si>
    <t>14807.38</t>
  </si>
  <si>
    <t>Internet - Services</t>
  </si>
  <si>
    <t>145.01</t>
  </si>
  <si>
    <t>111.76</t>
  </si>
  <si>
    <t>Acadia Realty Trust</t>
  </si>
  <si>
    <t>AKR</t>
  </si>
  <si>
    <t>2717.76</t>
  </si>
  <si>
    <t>131.04</t>
  </si>
  <si>
    <t>20.74</t>
  </si>
  <si>
    <t>AkzoNobel</t>
  </si>
  <si>
    <t>AKZOY</t>
  </si>
  <si>
    <t>10314.51</t>
  </si>
  <si>
    <t>513.67</t>
  </si>
  <si>
    <t>Air Lease</t>
  </si>
  <si>
    <t>AL</t>
  </si>
  <si>
    <t>7257.65</t>
  </si>
  <si>
    <t>112.04</t>
  </si>
  <si>
    <t>.12</t>
  </si>
  <si>
    <t>Astera Labs</t>
  </si>
  <si>
    <t>ALAB</t>
  </si>
  <si>
    <t>20818.93</t>
  </si>
  <si>
    <t>170.21</t>
  </si>
  <si>
    <t>Albemarle</t>
  </si>
  <si>
    <t>ALB</t>
  </si>
  <si>
    <t>19983.35</t>
  </si>
  <si>
    <t>117.85</t>
  </si>
  <si>
    <t>50.76</t>
  </si>
  <si>
    <t>Alcon</t>
  </si>
  <si>
    <t>ALC</t>
  </si>
  <si>
    <t>40484.35</t>
  </si>
  <si>
    <t>Medical - Instruments</t>
  </si>
  <si>
    <t>494.62</t>
  </si>
  <si>
    <t>Alexander &amp; Baldwin Holdings</t>
  </si>
  <si>
    <t>ALEX</t>
  </si>
  <si>
    <t>1519.45</t>
  </si>
  <si>
    <t>72.88</t>
  </si>
  <si>
    <t>Alamo Group</t>
  </si>
  <si>
    <t>ALG</t>
  </si>
  <si>
    <t>2035.17</t>
  </si>
  <si>
    <t>Allegro MicroSystems</t>
  </si>
  <si>
    <t>ALGM</t>
  </si>
  <si>
    <t>6090.51</t>
  </si>
  <si>
    <t>185.29</t>
  </si>
  <si>
    <t>Align Technology</t>
  </si>
  <si>
    <t>ALGN</t>
  </si>
  <si>
    <t>12477.94</t>
  </si>
  <si>
    <t>Medical - Dental Supplies</t>
  </si>
  <si>
    <t>71.28</t>
  </si>
  <si>
    <t>Allegiant</t>
  </si>
  <si>
    <t>ALGT</t>
  </si>
  <si>
    <t>1521.94</t>
  </si>
  <si>
    <t>18.45</t>
  </si>
  <si>
    <t>Alliance Laundry Holdings Inc.</t>
  </si>
  <si>
    <t>ALH</t>
  </si>
  <si>
    <t>4218.44</t>
  </si>
  <si>
    <t>Retail - Home Furnishings</t>
  </si>
  <si>
    <t>197.4</t>
  </si>
  <si>
    <t>Alignment Healthcare</t>
  </si>
  <si>
    <t>ALHC</t>
  </si>
  <si>
    <t>3722.28</t>
  </si>
  <si>
    <t>Medical Services</t>
  </si>
  <si>
    <t>204.3</t>
  </si>
  <si>
    <t>Allianz</t>
  </si>
  <si>
    <t>ALIZY</t>
  </si>
  <si>
    <t>3804.19</t>
  </si>
  <si>
    <t>46.19</t>
  </si>
  <si>
    <t>Alaska Air Group</t>
  </si>
  <si>
    <t>ALK</t>
  </si>
  <si>
    <t>4959.39</t>
  </si>
  <si>
    <t>114.64</t>
  </si>
  <si>
    <t>Alkermes</t>
  </si>
  <si>
    <t>ALKS</t>
  </si>
  <si>
    <t>4741.19</t>
  </si>
  <si>
    <t>166.65</t>
  </si>
  <si>
    <t>Alkami Technology</t>
  </si>
  <si>
    <t>ALKT</t>
  </si>
  <si>
    <t>1857.59</t>
  </si>
  <si>
    <t>106.15</t>
  </si>
  <si>
    <t>Allstate</t>
  </si>
  <si>
    <t>ALL</t>
  </si>
  <si>
    <t>259.54</t>
  </si>
  <si>
    <t>207.69</t>
  </si>
  <si>
    <t>Allegion</t>
  </si>
  <si>
    <t>ALLE</t>
  </si>
  <si>
    <t>12940.77</t>
  </si>
  <si>
    <t>86.14</t>
  </si>
  <si>
    <t>Ally Financial</t>
  </si>
  <si>
    <t>ALLY</t>
  </si>
  <si>
    <t>11881.48</t>
  </si>
  <si>
    <t>Financial - Consumer Loans</t>
  </si>
  <si>
    <t>309.09</t>
  </si>
  <si>
    <t>Almonty Industries Inc.</t>
  </si>
  <si>
    <t>ALM</t>
  </si>
  <si>
    <t>5487.88</t>
  </si>
  <si>
    <t>Mining - Miscellaneous</t>
  </si>
  <si>
    <t>278.57</t>
  </si>
  <si>
    <t>Alumis Inc.</t>
  </si>
  <si>
    <t>ALMS</t>
  </si>
  <si>
    <t>2801.92</t>
  </si>
  <si>
    <t>104.39</t>
  </si>
  <si>
    <t>ANA</t>
  </si>
  <si>
    <t>ALNPY</t>
  </si>
  <si>
    <t>9282.75</t>
  </si>
  <si>
    <t>2350.06</t>
  </si>
  <si>
    <t>ALLIENT INC</t>
  </si>
  <si>
    <t>ALNT</t>
  </si>
  <si>
    <t>1032.5</t>
  </si>
  <si>
    <t>16.94</t>
  </si>
  <si>
    <t>Alnylam Pharmaceuticals</t>
  </si>
  <si>
    <t>ALNY</t>
  </si>
  <si>
    <t>42915.52</t>
  </si>
  <si>
    <t>132.62</t>
  </si>
  <si>
    <t>Alarm.com</t>
  </si>
  <si>
    <t>ALRM</t>
  </si>
  <si>
    <t>2462.45</t>
  </si>
  <si>
    <t>49.67</t>
  </si>
  <si>
    <t>Alstom</t>
  </si>
  <si>
    <t>ALSMY</t>
  </si>
  <si>
    <t>12613.42</t>
  </si>
  <si>
    <t>Transportation - Rail</t>
  </si>
  <si>
    <t>4620.3</t>
  </si>
  <si>
    <t>Allison Transmission Holdings</t>
  </si>
  <si>
    <t>ALSN</t>
  </si>
  <si>
    <t>9677.49</t>
  </si>
  <si>
    <t>82.81</t>
  </si>
  <si>
    <t>126.94</t>
  </si>
  <si>
    <t>Autoliv</t>
  </si>
  <si>
    <t>ALV</t>
  </si>
  <si>
    <t>8176.63</t>
  </si>
  <si>
    <t>Alvotech</t>
  </si>
  <si>
    <t>ALVO</t>
  </si>
  <si>
    <t>1211.96</t>
  </si>
  <si>
    <t>301.48</t>
  </si>
  <si>
    <t>Alexander's</t>
  </si>
  <si>
    <t>ALX</t>
  </si>
  <si>
    <t>1227.38</t>
  </si>
  <si>
    <t>Antero Midstream</t>
  </si>
  <si>
    <t>AM</t>
  </si>
  <si>
    <t>10762.59</t>
  </si>
  <si>
    <t>473.08</t>
  </si>
  <si>
    <t>26.39</t>
  </si>
  <si>
    <t>Amadeus IT Group</t>
  </si>
  <si>
    <t>AMADY</t>
  </si>
  <si>
    <t>28552.64</t>
  </si>
  <si>
    <t>450.5</t>
  </si>
  <si>
    <t>Amalgamated Financial</t>
  </si>
  <si>
    <t>AMAL</t>
  </si>
  <si>
    <t>1129.64</t>
  </si>
  <si>
    <t>Financial - SBIC &amp; Commercial Industry</t>
  </si>
  <si>
    <t>29.83</t>
  </si>
  <si>
    <t>Applied Materials</t>
  </si>
  <si>
    <t>AMAT</t>
  </si>
  <si>
    <t>268986.13</t>
  </si>
  <si>
    <t>793.61</t>
  </si>
  <si>
    <t>Ambarella</t>
  </si>
  <si>
    <t>AMBA</t>
  </si>
  <si>
    <t>2292.87</t>
  </si>
  <si>
    <t>43.05</t>
  </si>
  <si>
    <t>Ambu A/S Unsponsored ADR</t>
  </si>
  <si>
    <t>AMBBY</t>
  </si>
  <si>
    <t>2702.21</t>
  </si>
  <si>
    <t>234.97</t>
  </si>
  <si>
    <t>Ardagh Metal Packaging</t>
  </si>
  <si>
    <t>AMBP</t>
  </si>
  <si>
    <t>2623.9</t>
  </si>
  <si>
    <t>Containers - Metal and Glass</t>
  </si>
  <si>
    <t>597.7</t>
  </si>
  <si>
    <t>Amcor</t>
  </si>
  <si>
    <t>AMCR</t>
  </si>
  <si>
    <t>19544.53</t>
  </si>
  <si>
    <t>Containers - Paper and Packaging</t>
  </si>
  <si>
    <t>462.05</t>
  </si>
  <si>
    <t>Advanced Micro Devices</t>
  </si>
  <si>
    <t>AMD</t>
  </si>
  <si>
    <t>330451.66</t>
  </si>
  <si>
    <t>1630.41</t>
  </si>
  <si>
    <t>Amada</t>
  </si>
  <si>
    <t>AMDLY</t>
  </si>
  <si>
    <t>3868.34</t>
  </si>
  <si>
    <t>Manufacturing - Tools &amp; Related Products</t>
  </si>
  <si>
    <t>82.04</t>
  </si>
  <si>
    <t>AMETEK</t>
  </si>
  <si>
    <t>AME</t>
  </si>
  <si>
    <t>51535.9</t>
  </si>
  <si>
    <t>Electronics - Testing Equipment</t>
  </si>
  <si>
    <t>228.98</t>
  </si>
  <si>
    <t>Amplifon</t>
  </si>
  <si>
    <t>AMFPF</t>
  </si>
  <si>
    <t>3177.34</t>
  </si>
  <si>
    <t>225.5</t>
  </si>
  <si>
    <t>Affiliated Managers Group</t>
  </si>
  <si>
    <t>AMG</t>
  </si>
  <si>
    <t>7512.55</t>
  </si>
  <si>
    <t>26.68</t>
  </si>
  <si>
    <t>Amgen</t>
  </si>
  <si>
    <t>AMGN</t>
  </si>
  <si>
    <t>203212.33</t>
  </si>
  <si>
    <t>539.07</t>
  </si>
  <si>
    <t>American Homes 4 Rent</t>
  </si>
  <si>
    <t>AMH</t>
  </si>
  <si>
    <t>10720.49</t>
  </si>
  <si>
    <t>REIT and Equity Trust - Residential</t>
  </si>
  <si>
    <t>363.78</t>
  </si>
  <si>
    <t>A.P. Moller-Maersk</t>
  </si>
  <si>
    <t>AMKBY</t>
  </si>
  <si>
    <t>40648.3</t>
  </si>
  <si>
    <t>Transportation - Shipping</t>
  </si>
  <si>
    <t>3165.76</t>
  </si>
  <si>
    <t>Amkor Technology</t>
  </si>
  <si>
    <t>AMKR</t>
  </si>
  <si>
    <t>10688.7</t>
  </si>
  <si>
    <t>247.31</t>
  </si>
  <si>
    <t>43.22</t>
  </si>
  <si>
    <t>Amylyx Pharmaceuticals</t>
  </si>
  <si>
    <t>AMLX</t>
  </si>
  <si>
    <t>1581.78</t>
  </si>
  <si>
    <t>Medical - Drugs</t>
  </si>
  <si>
    <t>110.54</t>
  </si>
  <si>
    <t>Ameriprise Financial</t>
  </si>
  <si>
    <t>AMP</t>
  </si>
  <si>
    <t>42077.29</t>
  </si>
  <si>
    <t>91.18</t>
  </si>
  <si>
    <t>39.34</t>
  </si>
  <si>
    <t>Amprius Technologies</t>
  </si>
  <si>
    <t>AMPX</t>
  </si>
  <si>
    <t>2312.17</t>
  </si>
  <si>
    <t>130.48</t>
  </si>
  <si>
    <t>Alpha Metallurgical Resources</t>
  </si>
  <si>
    <t>AMR</t>
  </si>
  <si>
    <t>2241.02</t>
  </si>
  <si>
    <t>Ameresco</t>
  </si>
  <si>
    <t>AMRC</t>
  </si>
  <si>
    <t>1385.41</t>
  </si>
  <si>
    <t>Amneal Pharmaceuticals</t>
  </si>
  <si>
    <t>AMRX</t>
  </si>
  <si>
    <t>4165.31</t>
  </si>
  <si>
    <t>314.36</t>
  </si>
  <si>
    <t>13.25</t>
  </si>
  <si>
    <t>Amrize Ltd</t>
  </si>
  <si>
    <t>AMRZ</t>
  </si>
  <si>
    <t>32582.06</t>
  </si>
  <si>
    <t>553.08</t>
  </si>
  <si>
    <t>American Superconductor</t>
  </si>
  <si>
    <t>AMSC</t>
  </si>
  <si>
    <t>1382.66</t>
  </si>
  <si>
    <t>47.61</t>
  </si>
  <si>
    <t>66.68</t>
  </si>
  <si>
    <t>ams-OSRAM AG Unsponsored ADR</t>
  </si>
  <si>
    <t>AMSSY</t>
  </si>
  <si>
    <t>1126.24</t>
  </si>
  <si>
    <t>199.69</t>
  </si>
  <si>
    <t>American Tower</t>
  </si>
  <si>
    <t>AMT</t>
  </si>
  <si>
    <t>86990.07</t>
  </si>
  <si>
    <t>466.08</t>
  </si>
  <si>
    <t>232.35</t>
  </si>
  <si>
    <t>168.51</t>
  </si>
  <si>
    <t>Amentum Holdings</t>
  </si>
  <si>
    <t>AMTM</t>
  </si>
  <si>
    <t>7391.24</t>
  </si>
  <si>
    <t>243.93</t>
  </si>
  <si>
    <t>America Movil</t>
  </si>
  <si>
    <t xml:space="preserve"> S.A.B. de C.V. Unsponsored ADR</t>
  </si>
  <si>
    <t>AMX</t>
  </si>
  <si>
    <t>72450.45</t>
  </si>
  <si>
    <t xml:space="preserve">Wireless Non-US </t>
  </si>
  <si>
    <t>Amazon.com</t>
  </si>
  <si>
    <t>AMZN</t>
  </si>
  <si>
    <t>2291798.25</t>
  </si>
  <si>
    <t>Internet - Commerce</t>
  </si>
  <si>
    <t>10734.92</t>
  </si>
  <si>
    <t>AutoNation</t>
  </si>
  <si>
    <t>AN</t>
  </si>
  <si>
    <t>6719.27</t>
  </si>
  <si>
    <t>34.71</t>
  </si>
  <si>
    <t>AnaptysBio</t>
  </si>
  <si>
    <t>ANAB</t>
  </si>
  <si>
    <t>1716.27</t>
  </si>
  <si>
    <t>28.75</t>
  </si>
  <si>
    <t>The Andersons</t>
  </si>
  <si>
    <t>ANDE</t>
  </si>
  <si>
    <t>2226.26</t>
  </si>
  <si>
    <t>Agriculture - Products</t>
  </si>
  <si>
    <t>33.88</t>
  </si>
  <si>
    <t>Andersen Group Inc.</t>
  </si>
  <si>
    <t>ANDG</t>
  </si>
  <si>
    <t>2616.7</t>
  </si>
  <si>
    <t>109.3</t>
  </si>
  <si>
    <t>23.94</t>
  </si>
  <si>
    <t>Arista Networks</t>
  </si>
  <si>
    <t>ANET</t>
  </si>
  <si>
    <t>172359.3</t>
  </si>
  <si>
    <t>1256.54</t>
  </si>
  <si>
    <t>Abercrombie &amp; Fitch</t>
  </si>
  <si>
    <t>ANF</t>
  </si>
  <si>
    <t>3956.13</t>
  </si>
  <si>
    <t>45.86</t>
  </si>
  <si>
    <t>65.61</t>
  </si>
  <si>
    <t>ANI Pharmaceuticals</t>
  </si>
  <si>
    <t>ANIP</t>
  </si>
  <si>
    <t>1680.91</t>
  </si>
  <si>
    <t>22.47</t>
  </si>
  <si>
    <t>Anta Sports Products</t>
  </si>
  <si>
    <t>ANPDF</t>
  </si>
  <si>
    <t>29225.03</t>
  </si>
  <si>
    <t>2796.65</t>
  </si>
  <si>
    <t>ANZ Group Holdings Limited - Sponsored ADR</t>
  </si>
  <si>
    <t>ANZGY</t>
  </si>
  <si>
    <t>79996.84</t>
  </si>
  <si>
    <t>3014.2</t>
  </si>
  <si>
    <t>Aon</t>
  </si>
  <si>
    <t>AON</t>
  </si>
  <si>
    <t>71312.47</t>
  </si>
  <si>
    <t>214.26</t>
  </si>
  <si>
    <t>21.41</t>
  </si>
  <si>
    <t>Aeon</t>
  </si>
  <si>
    <t>AONNY</t>
  </si>
  <si>
    <t>35322.98</t>
  </si>
  <si>
    <t>Retail - Miscellaneous</t>
  </si>
  <si>
    <t>2783.53</t>
  </si>
  <si>
    <t>Artivion</t>
  </si>
  <si>
    <t>AORT</t>
  </si>
  <si>
    <t>1728.13</t>
  </si>
  <si>
    <t>47.88</t>
  </si>
  <si>
    <t>A. O. Smith</t>
  </si>
  <si>
    <t>AOS</t>
  </si>
  <si>
    <t>9743.91</t>
  </si>
  <si>
    <t>138.29</t>
  </si>
  <si>
    <t>APA</t>
  </si>
  <si>
    <t>11512.47</t>
  </si>
  <si>
    <t>Oil and Gas - Exploration and Production - United States</t>
  </si>
  <si>
    <t>353.25</t>
  </si>
  <si>
    <t>33.24</t>
  </si>
  <si>
    <t>Artisan Partners Asset Management</t>
  </si>
  <si>
    <t>APAM</t>
  </si>
  <si>
    <t>2983.3</t>
  </si>
  <si>
    <t>80.59</t>
  </si>
  <si>
    <t>Air Products and Chemicals</t>
  </si>
  <si>
    <t>APD</t>
  </si>
  <si>
    <t>61096.81</t>
  </si>
  <si>
    <t>222.66</t>
  </si>
  <si>
    <t>Alps Electric</t>
  </si>
  <si>
    <t>APELY</t>
  </si>
  <si>
    <t>2809.4</t>
  </si>
  <si>
    <t>16.21</t>
  </si>
  <si>
    <t>Aperam</t>
  </si>
  <si>
    <t>APEMY</t>
  </si>
  <si>
    <t>2949.34</t>
  </si>
  <si>
    <t>Steel - Producers</t>
  </si>
  <si>
    <t>73.18</t>
  </si>
  <si>
    <t>APi Group</t>
  </si>
  <si>
    <t>APG</t>
  </si>
  <si>
    <t>18315.31</t>
  </si>
  <si>
    <t>431.46</t>
  </si>
  <si>
    <t>Apogee Therapeutics Inc.</t>
  </si>
  <si>
    <t>APGE</t>
  </si>
  <si>
    <t>5207.23</t>
  </si>
  <si>
    <t>69.49</t>
  </si>
  <si>
    <t>Amphenol</t>
  </si>
  <si>
    <t>APH</t>
  </si>
  <si>
    <t>167246.98</t>
  </si>
  <si>
    <t>Electronics - Connectors</t>
  </si>
  <si>
    <t>1229.21</t>
  </si>
  <si>
    <t>Applied Digital Corporation</t>
  </si>
  <si>
    <t>APLD</t>
  </si>
  <si>
    <t>7557.21</t>
  </si>
  <si>
    <t>279.59</t>
  </si>
  <si>
    <t>Apple Hospitality REIT</t>
  </si>
  <si>
    <t>APLE</t>
  </si>
  <si>
    <t>2834.98</t>
  </si>
  <si>
    <t>235.66</t>
  </si>
  <si>
    <t>14.67</t>
  </si>
  <si>
    <t>Apellis Pharmaceuticals</t>
  </si>
  <si>
    <t>APLS</t>
  </si>
  <si>
    <t>2555.32</t>
  </si>
  <si>
    <t>127.83</t>
  </si>
  <si>
    <t>Apollo Global Management</t>
  </si>
  <si>
    <t>APO</t>
  </si>
  <si>
    <t>62531.67</t>
  </si>
  <si>
    <t>578.25</t>
  </si>
  <si>
    <t>22.73</t>
  </si>
  <si>
    <t>AppLovin</t>
  </si>
  <si>
    <t>APP</t>
  </si>
  <si>
    <t>174450.3</t>
  </si>
  <si>
    <t>337.28</t>
  </si>
  <si>
    <t>AppFolio</t>
  </si>
  <si>
    <t>APPF</t>
  </si>
  <si>
    <t>6827.65</t>
  </si>
  <si>
    <t>35.99</t>
  </si>
  <si>
    <t>Appian</t>
  </si>
  <si>
    <t>APPN</t>
  </si>
  <si>
    <t>1965.11</t>
  </si>
  <si>
    <t>73.96</t>
  </si>
  <si>
    <t>APTIV HLDS LTD</t>
  </si>
  <si>
    <t>APTV</t>
  </si>
  <si>
    <t>15498.72</t>
  </si>
  <si>
    <t>212.75</t>
  </si>
  <si>
    <t>Algonquin Power &amp; Utilities</t>
  </si>
  <si>
    <t>AQN</t>
  </si>
  <si>
    <t>4756.67</t>
  </si>
  <si>
    <t>768.44</t>
  </si>
  <si>
    <t>Antero Resources</t>
  </si>
  <si>
    <t>AR</t>
  </si>
  <si>
    <t>12060.24</t>
  </si>
  <si>
    <t>308.52</t>
  </si>
  <si>
    <t>Arcadis</t>
  </si>
  <si>
    <t>ARCAY</t>
  </si>
  <si>
    <t>3798.57</t>
  </si>
  <si>
    <t>90.44</t>
  </si>
  <si>
    <t>59.1</t>
  </si>
  <si>
    <t>ArcBest</t>
  </si>
  <si>
    <t>ARCB</t>
  </si>
  <si>
    <t>2098.93</t>
  </si>
  <si>
    <t>Transportation - Truck</t>
  </si>
  <si>
    <t>94.14</t>
  </si>
  <si>
    <t>Ares Capital</t>
  </si>
  <si>
    <t>ARCC</t>
  </si>
  <si>
    <t>13419.85</t>
  </si>
  <si>
    <t>718.02</t>
  </si>
  <si>
    <t>Ardent Health</t>
  </si>
  <si>
    <t>ARDT</t>
  </si>
  <si>
    <t>1313.03</t>
  </si>
  <si>
    <t>143.19</t>
  </si>
  <si>
    <t>Ardelyx</t>
  </si>
  <si>
    <t>ARDX</t>
  </si>
  <si>
    <t>1513.18</t>
  </si>
  <si>
    <t>245.25</t>
  </si>
  <si>
    <t>Alexandria Real Estate Equities</t>
  </si>
  <si>
    <t>ARE</t>
  </si>
  <si>
    <t>8869.51</t>
  </si>
  <si>
    <t>173.3</t>
  </si>
  <si>
    <t>Ares Management</t>
  </si>
  <si>
    <t>ARES</t>
  </si>
  <si>
    <t>35863.09</t>
  </si>
  <si>
    <t>329.47</t>
  </si>
  <si>
    <t>Argenx</t>
  </si>
  <si>
    <t>ARGX</t>
  </si>
  <si>
    <t>45818.48</t>
  </si>
  <si>
    <t>61.88</t>
  </si>
  <si>
    <t>24.75</t>
  </si>
  <si>
    <t>Arhaus</t>
  </si>
  <si>
    <t>ARHS</t>
  </si>
  <si>
    <t>1039.64</t>
  </si>
  <si>
    <t>141.06</t>
  </si>
  <si>
    <t>Apollo Commercial Real Estate Finance</t>
  </si>
  <si>
    <t>ARI</t>
  </si>
  <si>
    <t>1461.6</t>
  </si>
  <si>
    <t>139.6</t>
  </si>
  <si>
    <t>Aris Mining Corporation</t>
  </si>
  <si>
    <t>ARIS</t>
  </si>
  <si>
    <t>3970.88</t>
  </si>
  <si>
    <t>205.53</t>
  </si>
  <si>
    <t>Arkema</t>
  </si>
  <si>
    <t>ARKAY</t>
  </si>
  <si>
    <t>4670.9</t>
  </si>
  <si>
    <t>76.06</t>
  </si>
  <si>
    <t>Arlo Technologies</t>
  </si>
  <si>
    <t>ARLO</t>
  </si>
  <si>
    <t>1503.46</t>
  </si>
  <si>
    <t>106.86</t>
  </si>
  <si>
    <t>Alliance Resource Partners</t>
  </si>
  <si>
    <t>ARLP</t>
  </si>
  <si>
    <t>3498.38</t>
  </si>
  <si>
    <t>Coal</t>
  </si>
  <si>
    <t>128.43</t>
  </si>
  <si>
    <t>ARM Holdings PLC Sponsored ADR</t>
  </si>
  <si>
    <t>ARM</t>
  </si>
  <si>
    <t>124277.7</t>
  </si>
  <si>
    <t>1056.51</t>
  </si>
  <si>
    <t>117.63</t>
  </si>
  <si>
    <t>Aramark</t>
  </si>
  <si>
    <t>ARMK</t>
  </si>
  <si>
    <t>10597.55</t>
  </si>
  <si>
    <t>Retail - Restaurants</t>
  </si>
  <si>
    <t>262.84</t>
  </si>
  <si>
    <t>Archrock</t>
  </si>
  <si>
    <t>AROC</t>
  </si>
  <si>
    <t>6287.56</t>
  </si>
  <si>
    <t>Oil and Gas - Field Services</t>
  </si>
  <si>
    <t>174.95</t>
  </si>
  <si>
    <t>Arcutis Biotherapeutics</t>
  </si>
  <si>
    <t>ARQT</t>
  </si>
  <si>
    <t>3078.51</t>
  </si>
  <si>
    <t>124.03</t>
  </si>
  <si>
    <t>ARMOUR Residential REIT</t>
  </si>
  <si>
    <t>ARR</t>
  </si>
  <si>
    <t>2061.78</t>
  </si>
  <si>
    <t>119.39</t>
  </si>
  <si>
    <t>Array Technologies</t>
  </si>
  <si>
    <t>ARRY</t>
  </si>
  <si>
    <t>1028.67</t>
  </si>
  <si>
    <t>Solar</t>
  </si>
  <si>
    <t>152.85</t>
  </si>
  <si>
    <t>Arrow Electronics</t>
  </si>
  <si>
    <t>ARW</t>
  </si>
  <si>
    <t>7143.89</t>
  </si>
  <si>
    <t>Electronics - Parts Distribution</t>
  </si>
  <si>
    <t>139.84</t>
  </si>
  <si>
    <t>Arrowhead Pharmaceuticals</t>
  </si>
  <si>
    <t>ARWR</t>
  </si>
  <si>
    <t>8495.75</t>
  </si>
  <si>
    <t>140.03</t>
  </si>
  <si>
    <t>Accelerant Holdings</t>
  </si>
  <si>
    <t>ARX</t>
  </si>
  <si>
    <t>2426.71</t>
  </si>
  <si>
    <t>221.82</t>
  </si>
  <si>
    <t>Amer Sports</t>
  </si>
  <si>
    <t>AS</t>
  </si>
  <si>
    <t>18875.05</t>
  </si>
  <si>
    <t>Leisure and Recreation Products</t>
  </si>
  <si>
    <t>553.84</t>
  </si>
  <si>
    <t>ASA Gold and Precious Metals Limited</t>
  </si>
  <si>
    <t>ASA</t>
  </si>
  <si>
    <t>1353.52</t>
  </si>
  <si>
    <t>18.87</t>
  </si>
  <si>
    <t>24.28</t>
  </si>
  <si>
    <t>71.72</t>
  </si>
  <si>
    <t>Sendas Distribuidora</t>
  </si>
  <si>
    <t>ASAIY</t>
  </si>
  <si>
    <t>2154.77</t>
  </si>
  <si>
    <t>Consumer Products - Discretionary</t>
  </si>
  <si>
    <t>270.7</t>
  </si>
  <si>
    <t>Asana</t>
  </si>
  <si>
    <t>ASAN</t>
  </si>
  <si>
    <t>1873.09</t>
  </si>
  <si>
    <t>237.1</t>
  </si>
  <si>
    <t>Associated BancCorp</t>
  </si>
  <si>
    <t>ASB</t>
  </si>
  <si>
    <t>4162.65</t>
  </si>
  <si>
    <t>Banks - Midwest</t>
  </si>
  <si>
    <t>165.98</t>
  </si>
  <si>
    <t>Associated British Foods</t>
  </si>
  <si>
    <t>ASBFY</t>
  </si>
  <si>
    <t>17919.28</t>
  </si>
  <si>
    <t>713.06</t>
  </si>
  <si>
    <t>ASICS Corporation Unsponsored ADR</t>
  </si>
  <si>
    <t>ASCCY</t>
  </si>
  <si>
    <t>20572.85</t>
  </si>
  <si>
    <t>734.48</t>
  </si>
  <si>
    <t>Aisin Seiki</t>
  </si>
  <si>
    <t>ASEKY</t>
  </si>
  <si>
    <t>11476.44</t>
  </si>
  <si>
    <t>759.02</t>
  </si>
  <si>
    <t>ASGN</t>
  </si>
  <si>
    <t>1665.63</t>
  </si>
  <si>
    <t>41.3</t>
  </si>
  <si>
    <t>ASHLAND INC</t>
  </si>
  <si>
    <t>ASH</t>
  </si>
  <si>
    <t>2510.98</t>
  </si>
  <si>
    <t>Chemical - Specialty</t>
  </si>
  <si>
    <t>45.76</t>
  </si>
  <si>
    <t>Avino Silver</t>
  </si>
  <si>
    <t>ASM</t>
  </si>
  <si>
    <t>1297.94</t>
  </si>
  <si>
    <t>AMEX</t>
  </si>
  <si>
    <t>166.83</t>
  </si>
  <si>
    <t>ASM International</t>
  </si>
  <si>
    <t>ASMIY</t>
  </si>
  <si>
    <t>39679.59</t>
  </si>
  <si>
    <t xml:space="preserve">Semiconductor - Communications </t>
  </si>
  <si>
    <t>49.09</t>
  </si>
  <si>
    <t>ASML Holding</t>
  </si>
  <si>
    <t>ASML</t>
  </si>
  <si>
    <t>533851.19</t>
  </si>
  <si>
    <t>393.28</t>
  </si>
  <si>
    <t>24.78</t>
  </si>
  <si>
    <t>Ascendis Pharma</t>
  </si>
  <si>
    <t>ASND</t>
  </si>
  <si>
    <t>14869.62</t>
  </si>
  <si>
    <t>61.98</t>
  </si>
  <si>
    <t>Academy Sports and Outdoors</t>
  </si>
  <si>
    <t>ASO</t>
  </si>
  <si>
    <t>3951.53</t>
  </si>
  <si>
    <t>61.19</t>
  </si>
  <si>
    <t>34.1</t>
  </si>
  <si>
    <t>Grupo Aeroportuario del Sureste</t>
  </si>
  <si>
    <t>ASR</t>
  </si>
  <si>
    <t>9905.1</t>
  </si>
  <si>
    <t>Transportation - Services</t>
  </si>
  <si>
    <t>253.25</t>
  </si>
  <si>
    <t>330.17</t>
  </si>
  <si>
    <t>Astec Industries</t>
  </si>
  <si>
    <t>ASTE</t>
  </si>
  <si>
    <t>1310.1</t>
  </si>
  <si>
    <t>Manufacturing - Construction and Mining</t>
  </si>
  <si>
    <t>57.21</t>
  </si>
  <si>
    <t>32.06</t>
  </si>
  <si>
    <t>Astrana Health</t>
  </si>
  <si>
    <t>ASTH</t>
  </si>
  <si>
    <t>1391.45</t>
  </si>
  <si>
    <t>56.29</t>
  </si>
  <si>
    <t>56.39</t>
  </si>
  <si>
    <t>AST SpaceMobile</t>
  </si>
  <si>
    <t>ASTS</t>
  </si>
  <si>
    <t>32943.66</t>
  </si>
  <si>
    <t>Wireless Equipment</t>
  </si>
  <si>
    <t>367.02</t>
  </si>
  <si>
    <t>ASE Technology</t>
  </si>
  <si>
    <t>ASX</t>
  </si>
  <si>
    <t>48043.42</t>
  </si>
  <si>
    <t>2218.07</t>
  </si>
  <si>
    <t>AtaiBeckley Inc</t>
  </si>
  <si>
    <t>ATAI</t>
  </si>
  <si>
    <t>1418.86</t>
  </si>
  <si>
    <t>364.75</t>
  </si>
  <si>
    <t>Atour Lifestyle Holdings Limited Sponsored ADR</t>
  </si>
  <si>
    <t>ATAT</t>
  </si>
  <si>
    <t>5003.71</t>
  </si>
  <si>
    <t>138.19</t>
  </si>
  <si>
    <t>AUTOTRADER GRP</t>
  </si>
  <si>
    <t>ATDRY</t>
  </si>
  <si>
    <t>5446.69</t>
  </si>
  <si>
    <t>Automotive - Foreign</t>
  </si>
  <si>
    <t>3321.15</t>
  </si>
  <si>
    <t>Alphatec</t>
  </si>
  <si>
    <t>ATEC</t>
  </si>
  <si>
    <t>1947.96</t>
  </si>
  <si>
    <t>151.36</t>
  </si>
  <si>
    <t>A10 Networks</t>
  </si>
  <si>
    <t>ATEN</t>
  </si>
  <si>
    <t>1466.78</t>
  </si>
  <si>
    <t>Advantest</t>
  </si>
  <si>
    <t>ATEYY</t>
  </si>
  <si>
    <t>Autohome</t>
  </si>
  <si>
    <t>ATHM</t>
  </si>
  <si>
    <t>2290.85</t>
  </si>
  <si>
    <t>116.82</t>
  </si>
  <si>
    <t>ATI INC</t>
  </si>
  <si>
    <t>ATI</t>
  </si>
  <si>
    <t>21457.92</t>
  </si>
  <si>
    <t>136.94</t>
  </si>
  <si>
    <t>36.55</t>
  </si>
  <si>
    <t>Atkore</t>
  </si>
  <si>
    <t>ATKR</t>
  </si>
  <si>
    <t>2078.7</t>
  </si>
  <si>
    <t>Wire and Cable Products</t>
  </si>
  <si>
    <t>33.75</t>
  </si>
  <si>
    <t>Atlas Copco</t>
  </si>
  <si>
    <t>ATLKY</t>
  </si>
  <si>
    <t>93064.8</t>
  </si>
  <si>
    <t>4875.06</t>
  </si>
  <si>
    <t>Atmus Filtration Technologies Inc.</t>
  </si>
  <si>
    <t>ATMU</t>
  </si>
  <si>
    <t>4744.62</t>
  </si>
  <si>
    <t>81.51</t>
  </si>
  <si>
    <t>31.66</t>
  </si>
  <si>
    <t>Atmos Energy</t>
  </si>
  <si>
    <t>ATO</t>
  </si>
  <si>
    <t>30645.91</t>
  </si>
  <si>
    <t>Utility - Gas Distribution</t>
  </si>
  <si>
    <t>165.44</t>
  </si>
  <si>
    <t>AptarGroup</t>
  </si>
  <si>
    <t>ATR</t>
  </si>
  <si>
    <t>8610.79</t>
  </si>
  <si>
    <t>64.38</t>
  </si>
  <si>
    <t>AtriCure</t>
  </si>
  <si>
    <t>ATRC</t>
  </si>
  <si>
    <t>1463.91</t>
  </si>
  <si>
    <t>49.81</t>
  </si>
  <si>
    <t>Astronics</t>
  </si>
  <si>
    <t>ATRO</t>
  </si>
  <si>
    <t>2648.67</t>
  </si>
  <si>
    <t>35.63</t>
  </si>
  <si>
    <t>42.11</t>
  </si>
  <si>
    <t>37.06</t>
  </si>
  <si>
    <t>ATROB</t>
  </si>
  <si>
    <t>2672.18</t>
  </si>
  <si>
    <t>19.53</t>
  </si>
  <si>
    <t>ATS Corporation</t>
  </si>
  <si>
    <t>ATS</t>
  </si>
  <si>
    <t>2977.1</t>
  </si>
  <si>
    <t>98.06</t>
  </si>
  <si>
    <t>AngloGold Ashanti PLC</t>
  </si>
  <si>
    <t>AU</t>
  </si>
  <si>
    <t>54982.52</t>
  </si>
  <si>
    <t>504.89</t>
  </si>
  <si>
    <t>30.64</t>
  </si>
  <si>
    <t>Atlantic Union Bankshares</t>
  </si>
  <si>
    <t>AUB</t>
  </si>
  <si>
    <t>5010.11</t>
  </si>
  <si>
    <t>Banks - Northeast</t>
  </si>
  <si>
    <t>142.54</t>
  </si>
  <si>
    <t>35.15</t>
  </si>
  <si>
    <t>Aura Minerals Inc.</t>
  </si>
  <si>
    <t>AUGO</t>
  </si>
  <si>
    <t>6742.9</t>
  </si>
  <si>
    <t>83.54</t>
  </si>
  <si>
    <t>Aurinia Pharmaceuticals</t>
  </si>
  <si>
    <t>AUPH</t>
  </si>
  <si>
    <t>1910.79</t>
  </si>
  <si>
    <t>132.97</t>
  </si>
  <si>
    <t>Reinvent Technology Partners Y</t>
  </si>
  <si>
    <t>AUR</t>
  </si>
  <si>
    <t>8984.03</t>
  </si>
  <si>
    <t>1948.81</t>
  </si>
  <si>
    <t>Avista</t>
  </si>
  <si>
    <t>AVA</t>
  </si>
  <si>
    <t>3262.91</t>
  </si>
  <si>
    <t>82.25</t>
  </si>
  <si>
    <t>35.55</t>
  </si>
  <si>
    <t>Aveanna Healthcare</t>
  </si>
  <si>
    <t>AVAH</t>
  </si>
  <si>
    <t>1525.05</t>
  </si>
  <si>
    <t>208.91</t>
  </si>
  <si>
    <t>Grupo Aval Acciones y Valores</t>
  </si>
  <si>
    <t>AVAL</t>
  </si>
  <si>
    <t>4665.59</t>
  </si>
  <si>
    <t>1187.17</t>
  </si>
  <si>
    <t>AeroVironment</t>
  </si>
  <si>
    <t>AVAV</t>
  </si>
  <si>
    <t>11347.65</t>
  </si>
  <si>
    <t>49.93</t>
  </si>
  <si>
    <t>AvalonBay Communities</t>
  </si>
  <si>
    <t>AVB</t>
  </si>
  <si>
    <t>24754.15</t>
  </si>
  <si>
    <t>140.08</t>
  </si>
  <si>
    <t>169.7</t>
  </si>
  <si>
    <t>ArriVent BioPharma</t>
  </si>
  <si>
    <t>AVBP</t>
  </si>
  <si>
    <t>1096.64</t>
  </si>
  <si>
    <t>44.2</t>
  </si>
  <si>
    <t>Broadcom</t>
  </si>
  <si>
    <t>AVGO</t>
  </si>
  <si>
    <t>1639295.25</t>
  </si>
  <si>
    <t>4741.27</t>
  </si>
  <si>
    <t>Avient</t>
  </si>
  <si>
    <t>AVNT</t>
  </si>
  <si>
    <t>3355.3</t>
  </si>
  <si>
    <t>91.63</t>
  </si>
  <si>
    <t>AvePoint</t>
  </si>
  <si>
    <t>AVPT</t>
  </si>
  <si>
    <t>215.79</t>
  </si>
  <si>
    <t>Avnet</t>
  </si>
  <si>
    <t>AVT</t>
  </si>
  <si>
    <t>5038.67</t>
  </si>
  <si>
    <t>81.86</t>
  </si>
  <si>
    <t>Avantor</t>
  </si>
  <si>
    <t>AVTR</t>
  </si>
  <si>
    <t>5558.75</t>
  </si>
  <si>
    <t>682.06</t>
  </si>
  <si>
    <t>Aviva</t>
  </si>
  <si>
    <t>AVVIY</t>
  </si>
  <si>
    <t>25715.57</t>
  </si>
  <si>
    <t>1528.87</t>
  </si>
  <si>
    <t>Avery Dennison</t>
  </si>
  <si>
    <t>AVY</t>
  </si>
  <si>
    <t>13566.65</t>
  </si>
  <si>
    <t>76.88</t>
  </si>
  <si>
    <t>Armstrong World Industries</t>
  </si>
  <si>
    <t>AWI</t>
  </si>
  <si>
    <t>7131.01</t>
  </si>
  <si>
    <t>42.83</t>
  </si>
  <si>
    <t>American Water Works</t>
  </si>
  <si>
    <t>AWK</t>
  </si>
  <si>
    <t>26886.09</t>
  </si>
  <si>
    <t>Utility - Water Supply</t>
  </si>
  <si>
    <t>195.21</t>
  </si>
  <si>
    <t>American States Water</t>
  </si>
  <si>
    <t>AWR</t>
  </si>
  <si>
    <t>2957.37</t>
  </si>
  <si>
    <t>39.08</t>
  </si>
  <si>
    <t>Axos Financial</t>
  </si>
  <si>
    <t>AX</t>
  </si>
  <si>
    <t>4847.69</t>
  </si>
  <si>
    <t>56.68</t>
  </si>
  <si>
    <t>Axa</t>
  </si>
  <si>
    <t>AXAHY</t>
  </si>
  <si>
    <t>97970.17</t>
  </si>
  <si>
    <t>2215.52</t>
  </si>
  <si>
    <t>50.7</t>
  </si>
  <si>
    <t>AxoGen</t>
  </si>
  <si>
    <t>AXGN</t>
  </si>
  <si>
    <t>1519.56</t>
  </si>
  <si>
    <t>51.9</t>
  </si>
  <si>
    <t>AXIA ENERGIA</t>
  </si>
  <si>
    <t>AXIA</t>
  </si>
  <si>
    <t>26084.85</t>
  </si>
  <si>
    <t>2250.63</t>
  </si>
  <si>
    <t>Axon Enterprise</t>
  </si>
  <si>
    <t>AXON</t>
  </si>
  <si>
    <t>44947.13</t>
  </si>
  <si>
    <t>80.4</t>
  </si>
  <si>
    <t>American Express</t>
  </si>
  <si>
    <t>AXP</t>
  </si>
  <si>
    <t>209678.19</t>
  </si>
  <si>
    <t>686.61</t>
  </si>
  <si>
    <t>231.39</t>
  </si>
  <si>
    <t>Axis Capital Holdings</t>
  </si>
  <si>
    <t>AXS</t>
  </si>
  <si>
    <t>7503.1</t>
  </si>
  <si>
    <t>73.97</t>
  </si>
  <si>
    <t>Axsome Therapeutics</t>
  </si>
  <si>
    <t>AXSM</t>
  </si>
  <si>
    <t>8414.2</t>
  </si>
  <si>
    <t>51.15</t>
  </si>
  <si>
    <t>Axalta Coating Systems</t>
  </si>
  <si>
    <t>AXTA</t>
  </si>
  <si>
    <t>6249.72</t>
  </si>
  <si>
    <t>213.37</t>
  </si>
  <si>
    <t>29.29</t>
  </si>
  <si>
    <t>AXT</t>
  </si>
  <si>
    <t>AXTI</t>
  </si>
  <si>
    <t>2131.37</t>
  </si>
  <si>
    <t>55.27</t>
  </si>
  <si>
    <t>46.32</t>
  </si>
  <si>
    <t>Acuity</t>
  </si>
  <si>
    <t>AYI</t>
  </si>
  <si>
    <t>8416.28</t>
  </si>
  <si>
    <t>30.66</t>
  </si>
  <si>
    <t>AstraZeneca</t>
  </si>
  <si>
    <t>AZN</t>
  </si>
  <si>
    <t>302349.5</t>
  </si>
  <si>
    <t>1550.91</t>
  </si>
  <si>
    <t>AutoZone</t>
  </si>
  <si>
    <t>AZO</t>
  </si>
  <si>
    <t>60848.3</t>
  </si>
  <si>
    <t>16.57</t>
  </si>
  <si>
    <t>144.87</t>
  </si>
  <si>
    <t>Azenta</t>
  </si>
  <si>
    <t>AZTA</t>
  </si>
  <si>
    <t>1065.4</t>
  </si>
  <si>
    <t>Medical Info Systems</t>
  </si>
  <si>
    <t>23.13</t>
  </si>
  <si>
    <t>AZZ</t>
  </si>
  <si>
    <t>3747.48</t>
  </si>
  <si>
    <t>29.86</t>
  </si>
  <si>
    <t>Barrick Mining Corporation</t>
  </si>
  <si>
    <t>B</t>
  </si>
  <si>
    <t>76748.26</t>
  </si>
  <si>
    <t>1675.36</t>
  </si>
  <si>
    <t>Boeing</t>
  </si>
  <si>
    <t>BA</t>
  </si>
  <si>
    <t>176703.08</t>
  </si>
  <si>
    <t>785.35</t>
  </si>
  <si>
    <t>252.15</t>
  </si>
  <si>
    <t>34.5</t>
  </si>
  <si>
    <t>Alibaba</t>
  </si>
  <si>
    <t>BABA</t>
  </si>
  <si>
    <t>316666.44</t>
  </si>
  <si>
    <t>2387.41</t>
  </si>
  <si>
    <t>132.64</t>
  </si>
  <si>
    <t>Bank of America</t>
  </si>
  <si>
    <t>BAC</t>
  </si>
  <si>
    <t>343763.09</t>
  </si>
  <si>
    <t>Financial - Investment Bank</t>
  </si>
  <si>
    <t>7176.68</t>
  </si>
  <si>
    <t>Bank of China</t>
  </si>
  <si>
    <t>BACHY</t>
  </si>
  <si>
    <t>185207.69</t>
  </si>
  <si>
    <t>12888.5</t>
  </si>
  <si>
    <t>Bae Systems</t>
  </si>
  <si>
    <t>BAESY</t>
  </si>
  <si>
    <t>90619.11</t>
  </si>
  <si>
    <t>749.72</t>
  </si>
  <si>
    <t>120.87</t>
  </si>
  <si>
    <t>Booz Allen Hamilton</t>
  </si>
  <si>
    <t>BAH</t>
  </si>
  <si>
    <t>Consulting Services</t>
  </si>
  <si>
    <t>120.59</t>
  </si>
  <si>
    <t>Ball</t>
  </si>
  <si>
    <t>BALL</t>
  </si>
  <si>
    <t>16600.55</t>
  </si>
  <si>
    <t>266.08</t>
  </si>
  <si>
    <t>44.94</t>
  </si>
  <si>
    <t>Brookfield Asset Management Ltd.</t>
  </si>
  <si>
    <t>BAM</t>
  </si>
  <si>
    <t>75280.45</t>
  </si>
  <si>
    <t>1637.96</t>
  </si>
  <si>
    <t>45.96</t>
  </si>
  <si>
    <t>Bayerische Motoren Werke</t>
  </si>
  <si>
    <t>BAMXF</t>
  </si>
  <si>
    <t>52975.93</t>
  </si>
  <si>
    <t>579.8</t>
  </si>
  <si>
    <t>Banc of California</t>
  </si>
  <si>
    <t>BANC</t>
  </si>
  <si>
    <t>2596.37</t>
  </si>
  <si>
    <t>Banks - Southwest</t>
  </si>
  <si>
    <t>151.3</t>
  </si>
  <si>
    <t>BancFirst</t>
  </si>
  <si>
    <t>BANF</t>
  </si>
  <si>
    <t>3646.69</t>
  </si>
  <si>
    <t>33.54</t>
  </si>
  <si>
    <t>Banner</t>
  </si>
  <si>
    <t>BANR</t>
  </si>
  <si>
    <t>2027.12</t>
  </si>
  <si>
    <t>Financial - Savings and Loan</t>
  </si>
  <si>
    <t>56.51</t>
  </si>
  <si>
    <t>59.45</t>
  </si>
  <si>
    <t>Credicorp</t>
  </si>
  <si>
    <t>BAP</t>
  </si>
  <si>
    <t>26214.73</t>
  </si>
  <si>
    <t>79.54</t>
  </si>
  <si>
    <t>24.35</t>
  </si>
  <si>
    <t>Atlanta Braves Holdings</t>
  </si>
  <si>
    <t>BATRA</t>
  </si>
  <si>
    <t>3073.18</t>
  </si>
  <si>
    <t>Media Conglomerates</t>
  </si>
  <si>
    <t>62.92</t>
  </si>
  <si>
    <t>BATRB</t>
  </si>
  <si>
    <t>3639.8</t>
  </si>
  <si>
    <t>62.76</t>
  </si>
  <si>
    <t>BATRK</t>
  </si>
  <si>
    <t>2314.71</t>
  </si>
  <si>
    <t>52.62</t>
  </si>
  <si>
    <t>43.99</t>
  </si>
  <si>
    <t>Baxter International</t>
  </si>
  <si>
    <t>BAX</t>
  </si>
  <si>
    <t>9214.52</t>
  </si>
  <si>
    <t>514.49</t>
  </si>
  <si>
    <t>Bayer</t>
  </si>
  <si>
    <t>BAYRY</t>
  </si>
  <si>
    <t>43387.2</t>
  </si>
  <si>
    <t>BlackBerry</t>
  </si>
  <si>
    <t>BB</t>
  </si>
  <si>
    <t>2054.43</t>
  </si>
  <si>
    <t>590.35</t>
  </si>
  <si>
    <t>BigBear.ai</t>
  </si>
  <si>
    <t>BBAI</t>
  </si>
  <si>
    <t>1999.44</t>
  </si>
  <si>
    <t>476.06</t>
  </si>
  <si>
    <t>BBVA Banco Frances</t>
  </si>
  <si>
    <t>BBAR</t>
  </si>
  <si>
    <t>2894.03</t>
  </si>
  <si>
    <t>204.24</t>
  </si>
  <si>
    <t>BridgeBio Pharma</t>
  </si>
  <si>
    <t>BBIO</t>
  </si>
  <si>
    <t>12725.16</t>
  </si>
  <si>
    <t>Medical - Generic Drugs</t>
  </si>
  <si>
    <t>193.86</t>
  </si>
  <si>
    <t>BB Seguridade Participacoes</t>
  </si>
  <si>
    <t>BBSEY</t>
  </si>
  <si>
    <t>Beacon Financial Corporation</t>
  </si>
  <si>
    <t>BBT</t>
  </si>
  <si>
    <t>2440.73</t>
  </si>
  <si>
    <t>83.82</t>
  </si>
  <si>
    <t>31.78</t>
  </si>
  <si>
    <t>Brookfield Business Partners</t>
  </si>
  <si>
    <t>BBU</t>
  </si>
  <si>
    <t>2856.27</t>
  </si>
  <si>
    <t>87.59</t>
  </si>
  <si>
    <t>18.99</t>
  </si>
  <si>
    <t>Banco Bilbao Viscaya Argentaria</t>
  </si>
  <si>
    <t>BBVA</t>
  </si>
  <si>
    <t>124314.07</t>
  </si>
  <si>
    <t>5763.29</t>
  </si>
  <si>
    <t>Bath &amp; Body Works</t>
  </si>
  <si>
    <t>BBWI</t>
  </si>
  <si>
    <t>4426.08</t>
  </si>
  <si>
    <t>204.72</t>
  </si>
  <si>
    <t>Best Buy</t>
  </si>
  <si>
    <t>BBY</t>
  </si>
  <si>
    <t>13792.28</t>
  </si>
  <si>
    <t>Retail - Consumer Electronics</t>
  </si>
  <si>
    <t>209.1</t>
  </si>
  <si>
    <t>Brunswick</t>
  </si>
  <si>
    <t>BC</t>
  </si>
  <si>
    <t>4686.78</t>
  </si>
  <si>
    <t>64.85</t>
  </si>
  <si>
    <t>72.27</t>
  </si>
  <si>
    <t>BlackRock Capital Allocation T</t>
  </si>
  <si>
    <t>BCAT</t>
  </si>
  <si>
    <t>1628.05</t>
  </si>
  <si>
    <t>107.46</t>
  </si>
  <si>
    <t>Bicara Therapeutics Inc.</t>
  </si>
  <si>
    <t>BCAX</t>
  </si>
  <si>
    <t>1079.2</t>
  </si>
  <si>
    <t>54.78</t>
  </si>
  <si>
    <t>Boise Cascade</t>
  </si>
  <si>
    <t>BCC</t>
  </si>
  <si>
    <t>2660.94</t>
  </si>
  <si>
    <t>Building Products - Wood</t>
  </si>
  <si>
    <t>BCE</t>
  </si>
  <si>
    <t>24133.77</t>
  </si>
  <si>
    <t>Diversified Communication Services</t>
  </si>
  <si>
    <t>932.53</t>
  </si>
  <si>
    <t>Beach Energy</t>
  </si>
  <si>
    <t>BCHEY</t>
  </si>
  <si>
    <t>1825.07</t>
  </si>
  <si>
    <t>Oil and Gas - Exploration and Production - International</t>
  </si>
  <si>
    <t>114.07</t>
  </si>
  <si>
    <t>Babcock International Group</t>
  </si>
  <si>
    <t>BCKIY</t>
  </si>
  <si>
    <t>9612.3</t>
  </si>
  <si>
    <t>499.34</t>
  </si>
  <si>
    <t>Bank of Communications</t>
  </si>
  <si>
    <t>BCMXY</t>
  </si>
  <si>
    <t>61519.47</t>
  </si>
  <si>
    <t>2970.52</t>
  </si>
  <si>
    <t>Brink's</t>
  </si>
  <si>
    <t>BCO</t>
  </si>
  <si>
    <t>4732.54</t>
  </si>
  <si>
    <t>Financial Transaction Services</t>
  </si>
  <si>
    <t>41.15</t>
  </si>
  <si>
    <t>Balchem</t>
  </si>
  <si>
    <t>BCPC</t>
  </si>
  <si>
    <t>5529.18</t>
  </si>
  <si>
    <t>32.03</t>
  </si>
  <si>
    <t>BioCryst Pharmaceuticals</t>
  </si>
  <si>
    <t>BCRX</t>
  </si>
  <si>
    <t>2161.9</t>
  </si>
  <si>
    <t>250.8</t>
  </si>
  <si>
    <t>Barclays</t>
  </si>
  <si>
    <t>BCS</t>
  </si>
  <si>
    <t>75847.9</t>
  </si>
  <si>
    <t>3453.91</t>
  </si>
  <si>
    <t>Belden</t>
  </si>
  <si>
    <t>BDC</t>
  </si>
  <si>
    <t>4762.25</t>
  </si>
  <si>
    <t>Communication - Components</t>
  </si>
  <si>
    <t>38.75</t>
  </si>
  <si>
    <t>Lion Finance Group PLC</t>
  </si>
  <si>
    <t>BDGSF</t>
  </si>
  <si>
    <t>6515.45</t>
  </si>
  <si>
    <t>44.48</t>
  </si>
  <si>
    <t>Banco Do Brasil</t>
  </si>
  <si>
    <t>BDORY</t>
  </si>
  <si>
    <t>27679.93</t>
  </si>
  <si>
    <t>5730.83</t>
  </si>
  <si>
    <t>Bombardier Inc.</t>
  </si>
  <si>
    <t>BDRBF</t>
  </si>
  <si>
    <t>17469.72</t>
  </si>
  <si>
    <t>99.18</t>
  </si>
  <si>
    <t>Becton</t>
  </si>
  <si>
    <t xml:space="preserve"> Dickinson and Company</t>
  </si>
  <si>
    <t>BDX</t>
  </si>
  <si>
    <t>47113.38</t>
  </si>
  <si>
    <t>165.15</t>
  </si>
  <si>
    <t>Bloom Energy</t>
  </si>
  <si>
    <t>BE</t>
  </si>
  <si>
    <t>42452.56</t>
  </si>
  <si>
    <t>280.55</t>
  </si>
  <si>
    <t>Beam Therapeutics</t>
  </si>
  <si>
    <t>BEAM</t>
  </si>
  <si>
    <t>2813.27</t>
  </si>
  <si>
    <t>101.86</t>
  </si>
  <si>
    <t>120.01</t>
  </si>
  <si>
    <t>KE Hodlings</t>
  </si>
  <si>
    <t>BEKE</t>
  </si>
  <si>
    <t>19424.49</t>
  </si>
  <si>
    <t>1168.74</t>
  </si>
  <si>
    <t>Bel Fuse</t>
  </si>
  <si>
    <t>BELFA</t>
  </si>
  <si>
    <t>2188.28</t>
  </si>
  <si>
    <t>Electronics - Miscellaneous Products</t>
  </si>
  <si>
    <t>BELFB</t>
  </si>
  <si>
    <t>2427.61</t>
  </si>
  <si>
    <t>Franklin Resources</t>
  </si>
  <si>
    <t>BEN</t>
  </si>
  <si>
    <t>13425.28</t>
  </si>
  <si>
    <t>520.76</t>
  </si>
  <si>
    <t>Brookfield Renewable Partners</t>
  </si>
  <si>
    <t>BEP</t>
  </si>
  <si>
    <t>8539.84</t>
  </si>
  <si>
    <t>283.9</t>
  </si>
  <si>
    <t>Brookfield Renewable</t>
  </si>
  <si>
    <t>BEPC</t>
  </si>
  <si>
    <t>5869.29</t>
  </si>
  <si>
    <t>144.88</t>
  </si>
  <si>
    <t>BETA Technologies</t>
  </si>
  <si>
    <t>BETA</t>
  </si>
  <si>
    <t>4756.8</t>
  </si>
  <si>
    <t>220.53</t>
  </si>
  <si>
    <t>Brown Forman</t>
  </si>
  <si>
    <t>BF.A</t>
  </si>
  <si>
    <t>11774.78</t>
  </si>
  <si>
    <t>463.21</t>
  </si>
  <si>
    <t>BrownForman</t>
  </si>
  <si>
    <t>BF.B</t>
  </si>
  <si>
    <t>11524.65</t>
  </si>
  <si>
    <t>Bright Horizons Family Solutions</t>
  </si>
  <si>
    <t>BFAM</t>
  </si>
  <si>
    <t>4255.32</t>
  </si>
  <si>
    <t>55.11</t>
  </si>
  <si>
    <t>Bank First National</t>
  </si>
  <si>
    <t>BFC</t>
  </si>
  <si>
    <t>1523.2</t>
  </si>
  <si>
    <t>Bread Financial</t>
  </si>
  <si>
    <t>BFH</t>
  </si>
  <si>
    <t>3124.12</t>
  </si>
  <si>
    <t>43.12</t>
  </si>
  <si>
    <t>BUNGE GLOBAL SA</t>
  </si>
  <si>
    <t>BG</t>
  </si>
  <si>
    <t>22986.95</t>
  </si>
  <si>
    <t>193.51</t>
  </si>
  <si>
    <t>BGC Group</t>
  </si>
  <si>
    <t>BGC</t>
  </si>
  <si>
    <t>4453.1</t>
  </si>
  <si>
    <t>468.75</t>
  </si>
  <si>
    <t>Boyd Group Services Inc.</t>
  </si>
  <si>
    <t>BGSI</t>
  </si>
  <si>
    <t>4572.46</t>
  </si>
  <si>
    <t>27.83</t>
  </si>
  <si>
    <t>Biglari Holdings</t>
  </si>
  <si>
    <t>BH.A</t>
  </si>
  <si>
    <t>3785.32</t>
  </si>
  <si>
    <t>Bausch Health</t>
  </si>
  <si>
    <t>BHC</t>
  </si>
  <si>
    <t>1984.3</t>
  </si>
  <si>
    <t>370.9</t>
  </si>
  <si>
    <t>Benchmark Electronics</t>
  </si>
  <si>
    <t>BHE</t>
  </si>
  <si>
    <t>1923.88</t>
  </si>
  <si>
    <t>Electronics - Manufacturing Services</t>
  </si>
  <si>
    <t>35.67</t>
  </si>
  <si>
    <t>Brighthouse Financial</t>
  </si>
  <si>
    <t>BHF</t>
  </si>
  <si>
    <t>3452.78</t>
  </si>
  <si>
    <t>57.18</t>
  </si>
  <si>
    <t>BOC Hong Kong</t>
  </si>
  <si>
    <t>BHKLY</t>
  </si>
  <si>
    <t>56181.11</t>
  </si>
  <si>
    <t>528.64</t>
  </si>
  <si>
    <t>BHP Group Limited</t>
  </si>
  <si>
    <t>BHP</t>
  </si>
  <si>
    <t>184994.53</t>
  </si>
  <si>
    <t>23.15</t>
  </si>
  <si>
    <t>Biohaven Ltd.</t>
  </si>
  <si>
    <t>BHVN</t>
  </si>
  <si>
    <t>1080.78</t>
  </si>
  <si>
    <t>105.86</t>
  </si>
  <si>
    <t>Baidu</t>
  </si>
  <si>
    <t>BIDU</t>
  </si>
  <si>
    <t>42310.33</t>
  </si>
  <si>
    <t>345.45</t>
  </si>
  <si>
    <t>Biogen</t>
  </si>
  <si>
    <t>BIIB</t>
  </si>
  <si>
    <t>27625.83</t>
  </si>
  <si>
    <t>146.76</t>
  </si>
  <si>
    <t>Bilibili</t>
  </si>
  <si>
    <t>BILI</t>
  </si>
  <si>
    <t>10934.53</t>
  </si>
  <si>
    <t>Broadcast Radio and Television</t>
  </si>
  <si>
    <t>417.99</t>
  </si>
  <si>
    <t>35.92</t>
  </si>
  <si>
    <t>BILL Holdings</t>
  </si>
  <si>
    <t>BILL</t>
  </si>
  <si>
    <t>4400.77</t>
  </si>
  <si>
    <t>98.96</t>
  </si>
  <si>
    <t>35.68</t>
  </si>
  <si>
    <t>44.47</t>
  </si>
  <si>
    <t>BioRad Laboratories</t>
  </si>
  <si>
    <t>BIO</t>
  </si>
  <si>
    <t>7326.27</t>
  </si>
  <si>
    <t>26.99</t>
  </si>
  <si>
    <t>BIO.B</t>
  </si>
  <si>
    <t>7246.79</t>
  </si>
  <si>
    <t>Swedish Orphan Biovitrum</t>
  </si>
  <si>
    <t>BIOVF</t>
  </si>
  <si>
    <t>14709.92</t>
  </si>
  <si>
    <t>Brookfield Infrastructure Partners</t>
  </si>
  <si>
    <t>BIP</t>
  </si>
  <si>
    <t>17012.34</t>
  </si>
  <si>
    <t>461.16</t>
  </si>
  <si>
    <t>Brookfield Infrastructure</t>
  </si>
  <si>
    <t>BIPC</t>
  </si>
  <si>
    <t>5545.5</t>
  </si>
  <si>
    <t>Birchcliff Energy</t>
  </si>
  <si>
    <t>BIREF</t>
  </si>
  <si>
    <t>1401.8</t>
  </si>
  <si>
    <t>274.86</t>
  </si>
  <si>
    <t>Birkenstock Holding PLC</t>
  </si>
  <si>
    <t>BIRK</t>
  </si>
  <si>
    <t>6962.68</t>
  </si>
  <si>
    <t>183.91</t>
  </si>
  <si>
    <t>Bitfarms</t>
  </si>
  <si>
    <t>BITF</t>
  </si>
  <si>
    <t>1271.72</t>
  </si>
  <si>
    <t>602.71</t>
  </si>
  <si>
    <t>BJ's Wholesale Club</t>
  </si>
  <si>
    <t>BJ</t>
  </si>
  <si>
    <t>12494.65</t>
  </si>
  <si>
    <t>130.85</t>
  </si>
  <si>
    <t>The Bank of New York Mellon</t>
  </si>
  <si>
    <t>BK</t>
  </si>
  <si>
    <t>79214.92</t>
  </si>
  <si>
    <t>Banks - Major Regional</t>
  </si>
  <si>
    <t>688.23</t>
  </si>
  <si>
    <t>Brookdale Senior Living</t>
  </si>
  <si>
    <t>BKD</t>
  </si>
  <si>
    <t>3436.1</t>
  </si>
  <si>
    <t>Medical - Nursing Homes</t>
  </si>
  <si>
    <t>237.79</t>
  </si>
  <si>
    <t>16.77</t>
  </si>
  <si>
    <t>The Buckle</t>
  </si>
  <si>
    <t>BKE</t>
  </si>
  <si>
    <t>2566.02</t>
  </si>
  <si>
    <t>The Bank of East Asia</t>
  </si>
  <si>
    <t>BKEAY</t>
  </si>
  <si>
    <t>2641.43</t>
  </si>
  <si>
    <t>Berkeley Group</t>
  </si>
  <si>
    <t>BKGFY</t>
  </si>
  <si>
    <t>Real Estate - Development</t>
  </si>
  <si>
    <t>472.59</t>
  </si>
  <si>
    <t>Black Hills</t>
  </si>
  <si>
    <t>BKH</t>
  </si>
  <si>
    <t>5475.7</t>
  </si>
  <si>
    <t>75.47</t>
  </si>
  <si>
    <t>Bank Hapoalim</t>
  </si>
  <si>
    <t>BKHYY</t>
  </si>
  <si>
    <t>32431.53</t>
  </si>
  <si>
    <t>262.64</t>
  </si>
  <si>
    <t>Booking Holdings</t>
  </si>
  <si>
    <t>BKNG</t>
  </si>
  <si>
    <t>140651.5</t>
  </si>
  <si>
    <t>31.67</t>
  </si>
  <si>
    <t>Baker Hughes</t>
  </si>
  <si>
    <t>BKR</t>
  </si>
  <si>
    <t>59393.01</t>
  </si>
  <si>
    <t>988.24</t>
  </si>
  <si>
    <t>BankUnited</t>
  </si>
  <si>
    <t>BKU</t>
  </si>
  <si>
    <t>3311.53</t>
  </si>
  <si>
    <t>73.64</t>
  </si>
  <si>
    <t>29.48</t>
  </si>
  <si>
    <t>BKV Corporation</t>
  </si>
  <si>
    <t>BKV</t>
  </si>
  <si>
    <t>3119.79</t>
  </si>
  <si>
    <t>102.29</t>
  </si>
  <si>
    <t>BlackLine</t>
  </si>
  <si>
    <t>BL</t>
  </si>
  <si>
    <t>2211.4</t>
  </si>
  <si>
    <t>59.54</t>
  </si>
  <si>
    <t>Blue Bird</t>
  </si>
  <si>
    <t>BLBD</t>
  </si>
  <si>
    <t>1676.27</t>
  </si>
  <si>
    <t>31.59</t>
  </si>
  <si>
    <t>Bausch + Lomb</t>
  </si>
  <si>
    <t>BLCO</t>
  </si>
  <si>
    <t>6100.95</t>
  </si>
  <si>
    <t>354.29</t>
  </si>
  <si>
    <t>TopBuild</t>
  </si>
  <si>
    <t>BLD</t>
  </si>
  <si>
    <t>10886.9</t>
  </si>
  <si>
    <t>28.14</t>
  </si>
  <si>
    <t>Builders FirstSource</t>
  </si>
  <si>
    <t>BLDR</t>
  </si>
  <si>
    <t>10501.95</t>
  </si>
  <si>
    <t>Building Products - Retail</t>
  </si>
  <si>
    <t>110.61</t>
  </si>
  <si>
    <t>Balfour Beatty PLC Sponsored ADR</t>
  </si>
  <si>
    <t>BLFBY</t>
  </si>
  <si>
    <t>4733.86</t>
  </si>
  <si>
    <t>Real Estate - Operations</t>
  </si>
  <si>
    <t>245.09</t>
  </si>
  <si>
    <t>BlackRock</t>
  </si>
  <si>
    <t>BLK</t>
  </si>
  <si>
    <t>148957.45</t>
  </si>
  <si>
    <t>155.54</t>
  </si>
  <si>
    <t>Blackbaud</t>
  </si>
  <si>
    <t>BLKB</t>
  </si>
  <si>
    <t>2166.22</t>
  </si>
  <si>
    <t>45.93</t>
  </si>
  <si>
    <t>46.27</t>
  </si>
  <si>
    <t>BillionToOne</t>
  </si>
  <si>
    <t>BLLN</t>
  </si>
  <si>
    <t>3300.39</t>
  </si>
  <si>
    <t>45.77</t>
  </si>
  <si>
    <t>Bullish</t>
  </si>
  <si>
    <t>BLSH</t>
  </si>
  <si>
    <t>5271.39</t>
  </si>
  <si>
    <t>146.18</t>
  </si>
  <si>
    <t>Belite Bio</t>
  </si>
  <si>
    <t>BLTE</t>
  </si>
  <si>
    <t>7046.57</t>
  </si>
  <si>
    <t>Bellway</t>
  </si>
  <si>
    <t>BLWYY</t>
  </si>
  <si>
    <t>3675.72</t>
  </si>
  <si>
    <t>117.1</t>
  </si>
  <si>
    <t>Banco Latinoamericano de Comercio Exterior</t>
  </si>
  <si>
    <t>BLX</t>
  </si>
  <si>
    <t>1779.27</t>
  </si>
  <si>
    <t>37.23</t>
  </si>
  <si>
    <t>32.94</t>
  </si>
  <si>
    <t>Macro Bank</t>
  </si>
  <si>
    <t>BMA</t>
  </si>
  <si>
    <t>4551.6</t>
  </si>
  <si>
    <t>63.9</t>
  </si>
  <si>
    <t>Badger Meter</t>
  </si>
  <si>
    <t>BMI</t>
  </si>
  <si>
    <t>4363.82</t>
  </si>
  <si>
    <t>Instruments - Control</t>
  </si>
  <si>
    <t>29.18</t>
  </si>
  <si>
    <t>BitMine Immersion Technologies</t>
  </si>
  <si>
    <t>BMNR</t>
  </si>
  <si>
    <t>9415.65</t>
  </si>
  <si>
    <t>454.86</t>
  </si>
  <si>
    <t>Bank Of Montreal</t>
  </si>
  <si>
    <t>BMO</t>
  </si>
  <si>
    <t>100271.72</t>
  </si>
  <si>
    <t>706.24</t>
  </si>
  <si>
    <t>BioMarin Pharmaceutical</t>
  </si>
  <si>
    <t>BMRN</t>
  </si>
  <si>
    <t>11708.65</t>
  </si>
  <si>
    <t>192.32</t>
  </si>
  <si>
    <t>60.88</t>
  </si>
  <si>
    <t>B&amp;M European Value Retail</t>
  </si>
  <si>
    <t>BMRRY</t>
  </si>
  <si>
    <t>2374.38</t>
  </si>
  <si>
    <t>251.26</t>
  </si>
  <si>
    <t>bioMerieux</t>
  </si>
  <si>
    <t>BMXMF</t>
  </si>
  <si>
    <t>14225.84</t>
  </si>
  <si>
    <t>118.36</t>
  </si>
  <si>
    <t>Bristol Myers Squibb</t>
  </si>
  <si>
    <t>BMY</t>
  </si>
  <si>
    <t>123471.41</t>
  </si>
  <si>
    <t>2036.47</t>
  </si>
  <si>
    <t>Brookfield Corporation</t>
  </si>
  <si>
    <t>BN</t>
  </si>
  <si>
    <t>100635.63</t>
  </si>
  <si>
    <t>2449.75</t>
  </si>
  <si>
    <t>Broadstone Net Lease</t>
  </si>
  <si>
    <t>BNL</t>
  </si>
  <si>
    <t>3688.73</t>
  </si>
  <si>
    <t>191.42</t>
  </si>
  <si>
    <t>BNP Paribas</t>
  </si>
  <si>
    <t>BNPQY</t>
  </si>
  <si>
    <t>111812.46</t>
  </si>
  <si>
    <t>2203.2</t>
  </si>
  <si>
    <t>Bank of Nova Scotia</t>
  </si>
  <si>
    <t>BNS</t>
  </si>
  <si>
    <t>87367.99</t>
  </si>
  <si>
    <t>1232.79</t>
  </si>
  <si>
    <t>Brookfield Wealth Solutions Ltd.</t>
  </si>
  <si>
    <t>BNT</t>
  </si>
  <si>
    <t>15150.98</t>
  </si>
  <si>
    <t>360.65</t>
  </si>
  <si>
    <t>Brennt</t>
  </si>
  <si>
    <t>BNTGY</t>
  </si>
  <si>
    <t>7551.35</t>
  </si>
  <si>
    <t>721.93</t>
  </si>
  <si>
    <t>BioNTech</t>
  </si>
  <si>
    <t>BNTX</t>
  </si>
  <si>
    <t>23004.56</t>
  </si>
  <si>
    <t>225.18</t>
  </si>
  <si>
    <t>Bob's Discount Furniture</t>
  </si>
  <si>
    <t>BOBS</t>
  </si>
  <si>
    <t>2366.16</t>
  </si>
  <si>
    <t>Textile - Home Furnishing</t>
  </si>
  <si>
    <t>130.37</t>
  </si>
  <si>
    <t>16.47</t>
  </si>
  <si>
    <t>18.15</t>
  </si>
  <si>
    <t>Bank of Hawaii</t>
  </si>
  <si>
    <t>BOH</t>
  </si>
  <si>
    <t>2946.14</t>
  </si>
  <si>
    <t>Banks - West</t>
  </si>
  <si>
    <t>59.82</t>
  </si>
  <si>
    <t>Bollore</t>
  </si>
  <si>
    <t>BOIVF</t>
  </si>
  <si>
    <t>14638.16</t>
  </si>
  <si>
    <t>2836.85</t>
  </si>
  <si>
    <t>BOK Financial</t>
  </si>
  <si>
    <t>BOKF</t>
  </si>
  <si>
    <t>7606.51</t>
  </si>
  <si>
    <t>60.7</t>
  </si>
  <si>
    <t>Boot Barn</t>
  </si>
  <si>
    <t>BOOT</t>
  </si>
  <si>
    <t>5289.2</t>
  </si>
  <si>
    <t>Borr Drilling</t>
  </si>
  <si>
    <t>BORR</t>
  </si>
  <si>
    <t>1756.78</t>
  </si>
  <si>
    <t>Oil and Gas - Drilling</t>
  </si>
  <si>
    <t>315.4</t>
  </si>
  <si>
    <t>40.66</t>
  </si>
  <si>
    <t>Hugo Boss</t>
  </si>
  <si>
    <t>BOSSY</t>
  </si>
  <si>
    <t>2883.15</t>
  </si>
  <si>
    <t>Textile - Apparel</t>
  </si>
  <si>
    <t>345.08</t>
  </si>
  <si>
    <t>Bouygues</t>
  </si>
  <si>
    <t>BOUYF</t>
  </si>
  <si>
    <t>96728.84</t>
  </si>
  <si>
    <t>1894.79</t>
  </si>
  <si>
    <t>33.8</t>
  </si>
  <si>
    <t>Boardwalk Real Estate Investment Trust</t>
  </si>
  <si>
    <t>BOWFF</t>
  </si>
  <si>
    <t>2281.66</t>
  </si>
  <si>
    <t>48.6</t>
  </si>
  <si>
    <t>Box</t>
  </si>
  <si>
    <t>BOX</t>
  </si>
  <si>
    <t>3643.72</t>
  </si>
  <si>
    <t>143.23</t>
  </si>
  <si>
    <t>BP</t>
  </si>
  <si>
    <t>106586.62</t>
  </si>
  <si>
    <t>Oil and Gas - Integrated - International</t>
  </si>
  <si>
    <t>2622.06</t>
  </si>
  <si>
    <t>Banco Comercial Portugues</t>
  </si>
  <si>
    <t>BPCGY</t>
  </si>
  <si>
    <t>13827.52</t>
  </si>
  <si>
    <t>1480.46</t>
  </si>
  <si>
    <t>Popular</t>
  </si>
  <si>
    <t>BPOP</t>
  </si>
  <si>
    <t>8444.03</t>
  </si>
  <si>
    <t>65.1</t>
  </si>
  <si>
    <t>Broadridge Financial Solutions</t>
  </si>
  <si>
    <t>BR</t>
  </si>
  <si>
    <t>22066.67</t>
  </si>
  <si>
    <t>116.75</t>
  </si>
  <si>
    <t>Braiin Limited</t>
  </si>
  <si>
    <t>BRAI</t>
  </si>
  <si>
    <t>1689.24</t>
  </si>
  <si>
    <t>68.7</t>
  </si>
  <si>
    <t>44.53</t>
  </si>
  <si>
    <t>BellRing Brands</t>
  </si>
  <si>
    <t>BRBR</t>
  </si>
  <si>
    <t>1930.26</t>
  </si>
  <si>
    <t>117.27</t>
  </si>
  <si>
    <t>Brady</t>
  </si>
  <si>
    <t>BRC</t>
  </si>
  <si>
    <t>4129.62</t>
  </si>
  <si>
    <t>47.23</t>
  </si>
  <si>
    <t>96.33</t>
  </si>
  <si>
    <t>Bridgestone</t>
  </si>
  <si>
    <t>BRDCY</t>
  </si>
  <si>
    <t>28868.56</t>
  </si>
  <si>
    <t>2668.07</t>
  </si>
  <si>
    <t>Berkshire Hathaway</t>
  </si>
  <si>
    <t>BRK.A</t>
  </si>
  <si>
    <t>1071763.75</t>
  </si>
  <si>
    <t>BRK.B</t>
  </si>
  <si>
    <t>2157.33</t>
  </si>
  <si>
    <t>Bruker</t>
  </si>
  <si>
    <t>BRKR</t>
  </si>
  <si>
    <t>5662.56</t>
  </si>
  <si>
    <t>Instruments - Scientific</t>
  </si>
  <si>
    <t>152.22</t>
  </si>
  <si>
    <t>Brown &amp; Brown</t>
  </si>
  <si>
    <t>BRO</t>
  </si>
  <si>
    <t>24183.44</t>
  </si>
  <si>
    <t>Dutch Bros</t>
  </si>
  <si>
    <t>BROS</t>
  </si>
  <si>
    <t>8630.38</t>
  </si>
  <si>
    <t>164.54</t>
  </si>
  <si>
    <t>Brightstar Lottery</t>
  </si>
  <si>
    <t>BRSL</t>
  </si>
  <si>
    <t>2483.26</t>
  </si>
  <si>
    <t>Gaming</t>
  </si>
  <si>
    <t>186.85</t>
  </si>
  <si>
    <t>Brother Industries</t>
  </si>
  <si>
    <t>BRTHY</t>
  </si>
  <si>
    <t>4905.71</t>
  </si>
  <si>
    <t>127.84</t>
  </si>
  <si>
    <t>Brixmor Property Group</t>
  </si>
  <si>
    <t>BRX</t>
  </si>
  <si>
    <t>9176.23</t>
  </si>
  <si>
    <t>306.59</t>
  </si>
  <si>
    <t>Braze</t>
  </si>
  <si>
    <t>BRZE</t>
  </si>
  <si>
    <t>2245.99</t>
  </si>
  <si>
    <t>112.21</t>
  </si>
  <si>
    <t>Banco  ntander Brasil</t>
  </si>
  <si>
    <t>BSBR</t>
  </si>
  <si>
    <t>22714.57</t>
  </si>
  <si>
    <t>3729.81</t>
  </si>
  <si>
    <t>Black Stone Minerals</t>
  </si>
  <si>
    <t>BSM</t>
  </si>
  <si>
    <t>3246.58</t>
  </si>
  <si>
    <t>Energy and Pipeline - Master Limited Partnerships</t>
  </si>
  <si>
    <t>212.33</t>
  </si>
  <si>
    <t>Boston Scientific</t>
  </si>
  <si>
    <t>BSX</t>
  </si>
  <si>
    <t>106691.36</t>
  </si>
  <si>
    <t>1483.89</t>
  </si>
  <si>
    <t>Bentley Systems</t>
  </si>
  <si>
    <t>BSY</t>
  </si>
  <si>
    <t>11718.39</t>
  </si>
  <si>
    <t>291.36</t>
  </si>
  <si>
    <t>58.72</t>
  </si>
  <si>
    <t>Barratt Redrow plc.</t>
  </si>
  <si>
    <t>BTDPY</t>
  </si>
  <si>
    <t>5797.79</t>
  </si>
  <si>
    <t>710.51</t>
  </si>
  <si>
    <t>BITDEER TEC GRP</t>
  </si>
  <si>
    <t>BTDR</t>
  </si>
  <si>
    <t>1570.94</t>
  </si>
  <si>
    <t>211.72</t>
  </si>
  <si>
    <t>Baytex Energy</t>
  </si>
  <si>
    <t>BTE</t>
  </si>
  <si>
    <t>2977.24</t>
  </si>
  <si>
    <t>751.83</t>
  </si>
  <si>
    <t>B2Gold Corp</t>
  </si>
  <si>
    <t>BTG</t>
  </si>
  <si>
    <t>7057.4</t>
  </si>
  <si>
    <t>1339.17</t>
  </si>
  <si>
    <t>BitGo Holdings</t>
  </si>
  <si>
    <t>BTGO</t>
  </si>
  <si>
    <t>1258.86</t>
  </si>
  <si>
    <t>115.6</t>
  </si>
  <si>
    <t>British American Tobacco</t>
  </si>
  <si>
    <t>BTI</t>
  </si>
  <si>
    <t>119236.41</t>
  </si>
  <si>
    <t>Tobacco</t>
  </si>
  <si>
    <t>2044.17</t>
  </si>
  <si>
    <t>39.43</t>
  </si>
  <si>
    <t>British Land</t>
  </si>
  <si>
    <t>BTLCY</t>
  </si>
  <si>
    <t>4939.47</t>
  </si>
  <si>
    <t>999.89</t>
  </si>
  <si>
    <t>Health and Happiness H&amp;H International Holdings</t>
  </si>
  <si>
    <t>BTSDF</t>
  </si>
  <si>
    <t>1026.44</t>
  </si>
  <si>
    <t>645.56</t>
  </si>
  <si>
    <t>BrightSpring Health Services</t>
  </si>
  <si>
    <t>BTSG</t>
  </si>
  <si>
    <t>8173.58</t>
  </si>
  <si>
    <t>193.55</t>
  </si>
  <si>
    <t>Peabody Energy</t>
  </si>
  <si>
    <t>BTU</t>
  </si>
  <si>
    <t>4051.77</t>
  </si>
  <si>
    <t>121.75</t>
  </si>
  <si>
    <t>AnheuserBusch InBev</t>
  </si>
  <si>
    <t>BUD</t>
  </si>
  <si>
    <t>142698.59</t>
  </si>
  <si>
    <t>1950.5</t>
  </si>
  <si>
    <t>Webull Corporation</t>
  </si>
  <si>
    <t>BULL</t>
  </si>
  <si>
    <t>2754.97</t>
  </si>
  <si>
    <t>501.82</t>
  </si>
  <si>
    <t>Burford Capital</t>
  </si>
  <si>
    <t>BUR</t>
  </si>
  <si>
    <t>1810.28</t>
  </si>
  <si>
    <t>218.9</t>
  </si>
  <si>
    <t>Burberry Group</t>
  </si>
  <si>
    <t>BURBY</t>
  </si>
  <si>
    <t>5281.34</t>
  </si>
  <si>
    <t>360.99</t>
  </si>
  <si>
    <t>14.63</t>
  </si>
  <si>
    <t>Burlington Stores</t>
  </si>
  <si>
    <t>BURL</t>
  </si>
  <si>
    <t>18973.75</t>
  </si>
  <si>
    <t>Retail - Discount Stores</t>
  </si>
  <si>
    <t>62.93</t>
  </si>
  <si>
    <t>First Busey</t>
  </si>
  <si>
    <t>BUSE</t>
  </si>
  <si>
    <t>2159.14</t>
  </si>
  <si>
    <t>86.23</t>
  </si>
  <si>
    <t>BrightView</t>
  </si>
  <si>
    <t>BV</t>
  </si>
  <si>
    <t>1175.62</t>
  </si>
  <si>
    <t>94.2</t>
  </si>
  <si>
    <t>Buenaventura Mining</t>
  </si>
  <si>
    <t>BVN</t>
  </si>
  <si>
    <t>9516.86</t>
  </si>
  <si>
    <t>253.71</t>
  </si>
  <si>
    <t>Bavarian Nordic</t>
  </si>
  <si>
    <t>BVNRY</t>
  </si>
  <si>
    <t>2229.13</t>
  </si>
  <si>
    <t>237.71</t>
  </si>
  <si>
    <t>Bureau Veritas Registre International De Classification</t>
  </si>
  <si>
    <t>BVRDF</t>
  </si>
  <si>
    <t>15205.9</t>
  </si>
  <si>
    <t>454.04</t>
  </si>
  <si>
    <t>Babcock</t>
  </si>
  <si>
    <t>BW</t>
  </si>
  <si>
    <t>1498.74</t>
  </si>
  <si>
    <t>Electronics - Power Generation</t>
  </si>
  <si>
    <t>111.1</t>
  </si>
  <si>
    <t>13.49</t>
  </si>
  <si>
    <t>BorgWarner</t>
  </si>
  <si>
    <t>BWA</t>
  </si>
  <si>
    <t>11025.35</t>
  </si>
  <si>
    <t>207.05</t>
  </si>
  <si>
    <t>Baldwin Insurance Group</t>
  </si>
  <si>
    <t>BWIN</t>
  </si>
  <si>
    <t>2374.15</t>
  </si>
  <si>
    <t>118.65</t>
  </si>
  <si>
    <t>BW LPG Limited</t>
  </si>
  <si>
    <t>BWLP</t>
  </si>
  <si>
    <t>2563.75</t>
  </si>
  <si>
    <t>151.34</t>
  </si>
  <si>
    <t>SPDR Bloomberg International Treasury Bond ETF</t>
  </si>
  <si>
    <t>BWX</t>
  </si>
  <si>
    <t>1662.82</t>
  </si>
  <si>
    <t>74.2</t>
  </si>
  <si>
    <t>BWX Technologies</t>
  </si>
  <si>
    <t>BWXT</t>
  </si>
  <si>
    <t>18324.68</t>
  </si>
  <si>
    <t>91.44</t>
  </si>
  <si>
    <t>The Blackstone Group</t>
  </si>
  <si>
    <t>BX</t>
  </si>
  <si>
    <t>82122.3</t>
  </si>
  <si>
    <t>742.18</t>
  </si>
  <si>
    <t>Brambles</t>
  </si>
  <si>
    <t>BXBLY</t>
  </si>
  <si>
    <t>22654.67</t>
  </si>
  <si>
    <t>678.89</t>
  </si>
  <si>
    <t>33.37</t>
  </si>
  <si>
    <t>Blackstone Mortgage Trust</t>
  </si>
  <si>
    <t>BXMT</t>
  </si>
  <si>
    <t>3246.53</t>
  </si>
  <si>
    <t>168.74</t>
  </si>
  <si>
    <t>BXP</t>
  </si>
  <si>
    <t>8324.86</t>
  </si>
  <si>
    <t>158.63</t>
  </si>
  <si>
    <t>Blackstone Secured Lending Fund</t>
  </si>
  <si>
    <t>BXSL</t>
  </si>
  <si>
    <t>5593.3</t>
  </si>
  <si>
    <t>232.28</t>
  </si>
  <si>
    <t>Byline Bancorp</t>
  </si>
  <si>
    <t>BY</t>
  </si>
  <si>
    <t>1411.03</t>
  </si>
  <si>
    <t>45.59</t>
  </si>
  <si>
    <t>Boyd Gaming</t>
  </si>
  <si>
    <t>BYD</t>
  </si>
  <si>
    <t>6077.12</t>
  </si>
  <si>
    <t>75.49</t>
  </si>
  <si>
    <t>Bodycote</t>
  </si>
  <si>
    <t>BYPLF</t>
  </si>
  <si>
    <t>1783.66</t>
  </si>
  <si>
    <t>Manufacturing - Thermal Products</t>
  </si>
  <si>
    <t>177.48</t>
  </si>
  <si>
    <t>Kanzhun</t>
  </si>
  <si>
    <t>BZ</t>
  </si>
  <si>
    <t>6302.11</t>
  </si>
  <si>
    <t>418.19</t>
  </si>
  <si>
    <t>Bunzl</t>
  </si>
  <si>
    <t>BZLFY</t>
  </si>
  <si>
    <t>9778.22</t>
  </si>
  <si>
    <t>648.42</t>
  </si>
  <si>
    <t>BUZZI SPA</t>
  </si>
  <si>
    <t>BZZUF</t>
  </si>
  <si>
    <t>9775.34</t>
  </si>
  <si>
    <t>Building Products - Concrete and Aggregates</t>
  </si>
  <si>
    <t>181.02</t>
  </si>
  <si>
    <t>Citigroup</t>
  </si>
  <si>
    <t>C</t>
  </si>
  <si>
    <t>186459.92</t>
  </si>
  <si>
    <t>1749.32</t>
  </si>
  <si>
    <t>Carlsberg</t>
  </si>
  <si>
    <t>CABGY</t>
  </si>
  <si>
    <t>18762.39</t>
  </si>
  <si>
    <t>671.28</t>
  </si>
  <si>
    <t>23.99</t>
  </si>
  <si>
    <t>Credit Acceptance</t>
  </si>
  <si>
    <t>CACC</t>
  </si>
  <si>
    <t>5390.29</t>
  </si>
  <si>
    <t>CACI International</t>
  </si>
  <si>
    <t>CACI</t>
  </si>
  <si>
    <t>13984.93</t>
  </si>
  <si>
    <t>Computer - Services</t>
  </si>
  <si>
    <t>CAE</t>
  </si>
  <si>
    <t>9351.66</t>
  </si>
  <si>
    <t>321.8</t>
  </si>
  <si>
    <t>Conagra Brands</t>
  </si>
  <si>
    <t>CAG</t>
  </si>
  <si>
    <t>8926.37</t>
  </si>
  <si>
    <t>478.37</t>
  </si>
  <si>
    <t>Cardinal Health</t>
  </si>
  <si>
    <t>CAH</t>
  </si>
  <si>
    <t>52306.04</t>
  </si>
  <si>
    <t>235.32</t>
  </si>
  <si>
    <t>Caris Life Sciences</t>
  </si>
  <si>
    <t>CAI</t>
  </si>
  <si>
    <t>5369.02</t>
  </si>
  <si>
    <t>282.58</t>
  </si>
  <si>
    <t>CaixaBank</t>
  </si>
  <si>
    <t>CAIXY</t>
  </si>
  <si>
    <t>83538.81</t>
  </si>
  <si>
    <t>21256.7</t>
  </si>
  <si>
    <t>The Cheesecake Factory</t>
  </si>
  <si>
    <t>CAKE</t>
  </si>
  <si>
    <t>3140.62</t>
  </si>
  <si>
    <t>49.86</t>
  </si>
  <si>
    <t>CalMaine Foods</t>
  </si>
  <si>
    <t>CALM</t>
  </si>
  <si>
    <t>4184.03</t>
  </si>
  <si>
    <t>47.65</t>
  </si>
  <si>
    <t>119.16</t>
  </si>
  <si>
    <t>83.19</t>
  </si>
  <si>
    <t>Calix</t>
  </si>
  <si>
    <t>CALX</t>
  </si>
  <si>
    <t>3342.71</t>
  </si>
  <si>
    <t>Callaway Golf Company</t>
  </si>
  <si>
    <t>CALY</t>
  </si>
  <si>
    <t>2455.82</t>
  </si>
  <si>
    <t>184.09</t>
  </si>
  <si>
    <t>Camtek</t>
  </si>
  <si>
    <t>CAMT</t>
  </si>
  <si>
    <t>7078.09</t>
  </si>
  <si>
    <t>Capricor Therapeutics</t>
  </si>
  <si>
    <t>CAPR</t>
  </si>
  <si>
    <t>1694.09</t>
  </si>
  <si>
    <t>55.31</t>
  </si>
  <si>
    <t>Avis Budget Group</t>
  </si>
  <si>
    <t>CAR</t>
  </si>
  <si>
    <t>3380.95</t>
  </si>
  <si>
    <t>35.26</t>
  </si>
  <si>
    <t>CarGurus</t>
  </si>
  <si>
    <t>CARG</t>
  </si>
  <si>
    <t>3222.15</t>
  </si>
  <si>
    <t>95.19</t>
  </si>
  <si>
    <t>Carrier Global</t>
  </si>
  <si>
    <t>CARR</t>
  </si>
  <si>
    <t>49056.65</t>
  </si>
  <si>
    <t>835.43</t>
  </si>
  <si>
    <t>Maplebear Inc.</t>
  </si>
  <si>
    <t>CART</t>
  </si>
  <si>
    <t>9347.89</t>
  </si>
  <si>
    <t>240.62</t>
  </si>
  <si>
    <t>Pathward Financial</t>
  </si>
  <si>
    <t>CASH</t>
  </si>
  <si>
    <t>1960.26</t>
  </si>
  <si>
    <t>21.76</t>
  </si>
  <si>
    <t>Casey's General Stores</t>
  </si>
  <si>
    <t>CASY</t>
  </si>
  <si>
    <t>24632.46</t>
  </si>
  <si>
    <t>Retail - Convenience Stores</t>
  </si>
  <si>
    <t>37.07</t>
  </si>
  <si>
    <t>Caterpillar</t>
  </si>
  <si>
    <t>CAT</t>
  </si>
  <si>
    <t>327943.81</t>
  </si>
  <si>
    <t>465.29</t>
  </si>
  <si>
    <t>Cathay General Bancorp</t>
  </si>
  <si>
    <t>CATY</t>
  </si>
  <si>
    <t>3195.22</t>
  </si>
  <si>
    <t>66.96</t>
  </si>
  <si>
    <t>CAVA Group</t>
  </si>
  <si>
    <t>CAVA</t>
  </si>
  <si>
    <t>9520.87</t>
  </si>
  <si>
    <t>116.38</t>
  </si>
  <si>
    <t>Chubb Limited</t>
  </si>
  <si>
    <t>CB</t>
  </si>
  <si>
    <t>126566.78</t>
  </si>
  <si>
    <t>390.16</t>
  </si>
  <si>
    <t>Central Bancompany</t>
  </si>
  <si>
    <t>CBC</t>
  </si>
  <si>
    <t>5844.5</t>
  </si>
  <si>
    <t>241.11</t>
  </si>
  <si>
    <t>CBL &amp; Associates Properties</t>
  </si>
  <si>
    <t>CBL</t>
  </si>
  <si>
    <t>1183.59</t>
  </si>
  <si>
    <t>30.98</t>
  </si>
  <si>
    <t>China BlueChemical</t>
  </si>
  <si>
    <t>CBLUY</t>
  </si>
  <si>
    <t>1031.72</t>
  </si>
  <si>
    <t>Fertilizers</t>
  </si>
  <si>
    <t>92.2</t>
  </si>
  <si>
    <t>Cboe Global Markets</t>
  </si>
  <si>
    <t>CBOE</t>
  </si>
  <si>
    <t>31316.58</t>
  </si>
  <si>
    <t>Securities and Exchanges</t>
  </si>
  <si>
    <t>104.67</t>
  </si>
  <si>
    <t>304.43</t>
  </si>
  <si>
    <t>CBRE Group</t>
  </si>
  <si>
    <t>CBRE</t>
  </si>
  <si>
    <t>40419.02</t>
  </si>
  <si>
    <t>295.16</t>
  </si>
  <si>
    <t>Commerce Bancshares</t>
  </si>
  <si>
    <t>CBSH</t>
  </si>
  <si>
    <t>7285.21</t>
  </si>
  <si>
    <t>146.88</t>
  </si>
  <si>
    <t>Cabot</t>
  </si>
  <si>
    <t>CBT</t>
  </si>
  <si>
    <t>3644.02</t>
  </si>
  <si>
    <t>52.22</t>
  </si>
  <si>
    <t>Community Financial System</t>
  </si>
  <si>
    <t>CBU</t>
  </si>
  <si>
    <t>3073.8</t>
  </si>
  <si>
    <t>52.72</t>
  </si>
  <si>
    <t>CBIZ</t>
  </si>
  <si>
    <t>CBZ</t>
  </si>
  <si>
    <t>1516.72</t>
  </si>
  <si>
    <t>55.07</t>
  </si>
  <si>
    <t>52.08</t>
  </si>
  <si>
    <t>Chemours</t>
  </si>
  <si>
    <t>CC</t>
  </si>
  <si>
    <t>2614.49</t>
  </si>
  <si>
    <t>150.09</t>
  </si>
  <si>
    <t>Coastal Financial</t>
  </si>
  <si>
    <t>CCB</t>
  </si>
  <si>
    <t>1166.53</t>
  </si>
  <si>
    <t>CCC Intelligent Solutions</t>
  </si>
  <si>
    <t>CCC</t>
  </si>
  <si>
    <t>3606.33</t>
  </si>
  <si>
    <t>607.13</t>
  </si>
  <si>
    <t>CCL Industries Inc.</t>
  </si>
  <si>
    <t>CCDBF</t>
  </si>
  <si>
    <t>10331.27</t>
  </si>
  <si>
    <t>Commercial Printing</t>
  </si>
  <si>
    <t>161.5</t>
  </si>
  <si>
    <t>Capital Clean Energy Carriers Corp.</t>
  </si>
  <si>
    <t>CCEC</t>
  </si>
  <si>
    <t>1247.15</t>
  </si>
  <si>
    <t>58.39</t>
  </si>
  <si>
    <t>Coca-Cola Europacific Partners</t>
  </si>
  <si>
    <t>CCEP</t>
  </si>
  <si>
    <t>46832.22</t>
  </si>
  <si>
    <t>Beverages - Soft drinks</t>
  </si>
  <si>
    <t>460.95</t>
  </si>
  <si>
    <t>Coca-Cola HBC</t>
  </si>
  <si>
    <t>CCHGY</t>
  </si>
  <si>
    <t>22733.28</t>
  </si>
  <si>
    <t>373.24</t>
  </si>
  <si>
    <t>Crown Castle Inc.</t>
  </si>
  <si>
    <t>CCI</t>
  </si>
  <si>
    <t>39128.6</t>
  </si>
  <si>
    <t>436.07</t>
  </si>
  <si>
    <t>Cameco</t>
  </si>
  <si>
    <t>CCJ</t>
  </si>
  <si>
    <t>50582.8</t>
  </si>
  <si>
    <t>435.53</t>
  </si>
  <si>
    <t>Crown Holdings</t>
  </si>
  <si>
    <t>CCK</t>
  </si>
  <si>
    <t>11902.28</t>
  </si>
  <si>
    <t>113.23</t>
  </si>
  <si>
    <t>78.47</t>
  </si>
  <si>
    <t>Carnival</t>
  </si>
  <si>
    <t>CCL</t>
  </si>
  <si>
    <t>32697.21</t>
  </si>
  <si>
    <t>Clear Channel Outdoor</t>
  </si>
  <si>
    <t>CCO</t>
  </si>
  <si>
    <t>1178.61</t>
  </si>
  <si>
    <t>Advertising and Marketing</t>
  </si>
  <si>
    <t>497.3</t>
  </si>
  <si>
    <t>Capcom</t>
  </si>
  <si>
    <t>CCOEY</t>
  </si>
  <si>
    <t>11566.34</t>
  </si>
  <si>
    <t>1066.02</t>
  </si>
  <si>
    <t>Cogent Communications</t>
  </si>
  <si>
    <t>CCOI</t>
  </si>
  <si>
    <t>1126.4</t>
  </si>
  <si>
    <t>50.06</t>
  </si>
  <si>
    <t>China Coal Energy</t>
  </si>
  <si>
    <t>CCOZY</t>
  </si>
  <si>
    <t>20434.91</t>
  </si>
  <si>
    <t>662.93</t>
  </si>
  <si>
    <t>30.83</t>
  </si>
  <si>
    <t>Century Communities</t>
  </si>
  <si>
    <t>CCS</t>
  </si>
  <si>
    <t>1742.45</t>
  </si>
  <si>
    <t>Building Products - Home Builders</t>
  </si>
  <si>
    <t>Compania Cervecerias Unidas</t>
  </si>
  <si>
    <t>CCU</t>
  </si>
  <si>
    <t>2194.85</t>
  </si>
  <si>
    <t>184.75</t>
  </si>
  <si>
    <t>Coeur Mining</t>
  </si>
  <si>
    <t>CDE</t>
  </si>
  <si>
    <t>14575.61</t>
  </si>
  <si>
    <t>Mining - Non Ferrous</t>
  </si>
  <si>
    <t>642.1</t>
  </si>
  <si>
    <t>City Developments</t>
  </si>
  <si>
    <t>CDEVY</t>
  </si>
  <si>
    <t>6191.27</t>
  </si>
  <si>
    <t>893.4</t>
  </si>
  <si>
    <t>Cadeler A/S Sponsored ADR</t>
  </si>
  <si>
    <t>CDLR</t>
  </si>
  <si>
    <t>2155.76</t>
  </si>
  <si>
    <t>87.74</t>
  </si>
  <si>
    <t>128.99</t>
  </si>
  <si>
    <t>Canadian Tire Corporation</t>
  </si>
  <si>
    <t xml:space="preserve"> Limited</t>
  </si>
  <si>
    <t>CDNAF</t>
  </si>
  <si>
    <t>7500.75</t>
  </si>
  <si>
    <t>Conglomerates</t>
  </si>
  <si>
    <t>Diversified Operations</t>
  </si>
  <si>
    <t>Cardinal Infrastructure Group Inc.</t>
  </si>
  <si>
    <t>CDNL</t>
  </si>
  <si>
    <t>1073.3</t>
  </si>
  <si>
    <t>36.61</t>
  </si>
  <si>
    <t>29.32</t>
  </si>
  <si>
    <t>Cadence Design Systems</t>
  </si>
  <si>
    <t>CDNS</t>
  </si>
  <si>
    <t>81263.63</t>
  </si>
  <si>
    <t>272.65</t>
  </si>
  <si>
    <t>COPT DEFENSE PR</t>
  </si>
  <si>
    <t>CDP</t>
  </si>
  <si>
    <t>3669.06</t>
  </si>
  <si>
    <t>113.21</t>
  </si>
  <si>
    <t>Cadre Holdings</t>
  </si>
  <si>
    <t>CDRE</t>
  </si>
  <si>
    <t>1789.21</t>
  </si>
  <si>
    <t>CDW</t>
  </si>
  <si>
    <t>15574.69</t>
  </si>
  <si>
    <t>Celanese</t>
  </si>
  <si>
    <t>CE</t>
  </si>
  <si>
    <t>5637.48</t>
  </si>
  <si>
    <t>109.57</t>
  </si>
  <si>
    <t>CECO Environmental</t>
  </si>
  <si>
    <t>CECO</t>
  </si>
  <si>
    <t>1832.51</t>
  </si>
  <si>
    <t>Pollution Control</t>
  </si>
  <si>
    <t>79.14</t>
  </si>
  <si>
    <t>Constellation Energy Corporation</t>
  </si>
  <si>
    <t>CEG</t>
  </si>
  <si>
    <t>116919.25</t>
  </si>
  <si>
    <t>361.99</t>
  </si>
  <si>
    <t>170.96</t>
  </si>
  <si>
    <t>Celcuity</t>
  </si>
  <si>
    <t>CELC</t>
  </si>
  <si>
    <t>5249.47</t>
  </si>
  <si>
    <t>Celsius</t>
  </si>
  <si>
    <t>CELH</t>
  </si>
  <si>
    <t>11129.63</t>
  </si>
  <si>
    <t>256.98</t>
  </si>
  <si>
    <t>Central Garden &amp; Pet</t>
  </si>
  <si>
    <t>CENT</t>
  </si>
  <si>
    <t>2297.67</t>
  </si>
  <si>
    <t>62.27</t>
  </si>
  <si>
    <t>CENTA</t>
  </si>
  <si>
    <t>2009.99</t>
  </si>
  <si>
    <t>Century Aluminum</t>
  </si>
  <si>
    <t>CENX</t>
  </si>
  <si>
    <t>5389.14</t>
  </si>
  <si>
    <t>Metal Products - Procurement and Fabrication</t>
  </si>
  <si>
    <t>98.97</t>
  </si>
  <si>
    <t>Central Puerto</t>
  </si>
  <si>
    <t>CEPU</t>
  </si>
  <si>
    <t>2171.11</t>
  </si>
  <si>
    <t>151.4</t>
  </si>
  <si>
    <t>Certara</t>
  </si>
  <si>
    <t>CERT</t>
  </si>
  <si>
    <t>1120.34</t>
  </si>
  <si>
    <t>159.14</t>
  </si>
  <si>
    <t>Central Securities Corporation</t>
  </si>
  <si>
    <t>CET</t>
  </si>
  <si>
    <t>1499.82</t>
  </si>
  <si>
    <t>29.55</t>
  </si>
  <si>
    <t>CF Industries</t>
  </si>
  <si>
    <t>CF</t>
  </si>
  <si>
    <t>17063.38</t>
  </si>
  <si>
    <t>153.67</t>
  </si>
  <si>
    <t>68.47</t>
  </si>
  <si>
    <t>Citizens Financial Group</t>
  </si>
  <si>
    <t>CFG</t>
  </si>
  <si>
    <t>24780.8</t>
  </si>
  <si>
    <t>424.98</t>
  </si>
  <si>
    <t>58.31</t>
  </si>
  <si>
    <t>Confluent</t>
  </si>
  <si>
    <t>CFLT</t>
  </si>
  <si>
    <t>10997.57</t>
  </si>
  <si>
    <t>357.64</t>
  </si>
  <si>
    <t>Cullen/Frost Bankers</t>
  </si>
  <si>
    <t>CFR</t>
  </si>
  <si>
    <t>8498.11</t>
  </si>
  <si>
    <t>63.2</t>
  </si>
  <si>
    <t>Carlyle Group</t>
  </si>
  <si>
    <t>CG</t>
  </si>
  <si>
    <t>17632.37</t>
  </si>
  <si>
    <t>361.17</t>
  </si>
  <si>
    <t>Centerra Gold</t>
  </si>
  <si>
    <t>CGAU</t>
  </si>
  <si>
    <t>3782.33</t>
  </si>
  <si>
    <t>199.81</t>
  </si>
  <si>
    <t>31.73</t>
  </si>
  <si>
    <t>Cap Gemini</t>
  </si>
  <si>
    <t>CGEMY</t>
  </si>
  <si>
    <t>21648.91</t>
  </si>
  <si>
    <t>849.64</t>
  </si>
  <si>
    <t>Cognex</t>
  </si>
  <si>
    <t>CGNX</t>
  </si>
  <si>
    <t>8421.28</t>
  </si>
  <si>
    <t>165.71</t>
  </si>
  <si>
    <t>CG Oncology</t>
  </si>
  <si>
    <t>CGON</t>
  </si>
  <si>
    <t>5175.03</t>
  </si>
  <si>
    <t>84.43</t>
  </si>
  <si>
    <t>Chagee Holdings Limited - Sponsored ADR</t>
  </si>
  <si>
    <t>CHA</t>
  </si>
  <si>
    <t>1954.81</t>
  </si>
  <si>
    <t>183.55</t>
  </si>
  <si>
    <t>Chiba Bank</t>
  </si>
  <si>
    <t>CHBAY</t>
  </si>
  <si>
    <t>8530.73</t>
  </si>
  <si>
    <t>155.1</t>
  </si>
  <si>
    <t>City Holding</t>
  </si>
  <si>
    <t>CHCO</t>
  </si>
  <si>
    <t>1681.3</t>
  </si>
  <si>
    <t>Church &amp; Dwight Co.</t>
  </si>
  <si>
    <t>CHD</t>
  </si>
  <si>
    <t>24201.99</t>
  </si>
  <si>
    <t>236.69</t>
  </si>
  <si>
    <t>Churchill Downs</t>
  </si>
  <si>
    <t>CHDN</t>
  </si>
  <si>
    <t>5931.16</t>
  </si>
  <si>
    <t>69.7</t>
  </si>
  <si>
    <t>Christian Dior</t>
  </si>
  <si>
    <t>CHDRY</t>
  </si>
  <si>
    <t>103721.31</t>
  </si>
  <si>
    <t>721.64</t>
  </si>
  <si>
    <t>Chemed</t>
  </si>
  <si>
    <t>CHE</t>
  </si>
  <si>
    <t>5553.82</t>
  </si>
  <si>
    <t>13.77</t>
  </si>
  <si>
    <t>The Chef's Warehouse</t>
  </si>
  <si>
    <t>CHEF</t>
  </si>
  <si>
    <t>2584.08</t>
  </si>
  <si>
    <t>40.69</t>
  </si>
  <si>
    <t>CochLear Ltd. Unsponsored ADR</t>
  </si>
  <si>
    <t>CHEOY</t>
  </si>
  <si>
    <t>8395.88</t>
  </si>
  <si>
    <t>130.8</t>
  </si>
  <si>
    <t>China Everbright Environment Group??</t>
  </si>
  <si>
    <t>CHFFF</t>
  </si>
  <si>
    <t>3900.79</t>
  </si>
  <si>
    <t>Waste Removal Services</t>
  </si>
  <si>
    <t>6142.98</t>
  </si>
  <si>
    <t>Chugai Pharmaceutical Co.</t>
  </si>
  <si>
    <t>CHGCY</t>
  </si>
  <si>
    <t>100409.27</t>
  </si>
  <si>
    <t>3291.03</t>
  </si>
  <si>
    <t>Choice Hotels International</t>
  </si>
  <si>
    <t>CHH</t>
  </si>
  <si>
    <t>4510.71</t>
  </si>
  <si>
    <t>45.97</t>
  </si>
  <si>
    <t>Check Point Software Technologies</t>
  </si>
  <si>
    <t>CHKP</t>
  </si>
  <si>
    <t>17690.69</t>
  </si>
  <si>
    <t>Security</t>
  </si>
  <si>
    <t>109.98</t>
  </si>
  <si>
    <t>Chord Energy Corporation</t>
  </si>
  <si>
    <t>CHRD</t>
  </si>
  <si>
    <t>7004.14</t>
  </si>
  <si>
    <t>56.84</t>
  </si>
  <si>
    <t>C.H. Robinson Worldwide</t>
  </si>
  <si>
    <t>CHRW</t>
  </si>
  <si>
    <t>21581.88</t>
  </si>
  <si>
    <t>118.62</t>
  </si>
  <si>
    <t>86.96</t>
  </si>
  <si>
    <t>Chunghwa Telecom</t>
  </si>
  <si>
    <t>CHT</t>
  </si>
  <si>
    <t>33481.14</t>
  </si>
  <si>
    <t>775.74</t>
  </si>
  <si>
    <t>43.16</t>
  </si>
  <si>
    <t>Charter Communications</t>
  </si>
  <si>
    <t>CHTR</t>
  </si>
  <si>
    <t>28214.78</t>
  </si>
  <si>
    <t>Cable Television</t>
  </si>
  <si>
    <t>126.63</t>
  </si>
  <si>
    <t>Chewy</t>
  </si>
  <si>
    <t>CHWY</t>
  </si>
  <si>
    <t>10852.21</t>
  </si>
  <si>
    <t>Chiyoda</t>
  </si>
  <si>
    <t>CHYCY</t>
  </si>
  <si>
    <t>2004.5</t>
  </si>
  <si>
    <t>260.33</t>
  </si>
  <si>
    <t>Chime Financial</t>
  </si>
  <si>
    <t>CHYM</t>
  </si>
  <si>
    <t>8476.7</t>
  </si>
  <si>
    <t>374.58</t>
  </si>
  <si>
    <t>Cigna Group</t>
  </si>
  <si>
    <t>CI</t>
  </si>
  <si>
    <t>71063.03</t>
  </si>
  <si>
    <t>Medical - HMOs</t>
  </si>
  <si>
    <t>263.53</t>
  </si>
  <si>
    <t>China Mengniu Dairy</t>
  </si>
  <si>
    <t>CIADY</t>
  </si>
  <si>
    <t>8217.26</t>
  </si>
  <si>
    <t>Food - Dairy Products</t>
  </si>
  <si>
    <t>387.89</t>
  </si>
  <si>
    <t>Grupo Cibest S.A. - Sponsored ADR</t>
  </si>
  <si>
    <t>CIB</t>
  </si>
  <si>
    <t>16211.59</t>
  </si>
  <si>
    <t>240.46</t>
  </si>
  <si>
    <t>84.53</t>
  </si>
  <si>
    <t>China Construction Bank</t>
  </si>
  <si>
    <t>CICHY</t>
  </si>
  <si>
    <t>265916.78</t>
  </si>
  <si>
    <t>13080.02</t>
  </si>
  <si>
    <t>20.33</t>
  </si>
  <si>
    <t>China Cosco</t>
  </si>
  <si>
    <t>CICOY</t>
  </si>
  <si>
    <t>30360.98</t>
  </si>
  <si>
    <t>3127.1</t>
  </si>
  <si>
    <t>Ciena</t>
  </si>
  <si>
    <t>CIEN</t>
  </si>
  <si>
    <t>45041.06</t>
  </si>
  <si>
    <t>141.4</t>
  </si>
  <si>
    <t>Cipher Digital Inc.</t>
  </si>
  <si>
    <t>CIFR</t>
  </si>
  <si>
    <t>5797.26</t>
  </si>
  <si>
    <t>405.12</t>
  </si>
  <si>
    <t>Colliers International Group</t>
  </si>
  <si>
    <t>CIGI</t>
  </si>
  <si>
    <t>5869.84</t>
  </si>
  <si>
    <t>49.78</t>
  </si>
  <si>
    <t>China Merchants Bank</t>
  </si>
  <si>
    <t>CIHKY</t>
  </si>
  <si>
    <t>159994.7</t>
  </si>
  <si>
    <t>5043.97</t>
  </si>
  <si>
    <t>Chimera Investment</t>
  </si>
  <si>
    <t>CIM</t>
  </si>
  <si>
    <t>1126.77</t>
  </si>
  <si>
    <t>83.4</t>
  </si>
  <si>
    <t>Cincinnati Financial</t>
  </si>
  <si>
    <t>CINF</t>
  </si>
  <si>
    <t>25415.46</t>
  </si>
  <si>
    <t>155.62</t>
  </si>
  <si>
    <t>CHOW TAI FOOK</t>
  </si>
  <si>
    <t>CJEWY</t>
  </si>
  <si>
    <t>18299.47</t>
  </si>
  <si>
    <t>Retail - Jewelry</t>
  </si>
  <si>
    <t>986.49</t>
  </si>
  <si>
    <t>Central Japan Railway Co.</t>
  </si>
  <si>
    <t>CJPRY</t>
  </si>
  <si>
    <t>26141.64</t>
  </si>
  <si>
    <t>1935.82</t>
  </si>
  <si>
    <t>CK Hutchison</t>
  </si>
  <si>
    <t>CKHUY</t>
  </si>
  <si>
    <t>28916.84</t>
  </si>
  <si>
    <t>3830.04</t>
  </si>
  <si>
    <t>VESUVIUS PLC</t>
  </si>
  <si>
    <t>CKSNY</t>
  </si>
  <si>
    <t>1578.37</t>
  </si>
  <si>
    <t>248.17</t>
  </si>
  <si>
    <t>ColgatePalmolive</t>
  </si>
  <si>
    <t>CL</t>
  </si>
  <si>
    <t>74964.04</t>
  </si>
  <si>
    <t>806.07</t>
  </si>
  <si>
    <t>Columbia Financial</t>
  </si>
  <si>
    <t>CLBK</t>
  </si>
  <si>
    <t>1860.59</t>
  </si>
  <si>
    <t>104.12</t>
  </si>
  <si>
    <t>14.99</t>
  </si>
  <si>
    <t>Cellebrite DI Ltd.</t>
  </si>
  <si>
    <t>CLBT</t>
  </si>
  <si>
    <t>3724.14</t>
  </si>
  <si>
    <t>249.44</t>
  </si>
  <si>
    <t>18.56</t>
  </si>
  <si>
    <t>Celldex Therapeutics</t>
  </si>
  <si>
    <t>CLDX</t>
  </si>
  <si>
    <t>2045.58</t>
  </si>
  <si>
    <t>66.57</t>
  </si>
  <si>
    <t>30.82</t>
  </si>
  <si>
    <t>ClevelandCliffs</t>
  </si>
  <si>
    <t>CLF</t>
  </si>
  <si>
    <t>5447.23</t>
  </si>
  <si>
    <t>570.39</t>
  </si>
  <si>
    <t>Clean Harbors</t>
  </si>
  <si>
    <t>CLH</t>
  </si>
  <si>
    <t>15127.24</t>
  </si>
  <si>
    <t>52.91</t>
  </si>
  <si>
    <t>Cellnex Telecom SA - Unsponsored ADR</t>
  </si>
  <si>
    <t>CLLNY</t>
  </si>
  <si>
    <t>23638.71</t>
  </si>
  <si>
    <t>1364.82</t>
  </si>
  <si>
    <t>15.54</t>
  </si>
  <si>
    <t>Cornerstone Strategic Investment Fund</t>
  </si>
  <si>
    <t>CLM</t>
  </si>
  <si>
    <t>1880.51</t>
  </si>
  <si>
    <t>252.76</t>
  </si>
  <si>
    <t>Calumet</t>
  </si>
  <si>
    <t>CLMT</t>
  </si>
  <si>
    <t>2545.37</t>
  </si>
  <si>
    <t>86.75</t>
  </si>
  <si>
    <t>47.66</t>
  </si>
  <si>
    <t>Clover Health Investments</t>
  </si>
  <si>
    <t>CLOV</t>
  </si>
  <si>
    <t>1033.36</t>
  </si>
  <si>
    <t>516.68</t>
  </si>
  <si>
    <t>Coloplast A/S Sponsored ADR</t>
  </si>
  <si>
    <t>CLPBY</t>
  </si>
  <si>
    <t>16091.2</t>
  </si>
  <si>
    <t>2253.67</t>
  </si>
  <si>
    <t>CLP</t>
  </si>
  <si>
    <t>CLPHY</t>
  </si>
  <si>
    <t>24152.87</t>
  </si>
  <si>
    <t>2526.45</t>
  </si>
  <si>
    <t>Celestica</t>
  </si>
  <si>
    <t>CLS</t>
  </si>
  <si>
    <t>30824.06</t>
  </si>
  <si>
    <t>115.04</t>
  </si>
  <si>
    <t>66.15</t>
  </si>
  <si>
    <t>Cleanspark</t>
  </si>
  <si>
    <t>CLSK</t>
  </si>
  <si>
    <t>2457.78</t>
  </si>
  <si>
    <t>255.75</t>
  </si>
  <si>
    <t>102.21</t>
  </si>
  <si>
    <t>Clarivate</t>
  </si>
  <si>
    <t>CLVT</t>
  </si>
  <si>
    <t>1672.22</t>
  </si>
  <si>
    <t>640.7</t>
  </si>
  <si>
    <t>Clorox</t>
  </si>
  <si>
    <t>CLX</t>
  </si>
  <si>
    <t>13712.62</t>
  </si>
  <si>
    <t>120.91</t>
  </si>
  <si>
    <t>Canadian Imperial Bank of Commerce</t>
  </si>
  <si>
    <t>CM</t>
  </si>
  <si>
    <t>90484.06</t>
  </si>
  <si>
    <t>924.44</t>
  </si>
  <si>
    <t>54.6</t>
  </si>
  <si>
    <t>CHINA MINSHENG</t>
  </si>
  <si>
    <t>CMAKY</t>
  </si>
  <si>
    <t>20052.35</t>
  </si>
  <si>
    <t>4378.24</t>
  </si>
  <si>
    <t>Commercial Metals</t>
  </si>
  <si>
    <t>CMC</t>
  </si>
  <si>
    <t>7303.25</t>
  </si>
  <si>
    <t>110.91</t>
  </si>
  <si>
    <t>Comcast</t>
  </si>
  <si>
    <t>CMCSA</t>
  </si>
  <si>
    <t>111677.14</t>
  </si>
  <si>
    <t>3597.85</t>
  </si>
  <si>
    <t>CME Group</t>
  </si>
  <si>
    <t>CME</t>
  </si>
  <si>
    <t>115063.77</t>
  </si>
  <si>
    <t>360.6</t>
  </si>
  <si>
    <t>Chipotle Mexican Grill</t>
  </si>
  <si>
    <t>CMG</t>
  </si>
  <si>
    <t>45962.51</t>
  </si>
  <si>
    <t>1302.42</t>
  </si>
  <si>
    <t>35.29</t>
  </si>
  <si>
    <t>Chemring Group PLC - Unsponsored ADR</t>
  </si>
  <si>
    <t>CMGMY</t>
  </si>
  <si>
    <t>2012.35</t>
  </si>
  <si>
    <t>272.12</t>
  </si>
  <si>
    <t>Cummins</t>
  </si>
  <si>
    <t>CMI</t>
  </si>
  <si>
    <t>76017.25</t>
  </si>
  <si>
    <t>Automotive - Internal Combustion Engines</t>
  </si>
  <si>
    <t>138.16</t>
  </si>
  <si>
    <t>Compass Minerals International</t>
  </si>
  <si>
    <t>CMP</t>
  </si>
  <si>
    <t>1000.11</t>
  </si>
  <si>
    <t>41.86</t>
  </si>
  <si>
    <t>Compass Group</t>
  </si>
  <si>
    <t>CMPGY</t>
  </si>
  <si>
    <t>52662.33</t>
  </si>
  <si>
    <t>1700.43</t>
  </si>
  <si>
    <t>Cimpress</t>
  </si>
  <si>
    <t>CMPR</t>
  </si>
  <si>
    <t>1741.25</t>
  </si>
  <si>
    <t>Consumer Services - Miscellaneous</t>
  </si>
  <si>
    <t>Costamare</t>
  </si>
  <si>
    <t>CMRE</t>
  </si>
  <si>
    <t>2046.98</t>
  </si>
  <si>
    <t>120.27</t>
  </si>
  <si>
    <t>CMS Energy</t>
  </si>
  <si>
    <t>CMS</t>
  </si>
  <si>
    <t>23667.95</t>
  </si>
  <si>
    <t>306.42</t>
  </si>
  <si>
    <t>Cementos Argos S.A. Sponsored ADR</t>
  </si>
  <si>
    <t>CMTOY</t>
  </si>
  <si>
    <t>3974.4</t>
  </si>
  <si>
    <t>258.08</t>
  </si>
  <si>
    <t>Commonwealth Bank of Australia</t>
  </si>
  <si>
    <t>CMWAY</t>
  </si>
  <si>
    <t>204145.67</t>
  </si>
  <si>
    <t>1673.46</t>
  </si>
  <si>
    <t>CNA Financial</t>
  </si>
  <si>
    <t>CNA</t>
  </si>
  <si>
    <t>12870.52</t>
  </si>
  <si>
    <t>270.67</t>
  </si>
  <si>
    <t>Centene</t>
  </si>
  <si>
    <t>CNC</t>
  </si>
  <si>
    <t>21303.52</t>
  </si>
  <si>
    <t>491.77</t>
  </si>
  <si>
    <t>CNH Industrial</t>
  </si>
  <si>
    <t>CNH</t>
  </si>
  <si>
    <t>13824.14</t>
  </si>
  <si>
    <t>1240.95</t>
  </si>
  <si>
    <t>Canadian National Railway</t>
  </si>
  <si>
    <t>CNI</t>
  </si>
  <si>
    <t>66192.13</t>
  </si>
  <si>
    <t>613.12</t>
  </si>
  <si>
    <t>90.91</t>
  </si>
  <si>
    <t>Cinemark</t>
  </si>
  <si>
    <t>CNK</t>
  </si>
  <si>
    <t>3127.29</t>
  </si>
  <si>
    <t>Film and Television Production and Distribution</t>
  </si>
  <si>
    <t>115.53</t>
  </si>
  <si>
    <t>Collective Mining Ltd.</t>
  </si>
  <si>
    <t>CNL</t>
  </si>
  <si>
    <t>1590.08</t>
  </si>
  <si>
    <t>92.55</t>
  </si>
  <si>
    <t>35.17</t>
  </si>
  <si>
    <t>Core &amp; Main</t>
  </si>
  <si>
    <t>CNM</t>
  </si>
  <si>
    <t>9767.79</t>
  </si>
  <si>
    <t>195.51</t>
  </si>
  <si>
    <t>CONMED</t>
  </si>
  <si>
    <t>CNMD</t>
  </si>
  <si>
    <t>1215.15</t>
  </si>
  <si>
    <t>CNO Financial Group</t>
  </si>
  <si>
    <t>CNO</t>
  </si>
  <si>
    <t>3881.41</t>
  </si>
  <si>
    <t>94.28</t>
  </si>
  <si>
    <t>35.49</t>
  </si>
  <si>
    <t>41.17</t>
  </si>
  <si>
    <t>ConnectOne Bancorp</t>
  </si>
  <si>
    <t>CNOB</t>
  </si>
  <si>
    <t>1292.53</t>
  </si>
  <si>
    <t>50.27</t>
  </si>
  <si>
    <t>CenterPoint Energy</t>
  </si>
  <si>
    <t>CNP</t>
  </si>
  <si>
    <t>28443.02</t>
  </si>
  <si>
    <t>654.16</t>
  </si>
  <si>
    <t>Canadian Natural Resources Limited</t>
  </si>
  <si>
    <t>CNQ</t>
  </si>
  <si>
    <t>96392.84</t>
  </si>
  <si>
    <t>2084.62</t>
  </si>
  <si>
    <t>46.31</t>
  </si>
  <si>
    <t>Core Natural Resources</t>
  </si>
  <si>
    <t>CNR</t>
  </si>
  <si>
    <t>4589.18</t>
  </si>
  <si>
    <t>50.98</t>
  </si>
  <si>
    <t>Cohen &amp; Steers</t>
  </si>
  <si>
    <t>CNS</t>
  </si>
  <si>
    <t>3301.82</t>
  </si>
  <si>
    <t>51.39</t>
  </si>
  <si>
    <t>Constellation Software</t>
  </si>
  <si>
    <t>CNSWF</t>
  </si>
  <si>
    <t>46488.53</t>
  </si>
  <si>
    <t>21.19</t>
  </si>
  <si>
    <t>Centessa Pharmaceuticals</t>
  </si>
  <si>
    <t>CNTA</t>
  </si>
  <si>
    <t>3810.42</t>
  </si>
  <si>
    <t>146.05</t>
  </si>
  <si>
    <t>CNX Resources</t>
  </si>
  <si>
    <t>CNX</t>
  </si>
  <si>
    <t>5808.62</t>
  </si>
  <si>
    <t>142.37</t>
  </si>
  <si>
    <t>Concentrix</t>
  </si>
  <si>
    <t>CNXC</t>
  </si>
  <si>
    <t>2082.79</t>
  </si>
  <si>
    <t>61.37</t>
  </si>
  <si>
    <t>33.94</t>
  </si>
  <si>
    <t>PC Connection</t>
  </si>
  <si>
    <t>CNXN</t>
  </si>
  <si>
    <t>1523.75</t>
  </si>
  <si>
    <t>Retail - Computer Hardware</t>
  </si>
  <si>
    <t>Vita Coco Company</t>
  </si>
  <si>
    <t>COCO</t>
  </si>
  <si>
    <t>3010.51</t>
  </si>
  <si>
    <t>57.08</t>
  </si>
  <si>
    <t>52.74</t>
  </si>
  <si>
    <t>Compagnie de Saint-Gobain - Unsponsored ADR</t>
  </si>
  <si>
    <t>CODYY</t>
  </si>
  <si>
    <t>43074.54</t>
  </si>
  <si>
    <t>2474.13</t>
  </si>
  <si>
    <t>Capital One Financial</t>
  </si>
  <si>
    <t>COF</t>
  </si>
  <si>
    <t>115511.35</t>
  </si>
  <si>
    <t>621.93</t>
  </si>
  <si>
    <t>Cogent Biosciences</t>
  </si>
  <si>
    <t>COGT</t>
  </si>
  <si>
    <t>6007.05</t>
  </si>
  <si>
    <t>162.31</t>
  </si>
  <si>
    <t>COHERENT CORP</t>
  </si>
  <si>
    <t>COHR</t>
  </si>
  <si>
    <t>47305.42</t>
  </si>
  <si>
    <t>187.48</t>
  </si>
  <si>
    <t>41.4</t>
  </si>
  <si>
    <t>Cohu</t>
  </si>
  <si>
    <t>COHU</t>
  </si>
  <si>
    <t>1312.87</t>
  </si>
  <si>
    <t>46.89</t>
  </si>
  <si>
    <t>Croda International</t>
  </si>
  <si>
    <t>COIHY</t>
  </si>
  <si>
    <t>5167.91</t>
  </si>
  <si>
    <t>279.27</t>
  </si>
  <si>
    <t>Coinbase Global</t>
  </si>
  <si>
    <t>COIN</t>
  </si>
  <si>
    <t>52759.57</t>
  </si>
  <si>
    <t>264.08</t>
  </si>
  <si>
    <t>Coca-Cola Consolidated</t>
  </si>
  <si>
    <t>COKE</t>
  </si>
  <si>
    <t>13772.82</t>
  </si>
  <si>
    <t>66.56</t>
  </si>
  <si>
    <t>105.72</t>
  </si>
  <si>
    <t>Columbia Banking System</t>
  </si>
  <si>
    <t>COLB</t>
  </si>
  <si>
    <t>8012.38</t>
  </si>
  <si>
    <t>295.55</t>
  </si>
  <si>
    <t>Americold Realty Trust</t>
  </si>
  <si>
    <t>COLD</t>
  </si>
  <si>
    <t>3489.78</t>
  </si>
  <si>
    <t>284.88</t>
  </si>
  <si>
    <t>Collegium Pharmaceutical</t>
  </si>
  <si>
    <t>COLL</t>
  </si>
  <si>
    <t>1183.44</t>
  </si>
  <si>
    <t>31.75</t>
  </si>
  <si>
    <t>Columbia Sportswear</t>
  </si>
  <si>
    <t>COLM</t>
  </si>
  <si>
    <t>2993.99</t>
  </si>
  <si>
    <t>52.35</t>
  </si>
  <si>
    <t>Compass</t>
  </si>
  <si>
    <t>COMP</t>
  </si>
  <si>
    <t>5069.48</t>
  </si>
  <si>
    <t>563.28</t>
  </si>
  <si>
    <t>Concentra Group Holdings Parent</t>
  </si>
  <si>
    <t>CON</t>
  </si>
  <si>
    <t>2903.29</t>
  </si>
  <si>
    <t>128.63</t>
  </si>
  <si>
    <t>The Cooper Companies</t>
  </si>
  <si>
    <t>COO</t>
  </si>
  <si>
    <t>14793.57</t>
  </si>
  <si>
    <t>195.11</t>
  </si>
  <si>
    <t>ConocoPhillips</t>
  </si>
  <si>
    <t>COP</t>
  </si>
  <si>
    <t>144616.11</t>
  </si>
  <si>
    <t>1235.72</t>
  </si>
  <si>
    <t>Cencora</t>
  </si>
  <si>
    <t>COR</t>
  </si>
  <si>
    <t>70381.2</t>
  </si>
  <si>
    <t>194.53</t>
  </si>
  <si>
    <t>Corcept Therapeutics</t>
  </si>
  <si>
    <t>CORT</t>
  </si>
  <si>
    <t>3615.65</t>
  </si>
  <si>
    <t>106.37</t>
  </si>
  <si>
    <t>Core Scientific</t>
  </si>
  <si>
    <t>CORZ</t>
  </si>
  <si>
    <t>4780.44</t>
  </si>
  <si>
    <t>315.33</t>
  </si>
  <si>
    <t>Costco Wholesale</t>
  </si>
  <si>
    <t>COST</t>
  </si>
  <si>
    <t>446221.91</t>
  </si>
  <si>
    <t>443.87</t>
  </si>
  <si>
    <t>Coty</t>
  </si>
  <si>
    <t>COTY</t>
  </si>
  <si>
    <t>2024.02</t>
  </si>
  <si>
    <t>Cosmetics</t>
  </si>
  <si>
    <t>880.01</t>
  </si>
  <si>
    <t>Coursera</t>
  </si>
  <si>
    <t>COUR</t>
  </si>
  <si>
    <t>1034.43</t>
  </si>
  <si>
    <t>168.2</t>
  </si>
  <si>
    <t>Covestro</t>
  </si>
  <si>
    <t>COVTY</t>
  </si>
  <si>
    <t>14028.18</t>
  </si>
  <si>
    <t>Chemical - Plastic</t>
  </si>
  <si>
    <t>415.28</t>
  </si>
  <si>
    <t>35.93</t>
  </si>
  <si>
    <t>Canadian Pacific Kansas City Limited</t>
  </si>
  <si>
    <t>CP</t>
  </si>
  <si>
    <t>75338.76</t>
  </si>
  <si>
    <t>897.96</t>
  </si>
  <si>
    <t>Copa Holdings</t>
  </si>
  <si>
    <t>CPA</t>
  </si>
  <si>
    <t>5168.85</t>
  </si>
  <si>
    <t>Corpay</t>
  </si>
  <si>
    <t>CPAY</t>
  </si>
  <si>
    <t>22778.34</t>
  </si>
  <si>
    <t>69.96</t>
  </si>
  <si>
    <t>The Campbell's Company</t>
  </si>
  <si>
    <t>CPB</t>
  </si>
  <si>
    <t>7539.81</t>
  </si>
  <si>
    <t>298.13</t>
  </si>
  <si>
    <t>Cathay Pacific Airways</t>
  </si>
  <si>
    <t>CPCAY</t>
  </si>
  <si>
    <t>10489.76</t>
  </si>
  <si>
    <t>1344.84</t>
  </si>
  <si>
    <t>Chesapeake Utilities</t>
  </si>
  <si>
    <t>CPK</t>
  </si>
  <si>
    <t>3159.84</t>
  </si>
  <si>
    <t>Coupang</t>
  </si>
  <si>
    <t>CPNG</t>
  </si>
  <si>
    <t>34359.24</t>
  </si>
  <si>
    <t>1826.65</t>
  </si>
  <si>
    <t>Capri Holdings</t>
  </si>
  <si>
    <t>CPRI</t>
  </si>
  <si>
    <t>2183.04</t>
  </si>
  <si>
    <t>Copart</t>
  </si>
  <si>
    <t>CPRT</t>
  </si>
  <si>
    <t>36191.5</t>
  </si>
  <si>
    <t>Auction and Valuation Services</t>
  </si>
  <si>
    <t>963.31</t>
  </si>
  <si>
    <t>Catalyst Pharmaceuticals</t>
  </si>
  <si>
    <t>CPRX</t>
  </si>
  <si>
    <t>3027.45</t>
  </si>
  <si>
    <t>122.12</t>
  </si>
  <si>
    <t>26.31</t>
  </si>
  <si>
    <t>Camden Property Trust</t>
  </si>
  <si>
    <t>CPT</t>
  </si>
  <si>
    <t>10869.24</t>
  </si>
  <si>
    <t>103.41</t>
  </si>
  <si>
    <t>Centrica</t>
  </si>
  <si>
    <t>CPYYY</t>
  </si>
  <si>
    <t>12110.79</t>
  </si>
  <si>
    <t>1151.22</t>
  </si>
  <si>
    <t>Cheniere Energy Partners</t>
  </si>
  <si>
    <t xml:space="preserve"> L.P.</t>
  </si>
  <si>
    <t>CQP</t>
  </si>
  <si>
    <t>30630.85</t>
  </si>
  <si>
    <t>Crane Company</t>
  </si>
  <si>
    <t>CR</t>
  </si>
  <si>
    <t>11153.06</t>
  </si>
  <si>
    <t>57.67</t>
  </si>
  <si>
    <t>Charles River Associates</t>
  </si>
  <si>
    <t>CRAI</t>
  </si>
  <si>
    <t>1137.07</t>
  </si>
  <si>
    <t>Credit Agricole</t>
  </si>
  <si>
    <t>CRARY</t>
  </si>
  <si>
    <t>59126.13</t>
  </si>
  <si>
    <t>6051.81</t>
  </si>
  <si>
    <t>Corebridge Financial</t>
  </si>
  <si>
    <t>CRBG</t>
  </si>
  <si>
    <t>12162.57</t>
  </si>
  <si>
    <t>481.69</t>
  </si>
  <si>
    <t>California Resources</t>
  </si>
  <si>
    <t>CRC</t>
  </si>
  <si>
    <t>5673.78</t>
  </si>
  <si>
    <t>88.6</t>
  </si>
  <si>
    <t>14.75</t>
  </si>
  <si>
    <t>36.87</t>
  </si>
  <si>
    <t>Circle Internet Group</t>
  </si>
  <si>
    <t>CRCL</t>
  </si>
  <si>
    <t>26335.59</t>
  </si>
  <si>
    <t>235.48</t>
  </si>
  <si>
    <t>50.23</t>
  </si>
  <si>
    <t>Credo Technology Group</t>
  </si>
  <si>
    <t>CRDO</t>
  </si>
  <si>
    <t>21392.5</t>
  </si>
  <si>
    <t>184.45</t>
  </si>
  <si>
    <t>Crescent Energy Company</t>
  </si>
  <si>
    <t>CRGY</t>
  </si>
  <si>
    <t>3921.69</t>
  </si>
  <si>
    <t>327.9</t>
  </si>
  <si>
    <t>CRH</t>
  </si>
  <si>
    <t>71141.98</t>
  </si>
  <si>
    <t>668.25</t>
  </si>
  <si>
    <t>China Resources Enterprise</t>
  </si>
  <si>
    <t>CRHKY</t>
  </si>
  <si>
    <t>10981.54</t>
  </si>
  <si>
    <t>1622.09</t>
  </si>
  <si>
    <t>Carter's</t>
  </si>
  <si>
    <t>CRI</t>
  </si>
  <si>
    <t>1211.66</t>
  </si>
  <si>
    <t>36.39</t>
  </si>
  <si>
    <t>Comstock Resources</t>
  </si>
  <si>
    <t>CRK</t>
  </si>
  <si>
    <t>294.02</t>
  </si>
  <si>
    <t>Charles River Laboratories International</t>
  </si>
  <si>
    <t>CRL</t>
  </si>
  <si>
    <t>8712.83</t>
  </si>
  <si>
    <t>49.23</t>
  </si>
  <si>
    <t>Salesforce</t>
  </si>
  <si>
    <t>CRM</t>
  </si>
  <si>
    <t>183483.16</t>
  </si>
  <si>
    <t>Critical Metals Corp.</t>
  </si>
  <si>
    <t>CRML</t>
  </si>
  <si>
    <t>1091.35</t>
  </si>
  <si>
    <t>122.07</t>
  </si>
  <si>
    <t>CRINETICS PHARM</t>
  </si>
  <si>
    <t>CRNX</t>
  </si>
  <si>
    <t>4001.84</t>
  </si>
  <si>
    <t>104.71</t>
  </si>
  <si>
    <t>Crocs</t>
  </si>
  <si>
    <t>CROX</t>
  </si>
  <si>
    <t>4378.36</t>
  </si>
  <si>
    <t>China Resources Power Holdings</t>
  </si>
  <si>
    <t>CRPJY</t>
  </si>
  <si>
    <t>12235.11</t>
  </si>
  <si>
    <t>345.14</t>
  </si>
  <si>
    <t>38.2</t>
  </si>
  <si>
    <t>Carrefour</t>
  </si>
  <si>
    <t>CRRFY</t>
  </si>
  <si>
    <t>13216.85</t>
  </si>
  <si>
    <t>Retail - Supermarkets</t>
  </si>
  <si>
    <t>3681.57</t>
  </si>
  <si>
    <t>Carpenter Technology</t>
  </si>
  <si>
    <t>CRS</t>
  </si>
  <si>
    <t>19714.69</t>
  </si>
  <si>
    <t>Steel - Speciality</t>
  </si>
  <si>
    <t>CRISPR Therapeutics</t>
  </si>
  <si>
    <t>CRSP</t>
  </si>
  <si>
    <t>5642.02</t>
  </si>
  <si>
    <t>95.99</t>
  </si>
  <si>
    <t>18.27</t>
  </si>
  <si>
    <t>Cirrus Logic</t>
  </si>
  <si>
    <t>CRUS</t>
  </si>
  <si>
    <t>6832.95</t>
  </si>
  <si>
    <t>51.01</t>
  </si>
  <si>
    <t>CorVel</t>
  </si>
  <si>
    <t>CRVL</t>
  </si>
  <si>
    <t>2741.77</t>
  </si>
  <si>
    <t>Corvus Pharmaceuticals</t>
  </si>
  <si>
    <t>CRVS</t>
  </si>
  <si>
    <t>1331.07</t>
  </si>
  <si>
    <t>83.77</t>
  </si>
  <si>
    <t>CrowdStrike</t>
  </si>
  <si>
    <t>CRWD</t>
  </si>
  <si>
    <t>109443.5</t>
  </si>
  <si>
    <t>252.1</t>
  </si>
  <si>
    <t>CoreWeave Inc.</t>
  </si>
  <si>
    <t>CRWV</t>
  </si>
  <si>
    <t>31179.88</t>
  </si>
  <si>
    <t>419.03</t>
  </si>
  <si>
    <t>Commerzbank</t>
  </si>
  <si>
    <t>CRZBY</t>
  </si>
  <si>
    <t>40296.71</t>
  </si>
  <si>
    <t>1127.5</t>
  </si>
  <si>
    <t>43.83</t>
  </si>
  <si>
    <t>Cisco Systems</t>
  </si>
  <si>
    <t>CSCO</t>
  </si>
  <si>
    <t>301021.34</t>
  </si>
  <si>
    <t>Computer - Networking</t>
  </si>
  <si>
    <t>3949.89</t>
  </si>
  <si>
    <t>CoStar Group</t>
  </si>
  <si>
    <t>CSGP</t>
  </si>
  <si>
    <t>20326.39</t>
  </si>
  <si>
    <t>419.79</t>
  </si>
  <si>
    <t>44.63</t>
  </si>
  <si>
    <t>CSG Systems International</t>
  </si>
  <si>
    <t>CSGS</t>
  </si>
  <si>
    <t>2286.43</t>
  </si>
  <si>
    <t>Casio Computer Co.</t>
  </si>
  <si>
    <t>CSIOY</t>
  </si>
  <si>
    <t>2095.39</t>
  </si>
  <si>
    <t>Canadian Solar</t>
  </si>
  <si>
    <t>CSIQ</t>
  </si>
  <si>
    <t>1121.79</t>
  </si>
  <si>
    <t>66.97</t>
  </si>
  <si>
    <t>33.58</t>
  </si>
  <si>
    <t>Carlisle Companies</t>
  </si>
  <si>
    <t>CSL</t>
  </si>
  <si>
    <t>14429.55</t>
  </si>
  <si>
    <t>CSL Limited</t>
  </si>
  <si>
    <t>CSLLY</t>
  </si>
  <si>
    <t>49951.19</t>
  </si>
  <si>
    <t>1940.61</t>
  </si>
  <si>
    <t>Centerspace</t>
  </si>
  <si>
    <t>CSR</t>
  </si>
  <si>
    <t>1051.58</t>
  </si>
  <si>
    <t>62.69</t>
  </si>
  <si>
    <t>Constellium</t>
  </si>
  <si>
    <t>CSTM</t>
  </si>
  <si>
    <t>3402.41</t>
  </si>
  <si>
    <t>135.07</t>
  </si>
  <si>
    <t>33.63</t>
  </si>
  <si>
    <t>CSW Industrials</t>
  </si>
  <si>
    <t>CSW</t>
  </si>
  <si>
    <t>4394.26</t>
  </si>
  <si>
    <t>231.82</t>
  </si>
  <si>
    <t>Capital Southwest</t>
  </si>
  <si>
    <t>CSWC</t>
  </si>
  <si>
    <t>1327.78</t>
  </si>
  <si>
    <t>60.16</t>
  </si>
  <si>
    <t>23.72</t>
  </si>
  <si>
    <t>CSX</t>
  </si>
  <si>
    <t>1859.56</t>
  </si>
  <si>
    <t>26.69</t>
  </si>
  <si>
    <t>Cintas</t>
  </si>
  <si>
    <t>CTAS</t>
  </si>
  <si>
    <t>80285.84</t>
  </si>
  <si>
    <t>399.89</t>
  </si>
  <si>
    <t>Community Trust Bancorp</t>
  </si>
  <si>
    <t>CTBI</t>
  </si>
  <si>
    <t>1074.16</t>
  </si>
  <si>
    <t>Custom Truck One Source</t>
  </si>
  <si>
    <t>CTOS</t>
  </si>
  <si>
    <t>1445.45</t>
  </si>
  <si>
    <t>226.56</t>
  </si>
  <si>
    <t>Citic</t>
  </si>
  <si>
    <t>CTPCY</t>
  </si>
  <si>
    <t>39446.4</t>
  </si>
  <si>
    <t>5818.05</t>
  </si>
  <si>
    <t>Coterra Energy</t>
  </si>
  <si>
    <t>CTRA</t>
  </si>
  <si>
    <t>23674.12</t>
  </si>
  <si>
    <t>759.27</t>
  </si>
  <si>
    <t>CareTrust REIT</t>
  </si>
  <si>
    <t>CTRE</t>
  </si>
  <si>
    <t>8904.93</t>
  </si>
  <si>
    <t>223.24</t>
  </si>
  <si>
    <t>39.89</t>
  </si>
  <si>
    <t>Centuri Holdings</t>
  </si>
  <si>
    <t>CTRI</t>
  </si>
  <si>
    <t>3025.5</t>
  </si>
  <si>
    <t>100.82</t>
  </si>
  <si>
    <t>CTS</t>
  </si>
  <si>
    <t>1362.47</t>
  </si>
  <si>
    <t>Cognizant Technology Solutions</t>
  </si>
  <si>
    <t>CTSH</t>
  </si>
  <si>
    <t>30918.66</t>
  </si>
  <si>
    <t>478.25</t>
  </si>
  <si>
    <t>Continental</t>
  </si>
  <si>
    <t>CTTAY</t>
  </si>
  <si>
    <t>14340.43</t>
  </si>
  <si>
    <t>2000.06</t>
  </si>
  <si>
    <t>CTT Correios de Portuga</t>
  </si>
  <si>
    <t>CTTPY</t>
  </si>
  <si>
    <t>1063.87</t>
  </si>
  <si>
    <t>66.91</t>
  </si>
  <si>
    <t>Corteva</t>
  </si>
  <si>
    <t>CTVA</t>
  </si>
  <si>
    <t>52658.64</t>
  </si>
  <si>
    <t>672.52</t>
  </si>
  <si>
    <t>CubeSmart</t>
  </si>
  <si>
    <t>CUBE</t>
  </si>
  <si>
    <t>9101.92</t>
  </si>
  <si>
    <t>227.09</t>
  </si>
  <si>
    <t>Customers Bancorp</t>
  </si>
  <si>
    <t>CUBI</t>
  </si>
  <si>
    <t>2293.24</t>
  </si>
  <si>
    <t>34.21</t>
  </si>
  <si>
    <t>CUK</t>
  </si>
  <si>
    <t>4945.89</t>
  </si>
  <si>
    <t>188.49</t>
  </si>
  <si>
    <t>Curbline Properties Corp.</t>
  </si>
  <si>
    <t>CURB</t>
  </si>
  <si>
    <t>2836.5</t>
  </si>
  <si>
    <t>105.37</t>
  </si>
  <si>
    <t>Curaleaf Holdings</t>
  </si>
  <si>
    <t>CURLF</t>
  </si>
  <si>
    <t>1529.4</t>
  </si>
  <si>
    <t>679.73</t>
  </si>
  <si>
    <t>Colruyt</t>
  </si>
  <si>
    <t>CUYTY</t>
  </si>
  <si>
    <t>4510.12</t>
  </si>
  <si>
    <t>482.37</t>
  </si>
  <si>
    <t>Cousins Properties</t>
  </si>
  <si>
    <t>CUZ</t>
  </si>
  <si>
    <t>3871.98</t>
  </si>
  <si>
    <t>167.98</t>
  </si>
  <si>
    <t>CVB Financial</t>
  </si>
  <si>
    <t>CVBF</t>
  </si>
  <si>
    <t>2612.8</t>
  </si>
  <si>
    <t>135.8</t>
  </si>
  <si>
    <t>Cavco Industries</t>
  </si>
  <si>
    <t>CVCO</t>
  </si>
  <si>
    <t>4087.26</t>
  </si>
  <si>
    <t>Building Products - Mobile Homes and RV Builders</t>
  </si>
  <si>
    <t>Cenovus Energy</t>
  </si>
  <si>
    <t>CVE</t>
  </si>
  <si>
    <t>42903.13</t>
  </si>
  <si>
    <t>Oil and Gas - Integrated - Canadian</t>
  </si>
  <si>
    <t>1880.07</t>
  </si>
  <si>
    <t>CVR Energy</t>
  </si>
  <si>
    <t>CVI</t>
  </si>
  <si>
    <t>2536.37</t>
  </si>
  <si>
    <t>Oil and Gas - Refining and Marketing</t>
  </si>
  <si>
    <t>100.53</t>
  </si>
  <si>
    <t>CommVault Systems</t>
  </si>
  <si>
    <t>CVLT</t>
  </si>
  <si>
    <t>3775.2</t>
  </si>
  <si>
    <t>43.97</t>
  </si>
  <si>
    <t>Carvana</t>
  </si>
  <si>
    <t>CVNA</t>
  </si>
  <si>
    <t>71838.28</t>
  </si>
  <si>
    <t>218.85</t>
  </si>
  <si>
    <t>48.63</t>
  </si>
  <si>
    <t>CVS Health</t>
  </si>
  <si>
    <t>CVS</t>
  </si>
  <si>
    <t>99563.24</t>
  </si>
  <si>
    <t>1272.21</t>
  </si>
  <si>
    <t>Covista Inc.</t>
  </si>
  <si>
    <t>CVSA</t>
  </si>
  <si>
    <t>3558.86</t>
  </si>
  <si>
    <t>34.51</t>
  </si>
  <si>
    <t>Chevron</t>
  </si>
  <si>
    <t>CVX</t>
  </si>
  <si>
    <t>378005.84</t>
  </si>
  <si>
    <t>1995.39</t>
  </si>
  <si>
    <t>189.94</t>
  </si>
  <si>
    <t>CurtissWright</t>
  </si>
  <si>
    <t>CW</t>
  </si>
  <si>
    <t>26046.85</t>
  </si>
  <si>
    <t>Clearwater Analytics Holdings</t>
  </si>
  <si>
    <t>CWAN</t>
  </si>
  <si>
    <t>6910.96</t>
  </si>
  <si>
    <t>295.47</t>
  </si>
  <si>
    <t>Clearway Energy</t>
  </si>
  <si>
    <t>CWEN</t>
  </si>
  <si>
    <t>205.22</t>
  </si>
  <si>
    <t>CWENA</t>
  </si>
  <si>
    <t>7299.64</t>
  </si>
  <si>
    <t>Cushman &amp; Wakefield</t>
  </si>
  <si>
    <t>CWK</t>
  </si>
  <si>
    <t>2960.36</t>
  </si>
  <si>
    <t>Casella Waste Systems</t>
  </si>
  <si>
    <t>CWST</t>
  </si>
  <si>
    <t>6081.54</t>
  </si>
  <si>
    <t>63.51</t>
  </si>
  <si>
    <t>California Water Service Group</t>
  </si>
  <si>
    <t>CWT</t>
  </si>
  <si>
    <t>2722.13</t>
  </si>
  <si>
    <t>59.59</t>
  </si>
  <si>
    <t>51.36</t>
  </si>
  <si>
    <t>SmartCentres Real Estate Investment Trust</t>
  </si>
  <si>
    <t>CWYUF</t>
  </si>
  <si>
    <t>3515.7</t>
  </si>
  <si>
    <t>178.33</t>
  </si>
  <si>
    <t>Cemex</t>
  </si>
  <si>
    <t>CX</t>
  </si>
  <si>
    <t>15835.15</t>
  </si>
  <si>
    <t>1448.78</t>
  </si>
  <si>
    <t>Sprinklr</t>
  </si>
  <si>
    <t>CXM</t>
  </si>
  <si>
    <t>1450.52</t>
  </si>
  <si>
    <t>246.69</t>
  </si>
  <si>
    <t>Crane NXT</t>
  </si>
  <si>
    <t xml:space="preserve"> Co.</t>
  </si>
  <si>
    <t>CXT</t>
  </si>
  <si>
    <t>2618.28</t>
  </si>
  <si>
    <t>CoreCivic</t>
  </si>
  <si>
    <t>CXW</t>
  </si>
  <si>
    <t>1750.95</t>
  </si>
  <si>
    <t>97.71</t>
  </si>
  <si>
    <t>CyberAgent</t>
  </si>
  <si>
    <t>CYAGF</t>
  </si>
  <si>
    <t>3668.46</t>
  </si>
  <si>
    <t>506.34</t>
  </si>
  <si>
    <t>China Yuchai International</t>
  </si>
  <si>
    <t>CYD</t>
  </si>
  <si>
    <t>1550.63</t>
  </si>
  <si>
    <t>37.52</t>
  </si>
  <si>
    <t>CYGIY</t>
  </si>
  <si>
    <t>4406.34</t>
  </si>
  <si>
    <t>1014.12</t>
  </si>
  <si>
    <t>Cyrela Brazil Realty</t>
  </si>
  <si>
    <t>CYRBY</t>
  </si>
  <si>
    <t>1996.8</t>
  </si>
  <si>
    <t>Cytokinetics</t>
  </si>
  <si>
    <t>CYTK</t>
  </si>
  <si>
    <t>7687.82</t>
  </si>
  <si>
    <t>123.16</t>
  </si>
  <si>
    <t>Caesars Entertainment</t>
  </si>
  <si>
    <t>CZR</t>
  </si>
  <si>
    <t>5242.7</t>
  </si>
  <si>
    <t>203.52</t>
  </si>
  <si>
    <t>Dominion Energy</t>
  </si>
  <si>
    <t>D</t>
  </si>
  <si>
    <t>55284.4</t>
  </si>
  <si>
    <t>878.79</t>
  </si>
  <si>
    <t>Danaos</t>
  </si>
  <si>
    <t>DAC</t>
  </si>
  <si>
    <t>2043.34</t>
  </si>
  <si>
    <t>Daktronics</t>
  </si>
  <si>
    <t>DAKT</t>
  </si>
  <si>
    <t>1013.29</t>
  </si>
  <si>
    <t>48.3</t>
  </si>
  <si>
    <t>Delta Air Lines</t>
  </si>
  <si>
    <t>DAL</t>
  </si>
  <si>
    <t>39566.66</t>
  </si>
  <si>
    <t>653.13</t>
  </si>
  <si>
    <t>Dana</t>
  </si>
  <si>
    <t>DAN</t>
  </si>
  <si>
    <t>3565.66</t>
  </si>
  <si>
    <t>108.64</t>
  </si>
  <si>
    <t>35.78</t>
  </si>
  <si>
    <t>Danone</t>
  </si>
  <si>
    <t>DANOY</t>
  </si>
  <si>
    <t>54988.53</t>
  </si>
  <si>
    <t>3406.97</t>
  </si>
  <si>
    <t>Youdao</t>
  </si>
  <si>
    <t>DAO</t>
  </si>
  <si>
    <t>1218.84</t>
  </si>
  <si>
    <t>119.38</t>
  </si>
  <si>
    <t>Darling Ingredients</t>
  </si>
  <si>
    <t>DAR</t>
  </si>
  <si>
    <t>8234.7</t>
  </si>
  <si>
    <t>158.6</t>
  </si>
  <si>
    <t>DoorDash</t>
  </si>
  <si>
    <t>DASH</t>
  </si>
  <si>
    <t>76715.35</t>
  </si>
  <si>
    <t>434.43</t>
  </si>
  <si>
    <t>Dassault Systemes</t>
  </si>
  <si>
    <t>DASTY</t>
  </si>
  <si>
    <t>28845.55</t>
  </si>
  <si>
    <t>1341.65</t>
  </si>
  <si>
    <t>DAVE INC</t>
  </si>
  <si>
    <t>DAVE</t>
  </si>
  <si>
    <t>2990.07</t>
  </si>
  <si>
    <t>19.54</t>
  </si>
  <si>
    <t>Day One Biopharmaceuticals</t>
  </si>
  <si>
    <t>DAWN</t>
  </si>
  <si>
    <t>2203.34</t>
  </si>
  <si>
    <t>103.3</t>
  </si>
  <si>
    <t>Invesco DB Commodity Index Tracking ETF</t>
  </si>
  <si>
    <t>DBC</t>
  </si>
  <si>
    <t>1561.91</t>
  </si>
  <si>
    <t>57.55</t>
  </si>
  <si>
    <t>27.14</t>
  </si>
  <si>
    <t>Diebold Nixdorf</t>
  </si>
  <si>
    <t>DBD</t>
  </si>
  <si>
    <t>2649.23</t>
  </si>
  <si>
    <t>Deutsche Boerse</t>
  </si>
  <si>
    <t>DBOEY</t>
  </si>
  <si>
    <t>51990.91</t>
  </si>
  <si>
    <t>1837.78</t>
  </si>
  <si>
    <t>DigitalBridge Group</t>
  </si>
  <si>
    <t>DBRG</t>
  </si>
  <si>
    <t>2809.53</t>
  </si>
  <si>
    <t>182.67</t>
  </si>
  <si>
    <t>DBS Group</t>
  </si>
  <si>
    <t>DBSDY</t>
  </si>
  <si>
    <t>122085.23</t>
  </si>
  <si>
    <t>709.39</t>
  </si>
  <si>
    <t>111.8</t>
  </si>
  <si>
    <t>DBV Technologies</t>
  </si>
  <si>
    <t>DBVT</t>
  </si>
  <si>
    <t>1274.85</t>
  </si>
  <si>
    <t>55.67</t>
  </si>
  <si>
    <t>Dropbox</t>
  </si>
  <si>
    <t>DBX</t>
  </si>
  <si>
    <t>6449.38</t>
  </si>
  <si>
    <t>241.19</t>
  </si>
  <si>
    <t>DCC</t>
  </si>
  <si>
    <t>DCCPF</t>
  </si>
  <si>
    <t>6382.4</t>
  </si>
  <si>
    <t>Dauch Corporation</t>
  </si>
  <si>
    <t>DCH</t>
  </si>
  <si>
    <t>1366.35</t>
  </si>
  <si>
    <t>235.99</t>
  </si>
  <si>
    <t>Donaldson</t>
  </si>
  <si>
    <t>DCI</t>
  </si>
  <si>
    <t>10301.68</t>
  </si>
  <si>
    <t>115.81</t>
  </si>
  <si>
    <t>Ducommun</t>
  </si>
  <si>
    <t>DCO</t>
  </si>
  <si>
    <t>1970.48</t>
  </si>
  <si>
    <t>Dime Community Bancshares</t>
  </si>
  <si>
    <t>DCOM</t>
  </si>
  <si>
    <t>1394.89</t>
  </si>
  <si>
    <t>43.91</t>
  </si>
  <si>
    <t>DuPont de Nemours</t>
  </si>
  <si>
    <t>DD</t>
  </si>
  <si>
    <t>18499.72</t>
  </si>
  <si>
    <t>408.92</t>
  </si>
  <si>
    <t>Datadog</t>
  </si>
  <si>
    <t>DDOG</t>
  </si>
  <si>
    <t>45327.18</t>
  </si>
  <si>
    <t>352.58</t>
  </si>
  <si>
    <t>Dillard's</t>
  </si>
  <si>
    <t>DDS</t>
  </si>
  <si>
    <t>9216.24</t>
  </si>
  <si>
    <t>Retail - Regional Department Stores</t>
  </si>
  <si>
    <t>15.64</t>
  </si>
  <si>
    <t>Deere &amp; Company</t>
  </si>
  <si>
    <t>DE</t>
  </si>
  <si>
    <t>161923.92</t>
  </si>
  <si>
    <t>270.11</t>
  </si>
  <si>
    <t>Easterly Government Properties</t>
  </si>
  <si>
    <t>DEA</t>
  </si>
  <si>
    <t>1044.95</t>
  </si>
  <si>
    <t>27.85</t>
  </si>
  <si>
    <t>Diversified Energy Company PLC</t>
  </si>
  <si>
    <t>DEC</t>
  </si>
  <si>
    <t>1120.52</t>
  </si>
  <si>
    <t>76.07</t>
  </si>
  <si>
    <t>Deckers Outdoor</t>
  </si>
  <si>
    <t>DECK</t>
  </si>
  <si>
    <t>14808.22</t>
  </si>
  <si>
    <t>141.95</t>
  </si>
  <si>
    <t>Douglas Emmett</t>
  </si>
  <si>
    <t>DEI</t>
  </si>
  <si>
    <t>1689.69</t>
  </si>
  <si>
    <t>167.46</t>
  </si>
  <si>
    <t>Dell Technologies</t>
  </si>
  <si>
    <t>DELL</t>
  </si>
  <si>
    <t>97090.65</t>
  </si>
  <si>
    <t>662.69</t>
  </si>
  <si>
    <t>WisdomTree Emerging Markets High Dividend ETF</t>
  </si>
  <si>
    <t>DEM</t>
  </si>
  <si>
    <t>3512.31</t>
  </si>
  <si>
    <t>70.5</t>
  </si>
  <si>
    <t>Diageo</t>
  </si>
  <si>
    <t>DEO</t>
  </si>
  <si>
    <t>45680.96</t>
  </si>
  <si>
    <t>556.61</t>
  </si>
  <si>
    <t>Dream Finders Homes</t>
  </si>
  <si>
    <t>DFH</t>
  </si>
  <si>
    <t>1442.33</t>
  </si>
  <si>
    <t>91.81</t>
  </si>
  <si>
    <t>Donnelley Financial Solutions</t>
  </si>
  <si>
    <t>DFIN</t>
  </si>
  <si>
    <t>1209.78</t>
  </si>
  <si>
    <t>Internet - Software and Services</t>
  </si>
  <si>
    <t>25.62</t>
  </si>
  <si>
    <t>Definium Therapeutics</t>
  </si>
  <si>
    <t>DFTX</t>
  </si>
  <si>
    <t>1807.65</t>
  </si>
  <si>
    <t>98.51</t>
  </si>
  <si>
    <t>Dollar General</t>
  </si>
  <si>
    <t>DG</t>
  </si>
  <si>
    <t>32031.7</t>
  </si>
  <si>
    <t>220.12</t>
  </si>
  <si>
    <t>Digi International</t>
  </si>
  <si>
    <t>DGII</t>
  </si>
  <si>
    <t>1867.77</t>
  </si>
  <si>
    <t>37.61</t>
  </si>
  <si>
    <t>Quest Diagnostics</t>
  </si>
  <si>
    <t>DGX</t>
  </si>
  <si>
    <t>22146.85</t>
  </si>
  <si>
    <t>109.87</t>
  </si>
  <si>
    <t>Diversified Healthcare Trust</t>
  </si>
  <si>
    <t>DHC</t>
  </si>
  <si>
    <t>1760.22</t>
  </si>
  <si>
    <t>242.12</t>
  </si>
  <si>
    <t>D.R. Horton</t>
  </si>
  <si>
    <t>DHI</t>
  </si>
  <si>
    <t>42786.3</t>
  </si>
  <si>
    <t>289.7</t>
  </si>
  <si>
    <t>DHL Group Sponsored ADR</t>
  </si>
  <si>
    <t>DHLGY</t>
  </si>
  <si>
    <t>58693.2</t>
  </si>
  <si>
    <t>1082.1</t>
  </si>
  <si>
    <t>Danaher</t>
  </si>
  <si>
    <t>DHR</t>
  </si>
  <si>
    <t>140579.3</t>
  </si>
  <si>
    <t>707.14</t>
  </si>
  <si>
    <t>DHT</t>
  </si>
  <si>
    <t>3046.73</t>
  </si>
  <si>
    <t>160.61</t>
  </si>
  <si>
    <t>51.76</t>
  </si>
  <si>
    <t>55.36</t>
  </si>
  <si>
    <t>State Street SPDR Dow Jones Industrial Average ETF Trust</t>
  </si>
  <si>
    <t>DIA</t>
  </si>
  <si>
    <t>42766.85</t>
  </si>
  <si>
    <t>89.49</t>
  </si>
  <si>
    <t>DiDi Global</t>
  </si>
  <si>
    <t>DIDIY</t>
  </si>
  <si>
    <t>20284.97</t>
  </si>
  <si>
    <t>4706.49</t>
  </si>
  <si>
    <t>Daito Trust Construction Co.</t>
  </si>
  <si>
    <t>DIFTY</t>
  </si>
  <si>
    <t>8187.57</t>
  </si>
  <si>
    <t>1378.38</t>
  </si>
  <si>
    <t>HF Sinclair</t>
  </si>
  <si>
    <t>DINO</t>
  </si>
  <si>
    <t>9516.62</t>
  </si>
  <si>
    <t>180.27</t>
  </si>
  <si>
    <t>52.79</t>
  </si>
  <si>
    <t>Screen Holdings</t>
  </si>
  <si>
    <t>DINRF</t>
  </si>
  <si>
    <t>14440.68</t>
  </si>
  <si>
    <t>Semiconductor - General</t>
  </si>
  <si>
    <t>101.59</t>
  </si>
  <si>
    <t>56.69</t>
  </si>
  <si>
    <t>Diodes</t>
  </si>
  <si>
    <t>DIOD</t>
  </si>
  <si>
    <t>2858.63</t>
  </si>
  <si>
    <t>45.88</t>
  </si>
  <si>
    <t>Disney</t>
  </si>
  <si>
    <t>DIS</t>
  </si>
  <si>
    <t>180092.72</t>
  </si>
  <si>
    <t>1771.52</t>
  </si>
  <si>
    <t>Trump Media &amp; Technology Group Corp.</t>
  </si>
  <si>
    <t>DJT</t>
  </si>
  <si>
    <t>2875.58</t>
  </si>
  <si>
    <t>26.38</t>
  </si>
  <si>
    <t>Delek US Holdings</t>
  </si>
  <si>
    <t>DK</t>
  </si>
  <si>
    <t>2409.87</t>
  </si>
  <si>
    <t>60.05</t>
  </si>
  <si>
    <t>Daikin Industries</t>
  </si>
  <si>
    <t>DKILY</t>
  </si>
  <si>
    <t>35613.23</t>
  </si>
  <si>
    <t>2931.13</t>
  </si>
  <si>
    <t>Delek Logistics Partners</t>
  </si>
  <si>
    <t>DKL</t>
  </si>
  <si>
    <t>2760.66</t>
  </si>
  <si>
    <t>Oil and Gas - Production Pipeline - MLB</t>
  </si>
  <si>
    <t>53.48</t>
  </si>
  <si>
    <t>51.62</t>
  </si>
  <si>
    <t>DraftKings</t>
  </si>
  <si>
    <t>DKNG</t>
  </si>
  <si>
    <t>12403.66</t>
  </si>
  <si>
    <t>492.99</t>
  </si>
  <si>
    <t>DICK'S Sporting Goods</t>
  </si>
  <si>
    <t>DKS</t>
  </si>
  <si>
    <t>17624.91</t>
  </si>
  <si>
    <t>89.97</t>
  </si>
  <si>
    <t>Deutsche Lufthansa</t>
  </si>
  <si>
    <t>DLAKY</t>
  </si>
  <si>
    <t>11009.2</t>
  </si>
  <si>
    <t>1199.26</t>
  </si>
  <si>
    <t>Dolby Laboratories</t>
  </si>
  <si>
    <t>DLB</t>
  </si>
  <si>
    <t>6232.06</t>
  </si>
  <si>
    <t>Audio Video Production</t>
  </si>
  <si>
    <t>95.54</t>
  </si>
  <si>
    <t>Dollarama Inc.</t>
  </si>
  <si>
    <t>DLMAF</t>
  </si>
  <si>
    <t>39648.45</t>
  </si>
  <si>
    <t>272.93</t>
  </si>
  <si>
    <t>DLocal Limited</t>
  </si>
  <si>
    <t>DLO</t>
  </si>
  <si>
    <t>3624.52</t>
  </si>
  <si>
    <t>312.46</t>
  </si>
  <si>
    <t>Digital Realty Trust</t>
  </si>
  <si>
    <t>DLR</t>
  </si>
  <si>
    <t>61730.51</t>
  </si>
  <si>
    <t>343.61</t>
  </si>
  <si>
    <t>Dollar Tree</t>
  </si>
  <si>
    <t>DLTR</t>
  </si>
  <si>
    <t>23037.14</t>
  </si>
  <si>
    <t>198.85</t>
  </si>
  <si>
    <t>Deluxe</t>
  </si>
  <si>
    <t>DLX</t>
  </si>
  <si>
    <t>1252.81</t>
  </si>
  <si>
    <t>Business - Office Products</t>
  </si>
  <si>
    <t>45.08</t>
  </si>
  <si>
    <t>Dorchester Minerals</t>
  </si>
  <si>
    <t>DMLP</t>
  </si>
  <si>
    <t>1293.73</t>
  </si>
  <si>
    <t>Oil and Gas - Royalty Trust - United States</t>
  </si>
  <si>
    <t>48.26</t>
  </si>
  <si>
    <t>DeNA Co</t>
  </si>
  <si>
    <t>DNACF</t>
  </si>
  <si>
    <t>2022.18</t>
  </si>
  <si>
    <t>111.35</t>
  </si>
  <si>
    <t>DNB Bank ASA</t>
  </si>
  <si>
    <t>DNBBY</t>
  </si>
  <si>
    <t>45362.47</t>
  </si>
  <si>
    <t>1477.6</t>
  </si>
  <si>
    <t>Dongfeng Motor Group</t>
  </si>
  <si>
    <t>DNFGY</t>
  </si>
  <si>
    <t>9348.53</t>
  </si>
  <si>
    <t>165.05</t>
  </si>
  <si>
    <t>DANSKE BANK</t>
  </si>
  <si>
    <t>DNKEY</t>
  </si>
  <si>
    <t>42234.05</t>
  </si>
  <si>
    <t>1669.99</t>
  </si>
  <si>
    <t>Denali Therapeutics</t>
  </si>
  <si>
    <t>DNLI</t>
  </si>
  <si>
    <t>3379.58</t>
  </si>
  <si>
    <t>158.59</t>
  </si>
  <si>
    <t>Dunelm Group</t>
  </si>
  <si>
    <t>DNLMY</t>
  </si>
  <si>
    <t>2595.67</t>
  </si>
  <si>
    <t>201.84</t>
  </si>
  <si>
    <t>Denison Mine Corp</t>
  </si>
  <si>
    <t>DNN</t>
  </si>
  <si>
    <t>3441.86</t>
  </si>
  <si>
    <t>903.37</t>
  </si>
  <si>
    <t>DNOW INC</t>
  </si>
  <si>
    <t>DNOW</t>
  </si>
  <si>
    <t>1241.24</t>
  </si>
  <si>
    <t>105.01</t>
  </si>
  <si>
    <t>DNP Select Income Fund Inc.</t>
  </si>
  <si>
    <t>DNP</t>
  </si>
  <si>
    <t>3851.11</t>
  </si>
  <si>
    <t>376.82</t>
  </si>
  <si>
    <t>Dai Nippon Printing Co.</t>
  </si>
  <si>
    <t>DNPLY</t>
  </si>
  <si>
    <t>9912.69</t>
  </si>
  <si>
    <t>1048.96</t>
  </si>
  <si>
    <t>Dianthus Therapeutics</t>
  </si>
  <si>
    <t>DNTH</t>
  </si>
  <si>
    <t>3424.57</t>
  </si>
  <si>
    <t>Denso</t>
  </si>
  <si>
    <t>DNZOY</t>
  </si>
  <si>
    <t>37289.65</t>
  </si>
  <si>
    <t>2910.98</t>
  </si>
  <si>
    <t>Healthpeak Properties</t>
  </si>
  <si>
    <t>DOC</t>
  </si>
  <si>
    <t>12107.67</t>
  </si>
  <si>
    <t>695.04</t>
  </si>
  <si>
    <t>DigitalOcean</t>
  </si>
  <si>
    <t>DOCN</t>
  </si>
  <si>
    <t>5292.54</t>
  </si>
  <si>
    <t>Doximity</t>
  </si>
  <si>
    <t>DOCS</t>
  </si>
  <si>
    <t>4708.23</t>
  </si>
  <si>
    <t>184.71</t>
  </si>
  <si>
    <t>Docusign</t>
  </si>
  <si>
    <t>DOCU</t>
  </si>
  <si>
    <t>9751.28</t>
  </si>
  <si>
    <t>200.27</t>
  </si>
  <si>
    <t>Dole</t>
  </si>
  <si>
    <t>DOLE</t>
  </si>
  <si>
    <t>1431.28</t>
  </si>
  <si>
    <t>95.17</t>
  </si>
  <si>
    <t>BRP</t>
  </si>
  <si>
    <t>DOO</t>
  </si>
  <si>
    <t>4812.04</t>
  </si>
  <si>
    <t>73.35</t>
  </si>
  <si>
    <t>81.64</t>
  </si>
  <si>
    <t>Dorman Products</t>
  </si>
  <si>
    <t>DORM</t>
  </si>
  <si>
    <t>3252.25</t>
  </si>
  <si>
    <t>Automotive - Replacement Parts</t>
  </si>
  <si>
    <t>30.18</t>
  </si>
  <si>
    <t>Dover</t>
  </si>
  <si>
    <t>DOV</t>
  </si>
  <si>
    <t>28456.86</t>
  </si>
  <si>
    <t>134.87</t>
  </si>
  <si>
    <t>Dow</t>
  </si>
  <si>
    <t>DOW</t>
  </si>
  <si>
    <t>24618.59</t>
  </si>
  <si>
    <t>717.53</t>
  </si>
  <si>
    <t>34.31</t>
  </si>
  <si>
    <t>Amdocs</t>
  </si>
  <si>
    <t>DOX</t>
  </si>
  <si>
    <t>7476.58</t>
  </si>
  <si>
    <t>107.95</t>
  </si>
  <si>
    <t>DPM Metals Inc.</t>
  </si>
  <si>
    <t>DPMLF</t>
  </si>
  <si>
    <t>8694.34</t>
  </si>
  <si>
    <t>221.85</t>
  </si>
  <si>
    <t>Domino's Pizza</t>
  </si>
  <si>
    <t>DPZ</t>
  </si>
  <si>
    <t>13982.22</t>
  </si>
  <si>
    <t>DAQO New Energy</t>
  </si>
  <si>
    <t>DQ</t>
  </si>
  <si>
    <t>1523.53</t>
  </si>
  <si>
    <t>67.06</t>
  </si>
  <si>
    <t>DRDGOLD Limited</t>
  </si>
  <si>
    <t>DRD</t>
  </si>
  <si>
    <t>2930.96</t>
  </si>
  <si>
    <t>86.46</t>
  </si>
  <si>
    <t>DiamondRock Hospitality</t>
  </si>
  <si>
    <t>DRH</t>
  </si>
  <si>
    <t>1931.11</t>
  </si>
  <si>
    <t>203.7</t>
  </si>
  <si>
    <t>Darden Restaurants</t>
  </si>
  <si>
    <t>DRI</t>
  </si>
  <si>
    <t>23216.68</t>
  </si>
  <si>
    <t>115.14</t>
  </si>
  <si>
    <t>Leonardo DRS</t>
  </si>
  <si>
    <t>DRS</t>
  </si>
  <si>
    <t>12612.33</t>
  </si>
  <si>
    <t>266.03</t>
  </si>
  <si>
    <t>Driven Brands Holdings</t>
  </si>
  <si>
    <t>DRVN</t>
  </si>
  <si>
    <t>1703.75</t>
  </si>
  <si>
    <t>164.45</t>
  </si>
  <si>
    <t>DISCO CORP</t>
  </si>
  <si>
    <t>DSCSY</t>
  </si>
  <si>
    <t>48522.22</t>
  </si>
  <si>
    <t>Manufacturing - Material Handling</t>
  </si>
  <si>
    <t>1084.78</t>
  </si>
  <si>
    <t>DSV</t>
  </si>
  <si>
    <t>DSDVY</t>
  </si>
  <si>
    <t>60644.92</t>
  </si>
  <si>
    <t>480.89</t>
  </si>
  <si>
    <t>Daiwa Securities Group</t>
  </si>
  <si>
    <t>DSEEY</t>
  </si>
  <si>
    <t>13230.03</t>
  </si>
  <si>
    <t>1414.98</t>
  </si>
  <si>
    <t>DSM Firmenich AG - Sponsored ADR</t>
  </si>
  <si>
    <t>DSFIY</t>
  </si>
  <si>
    <t>16840.83</t>
  </si>
  <si>
    <t>2536.27</t>
  </si>
  <si>
    <t>The Descartes Systems Group</t>
  </si>
  <si>
    <t>DSGX</t>
  </si>
  <si>
    <t>6215.95</t>
  </si>
  <si>
    <t>86.02</t>
  </si>
  <si>
    <t>116.93</t>
  </si>
  <si>
    <t>Daiichi Sankyo Co.</t>
  </si>
  <si>
    <t xml:space="preserve"> Ltd. - Sponsored ADR</t>
  </si>
  <si>
    <t>DSNKY</t>
  </si>
  <si>
    <t>34685.56</t>
  </si>
  <si>
    <t>Dynatrace</t>
  </si>
  <si>
    <t>DT</t>
  </si>
  <si>
    <t>11598.99</t>
  </si>
  <si>
    <t>298.25</t>
  </si>
  <si>
    <t>DOMETIC GP</t>
  </si>
  <si>
    <t>DTCGF</t>
  </si>
  <si>
    <t>1060.74</t>
  </si>
  <si>
    <t>319.5</t>
  </si>
  <si>
    <t>DTE Energy</t>
  </si>
  <si>
    <t>DTE</t>
  </si>
  <si>
    <t>30954.45</t>
  </si>
  <si>
    <t>207.8</t>
  </si>
  <si>
    <t>Deutsche Telekom</t>
  </si>
  <si>
    <t>DTEGY</t>
  </si>
  <si>
    <t>186299.13</t>
  </si>
  <si>
    <t>4905.19</t>
  </si>
  <si>
    <t>DT Midstream</t>
  </si>
  <si>
    <t>DTM</t>
  </si>
  <si>
    <t>14246.09</t>
  </si>
  <si>
    <t>Daimler Truck Holding AG - Sponsored ADR</t>
  </si>
  <si>
    <t>DTRUY</t>
  </si>
  <si>
    <t>36090.4</t>
  </si>
  <si>
    <t>1531.2</t>
  </si>
  <si>
    <t>DATATEC</t>
  </si>
  <si>
    <t>DTTLY</t>
  </si>
  <si>
    <t>1176.57</t>
  </si>
  <si>
    <t>119.33</t>
  </si>
  <si>
    <t>Avolta AG - Unsponsored ADR</t>
  </si>
  <si>
    <t>DUFRY</t>
  </si>
  <si>
    <t>8497.56</t>
  </si>
  <si>
    <t>1465.1</t>
  </si>
  <si>
    <t>Duke Energy</t>
  </si>
  <si>
    <t>DUK</t>
  </si>
  <si>
    <t>101937.09</t>
  </si>
  <si>
    <t>777.67</t>
  </si>
  <si>
    <t>131.08</t>
  </si>
  <si>
    <t>Duolingo</t>
  </si>
  <si>
    <t>DUOL</t>
  </si>
  <si>
    <t>4642.15</t>
  </si>
  <si>
    <t>46.23</t>
  </si>
  <si>
    <t>DoubleVerify</t>
  </si>
  <si>
    <t>DV</t>
  </si>
  <si>
    <t>1749.47</t>
  </si>
  <si>
    <t>161.99</t>
  </si>
  <si>
    <t>DaVita</t>
  </si>
  <si>
    <t>DVA</t>
  </si>
  <si>
    <t>10191.01</t>
  </si>
  <si>
    <t>66.8</t>
  </si>
  <si>
    <t>Campari Group</t>
  </si>
  <si>
    <t>DVDCF</t>
  </si>
  <si>
    <t>8988.25</t>
  </si>
  <si>
    <t>1231.27</t>
  </si>
  <si>
    <t>Devon Energy</t>
  </si>
  <si>
    <t>DVN</t>
  </si>
  <si>
    <t>27788.4</t>
  </si>
  <si>
    <t>iShares Select Dividend ETF</t>
  </si>
  <si>
    <t>DVY</t>
  </si>
  <si>
    <t>22264.79</t>
  </si>
  <si>
    <t>146.45</t>
  </si>
  <si>
    <t>Daiwa House Industry Co.</t>
  </si>
  <si>
    <t>DWAHY</t>
  </si>
  <si>
    <t>22315.49</t>
  </si>
  <si>
    <t>659.64</t>
  </si>
  <si>
    <t>Derwent Valley Holdings Plc</t>
  </si>
  <si>
    <t>DWVYF</t>
  </si>
  <si>
    <t>2582.69</t>
  </si>
  <si>
    <t>112.29</t>
  </si>
  <si>
    <t>Dynex Capital</t>
  </si>
  <si>
    <t>DX</t>
  </si>
  <si>
    <t>2710.61</t>
  </si>
  <si>
    <t>201.98</t>
  </si>
  <si>
    <t>DXC Technology</t>
  </si>
  <si>
    <t>DXC</t>
  </si>
  <si>
    <t>2123.7</t>
  </si>
  <si>
    <t>169.76</t>
  </si>
  <si>
    <t>DexCom</t>
  </si>
  <si>
    <t>DXCM</t>
  </si>
  <si>
    <t>26455.61</t>
  </si>
  <si>
    <t>384.86</t>
  </si>
  <si>
    <t>DXP Enterprises</t>
  </si>
  <si>
    <t>DXPE</t>
  </si>
  <si>
    <t>2136.48</t>
  </si>
  <si>
    <t>15.52</t>
  </si>
  <si>
    <t>Dycom Industries</t>
  </si>
  <si>
    <t>DY</t>
  </si>
  <si>
    <t>10432.58</t>
  </si>
  <si>
    <t>Building Products - Heavy Construction</t>
  </si>
  <si>
    <t>28.96</t>
  </si>
  <si>
    <t>Deep Yellow Limited</t>
  </si>
  <si>
    <t>DYLLF</t>
  </si>
  <si>
    <t>1453.79</t>
  </si>
  <si>
    <t>969.19</t>
  </si>
  <si>
    <t>Dyne Therapeutics</t>
  </si>
  <si>
    <t>DYN</t>
  </si>
  <si>
    <t>2919.33</t>
  </si>
  <si>
    <t>165.03</t>
  </si>
  <si>
    <t>Eni</t>
  </si>
  <si>
    <t>E</t>
  </si>
  <si>
    <t>81579.5</t>
  </si>
  <si>
    <t>1687.97</t>
  </si>
  <si>
    <t>Electronic Arts</t>
  </si>
  <si>
    <t>EA</t>
  </si>
  <si>
    <t>49868.06</t>
  </si>
  <si>
    <t>250.25</t>
  </si>
  <si>
    <t>Airbus SE - Unsponsored ADR</t>
  </si>
  <si>
    <t>EADSY</t>
  </si>
  <si>
    <t>155357.61</t>
  </si>
  <si>
    <t>3155.75</t>
  </si>
  <si>
    <t>Brinker International</t>
  </si>
  <si>
    <t>EAT</t>
  </si>
  <si>
    <t>5991.22</t>
  </si>
  <si>
    <t>43.55</t>
  </si>
  <si>
    <t>eBay</t>
  </si>
  <si>
    <t>EBAY</t>
  </si>
  <si>
    <t>41623.68</t>
  </si>
  <si>
    <t>Eastern Bankshares</t>
  </si>
  <si>
    <t>EBC</t>
  </si>
  <si>
    <t>4453.42</t>
  </si>
  <si>
    <t>234.64</t>
  </si>
  <si>
    <t>Erste Group Bank</t>
  </si>
  <si>
    <t>EBKDY</t>
  </si>
  <si>
    <t>43092.01</t>
  </si>
  <si>
    <t>776.71</t>
  </si>
  <si>
    <t>66.33</t>
  </si>
  <si>
    <t>Ecopetrol</t>
  </si>
  <si>
    <t>EC</t>
  </si>
  <si>
    <t>26396.92</t>
  </si>
  <si>
    <t>2055.83</t>
  </si>
  <si>
    <t>Everus Construction Group</t>
  </si>
  <si>
    <t>ECG</t>
  </si>
  <si>
    <t>5925.45</t>
  </si>
  <si>
    <t>iShares MSCI Chile ETF</t>
  </si>
  <si>
    <t>ECH</t>
  </si>
  <si>
    <t>1120.39</t>
  </si>
  <si>
    <t>47.37</t>
  </si>
  <si>
    <t>Ecolab</t>
  </si>
  <si>
    <t>ECL</t>
  </si>
  <si>
    <t>79475.91</t>
  </si>
  <si>
    <t>281.97</t>
  </si>
  <si>
    <t>Encore Capital Group</t>
  </si>
  <si>
    <t>ECPG</t>
  </si>
  <si>
    <t>1459.97</t>
  </si>
  <si>
    <t>Ecovyst Inc.</t>
  </si>
  <si>
    <t>ECVT</t>
  </si>
  <si>
    <t>1241.88</t>
  </si>
  <si>
    <t>110.59</t>
  </si>
  <si>
    <t>Consolidated Edison</t>
  </si>
  <si>
    <t>ED</t>
  </si>
  <si>
    <t>40387.46</t>
  </si>
  <si>
    <t>361.25</t>
  </si>
  <si>
    <t>Empresa Distribuidora Y Comercializadora Norte S.A. Edenor</t>
  </si>
  <si>
    <t>EDN</t>
  </si>
  <si>
    <t>1162.53</t>
  </si>
  <si>
    <t>45.32</t>
  </si>
  <si>
    <t>EDENRED</t>
  </si>
  <si>
    <t>EDNMY</t>
  </si>
  <si>
    <t>5118.65</t>
  </si>
  <si>
    <t>473.95</t>
  </si>
  <si>
    <t>New Oriental Education &amp; Technology Group</t>
  </si>
  <si>
    <t>EDU</t>
  </si>
  <si>
    <t>8402.39</t>
  </si>
  <si>
    <t>158.03</t>
  </si>
  <si>
    <t>Excelerate Energy</t>
  </si>
  <si>
    <t>EE</t>
  </si>
  <si>
    <t>4236.25</t>
  </si>
  <si>
    <t>114.03</t>
  </si>
  <si>
    <t>Euronet Worldwide</t>
  </si>
  <si>
    <t>EEFT</t>
  </si>
  <si>
    <t>2851.08</t>
  </si>
  <si>
    <t>39.33</t>
  </si>
  <si>
    <t>iShares MSCI Emerging Markets ETF</t>
  </si>
  <si>
    <t>EEM</t>
  </si>
  <si>
    <t>28275.19</t>
  </si>
  <si>
    <t>483.75</t>
  </si>
  <si>
    <t>iShares MSCI EAFE ETF</t>
  </si>
  <si>
    <t>EFA</t>
  </si>
  <si>
    <t>73054.62</t>
  </si>
  <si>
    <t>Ellington Financial</t>
  </si>
  <si>
    <t>EFC</t>
  </si>
  <si>
    <t>1472.1</t>
  </si>
  <si>
    <t>124.65</t>
  </si>
  <si>
    <t>Enterprise Financial Services</t>
  </si>
  <si>
    <t>EFSC</t>
  </si>
  <si>
    <t>1989.17</t>
  </si>
  <si>
    <t>36.82</t>
  </si>
  <si>
    <t>Equifax</t>
  </si>
  <si>
    <t>EFX</t>
  </si>
  <si>
    <t>24608.44</t>
  </si>
  <si>
    <t>Enerflex Ltd.</t>
  </si>
  <si>
    <t>EFXT</t>
  </si>
  <si>
    <t>2677.2</t>
  </si>
  <si>
    <t>121.8</t>
  </si>
  <si>
    <t>Everest Group</t>
  </si>
  <si>
    <t xml:space="preserve"> Ltd.</t>
  </si>
  <si>
    <t>EG</t>
  </si>
  <si>
    <t>13249.99</t>
  </si>
  <si>
    <t>Eldorado Gold</t>
  </si>
  <si>
    <t>EGO</t>
  </si>
  <si>
    <t>8054.02</t>
  </si>
  <si>
    <t>198.57</t>
  </si>
  <si>
    <t>40.56</t>
  </si>
  <si>
    <t>EastGroup Properties</t>
  </si>
  <si>
    <t>EGP</t>
  </si>
  <si>
    <t>10141.5</t>
  </si>
  <si>
    <t>53.33</t>
  </si>
  <si>
    <t>Encompass Health</t>
  </si>
  <si>
    <t>EHC</t>
  </si>
  <si>
    <t>10798.58</t>
  </si>
  <si>
    <t>99.42</t>
  </si>
  <si>
    <t>Edison International</t>
  </si>
  <si>
    <t>EIX</t>
  </si>
  <si>
    <t>27216.26</t>
  </si>
  <si>
    <t>384.79</t>
  </si>
  <si>
    <t>easyjet</t>
  </si>
  <si>
    <t>EJTTF</t>
  </si>
  <si>
    <t>Elekta</t>
  </si>
  <si>
    <t>EKTAY</t>
  </si>
  <si>
    <t>2392.13</t>
  </si>
  <si>
    <t>368.59</t>
  </si>
  <si>
    <t>The Estee Lauder Companies</t>
  </si>
  <si>
    <t>EL</t>
  </si>
  <si>
    <t>33506.78</t>
  </si>
  <si>
    <t>361.73</t>
  </si>
  <si>
    <t>119.61</t>
  </si>
  <si>
    <t>Elanco Animal Health</t>
  </si>
  <si>
    <t>ELAN</t>
  </si>
  <si>
    <t>11902.2</t>
  </si>
  <si>
    <t>497.17</t>
  </si>
  <si>
    <t>Element Fleet Management Corp.</t>
  </si>
  <si>
    <t>ELEEF</t>
  </si>
  <si>
    <t>9375.48</t>
  </si>
  <si>
    <t>398.62</t>
  </si>
  <si>
    <t>e.l.f. Beauty</t>
  </si>
  <si>
    <t>ELF</t>
  </si>
  <si>
    <t>4555.88</t>
  </si>
  <si>
    <t>59.05</t>
  </si>
  <si>
    <t>77.15</t>
  </si>
  <si>
    <t>ELEMENTIS</t>
  </si>
  <si>
    <t>ELMTY</t>
  </si>
  <si>
    <t>1399.06</t>
  </si>
  <si>
    <t>142.33</t>
  </si>
  <si>
    <t>Companhia Paranaense de Energia - Copel Unsponsored ADR</t>
  </si>
  <si>
    <t>ELPC</t>
  </si>
  <si>
    <t>8410.34</t>
  </si>
  <si>
    <t>744.28</t>
  </si>
  <si>
    <t>Equity Lifestyle Properties</t>
  </si>
  <si>
    <t>ELS</t>
  </si>
  <si>
    <t>13095.93</t>
  </si>
  <si>
    <t>193.93</t>
  </si>
  <si>
    <t>Electrolux</t>
  </si>
  <si>
    <t>ELUXY</t>
  </si>
  <si>
    <t>2036.74</t>
  </si>
  <si>
    <t>Household Appliances</t>
  </si>
  <si>
    <t>141.54</t>
  </si>
  <si>
    <t>19.67</t>
  </si>
  <si>
    <t>Elevance Health</t>
  </si>
  <si>
    <t>ELV</t>
  </si>
  <si>
    <t>61960.63</t>
  </si>
  <si>
    <t>220.71</t>
  </si>
  <si>
    <t>Enliven Therapeutics</t>
  </si>
  <si>
    <t>ELVN</t>
  </si>
  <si>
    <t>1777.87</t>
  </si>
  <si>
    <t>59.8</t>
  </si>
  <si>
    <t>93.05</t>
  </si>
  <si>
    <t>iShares J.P. Morgan USD Emerging Markets Bond ETF</t>
  </si>
  <si>
    <t>EMB</t>
  </si>
  <si>
    <t>17637.45</t>
  </si>
  <si>
    <t>183.8</t>
  </si>
  <si>
    <t>EMCOR Group</t>
  </si>
  <si>
    <t>EME</t>
  </si>
  <si>
    <t>32026.93</t>
  </si>
  <si>
    <t>Eastman Chemical</t>
  </si>
  <si>
    <t>EMN</t>
  </si>
  <si>
    <t>7941.17</t>
  </si>
  <si>
    <t>114.1</t>
  </si>
  <si>
    <t>Emerson Electric Co.</t>
  </si>
  <si>
    <t>EMR</t>
  </si>
  <si>
    <t>79309.44</t>
  </si>
  <si>
    <t>Enbridge</t>
  </si>
  <si>
    <t>ENB</t>
  </si>
  <si>
    <t>117686.2</t>
  </si>
  <si>
    <t>Oil and Gas - Production and Pipelines</t>
  </si>
  <si>
    <t>2181.8</t>
  </si>
  <si>
    <t>ENGIE - Sponsored ADR</t>
  </si>
  <si>
    <t>ENGIY</t>
  </si>
  <si>
    <t>75347.72</t>
  </si>
  <si>
    <t>2435.28</t>
  </si>
  <si>
    <t>Enovis</t>
  </si>
  <si>
    <t>ENOV</t>
  </si>
  <si>
    <t>1411.67</t>
  </si>
  <si>
    <t>57.24</t>
  </si>
  <si>
    <t>Enphase Energy</t>
  </si>
  <si>
    <t>ENPH</t>
  </si>
  <si>
    <t>5356.7</t>
  </si>
  <si>
    <t>131.1</t>
  </si>
  <si>
    <t>27.49</t>
  </si>
  <si>
    <t>Energizer</t>
  </si>
  <si>
    <t>ENR</t>
  </si>
  <si>
    <t>1250.92</t>
  </si>
  <si>
    <t>31.17</t>
  </si>
  <si>
    <t>Enersys</t>
  </si>
  <si>
    <t>ENS</t>
  </si>
  <si>
    <t>5955.18</t>
  </si>
  <si>
    <t>36.85</t>
  </si>
  <si>
    <t>The Ensign Group</t>
  </si>
  <si>
    <t>ENSG</t>
  </si>
  <si>
    <t>12162.47</t>
  </si>
  <si>
    <t>57.92</t>
  </si>
  <si>
    <t>Entegris</t>
  </si>
  <si>
    <t>ENTG</t>
  </si>
  <si>
    <t>17835.68</t>
  </si>
  <si>
    <t>Enova International</t>
  </si>
  <si>
    <t>ENVA</t>
  </si>
  <si>
    <t>3474.18</t>
  </si>
  <si>
    <t>Enovix Corporation</t>
  </si>
  <si>
    <t>ENVX</t>
  </si>
  <si>
    <t>1105.67</t>
  </si>
  <si>
    <t>217.22</t>
  </si>
  <si>
    <t>EOG Resources</t>
  </si>
  <si>
    <t>EOG</t>
  </si>
  <si>
    <t>70639.84</t>
  </si>
  <si>
    <t>536.49</t>
  </si>
  <si>
    <t>Eos Energy Enterprises</t>
  </si>
  <si>
    <t>EOSE</t>
  </si>
  <si>
    <t>1778.46</t>
  </si>
  <si>
    <t>288.24</t>
  </si>
  <si>
    <t>Enerpac Tool Group</t>
  </si>
  <si>
    <t>EPAC</t>
  </si>
  <si>
    <t>1954.31</t>
  </si>
  <si>
    <t>52.78</t>
  </si>
  <si>
    <t>EPAM Systems</t>
  </si>
  <si>
    <t>EPAM</t>
  </si>
  <si>
    <t>7918.51</t>
  </si>
  <si>
    <t>54.14</t>
  </si>
  <si>
    <t>Enterprise Products Partners</t>
  </si>
  <si>
    <t>EPD</t>
  </si>
  <si>
    <t>80179.7</t>
  </si>
  <si>
    <t>2161.76</t>
  </si>
  <si>
    <t>iShares MSCI Pacific ex Japan ETF</t>
  </si>
  <si>
    <t>EPP</t>
  </si>
  <si>
    <t>2088.58</t>
  </si>
  <si>
    <t>38.4</t>
  </si>
  <si>
    <t>EPR Properties</t>
  </si>
  <si>
    <t>EPR</t>
  </si>
  <si>
    <t>4422.86</t>
  </si>
  <si>
    <t>76.52</t>
  </si>
  <si>
    <t>Essential Properties Realty Trust</t>
  </si>
  <si>
    <t>EPRT</t>
  </si>
  <si>
    <t>7169.5</t>
  </si>
  <si>
    <t>209.88</t>
  </si>
  <si>
    <t>Equitable Holdings</t>
  </si>
  <si>
    <t>EQH</t>
  </si>
  <si>
    <t>11056.92</t>
  </si>
  <si>
    <t>280.35</t>
  </si>
  <si>
    <t>Equinix</t>
  </si>
  <si>
    <t>EQIX</t>
  </si>
  <si>
    <t>92842.06</t>
  </si>
  <si>
    <t>98.25</t>
  </si>
  <si>
    <t>45.13</t>
  </si>
  <si>
    <t>Equinor</t>
  </si>
  <si>
    <t>EQNR</t>
  </si>
  <si>
    <t>95497.7</t>
  </si>
  <si>
    <t>2944.73</t>
  </si>
  <si>
    <t>EquipmentShare.com Inc.</t>
  </si>
  <si>
    <t>EQPT</t>
  </si>
  <si>
    <t>7035.92</t>
  </si>
  <si>
    <t>251.28</t>
  </si>
  <si>
    <t>Equity Residential</t>
  </si>
  <si>
    <t>EQR</t>
  </si>
  <si>
    <t>23475.88</t>
  </si>
  <si>
    <t>377.55</t>
  </si>
  <si>
    <t>62.18</t>
  </si>
  <si>
    <t>EQT</t>
  </si>
  <si>
    <t>38885.55</t>
  </si>
  <si>
    <t>624.87</t>
  </si>
  <si>
    <t>Equinox Gold</t>
  </si>
  <si>
    <t>EQX</t>
  </si>
  <si>
    <t>13014.54</t>
  </si>
  <si>
    <t>788.28</t>
  </si>
  <si>
    <t>Erasca</t>
  </si>
  <si>
    <t>ERAS</t>
  </si>
  <si>
    <t>4879.09</t>
  </si>
  <si>
    <t>309.59</t>
  </si>
  <si>
    <t>EUROFINS SCIENT</t>
  </si>
  <si>
    <t>ERFSF</t>
  </si>
  <si>
    <t>14184.12</t>
  </si>
  <si>
    <t>192.98</t>
  </si>
  <si>
    <t>Ericsson</t>
  </si>
  <si>
    <t>ERIC</t>
  </si>
  <si>
    <t>38227.14</t>
  </si>
  <si>
    <t>Erie Indemnity</t>
  </si>
  <si>
    <t>ERIE</t>
  </si>
  <si>
    <t>11809.35</t>
  </si>
  <si>
    <t>Ero Copper</t>
  </si>
  <si>
    <t>ERO</t>
  </si>
  <si>
    <t>2938.22</t>
  </si>
  <si>
    <t>104.19</t>
  </si>
  <si>
    <t>Eversource Energy</t>
  </si>
  <si>
    <t>ES</t>
  </si>
  <si>
    <t>27730.42</t>
  </si>
  <si>
    <t>375.5</t>
  </si>
  <si>
    <t>ESAB Corporation</t>
  </si>
  <si>
    <t>ESAB</t>
  </si>
  <si>
    <t>6499.19</t>
  </si>
  <si>
    <t>60.73</t>
  </si>
  <si>
    <t>134.82</t>
  </si>
  <si>
    <t>Eisai Co.</t>
  </si>
  <si>
    <t>ESAIY</t>
  </si>
  <si>
    <t>8959.46</t>
  </si>
  <si>
    <t>ESCO Technologies</t>
  </si>
  <si>
    <t>ESE</t>
  </si>
  <si>
    <t>7019.82</t>
  </si>
  <si>
    <t>Element Solutions</t>
  </si>
  <si>
    <t>ESI</t>
  </si>
  <si>
    <t>7860.27</t>
  </si>
  <si>
    <t>243.58</t>
  </si>
  <si>
    <t>EssilorLuxottica</t>
  </si>
  <si>
    <t>ESLOY</t>
  </si>
  <si>
    <t>113737.6</t>
  </si>
  <si>
    <t>926.58</t>
  </si>
  <si>
    <t>Elbit Systems</t>
  </si>
  <si>
    <t>ESLT</t>
  </si>
  <si>
    <t>40123.16</t>
  </si>
  <si>
    <t>Essent Group</t>
  </si>
  <si>
    <t>ESNT</t>
  </si>
  <si>
    <t>5605.44</t>
  </si>
  <si>
    <t>94.54</t>
  </si>
  <si>
    <t>Essex Property Trust</t>
  </si>
  <si>
    <t>ESS</t>
  </si>
  <si>
    <t>16463.18</t>
  </si>
  <si>
    <t>64.48</t>
  </si>
  <si>
    <t>Establishment Labs</t>
  </si>
  <si>
    <t>ESTA</t>
  </si>
  <si>
    <t>2024.9</t>
  </si>
  <si>
    <t>Elastic</t>
  </si>
  <si>
    <t>ESTC</t>
  </si>
  <si>
    <t>5511.43</t>
  </si>
  <si>
    <t>103.5</t>
  </si>
  <si>
    <t>Energy Transfer</t>
  </si>
  <si>
    <t>ET</t>
  </si>
  <si>
    <t>63955.45</t>
  </si>
  <si>
    <t>3440.31</t>
  </si>
  <si>
    <t>Eaton</t>
  </si>
  <si>
    <t>ETN</t>
  </si>
  <si>
    <t>137266.17</t>
  </si>
  <si>
    <t>387.9</t>
  </si>
  <si>
    <t>eToro Group Ltd.</t>
  </si>
  <si>
    <t>ETOR</t>
  </si>
  <si>
    <t>2586.89</t>
  </si>
  <si>
    <t>Entergy</t>
  </si>
  <si>
    <t>ETR</t>
  </si>
  <si>
    <t>47405.39</t>
  </si>
  <si>
    <t>452.99</t>
  </si>
  <si>
    <t>Etsy</t>
  </si>
  <si>
    <t>ETSY</t>
  </si>
  <si>
    <t>5368.67</t>
  </si>
  <si>
    <t>96.25</t>
  </si>
  <si>
    <t>55.78</t>
  </si>
  <si>
    <t>EverCommerce</t>
  </si>
  <si>
    <t>EVCM</t>
  </si>
  <si>
    <t>2148.82</t>
  </si>
  <si>
    <t>179.37</t>
  </si>
  <si>
    <t>Eve</t>
  </si>
  <si>
    <t>EVEX</t>
  </si>
  <si>
    <t>1048.4</t>
  </si>
  <si>
    <t>348.3</t>
  </si>
  <si>
    <t>Evotec</t>
  </si>
  <si>
    <t>EVO</t>
  </si>
  <si>
    <t>1077.14</t>
  </si>
  <si>
    <t>355.49</t>
  </si>
  <si>
    <t>Evercore</t>
  </si>
  <si>
    <t>EVR</t>
  </si>
  <si>
    <t>11318.46</t>
  </si>
  <si>
    <t>39.6</t>
  </si>
  <si>
    <t>Evergy</t>
  </si>
  <si>
    <t>EVRG</t>
  </si>
  <si>
    <t>19143.31</t>
  </si>
  <si>
    <t>230.28</t>
  </si>
  <si>
    <t>Evertec</t>
  </si>
  <si>
    <t>EVTC</t>
  </si>
  <si>
    <t>1752.71</t>
  </si>
  <si>
    <t>61.76</t>
  </si>
  <si>
    <t>28.38</t>
  </si>
  <si>
    <t>Edwards Lifesciences</t>
  </si>
  <si>
    <t>EW</t>
  </si>
  <si>
    <t>48938.21</t>
  </si>
  <si>
    <t>580.8</t>
  </si>
  <si>
    <t>iShares MSCI Australia ETF</t>
  </si>
  <si>
    <t>EWA</t>
  </si>
  <si>
    <t>1425.68</t>
  </si>
  <si>
    <t>49.4</t>
  </si>
  <si>
    <t>East West Bancorp</t>
  </si>
  <si>
    <t>EWBC</t>
  </si>
  <si>
    <t>14725.63</t>
  </si>
  <si>
    <t>137.62</t>
  </si>
  <si>
    <t>iShares MSCI Germany ETF</t>
  </si>
  <si>
    <t>EWG</t>
  </si>
  <si>
    <t>1639.49</t>
  </si>
  <si>
    <t>39.9</t>
  </si>
  <si>
    <t>iShares MSCI Japan ETF</t>
  </si>
  <si>
    <t>EWJ</t>
  </si>
  <si>
    <t>221.1</t>
  </si>
  <si>
    <t>iShares MSCI Switzerland ETF</t>
  </si>
  <si>
    <t>EWL</t>
  </si>
  <si>
    <t>1609.14</t>
  </si>
  <si>
    <t>iShares MSCI Spain ETF</t>
  </si>
  <si>
    <t>EWP</t>
  </si>
  <si>
    <t>1748.45</t>
  </si>
  <si>
    <t>32.47</t>
  </si>
  <si>
    <t>Edgewise Therapeutics</t>
  </si>
  <si>
    <t>EWTX</t>
  </si>
  <si>
    <t>3074.37</t>
  </si>
  <si>
    <t>107.27</t>
  </si>
  <si>
    <t>iShares MSCI United Kingdom ETF</t>
  </si>
  <si>
    <t>EWU</t>
  </si>
  <si>
    <t>3082.91</t>
  </si>
  <si>
    <t>66.6</t>
  </si>
  <si>
    <t>46.29</t>
  </si>
  <si>
    <t>iShares MSCI South Korea ETF</t>
  </si>
  <si>
    <t>EWY</t>
  </si>
  <si>
    <t>126.35</t>
  </si>
  <si>
    <t>iShares MSCI Brazil ETF</t>
  </si>
  <si>
    <t>EWZ</t>
  </si>
  <si>
    <t>9415.98</t>
  </si>
  <si>
    <t>253.8</t>
  </si>
  <si>
    <t>37.1</t>
  </si>
  <si>
    <t>Exact Sciences</t>
  </si>
  <si>
    <t>EXAS</t>
  </si>
  <si>
    <t>19797.02</t>
  </si>
  <si>
    <t>190.89</t>
  </si>
  <si>
    <t>Exelon</t>
  </si>
  <si>
    <t>EXC</t>
  </si>
  <si>
    <t>50264.94</t>
  </si>
  <si>
    <t>1022.89</t>
  </si>
  <si>
    <t>Expand Energy Corporation</t>
  </si>
  <si>
    <t>EXE</t>
  </si>
  <si>
    <t>25931.76</t>
  </si>
  <si>
    <t>240.4</t>
  </si>
  <si>
    <t>Exelixis</t>
  </si>
  <si>
    <t>EXEL</t>
  </si>
  <si>
    <t>11003.86</t>
  </si>
  <si>
    <t>259.71</t>
  </si>
  <si>
    <t>Endeavour Silver</t>
  </si>
  <si>
    <t>EXK</t>
  </si>
  <si>
    <t>3329.96</t>
  </si>
  <si>
    <t>295.73</t>
  </si>
  <si>
    <t>EXL Service</t>
  </si>
  <si>
    <t>EXLS</t>
  </si>
  <si>
    <t>5040.25</t>
  </si>
  <si>
    <t>156.38</t>
  </si>
  <si>
    <t>Eagle Materials</t>
  </si>
  <si>
    <t>EXP</t>
  </si>
  <si>
    <t>6176.1</t>
  </si>
  <si>
    <t>31.43</t>
  </si>
  <si>
    <t>Expeditors International of Washington</t>
  </si>
  <si>
    <t>EXPD</t>
  </si>
  <si>
    <t>19390.07</t>
  </si>
  <si>
    <t>133.5</t>
  </si>
  <si>
    <t>102.84</t>
  </si>
  <si>
    <t>EXPEDIA GROUP</t>
  </si>
  <si>
    <t>EXPE</t>
  </si>
  <si>
    <t>29597.07</t>
  </si>
  <si>
    <t>122.54</t>
  </si>
  <si>
    <t>Experian</t>
  </si>
  <si>
    <t>EXPGY</t>
  </si>
  <si>
    <t>34413.62</t>
  </si>
  <si>
    <t>Business - Information Services</t>
  </si>
  <si>
    <t>910.17</t>
  </si>
  <si>
    <t>eXp World Holdings</t>
  </si>
  <si>
    <t>EXPI</t>
  </si>
  <si>
    <t>1029.64</t>
  </si>
  <si>
    <t>161.89</t>
  </si>
  <si>
    <t>Exponent</t>
  </si>
  <si>
    <t>EXPO</t>
  </si>
  <si>
    <t>3540.4</t>
  </si>
  <si>
    <t>49.25</t>
  </si>
  <si>
    <t>Extra Space Storage</t>
  </si>
  <si>
    <t>EXR</t>
  </si>
  <si>
    <t>30887.33</t>
  </si>
  <si>
    <t>211.14</t>
  </si>
  <si>
    <t>Extreme Networks</t>
  </si>
  <si>
    <t>EXTR</t>
  </si>
  <si>
    <t>1883.8</t>
  </si>
  <si>
    <t>134.27</t>
  </si>
  <si>
    <t>National Vision</t>
  </si>
  <si>
    <t>EYE</t>
  </si>
  <si>
    <t>2127.33</t>
  </si>
  <si>
    <t>79.44</t>
  </si>
  <si>
    <t>EyePoint</t>
  </si>
  <si>
    <t>EYPT</t>
  </si>
  <si>
    <t>1307.38</t>
  </si>
  <si>
    <t>83.43</t>
  </si>
  <si>
    <t>EZCORP</t>
  </si>
  <si>
    <t>EZPW</t>
  </si>
  <si>
    <t>1646.7</t>
  </si>
  <si>
    <t>61.7</t>
  </si>
  <si>
    <t>iShares MSCI Eurozone ETF</t>
  </si>
  <si>
    <t>EZU</t>
  </si>
  <si>
    <t>9516.63</t>
  </si>
  <si>
    <t>69.23</t>
  </si>
  <si>
    <t>Ford Motor</t>
  </si>
  <si>
    <t>F</t>
  </si>
  <si>
    <t>48631.7</t>
  </si>
  <si>
    <t>3989.48</t>
  </si>
  <si>
    <t>14.43</t>
  </si>
  <si>
    <t>First Advantage Corporation</t>
  </si>
  <si>
    <t>FA</t>
  </si>
  <si>
    <t>2027.33</t>
  </si>
  <si>
    <t>174.32</t>
  </si>
  <si>
    <t>First American Financial</t>
  </si>
  <si>
    <t>FAF</t>
  </si>
  <si>
    <t>6758.01</t>
  </si>
  <si>
    <t>101.9</t>
  </si>
  <si>
    <t>Diamondback Energy</t>
  </si>
  <si>
    <t>FANG</t>
  </si>
  <si>
    <t>51580.96</t>
  </si>
  <si>
    <t>282.08</t>
  </si>
  <si>
    <t>Fanuc</t>
  </si>
  <si>
    <t>FANUY</t>
  </si>
  <si>
    <t>38312.96</t>
  </si>
  <si>
    <t>Industrial Automation and Robotics</t>
  </si>
  <si>
    <t>1964.77</t>
  </si>
  <si>
    <t>Direxion Daily Financial Bull 3X Shares</t>
  </si>
  <si>
    <t>FAS</t>
  </si>
  <si>
    <t>1890.94</t>
  </si>
  <si>
    <t>Fastenal</t>
  </si>
  <si>
    <t>FAST</t>
  </si>
  <si>
    <t>53741.78</t>
  </si>
  <si>
    <t>1148.33</t>
  </si>
  <si>
    <t>abrdn Asia-Pacific Income Fund</t>
  </si>
  <si>
    <t>FAX</t>
  </si>
  <si>
    <t>3703.05</t>
  </si>
  <si>
    <t>247.7</t>
  </si>
  <si>
    <t>Fortune Brands Innovations</t>
  </si>
  <si>
    <t>FBIN</t>
  </si>
  <si>
    <t>5471.47</t>
  </si>
  <si>
    <t>119.99</t>
  </si>
  <si>
    <t>FB Financial</t>
  </si>
  <si>
    <t>FBK</t>
  </si>
  <si>
    <t>2654.13</t>
  </si>
  <si>
    <t>51.28</t>
  </si>
  <si>
    <t>First Bancorp</t>
  </si>
  <si>
    <t>FBNC</t>
  </si>
  <si>
    <t>2290.79</t>
  </si>
  <si>
    <t>41.48</t>
  </si>
  <si>
    <t>FIRST BANCORP</t>
  </si>
  <si>
    <t>FBP</t>
  </si>
  <si>
    <t>3192.36</t>
  </si>
  <si>
    <t>156.57</t>
  </si>
  <si>
    <t>First Commonwealth Financial</t>
  </si>
  <si>
    <t>FCF</t>
  </si>
  <si>
    <t>1734.39</t>
  </si>
  <si>
    <t>102.14</t>
  </si>
  <si>
    <t xml:space="preserve">FirstCash </t>
  </si>
  <si>
    <t>FCFS</t>
  </si>
  <si>
    <t>8630.24</t>
  </si>
  <si>
    <t>197.09</t>
  </si>
  <si>
    <t>FTI Consulting</t>
  </si>
  <si>
    <t>FCN</t>
  </si>
  <si>
    <t>5124.61</t>
  </si>
  <si>
    <t>30.58</t>
  </si>
  <si>
    <t>First Citizens BancShares</t>
  </si>
  <si>
    <t>FCNCA</t>
  </si>
  <si>
    <t>22770.52</t>
  </si>
  <si>
    <t>Four Corners Property Trust</t>
  </si>
  <si>
    <t>FCPT</t>
  </si>
  <si>
    <t>2817.16</t>
  </si>
  <si>
    <t>109.75</t>
  </si>
  <si>
    <t>FreeportMcMoRan</t>
  </si>
  <si>
    <t>FCX</t>
  </si>
  <si>
    <t>86936.33</t>
  </si>
  <si>
    <t>1437.2</t>
  </si>
  <si>
    <t>First Trust Dow Jones Internet ETF</t>
  </si>
  <si>
    <t>FDN</t>
  </si>
  <si>
    <t>4866.89</t>
  </si>
  <si>
    <t>Fresh Del Monte Produce</t>
  </si>
  <si>
    <t>FDP</t>
  </si>
  <si>
    <t>1986.32</t>
  </si>
  <si>
    <t>47.38</t>
  </si>
  <si>
    <t>41.92</t>
  </si>
  <si>
    <t>FactSet Research Systems</t>
  </si>
  <si>
    <t>FDS</t>
  </si>
  <si>
    <t>8200.42</t>
  </si>
  <si>
    <t>FedEx</t>
  </si>
  <si>
    <t>FDX</t>
  </si>
  <si>
    <t>84902.85</t>
  </si>
  <si>
    <t>Transportation - Air Freight and Cargo</t>
  </si>
  <si>
    <t>235.12</t>
  </si>
  <si>
    <t>FirstEnergy</t>
  </si>
  <si>
    <t>FE</t>
  </si>
  <si>
    <t>29451.46</t>
  </si>
  <si>
    <t>577.93</t>
  </si>
  <si>
    <t>Franklin Electric Co.</t>
  </si>
  <si>
    <t>FELE</t>
  </si>
  <si>
    <t>4212.02</t>
  </si>
  <si>
    <t>Fuji Electric Co.</t>
  </si>
  <si>
    <t xml:space="preserve"> Ltd. - Unsponsored ADR</t>
  </si>
  <si>
    <t>FELTY</t>
  </si>
  <si>
    <t>10153.55</t>
  </si>
  <si>
    <t>Ferrovial SE</t>
  </si>
  <si>
    <t>FER</t>
  </si>
  <si>
    <t>48376.49</t>
  </si>
  <si>
    <t>733.76</t>
  </si>
  <si>
    <t>Ferguson plc</t>
  </si>
  <si>
    <t>FERG</t>
  </si>
  <si>
    <t>44848.43</t>
  </si>
  <si>
    <t>194.5</t>
  </si>
  <si>
    <t>First Financial Ban</t>
  </si>
  <si>
    <t>FFBC</t>
  </si>
  <si>
    <t>2836.38</t>
  </si>
  <si>
    <t>104.59</t>
  </si>
  <si>
    <t>First Financial Bankshares</t>
  </si>
  <si>
    <t>FFIN</t>
  </si>
  <si>
    <t>4334.1</t>
  </si>
  <si>
    <t>F5</t>
  </si>
  <si>
    <t>FFIV</t>
  </si>
  <si>
    <t>16126.64</t>
  </si>
  <si>
    <t>56.52</t>
  </si>
  <si>
    <t>Fairfax India</t>
  </si>
  <si>
    <t>FFXDF</t>
  </si>
  <si>
    <t>2334.74</t>
  </si>
  <si>
    <t>134.8</t>
  </si>
  <si>
    <t>F&amp;G Annuities &amp; Life</t>
  </si>
  <si>
    <t>FG</t>
  </si>
  <si>
    <t>3039.02</t>
  </si>
  <si>
    <t>135.61</t>
  </si>
  <si>
    <t>42.74</t>
  </si>
  <si>
    <t>Firstgroup</t>
  </si>
  <si>
    <t>FGROY</t>
  </si>
  <si>
    <t>1383.83</t>
  </si>
  <si>
    <t>562.53</t>
  </si>
  <si>
    <t>First Hawaiian</t>
  </si>
  <si>
    <t>FHB</t>
  </si>
  <si>
    <t>2994.84</t>
  </si>
  <si>
    <t>122.69</t>
  </si>
  <si>
    <t>Federated Hermes</t>
  </si>
  <si>
    <t>FHI</t>
  </si>
  <si>
    <t>4291.44</t>
  </si>
  <si>
    <t>77.55</t>
  </si>
  <si>
    <t>First Horizon</t>
  </si>
  <si>
    <t>FHN</t>
  </si>
  <si>
    <t>11031.2</t>
  </si>
  <si>
    <t>483.19</t>
  </si>
  <si>
    <t>First Interstate BancSystem</t>
  </si>
  <si>
    <t>FIBK</t>
  </si>
  <si>
    <t>3500.34</t>
  </si>
  <si>
    <t>102.89</t>
  </si>
  <si>
    <t>Fair Isaac</t>
  </si>
  <si>
    <t>FICO</t>
  </si>
  <si>
    <t>34188.34</t>
  </si>
  <si>
    <t>Figma</t>
  </si>
  <si>
    <t>FIG</t>
  </si>
  <si>
    <t>13445.5</t>
  </si>
  <si>
    <t>441.13</t>
  </si>
  <si>
    <t>Figure Technology Solutions</t>
  </si>
  <si>
    <t>FIGR</t>
  </si>
  <si>
    <t>5747.92</t>
  </si>
  <si>
    <t>176.1</t>
  </si>
  <si>
    <t>FIGS</t>
  </si>
  <si>
    <t>2544.79</t>
  </si>
  <si>
    <t>164.5</t>
  </si>
  <si>
    <t>Fidelis Insurance Holdings Limited</t>
  </si>
  <si>
    <t>FIHL</t>
  </si>
  <si>
    <t>1813.18</t>
  </si>
  <si>
    <t>96.65</t>
  </si>
  <si>
    <t>Finning International Inc.</t>
  </si>
  <si>
    <t>FINGF</t>
  </si>
  <si>
    <t>8197.99</t>
  </si>
  <si>
    <t>130.82</t>
  </si>
  <si>
    <t>Leonardo S.P.A. - Unsponsored ADR</t>
  </si>
  <si>
    <t>FINMY</t>
  </si>
  <si>
    <t>42147.16</t>
  </si>
  <si>
    <t>1156.3</t>
  </si>
  <si>
    <t>First National of Nebraska</t>
  </si>
  <si>
    <t>FINN</t>
  </si>
  <si>
    <t>4542.78</t>
  </si>
  <si>
    <t>PPDAI Group</t>
  </si>
  <si>
    <t>FINV</t>
  </si>
  <si>
    <t>1354.89</t>
  </si>
  <si>
    <t>Fidelity National Information Services</t>
  </si>
  <si>
    <t>FIS</t>
  </si>
  <si>
    <t>26553.52</t>
  </si>
  <si>
    <t>514.4</t>
  </si>
  <si>
    <t>Fiserv</t>
  </si>
  <si>
    <t>FISV</t>
  </si>
  <si>
    <t>32776.52</t>
  </si>
  <si>
    <t>534.78</t>
  </si>
  <si>
    <t>58.12</t>
  </si>
  <si>
    <t>Fifth Third Bancorp</t>
  </si>
  <si>
    <t>FITB</t>
  </si>
  <si>
    <t>42367.46</t>
  </si>
  <si>
    <t>901.82</t>
  </si>
  <si>
    <t>Five Below</t>
  </si>
  <si>
    <t>FIVE</t>
  </si>
  <si>
    <t>12124.63</t>
  </si>
  <si>
    <t>55.16</t>
  </si>
  <si>
    <t>Five9</t>
  </si>
  <si>
    <t>FIVN</t>
  </si>
  <si>
    <t>1379.98</t>
  </si>
  <si>
    <t>76.5</t>
  </si>
  <si>
    <t>Comfort Systems USA</t>
  </si>
  <si>
    <t>FIX</t>
  </si>
  <si>
    <t>48274.13</t>
  </si>
  <si>
    <t>42.99</t>
  </si>
  <si>
    <t>National Beverage</t>
  </si>
  <si>
    <t>FIZZ</t>
  </si>
  <si>
    <t>3318.32</t>
  </si>
  <si>
    <t>93.63</t>
  </si>
  <si>
    <t>Flex</t>
  </si>
  <si>
    <t>FLEX</t>
  </si>
  <si>
    <t>22549.44</t>
  </si>
  <si>
    <t>367.67</t>
  </si>
  <si>
    <t>61.33</t>
  </si>
  <si>
    <t>Flagstar Bank</t>
  </si>
  <si>
    <t xml:space="preserve"> National Association</t>
  </si>
  <si>
    <t>FLG</t>
  </si>
  <si>
    <t>5212.39</t>
  </si>
  <si>
    <t>Fluence Energy</t>
  </si>
  <si>
    <t>FLNC</t>
  </si>
  <si>
    <t>2887.78</t>
  </si>
  <si>
    <t>183.93</t>
  </si>
  <si>
    <t>Flex LNG</t>
  </si>
  <si>
    <t>FLNG</t>
  </si>
  <si>
    <t>1589.19</t>
  </si>
  <si>
    <t>53.87</t>
  </si>
  <si>
    <t>30.23</t>
  </si>
  <si>
    <t>Flowers Foods</t>
  </si>
  <si>
    <t>FLO</t>
  </si>
  <si>
    <t>1872.26</t>
  </si>
  <si>
    <t>211.55</t>
  </si>
  <si>
    <t>Flowco Holdings Inc.</t>
  </si>
  <si>
    <t>FLOC</t>
  </si>
  <si>
    <t>2100.61</t>
  </si>
  <si>
    <t>89.65</t>
  </si>
  <si>
    <t>Fluor</t>
  </si>
  <si>
    <t>FLR</t>
  </si>
  <si>
    <t>6715.59</t>
  </si>
  <si>
    <t>146.57</t>
  </si>
  <si>
    <t>Flowserve</t>
  </si>
  <si>
    <t>FLS</t>
  </si>
  <si>
    <t>9814.32</t>
  </si>
  <si>
    <t>127.26</t>
  </si>
  <si>
    <t>Flutter Entertainment PLC</t>
  </si>
  <si>
    <t>FLUT</t>
  </si>
  <si>
    <t>19179.79</t>
  </si>
  <si>
    <t>175.3</t>
  </si>
  <si>
    <t>Firefly Aerospace</t>
  </si>
  <si>
    <t>FLY</t>
  </si>
  <si>
    <t>3304.46</t>
  </si>
  <si>
    <t>159.25</t>
  </si>
  <si>
    <t>FLYWIRE CORP</t>
  </si>
  <si>
    <t>FLYW</t>
  </si>
  <si>
    <t>1643.53</t>
  </si>
  <si>
    <t>121.2</t>
  </si>
  <si>
    <t>Farmers &amp; Merchants Bank of Long Beach</t>
  </si>
  <si>
    <t>FMBL</t>
  </si>
  <si>
    <t>1012.7</t>
  </si>
  <si>
    <t>FMC</t>
  </si>
  <si>
    <t>1764.07</t>
  </si>
  <si>
    <t>124.93</t>
  </si>
  <si>
    <t>Freddie Mac</t>
  </si>
  <si>
    <t>FMCC</t>
  </si>
  <si>
    <t>3542.82</t>
  </si>
  <si>
    <t>650.06</t>
  </si>
  <si>
    <t>Fresenius Medical Care AG &amp; Co.</t>
  </si>
  <si>
    <t>FMS</t>
  </si>
  <si>
    <t>13570.73</t>
  </si>
  <si>
    <t>579.7</t>
  </si>
  <si>
    <t>Fomento Economico Mexicano</t>
  </si>
  <si>
    <t>FMX</t>
  </si>
  <si>
    <t>37770.98</t>
  </si>
  <si>
    <t>345.54</t>
  </si>
  <si>
    <t>Fabrinet</t>
  </si>
  <si>
    <t>FN</t>
  </si>
  <si>
    <t>18899.35</t>
  </si>
  <si>
    <t>35.83</t>
  </si>
  <si>
    <t>F.N.B.</t>
  </si>
  <si>
    <t>FNB</t>
  </si>
  <si>
    <t>5864.75</t>
  </si>
  <si>
    <t>357.39</t>
  </si>
  <si>
    <t>Floor &amp; Decor</t>
  </si>
  <si>
    <t>FND</t>
  </si>
  <si>
    <t>6452.02</t>
  </si>
  <si>
    <t>107.88</t>
  </si>
  <si>
    <t>FIDELITY NAT FI</t>
  </si>
  <si>
    <t>FNF</t>
  </si>
  <si>
    <t>13407.75</t>
  </si>
  <si>
    <t>271.14</t>
  </si>
  <si>
    <t>Fresnillo</t>
  </si>
  <si>
    <t>FNLPF</t>
  </si>
  <si>
    <t>35341.05</t>
  </si>
  <si>
    <t>736.89</t>
  </si>
  <si>
    <t>Fannie Mae</t>
  </si>
  <si>
    <t>FNMA</t>
  </si>
  <si>
    <t>7203.3</t>
  </si>
  <si>
    <t>1158.09</t>
  </si>
  <si>
    <t>FrancoNevada</t>
  </si>
  <si>
    <t>FNV</t>
  </si>
  <si>
    <t>50709.91</t>
  </si>
  <si>
    <t>192.8</t>
  </si>
  <si>
    <t>Amicus Therapeutics</t>
  </si>
  <si>
    <t>FOLD</t>
  </si>
  <si>
    <t>4512.19</t>
  </si>
  <si>
    <t>Forestar Group</t>
  </si>
  <si>
    <t>FOR</t>
  </si>
  <si>
    <t>1301.31</t>
  </si>
  <si>
    <t>50.89</t>
  </si>
  <si>
    <t>FormFactor</t>
  </si>
  <si>
    <t>FORM</t>
  </si>
  <si>
    <t>6937.81</t>
  </si>
  <si>
    <t>77.92</t>
  </si>
  <si>
    <t>105.83</t>
  </si>
  <si>
    <t>Formula Systems 1985</t>
  </si>
  <si>
    <t>FORTY</t>
  </si>
  <si>
    <t>1965.31</t>
  </si>
  <si>
    <t>15.33</t>
  </si>
  <si>
    <t>128.2</t>
  </si>
  <si>
    <t>Shift4 Payments</t>
  </si>
  <si>
    <t>FOUR</t>
  </si>
  <si>
    <t>4186.37</t>
  </si>
  <si>
    <t>88.62</t>
  </si>
  <si>
    <t>Fox</t>
  </si>
  <si>
    <t>FOX</t>
  </si>
  <si>
    <t>22988.4</t>
  </si>
  <si>
    <t>425.4</t>
  </si>
  <si>
    <t>FOXA</t>
  </si>
  <si>
    <t>25208.97</t>
  </si>
  <si>
    <t>First Pacific Co.</t>
  </si>
  <si>
    <t>FPAFY</t>
  </si>
  <si>
    <t>3324.45</t>
  </si>
  <si>
    <t>852.42</t>
  </si>
  <si>
    <t>5N Plus</t>
  </si>
  <si>
    <t>FPLSF</t>
  </si>
  <si>
    <t>1848.29</t>
  </si>
  <si>
    <t>89.07</t>
  </si>
  <si>
    <t>Forgent Power Solutions</t>
  </si>
  <si>
    <t>FPS</t>
  </si>
  <si>
    <t>10496.71</t>
  </si>
  <si>
    <t>First Quantum Minerals</t>
  </si>
  <si>
    <t>FQVLF</t>
  </si>
  <si>
    <t>19962.55</t>
  </si>
  <si>
    <t>834.21</t>
  </si>
  <si>
    <t>First Industrial Realty Trust</t>
  </si>
  <si>
    <t>FR</t>
  </si>
  <si>
    <t>8020.37</t>
  </si>
  <si>
    <t>132.52</t>
  </si>
  <si>
    <t>60.52</t>
  </si>
  <si>
    <t>Fairfax Financial</t>
  </si>
  <si>
    <t>FRFHF</t>
  </si>
  <si>
    <t>35992.88</t>
  </si>
  <si>
    <t>21.88</t>
  </si>
  <si>
    <t>Freedom Holding</t>
  </si>
  <si>
    <t>FRHC</t>
  </si>
  <si>
    <t>8089.39</t>
  </si>
  <si>
    <t>Freehold Royalties Ltd</t>
  </si>
  <si>
    <t>FRHLF</t>
  </si>
  <si>
    <t>2130.91</t>
  </si>
  <si>
    <t>163.96</t>
  </si>
  <si>
    <t>First Merchants</t>
  </si>
  <si>
    <t>FRME</t>
  </si>
  <si>
    <t>2340.46</t>
  </si>
  <si>
    <t>63.39</t>
  </si>
  <si>
    <t>42.54</t>
  </si>
  <si>
    <t>Fermi Inc.</t>
  </si>
  <si>
    <t>FRMI</t>
  </si>
  <si>
    <t>4899.92</t>
  </si>
  <si>
    <t>614.03</t>
  </si>
  <si>
    <t>FRONTLINE PLC</t>
  </si>
  <si>
    <t>FRO</t>
  </si>
  <si>
    <t>7900.89</t>
  </si>
  <si>
    <t>222.62</t>
  </si>
  <si>
    <t>JFrog</t>
  </si>
  <si>
    <t>FROG</t>
  </si>
  <si>
    <t>5045.95</t>
  </si>
  <si>
    <t>119.63</t>
  </si>
  <si>
    <t>27.99</t>
  </si>
  <si>
    <t>Freshpet</t>
  </si>
  <si>
    <t>FRPT</t>
  </si>
  <si>
    <t>4063.41</t>
  </si>
  <si>
    <t>Freshworks</t>
  </si>
  <si>
    <t>FRSH</t>
  </si>
  <si>
    <t>2365.74</t>
  </si>
  <si>
    <t>Federal Realty Investment Trust</t>
  </si>
  <si>
    <t>FRT</t>
  </si>
  <si>
    <t>9191.85</t>
  </si>
  <si>
    <t>86.28</t>
  </si>
  <si>
    <t>Freenet</t>
  </si>
  <si>
    <t>FRTAF</t>
  </si>
  <si>
    <t>3809.41</t>
  </si>
  <si>
    <t>Communication - Network Software</t>
  </si>
  <si>
    <t>118.9</t>
  </si>
  <si>
    <t>First Solar</t>
  </si>
  <si>
    <t>FSLR</t>
  </si>
  <si>
    <t>20966.42</t>
  </si>
  <si>
    <t>107.31</t>
  </si>
  <si>
    <t>Fastly</t>
  </si>
  <si>
    <t>FSLY</t>
  </si>
  <si>
    <t>3313.79</t>
  </si>
  <si>
    <t>151.8</t>
  </si>
  <si>
    <t>Fortuna Mining Corp.</t>
  </si>
  <si>
    <t>FSM</t>
  </si>
  <si>
    <t>3550.17</t>
  </si>
  <si>
    <t>305.26</t>
  </si>
  <si>
    <t>Fresenius SE &amp; Co.</t>
  </si>
  <si>
    <t>FSNUY</t>
  </si>
  <si>
    <t>31473.7</t>
  </si>
  <si>
    <t>2252.95</t>
  </si>
  <si>
    <t>Federal Signal</t>
  </si>
  <si>
    <t>FSS</t>
  </si>
  <si>
    <t>6466.14</t>
  </si>
  <si>
    <t>60.89</t>
  </si>
  <si>
    <t>Fortescue Ltd. Sponsored ADR</t>
  </si>
  <si>
    <t>FSUGY</t>
  </si>
  <si>
    <t>42245.71</t>
  </si>
  <si>
    <t>1539.48</t>
  </si>
  <si>
    <t>FirstSun Capital Bancorp</t>
  </si>
  <si>
    <t>FSUN</t>
  </si>
  <si>
    <t>1007.47</t>
  </si>
  <si>
    <t>27.92</t>
  </si>
  <si>
    <t>FirstService</t>
  </si>
  <si>
    <t>FSV</t>
  </si>
  <si>
    <t>6861.12</t>
  </si>
  <si>
    <t>45.72</t>
  </si>
  <si>
    <t>208.43</t>
  </si>
  <si>
    <t>FTAI Aviation Ltd.</t>
  </si>
  <si>
    <t>FTAI</t>
  </si>
  <si>
    <t>28345.1</t>
  </si>
  <si>
    <t>102.57</t>
  </si>
  <si>
    <t>Frontdoor</t>
  </si>
  <si>
    <t>FTDR</t>
  </si>
  <si>
    <t>4686.9</t>
  </si>
  <si>
    <t>70.62</t>
  </si>
  <si>
    <t>TechnipFMC</t>
  </si>
  <si>
    <t>FTI</t>
  </si>
  <si>
    <t>25382.85</t>
  </si>
  <si>
    <t>400.05</t>
  </si>
  <si>
    <t>Fortinet</t>
  </si>
  <si>
    <t>FTNT</t>
  </si>
  <si>
    <t>62012.99</t>
  </si>
  <si>
    <t>739.92</t>
  </si>
  <si>
    <t>Fortis</t>
  </si>
  <si>
    <t>FTS</t>
  </si>
  <si>
    <t>29334.75</t>
  </si>
  <si>
    <t>507.35</t>
  </si>
  <si>
    <t>Fortive</t>
  </si>
  <si>
    <t>FTV</t>
  </si>
  <si>
    <t>17347.87</t>
  </si>
  <si>
    <t>307.86</t>
  </si>
  <si>
    <t>Subaru Corporation</t>
  </si>
  <si>
    <t>FUJHY</t>
  </si>
  <si>
    <t>12280.78</t>
  </si>
  <si>
    <t>1434.67</t>
  </si>
  <si>
    <t>Fujifilm</t>
  </si>
  <si>
    <t>FUJIY</t>
  </si>
  <si>
    <t>24106.34</t>
  </si>
  <si>
    <t>Semiconductor Equipment - Photomasks</t>
  </si>
  <si>
    <t>2487.75</t>
  </si>
  <si>
    <t>H. B. Fuller</t>
  </si>
  <si>
    <t>FUL</t>
  </si>
  <si>
    <t>3190.08</t>
  </si>
  <si>
    <t>54.47</t>
  </si>
  <si>
    <t>58.56</t>
  </si>
  <si>
    <t>Fulton Financial</t>
  </si>
  <si>
    <t>FULT</t>
  </si>
  <si>
    <t>3594.81</t>
  </si>
  <si>
    <t>180.01</t>
  </si>
  <si>
    <t>Six Flags Entertainment Corporation</t>
  </si>
  <si>
    <t>FUN</t>
  </si>
  <si>
    <t>1647.94</t>
  </si>
  <si>
    <t>101.47</t>
  </si>
  <si>
    <t>FUCHS SE - Unsponsored ADR</t>
  </si>
  <si>
    <t>FUPBY</t>
  </si>
  <si>
    <t>5381.48</t>
  </si>
  <si>
    <t>Futu Holdings</t>
  </si>
  <si>
    <t>FUTU</t>
  </si>
  <si>
    <t>19933.21</t>
  </si>
  <si>
    <t>139.14</t>
  </si>
  <si>
    <t>Liberty Media Corporation - Liberty Formula One Series A</t>
  </si>
  <si>
    <t>FWONA</t>
  </si>
  <si>
    <t>19396.71</t>
  </si>
  <si>
    <t>250.05</t>
  </si>
  <si>
    <t>77.57</t>
  </si>
  <si>
    <t>35.08</t>
  </si>
  <si>
    <t>Liberty Media Corporation - Liberty Formula One Series B</t>
  </si>
  <si>
    <t>FWONB</t>
  </si>
  <si>
    <t>20354.42</t>
  </si>
  <si>
    <t>Liberty Media Corporation - Liberty Formula One Series C</t>
  </si>
  <si>
    <t>FWONK</t>
  </si>
  <si>
    <t>18918.73</t>
  </si>
  <si>
    <t>224.1</t>
  </si>
  <si>
    <t>FIH Mobile Limited - Unsponsored ADR</t>
  </si>
  <si>
    <t>FXCNY</t>
  </si>
  <si>
    <t>2161.34</t>
  </si>
  <si>
    <t>78.03</t>
  </si>
  <si>
    <t>iShares China Large-Cap ETF</t>
  </si>
  <si>
    <t>FXI</t>
  </si>
  <si>
    <t>6084.86</t>
  </si>
  <si>
    <t>166.8</t>
  </si>
  <si>
    <t>Genpact</t>
  </si>
  <si>
    <t>G</t>
  </si>
  <si>
    <t>6940.63</t>
  </si>
  <si>
    <t>169.86</t>
  </si>
  <si>
    <t>Gabelli Equity Trust Inc.</t>
  </si>
  <si>
    <t>GAB</t>
  </si>
  <si>
    <t>1772.8</t>
  </si>
  <si>
    <t>307.24</t>
  </si>
  <si>
    <t>German American Bancorp</t>
  </si>
  <si>
    <t>GABC</t>
  </si>
  <si>
    <t>1501.17</t>
  </si>
  <si>
    <t>37.49</t>
  </si>
  <si>
    <t>General American Investors</t>
  </si>
  <si>
    <t>GAM</t>
  </si>
  <si>
    <t>1434.16</t>
  </si>
  <si>
    <t>The Gap</t>
  </si>
  <si>
    <t>GAP</t>
  </si>
  <si>
    <t>8498.41</t>
  </si>
  <si>
    <t>371.92</t>
  </si>
  <si>
    <t>GATX</t>
  </si>
  <si>
    <t>6339.23</t>
  </si>
  <si>
    <t>35.5</t>
  </si>
  <si>
    <t>Glacier Bancorp</t>
  </si>
  <si>
    <t>GBCI</t>
  </si>
  <si>
    <t>5738.69</t>
  </si>
  <si>
    <t>130.01</t>
  </si>
  <si>
    <t>Golub Capital BDC</t>
  </si>
  <si>
    <t>GBDC</t>
  </si>
  <si>
    <t>3219.28</t>
  </si>
  <si>
    <t>263.23</t>
  </si>
  <si>
    <t>Gibson Energy</t>
  </si>
  <si>
    <t>GBNXF</t>
  </si>
  <si>
    <t>3744.72</t>
  </si>
  <si>
    <t>172.01</t>
  </si>
  <si>
    <t>Grupo Financiero Banorte</t>
  </si>
  <si>
    <t>GBOOY</t>
  </si>
  <si>
    <t>30159.19</t>
  </si>
  <si>
    <t>562.64</t>
  </si>
  <si>
    <t>Global Business Travel Group</t>
  </si>
  <si>
    <t>GBTG</t>
  </si>
  <si>
    <t>3015.51</t>
  </si>
  <si>
    <t>523.53</t>
  </si>
  <si>
    <t>The Greenbrier Companies</t>
  </si>
  <si>
    <t>GBX</t>
  </si>
  <si>
    <t>1689.16</t>
  </si>
  <si>
    <t>30.89</t>
  </si>
  <si>
    <t>54.69</t>
  </si>
  <si>
    <t>GCM Grosvenor</t>
  </si>
  <si>
    <t>GCMG</t>
  </si>
  <si>
    <t>2271.79</t>
  </si>
  <si>
    <t>202.48</t>
  </si>
  <si>
    <t>GigaCloud Technology Inc.</t>
  </si>
  <si>
    <t>GCT</t>
  </si>
  <si>
    <t>1633.83</t>
  </si>
  <si>
    <t>General Dynamics</t>
  </si>
  <si>
    <t>GD</t>
  </si>
  <si>
    <t>97875.7</t>
  </si>
  <si>
    <t>270.39</t>
  </si>
  <si>
    <t>GoDaddy</t>
  </si>
  <si>
    <t>GDDY</t>
  </si>
  <si>
    <t>12227.24</t>
  </si>
  <si>
    <t>Internet - Delivery Services</t>
  </si>
  <si>
    <t>133.35</t>
  </si>
  <si>
    <t>GE Aerospace</t>
  </si>
  <si>
    <t>GE</t>
  </si>
  <si>
    <t>337644.56</t>
  </si>
  <si>
    <t>1048.81</t>
  </si>
  <si>
    <t>Greif</t>
  </si>
  <si>
    <t>GEF</t>
  </si>
  <si>
    <t>3225.67</t>
  </si>
  <si>
    <t>Greif Bros.</t>
  </si>
  <si>
    <t>GEF.B</t>
  </si>
  <si>
    <t>3941.25</t>
  </si>
  <si>
    <t>GE HealthCare Technologies Inc.</t>
  </si>
  <si>
    <t>GEHC</t>
  </si>
  <si>
    <t>34468.35</t>
  </si>
  <si>
    <t>455.75</t>
  </si>
  <si>
    <t>Genesis Energy</t>
  </si>
  <si>
    <t>GEL</t>
  </si>
  <si>
    <t>2198.24</t>
  </si>
  <si>
    <t>Oil and Gas - Refining and Marketing - Master Limited Partnerships</t>
  </si>
  <si>
    <t>122.46</t>
  </si>
  <si>
    <t>Gemini Space Station</t>
  </si>
  <si>
    <t>GEMI</t>
  </si>
  <si>
    <t>1024.76</t>
  </si>
  <si>
    <t>117.65</t>
  </si>
  <si>
    <t>GEN DIGITAL INC</t>
  </si>
  <si>
    <t>GEN</t>
  </si>
  <si>
    <t>13657.72</t>
  </si>
  <si>
    <t>605.66</t>
  </si>
  <si>
    <t>Genius Sports Limited</t>
  </si>
  <si>
    <t>GENI</t>
  </si>
  <si>
    <t>1160.08</t>
  </si>
  <si>
    <t>Internet - Content</t>
  </si>
  <si>
    <t>215.23</t>
  </si>
  <si>
    <t>The Geo Group</t>
  </si>
  <si>
    <t>GEO</t>
  </si>
  <si>
    <t>1848.82</t>
  </si>
  <si>
    <t>Government Services</t>
  </si>
  <si>
    <t>134.36</t>
  </si>
  <si>
    <t>Geron</t>
  </si>
  <si>
    <t>GERN</t>
  </si>
  <si>
    <t>1037.68</t>
  </si>
  <si>
    <t>640.54</t>
  </si>
  <si>
    <t>GE Vernova Inc.</t>
  </si>
  <si>
    <t>GEV</t>
  </si>
  <si>
    <t>223736.42</t>
  </si>
  <si>
    <t>269.53</t>
  </si>
  <si>
    <t>Griffon</t>
  </si>
  <si>
    <t>GFF</t>
  </si>
  <si>
    <t>3561.91</t>
  </si>
  <si>
    <t>46.58</t>
  </si>
  <si>
    <t>Gold Fields Limited</t>
  </si>
  <si>
    <t>GFI</t>
  </si>
  <si>
    <t>46657.61</t>
  </si>
  <si>
    <t>895.02</t>
  </si>
  <si>
    <t>GFL Environmental</t>
  </si>
  <si>
    <t>GFL</t>
  </si>
  <si>
    <t>16117.28</t>
  </si>
  <si>
    <t>357.92</t>
  </si>
  <si>
    <t>GlobalFoundries</t>
  </si>
  <si>
    <t>GFS</t>
  </si>
  <si>
    <t>26337.99</t>
  </si>
  <si>
    <t>555.89</t>
  </si>
  <si>
    <t>Grupo Financiero Galicia</t>
  </si>
  <si>
    <t>GGAL</t>
  </si>
  <si>
    <t>6263.02</t>
  </si>
  <si>
    <t>147.47</t>
  </si>
  <si>
    <t>Gerdau</t>
  </si>
  <si>
    <t>GGB</t>
  </si>
  <si>
    <t>7152.1</t>
  </si>
  <si>
    <t>1997.8</t>
  </si>
  <si>
    <t>Graco</t>
  </si>
  <si>
    <t>GGG</t>
  </si>
  <si>
    <t>14627.48</t>
  </si>
  <si>
    <t>165.34</t>
  </si>
  <si>
    <t>Guardant Health</t>
  </si>
  <si>
    <t>GH</t>
  </si>
  <si>
    <t>11962.74</t>
  </si>
  <si>
    <t>131.17</t>
  </si>
  <si>
    <t>Graham Holdings</t>
  </si>
  <si>
    <t>GHC</t>
  </si>
  <si>
    <t>4700.01</t>
  </si>
  <si>
    <t>51.5</t>
  </si>
  <si>
    <t>CGI Group</t>
  </si>
  <si>
    <t>GIB</t>
  </si>
  <si>
    <t>16267.91</t>
  </si>
  <si>
    <t>214.76</t>
  </si>
  <si>
    <t>Global Industrial Company</t>
  </si>
  <si>
    <t>GIC</t>
  </si>
  <si>
    <t>1211.6</t>
  </si>
  <si>
    <t>GIII Apparel Group</t>
  </si>
  <si>
    <t>GIII</t>
  </si>
  <si>
    <t>1234.46</t>
  </si>
  <si>
    <t>42.19</t>
  </si>
  <si>
    <t>Gildan Activewear</t>
  </si>
  <si>
    <t>GIL</t>
  </si>
  <si>
    <t>11410.34</t>
  </si>
  <si>
    <t>185.17</t>
  </si>
  <si>
    <t>Gilead Sciences</t>
  </si>
  <si>
    <t>GILD</t>
  </si>
  <si>
    <t>182029.5</t>
  </si>
  <si>
    <t>1241.42</t>
  </si>
  <si>
    <t>Gilat Satellite Networks</t>
  </si>
  <si>
    <t>GILT</t>
  </si>
  <si>
    <t>1004.64</t>
  </si>
  <si>
    <t>Satellite and Communication</t>
  </si>
  <si>
    <t>47.87</t>
  </si>
  <si>
    <t>General Mills</t>
  </si>
  <si>
    <t>GIS</t>
  </si>
  <si>
    <t>23157.46</t>
  </si>
  <si>
    <t>533.58</t>
  </si>
  <si>
    <t>Glaukos</t>
  </si>
  <si>
    <t>GKOS</t>
  </si>
  <si>
    <t>6143.58</t>
  </si>
  <si>
    <t>58.08</t>
  </si>
  <si>
    <t>Globe Life</t>
  </si>
  <si>
    <t>GL</t>
  </si>
  <si>
    <t>11167.26</t>
  </si>
  <si>
    <t>78.64</t>
  </si>
  <si>
    <t>Glanbia</t>
  </si>
  <si>
    <t>GLAPY</t>
  </si>
  <si>
    <t>4790.06</t>
  </si>
  <si>
    <t>48.76</t>
  </si>
  <si>
    <t>Globale Online</t>
  </si>
  <si>
    <t>GLBE</t>
  </si>
  <si>
    <t>5955.69</t>
  </si>
  <si>
    <t>169.73</t>
  </si>
  <si>
    <t>SPDR Gold Shares</t>
  </si>
  <si>
    <t>GLD</t>
  </si>
  <si>
    <t>177387.77</t>
  </si>
  <si>
    <t>375.4</t>
  </si>
  <si>
    <t>Great Lakes Dredge &amp; Dock</t>
  </si>
  <si>
    <t>GLDD</t>
  </si>
  <si>
    <t>1131.94</t>
  </si>
  <si>
    <t>66.78</t>
  </si>
  <si>
    <t>29.19</t>
  </si>
  <si>
    <t>GCI Liberty</t>
  </si>
  <si>
    <t>GLIBA</t>
  </si>
  <si>
    <t>1077.32</t>
  </si>
  <si>
    <t>Wireline - National</t>
  </si>
  <si>
    <t>GLIBK</t>
  </si>
  <si>
    <t>1333.02</t>
  </si>
  <si>
    <t>35.76</t>
  </si>
  <si>
    <t>Glencore</t>
  </si>
  <si>
    <t>GLNCY</t>
  </si>
  <si>
    <t>80856.59</t>
  </si>
  <si>
    <t>5867.68</t>
  </si>
  <si>
    <t>Golar LNG Limited</t>
  </si>
  <si>
    <t>GLNG</t>
  </si>
  <si>
    <t>4761.56</t>
  </si>
  <si>
    <t>104.54</t>
  </si>
  <si>
    <t>Globant</t>
  </si>
  <si>
    <t>GLOB</t>
  </si>
  <si>
    <t>2210.63</t>
  </si>
  <si>
    <t>43.84</t>
  </si>
  <si>
    <t>41.56</t>
  </si>
  <si>
    <t>Global Partners</t>
  </si>
  <si>
    <t>GLP</t>
  </si>
  <si>
    <t>1631.79</t>
  </si>
  <si>
    <t>39.58</t>
  </si>
  <si>
    <t>Galp Energia</t>
  </si>
  <si>
    <t>GLPEY</t>
  </si>
  <si>
    <t>16855.69</t>
  </si>
  <si>
    <t>1506.99</t>
  </si>
  <si>
    <t>Gaming and Leisure Properties</t>
  </si>
  <si>
    <t>GLPI</t>
  </si>
  <si>
    <t>13863.71</t>
  </si>
  <si>
    <t>283.22</t>
  </si>
  <si>
    <t>Monte Rosa Therapeutics</t>
  </si>
  <si>
    <t>GLUE</t>
  </si>
  <si>
    <t>1149.98</t>
  </si>
  <si>
    <t>65.12</t>
  </si>
  <si>
    <t>Corning</t>
  </si>
  <si>
    <t>GLW</t>
  </si>
  <si>
    <t>110718.21</t>
  </si>
  <si>
    <t>857.95</t>
  </si>
  <si>
    <t>19.14</t>
  </si>
  <si>
    <t>Galaxy Digital Inc.</t>
  </si>
  <si>
    <t>GLXY</t>
  </si>
  <si>
    <t>8396.17</t>
  </si>
  <si>
    <t>390.61</t>
  </si>
  <si>
    <t>General Motors</t>
  </si>
  <si>
    <t>GM</t>
  </si>
  <si>
    <t>67517.37</t>
  </si>
  <si>
    <t>903.97</t>
  </si>
  <si>
    <t>42.48</t>
  </si>
  <si>
    <t>Genmab</t>
  </si>
  <si>
    <t>GMAB</t>
  </si>
  <si>
    <t>17498.54</t>
  </si>
  <si>
    <t>642.38</t>
  </si>
  <si>
    <t>Grupo Mexico</t>
  </si>
  <si>
    <t xml:space="preserve"> S.A.B. de C.V.</t>
  </si>
  <si>
    <t>GMBXF</t>
  </si>
  <si>
    <t>86121.56</t>
  </si>
  <si>
    <t>GameStop</t>
  </si>
  <si>
    <t>GME</t>
  </si>
  <si>
    <t>11110.63</t>
  </si>
  <si>
    <t>448.01</t>
  </si>
  <si>
    <t>19.94</t>
  </si>
  <si>
    <t>Globus Medical</t>
  </si>
  <si>
    <t>GMED</t>
  </si>
  <si>
    <t>11876.57</t>
  </si>
  <si>
    <t>135.25</t>
  </si>
  <si>
    <t>87.81</t>
  </si>
  <si>
    <t>Greencore Group</t>
  </si>
  <si>
    <t>GNCGY</t>
  </si>
  <si>
    <t>2832.06</t>
  </si>
  <si>
    <t>200.86</t>
  </si>
  <si>
    <t>Global Net Lease</t>
  </si>
  <si>
    <t>GNL</t>
  </si>
  <si>
    <t>2013.35</t>
  </si>
  <si>
    <t>214.19</t>
  </si>
  <si>
    <t>GNMSF</t>
  </si>
  <si>
    <t>17855.3</t>
  </si>
  <si>
    <t>61.57</t>
  </si>
  <si>
    <t>Generac Holdings</t>
  </si>
  <si>
    <t>GNRC</t>
  </si>
  <si>
    <t>12152.35</t>
  </si>
  <si>
    <t>58.68</t>
  </si>
  <si>
    <t>Gentex</t>
  </si>
  <si>
    <t>GNTX</t>
  </si>
  <si>
    <t>215.4</t>
  </si>
  <si>
    <t>Genworth Financial</t>
  </si>
  <si>
    <t>GNW</t>
  </si>
  <si>
    <t>3236.55</t>
  </si>
  <si>
    <t>387.61</t>
  </si>
  <si>
    <t>Gold.com Inc.</t>
  </si>
  <si>
    <t>GOLD</t>
  </si>
  <si>
    <t>1267.38</t>
  </si>
  <si>
    <t>Acushnet</t>
  </si>
  <si>
    <t>GOLF</t>
  </si>
  <si>
    <t>5607.15</t>
  </si>
  <si>
    <t>Alphabet</t>
  </si>
  <si>
    <t>GOOG</t>
  </si>
  <si>
    <t>GOOGL</t>
  </si>
  <si>
    <t>3706036.75</t>
  </si>
  <si>
    <t>Canada Goose</t>
  </si>
  <si>
    <t>GOOS</t>
  </si>
  <si>
    <t>1082.98</t>
  </si>
  <si>
    <t>97.13</t>
  </si>
  <si>
    <t>Genuine Parts</t>
  </si>
  <si>
    <t>GPC</t>
  </si>
  <si>
    <t>15559.42</t>
  </si>
  <si>
    <t>139.12</t>
  </si>
  <si>
    <t>Structure Therapeutics Inc. Sponsored ADR</t>
  </si>
  <si>
    <t>GPCR</t>
  </si>
  <si>
    <t>4002.56</t>
  </si>
  <si>
    <t>70.84</t>
  </si>
  <si>
    <t>Great Portland Estates</t>
  </si>
  <si>
    <t>GPEAF</t>
  </si>
  <si>
    <t>1729.35</t>
  </si>
  <si>
    <t>406.19</t>
  </si>
  <si>
    <t>GPGI INC</t>
  </si>
  <si>
    <t>GPGI</t>
  </si>
  <si>
    <t>5976.43</t>
  </si>
  <si>
    <t>289.42</t>
  </si>
  <si>
    <t>Group 1 Automotive</t>
  </si>
  <si>
    <t>GPI</t>
  </si>
  <si>
    <t>3793.05</t>
  </si>
  <si>
    <t>Graphic Packaging Holding Company</t>
  </si>
  <si>
    <t>GPK</t>
  </si>
  <si>
    <t>3185.13</t>
  </si>
  <si>
    <t>295.74</t>
  </si>
  <si>
    <t>Global Payments</t>
  </si>
  <si>
    <t>GPN</t>
  </si>
  <si>
    <t>20936.62</t>
  </si>
  <si>
    <t>279.9</t>
  </si>
  <si>
    <t>Gulfport Energy</t>
  </si>
  <si>
    <t>GPOR</t>
  </si>
  <si>
    <t>3657.12</t>
  </si>
  <si>
    <t>Green Plains</t>
  </si>
  <si>
    <t>GPRE</t>
  </si>
  <si>
    <t>1043.39</t>
  </si>
  <si>
    <t>69.84</t>
  </si>
  <si>
    <t xml:space="preserve">Grab </t>
  </si>
  <si>
    <t>GRAB</t>
  </si>
  <si>
    <t>15946.92</t>
  </si>
  <si>
    <t>GRAIL</t>
  </si>
  <si>
    <t>GRAL</t>
  </si>
  <si>
    <t>1942.09</t>
  </si>
  <si>
    <t>38.98</t>
  </si>
  <si>
    <t>Green Brick Partners</t>
  </si>
  <si>
    <t>GRBK</t>
  </si>
  <si>
    <t>2890.68</t>
  </si>
  <si>
    <t>GormanRupp</t>
  </si>
  <si>
    <t>GRC</t>
  </si>
  <si>
    <t>1622.98</t>
  </si>
  <si>
    <t>Guardian Pharmacy Services</t>
  </si>
  <si>
    <t>GRDN</t>
  </si>
  <si>
    <t>2047.79</t>
  </si>
  <si>
    <t>63.32</t>
  </si>
  <si>
    <t>Garmin</t>
  </si>
  <si>
    <t>GRMN</t>
  </si>
  <si>
    <t>46701.63</t>
  </si>
  <si>
    <t>192.48</t>
  </si>
  <si>
    <t>GRINDR INC</t>
  </si>
  <si>
    <t>GRND</t>
  </si>
  <si>
    <t>2213.11</t>
  </si>
  <si>
    <t>184.73</t>
  </si>
  <si>
    <t>Grasim Industries</t>
  </si>
  <si>
    <t>GRSXY</t>
  </si>
  <si>
    <t>13346.19</t>
  </si>
  <si>
    <t>680.58</t>
  </si>
  <si>
    <t>The Goldman Sachs Group</t>
  </si>
  <si>
    <t>GS</t>
  </si>
  <si>
    <t>246907.34</t>
  </si>
  <si>
    <t>296.75</t>
  </si>
  <si>
    <t>56.6</t>
  </si>
  <si>
    <t>Globalstar</t>
  </si>
  <si>
    <t>GSAT</t>
  </si>
  <si>
    <t>7283.89</t>
  </si>
  <si>
    <t>128.55</t>
  </si>
  <si>
    <t>56.66</t>
  </si>
  <si>
    <t>Goldman Sachs BDC</t>
  </si>
  <si>
    <t>GSBD</t>
  </si>
  <si>
    <t>1030.01</t>
  </si>
  <si>
    <t>112.57</t>
  </si>
  <si>
    <t>Goosehead Insurance</t>
  </si>
  <si>
    <t>GSHD</t>
  </si>
  <si>
    <t>1752.24</t>
  </si>
  <si>
    <t>36.59</t>
  </si>
  <si>
    <t>GSK PLC Sponsored ADR</t>
  </si>
  <si>
    <t>GSK</t>
  </si>
  <si>
    <t>113131.71</t>
  </si>
  <si>
    <t>2038.04</t>
  </si>
  <si>
    <t>Global Ship Lease</t>
  </si>
  <si>
    <t>GSL</t>
  </si>
  <si>
    <t>1400.42</t>
  </si>
  <si>
    <t>35.77</t>
  </si>
  <si>
    <t>Goodyear</t>
  </si>
  <si>
    <t>GT</t>
  </si>
  <si>
    <t>2111.63</t>
  </si>
  <si>
    <t>Rubber - Tires</t>
  </si>
  <si>
    <t>286.52</t>
  </si>
  <si>
    <t>Green Thumb Industries Inc.</t>
  </si>
  <si>
    <t>GTBIF</t>
  </si>
  <si>
    <t>1348.24</t>
  </si>
  <si>
    <t>207.42</t>
  </si>
  <si>
    <t>Gates Industrial</t>
  </si>
  <si>
    <t>GTES</t>
  </si>
  <si>
    <t>6120.46</t>
  </si>
  <si>
    <t>253.86</t>
  </si>
  <si>
    <t>Gitlab</t>
  </si>
  <si>
    <t>GTLB</t>
  </si>
  <si>
    <t>4139.27</t>
  </si>
  <si>
    <t>168.4</t>
  </si>
  <si>
    <t>Chart Industries</t>
  </si>
  <si>
    <t>GTLS</t>
  </si>
  <si>
    <t>9917.75</t>
  </si>
  <si>
    <t>ZoomInfo Technologies</t>
  </si>
  <si>
    <t>GTM</t>
  </si>
  <si>
    <t>1984.42</t>
  </si>
  <si>
    <t>305.3</t>
  </si>
  <si>
    <t>Gray Media Inc.</t>
  </si>
  <si>
    <t>GTN.A</t>
  </si>
  <si>
    <t>1176.04</t>
  </si>
  <si>
    <t>102.09</t>
  </si>
  <si>
    <t>GARRETT MOTION</t>
  </si>
  <si>
    <t>GTX</t>
  </si>
  <si>
    <t>3503.07</t>
  </si>
  <si>
    <t>189.97</t>
  </si>
  <si>
    <t>21.25</t>
  </si>
  <si>
    <t>Getty Realty</t>
  </si>
  <si>
    <t>GTY</t>
  </si>
  <si>
    <t>1995.48</t>
  </si>
  <si>
    <t>Granite Construction</t>
  </si>
  <si>
    <t>GVA</t>
  </si>
  <si>
    <t>5460.58</t>
  </si>
  <si>
    <t>43.5</t>
  </si>
  <si>
    <t>Guidewire Software</t>
  </si>
  <si>
    <t>GWRE</t>
  </si>
  <si>
    <t>13824.57</t>
  </si>
  <si>
    <t>84.66</t>
  </si>
  <si>
    <t>22.64</t>
  </si>
  <si>
    <t>W.W. Grainger</t>
  </si>
  <si>
    <t>GWW</t>
  </si>
  <si>
    <t>52834.19</t>
  </si>
  <si>
    <t>GXO Logistics</t>
  </si>
  <si>
    <t>GXO</t>
  </si>
  <si>
    <t>6349.4</t>
  </si>
  <si>
    <t>114.71</t>
  </si>
  <si>
    <t>Hyatt Hotels</t>
  </si>
  <si>
    <t>H</t>
  </si>
  <si>
    <t>14710.52</t>
  </si>
  <si>
    <t>94.47</t>
  </si>
  <si>
    <t>Haemonetics</t>
  </si>
  <si>
    <t>HAE</t>
  </si>
  <si>
    <t>2984.85</t>
  </si>
  <si>
    <t>Halliburton</t>
  </si>
  <si>
    <t>HAL</t>
  </si>
  <si>
    <t>29020.86</t>
  </si>
  <si>
    <t>837.54</t>
  </si>
  <si>
    <t>Halozyme Therapeutics</t>
  </si>
  <si>
    <t>HALO</t>
  </si>
  <si>
    <t>8041.68</t>
  </si>
  <si>
    <t>118.02</t>
  </si>
  <si>
    <t>Hasbro</t>
  </si>
  <si>
    <t>HAS</t>
  </si>
  <si>
    <t>13474.88</t>
  </si>
  <si>
    <t>Toys - Games - Hobbies</t>
  </si>
  <si>
    <t>140.69</t>
  </si>
  <si>
    <t>HA Sustainable Infrastructure Capital</t>
  </si>
  <si>
    <t>HASI</t>
  </si>
  <si>
    <t>4609.52</t>
  </si>
  <si>
    <t>128.18</t>
  </si>
  <si>
    <t>HAYS</t>
  </si>
  <si>
    <t>HAYPY</t>
  </si>
  <si>
    <t>1157.78</t>
  </si>
  <si>
    <t>Staffing Firms</t>
  </si>
  <si>
    <t>159.91</t>
  </si>
  <si>
    <t>Hayward Holdings</t>
  </si>
  <si>
    <t>HAYW</t>
  </si>
  <si>
    <t>3208.16</t>
  </si>
  <si>
    <t>217.21</t>
  </si>
  <si>
    <t>Huntington Bancshares</t>
  </si>
  <si>
    <t>HBAN</t>
  </si>
  <si>
    <t>32720.25</t>
  </si>
  <si>
    <t>2029.79</t>
  </si>
  <si>
    <t>HudBay Minerals</t>
  </si>
  <si>
    <t>HBM</t>
  </si>
  <si>
    <t>8928.91</t>
  </si>
  <si>
    <t>396.84</t>
  </si>
  <si>
    <t>Hotel101 Global Holdings Corp.</t>
  </si>
  <si>
    <t>HBNB</t>
  </si>
  <si>
    <t>1894.29</t>
  </si>
  <si>
    <t>234.15</t>
  </si>
  <si>
    <t>Harbour Energy</t>
  </si>
  <si>
    <t>HBRIY</t>
  </si>
  <si>
    <t>6484.77</t>
  </si>
  <si>
    <t>1579.72</t>
  </si>
  <si>
    <t>HCA HEALTHCARE</t>
  </si>
  <si>
    <t>HCA</t>
  </si>
  <si>
    <t>121903.17</t>
  </si>
  <si>
    <t>223.62</t>
  </si>
  <si>
    <t>Warrior Met Coal</t>
  </si>
  <si>
    <t>HCC</t>
  </si>
  <si>
    <t>4149.89</t>
  </si>
  <si>
    <t>52.57</t>
  </si>
  <si>
    <t>Hochschild Mining</t>
  </si>
  <si>
    <t>HCHDF</t>
  </si>
  <si>
    <t>4629.61</t>
  </si>
  <si>
    <t>514.46</t>
  </si>
  <si>
    <t>HCI Group</t>
  </si>
  <si>
    <t>HCI</t>
  </si>
  <si>
    <t>2128.99</t>
  </si>
  <si>
    <t>HUTCHMED (China) Limited Sponsored ADR</t>
  </si>
  <si>
    <t>HCM</t>
  </si>
  <si>
    <t>2401.96</t>
  </si>
  <si>
    <t>174.43</t>
  </si>
  <si>
    <t>Holcim Ltd Unsponsored ADR</t>
  </si>
  <si>
    <t>HCMLY</t>
  </si>
  <si>
    <t>47334.11</t>
  </si>
  <si>
    <t>2834.38</t>
  </si>
  <si>
    <t>Healthcare Services Group</t>
  </si>
  <si>
    <t>HCSG</t>
  </si>
  <si>
    <t>1450.32</t>
  </si>
  <si>
    <t>70.27</t>
  </si>
  <si>
    <t>Home Depot</t>
  </si>
  <si>
    <t>HD</t>
  </si>
  <si>
    <t>351973.03</t>
  </si>
  <si>
    <t>995.51</t>
  </si>
  <si>
    <t>HDFC Bank Limited</t>
  </si>
  <si>
    <t>HDB</t>
  </si>
  <si>
    <t>151616.02</t>
  </si>
  <si>
    <t>5101.48</t>
  </si>
  <si>
    <t>Super Hi International Holding Ltd. Unsponsored ADR</t>
  </si>
  <si>
    <t>HDL</t>
  </si>
  <si>
    <t>1071.35</t>
  </si>
  <si>
    <t>65.03</t>
  </si>
  <si>
    <t>Heidelberg Materials AG Unsponsored ADR</t>
  </si>
  <si>
    <t>HDLMY</t>
  </si>
  <si>
    <t>35492.86</t>
  </si>
  <si>
    <t>879.84</t>
  </si>
  <si>
    <t>Hawaiian Electric Industries</t>
  </si>
  <si>
    <t>HE</t>
  </si>
  <si>
    <t>2615.2</t>
  </si>
  <si>
    <t>172.62</t>
  </si>
  <si>
    <t>Hengan International Group Co.</t>
  </si>
  <si>
    <t>HEGIY</t>
  </si>
  <si>
    <t>4218.42</t>
  </si>
  <si>
    <t>232.16</t>
  </si>
  <si>
    <t>Heico</t>
  </si>
  <si>
    <t>HEI</t>
  </si>
  <si>
    <t>43240.95</t>
  </si>
  <si>
    <t>139.36</t>
  </si>
  <si>
    <t>HEI.A</t>
  </si>
  <si>
    <t>32621.97</t>
  </si>
  <si>
    <t>Heineken</t>
  </si>
  <si>
    <t>HEINY</t>
  </si>
  <si>
    <t>46925.78</t>
  </si>
  <si>
    <t>1130.74</t>
  </si>
  <si>
    <t>Henkel AG &amp; Co.</t>
  </si>
  <si>
    <t>HENKY</t>
  </si>
  <si>
    <t>35054.22</t>
  </si>
  <si>
    <t>1751.83</t>
  </si>
  <si>
    <t>22.78</t>
  </si>
  <si>
    <t>DMARKET Electronic Services &amp; Trading</t>
  </si>
  <si>
    <t>HEPS</t>
  </si>
  <si>
    <t>1039.53</t>
  </si>
  <si>
    <t>357.23</t>
  </si>
  <si>
    <t>Hermes International SA - Unsponsored ADR</t>
  </si>
  <si>
    <t>HESAY</t>
  </si>
  <si>
    <t>237425.59</t>
  </si>
  <si>
    <t>1055.69</t>
  </si>
  <si>
    <t>Hess Midstream Partners</t>
  </si>
  <si>
    <t>HESM</t>
  </si>
  <si>
    <t>8083.16</t>
  </si>
  <si>
    <t>Heritage Financial</t>
  </si>
  <si>
    <t>HFWA</t>
  </si>
  <si>
    <t>1036.09</t>
  </si>
  <si>
    <t>41.13</t>
  </si>
  <si>
    <t>Hamilton Insurance Group</t>
  </si>
  <si>
    <t>HG</t>
  </si>
  <si>
    <t>2791.64</t>
  </si>
  <si>
    <t>Power Assets</t>
  </si>
  <si>
    <t>HGKGY</t>
  </si>
  <si>
    <t>16665.24</t>
  </si>
  <si>
    <t>2131.1</t>
  </si>
  <si>
    <t>Hagerty</t>
  </si>
  <si>
    <t>HGTY</t>
  </si>
  <si>
    <t>3406.96</t>
  </si>
  <si>
    <t>342.06</t>
  </si>
  <si>
    <t>Hilton Grand Vacations</t>
  </si>
  <si>
    <t>HGV</t>
  </si>
  <si>
    <t>3519.15</t>
  </si>
  <si>
    <t>81.42</t>
  </si>
  <si>
    <t>HOWARD HUGH HLD</t>
  </si>
  <si>
    <t>HHH</t>
  </si>
  <si>
    <t>4023.07</t>
  </si>
  <si>
    <t>59.64</t>
  </si>
  <si>
    <t>The Hartford Insurance Group</t>
  </si>
  <si>
    <t>HIG</t>
  </si>
  <si>
    <t>38055.33</t>
  </si>
  <si>
    <t>275.86</t>
  </si>
  <si>
    <t>Huntington Ingalls Industries</t>
  </si>
  <si>
    <t>HII</t>
  </si>
  <si>
    <t>16857.87</t>
  </si>
  <si>
    <t>39.24</t>
  </si>
  <si>
    <t>Hims &amp; Hers Health</t>
  </si>
  <si>
    <t>HIMS</t>
  </si>
  <si>
    <t>5051.12</t>
  </si>
  <si>
    <t>227.94</t>
  </si>
  <si>
    <t>Himax Technologies</t>
  </si>
  <si>
    <t>HIMX</t>
  </si>
  <si>
    <t>1350.33</t>
  </si>
  <si>
    <t>174.91</t>
  </si>
  <si>
    <t>Highwoods Properties</t>
  </si>
  <si>
    <t>HIW</t>
  </si>
  <si>
    <t>2414.09</t>
  </si>
  <si>
    <t>Hikma Pharmaceuticals</t>
  </si>
  <si>
    <t>HKMPF</t>
  </si>
  <si>
    <t>3626.18</t>
  </si>
  <si>
    <t>221.89</t>
  </si>
  <si>
    <t>Hecla Mining</t>
  </si>
  <si>
    <t>HL</t>
  </si>
  <si>
    <t>14130.97</t>
  </si>
  <si>
    <t>670.35</t>
  </si>
  <si>
    <t>Henderson Land Development Co.</t>
  </si>
  <si>
    <t>HLDCY</t>
  </si>
  <si>
    <t>19588.25</t>
  </si>
  <si>
    <t>4841.39</t>
  </si>
  <si>
    <t>Herbalife Ltd</t>
  </si>
  <si>
    <t>HLF</t>
  </si>
  <si>
    <t>1726.2</t>
  </si>
  <si>
    <t>Retail - Pharmacies and Drug Stores</t>
  </si>
  <si>
    <t>103.37</t>
  </si>
  <si>
    <t>Houlihan Lokey</t>
  </si>
  <si>
    <t>HLI</t>
  </si>
  <si>
    <t>10243.91</t>
  </si>
  <si>
    <t>69.79</t>
  </si>
  <si>
    <t>Helios Technologies</t>
  </si>
  <si>
    <t>HLIO</t>
  </si>
  <si>
    <t>2171.17</t>
  </si>
  <si>
    <t>33.11</t>
  </si>
  <si>
    <t>Harmonic</t>
  </si>
  <si>
    <t>HLIT</t>
  </si>
  <si>
    <t>1048.41</t>
  </si>
  <si>
    <t>110.24</t>
  </si>
  <si>
    <t>Halma</t>
  </si>
  <si>
    <t>HLMAF</t>
  </si>
  <si>
    <t>19794.71</t>
  </si>
  <si>
    <t>379.64</t>
  </si>
  <si>
    <t>Hillman Solutions Corp.</t>
  </si>
  <si>
    <t>HLMN</t>
  </si>
  <si>
    <t>1606.15</t>
  </si>
  <si>
    <t>196.59</t>
  </si>
  <si>
    <t>Haleon PLC Sponsored ADR</t>
  </si>
  <si>
    <t>HLN</t>
  </si>
  <si>
    <t>45691.86</t>
  </si>
  <si>
    <t>4453.4</t>
  </si>
  <si>
    <t>Hamilton Lane</t>
  </si>
  <si>
    <t>HLNE</t>
  </si>
  <si>
    <t>5888.18</t>
  </si>
  <si>
    <t>Hang Lung Properties</t>
  </si>
  <si>
    <t>HLPPY</t>
  </si>
  <si>
    <t>6007.3</t>
  </si>
  <si>
    <t>1011.33</t>
  </si>
  <si>
    <t>Hilton Worldwide</t>
  </si>
  <si>
    <t>HLT</t>
  </si>
  <si>
    <t>69580.83</t>
  </si>
  <si>
    <t>229.29</t>
  </si>
  <si>
    <t>Hellenic Telecom Organization</t>
  </si>
  <si>
    <t>HLTOY</t>
  </si>
  <si>
    <t>7817.81</t>
  </si>
  <si>
    <t>821.2</t>
  </si>
  <si>
    <t>Helix Energy Solutions Group</t>
  </si>
  <si>
    <t>HLX</t>
  </si>
  <si>
    <t>1327.14</t>
  </si>
  <si>
    <t>147.3</t>
  </si>
  <si>
    <t>Honda Motor Co.</t>
  </si>
  <si>
    <t>HMC</t>
  </si>
  <si>
    <t>43501.02</t>
  </si>
  <si>
    <t>1560.85</t>
  </si>
  <si>
    <t>Horace Mann Educators</t>
  </si>
  <si>
    <t>HMN</t>
  </si>
  <si>
    <t>1703.73</t>
  </si>
  <si>
    <t>40.45</t>
  </si>
  <si>
    <t>Hemnet Group AB - Unsponsored ADR</t>
  </si>
  <si>
    <t>HMNTY</t>
  </si>
  <si>
    <t>1253.55</t>
  </si>
  <si>
    <t>90.51</t>
  </si>
  <si>
    <t>Harmony Gold</t>
  </si>
  <si>
    <t>HMY</t>
  </si>
  <si>
    <t>12099.18</t>
  </si>
  <si>
    <t>636.8</t>
  </si>
  <si>
    <t>Hinge Health Inc.</t>
  </si>
  <si>
    <t>HNGE</t>
  </si>
  <si>
    <t>3620.31</t>
  </si>
  <si>
    <t>78.72</t>
  </si>
  <si>
    <t>Hongkong Land</t>
  </si>
  <si>
    <t>HNGKY</t>
  </si>
  <si>
    <t>17411.78</t>
  </si>
  <si>
    <t>430.45</t>
  </si>
  <si>
    <t>19.71</t>
  </si>
  <si>
    <t>HNI</t>
  </si>
  <si>
    <t>1896.55</t>
  </si>
  <si>
    <t>45.84</t>
  </si>
  <si>
    <t>Hennes &amp; Mauritz</t>
  </si>
  <si>
    <t>HNNMY</t>
  </si>
  <si>
    <t>27285.27</t>
  </si>
  <si>
    <t>7050.46</t>
  </si>
  <si>
    <t>Hoya</t>
  </si>
  <si>
    <t>HOCPY</t>
  </si>
  <si>
    <t>59077.67</t>
  </si>
  <si>
    <t>338.41</t>
  </si>
  <si>
    <t>HarleyDavidson</t>
  </si>
  <si>
    <t>HOG</t>
  </si>
  <si>
    <t>2099.44</t>
  </si>
  <si>
    <t>111.85</t>
  </si>
  <si>
    <t>Hong Kong &amp; China Gas Co.</t>
  </si>
  <si>
    <t>HOKCY</t>
  </si>
  <si>
    <t>16793.88</t>
  </si>
  <si>
    <t>18659.87</t>
  </si>
  <si>
    <t>Hologic</t>
  </si>
  <si>
    <t>HOLX</t>
  </si>
  <si>
    <t>16875.08</t>
  </si>
  <si>
    <t>52.73</t>
  </si>
  <si>
    <t>Home BancShares</t>
  </si>
  <si>
    <t>HOMB</t>
  </si>
  <si>
    <t>5299.29</t>
  </si>
  <si>
    <t>196.63</t>
  </si>
  <si>
    <t>Honeywell International</t>
  </si>
  <si>
    <t>HON</t>
  </si>
  <si>
    <t>151030.19</t>
  </si>
  <si>
    <t>635.68</t>
  </si>
  <si>
    <t>Robinhood Markets</t>
  </si>
  <si>
    <t>HOOD</t>
  </si>
  <si>
    <t>71439.47</t>
  </si>
  <si>
    <t>900.31</t>
  </si>
  <si>
    <t>Hope Bancorp</t>
  </si>
  <si>
    <t>HOPE</t>
  </si>
  <si>
    <t>1411.52</t>
  </si>
  <si>
    <t>Helmerich &amp; Payne</t>
  </si>
  <si>
    <t>HP</t>
  </si>
  <si>
    <t>3431.83</t>
  </si>
  <si>
    <t>99.85</t>
  </si>
  <si>
    <t>Hewlett Packard</t>
  </si>
  <si>
    <t>HPE</t>
  </si>
  <si>
    <t>28981.31</t>
  </si>
  <si>
    <t>1328.81</t>
  </si>
  <si>
    <t>HPQ</t>
  </si>
  <si>
    <t>17312.44</t>
  </si>
  <si>
    <t>914.55</t>
  </si>
  <si>
    <t>HealthEquity</t>
  </si>
  <si>
    <t>HQY</t>
  </si>
  <si>
    <t>6838.32</t>
  </si>
  <si>
    <t>85.44</t>
  </si>
  <si>
    <t>Healthcare Realty Trust Incorporated</t>
  </si>
  <si>
    <t>HR</t>
  </si>
  <si>
    <t>6429.3</t>
  </si>
  <si>
    <t>348.85</t>
  </si>
  <si>
    <t>H&amp;R Block</t>
  </si>
  <si>
    <t>HRB</t>
  </si>
  <si>
    <t>3925.75</t>
  </si>
  <si>
    <t>126.76</t>
  </si>
  <si>
    <t>Herc Holdings</t>
  </si>
  <si>
    <t>HRI</t>
  </si>
  <si>
    <t>4043.14</t>
  </si>
  <si>
    <t>Horiba</t>
  </si>
  <si>
    <t>HRIBF</t>
  </si>
  <si>
    <t>5244.06</t>
  </si>
  <si>
    <t>41.95</t>
  </si>
  <si>
    <t>Hormel Foods</t>
  </si>
  <si>
    <t>HRL</t>
  </si>
  <si>
    <t>13140.79</t>
  </si>
  <si>
    <t>Food - Meat Products</t>
  </si>
  <si>
    <t>550.28</t>
  </si>
  <si>
    <t>Harmony Biosciences</t>
  </si>
  <si>
    <t>HRMY</t>
  </si>
  <si>
    <t>1652.51</t>
  </si>
  <si>
    <t>57.84</t>
  </si>
  <si>
    <t>Hydro One Limited</t>
  </si>
  <si>
    <t>HRNNF</t>
  </si>
  <si>
    <t>26300.35</t>
  </si>
  <si>
    <t>599.78</t>
  </si>
  <si>
    <t>Harrow</t>
  </si>
  <si>
    <t>HROW</t>
  </si>
  <si>
    <t>1308.62</t>
  </si>
  <si>
    <t>Hesai Group Sponsored ADR</t>
  </si>
  <si>
    <t>HSAI</t>
  </si>
  <si>
    <t>HSBC</t>
  </si>
  <si>
    <t>293662.22</t>
  </si>
  <si>
    <t>3435.05</t>
  </si>
  <si>
    <t>Henry Schein</t>
  </si>
  <si>
    <t>HSIC</t>
  </si>
  <si>
    <t>8958.39</t>
  </si>
  <si>
    <t>114.7</t>
  </si>
  <si>
    <t>Host Hotels &amp; Resorts</t>
  </si>
  <si>
    <t>HST</t>
  </si>
  <si>
    <t>13178.29</t>
  </si>
  <si>
    <t>687.8</t>
  </si>
  <si>
    <t>Hershey</t>
  </si>
  <si>
    <t>HSY</t>
  </si>
  <si>
    <t>45155.49</t>
  </si>
  <si>
    <t>Food - Confectionery</t>
  </si>
  <si>
    <t>202.69</t>
  </si>
  <si>
    <t>HITACHI CONSTR</t>
  </si>
  <si>
    <t>HTCMY</t>
  </si>
  <si>
    <t>8382.67</t>
  </si>
  <si>
    <t>106.35</t>
  </si>
  <si>
    <t>Heartflow</t>
  </si>
  <si>
    <t>HTFL</t>
  </si>
  <si>
    <t>1973.98</t>
  </si>
  <si>
    <t>85.16</t>
  </si>
  <si>
    <t>Hercules Capital</t>
  </si>
  <si>
    <t>HTGC</t>
  </si>
  <si>
    <t>2694.81</t>
  </si>
  <si>
    <t>183.7</t>
  </si>
  <si>
    <t>Hilltop Holdings</t>
  </si>
  <si>
    <t>HTH</t>
  </si>
  <si>
    <t>2184.18</t>
  </si>
  <si>
    <t>Hitachi</t>
  </si>
  <si>
    <t>HTHIY</t>
  </si>
  <si>
    <t>141440.95</t>
  </si>
  <si>
    <t>4580.34</t>
  </si>
  <si>
    <t>H World Group Limited Sponsored ADR</t>
  </si>
  <si>
    <t>HTHT</t>
  </si>
  <si>
    <t>16047.36</t>
  </si>
  <si>
    <t>307.89</t>
  </si>
  <si>
    <t>H2O America</t>
  </si>
  <si>
    <t>HTO</t>
  </si>
  <si>
    <t>2118.15</t>
  </si>
  <si>
    <t>36.16</t>
  </si>
  <si>
    <t>Hertz Global</t>
  </si>
  <si>
    <t>HTZ</t>
  </si>
  <si>
    <t>1299.42</t>
  </si>
  <si>
    <t>312.36</t>
  </si>
  <si>
    <t>Hubbell</t>
  </si>
  <si>
    <t>HUBB</t>
  </si>
  <si>
    <t>25930.1</t>
  </si>
  <si>
    <t xml:space="preserve">Manufacturing - Electrical Utilities </t>
  </si>
  <si>
    <t>53.16</t>
  </si>
  <si>
    <t>Hub Group</t>
  </si>
  <si>
    <t>HUBG</t>
  </si>
  <si>
    <t>2384.38</t>
  </si>
  <si>
    <t>61.15</t>
  </si>
  <si>
    <t>HubSpot</t>
  </si>
  <si>
    <t>HUBS</t>
  </si>
  <si>
    <t>15128.09</t>
  </si>
  <si>
    <t>Huabao International</t>
  </si>
  <si>
    <t>HUIHY</t>
  </si>
  <si>
    <t>1614.96</t>
  </si>
  <si>
    <t>64.6</t>
  </si>
  <si>
    <t>Humana</t>
  </si>
  <si>
    <t>HUM</t>
  </si>
  <si>
    <t>21433.32</t>
  </si>
  <si>
    <t>120.05</t>
  </si>
  <si>
    <t>Huntsman</t>
  </si>
  <si>
    <t>HUN</t>
  </si>
  <si>
    <t>2107.25</t>
  </si>
  <si>
    <t>174.01</t>
  </si>
  <si>
    <t>Huron Consulting Group</t>
  </si>
  <si>
    <t>HURN</t>
  </si>
  <si>
    <t>2410.84</t>
  </si>
  <si>
    <t>Hut 8 Corp.</t>
  </si>
  <si>
    <t>HUT</t>
  </si>
  <si>
    <t>5404.65</t>
  </si>
  <si>
    <t>110.89</t>
  </si>
  <si>
    <t>Hannover Ruck</t>
  </si>
  <si>
    <t>HVRRY</t>
  </si>
  <si>
    <t>35187.13</t>
  </si>
  <si>
    <t>723.57</t>
  </si>
  <si>
    <t>Hancock Whitney</t>
  </si>
  <si>
    <t>HWC</t>
  </si>
  <si>
    <t>5245.05</t>
  </si>
  <si>
    <t>83.61</t>
  </si>
  <si>
    <t>Howden Joinery</t>
  </si>
  <si>
    <t>HWDJY</t>
  </si>
  <si>
    <t>5996.79</t>
  </si>
  <si>
    <t>134.76</t>
  </si>
  <si>
    <t>52.56</t>
  </si>
  <si>
    <t>Hawkins</t>
  </si>
  <si>
    <t>HWKN</t>
  </si>
  <si>
    <t>3197.39</t>
  </si>
  <si>
    <t>Howmet Aerospace</t>
  </si>
  <si>
    <t>HWM</t>
  </si>
  <si>
    <t>101894.91</t>
  </si>
  <si>
    <t>400.94</t>
  </si>
  <si>
    <t>Hexagon AB Unsponsored ADR</t>
  </si>
  <si>
    <t>HXGBY</t>
  </si>
  <si>
    <t>28642.31</t>
  </si>
  <si>
    <t>2684.38</t>
  </si>
  <si>
    <t>Hexcel</t>
  </si>
  <si>
    <t>HXL</t>
  </si>
  <si>
    <t>6593.9</t>
  </si>
  <si>
    <t>75.87</t>
  </si>
  <si>
    <t>iShares iBoxx $ High Yield Corporate Bond ETF</t>
  </si>
  <si>
    <t>HYG</t>
  </si>
  <si>
    <t>15649.18</t>
  </si>
  <si>
    <t>195.2</t>
  </si>
  <si>
    <t>81.32</t>
  </si>
  <si>
    <t>Hycroft Mining</t>
  </si>
  <si>
    <t>HYMC</t>
  </si>
  <si>
    <t>3696.06</t>
  </si>
  <si>
    <t>91.04</t>
  </si>
  <si>
    <t>Hypermarcas</t>
  </si>
  <si>
    <t>HYPMY</t>
  </si>
  <si>
    <t>2489.34</t>
  </si>
  <si>
    <t>633.42</t>
  </si>
  <si>
    <t>IAC INC</t>
  </si>
  <si>
    <t>IAC</t>
  </si>
  <si>
    <t>2656.99</t>
  </si>
  <si>
    <t>71.12</t>
  </si>
  <si>
    <t>Iamgold</t>
  </si>
  <si>
    <t>IAG</t>
  </si>
  <si>
    <t>12889.76</t>
  </si>
  <si>
    <t>589.92</t>
  </si>
  <si>
    <t>iShares Gold Trust</t>
  </si>
  <si>
    <t>IAU</t>
  </si>
  <si>
    <t>82393.66</t>
  </si>
  <si>
    <t>851.35</t>
  </si>
  <si>
    <t>i-80 Gold Corp.</t>
  </si>
  <si>
    <t>IAUX</t>
  </si>
  <si>
    <t>1488.61</t>
  </si>
  <si>
    <t>841.02</t>
  </si>
  <si>
    <t>iShares Biotechnology ETF</t>
  </si>
  <si>
    <t>IBB</t>
  </si>
  <si>
    <t>8401.77</t>
  </si>
  <si>
    <t>49.05</t>
  </si>
  <si>
    <t>Iberdrola</t>
  </si>
  <si>
    <t>IBDRY</t>
  </si>
  <si>
    <t>149074.88</t>
  </si>
  <si>
    <t>1670.31</t>
  </si>
  <si>
    <t>Interactive Brokers</t>
  </si>
  <si>
    <t>IBKR</t>
  </si>
  <si>
    <t>114472.69</t>
  </si>
  <si>
    <t>1696.14</t>
  </si>
  <si>
    <t>International Business Machines</t>
  </si>
  <si>
    <t>IBM</t>
  </si>
  <si>
    <t>237632.27</t>
  </si>
  <si>
    <t>938.03</t>
  </si>
  <si>
    <t>ICICI Bank</t>
  </si>
  <si>
    <t>IBN</t>
  </si>
  <si>
    <t>100269.91</t>
  </si>
  <si>
    <t>3578.51</t>
  </si>
  <si>
    <t>34.41</t>
  </si>
  <si>
    <t>International Bancshares</t>
  </si>
  <si>
    <t>IBOC</t>
  </si>
  <si>
    <t>4172.13</t>
  </si>
  <si>
    <t>Installed Building Products</t>
  </si>
  <si>
    <t>IBP</t>
  </si>
  <si>
    <t>8073.13</t>
  </si>
  <si>
    <t>26.98</t>
  </si>
  <si>
    <t>ImmunityBio</t>
  </si>
  <si>
    <t>IBRX</t>
  </si>
  <si>
    <t>8687.54</t>
  </si>
  <si>
    <t>1028.11</t>
  </si>
  <si>
    <t>International Consolidated Airlines Group</t>
  </si>
  <si>
    <t>ICAGY</t>
  </si>
  <si>
    <t>22528.91</t>
  </si>
  <si>
    <t>2282.56</t>
  </si>
  <si>
    <t>Intercontinental Exchange</t>
  </si>
  <si>
    <t>ICE</t>
  </si>
  <si>
    <t>94157.24</t>
  </si>
  <si>
    <t>567.9</t>
  </si>
  <si>
    <t>iShares Select U.S. REIT ETF</t>
  </si>
  <si>
    <t>ICF</t>
  </si>
  <si>
    <t>2061.91</t>
  </si>
  <si>
    <t>ICF International</t>
  </si>
  <si>
    <t>ICFI</t>
  </si>
  <si>
    <t>1376.89</t>
  </si>
  <si>
    <t>Ichor Holdings</t>
  </si>
  <si>
    <t>ICHR</t>
  </si>
  <si>
    <t>1445.71</t>
  </si>
  <si>
    <t>34.64</t>
  </si>
  <si>
    <t>ICON</t>
  </si>
  <si>
    <t>ICLR</t>
  </si>
  <si>
    <t>8885.68</t>
  </si>
  <si>
    <t>80.76</t>
  </si>
  <si>
    <t>80.08</t>
  </si>
  <si>
    <t>ICU Medical</t>
  </si>
  <si>
    <t>ICUI</t>
  </si>
  <si>
    <t>3292.2</t>
  </si>
  <si>
    <t>24.69</t>
  </si>
  <si>
    <t>IDACORP</t>
  </si>
  <si>
    <t>IDA</t>
  </si>
  <si>
    <t>7828.05</t>
  </si>
  <si>
    <t>54.9</t>
  </si>
  <si>
    <t>Industrial &amp; Commercial Bank of China</t>
  </si>
  <si>
    <t>IDCBY</t>
  </si>
  <si>
    <t>288537.63</t>
  </si>
  <si>
    <t>17820.31</t>
  </si>
  <si>
    <t>InterDigital</t>
  </si>
  <si>
    <t>IDCC</t>
  </si>
  <si>
    <t>9344.07</t>
  </si>
  <si>
    <t>25.69</t>
  </si>
  <si>
    <t>Industria de Diseno Textil</t>
  </si>
  <si>
    <t>IDEXY</t>
  </si>
  <si>
    <t>184381.14</t>
  </si>
  <si>
    <t>12466.61</t>
  </si>
  <si>
    <t>IDT</t>
  </si>
  <si>
    <t>1272.22</t>
  </si>
  <si>
    <t>iShares International Select Dividend ETF</t>
  </si>
  <si>
    <t>IDV</t>
  </si>
  <si>
    <t>7865.69</t>
  </si>
  <si>
    <t>187.1</t>
  </si>
  <si>
    <t>44.8</t>
  </si>
  <si>
    <t>IDEXX Laboratories</t>
  </si>
  <si>
    <t>IDXX</t>
  </si>
  <si>
    <t>48606.49</t>
  </si>
  <si>
    <t>79.62</t>
  </si>
  <si>
    <t>IDEAYA Biosciences</t>
  </si>
  <si>
    <t>IDYA</t>
  </si>
  <si>
    <t>3080.52</t>
  </si>
  <si>
    <t>Ivanhoe Electric Inc.</t>
  </si>
  <si>
    <t>IE</t>
  </si>
  <si>
    <t>2090.57</t>
  </si>
  <si>
    <t>157.42</t>
  </si>
  <si>
    <t>iShares 7-10 Year Treasury Bond ETF</t>
  </si>
  <si>
    <t>IEF</t>
  </si>
  <si>
    <t>48616.88</t>
  </si>
  <si>
    <t>502.5</t>
  </si>
  <si>
    <t>Icahn Enterprises</t>
  </si>
  <si>
    <t>IEP</t>
  </si>
  <si>
    <t>4842.79</t>
  </si>
  <si>
    <t>637.21</t>
  </si>
  <si>
    <t>IES</t>
  </si>
  <si>
    <t>IESC</t>
  </si>
  <si>
    <t>8972.98</t>
  </si>
  <si>
    <t>Electronics - Miscellaneous Services</t>
  </si>
  <si>
    <t>19.93</t>
  </si>
  <si>
    <t>IDEX</t>
  </si>
  <si>
    <t>IEX</t>
  </si>
  <si>
    <t>14691.13</t>
  </si>
  <si>
    <t>74.35</t>
  </si>
  <si>
    <t>Intact Financial Corporation</t>
  </si>
  <si>
    <t>IFCZF</t>
  </si>
  <si>
    <t>32749.45</t>
  </si>
  <si>
    <t>177.56</t>
  </si>
  <si>
    <t>International Flavors &amp; Fragrances</t>
  </si>
  <si>
    <t>IFF</t>
  </si>
  <si>
    <t>18690.73</t>
  </si>
  <si>
    <t>255.48</t>
  </si>
  <si>
    <t>Infineon Technologies</t>
  </si>
  <si>
    <t>IFNNY</t>
  </si>
  <si>
    <t>57493.99</t>
  </si>
  <si>
    <t>1228.5</t>
  </si>
  <si>
    <t>Intercorp Financial Services</t>
  </si>
  <si>
    <t>IFS</t>
  </si>
  <si>
    <t>5126.55</t>
  </si>
  <si>
    <t>114.43</t>
  </si>
  <si>
    <t>iShares 5-10 Year Investment Grade Corporate Bond ETF</t>
  </si>
  <si>
    <t>IGIB</t>
  </si>
  <si>
    <t>18281.65</t>
  </si>
  <si>
    <t>338.8</t>
  </si>
  <si>
    <t>International General Insurance</t>
  </si>
  <si>
    <t>IGIC</t>
  </si>
  <si>
    <t>1076.55</t>
  </si>
  <si>
    <t>iShares 1-5 Year Investment Grade Corporate Bond ETF</t>
  </si>
  <si>
    <t>IGSB</t>
  </si>
  <si>
    <t>22598.66</t>
  </si>
  <si>
    <t>427.6</t>
  </si>
  <si>
    <t>Intercontinental Hotels Group</t>
  </si>
  <si>
    <t>IHG</t>
  </si>
  <si>
    <t>20019.96</t>
  </si>
  <si>
    <t>150.98</t>
  </si>
  <si>
    <t>IHI CORP</t>
  </si>
  <si>
    <t>IHICY</t>
  </si>
  <si>
    <t>27047.34</t>
  </si>
  <si>
    <t>1082.76</t>
  </si>
  <si>
    <t>42.58</t>
  </si>
  <si>
    <t>IHS Holding</t>
  </si>
  <si>
    <t>IHS</t>
  </si>
  <si>
    <t>2744.56</t>
  </si>
  <si>
    <t>Communication - Infrastructure</t>
  </si>
  <si>
    <t>335.52</t>
  </si>
  <si>
    <t>Internet Initiative Japan</t>
  </si>
  <si>
    <t>IIJIY</t>
  </si>
  <si>
    <t>2543.52</t>
  </si>
  <si>
    <t>91.72</t>
  </si>
  <si>
    <t>Innovative Industrial Properties</t>
  </si>
  <si>
    <t>IIPR</t>
  </si>
  <si>
    <t>1534.53</t>
  </si>
  <si>
    <t>InterRent Real Estate Investment Trust</t>
  </si>
  <si>
    <t>IIPZF</t>
  </si>
  <si>
    <t>1370.9</t>
  </si>
  <si>
    <t>iShares Core S&amp;P Mid-Cap ETF</t>
  </si>
  <si>
    <t>IJH</t>
  </si>
  <si>
    <t>107747.41</t>
  </si>
  <si>
    <t>1564.05</t>
  </si>
  <si>
    <t>iShares S&amp;P Mid-Cap 400 Value ETF</t>
  </si>
  <si>
    <t>IJJ</t>
  </si>
  <si>
    <t>8088.56</t>
  </si>
  <si>
    <t>60.25</t>
  </si>
  <si>
    <t>iShares S&amp;P Mid-Cap 400 Growth ETF</t>
  </si>
  <si>
    <t>IJK</t>
  </si>
  <si>
    <t>9608.34</t>
  </si>
  <si>
    <t>iShares Core S&amp;P Small-Cap ETF</t>
  </si>
  <si>
    <t>IJR</t>
  </si>
  <si>
    <t>92704.85</t>
  </si>
  <si>
    <t>739.45</t>
  </si>
  <si>
    <t>iShares S&amp;P Small-Cap 600 Value ETF</t>
  </si>
  <si>
    <t>IJS</t>
  </si>
  <si>
    <t>7306.38</t>
  </si>
  <si>
    <t>61.6</t>
  </si>
  <si>
    <t>iShares S&amp;P Small-Cap 600 Growth ETF</t>
  </si>
  <si>
    <t>IJT</t>
  </si>
  <si>
    <t>6588.74</t>
  </si>
  <si>
    <t>INTERTEK GP</t>
  </si>
  <si>
    <t>IKTSY</t>
  </si>
  <si>
    <t>7987.52</t>
  </si>
  <si>
    <t>153.93</t>
  </si>
  <si>
    <t>iShares Latin America 40 ETF</t>
  </si>
  <si>
    <t>ILF</t>
  </si>
  <si>
    <t>4145.2</t>
  </si>
  <si>
    <t>120.5</t>
  </si>
  <si>
    <t>Illumina</t>
  </si>
  <si>
    <t>ILMN</t>
  </si>
  <si>
    <t>19002.41</t>
  </si>
  <si>
    <t>152.9</t>
  </si>
  <si>
    <t>IMAX</t>
  </si>
  <si>
    <t>2132.18</t>
  </si>
  <si>
    <t>53.99</t>
  </si>
  <si>
    <t>Imperial Tobacco Group</t>
  </si>
  <si>
    <t>IMBBY</t>
  </si>
  <si>
    <t>33470.69</t>
  </si>
  <si>
    <t>791.27</t>
  </si>
  <si>
    <t>Immunocore</t>
  </si>
  <si>
    <t>IMCR</t>
  </si>
  <si>
    <t>1688.22</t>
  </si>
  <si>
    <t>50.53</t>
  </si>
  <si>
    <t>Ingles Markets</t>
  </si>
  <si>
    <t>IMKTA</t>
  </si>
  <si>
    <t>1593.82</t>
  </si>
  <si>
    <t>59.62</t>
  </si>
  <si>
    <t>Immunome</t>
  </si>
  <si>
    <t>IMNM</t>
  </si>
  <si>
    <t>2413.13</t>
  </si>
  <si>
    <t>113.13</t>
  </si>
  <si>
    <t>Imperial Oil</t>
  </si>
  <si>
    <t>IMO</t>
  </si>
  <si>
    <t>57716.79</t>
  </si>
  <si>
    <t>483.59</t>
  </si>
  <si>
    <t>Chipmos Technologies</t>
  </si>
  <si>
    <t>IMOS</t>
  </si>
  <si>
    <t>1341.76</t>
  </si>
  <si>
    <t>35.23</t>
  </si>
  <si>
    <t>Impala Platinum</t>
  </si>
  <si>
    <t>IMPUY</t>
  </si>
  <si>
    <t>14782.39</t>
  </si>
  <si>
    <t>896.99</t>
  </si>
  <si>
    <t>Immatics</t>
  </si>
  <si>
    <t>IMTX</t>
  </si>
  <si>
    <t>1215.5</t>
  </si>
  <si>
    <t>121.55</t>
  </si>
  <si>
    <t>Immunovant</t>
  </si>
  <si>
    <t>IMVT</t>
  </si>
  <si>
    <t>5375.29</t>
  </si>
  <si>
    <t>203.53</t>
  </si>
  <si>
    <t>Inhibrx Biosciences</t>
  </si>
  <si>
    <t>INBX</t>
  </si>
  <si>
    <t>1045.11</t>
  </si>
  <si>
    <t>Incyte</t>
  </si>
  <si>
    <t>INCY</t>
  </si>
  <si>
    <t>19324.31</t>
  </si>
  <si>
    <t>199.01</t>
  </si>
  <si>
    <t>Independent Bank</t>
  </si>
  <si>
    <t>INDB</t>
  </si>
  <si>
    <t>3750.31</t>
  </si>
  <si>
    <t>48.99</t>
  </si>
  <si>
    <t>53.62</t>
  </si>
  <si>
    <t>Indivior Pharmaceuticals Inc.</t>
  </si>
  <si>
    <t>INDV</t>
  </si>
  <si>
    <t>4077.13</t>
  </si>
  <si>
    <t>125.07</t>
  </si>
  <si>
    <t>32.6</t>
  </si>
  <si>
    <t>Infosys</t>
  </si>
  <si>
    <t>INFY</t>
  </si>
  <si>
    <t>58338.75</t>
  </si>
  <si>
    <t>4045.68</t>
  </si>
  <si>
    <t>14.42</t>
  </si>
  <si>
    <t>ING Group</t>
  </si>
  <si>
    <t>ING</t>
  </si>
  <si>
    <t>77617.88</t>
  </si>
  <si>
    <t>2910.31</t>
  </si>
  <si>
    <t>26.67</t>
  </si>
  <si>
    <t>Ingram Micro Holding Corporation</t>
  </si>
  <si>
    <t>INGM</t>
  </si>
  <si>
    <t>5228.06</t>
  </si>
  <si>
    <t>235.07</t>
  </si>
  <si>
    <t>Ingredion</t>
  </si>
  <si>
    <t>INGR</t>
  </si>
  <si>
    <t>7137.34</t>
  </si>
  <si>
    <t>62.94</t>
  </si>
  <si>
    <t>InnovAge</t>
  </si>
  <si>
    <t>INNV</t>
  </si>
  <si>
    <t>1188.73</t>
  </si>
  <si>
    <t>135.7</t>
  </si>
  <si>
    <t>Innodata Inc</t>
  </si>
  <si>
    <t>INOD</t>
  </si>
  <si>
    <t>1483.41</t>
  </si>
  <si>
    <t>InPost S.A. - Unsponsored ADR</t>
  </si>
  <si>
    <t>INPOY</t>
  </si>
  <si>
    <t>8754.28</t>
  </si>
  <si>
    <t>995.37</t>
  </si>
  <si>
    <t>Infinity Natural Resources Inc.</t>
  </si>
  <si>
    <t>INR</t>
  </si>
  <si>
    <t>1095.19</t>
  </si>
  <si>
    <t>Insmed</t>
  </si>
  <si>
    <t>INSM</t>
  </si>
  <si>
    <t>30851.95</t>
  </si>
  <si>
    <t>215.55</t>
  </si>
  <si>
    <t>Inspire Medical Systems</t>
  </si>
  <si>
    <t>INSP</t>
  </si>
  <si>
    <t>1769.39</t>
  </si>
  <si>
    <t>28.59</t>
  </si>
  <si>
    <t>International Seaways</t>
  </si>
  <si>
    <t>INSW</t>
  </si>
  <si>
    <t>3742.13</t>
  </si>
  <si>
    <t>Intapp</t>
  </si>
  <si>
    <t>INTA</t>
  </si>
  <si>
    <t>2159.43</t>
  </si>
  <si>
    <t>Intel</t>
  </si>
  <si>
    <t>INTC</t>
  </si>
  <si>
    <t>227672.11</t>
  </si>
  <si>
    <t>Inter &amp; Co. Inc.</t>
  </si>
  <si>
    <t>INTR</t>
  </si>
  <si>
    <t>3618.75</t>
  </si>
  <si>
    <t>439.7</t>
  </si>
  <si>
    <t>Intuit</t>
  </si>
  <si>
    <t>INTU</t>
  </si>
  <si>
    <t>130993.45</t>
  </si>
  <si>
    <t>276.55</t>
  </si>
  <si>
    <t>Innoviva</t>
  </si>
  <si>
    <t>INVA</t>
  </si>
  <si>
    <t>1653.32</t>
  </si>
  <si>
    <t>74.07</t>
  </si>
  <si>
    <t>Invitation Home</t>
  </si>
  <si>
    <t>INVH</t>
  </si>
  <si>
    <t>15825.76</t>
  </si>
  <si>
    <t>609.39</t>
  </si>
  <si>
    <t>Innovex International</t>
  </si>
  <si>
    <t>INVX</t>
  </si>
  <si>
    <t>1852.22</t>
  </si>
  <si>
    <t>Oil and Gas - Mechanical and and Equipment</t>
  </si>
  <si>
    <t>69.14</t>
  </si>
  <si>
    <t>26.79</t>
  </si>
  <si>
    <t>IonQ</t>
  </si>
  <si>
    <t>IONQ</t>
  </si>
  <si>
    <t>13151.4</t>
  </si>
  <si>
    <t>366.64</t>
  </si>
  <si>
    <t>Ionis Pharmaceuticals</t>
  </si>
  <si>
    <t>IONS</t>
  </si>
  <si>
    <t>12448.87</t>
  </si>
  <si>
    <t>165.19</t>
  </si>
  <si>
    <t>Innospec</t>
  </si>
  <si>
    <t>IOSP</t>
  </si>
  <si>
    <t>1769.88</t>
  </si>
  <si>
    <t>71.43</t>
  </si>
  <si>
    <t>Samsara Inc.</t>
  </si>
  <si>
    <t>IOT</t>
  </si>
  <si>
    <t>19710.46</t>
  </si>
  <si>
    <t>Iovance Biotherapeutics</t>
  </si>
  <si>
    <t>IOVA</t>
  </si>
  <si>
    <t>2228.71</t>
  </si>
  <si>
    <t>411.96</t>
  </si>
  <si>
    <t>International Paper</t>
  </si>
  <si>
    <t>IP</t>
  </si>
  <si>
    <t>20326.33</t>
  </si>
  <si>
    <t>Paper and Related Products</t>
  </si>
  <si>
    <t>529.47</t>
  </si>
  <si>
    <t>Interparfums</t>
  </si>
  <si>
    <t>IPAR</t>
  </si>
  <si>
    <t>2986.83</t>
  </si>
  <si>
    <t>IPG Photonics</t>
  </si>
  <si>
    <t>IPGP</t>
  </si>
  <si>
    <t>5142.7</t>
  </si>
  <si>
    <t>Lasers Systems and Components</t>
  </si>
  <si>
    <t>IPSEN</t>
  </si>
  <si>
    <t>IPSEY</t>
  </si>
  <si>
    <t>335.26</t>
  </si>
  <si>
    <t>IperionX Limited Sponsored ADR</t>
  </si>
  <si>
    <t>IPX</t>
  </si>
  <si>
    <t>1621.24</t>
  </si>
  <si>
    <t>Inpex</t>
  </si>
  <si>
    <t>IPXHY</t>
  </si>
  <si>
    <t>29164.21</t>
  </si>
  <si>
    <t>1186.02</t>
  </si>
  <si>
    <t>iQIYI</t>
  </si>
  <si>
    <t>IQ</t>
  </si>
  <si>
    <t>1290.21</t>
  </si>
  <si>
    <t>962.84</t>
  </si>
  <si>
    <t>IQVIA</t>
  </si>
  <si>
    <t>IQV</t>
  </si>
  <si>
    <t>30299.94</t>
  </si>
  <si>
    <t>Ingersoll Rand</t>
  </si>
  <si>
    <t>IR</t>
  </si>
  <si>
    <t>33937.62</t>
  </si>
  <si>
    <t>391.62</t>
  </si>
  <si>
    <t>Iridium Communications</t>
  </si>
  <si>
    <t>IRDM</t>
  </si>
  <si>
    <t>2544.15</t>
  </si>
  <si>
    <t>104.96</t>
  </si>
  <si>
    <t>17.33</t>
  </si>
  <si>
    <t>IREN Limited</t>
  </si>
  <si>
    <t>IREN</t>
  </si>
  <si>
    <t>12905.77</t>
  </si>
  <si>
    <t>332.28</t>
  </si>
  <si>
    <t>Iron Mountain</t>
  </si>
  <si>
    <t>IRM</t>
  </si>
  <si>
    <t>31695.78</t>
  </si>
  <si>
    <t>295.83</t>
  </si>
  <si>
    <t>iRadimed</t>
  </si>
  <si>
    <t>IRMD</t>
  </si>
  <si>
    <t>1280.56</t>
  </si>
  <si>
    <t>Disc Medicine</t>
  </si>
  <si>
    <t>IRON</t>
  </si>
  <si>
    <t>2424.69</t>
  </si>
  <si>
    <t>IRSA Inversiones Y Representaciones</t>
  </si>
  <si>
    <t>IRS</t>
  </si>
  <si>
    <t>1152.77</t>
  </si>
  <si>
    <t>77.42</t>
  </si>
  <si>
    <t>Independence Realty Trust</t>
  </si>
  <si>
    <t>IRT</t>
  </si>
  <si>
    <t>3870.04</t>
  </si>
  <si>
    <t>237.28</t>
  </si>
  <si>
    <t>IRHYTHM HLDGS</t>
  </si>
  <si>
    <t>IRTC</t>
  </si>
  <si>
    <t>3999.2</t>
  </si>
  <si>
    <t>32.32</t>
  </si>
  <si>
    <t>Intesa Sanpaolo</t>
  </si>
  <si>
    <t>ISNPY</t>
  </si>
  <si>
    <t>107440.61</t>
  </si>
  <si>
    <t>2902.23</t>
  </si>
  <si>
    <t>Intuitive Surgical</t>
  </si>
  <si>
    <t>ISRG</t>
  </si>
  <si>
    <t>175278.08</t>
  </si>
  <si>
    <t>355.13</t>
  </si>
  <si>
    <t>Isuzu Motors</t>
  </si>
  <si>
    <t>ISUZY</t>
  </si>
  <si>
    <t>11095.79</t>
  </si>
  <si>
    <t>688.75</t>
  </si>
  <si>
    <t>Gartner</t>
  </si>
  <si>
    <t>IT</t>
  </si>
  <si>
    <t>11722.22</t>
  </si>
  <si>
    <t>70.45</t>
  </si>
  <si>
    <t>144.97</t>
  </si>
  <si>
    <t>Integer Holdings</t>
  </si>
  <si>
    <t>ITGR</t>
  </si>
  <si>
    <t>2937.7</t>
  </si>
  <si>
    <t>Itochu</t>
  </si>
  <si>
    <t>ITOCY</t>
  </si>
  <si>
    <t>103572.53</t>
  </si>
  <si>
    <t>7924.45</t>
  </si>
  <si>
    <t>Itron</t>
  </si>
  <si>
    <t>ITRI</t>
  </si>
  <si>
    <t>4322.44</t>
  </si>
  <si>
    <t>ITT</t>
  </si>
  <si>
    <t>16022.66</t>
  </si>
  <si>
    <t>Itau Unibanco</t>
  </si>
  <si>
    <t>ITUB</t>
  </si>
  <si>
    <t>91822.74</t>
  </si>
  <si>
    <t>11076.33</t>
  </si>
  <si>
    <t>ITV</t>
  </si>
  <si>
    <t>ITVPY</t>
  </si>
  <si>
    <t>4322.15</t>
  </si>
  <si>
    <t>379.32</t>
  </si>
  <si>
    <t>Illinois Tool Works</t>
  </si>
  <si>
    <t>ITW</t>
  </si>
  <si>
    <t>79710.36</t>
  </si>
  <si>
    <t>288.2</t>
  </si>
  <si>
    <t>Ivanhoe Mines Ltd.</t>
  </si>
  <si>
    <t>IVPAF</t>
  </si>
  <si>
    <t>14117.03</t>
  </si>
  <si>
    <t>1425.96</t>
  </si>
  <si>
    <t>InvenTrust Properties</t>
  </si>
  <si>
    <t>IVT</t>
  </si>
  <si>
    <t>2409.45</t>
  </si>
  <si>
    <t>77.7</t>
  </si>
  <si>
    <t>iShares Core S&amp;P 500 ETF</t>
  </si>
  <si>
    <t>IVV</t>
  </si>
  <si>
    <t>736471.19</t>
  </si>
  <si>
    <t>1080.9</t>
  </si>
  <si>
    <t>Invesco</t>
  </si>
  <si>
    <t>IVZ</t>
  </si>
  <si>
    <t>10594.93</t>
  </si>
  <si>
    <t>443.67</t>
  </si>
  <si>
    <t>iShares Russell 1000 Value ETF</t>
  </si>
  <si>
    <t>IWD</t>
  </si>
  <si>
    <t>68951.48</t>
  </si>
  <si>
    <t>315.25</t>
  </si>
  <si>
    <t>iShares Russell 1000 Growth ETF</t>
  </si>
  <si>
    <t>IWF</t>
  </si>
  <si>
    <t>117249.82</t>
  </si>
  <si>
    <t>259.15</t>
  </si>
  <si>
    <t>320.42</t>
  </si>
  <si>
    <t>iShares Russell 2000 ETF</t>
  </si>
  <si>
    <t>IWM</t>
  </si>
  <si>
    <t>70506.36</t>
  </si>
  <si>
    <t>iShares Russell 2000 Value ETF</t>
  </si>
  <si>
    <t>IWN</t>
  </si>
  <si>
    <t>12532.77</t>
  </si>
  <si>
    <t>65.5</t>
  </si>
  <si>
    <t>iShares Russell 2000 Growth ETF</t>
  </si>
  <si>
    <t>IWO</t>
  </si>
  <si>
    <t>12708.82</t>
  </si>
  <si>
    <t>39.05</t>
  </si>
  <si>
    <t>iShares Russell Mid-Cap Growth ETF</t>
  </si>
  <si>
    <t>IWP</t>
  </si>
  <si>
    <t>19763.86</t>
  </si>
  <si>
    <t>146.15</t>
  </si>
  <si>
    <t>iShares Russell Mid-Cap ETF</t>
  </si>
  <si>
    <t>IWR</t>
  </si>
  <si>
    <t>48275.68</t>
  </si>
  <si>
    <t>482.95</t>
  </si>
  <si>
    <t>iShares Russell Mid-Cap Value ETF</t>
  </si>
  <si>
    <t>IWS</t>
  </si>
  <si>
    <t>14722.3</t>
  </si>
  <si>
    <t>99.1</t>
  </si>
  <si>
    <t>Orix Corp Ads</t>
  </si>
  <si>
    <t>IX</t>
  </si>
  <si>
    <t>36721.23</t>
  </si>
  <si>
    <t>1139.7</t>
  </si>
  <si>
    <t>iShares U.S. Energy ETF</t>
  </si>
  <si>
    <t>IYE</t>
  </si>
  <si>
    <t>1642.2</t>
  </si>
  <si>
    <t>iShares U.S. Real Estate ETF</t>
  </si>
  <si>
    <t>IYR</t>
  </si>
  <si>
    <t>4594.35</t>
  </si>
  <si>
    <t>46.3</t>
  </si>
  <si>
    <t>iShares U.S. Technology ETF</t>
  </si>
  <si>
    <t>IYW</t>
  </si>
  <si>
    <t>19347.58</t>
  </si>
  <si>
    <t>100.9</t>
  </si>
  <si>
    <t>JACOBS SOLUTNS</t>
  </si>
  <si>
    <t>J</t>
  </si>
  <si>
    <t>15816.55</t>
  </si>
  <si>
    <t>117.45</t>
  </si>
  <si>
    <t>JAPAN TOB</t>
  </si>
  <si>
    <t>JAPAY</t>
  </si>
  <si>
    <t>63921.23</t>
  </si>
  <si>
    <t>3551.18</t>
  </si>
  <si>
    <t>Japan Airlines</t>
  </si>
  <si>
    <t>JAPSY</t>
  </si>
  <si>
    <t>7290.5</t>
  </si>
  <si>
    <t>873.11</t>
  </si>
  <si>
    <t>Jazz Pharmaceuticals</t>
  </si>
  <si>
    <t>JAZZ</t>
  </si>
  <si>
    <t>11413.29</t>
  </si>
  <si>
    <t>61.56</t>
  </si>
  <si>
    <t>J.B. Hunt Transport Services</t>
  </si>
  <si>
    <t>JBHT</t>
  </si>
  <si>
    <t>20572.6</t>
  </si>
  <si>
    <t>94.6</t>
  </si>
  <si>
    <t>Jabil</t>
  </si>
  <si>
    <t>JBL</t>
  </si>
  <si>
    <t>26130.6</t>
  </si>
  <si>
    <t>105.6</t>
  </si>
  <si>
    <t>JetBlue Airways</t>
  </si>
  <si>
    <t>JBLU</t>
  </si>
  <si>
    <t>1672.94</t>
  </si>
  <si>
    <t>370.12</t>
  </si>
  <si>
    <t>JBT Marel Corporation</t>
  </si>
  <si>
    <t>JBTM</t>
  </si>
  <si>
    <t>7788.49</t>
  </si>
  <si>
    <t>51.98</t>
  </si>
  <si>
    <t>Jefferson Capital</t>
  </si>
  <si>
    <t>JCAP</t>
  </si>
  <si>
    <t>1224.68</t>
  </si>
  <si>
    <t>58.29</t>
  </si>
  <si>
    <t>Johnson Controls International</t>
  </si>
  <si>
    <t>JCI</t>
  </si>
  <si>
    <t>81459.88</t>
  </si>
  <si>
    <t>612.07</t>
  </si>
  <si>
    <t>JD.com</t>
  </si>
  <si>
    <t>JD</t>
  </si>
  <si>
    <t>39351.74</t>
  </si>
  <si>
    <t>1432.54</t>
  </si>
  <si>
    <t>JDE Peets NV - Unsponsored ADR</t>
  </si>
  <si>
    <t>JDEPY</t>
  </si>
  <si>
    <t>17767.95</t>
  </si>
  <si>
    <t>970.93</t>
  </si>
  <si>
    <t>J D Wetherspoon</t>
  </si>
  <si>
    <t>JDWPY</t>
  </si>
  <si>
    <t>1014.51</t>
  </si>
  <si>
    <t>Jefferies Financial Group</t>
  </si>
  <si>
    <t>JEF</t>
  </si>
  <si>
    <t>7881.9</t>
  </si>
  <si>
    <t>206.55</t>
  </si>
  <si>
    <t>Jfe Holdings</t>
  </si>
  <si>
    <t>JFEEF</t>
  </si>
  <si>
    <t>9071.95</t>
  </si>
  <si>
    <t>635.96</t>
  </si>
  <si>
    <t>Janus Henderson Group</t>
  </si>
  <si>
    <t>JHG</t>
  </si>
  <si>
    <t>7891.75</t>
  </si>
  <si>
    <t>154.08</t>
  </si>
  <si>
    <t>James Hardie Industries</t>
  </si>
  <si>
    <t>JHX</t>
  </si>
  <si>
    <t>9211.82</t>
  </si>
  <si>
    <t>429.86</t>
  </si>
  <si>
    <t>J &amp; J Snack Foods</t>
  </si>
  <si>
    <t>JJSF</t>
  </si>
  <si>
    <t>1593.77</t>
  </si>
  <si>
    <t>139.42</t>
  </si>
  <si>
    <t>Jack Henry &amp; Associates</t>
  </si>
  <si>
    <t>JKHY</t>
  </si>
  <si>
    <t>12383.2</t>
  </si>
  <si>
    <t>72.17</t>
  </si>
  <si>
    <t>192.6</t>
  </si>
  <si>
    <t>JinkoSolar</t>
  </si>
  <si>
    <t>JKS</t>
  </si>
  <si>
    <t>1239.66</t>
  </si>
  <si>
    <t>51.65</t>
  </si>
  <si>
    <t>Jones Lang LaSalle</t>
  </si>
  <si>
    <t>JLL</t>
  </si>
  <si>
    <t>14131.34</t>
  </si>
  <si>
    <t>Jardine Matheson</t>
  </si>
  <si>
    <t>JMHLY</t>
  </si>
  <si>
    <t>21605.29</t>
  </si>
  <si>
    <t>294.27</t>
  </si>
  <si>
    <t>Johnson Matthey</t>
  </si>
  <si>
    <t>JMPLY</t>
  </si>
  <si>
    <t>4335.84</t>
  </si>
  <si>
    <t>84.03</t>
  </si>
  <si>
    <t>Johnson &amp; Johnson</t>
  </si>
  <si>
    <t>JNJ</t>
  </si>
  <si>
    <t>584617.38</t>
  </si>
  <si>
    <t>2409.9</t>
  </si>
  <si>
    <t>State Street SPDR Bloomberg High Yield Bond ETF</t>
  </si>
  <si>
    <t>JNK</t>
  </si>
  <si>
    <t>7567.31</t>
  </si>
  <si>
    <t>Joby Aviation</t>
  </si>
  <si>
    <t>JOBY</t>
  </si>
  <si>
    <t>9154.3</t>
  </si>
  <si>
    <t>911.78</t>
  </si>
  <si>
    <t>The St. Joe Company</t>
  </si>
  <si>
    <t>JOE</t>
  </si>
  <si>
    <t>4020.05</t>
  </si>
  <si>
    <t>57.54</t>
  </si>
  <si>
    <t>JOYY Inc. Sponsored ADR</t>
  </si>
  <si>
    <t>JOYY</t>
  </si>
  <si>
    <t>3099.24</t>
  </si>
  <si>
    <t>60.34</t>
  </si>
  <si>
    <t>JPMorgan Chase &amp; Co.</t>
  </si>
  <si>
    <t>JPM</t>
  </si>
  <si>
    <t>781923.69</t>
  </si>
  <si>
    <t>2697.03</t>
  </si>
  <si>
    <t>20.34</t>
  </si>
  <si>
    <t>The Japan Steel Works</t>
  </si>
  <si>
    <t>JPSWY</t>
  </si>
  <si>
    <t>4421.81</t>
  </si>
  <si>
    <t>147.22</t>
  </si>
  <si>
    <t>Jeronimo Martins SGPS</t>
  </si>
  <si>
    <t>JRONY</t>
  </si>
  <si>
    <t>15801.55</t>
  </si>
  <si>
    <t>314.65</t>
  </si>
  <si>
    <t>J. Sainsbury</t>
  </si>
  <si>
    <t>JSAIY</t>
  </si>
  <si>
    <t>10418.31</t>
  </si>
  <si>
    <t>565.91</t>
  </si>
  <si>
    <t>Grubhub</t>
  </si>
  <si>
    <t>JTKWY</t>
  </si>
  <si>
    <t>4743.57</t>
  </si>
  <si>
    <t>1044.84</t>
  </si>
  <si>
    <t>Jackson Financial</t>
  </si>
  <si>
    <t>JXN</t>
  </si>
  <si>
    <t>7743.91</t>
  </si>
  <si>
    <t>Kadant</t>
  </si>
  <si>
    <t>KAI</t>
  </si>
  <si>
    <t>3939.54</t>
  </si>
  <si>
    <t>Kaiser Aluminum</t>
  </si>
  <si>
    <t>KALU</t>
  </si>
  <si>
    <t>2002.96</t>
  </si>
  <si>
    <t>Karooooo</t>
  </si>
  <si>
    <t>KARO</t>
  </si>
  <si>
    <t>1441.48</t>
  </si>
  <si>
    <t>KB Financial Group</t>
  </si>
  <si>
    <t>KB</t>
  </si>
  <si>
    <t>372.85</t>
  </si>
  <si>
    <t>KBC Group</t>
  </si>
  <si>
    <t>KBCSY</t>
  </si>
  <si>
    <t>53590.31</t>
  </si>
  <si>
    <t>835.33</t>
  </si>
  <si>
    <t>KB Home</t>
  </si>
  <si>
    <t>KBH</t>
  </si>
  <si>
    <t>3623.64</t>
  </si>
  <si>
    <t>63.17</t>
  </si>
  <si>
    <t>KBR</t>
  </si>
  <si>
    <t>4980.24</t>
  </si>
  <si>
    <t>126.47</t>
  </si>
  <si>
    <t>Kingsoft Cloud</t>
  </si>
  <si>
    <t>KC</t>
  </si>
  <si>
    <t>4311.24</t>
  </si>
  <si>
    <t>302.12</t>
  </si>
  <si>
    <t>KimberlyClark de Mexico</t>
  </si>
  <si>
    <t>KCDMY</t>
  </si>
  <si>
    <t>7201.96</t>
  </si>
  <si>
    <t>615.03</t>
  </si>
  <si>
    <t>Kyndryl Holdings</t>
  </si>
  <si>
    <t>KD</t>
  </si>
  <si>
    <t>2948.85</t>
  </si>
  <si>
    <t>225.45</t>
  </si>
  <si>
    <t>KDDI</t>
  </si>
  <si>
    <t>KDDIY</t>
  </si>
  <si>
    <t>65101.04</t>
  </si>
  <si>
    <t>3807.08</t>
  </si>
  <si>
    <t>Kodiak AI</t>
  </si>
  <si>
    <t>KDK</t>
  </si>
  <si>
    <t>1571.07</t>
  </si>
  <si>
    <t>181.21</t>
  </si>
  <si>
    <t>Keurig Dr Pepper</t>
  </si>
  <si>
    <t>KDP</t>
  </si>
  <si>
    <t>38300.8</t>
  </si>
  <si>
    <t>1358.67</t>
  </si>
  <si>
    <t>Kenon</t>
  </si>
  <si>
    <t>KEN</t>
  </si>
  <si>
    <t>4335.77</t>
  </si>
  <si>
    <t>52.15</t>
  </si>
  <si>
    <t>36.56</t>
  </si>
  <si>
    <t>Kirby</t>
  </si>
  <si>
    <t>KEX</t>
  </si>
  <si>
    <t>6746.06</t>
  </si>
  <si>
    <t>KeyCorp</t>
  </si>
  <si>
    <t>KEY</t>
  </si>
  <si>
    <t>21455.16</t>
  </si>
  <si>
    <t>1089.65</t>
  </si>
  <si>
    <t>Keysight Technologies</t>
  </si>
  <si>
    <t>KEYS</t>
  </si>
  <si>
    <t>48367.13</t>
  </si>
  <si>
    <t>171.5</t>
  </si>
  <si>
    <t>KornFerry International</t>
  </si>
  <si>
    <t>KFY</t>
  </si>
  <si>
    <t>3268.97</t>
  </si>
  <si>
    <t>Kinross Gold</t>
  </si>
  <si>
    <t>KGC</t>
  </si>
  <si>
    <t>39018.89</t>
  </si>
  <si>
    <t>1199.84</t>
  </si>
  <si>
    <t>Kingdee International Software Group Co.</t>
  </si>
  <si>
    <t>KGDEY</t>
  </si>
  <si>
    <t>4607.21</t>
  </si>
  <si>
    <t>Kingfisher</t>
  </si>
  <si>
    <t>KGFHY</t>
  </si>
  <si>
    <t>7377.7</t>
  </si>
  <si>
    <t>854.89</t>
  </si>
  <si>
    <t>Kodiak Gas Services</t>
  </si>
  <si>
    <t>KGS</t>
  </si>
  <si>
    <t>4799.24</t>
  </si>
  <si>
    <t>85.87</t>
  </si>
  <si>
    <t>Kraft Heinz Company</t>
  </si>
  <si>
    <t>KHC</t>
  </si>
  <si>
    <t>28930.72</t>
  </si>
  <si>
    <t>1183.74</t>
  </si>
  <si>
    <t>Kuehne &amp; Nagel International</t>
  </si>
  <si>
    <t>KHNGY</t>
  </si>
  <si>
    <t>603.77</t>
  </si>
  <si>
    <t>Kion Group</t>
  </si>
  <si>
    <t>KIGRY</t>
  </si>
  <si>
    <t>7526.56</t>
  </si>
  <si>
    <t>524.5</t>
  </si>
  <si>
    <t>Kimco Realty</t>
  </si>
  <si>
    <t>KIM</t>
  </si>
  <si>
    <t>15638.35</t>
  </si>
  <si>
    <t>674.07</t>
  </si>
  <si>
    <t>Kumba Iron Ore</t>
  </si>
  <si>
    <t>KIROY</t>
  </si>
  <si>
    <t>6581.19</t>
  </si>
  <si>
    <t>Mining - Iron</t>
  </si>
  <si>
    <t>963.57</t>
  </si>
  <si>
    <t>Koninklijke KPN</t>
  </si>
  <si>
    <t>KKPNF</t>
  </si>
  <si>
    <t>21606.9</t>
  </si>
  <si>
    <t>3888.93</t>
  </si>
  <si>
    <t>KKPNY</t>
  </si>
  <si>
    <t>20884.84</t>
  </si>
  <si>
    <t>3825.06</t>
  </si>
  <si>
    <t>KKR &amp; Co.</t>
  </si>
  <si>
    <t>KKR</t>
  </si>
  <si>
    <t>81077.64</t>
  </si>
  <si>
    <t>891.55</t>
  </si>
  <si>
    <t>KLA</t>
  </si>
  <si>
    <t>KLAC</t>
  </si>
  <si>
    <t>187321.59</t>
  </si>
  <si>
    <t>Klarna Group plc</t>
  </si>
  <si>
    <t>KLAR</t>
  </si>
  <si>
    <t>10365.83</t>
  </si>
  <si>
    <t>717.85</t>
  </si>
  <si>
    <t>Klabin</t>
  </si>
  <si>
    <t>KLBAY</t>
  </si>
  <si>
    <t>23686.41</t>
  </si>
  <si>
    <t>3120.74</t>
  </si>
  <si>
    <t>Kulicke and Soffa Industries</t>
  </si>
  <si>
    <t>KLIC</t>
  </si>
  <si>
    <t>3424.77</t>
  </si>
  <si>
    <t>52.33</t>
  </si>
  <si>
    <t>27.65</t>
  </si>
  <si>
    <t>Kunlun Energy</t>
  </si>
  <si>
    <t>KLYCY</t>
  </si>
  <si>
    <t>9429.44</t>
  </si>
  <si>
    <t>865.88</t>
  </si>
  <si>
    <t>KimberlyClark</t>
  </si>
  <si>
    <t>KMB</t>
  </si>
  <si>
    <t>34138.21</t>
  </si>
  <si>
    <t>331.92</t>
  </si>
  <si>
    <t>Kinder Morgan</t>
  </si>
  <si>
    <t>KMI</t>
  </si>
  <si>
    <t>74086.05</t>
  </si>
  <si>
    <t>2224.81</t>
  </si>
  <si>
    <t>Kemper</t>
  </si>
  <si>
    <t>KMPR</t>
  </si>
  <si>
    <t>1790.8</t>
  </si>
  <si>
    <t>Kennametal</t>
  </si>
  <si>
    <t>KMT</t>
  </si>
  <si>
    <t>2912.32</t>
  </si>
  <si>
    <t>76.2</t>
  </si>
  <si>
    <t>Kestra Medical Technologies</t>
  </si>
  <si>
    <t>KMTS</t>
  </si>
  <si>
    <t>1367.7</t>
  </si>
  <si>
    <t>Komatsu</t>
  </si>
  <si>
    <t>KMTUY</t>
  </si>
  <si>
    <t>40013.95</t>
  </si>
  <si>
    <t>930.34</t>
  </si>
  <si>
    <t>CarMax</t>
  </si>
  <si>
    <t>KMX</t>
  </si>
  <si>
    <t>6026.36</t>
  </si>
  <si>
    <t>141.8</t>
  </si>
  <si>
    <t>Knowles</t>
  </si>
  <si>
    <t>KN</t>
  </si>
  <si>
    <t>2133.88</t>
  </si>
  <si>
    <t>84.91</t>
  </si>
  <si>
    <t>Kirin</t>
  </si>
  <si>
    <t>KNBWY</t>
  </si>
  <si>
    <t>13429.88</t>
  </si>
  <si>
    <t>810.01</t>
  </si>
  <si>
    <t>Konica Minolta</t>
  </si>
  <si>
    <t>KNCAY</t>
  </si>
  <si>
    <t>1912.37</t>
  </si>
  <si>
    <t>Office Automation and Equipment</t>
  </si>
  <si>
    <t>247.08</t>
  </si>
  <si>
    <t>Knife River Corporation</t>
  </si>
  <si>
    <t>KNF</t>
  </si>
  <si>
    <t>4618.13</t>
  </si>
  <si>
    <t>Knorr-Bremse - Unsponsored ADR</t>
  </si>
  <si>
    <t>KNRRY</t>
  </si>
  <si>
    <t>19363.34</t>
  </si>
  <si>
    <t>644.8</t>
  </si>
  <si>
    <t>Kiniksa Pharmaceuticals International</t>
  </si>
  <si>
    <t xml:space="preserve"> plc</t>
  </si>
  <si>
    <t>KNSA</t>
  </si>
  <si>
    <t>3577.26</t>
  </si>
  <si>
    <t>Kinsale Capital Group</t>
  </si>
  <si>
    <t>KNSL</t>
  </si>
  <si>
    <t>8391.6</t>
  </si>
  <si>
    <t>KINETIK HLDGS</t>
  </si>
  <si>
    <t>KNTK</t>
  </si>
  <si>
    <t>7331.11</t>
  </si>
  <si>
    <t>161.59</t>
  </si>
  <si>
    <t>KnightSwift Transportation</t>
  </si>
  <si>
    <t>KNX</t>
  </si>
  <si>
    <t>9380.09</t>
  </si>
  <si>
    <t>162.43</t>
  </si>
  <si>
    <t>Kone Oyj</t>
  </si>
  <si>
    <t>KNYJY</t>
  </si>
  <si>
    <t>30010.05</t>
  </si>
  <si>
    <t>906.37</t>
  </si>
  <si>
    <t>Coca-Cola</t>
  </si>
  <si>
    <t>KO</t>
  </si>
  <si>
    <t>334596.28</t>
  </si>
  <si>
    <t>4300.72</t>
  </si>
  <si>
    <t>Kodiak Sciences</t>
  </si>
  <si>
    <t>KOD</t>
  </si>
  <si>
    <t>1364.41</t>
  </si>
  <si>
    <t>53.05</t>
  </si>
  <si>
    <t>Kosmos Energy</t>
  </si>
  <si>
    <t>KOS</t>
  </si>
  <si>
    <t>1231.42</t>
  </si>
  <si>
    <t>481.02</t>
  </si>
  <si>
    <t>Keppel</t>
  </si>
  <si>
    <t>KPELY</t>
  </si>
  <si>
    <t>16864.98</t>
  </si>
  <si>
    <t>900.67</t>
  </si>
  <si>
    <t>The Kroger Co.</t>
  </si>
  <si>
    <t>KR</t>
  </si>
  <si>
    <t>46432.14</t>
  </si>
  <si>
    <t>632.85</t>
  </si>
  <si>
    <t>Kilroy Realty</t>
  </si>
  <si>
    <t>KRC</t>
  </si>
  <si>
    <t>3485.18</t>
  </si>
  <si>
    <t>118.5</t>
  </si>
  <si>
    <t>Keppel REIT</t>
  </si>
  <si>
    <t>KREVF</t>
  </si>
  <si>
    <t>2832.75</t>
  </si>
  <si>
    <t>3880.49</t>
  </si>
  <si>
    <t>Kite Realty Group Trust</t>
  </si>
  <si>
    <t>KRG</t>
  </si>
  <si>
    <t>5337.31</t>
  </si>
  <si>
    <t>206.79</t>
  </si>
  <si>
    <t>Karman Holdings Inc.</t>
  </si>
  <si>
    <t>KRMN</t>
  </si>
  <si>
    <t>14038.09</t>
  </si>
  <si>
    <t>132.32</t>
  </si>
  <si>
    <t>Kimbell Royalty</t>
  </si>
  <si>
    <t>KRP</t>
  </si>
  <si>
    <t>1542.8</t>
  </si>
  <si>
    <t>107.89</t>
  </si>
  <si>
    <t>Kerry Group</t>
  </si>
  <si>
    <t>KRYAY</t>
  </si>
  <si>
    <t>13031.21</t>
  </si>
  <si>
    <t>160.46</t>
  </si>
  <si>
    <t>Krystal Biotech</t>
  </si>
  <si>
    <t>KRYS</t>
  </si>
  <si>
    <t>7560.91</t>
  </si>
  <si>
    <t>29.23</t>
  </si>
  <si>
    <t>Joint Stock Company Kaspi.kz Sponsored ADR</t>
  </si>
  <si>
    <t>KSPI</t>
  </si>
  <si>
    <t>14583.45</t>
  </si>
  <si>
    <t>199.5</t>
  </si>
  <si>
    <t>Kohl's</t>
  </si>
  <si>
    <t>KSS</t>
  </si>
  <si>
    <t>1660.4</t>
  </si>
  <si>
    <t>112.19</t>
  </si>
  <si>
    <t>Kontoor Brands</t>
  </si>
  <si>
    <t>KTB</t>
  </si>
  <si>
    <t>4030.79</t>
  </si>
  <si>
    <t>55.25</t>
  </si>
  <si>
    <t>Kratos Defense &amp; Security Solutions</t>
  </si>
  <si>
    <t>KTOS</t>
  </si>
  <si>
    <t>17269.49</t>
  </si>
  <si>
    <t>186.76</t>
  </si>
  <si>
    <t>Kubota</t>
  </si>
  <si>
    <t>KUBTY</t>
  </si>
  <si>
    <t>19441.54</t>
  </si>
  <si>
    <t>227.41</t>
  </si>
  <si>
    <t>Kuraray Co.</t>
  </si>
  <si>
    <t>KURRY</t>
  </si>
  <si>
    <t>3367.07</t>
  </si>
  <si>
    <t>102.65</t>
  </si>
  <si>
    <t>Kenvue Inc.</t>
  </si>
  <si>
    <t>KVUE</t>
  </si>
  <si>
    <t>34807.86</t>
  </si>
  <si>
    <t>1916.73</t>
  </si>
  <si>
    <t>Klaviyo</t>
  </si>
  <si>
    <t>KVYO</t>
  </si>
  <si>
    <t>6247.87</t>
  </si>
  <si>
    <t>304.77</t>
  </si>
  <si>
    <t>Kennedy-Wilson</t>
  </si>
  <si>
    <t>KW</t>
  </si>
  <si>
    <t>1502.34</t>
  </si>
  <si>
    <t>138.46</t>
  </si>
  <si>
    <t>Kawasaki Heavy Industries</t>
  </si>
  <si>
    <t>KWHIY</t>
  </si>
  <si>
    <t>17183.33</t>
  </si>
  <si>
    <t>418.8</t>
  </si>
  <si>
    <t>34.3</t>
  </si>
  <si>
    <t>55.39</t>
  </si>
  <si>
    <t>Quaker Houghton</t>
  </si>
  <si>
    <t>KWR</t>
  </si>
  <si>
    <t>2245.76</t>
  </si>
  <si>
    <t>Kinaxis</t>
  </si>
  <si>
    <t>KXSCF</t>
  </si>
  <si>
    <t>2897.43</t>
  </si>
  <si>
    <t>Keyence</t>
  </si>
  <si>
    <t>KYCCF</t>
  </si>
  <si>
    <t>242.53</t>
  </si>
  <si>
    <t>Kyivstar Group Ltd.</t>
  </si>
  <si>
    <t>KYIV</t>
  </si>
  <si>
    <t>2717.26</t>
  </si>
  <si>
    <t>Wireline Non-US</t>
  </si>
  <si>
    <t>230.86</t>
  </si>
  <si>
    <t>Kymera Therapeutics</t>
  </si>
  <si>
    <t>KYMR</t>
  </si>
  <si>
    <t>6942.87</t>
  </si>
  <si>
    <t>95.03</t>
  </si>
  <si>
    <t>Kyocera</t>
  </si>
  <si>
    <t>KYOCY</t>
  </si>
  <si>
    <t>23383.47</t>
  </si>
  <si>
    <t>1408.64</t>
  </si>
  <si>
    <t>Loews</t>
  </si>
  <si>
    <t>L</t>
  </si>
  <si>
    <t>22480.37</t>
  </si>
  <si>
    <t>206.05</t>
  </si>
  <si>
    <t>Lithium Americas Corp.</t>
  </si>
  <si>
    <t>LAC</t>
  </si>
  <si>
    <t>1408.19</t>
  </si>
  <si>
    <t>303.49</t>
  </si>
  <si>
    <t>Lithia Motors</t>
  </si>
  <si>
    <t>LAD</t>
  </si>
  <si>
    <t>6205.34</t>
  </si>
  <si>
    <t>23.38</t>
  </si>
  <si>
    <t>Ladder Capital Corp</t>
  </si>
  <si>
    <t>LADR</t>
  </si>
  <si>
    <t>1304.14</t>
  </si>
  <si>
    <t>127.23</t>
  </si>
  <si>
    <t>Lamar Advertising</t>
  </si>
  <si>
    <t>LAMR</t>
  </si>
  <si>
    <t>13783.01</t>
  </si>
  <si>
    <t>101.33</t>
  </si>
  <si>
    <t>nLight</t>
  </si>
  <si>
    <t>LASR</t>
  </si>
  <si>
    <t>3403.27</t>
  </si>
  <si>
    <t>55.79</t>
  </si>
  <si>
    <t>31.62</t>
  </si>
  <si>
    <t>Laureate Education</t>
  </si>
  <si>
    <t>LAUR</t>
  </si>
  <si>
    <t>4888.97</t>
  </si>
  <si>
    <t>142.74</t>
  </si>
  <si>
    <t>Lazard</t>
  </si>
  <si>
    <t>LAZ</t>
  </si>
  <si>
    <t>4824.45</t>
  </si>
  <si>
    <t>111.73</t>
  </si>
  <si>
    <t>LandBridge Company LLC</t>
  </si>
  <si>
    <t>LB</t>
  </si>
  <si>
    <t>5705.51</t>
  </si>
  <si>
    <t>77.86</t>
  </si>
  <si>
    <t>Loblaw Companies Limited</t>
  </si>
  <si>
    <t>LBLCF</t>
  </si>
  <si>
    <t>54645.27</t>
  </si>
  <si>
    <t>1171.89</t>
  </si>
  <si>
    <t>Liberty Broadband</t>
  </si>
  <si>
    <t>LBRDA</t>
  </si>
  <si>
    <t>7450.4</t>
  </si>
  <si>
    <t>143.5</t>
  </si>
  <si>
    <t>LBRDK</t>
  </si>
  <si>
    <t>7453.27</t>
  </si>
  <si>
    <t>42.56</t>
  </si>
  <si>
    <t>Liberty Energy</t>
  </si>
  <si>
    <t>LBRT</t>
  </si>
  <si>
    <t>4498.55</t>
  </si>
  <si>
    <t>162.05</t>
  </si>
  <si>
    <t>Liberty Global Ltd</t>
  </si>
  <si>
    <t>LBTYA</t>
  </si>
  <si>
    <t>4211.31</t>
  </si>
  <si>
    <t>335.03</t>
  </si>
  <si>
    <t>LBTYB</t>
  </si>
  <si>
    <t>4398.93</t>
  </si>
  <si>
    <t>LBTYK</t>
  </si>
  <si>
    <t>4120.85</t>
  </si>
  <si>
    <t>LendingClub</t>
  </si>
  <si>
    <t>LC</t>
  </si>
  <si>
    <t>1700.07</t>
  </si>
  <si>
    <t>115.18</t>
  </si>
  <si>
    <t>Lucid Group</t>
  </si>
  <si>
    <t>LCID</t>
  </si>
  <si>
    <t>3407.92</t>
  </si>
  <si>
    <t>327.68</t>
  </si>
  <si>
    <t>LCI Industries</t>
  </si>
  <si>
    <t>LCII</t>
  </si>
  <si>
    <t>3116.37</t>
  </si>
  <si>
    <t>Leidos</t>
  </si>
  <si>
    <t>LDOS</t>
  </si>
  <si>
    <t>22692.54</t>
  </si>
  <si>
    <t>126.39</t>
  </si>
  <si>
    <t>Lear</t>
  </si>
  <si>
    <t>LEA</t>
  </si>
  <si>
    <t>6101.5</t>
  </si>
  <si>
    <t>50.73</t>
  </si>
  <si>
    <t>75.18</t>
  </si>
  <si>
    <t>Lincoln Electric</t>
  </si>
  <si>
    <t>LECO</t>
  </si>
  <si>
    <t>14622.07</t>
  </si>
  <si>
    <t>54.81</t>
  </si>
  <si>
    <t>Leggett &amp; Platt</t>
  </si>
  <si>
    <t>LEG</t>
  </si>
  <si>
    <t>1449.81</t>
  </si>
  <si>
    <t>Furniture</t>
  </si>
  <si>
    <t>135.88</t>
  </si>
  <si>
    <t>Legend Biotech</t>
  </si>
  <si>
    <t>LEGN</t>
  </si>
  <si>
    <t>3534.96</t>
  </si>
  <si>
    <t>184.69</t>
  </si>
  <si>
    <t>Lennar</t>
  </si>
  <si>
    <t>LEN</t>
  </si>
  <si>
    <t>24683.86</t>
  </si>
  <si>
    <t>246.99</t>
  </si>
  <si>
    <t>LEN.B</t>
  </si>
  <si>
    <t>23204.4</t>
  </si>
  <si>
    <t>Centrus Energy</t>
  </si>
  <si>
    <t>LEU</t>
  </si>
  <si>
    <t>3851.3</t>
  </si>
  <si>
    <t>Levi Strauss &amp; Co.</t>
  </si>
  <si>
    <t>LEVI</t>
  </si>
  <si>
    <t>7364.21</t>
  </si>
  <si>
    <t>390.47</t>
  </si>
  <si>
    <t>LifeStance Health Group</t>
  </si>
  <si>
    <t>LFST</t>
  </si>
  <si>
    <t>2693.4</t>
  </si>
  <si>
    <t>389.78</t>
  </si>
  <si>
    <t>Littelfuse</t>
  </si>
  <si>
    <t>LFUS</t>
  </si>
  <si>
    <t>7706.3</t>
  </si>
  <si>
    <t>Legal &amp; General Group</t>
  </si>
  <si>
    <t>LGGNY</t>
  </si>
  <si>
    <t>19486.07</t>
  </si>
  <si>
    <t>1139.54</t>
  </si>
  <si>
    <t>LGI Homes</t>
  </si>
  <si>
    <t>LGIH</t>
  </si>
  <si>
    <t>1009.99</t>
  </si>
  <si>
    <t>Legence Corp.</t>
  </si>
  <si>
    <t>LGN</t>
  </si>
  <si>
    <t>5313.19</t>
  </si>
  <si>
    <t>105.34</t>
  </si>
  <si>
    <t>58.05</t>
  </si>
  <si>
    <t>Ligand Pharmaceuticals</t>
  </si>
  <si>
    <t>LGND</t>
  </si>
  <si>
    <t>4150.95</t>
  </si>
  <si>
    <t>Labcorp Holdings Inc.</t>
  </si>
  <si>
    <t>LH</t>
  </si>
  <si>
    <t>22545.46</t>
  </si>
  <si>
    <t>82.4</t>
  </si>
  <si>
    <t>L3Harris Technologies</t>
  </si>
  <si>
    <t>LHX</t>
  </si>
  <si>
    <t>69342.55</t>
  </si>
  <si>
    <t>186.78</t>
  </si>
  <si>
    <t>28.67</t>
  </si>
  <si>
    <t>Life360</t>
  </si>
  <si>
    <t>LIF</t>
  </si>
  <si>
    <t>3815.05</t>
  </si>
  <si>
    <t>80.2</t>
  </si>
  <si>
    <t>Lennox International</t>
  </si>
  <si>
    <t>LII</t>
  </si>
  <si>
    <t>17991.71</t>
  </si>
  <si>
    <t>34.8</t>
  </si>
  <si>
    <t>Liberty Latin America</t>
  </si>
  <si>
    <t>LILA</t>
  </si>
  <si>
    <t>1566.78</t>
  </si>
  <si>
    <t>200.1</t>
  </si>
  <si>
    <t>Liberty Global</t>
  </si>
  <si>
    <t>LILAK</t>
  </si>
  <si>
    <t>1580.79</t>
  </si>
  <si>
    <t>Linde PLC</t>
  </si>
  <si>
    <t>LIN</t>
  </si>
  <si>
    <t>224106.67</t>
  </si>
  <si>
    <t>463.39</t>
  </si>
  <si>
    <t>Lincoln Educational Services</t>
  </si>
  <si>
    <t>LINC</t>
  </si>
  <si>
    <t>1145.41</t>
  </si>
  <si>
    <t>Lindblad Expeditions</t>
  </si>
  <si>
    <t>LIND</t>
  </si>
  <si>
    <t>1162.14</t>
  </si>
  <si>
    <t>65.25</t>
  </si>
  <si>
    <t>Lineage</t>
  </si>
  <si>
    <t>LINE</t>
  </si>
  <si>
    <t>8856.13</t>
  </si>
  <si>
    <t>227.08</t>
  </si>
  <si>
    <t>Lionsgate Studios Corp.</t>
  </si>
  <si>
    <t>LION</t>
  </si>
  <si>
    <t>3046.97</t>
  </si>
  <si>
    <t>290.19</t>
  </si>
  <si>
    <t>Lion Corp.</t>
  </si>
  <si>
    <t>LIOPF</t>
  </si>
  <si>
    <t>3216.7</t>
  </si>
  <si>
    <t>279.47</t>
  </si>
  <si>
    <t>Lumentum</t>
  </si>
  <si>
    <t>LITE</t>
  </si>
  <si>
    <t>45745.27</t>
  </si>
  <si>
    <t>71.4</t>
  </si>
  <si>
    <t>LivaNova</t>
  </si>
  <si>
    <t>LIVN</t>
  </si>
  <si>
    <t>3394.05</t>
  </si>
  <si>
    <t>Luk Fook Holdings</t>
  </si>
  <si>
    <t>LKFLF</t>
  </si>
  <si>
    <t>2459.98</t>
  </si>
  <si>
    <t>587.11</t>
  </si>
  <si>
    <t>24.33</t>
  </si>
  <si>
    <t>Lakeland Financial</t>
  </si>
  <si>
    <t>LKFN</t>
  </si>
  <si>
    <t>1427.56</t>
  </si>
  <si>
    <t>Luckin Coffee</t>
  </si>
  <si>
    <t>LKNCY</t>
  </si>
  <si>
    <t>9984.81</t>
  </si>
  <si>
    <t>283.66</t>
  </si>
  <si>
    <t>LKQ</t>
  </si>
  <si>
    <t>7995.85</t>
  </si>
  <si>
    <t>255.13</t>
  </si>
  <si>
    <t>Eli Lilly</t>
  </si>
  <si>
    <t>LLY</t>
  </si>
  <si>
    <t>952745.88</t>
  </si>
  <si>
    <t>944.82</t>
  </si>
  <si>
    <t>Liberty Live Holdings</t>
  </si>
  <si>
    <t>LLYVA</t>
  </si>
  <si>
    <t>9031.27</t>
  </si>
  <si>
    <t>91.9</t>
  </si>
  <si>
    <t>LLYVK</t>
  </si>
  <si>
    <t>9238.05</t>
  </si>
  <si>
    <t>62.48</t>
  </si>
  <si>
    <t>LeMaitre Vascular</t>
  </si>
  <si>
    <t>LMAT</t>
  </si>
  <si>
    <t>2507.22</t>
  </si>
  <si>
    <t>Lemonade</t>
  </si>
  <si>
    <t>LMND</t>
  </si>
  <si>
    <t>4208.73</t>
  </si>
  <si>
    <t>76.38</t>
  </si>
  <si>
    <t>Lumexa Imaging Holdings</t>
  </si>
  <si>
    <t>LMRI</t>
  </si>
  <si>
    <t>1392.95</t>
  </si>
  <si>
    <t>94.57</t>
  </si>
  <si>
    <t>Lockheed Martin</t>
  </si>
  <si>
    <t>LMT</t>
  </si>
  <si>
    <t>152807.8</t>
  </si>
  <si>
    <t>230.08</t>
  </si>
  <si>
    <t>Lincoln National</t>
  </si>
  <si>
    <t>LNC</t>
  </si>
  <si>
    <t>6463.07</t>
  </si>
  <si>
    <t>190.09</t>
  </si>
  <si>
    <t>Cheniere Energy</t>
  </si>
  <si>
    <t>LNG</t>
  </si>
  <si>
    <t>52718.88</t>
  </si>
  <si>
    <t>210.2</t>
  </si>
  <si>
    <t>Lindsay</t>
  </si>
  <si>
    <t>LNN</t>
  </si>
  <si>
    <t>1352.21</t>
  </si>
  <si>
    <t>Li Ning Co.</t>
  </si>
  <si>
    <t>LNNGY</t>
  </si>
  <si>
    <t>6773.04</t>
  </si>
  <si>
    <t>103.39</t>
  </si>
  <si>
    <t>Alliant Energy</t>
  </si>
  <si>
    <t>LNT</t>
  </si>
  <si>
    <t>18413.86</t>
  </si>
  <si>
    <t>257.14</t>
  </si>
  <si>
    <t>Lantheus</t>
  </si>
  <si>
    <t>LNTH</t>
  </si>
  <si>
    <t>5169.12</t>
  </si>
  <si>
    <t>64.61</t>
  </si>
  <si>
    <t>80.01</t>
  </si>
  <si>
    <t>Lenovo Group</t>
  </si>
  <si>
    <t>LNVGY</t>
  </si>
  <si>
    <t>14680.84</t>
  </si>
  <si>
    <t>620.23</t>
  </si>
  <si>
    <t>Light &amp; Wonder</t>
  </si>
  <si>
    <t>LNWO</t>
  </si>
  <si>
    <t>7018.22</t>
  </si>
  <si>
    <t>71.41</t>
  </si>
  <si>
    <t>Loar Holdings Inc.</t>
  </si>
  <si>
    <t>LOAR</t>
  </si>
  <si>
    <t>6471.19</t>
  </si>
  <si>
    <t>93.62</t>
  </si>
  <si>
    <t>Live Oak Bancshares</t>
  </si>
  <si>
    <t>LOB</t>
  </si>
  <si>
    <t>1531.64</t>
  </si>
  <si>
    <t>Lonking</t>
  </si>
  <si>
    <t>LONKF</t>
  </si>
  <si>
    <t>1548.97</t>
  </si>
  <si>
    <t>4280.1</t>
  </si>
  <si>
    <t>Grand Canyon Education</t>
  </si>
  <si>
    <t>LOPE</t>
  </si>
  <si>
    <t>4519.93</t>
  </si>
  <si>
    <t>Lowe's Companies</t>
  </si>
  <si>
    <t>LOW</t>
  </si>
  <si>
    <t>140361.28</t>
  </si>
  <si>
    <t>560.95</t>
  </si>
  <si>
    <t>Dorian LPG</t>
  </si>
  <si>
    <t>LPG</t>
  </si>
  <si>
    <t>1467.83</t>
  </si>
  <si>
    <t>LG Display Co.</t>
  </si>
  <si>
    <t>LPL</t>
  </si>
  <si>
    <t>Computer - Peripheral Equipment</t>
  </si>
  <si>
    <t>LPL Financial</t>
  </si>
  <si>
    <t>LPLA</t>
  </si>
  <si>
    <t>25049.08</t>
  </si>
  <si>
    <t>LouisianaPacific</t>
  </si>
  <si>
    <t>LPX</t>
  </si>
  <si>
    <t>5423.02</t>
  </si>
  <si>
    <t>69.83</t>
  </si>
  <si>
    <t>iShares iBoxx $ Investment Grade Corporate Bond ETF</t>
  </si>
  <si>
    <t>LQD</t>
  </si>
  <si>
    <t>30719.3</t>
  </si>
  <si>
    <t>277.2</t>
  </si>
  <si>
    <t>Liquidia Corporation</t>
  </si>
  <si>
    <t>LQDA</t>
  </si>
  <si>
    <t>3160.67</t>
  </si>
  <si>
    <t>88.11</t>
  </si>
  <si>
    <t>Liquidity Services</t>
  </si>
  <si>
    <t>LQDT</t>
  </si>
  <si>
    <t>1010.12</t>
  </si>
  <si>
    <t>Lam Research</t>
  </si>
  <si>
    <t>LRCX</t>
  </si>
  <si>
    <t>1248.77</t>
  </si>
  <si>
    <t>L'Oreal</t>
  </si>
  <si>
    <t>LRLCY</t>
  </si>
  <si>
    <t>228672.66</t>
  </si>
  <si>
    <t>2668.92</t>
  </si>
  <si>
    <t>Stride</t>
  </si>
  <si>
    <t>LRN</t>
  </si>
  <si>
    <t>3632.52</t>
  </si>
  <si>
    <t>Lattice Semiconductor</t>
  </si>
  <si>
    <t>LSCC</t>
  </si>
  <si>
    <t>12396.93</t>
  </si>
  <si>
    <t>136.79</t>
  </si>
  <si>
    <t>London Stock Exchange Group plc - Unsponsored ADR</t>
  </si>
  <si>
    <t>LSEGY</t>
  </si>
  <si>
    <t>60134.57</t>
  </si>
  <si>
    <t>2021.33</t>
  </si>
  <si>
    <t>Land Securities Group</t>
  </si>
  <si>
    <t>LSGOF</t>
  </si>
  <si>
    <t>6660.3</t>
  </si>
  <si>
    <t>Lightspeed POS</t>
  </si>
  <si>
    <t>LSPD</t>
  </si>
  <si>
    <t>1316.72</t>
  </si>
  <si>
    <t>137.3</t>
  </si>
  <si>
    <t>Landstar System</t>
  </si>
  <si>
    <t>LSTR</t>
  </si>
  <si>
    <t>5201.79</t>
  </si>
  <si>
    <t>34.06</t>
  </si>
  <si>
    <t>LTC Properties</t>
  </si>
  <si>
    <t>LTC</t>
  </si>
  <si>
    <t>1880.72</t>
  </si>
  <si>
    <t>48.51</t>
  </si>
  <si>
    <t>Life Time Group Holdings</t>
  </si>
  <si>
    <t>LTH</t>
  </si>
  <si>
    <t>6010.92</t>
  </si>
  <si>
    <t>221.8</t>
  </si>
  <si>
    <t>LATAM Airlines Group</t>
  </si>
  <si>
    <t>LTM</t>
  </si>
  <si>
    <t>14736.29</t>
  </si>
  <si>
    <t>302.22</t>
  </si>
  <si>
    <t>68.46</t>
  </si>
  <si>
    <t>Lufax</t>
  </si>
  <si>
    <t>LU</t>
  </si>
  <si>
    <t>2062.72</t>
  </si>
  <si>
    <t>866.69</t>
  </si>
  <si>
    <t>Lucky Strike Entertainment</t>
  </si>
  <si>
    <t>LUCK</t>
  </si>
  <si>
    <t>1185.64</t>
  </si>
  <si>
    <t>137.71</t>
  </si>
  <si>
    <t>lululemon athletica</t>
  </si>
  <si>
    <t>LULU</t>
  </si>
  <si>
    <t>19913.87</t>
  </si>
  <si>
    <t>117.31</t>
  </si>
  <si>
    <t>Lumen Technologies</t>
  </si>
  <si>
    <t>LUMN</t>
  </si>
  <si>
    <t>6791.57</t>
  </si>
  <si>
    <t>1024.37</t>
  </si>
  <si>
    <t>Lundin Mining</t>
  </si>
  <si>
    <t>LUNMF</t>
  </si>
  <si>
    <t>22213.57</t>
  </si>
  <si>
    <t>854.37</t>
  </si>
  <si>
    <t>Intuitive Machines</t>
  </si>
  <si>
    <t>LUNR</t>
  </si>
  <si>
    <t>3258.36</t>
  </si>
  <si>
    <t>180.22</t>
  </si>
  <si>
    <t>Southwest Airlines</t>
  </si>
  <si>
    <t>LUV</t>
  </si>
  <si>
    <t>21141.41</t>
  </si>
  <si>
    <t>491.32</t>
  </si>
  <si>
    <t>LVMH Moet Hennessy Louis Vuitton</t>
  </si>
  <si>
    <t>LVMUY</t>
  </si>
  <si>
    <t>291495.22</t>
  </si>
  <si>
    <t>2488.44</t>
  </si>
  <si>
    <t>Las Vegas Sands</t>
  </si>
  <si>
    <t>LVS</t>
  </si>
  <si>
    <t>36222.71</t>
  </si>
  <si>
    <t>671.91</t>
  </si>
  <si>
    <t>Lamb Weston</t>
  </si>
  <si>
    <t>LW</t>
  </si>
  <si>
    <t>6353.75</t>
  </si>
  <si>
    <t>138.88</t>
  </si>
  <si>
    <t>LXP Industrial Trust</t>
  </si>
  <si>
    <t>LXP</t>
  </si>
  <si>
    <t>2822.11</t>
  </si>
  <si>
    <t>59.08</t>
  </si>
  <si>
    <t>LyondellBasell Industries</t>
  </si>
  <si>
    <t>LYB</t>
  </si>
  <si>
    <t>21527.4</t>
  </si>
  <si>
    <t>322.17</t>
  </si>
  <si>
    <t>Lyft</t>
  </si>
  <si>
    <t>LYFT</t>
  </si>
  <si>
    <t>5477.96</t>
  </si>
  <si>
    <t>398.11</t>
  </si>
  <si>
    <t>Lloyds Banking Group</t>
  </si>
  <si>
    <t>LYG</t>
  </si>
  <si>
    <t>77350.73</t>
  </si>
  <si>
    <t>14733.47</t>
  </si>
  <si>
    <t>Lynas Rare Earths Limited - Sponsored ADR</t>
  </si>
  <si>
    <t>LYSDY</t>
  </si>
  <si>
    <t>12490.7</t>
  </si>
  <si>
    <t>1006.5</t>
  </si>
  <si>
    <t>Live Nation Entertainment</t>
  </si>
  <si>
    <t>LYV</t>
  </si>
  <si>
    <t>38930.16</t>
  </si>
  <si>
    <t>234.8</t>
  </si>
  <si>
    <t>LegalZoom.com</t>
  </si>
  <si>
    <t>LZ</t>
  </si>
  <si>
    <t>1117.08</t>
  </si>
  <si>
    <t>172.92</t>
  </si>
  <si>
    <t>Lonza Group</t>
  </si>
  <si>
    <t>LZAGY</t>
  </si>
  <si>
    <t>45374.97</t>
  </si>
  <si>
    <t>702.29</t>
  </si>
  <si>
    <t>LaZBoy</t>
  </si>
  <si>
    <t>LZB</t>
  </si>
  <si>
    <t>1386.09</t>
  </si>
  <si>
    <t>40.92</t>
  </si>
  <si>
    <t>Macy's</t>
  </si>
  <si>
    <t>M</t>
  </si>
  <si>
    <t>4780.58</t>
  </si>
  <si>
    <t>265.88</t>
  </si>
  <si>
    <t>Mastercard</t>
  </si>
  <si>
    <t>MA</t>
  </si>
  <si>
    <t>891.81</t>
  </si>
  <si>
    <t>MidAmerica Apartment Communities</t>
  </si>
  <si>
    <t>MAA</t>
  </si>
  <si>
    <t>15447.3</t>
  </si>
  <si>
    <t>The Macerich Company</t>
  </si>
  <si>
    <t>MAC</t>
  </si>
  <si>
    <t>4933.21</t>
  </si>
  <si>
    <t>256.67</t>
  </si>
  <si>
    <t>Main Street Capital</t>
  </si>
  <si>
    <t>MAIN</t>
  </si>
  <si>
    <t>5119.76</t>
  </si>
  <si>
    <t>90.11</t>
  </si>
  <si>
    <t>Marks and Spencer Group</t>
  </si>
  <si>
    <t>MAKSY</t>
  </si>
  <si>
    <t>10059.76</t>
  </si>
  <si>
    <t>1028.61</t>
  </si>
  <si>
    <t>ManpowerGroup</t>
  </si>
  <si>
    <t>MAN</t>
  </si>
  <si>
    <t>1318.78</t>
  </si>
  <si>
    <t>46.42</t>
  </si>
  <si>
    <t>Veradermics Incorporated</t>
  </si>
  <si>
    <t>MANE</t>
  </si>
  <si>
    <t>1800.16</t>
  </si>
  <si>
    <t>Manhattan Associates</t>
  </si>
  <si>
    <t>MANH</t>
  </si>
  <si>
    <t>8986.71</t>
  </si>
  <si>
    <t>59.85</t>
  </si>
  <si>
    <t>Manchester United</t>
  </si>
  <si>
    <t>MANU</t>
  </si>
  <si>
    <t>2989.92</t>
  </si>
  <si>
    <t>172.43</t>
  </si>
  <si>
    <t>Marriott International</t>
  </si>
  <si>
    <t>MAR</t>
  </si>
  <si>
    <t>87142.82</t>
  </si>
  <si>
    <t>264.98</t>
  </si>
  <si>
    <t>Marathon Digital</t>
  </si>
  <si>
    <t>MARA</t>
  </si>
  <si>
    <t>3292.83</t>
  </si>
  <si>
    <t>380.23</t>
  </si>
  <si>
    <t>Marubeni</t>
  </si>
  <si>
    <t>MARUY</t>
  </si>
  <si>
    <t>55412.43</t>
  </si>
  <si>
    <t>164.64</t>
  </si>
  <si>
    <t>Masco</t>
  </si>
  <si>
    <t>MAS</t>
  </si>
  <si>
    <t>13079.72</t>
  </si>
  <si>
    <t>203.61</t>
  </si>
  <si>
    <t>Masimo</t>
  </si>
  <si>
    <t>MASI</t>
  </si>
  <si>
    <t>9424.11</t>
  </si>
  <si>
    <t>53.71</t>
  </si>
  <si>
    <t>Mattel</t>
  </si>
  <si>
    <t>MAT</t>
  </si>
  <si>
    <t>4838.22</t>
  </si>
  <si>
    <t>302.2</t>
  </si>
  <si>
    <t>Matson</t>
  </si>
  <si>
    <t>MATX</t>
  </si>
  <si>
    <t>30.44</t>
  </si>
  <si>
    <t>Marui Group Co.</t>
  </si>
  <si>
    <t>MAURY</t>
  </si>
  <si>
    <t>3389.66</t>
  </si>
  <si>
    <t>90.35</t>
  </si>
  <si>
    <t>Man Wah Holdings</t>
  </si>
  <si>
    <t>MAWHY</t>
  </si>
  <si>
    <t>2386.96</t>
  </si>
  <si>
    <t>193.9</t>
  </si>
  <si>
    <t>Maze Therapeutics</t>
  </si>
  <si>
    <t>MAZE</t>
  </si>
  <si>
    <t>2168.26</t>
  </si>
  <si>
    <t>48.12</t>
  </si>
  <si>
    <t>iShares MBS ETF</t>
  </si>
  <si>
    <t>MBB</t>
  </si>
  <si>
    <t>39338.18</t>
  </si>
  <si>
    <t>410.2</t>
  </si>
  <si>
    <t>MasterBrand</t>
  </si>
  <si>
    <t>MBC</t>
  </si>
  <si>
    <t>1092.99</t>
  </si>
  <si>
    <t>127.54</t>
  </si>
  <si>
    <t>Mercedes-Benz Group AG</t>
  </si>
  <si>
    <t>MBGYY</t>
  </si>
  <si>
    <t>61625.84</t>
  </si>
  <si>
    <t>3851.61</t>
  </si>
  <si>
    <t>Merchants Bancorp</t>
  </si>
  <si>
    <t>MBIN</t>
  </si>
  <si>
    <t>1926.27</t>
  </si>
  <si>
    <t>Mobileye Global Inc.</t>
  </si>
  <si>
    <t>MBLY</t>
  </si>
  <si>
    <t>6756.29</t>
  </si>
  <si>
    <t>841.38</t>
  </si>
  <si>
    <t>Mitchells &amp; Butlers</t>
  </si>
  <si>
    <t>MBPFF</t>
  </si>
  <si>
    <t>2039.38</t>
  </si>
  <si>
    <t>598.06</t>
  </si>
  <si>
    <t>MBX Biosciences</t>
  </si>
  <si>
    <t>MBX</t>
  </si>
  <si>
    <t>1254.57</t>
  </si>
  <si>
    <t>44.9</t>
  </si>
  <si>
    <t>Moelis &amp; Company</t>
  </si>
  <si>
    <t>MC</t>
  </si>
  <si>
    <t>4270.05</t>
  </si>
  <si>
    <t>78.32</t>
  </si>
  <si>
    <t>McDonald's</t>
  </si>
  <si>
    <t>MCD</t>
  </si>
  <si>
    <t>234999.88</t>
  </si>
  <si>
    <t>710.4</t>
  </si>
  <si>
    <t>Mechanics Bancorp</t>
  </si>
  <si>
    <t>MCHB</t>
  </si>
  <si>
    <t>3141.23</t>
  </si>
  <si>
    <t>221.21</t>
  </si>
  <si>
    <t>Microchip Technology</t>
  </si>
  <si>
    <t>MCHP</t>
  </si>
  <si>
    <t>35173.81</t>
  </si>
  <si>
    <t>541.14</t>
  </si>
  <si>
    <t>McKesson</t>
  </si>
  <si>
    <t>MCK</t>
  </si>
  <si>
    <t>115402.78</t>
  </si>
  <si>
    <t>122.49</t>
  </si>
  <si>
    <t>Moody's</t>
  </si>
  <si>
    <t>MCO</t>
  </si>
  <si>
    <t>82360.62</t>
  </si>
  <si>
    <t>Monarch Casino &amp; Resort</t>
  </si>
  <si>
    <t>MCRI</t>
  </si>
  <si>
    <t>1748.01</t>
  </si>
  <si>
    <t>Mister Car Wash</t>
  </si>
  <si>
    <t>MCW</t>
  </si>
  <si>
    <t>2309.21</t>
  </si>
  <si>
    <t>328.48</t>
  </si>
  <si>
    <t>Mercury General</t>
  </si>
  <si>
    <t>MCY</t>
  </si>
  <si>
    <t>4967.81</t>
  </si>
  <si>
    <t>Pediatrix Medical Group</t>
  </si>
  <si>
    <t>MD</t>
  </si>
  <si>
    <t>1668.32</t>
  </si>
  <si>
    <t>MongoDB</t>
  </si>
  <si>
    <t>MDB</t>
  </si>
  <si>
    <t>22117.4</t>
  </si>
  <si>
    <t>81.39</t>
  </si>
  <si>
    <t>Madrigal Pharmaceuticals</t>
  </si>
  <si>
    <t>MDGL</t>
  </si>
  <si>
    <t>9937.6</t>
  </si>
  <si>
    <t>22.94</t>
  </si>
  <si>
    <t>Medline Inc.</t>
  </si>
  <si>
    <t>MDLN</t>
  </si>
  <si>
    <t>57027.43</t>
  </si>
  <si>
    <t>1313.69</t>
  </si>
  <si>
    <t>Mondelez International</t>
  </si>
  <si>
    <t>MDLZ</t>
  </si>
  <si>
    <t>74564.95</t>
  </si>
  <si>
    <t>1281.85</t>
  </si>
  <si>
    <t>Medtronic</t>
  </si>
  <si>
    <t>MDT</t>
  </si>
  <si>
    <t>117270.04</t>
  </si>
  <si>
    <t>1283.89</t>
  </si>
  <si>
    <t>MDU Resources Group</t>
  </si>
  <si>
    <t>MDU</t>
  </si>
  <si>
    <t>4361.53</t>
  </si>
  <si>
    <t>204.38</t>
  </si>
  <si>
    <t>Medpace</t>
  </si>
  <si>
    <t>MEDP</t>
  </si>
  <si>
    <t>13581.58</t>
  </si>
  <si>
    <t>MercadoLibre</t>
  </si>
  <si>
    <t>MELI</t>
  </si>
  <si>
    <t>89709.69</t>
  </si>
  <si>
    <t>Methanex</t>
  </si>
  <si>
    <t>MEOH</t>
  </si>
  <si>
    <t>4099.77</t>
  </si>
  <si>
    <t>Mesoblast Limited</t>
  </si>
  <si>
    <t>MESO</t>
  </si>
  <si>
    <t>1990.94</t>
  </si>
  <si>
    <t>129.03</t>
  </si>
  <si>
    <t>MetLife</t>
  </si>
  <si>
    <t>MET</t>
  </si>
  <si>
    <t>46145.85</t>
  </si>
  <si>
    <t>652.05</t>
  </si>
  <si>
    <t>Meta Platforms</t>
  </si>
  <si>
    <t>META</t>
  </si>
  <si>
    <t>1637608.88</t>
  </si>
  <si>
    <t>2529.55</t>
  </si>
  <si>
    <t>MFA Financial</t>
  </si>
  <si>
    <t>MFA</t>
  </si>
  <si>
    <t>1032.17</t>
  </si>
  <si>
    <t>Manulife Financial Corp</t>
  </si>
  <si>
    <t>MFC</t>
  </si>
  <si>
    <t>56003.5</t>
  </si>
  <si>
    <t>1676.75</t>
  </si>
  <si>
    <t>Mizuho Financial Group</t>
  </si>
  <si>
    <t>MFG</t>
  </si>
  <si>
    <t>100787.38</t>
  </si>
  <si>
    <t>12427.54</t>
  </si>
  <si>
    <t>Magna International</t>
  </si>
  <si>
    <t>MGA</t>
  </si>
  <si>
    <t>16121.43</t>
  </si>
  <si>
    <t>278.87</t>
  </si>
  <si>
    <t>Midea Group Co Ltd. - Unsponsored ADR</t>
  </si>
  <si>
    <t>MGCLY</t>
  </si>
  <si>
    <t>7035.67</t>
  </si>
  <si>
    <t>650.85</t>
  </si>
  <si>
    <t>Michelin</t>
  </si>
  <si>
    <t>MGDDY</t>
  </si>
  <si>
    <t>24450.83</t>
  </si>
  <si>
    <t>1375.19</t>
  </si>
  <si>
    <t>MGE Energy</t>
  </si>
  <si>
    <t>MGEE</t>
  </si>
  <si>
    <t>2851.98</t>
  </si>
  <si>
    <t>MGM Resorts International</t>
  </si>
  <si>
    <t>MGM</t>
  </si>
  <si>
    <t>9117.73</t>
  </si>
  <si>
    <t>255.83</t>
  </si>
  <si>
    <t>25.79</t>
  </si>
  <si>
    <t>Magnite</t>
  </si>
  <si>
    <t>MGNI</t>
  </si>
  <si>
    <t>1953.25</t>
  </si>
  <si>
    <t>144.36</t>
  </si>
  <si>
    <t>McGrath RentCorp</t>
  </si>
  <si>
    <t>MGRC</t>
  </si>
  <si>
    <t>2592.59</t>
  </si>
  <si>
    <t>Financial - Leasing Companies</t>
  </si>
  <si>
    <t>24.61</t>
  </si>
  <si>
    <t>Magnolia Oil &amp; Gas Corp</t>
  </si>
  <si>
    <t>MGY</t>
  </si>
  <si>
    <t>5416.96</t>
  </si>
  <si>
    <t>186.41</t>
  </si>
  <si>
    <t>McGraw Hill</t>
  </si>
  <si>
    <t>MH</t>
  </si>
  <si>
    <t>2656.83</t>
  </si>
  <si>
    <t>Marine Harvest ASA</t>
  </si>
  <si>
    <t>MHGVY</t>
  </si>
  <si>
    <t>11916.77</t>
  </si>
  <si>
    <t>527.29</t>
  </si>
  <si>
    <t>Mohawk Industries</t>
  </si>
  <si>
    <t>MHK</t>
  </si>
  <si>
    <t>6628.5</t>
  </si>
  <si>
    <t>61.46</t>
  </si>
  <si>
    <t>MI Homes</t>
  </si>
  <si>
    <t>MHO</t>
  </si>
  <si>
    <t>3451.33</t>
  </si>
  <si>
    <t>Mitsubishi Heavy Industries</t>
  </si>
  <si>
    <t>MHVYF</t>
  </si>
  <si>
    <t>102086.59</t>
  </si>
  <si>
    <t>3373.65</t>
  </si>
  <si>
    <t>Miami International Holdings</t>
  </si>
  <si>
    <t>MIAX</t>
  </si>
  <si>
    <t>3775.13</t>
  </si>
  <si>
    <t>91.65</t>
  </si>
  <si>
    <t>The Magnum Ice Cream Company N.V.</t>
  </si>
  <si>
    <t>MICC</t>
  </si>
  <si>
    <t>9355.33</t>
  </si>
  <si>
    <t>612.26</t>
  </si>
  <si>
    <t>The Middleby</t>
  </si>
  <si>
    <t>MIDD</t>
  </si>
  <si>
    <t>7071.49</t>
  </si>
  <si>
    <t>47.18</t>
  </si>
  <si>
    <t>Mitsubishi Electric</t>
  </si>
  <si>
    <t>MIELY</t>
  </si>
  <si>
    <t>72176.38</t>
  </si>
  <si>
    <t>1056.6</t>
  </si>
  <si>
    <t>Mirion Technologies</t>
  </si>
  <si>
    <t>MIR</t>
  </si>
  <si>
    <t>5366.4</t>
  </si>
  <si>
    <t>250.53</t>
  </si>
  <si>
    <t>Mirum Pharmaceuticals</t>
  </si>
  <si>
    <t>MIRM</t>
  </si>
  <si>
    <t>5357.13</t>
  </si>
  <si>
    <t>Mitsubishi Estate Co.</t>
  </si>
  <si>
    <t>MITEY</t>
  </si>
  <si>
    <t>1217.23</t>
  </si>
  <si>
    <t>Mitie Group</t>
  </si>
  <si>
    <t>MITFY</t>
  </si>
  <si>
    <t>3034.54</t>
  </si>
  <si>
    <t>329.48</t>
  </si>
  <si>
    <t>Mitsui &amp; Co.</t>
  </si>
  <si>
    <t>MITSY</t>
  </si>
  <si>
    <t>109620.88</t>
  </si>
  <si>
    <t>143.69</t>
  </si>
  <si>
    <t>44.74</t>
  </si>
  <si>
    <t>McCormick &amp; Company</t>
  </si>
  <si>
    <t>MKC</t>
  </si>
  <si>
    <t>17228.37</t>
  </si>
  <si>
    <t>268.44</t>
  </si>
  <si>
    <t>MKC.V</t>
  </si>
  <si>
    <t>17244.47</t>
  </si>
  <si>
    <t>Merck KGaA</t>
  </si>
  <si>
    <t>MKKGY</t>
  </si>
  <si>
    <t>16116.51</t>
  </si>
  <si>
    <t>646.21</t>
  </si>
  <si>
    <t>MARKEL GROUP</t>
  </si>
  <si>
    <t>MKL</t>
  </si>
  <si>
    <t>24669.8</t>
  </si>
  <si>
    <t>MKS Inc.</t>
  </si>
  <si>
    <t>MKSI</t>
  </si>
  <si>
    <t>14684.35</t>
  </si>
  <si>
    <t>67.25</t>
  </si>
  <si>
    <t>Makita</t>
  </si>
  <si>
    <t>MKTAY</t>
  </si>
  <si>
    <t>9268.47</t>
  </si>
  <si>
    <t>Tools - Handheld</t>
  </si>
  <si>
    <t>264.51</t>
  </si>
  <si>
    <t>MarketAxess</t>
  </si>
  <si>
    <t>MKTX</t>
  </si>
  <si>
    <t>6580.69</t>
  </si>
  <si>
    <t>Melco Resorts &amp; Entertainment Limited</t>
  </si>
  <si>
    <t>MLCO</t>
  </si>
  <si>
    <t>2211.28</t>
  </si>
  <si>
    <t>390.68</t>
  </si>
  <si>
    <t>Mueller Industries</t>
  </si>
  <si>
    <t>MLI</t>
  </si>
  <si>
    <t>12702.08</t>
  </si>
  <si>
    <t>110.96</t>
  </si>
  <si>
    <t>MillerKnoll</t>
  </si>
  <si>
    <t>MLKN</t>
  </si>
  <si>
    <t>1304.26</t>
  </si>
  <si>
    <t>68.25</t>
  </si>
  <si>
    <t>Martin Marietta Materials</t>
  </si>
  <si>
    <t>MLM</t>
  </si>
  <si>
    <t>36942.34</t>
  </si>
  <si>
    <t>60.31</t>
  </si>
  <si>
    <t>MOONLAKE IMMUNO</t>
  </si>
  <si>
    <t>MLTX</t>
  </si>
  <si>
    <t>1314.06</t>
  </si>
  <si>
    <t>71.73</t>
  </si>
  <si>
    <t>Mineralys Therapeutics</t>
  </si>
  <si>
    <t>MLYS</t>
  </si>
  <si>
    <t>2155.77</t>
  </si>
  <si>
    <t>Marcus &amp; Millichap</t>
  </si>
  <si>
    <t>MMI</t>
  </si>
  <si>
    <t>1023.92</t>
  </si>
  <si>
    <t>38.23</t>
  </si>
  <si>
    <t>3M</t>
  </si>
  <si>
    <t>MMM</t>
  </si>
  <si>
    <t>79863.52</t>
  </si>
  <si>
    <t>526.7</t>
  </si>
  <si>
    <t>Maximus</t>
  </si>
  <si>
    <t>MMS</t>
  </si>
  <si>
    <t>4215.51</t>
  </si>
  <si>
    <t>54.55</t>
  </si>
  <si>
    <t>Merit Medical Systems</t>
  </si>
  <si>
    <t>MMSI</t>
  </si>
  <si>
    <t>4271.97</t>
  </si>
  <si>
    <t>59.43</t>
  </si>
  <si>
    <t>MakeMyTrip Limited</t>
  </si>
  <si>
    <t>MMYT</t>
  </si>
  <si>
    <t>5597.61</t>
  </si>
  <si>
    <t>111.26</t>
  </si>
  <si>
    <t>monday.com</t>
  </si>
  <si>
    <t>MNDY</t>
  </si>
  <si>
    <t>4115.69</t>
  </si>
  <si>
    <t>50.77</t>
  </si>
  <si>
    <t>Mach Natural Resources LP</t>
  </si>
  <si>
    <t>MNR</t>
  </si>
  <si>
    <t>2233.29</t>
  </si>
  <si>
    <t>168.42</t>
  </si>
  <si>
    <t>MINISO Group Holding Limited</t>
  </si>
  <si>
    <t>MNSO</t>
  </si>
  <si>
    <t>5253.46</t>
  </si>
  <si>
    <t>309.39</t>
  </si>
  <si>
    <t>Monster Beverage</t>
  </si>
  <si>
    <t>MNST</t>
  </si>
  <si>
    <t>73984.93</t>
  </si>
  <si>
    <t>977.02</t>
  </si>
  <si>
    <t>Altria Group</t>
  </si>
  <si>
    <t>MO</t>
  </si>
  <si>
    <t>112084.05</t>
  </si>
  <si>
    <t>1671.9</t>
  </si>
  <si>
    <t>Modine Manufacturing</t>
  </si>
  <si>
    <t>MOD</t>
  </si>
  <si>
    <t>10602.66</t>
  </si>
  <si>
    <t>Moog</t>
  </si>
  <si>
    <t>MOG.A</t>
  </si>
  <si>
    <t>10027.81</t>
  </si>
  <si>
    <t>MOG.B</t>
  </si>
  <si>
    <t>10894.24</t>
  </si>
  <si>
    <t>Molina Healthcare</t>
  </si>
  <si>
    <t>MOH</t>
  </si>
  <si>
    <t>7520.54</t>
  </si>
  <si>
    <t>MONDI PLC UNS</t>
  </si>
  <si>
    <t>MONDY</t>
  </si>
  <si>
    <t>4968.1</t>
  </si>
  <si>
    <t>MONOTARO</t>
  </si>
  <si>
    <t>MONOY</t>
  </si>
  <si>
    <t>6552.74</t>
  </si>
  <si>
    <t>501.36</t>
  </si>
  <si>
    <t>Morningstar</t>
  </si>
  <si>
    <t>MORN</t>
  </si>
  <si>
    <t>7561.29</t>
  </si>
  <si>
    <t>The Mosaic Company</t>
  </si>
  <si>
    <t>MOS</t>
  </si>
  <si>
    <t>8544.62</t>
  </si>
  <si>
    <t>317.41</t>
  </si>
  <si>
    <t>MP Materials</t>
  </si>
  <si>
    <t>MP</t>
  </si>
  <si>
    <t>177.23</t>
  </si>
  <si>
    <t>Marathon Petroleum</t>
  </si>
  <si>
    <t>MPC</t>
  </si>
  <si>
    <t>63575.45</t>
  </si>
  <si>
    <t>294.74</t>
  </si>
  <si>
    <t>MPLX LP</t>
  </si>
  <si>
    <t>MPLX</t>
  </si>
  <si>
    <t>59183.02</t>
  </si>
  <si>
    <t>1017.07</t>
  </si>
  <si>
    <t>Meituan Unsponsored ADR</t>
  </si>
  <si>
    <t>MPNGY</t>
  </si>
  <si>
    <t>62457.86</t>
  </si>
  <si>
    <t>3055.67</t>
  </si>
  <si>
    <t>Medical Properties Trust</t>
  </si>
  <si>
    <t>MPT</t>
  </si>
  <si>
    <t>3293.33</t>
  </si>
  <si>
    <t>Monolithic Power Systems</t>
  </si>
  <si>
    <t>MPWR</t>
  </si>
  <si>
    <t>52163.32</t>
  </si>
  <si>
    <t>49.12</t>
  </si>
  <si>
    <t>Marqeta</t>
  </si>
  <si>
    <t>MQ</t>
  </si>
  <si>
    <t>1743.03</t>
  </si>
  <si>
    <t>427.21</t>
  </si>
  <si>
    <t>BlackRock Muniyield Quality Fund</t>
  </si>
  <si>
    <t>MQY</t>
  </si>
  <si>
    <t>1743.51</t>
  </si>
  <si>
    <t>150.43</t>
  </si>
  <si>
    <t>Murata Manufacturing</t>
  </si>
  <si>
    <t>MRAAY</t>
  </si>
  <si>
    <t>41502.21</t>
  </si>
  <si>
    <t>3656.58</t>
  </si>
  <si>
    <t>Mercury Systems</t>
  </si>
  <si>
    <t>MRCY</t>
  </si>
  <si>
    <t>5362.91</t>
  </si>
  <si>
    <t>60.01</t>
  </si>
  <si>
    <t>Merck &amp; Co.</t>
  </si>
  <si>
    <t>MRK</t>
  </si>
  <si>
    <t>289541.81</t>
  </si>
  <si>
    <t>2472.39</t>
  </si>
  <si>
    <t>73.47</t>
  </si>
  <si>
    <t>Moderna</t>
  </si>
  <si>
    <t>MRNA</t>
  </si>
  <si>
    <t>22013.92</t>
  </si>
  <si>
    <t>394.94</t>
  </si>
  <si>
    <t>Meren Energy Inc.</t>
  </si>
  <si>
    <t>MRNFF</t>
  </si>
  <si>
    <t>1082.13</t>
  </si>
  <si>
    <t>675.91</t>
  </si>
  <si>
    <t>Millrose Properties</t>
  </si>
  <si>
    <t>MRP</t>
  </si>
  <si>
    <t>4978.44</t>
  </si>
  <si>
    <t>Marsh</t>
  </si>
  <si>
    <t>MRSH</t>
  </si>
  <si>
    <t>87127.84</t>
  </si>
  <si>
    <t>484.12</t>
  </si>
  <si>
    <t>244.27</t>
  </si>
  <si>
    <t>Marten Transport</t>
  </si>
  <si>
    <t>MRTN</t>
  </si>
  <si>
    <t>1020.91</t>
  </si>
  <si>
    <t>81.54</t>
  </si>
  <si>
    <t>Marvell Technology</t>
  </si>
  <si>
    <t>MRVL</t>
  </si>
  <si>
    <t>80715.45</t>
  </si>
  <si>
    <t>871.19</t>
  </si>
  <si>
    <t>14.58</t>
  </si>
  <si>
    <t>Marex Group PLC</t>
  </si>
  <si>
    <t>MRX</t>
  </si>
  <si>
    <t>2621.86</t>
  </si>
  <si>
    <t>72.77</t>
  </si>
  <si>
    <t>Morgan Stanley</t>
  </si>
  <si>
    <t>MS</t>
  </si>
  <si>
    <t>254772.17</t>
  </si>
  <si>
    <t>1587.86</t>
  </si>
  <si>
    <t>MSA Safety Incorporporated</t>
  </si>
  <si>
    <t>MSA</t>
  </si>
  <si>
    <t>7167.9</t>
  </si>
  <si>
    <t>38.78</t>
  </si>
  <si>
    <t>MS&amp;AD Insurance Group</t>
  </si>
  <si>
    <t>MSADY</t>
  </si>
  <si>
    <t>38642.16</t>
  </si>
  <si>
    <t>1492.55</t>
  </si>
  <si>
    <t>Mitsubishi</t>
  </si>
  <si>
    <t>MSBHF</t>
  </si>
  <si>
    <t>126149.58</t>
  </si>
  <si>
    <t>3976.35</t>
  </si>
  <si>
    <t>MSCI</t>
  </si>
  <si>
    <t>41469.48</t>
  </si>
  <si>
    <t>Morgan Stanley Direct Lending Fund</t>
  </si>
  <si>
    <t>MSDL</t>
  </si>
  <si>
    <t>1263.85</t>
  </si>
  <si>
    <t>85.63</t>
  </si>
  <si>
    <t>Middlesex Water Company</t>
  </si>
  <si>
    <t>MSEX</t>
  </si>
  <si>
    <t>1000.92</t>
  </si>
  <si>
    <t>Microsoft</t>
  </si>
  <si>
    <t>MSFT</t>
  </si>
  <si>
    <t>7425.63</t>
  </si>
  <si>
    <t>Madison Square Garden Entertainment Corp.</t>
  </si>
  <si>
    <t>MSGE</t>
  </si>
  <si>
    <t>2377.91</t>
  </si>
  <si>
    <t>40.41</t>
  </si>
  <si>
    <t>58.85</t>
  </si>
  <si>
    <t>The Madison Square Garden Company</t>
  </si>
  <si>
    <t>MSGS</t>
  </si>
  <si>
    <t>7641.29</t>
  </si>
  <si>
    <t>Motorola Solutions</t>
  </si>
  <si>
    <t>MSI</t>
  </si>
  <si>
    <t>75876.75</t>
  </si>
  <si>
    <t>165.66</t>
  </si>
  <si>
    <t>MSC</t>
  </si>
  <si>
    <t>MSM</t>
  </si>
  <si>
    <t>5030.67</t>
  </si>
  <si>
    <t>55.8</t>
  </si>
  <si>
    <t>Strategy Inc</t>
  </si>
  <si>
    <t>MSTR</t>
  </si>
  <si>
    <t>46374.94</t>
  </si>
  <si>
    <t>333.75</t>
  </si>
  <si>
    <t>ArcelorMittal</t>
  </si>
  <si>
    <t>MT</t>
  </si>
  <si>
    <t>43268.25</t>
  </si>
  <si>
    <t>M&amp;T Bank</t>
  </si>
  <si>
    <t>MTB</t>
  </si>
  <si>
    <t>31090.39</t>
  </si>
  <si>
    <t>Match Group</t>
  </si>
  <si>
    <t>MTCH</t>
  </si>
  <si>
    <t>7344.14</t>
  </si>
  <si>
    <t>236.07</t>
  </si>
  <si>
    <t>MettlerToledo International</t>
  </si>
  <si>
    <t>MTD</t>
  </si>
  <si>
    <t>25378.51</t>
  </si>
  <si>
    <t>Matador Resources</t>
  </si>
  <si>
    <t>MTDR</t>
  </si>
  <si>
    <t>6976.63</t>
  </si>
  <si>
    <t>MGIC Investment</t>
  </si>
  <si>
    <t>MTG</t>
  </si>
  <si>
    <t>5711.31</t>
  </si>
  <si>
    <t>214.95</t>
  </si>
  <si>
    <t>Meritage Homes</t>
  </si>
  <si>
    <t>MTH</t>
  </si>
  <si>
    <t>4544.45</t>
  </si>
  <si>
    <t>Mitsubishi Chemical</t>
  </si>
  <si>
    <t>MTLHY</t>
  </si>
  <si>
    <t>8072.22</t>
  </si>
  <si>
    <t>288.29</t>
  </si>
  <si>
    <t>Vail Resorts</t>
  </si>
  <si>
    <t>MTN</t>
  </si>
  <si>
    <t>4791.78</t>
  </si>
  <si>
    <t>MTN Group</t>
  </si>
  <si>
    <t>MTNOY</t>
  </si>
  <si>
    <t>21509.05</t>
  </si>
  <si>
    <t>1833.68</t>
  </si>
  <si>
    <t>Metro</t>
  </si>
  <si>
    <t>MTRAF</t>
  </si>
  <si>
    <t>14811.77</t>
  </si>
  <si>
    <t>212.68</t>
  </si>
  <si>
    <t>Materion</t>
  </si>
  <si>
    <t>MTRN</t>
  </si>
  <si>
    <t>3011.52</t>
  </si>
  <si>
    <t>MACOM Technology Solutions</t>
  </si>
  <si>
    <t>MTSI</t>
  </si>
  <si>
    <t>16407.37</t>
  </si>
  <si>
    <t>75.01</t>
  </si>
  <si>
    <t>CECONOMY</t>
  </si>
  <si>
    <t>MTTRY</t>
  </si>
  <si>
    <t>2523.15</t>
  </si>
  <si>
    <t>2426.1</t>
  </si>
  <si>
    <t>MTU Aero Engines</t>
  </si>
  <si>
    <t>MTUAY</t>
  </si>
  <si>
    <t>21653.59</t>
  </si>
  <si>
    <t>107.65</t>
  </si>
  <si>
    <t>Minerals Technologies</t>
  </si>
  <si>
    <t>MTX</t>
  </si>
  <si>
    <t>2094.23</t>
  </si>
  <si>
    <t>MasTec</t>
  </si>
  <si>
    <t>MTZ</t>
  </si>
  <si>
    <t>23497.48</t>
  </si>
  <si>
    <t>78.9</t>
  </si>
  <si>
    <t>Micron Technology</t>
  </si>
  <si>
    <t>MU</t>
  </si>
  <si>
    <t>438183.28</t>
  </si>
  <si>
    <t>1125.51</t>
  </si>
  <si>
    <t>iShares National Muni Bond ETF</t>
  </si>
  <si>
    <t>MUB</t>
  </si>
  <si>
    <t>42856.64</t>
  </si>
  <si>
    <t>108.92</t>
  </si>
  <si>
    <t>BlackRock MuniHoldings California Quality Fund</t>
  </si>
  <si>
    <t>MUC</t>
  </si>
  <si>
    <t>1350.09</t>
  </si>
  <si>
    <t>125.01</t>
  </si>
  <si>
    <t>Mitsubishi UFJ Financial Group</t>
  </si>
  <si>
    <t>MUFG</t>
  </si>
  <si>
    <t>205074.03</t>
  </si>
  <si>
    <t>11867.71</t>
  </si>
  <si>
    <t>Murphy Oil</t>
  </si>
  <si>
    <t>MUR</t>
  </si>
  <si>
    <t>4807.67</t>
  </si>
  <si>
    <t>142.83</t>
  </si>
  <si>
    <t>Mnchener RckversicherungsGesellschaft</t>
  </si>
  <si>
    <t>MURGY</t>
  </si>
  <si>
    <t>79837.13</t>
  </si>
  <si>
    <t>6480.29</t>
  </si>
  <si>
    <t>Murphy USA</t>
  </si>
  <si>
    <t>MUSA</t>
  </si>
  <si>
    <t>8096.06</t>
  </si>
  <si>
    <t>McEwen Inc.</t>
  </si>
  <si>
    <t>MUX</t>
  </si>
  <si>
    <t>1334.77</t>
  </si>
  <si>
    <t>54.48</t>
  </si>
  <si>
    <t>Mueller Water Products</t>
  </si>
  <si>
    <t>MWA</t>
  </si>
  <si>
    <t>4377.23</t>
  </si>
  <si>
    <t>SOLV Energy Inc.</t>
  </si>
  <si>
    <t>MWH</t>
  </si>
  <si>
    <t>5627.5</t>
  </si>
  <si>
    <t>Electric Construction</t>
  </si>
  <si>
    <t>199.41</t>
  </si>
  <si>
    <t>Orbia Advance</t>
  </si>
  <si>
    <t>MXCHY</t>
  </si>
  <si>
    <t>1943.4</t>
  </si>
  <si>
    <t>MaxLinear</t>
  </si>
  <si>
    <t>MXL</t>
  </si>
  <si>
    <t>1378.03</t>
  </si>
  <si>
    <t>86.45</t>
  </si>
  <si>
    <t>MYR Group</t>
  </si>
  <si>
    <t>MYRG</t>
  </si>
  <si>
    <t>4154.02</t>
  </si>
  <si>
    <t>Mazda Motor</t>
  </si>
  <si>
    <t>MZDAY</t>
  </si>
  <si>
    <t>4551.13</t>
  </si>
  <si>
    <t>1260.7</t>
  </si>
  <si>
    <t>The Marzetti Company</t>
  </si>
  <si>
    <t>MZTI</t>
  </si>
  <si>
    <t>4496.55</t>
  </si>
  <si>
    <t>27.42</t>
  </si>
  <si>
    <t>National Australia Bank</t>
  </si>
  <si>
    <t>NABZY</t>
  </si>
  <si>
    <t>101322.66</t>
  </si>
  <si>
    <t>6111.14</t>
  </si>
  <si>
    <t>NewAmsterdam Pharma Company N.V.</t>
  </si>
  <si>
    <t>NAMS</t>
  </si>
  <si>
    <t>3537.79</t>
  </si>
  <si>
    <t>114.97</t>
  </si>
  <si>
    <t>Nordic American Tankers Limited</t>
  </si>
  <si>
    <t>NAT</t>
  </si>
  <si>
    <t>1192.16</t>
  </si>
  <si>
    <t>211.75</t>
  </si>
  <si>
    <t>NCR Atleos Corporation</t>
  </si>
  <si>
    <t>NATL</t>
  </si>
  <si>
    <t>3316.88</t>
  </si>
  <si>
    <t>73.56</t>
  </si>
  <si>
    <t>Navan</t>
  </si>
  <si>
    <t>NAVN</t>
  </si>
  <si>
    <t>2459.09</t>
  </si>
  <si>
    <t>248.64</t>
  </si>
  <si>
    <t>National Bank</t>
  </si>
  <si>
    <t>NBHC</t>
  </si>
  <si>
    <t>1788.39</t>
  </si>
  <si>
    <t>45.01</t>
  </si>
  <si>
    <t>Nebius Group N.V.</t>
  </si>
  <si>
    <t>NBIS</t>
  </si>
  <si>
    <t>23906.58</t>
  </si>
  <si>
    <t>251.81</t>
  </si>
  <si>
    <t>Neurocrine Biosciences</t>
  </si>
  <si>
    <t>NBIX</t>
  </si>
  <si>
    <t>13040.22</t>
  </si>
  <si>
    <t>100.36</t>
  </si>
  <si>
    <t>Nabors Industries</t>
  </si>
  <si>
    <t>NBR</t>
  </si>
  <si>
    <t>1190.44</t>
  </si>
  <si>
    <t>NBT Bancorp</t>
  </si>
  <si>
    <t>NBTB</t>
  </si>
  <si>
    <t>2161.78</t>
  </si>
  <si>
    <t>52.2</t>
  </si>
  <si>
    <t>Nanobiotix S.A. - Sponsored ADR</t>
  </si>
  <si>
    <t>NBTX</t>
  </si>
  <si>
    <t>1942.34</t>
  </si>
  <si>
    <t>48.4</t>
  </si>
  <si>
    <t>Bandai Namco Holdings Inc. - Unsponsored ADR</t>
  </si>
  <si>
    <t>NCBDY</t>
  </si>
  <si>
    <t>17164.21</t>
  </si>
  <si>
    <t>1294.44</t>
  </si>
  <si>
    <t>Norwegian Cruise Line</t>
  </si>
  <si>
    <t>NCLH</t>
  </si>
  <si>
    <t>9434.35</t>
  </si>
  <si>
    <t>455.55</t>
  </si>
  <si>
    <t>Nitori Holdings</t>
  </si>
  <si>
    <t>NCLTY</t>
  </si>
  <si>
    <t>10363.17</t>
  </si>
  <si>
    <t>1130.12</t>
  </si>
  <si>
    <t>nCino</t>
  </si>
  <si>
    <t>NCNO</t>
  </si>
  <si>
    <t>1865.92</t>
  </si>
  <si>
    <t>114.68</t>
  </si>
  <si>
    <t>Nabtesco</t>
  </si>
  <si>
    <t>NCTKF</t>
  </si>
  <si>
    <t>3340.66</t>
  </si>
  <si>
    <t>120.12</t>
  </si>
  <si>
    <t>Nasdaq</t>
  </si>
  <si>
    <t>NDAQ</t>
  </si>
  <si>
    <t>50051.48</t>
  </si>
  <si>
    <t>568.44</t>
  </si>
  <si>
    <t>Nitto Denko</t>
  </si>
  <si>
    <t>NDEKY</t>
  </si>
  <si>
    <t>14048.26</t>
  </si>
  <si>
    <t>678.66</t>
  </si>
  <si>
    <t>Nordson</t>
  </si>
  <si>
    <t>NDSN</t>
  </si>
  <si>
    <t>15144.69</t>
  </si>
  <si>
    <t>Noble Corporation PLC</t>
  </si>
  <si>
    <t>NE</t>
  </si>
  <si>
    <t>7237.11</t>
  </si>
  <si>
    <t>159.2</t>
  </si>
  <si>
    <t>NextEra Energy</t>
  </si>
  <si>
    <t>NEE</t>
  </si>
  <si>
    <t>191704.86</t>
  </si>
  <si>
    <t>2083.52</t>
  </si>
  <si>
    <t>Newmont</t>
  </si>
  <si>
    <t>NEM</t>
  </si>
  <si>
    <t>127237.76</t>
  </si>
  <si>
    <t>1087.87</t>
  </si>
  <si>
    <t>131.95</t>
  </si>
  <si>
    <t>NeoGenomics</t>
  </si>
  <si>
    <t>NEO</t>
  </si>
  <si>
    <t>1157.93</t>
  </si>
  <si>
    <t>129.81</t>
  </si>
  <si>
    <t>Neogen</t>
  </si>
  <si>
    <t>NEOG</t>
  </si>
  <si>
    <t>217.53</t>
  </si>
  <si>
    <t>National Energy Services Reunited</t>
  </si>
  <si>
    <t>NESR</t>
  </si>
  <si>
    <t>2090.33</t>
  </si>
  <si>
    <t>100.79</t>
  </si>
  <si>
    <t>Cloudflare</t>
  </si>
  <si>
    <t>NET</t>
  </si>
  <si>
    <t>70574.65</t>
  </si>
  <si>
    <t>350.28</t>
  </si>
  <si>
    <t>NewMarket</t>
  </si>
  <si>
    <t>NEU</t>
  </si>
  <si>
    <t>5833.88</t>
  </si>
  <si>
    <t>NextDecade</t>
  </si>
  <si>
    <t>NEXT</t>
  </si>
  <si>
    <t>1473.01</t>
  </si>
  <si>
    <t>264.93</t>
  </si>
  <si>
    <t>National Fuel Gas Company</t>
  </si>
  <si>
    <t>NFG</t>
  </si>
  <si>
    <t>Netflix</t>
  </si>
  <si>
    <t>NFLX</t>
  </si>
  <si>
    <t>415122.97</t>
  </si>
  <si>
    <t>4222.16</t>
  </si>
  <si>
    <t>75.86</t>
  </si>
  <si>
    <t>Novagold Resources</t>
  </si>
  <si>
    <t>NG</t>
  </si>
  <si>
    <t>5259.3</t>
  </si>
  <si>
    <t>438.64</t>
  </si>
  <si>
    <t>New Gold</t>
  </si>
  <si>
    <t>NGD</t>
  </si>
  <si>
    <t>8845.08</t>
  </si>
  <si>
    <t>791.86</t>
  </si>
  <si>
    <t>National Grid Transco</t>
  </si>
  <si>
    <t>NGG</t>
  </si>
  <si>
    <t>89714.66</t>
  </si>
  <si>
    <t>992.31</t>
  </si>
  <si>
    <t>NGL Energy Partners</t>
  </si>
  <si>
    <t>NGL</t>
  </si>
  <si>
    <t>1428.82</t>
  </si>
  <si>
    <t>123.81</t>
  </si>
  <si>
    <t>Anglo American</t>
  </si>
  <si>
    <t>NGLOY</t>
  </si>
  <si>
    <t>50986.02</t>
  </si>
  <si>
    <t>2356.1</t>
  </si>
  <si>
    <t>Ingevity</t>
  </si>
  <si>
    <t>NGVT</t>
  </si>
  <si>
    <t>2332.09</t>
  </si>
  <si>
    <t>National HealthCare</t>
  </si>
  <si>
    <t>NHC</t>
  </si>
  <si>
    <t>2494.69</t>
  </si>
  <si>
    <t>National Health Investors</t>
  </si>
  <si>
    <t>NHI</t>
  </si>
  <si>
    <t>4145.29</t>
  </si>
  <si>
    <t>48.39</t>
  </si>
  <si>
    <t>Nihon Kohden</t>
  </si>
  <si>
    <t>NHNKY</t>
  </si>
  <si>
    <t>1644.65</t>
  </si>
  <si>
    <t>Norsk Hydro ASA</t>
  </si>
  <si>
    <t>NHYDY</t>
  </si>
  <si>
    <t>18874.79</t>
  </si>
  <si>
    <t>1978.49</t>
  </si>
  <si>
    <t>NiSource</t>
  </si>
  <si>
    <t>NI</t>
  </si>
  <si>
    <t>22505.41</t>
  </si>
  <si>
    <t>478.53</t>
  </si>
  <si>
    <t>Nicolet Bankshares</t>
  </si>
  <si>
    <t>NIC</t>
  </si>
  <si>
    <t>2220.58</t>
  </si>
  <si>
    <t>Nice</t>
  </si>
  <si>
    <t>NICE</t>
  </si>
  <si>
    <t>7946.08</t>
  </si>
  <si>
    <t>63.25</t>
  </si>
  <si>
    <t>Nikon</t>
  </si>
  <si>
    <t>NINOY</t>
  </si>
  <si>
    <t>3953.23</t>
  </si>
  <si>
    <t>329.16</t>
  </si>
  <si>
    <t>NIO</t>
  </si>
  <si>
    <t>11350.54</t>
  </si>
  <si>
    <t>2297.68</t>
  </si>
  <si>
    <t>NIQ Global Intelligence plc</t>
  </si>
  <si>
    <t>NIQ</t>
  </si>
  <si>
    <t>3671.14</t>
  </si>
  <si>
    <t>295.11</t>
  </si>
  <si>
    <t>Nidec</t>
  </si>
  <si>
    <t>NJDCY</t>
  </si>
  <si>
    <t>34727.61</t>
  </si>
  <si>
    <t>9540.55</t>
  </si>
  <si>
    <t>NewJersey Resources</t>
  </si>
  <si>
    <t>NJR</t>
  </si>
  <si>
    <t>5520.27</t>
  </si>
  <si>
    <t>100.85</t>
  </si>
  <si>
    <t>NIKE</t>
  </si>
  <si>
    <t>NKE</t>
  </si>
  <si>
    <t>83686.06</t>
  </si>
  <si>
    <t>1480.38</t>
  </si>
  <si>
    <t>Nektar Therapeutics</t>
  </si>
  <si>
    <t>NKTR</t>
  </si>
  <si>
    <t>1406.62</t>
  </si>
  <si>
    <t>Annaly Capital Management</t>
  </si>
  <si>
    <t>NLY</t>
  </si>
  <si>
    <t>15941.01</t>
  </si>
  <si>
    <t>718.39</t>
  </si>
  <si>
    <t>NMI</t>
  </si>
  <si>
    <t>NMIH</t>
  </si>
  <si>
    <t>2931.06</t>
  </si>
  <si>
    <t>76.03</t>
  </si>
  <si>
    <t>Navios Maritime Partners</t>
  </si>
  <si>
    <t>NMM</t>
  </si>
  <si>
    <t>1995.47</t>
  </si>
  <si>
    <t>29.69</t>
  </si>
  <si>
    <t>67.2</t>
  </si>
  <si>
    <t>Nomura</t>
  </si>
  <si>
    <t>NMR</t>
  </si>
  <si>
    <t>22764.82</t>
  </si>
  <si>
    <t>2933.61</t>
  </si>
  <si>
    <t>Newmark Group</t>
  </si>
  <si>
    <t>NMRK</t>
  </si>
  <si>
    <t>2614.18</t>
  </si>
  <si>
    <t>180.41</t>
  </si>
  <si>
    <t>Spartacus Acquisition</t>
  </si>
  <si>
    <t>NN</t>
  </si>
  <si>
    <t>2224.68</t>
  </si>
  <si>
    <t>134.83</t>
  </si>
  <si>
    <t>Nissan Chemical</t>
  </si>
  <si>
    <t>NNCHY</t>
  </si>
  <si>
    <t>5182.26</t>
  </si>
  <si>
    <t>Nano Nuclear Energy Inc.</t>
  </si>
  <si>
    <t>NNE</t>
  </si>
  <si>
    <t>1233.33</t>
  </si>
  <si>
    <t>NN Group</t>
  </si>
  <si>
    <t>NNGRY</t>
  </si>
  <si>
    <t>20298.77</t>
  </si>
  <si>
    <t>524.38</t>
  </si>
  <si>
    <t>Nelnet</t>
  </si>
  <si>
    <t>NNI</t>
  </si>
  <si>
    <t>4736.35</t>
  </si>
  <si>
    <t>NNN REIT</t>
  </si>
  <si>
    <t>NNN</t>
  </si>
  <si>
    <t>8632.75</t>
  </si>
  <si>
    <t>Anbio Biotechnology</t>
  </si>
  <si>
    <t>NNNN</t>
  </si>
  <si>
    <t>3195.82</t>
  </si>
  <si>
    <t>143.89</t>
  </si>
  <si>
    <t>Northrop Grumman</t>
  </si>
  <si>
    <t>NOC</t>
  </si>
  <si>
    <t>106063.7</t>
  </si>
  <si>
    <t>141.92</t>
  </si>
  <si>
    <t>Northern Oil and Gas</t>
  </si>
  <si>
    <t>NOG</t>
  </si>
  <si>
    <t>2760.25</t>
  </si>
  <si>
    <t>97.29</t>
  </si>
  <si>
    <t>Nokia</t>
  </si>
  <si>
    <t>NOK</t>
  </si>
  <si>
    <t>45306.27</t>
  </si>
  <si>
    <t>5742.24</t>
  </si>
  <si>
    <t>Nomad Foods Limited</t>
  </si>
  <si>
    <t>NOMD</t>
  </si>
  <si>
    <t>1443.59</t>
  </si>
  <si>
    <t>142.09</t>
  </si>
  <si>
    <t>NOV</t>
  </si>
  <si>
    <t>6833.27</t>
  </si>
  <si>
    <t>360.4</t>
  </si>
  <si>
    <t>Novanta</t>
  </si>
  <si>
    <t>NOVT</t>
  </si>
  <si>
    <t>4541.12</t>
  </si>
  <si>
    <t>ServiceNow</t>
  </si>
  <si>
    <t>NOW</t>
  </si>
  <si>
    <t>127538.78</t>
  </si>
  <si>
    <t>Neptune Insurance Holdings Inc.</t>
  </si>
  <si>
    <t>NP</t>
  </si>
  <si>
    <t>2737.23</t>
  </si>
  <si>
    <t>138.04</t>
  </si>
  <si>
    <t>Northland Power</t>
  </si>
  <si>
    <t>NPIFF</t>
  </si>
  <si>
    <t>4076.78</t>
  </si>
  <si>
    <t>261.5</t>
  </si>
  <si>
    <t>National Presto Industries</t>
  </si>
  <si>
    <t>NPK</t>
  </si>
  <si>
    <t>1011.86</t>
  </si>
  <si>
    <t>NPK INTL INC</t>
  </si>
  <si>
    <t>NPKI</t>
  </si>
  <si>
    <t>1173.25</t>
  </si>
  <si>
    <t>Nippon Yusen Kabushiki Kaisha</t>
  </si>
  <si>
    <t>NPNYY</t>
  </si>
  <si>
    <t>15540.84</t>
  </si>
  <si>
    <t>2170.51</t>
  </si>
  <si>
    <t>ENPRO INC</t>
  </si>
  <si>
    <t>NPO</t>
  </si>
  <si>
    <t>5305.63</t>
  </si>
  <si>
    <t>Nippon Steel &amp; Sumitomo Metal</t>
  </si>
  <si>
    <t>NPSCY</t>
  </si>
  <si>
    <t>20312.33</t>
  </si>
  <si>
    <t>5373.63</t>
  </si>
  <si>
    <t>NSK</t>
  </si>
  <si>
    <t>NPSKY</t>
  </si>
  <si>
    <t>3564.72</t>
  </si>
  <si>
    <t>244.66</t>
  </si>
  <si>
    <t>Naspers</t>
  </si>
  <si>
    <t>NPSNY</t>
  </si>
  <si>
    <t>43537.34</t>
  </si>
  <si>
    <t>3947.18</t>
  </si>
  <si>
    <t>Nordea Bank</t>
  </si>
  <si>
    <t>NRDBY</t>
  </si>
  <si>
    <t>63263.58</t>
  </si>
  <si>
    <t>3417.81</t>
  </si>
  <si>
    <t>NRG Energy</t>
  </si>
  <si>
    <t>NRG</t>
  </si>
  <si>
    <t>33291.82</t>
  </si>
  <si>
    <t>214.21</t>
  </si>
  <si>
    <t>Nomura Research Institute</t>
  </si>
  <si>
    <t>NRILY</t>
  </si>
  <si>
    <t>16722.32</t>
  </si>
  <si>
    <t>581.24</t>
  </si>
  <si>
    <t>Nurix Therapeutics</t>
  </si>
  <si>
    <t>NRIX</t>
  </si>
  <si>
    <t>1594.07</t>
  </si>
  <si>
    <t>Natural Resource Partners</t>
  </si>
  <si>
    <t>NRP</t>
  </si>
  <si>
    <t>1596.15</t>
  </si>
  <si>
    <t>120.46</t>
  </si>
  <si>
    <t>National Storage Affiliates Trust</t>
  </si>
  <si>
    <t>NSA</t>
  </si>
  <si>
    <t>2602.55</t>
  </si>
  <si>
    <t>77.11</t>
  </si>
  <si>
    <t>Nissan Motor Co.</t>
  </si>
  <si>
    <t>NSANY</t>
  </si>
  <si>
    <t>8783.61</t>
  </si>
  <si>
    <t>Norfolk Southern</t>
  </si>
  <si>
    <t>NSC</t>
  </si>
  <si>
    <t>67917.32</t>
  </si>
  <si>
    <t>224.57</t>
  </si>
  <si>
    <t>Insight Enterprises</t>
  </si>
  <si>
    <t>NSIT</t>
  </si>
  <si>
    <t>2593.79</t>
  </si>
  <si>
    <t>Retail - Mail Order</t>
  </si>
  <si>
    <t>Nestle</t>
  </si>
  <si>
    <t>NSRGY</t>
  </si>
  <si>
    <t>2576.52</t>
  </si>
  <si>
    <t>NAPCO Security Technologies</t>
  </si>
  <si>
    <t>NSSC</t>
  </si>
  <si>
    <t>1535.35</t>
  </si>
  <si>
    <t>35.66</t>
  </si>
  <si>
    <t>NetApp</t>
  </si>
  <si>
    <t>NTAP</t>
  </si>
  <si>
    <t>19853.41</t>
  </si>
  <si>
    <t>Computer- Storage Devices</t>
  </si>
  <si>
    <t>197.33</t>
  </si>
  <si>
    <t>The Bank of N.T. Butterfield &amp; Son Limited</t>
  </si>
  <si>
    <t>NTB</t>
  </si>
  <si>
    <t>2086.78</t>
  </si>
  <si>
    <t>NetScout Systems</t>
  </si>
  <si>
    <t>NTCT</t>
  </si>
  <si>
    <t>2197.67</t>
  </si>
  <si>
    <t>72.22</t>
  </si>
  <si>
    <t>Nintendo</t>
  </si>
  <si>
    <t>NTDOY</t>
  </si>
  <si>
    <t>74285.07</t>
  </si>
  <si>
    <t>5194.76</t>
  </si>
  <si>
    <t>Ntt Data</t>
  </si>
  <si>
    <t>NTDTY</t>
  </si>
  <si>
    <t>33650.08</t>
  </si>
  <si>
    <t>1402.09</t>
  </si>
  <si>
    <t>NetEase</t>
  </si>
  <si>
    <t>NTES</t>
  </si>
  <si>
    <t>74567.42</t>
  </si>
  <si>
    <t>633.59</t>
  </si>
  <si>
    <t>National Bank of Canada</t>
  </si>
  <si>
    <t>NTIOF</t>
  </si>
  <si>
    <t>53222.9</t>
  </si>
  <si>
    <t>388.35</t>
  </si>
  <si>
    <t>Intellia Therapeutics</t>
  </si>
  <si>
    <t>NTLA</t>
  </si>
  <si>
    <t>1640.88</t>
  </si>
  <si>
    <t>118.13</t>
  </si>
  <si>
    <t>Nutanix</t>
  </si>
  <si>
    <t>NTNX</t>
  </si>
  <si>
    <t>10742.99</t>
  </si>
  <si>
    <t>270.4</t>
  </si>
  <si>
    <t>Neste OYJ - Unsponsored ADR</t>
  </si>
  <si>
    <t>NTOIY</t>
  </si>
  <si>
    <t>21971.77</t>
  </si>
  <si>
    <t>1536.49</t>
  </si>
  <si>
    <t>Nutrien</t>
  </si>
  <si>
    <t>NTR</t>
  </si>
  <si>
    <t>36475.32</t>
  </si>
  <si>
    <t>481.14</t>
  </si>
  <si>
    <t>Natera</t>
  </si>
  <si>
    <t>NTRA</t>
  </si>
  <si>
    <t>29086.09</t>
  </si>
  <si>
    <t>141.73</t>
  </si>
  <si>
    <t>Northern Trust</t>
  </si>
  <si>
    <t>NTRS</t>
  </si>
  <si>
    <t>25720.43</t>
  </si>
  <si>
    <t>185.83</t>
  </si>
  <si>
    <t>Netskope Inc.</t>
  </si>
  <si>
    <t>NTSK</t>
  </si>
  <si>
    <t>4833.15</t>
  </si>
  <si>
    <t>393.26</t>
  </si>
  <si>
    <t>NETSTREIT</t>
  </si>
  <si>
    <t>NTST</t>
  </si>
  <si>
    <t>2029.81</t>
  </si>
  <si>
    <t>97.07</t>
  </si>
  <si>
    <t xml:space="preserve">Nu </t>
  </si>
  <si>
    <t>NU</t>
  </si>
  <si>
    <t>70689.73</t>
  </si>
  <si>
    <t>4818.66</t>
  </si>
  <si>
    <t>Nucor</t>
  </si>
  <si>
    <t>NUE</t>
  </si>
  <si>
    <t>38600.96</t>
  </si>
  <si>
    <t>227.77</t>
  </si>
  <si>
    <t>Nuveen Municipal Value Fund</t>
  </si>
  <si>
    <t>NUV</t>
  </si>
  <si>
    <t>1921.83</t>
  </si>
  <si>
    <t>207.54</t>
  </si>
  <si>
    <t>Nuvation Bio</t>
  </si>
  <si>
    <t>NUVB</t>
  </si>
  <si>
    <t>1621.6</t>
  </si>
  <si>
    <t>342.83</t>
  </si>
  <si>
    <t>Nuvalent</t>
  </si>
  <si>
    <t>NUVL</t>
  </si>
  <si>
    <t>7439.35</t>
  </si>
  <si>
    <t>72.71</t>
  </si>
  <si>
    <t>Novavax</t>
  </si>
  <si>
    <t>NVAX</t>
  </si>
  <si>
    <t>1718.97</t>
  </si>
  <si>
    <t>162.94</t>
  </si>
  <si>
    <t>NovoCure Limited</t>
  </si>
  <si>
    <t>NVCR</t>
  </si>
  <si>
    <t>1469.09</t>
  </si>
  <si>
    <t>113.79</t>
  </si>
  <si>
    <t>NVIDIA</t>
  </si>
  <si>
    <t>NVDA</t>
  </si>
  <si>
    <t>Navigator Holdings</t>
  </si>
  <si>
    <t>NVGS</t>
  </si>
  <si>
    <t>1446.94</t>
  </si>
  <si>
    <t>Nova Ltd.</t>
  </si>
  <si>
    <t>NVMI</t>
  </si>
  <si>
    <t>13763.93</t>
  </si>
  <si>
    <t>Novo Nordisk</t>
  </si>
  <si>
    <t>NVO</t>
  </si>
  <si>
    <t>177617.69</t>
  </si>
  <si>
    <t>NVR</t>
  </si>
  <si>
    <t>19198.8</t>
  </si>
  <si>
    <t>Enviri Corporation</t>
  </si>
  <si>
    <t>NVRI</t>
  </si>
  <si>
    <t>1462.02</t>
  </si>
  <si>
    <t>81.45</t>
  </si>
  <si>
    <t>Novartis</t>
  </si>
  <si>
    <t>NVS</t>
  </si>
  <si>
    <t>343881.16</t>
  </si>
  <si>
    <t>2112.42</t>
  </si>
  <si>
    <t>Envista</t>
  </si>
  <si>
    <t>NVST</t>
  </si>
  <si>
    <t>4375.47</t>
  </si>
  <si>
    <t>163.88</t>
  </si>
  <si>
    <t>nVent Electric</t>
  </si>
  <si>
    <t>NVT</t>
  </si>
  <si>
    <t>17487.81</t>
  </si>
  <si>
    <t>161.73</t>
  </si>
  <si>
    <t>Navitas Semiconductor</t>
  </si>
  <si>
    <t>NVTS</t>
  </si>
  <si>
    <t>1931.56</t>
  </si>
  <si>
    <t>230.5</t>
  </si>
  <si>
    <t>Novozymes</t>
  </si>
  <si>
    <t>NVZMY</t>
  </si>
  <si>
    <t>22991.22</t>
  </si>
  <si>
    <t>414.55</t>
  </si>
  <si>
    <t>Northwest Bancshares</t>
  </si>
  <si>
    <t>NWBI</t>
  </si>
  <si>
    <t>1798.98</t>
  </si>
  <si>
    <t>146.14</t>
  </si>
  <si>
    <t>NorthWestern</t>
  </si>
  <si>
    <t>NWE</t>
  </si>
  <si>
    <t>4258.04</t>
  </si>
  <si>
    <t>61.44</t>
  </si>
  <si>
    <t>NatWest Group</t>
  </si>
  <si>
    <t>NWG</t>
  </si>
  <si>
    <t>63009.54</t>
  </si>
  <si>
    <t>3995.53</t>
  </si>
  <si>
    <t>Newell Brands</t>
  </si>
  <si>
    <t>NWL</t>
  </si>
  <si>
    <t>1789.98</t>
  </si>
  <si>
    <t>419.2</t>
  </si>
  <si>
    <t>Northwest Natural</t>
  </si>
  <si>
    <t>NWN</t>
  </si>
  <si>
    <t>2173.37</t>
  </si>
  <si>
    <t>News Corporation</t>
  </si>
  <si>
    <t>NWS</t>
  </si>
  <si>
    <t>15389.53</t>
  </si>
  <si>
    <t>555.38</t>
  </si>
  <si>
    <t>NWSA</t>
  </si>
  <si>
    <t>13628.98</t>
  </si>
  <si>
    <t>NexGen Energy</t>
  </si>
  <si>
    <t>NXE</t>
  </si>
  <si>
    <t>8363.87</t>
  </si>
  <si>
    <t>660.65</t>
  </si>
  <si>
    <t>Next</t>
  </si>
  <si>
    <t>NXGPY</t>
  </si>
  <si>
    <t>21169.81</t>
  </si>
  <si>
    <t>NXP Semiconductors</t>
  </si>
  <si>
    <t>NXPI</t>
  </si>
  <si>
    <t>51865.21</t>
  </si>
  <si>
    <t>252.69</t>
  </si>
  <si>
    <t>Nexstar Media Group</t>
  </si>
  <si>
    <t>NXST</t>
  </si>
  <si>
    <t>7481.47</t>
  </si>
  <si>
    <t>30.33</t>
  </si>
  <si>
    <t>Nextracker Inc.</t>
  </si>
  <si>
    <t>NXT</t>
  </si>
  <si>
    <t>16054.69</t>
  </si>
  <si>
    <t>148.48</t>
  </si>
  <si>
    <t>Nayax Ltd.</t>
  </si>
  <si>
    <t>NYAX</t>
  </si>
  <si>
    <t>2051.11</t>
  </si>
  <si>
    <t>The New York Times Company</t>
  </si>
  <si>
    <t>NYT</t>
  </si>
  <si>
    <t>13119.42</t>
  </si>
  <si>
    <t>Publishing - Newspapers</t>
  </si>
  <si>
    <t>162.35</t>
  </si>
  <si>
    <t>Realty Income</t>
  </si>
  <si>
    <t>O</t>
  </si>
  <si>
    <t>60552.67</t>
  </si>
  <si>
    <t>932.44</t>
  </si>
  <si>
    <t>Blue Owl Capital Corporation</t>
  </si>
  <si>
    <t>OBDC</t>
  </si>
  <si>
    <t>5698.71</t>
  </si>
  <si>
    <t>499.45</t>
  </si>
  <si>
    <t>OBIC CO</t>
  </si>
  <si>
    <t>OBIIF</t>
  </si>
  <si>
    <t>10918.19</t>
  </si>
  <si>
    <t>439.89</t>
  </si>
  <si>
    <t>Origin Bancorp</t>
  </si>
  <si>
    <t>OBK</t>
  </si>
  <si>
    <t>1265.06</t>
  </si>
  <si>
    <t>Obayashi</t>
  </si>
  <si>
    <t>OBYCF</t>
  </si>
  <si>
    <t>17037.52</t>
  </si>
  <si>
    <t>706.95</t>
  </si>
  <si>
    <t>Owens Corning</t>
  </si>
  <si>
    <t>OC</t>
  </si>
  <si>
    <t>8621.09</t>
  </si>
  <si>
    <t>80.38</t>
  </si>
  <si>
    <t>OCADO GROUP</t>
  </si>
  <si>
    <t>OCDDY</t>
  </si>
  <si>
    <t>419.85</t>
  </si>
  <si>
    <t>OceanFirst Financial</t>
  </si>
  <si>
    <t>OCFC</t>
  </si>
  <si>
    <t>1028.64</t>
  </si>
  <si>
    <t>57.4</t>
  </si>
  <si>
    <t>Oculis Holding AG</t>
  </si>
  <si>
    <t>OCS</t>
  </si>
  <si>
    <t>1589.93</t>
  </si>
  <si>
    <t>57.98</t>
  </si>
  <si>
    <t>Oaktree Specialty Lending</t>
  </si>
  <si>
    <t>OCSL</t>
  </si>
  <si>
    <t>1005.94</t>
  </si>
  <si>
    <t>88.09</t>
  </si>
  <si>
    <t>Ocular Therapeutix</t>
  </si>
  <si>
    <t>OCUL</t>
  </si>
  <si>
    <t>2163.86</t>
  </si>
  <si>
    <t>217.69</t>
  </si>
  <si>
    <t>Old Dominion Freight Line</t>
  </si>
  <si>
    <t>ODFL</t>
  </si>
  <si>
    <t>41105.7</t>
  </si>
  <si>
    <t>Osisko Development Corp.</t>
  </si>
  <si>
    <t>ODV</t>
  </si>
  <si>
    <t>1268.51</t>
  </si>
  <si>
    <t>298.47</t>
  </si>
  <si>
    <t>OC OERLIKON CP</t>
  </si>
  <si>
    <t>OERLF</t>
  </si>
  <si>
    <t>1719.18</t>
  </si>
  <si>
    <t>339.76</t>
  </si>
  <si>
    <t>OFG Bancorp</t>
  </si>
  <si>
    <t>OFG</t>
  </si>
  <si>
    <t>1654.49</t>
  </si>
  <si>
    <t>OGE Energy</t>
  </si>
  <si>
    <t>OGE</t>
  </si>
  <si>
    <t>206.26</t>
  </si>
  <si>
    <t>Organon &amp; Co.</t>
  </si>
  <si>
    <t>OGN</t>
  </si>
  <si>
    <t>1699.86</t>
  </si>
  <si>
    <t>260.32</t>
  </si>
  <si>
    <t>ONE Gas</t>
  </si>
  <si>
    <t>OGS</t>
  </si>
  <si>
    <t>5463.66</t>
  </si>
  <si>
    <t>Omega Healthcare Investors</t>
  </si>
  <si>
    <t>OHI</t>
  </si>
  <si>
    <t>14113.47</t>
  </si>
  <si>
    <t>295.57</t>
  </si>
  <si>
    <t>OI Glass</t>
  </si>
  <si>
    <t>OI</t>
  </si>
  <si>
    <t>1768.92</t>
  </si>
  <si>
    <t>Glass Products</t>
  </si>
  <si>
    <t>152.36</t>
  </si>
  <si>
    <t>VanEck Oil Services ETF</t>
  </si>
  <si>
    <t>OIH</t>
  </si>
  <si>
    <t>2483.44</t>
  </si>
  <si>
    <t>Oceaneering International</t>
  </si>
  <si>
    <t>OII</t>
  </si>
  <si>
    <t>3477.79</t>
  </si>
  <si>
    <t>99.39</t>
  </si>
  <si>
    <t>ONEOK</t>
  </si>
  <si>
    <t>OKE</t>
  </si>
  <si>
    <t>54136.2</t>
  </si>
  <si>
    <t>629.78</t>
  </si>
  <si>
    <t>Oklo Inc.</t>
  </si>
  <si>
    <t>OKLO</t>
  </si>
  <si>
    <t>9652.94</t>
  </si>
  <si>
    <t>156.25</t>
  </si>
  <si>
    <t>Okta</t>
  </si>
  <si>
    <t>OKTA</t>
  </si>
  <si>
    <t>14127.02</t>
  </si>
  <si>
    <t>Oriental Land</t>
  </si>
  <si>
    <t>OLCLY</t>
  </si>
  <si>
    <t>29724.41</t>
  </si>
  <si>
    <t>1639.52</t>
  </si>
  <si>
    <t>Universal Display</t>
  </si>
  <si>
    <t>OLED</t>
  </si>
  <si>
    <t>4645.3</t>
  </si>
  <si>
    <t>47.1</t>
  </si>
  <si>
    <t>Ollie's Bargain Outlet</t>
  </si>
  <si>
    <t>OLLI</t>
  </si>
  <si>
    <t>6518.42</t>
  </si>
  <si>
    <t>Olema Pharmaceuticals</t>
  </si>
  <si>
    <t>OLMA</t>
  </si>
  <si>
    <t>1098.56</t>
  </si>
  <si>
    <t>68.66</t>
  </si>
  <si>
    <t>Olin</t>
  </si>
  <si>
    <t>OLN</t>
  </si>
  <si>
    <t>2704.56</t>
  </si>
  <si>
    <t>113.64</t>
  </si>
  <si>
    <t>Grupo Aeroportuario del Centro Norte</t>
  </si>
  <si>
    <t>OMAB</t>
  </si>
  <si>
    <t>4713.79</t>
  </si>
  <si>
    <t>Omnicom Group</t>
  </si>
  <si>
    <t>OMC</t>
  </si>
  <si>
    <t>26065.15</t>
  </si>
  <si>
    <t>310.34</t>
  </si>
  <si>
    <t>67.27</t>
  </si>
  <si>
    <t>Omnicell</t>
  </si>
  <si>
    <t>OMCL</t>
  </si>
  <si>
    <t>1809.71</t>
  </si>
  <si>
    <t>45.44</t>
  </si>
  <si>
    <t>OneMain</t>
  </si>
  <si>
    <t>OMF</t>
  </si>
  <si>
    <t>6320.35</t>
  </si>
  <si>
    <t>117.15</t>
  </si>
  <si>
    <t>Omron</t>
  </si>
  <si>
    <t>OMRNY</t>
  </si>
  <si>
    <t>6158.48</t>
  </si>
  <si>
    <t>206.24</t>
  </si>
  <si>
    <t>OMV</t>
  </si>
  <si>
    <t>OMVKY</t>
  </si>
  <si>
    <t>21835.64</t>
  </si>
  <si>
    <t>1309.09</t>
  </si>
  <si>
    <t>ON Semiconductor</t>
  </si>
  <si>
    <t>ON</t>
  </si>
  <si>
    <t>23337.84</t>
  </si>
  <si>
    <t>394.02</t>
  </si>
  <si>
    <t>Old National Bancorp</t>
  </si>
  <si>
    <t>ONB</t>
  </si>
  <si>
    <t>8724.78</t>
  </si>
  <si>
    <t>389.67</t>
  </si>
  <si>
    <t xml:space="preserve">BeOne Medicines Ltd. - Sponsored ADR </t>
  </si>
  <si>
    <t>ONC</t>
  </si>
  <si>
    <t>33150.11</t>
  </si>
  <si>
    <t>109.66</t>
  </si>
  <si>
    <t>ONDAS INC</t>
  </si>
  <si>
    <t>ONDS</t>
  </si>
  <si>
    <t>4107.44</t>
  </si>
  <si>
    <t>422.58</t>
  </si>
  <si>
    <t>ONEX</t>
  </si>
  <si>
    <t>ONEXF</t>
  </si>
  <si>
    <t>5079.06</t>
  </si>
  <si>
    <t>68.61</t>
  </si>
  <si>
    <t xml:space="preserve">On Holding </t>
  </si>
  <si>
    <t>ONON</t>
  </si>
  <si>
    <t>25859.57</t>
  </si>
  <si>
    <t>627.96</t>
  </si>
  <si>
    <t>Onto Innovation</t>
  </si>
  <si>
    <t>ONTO</t>
  </si>
  <si>
    <t>9525.95</t>
  </si>
  <si>
    <t>Nanotechnology</t>
  </si>
  <si>
    <t>Option Care Health</t>
  </si>
  <si>
    <t>OPCH</t>
  </si>
  <si>
    <t>4641.81</t>
  </si>
  <si>
    <t>156.45</t>
  </si>
  <si>
    <t>Opendoor Technologies</t>
  </si>
  <si>
    <t>OPEN</t>
  </si>
  <si>
    <t>4868.29</t>
  </si>
  <si>
    <t>958.33</t>
  </si>
  <si>
    <t>Ono Pharmaceutical Co.</t>
  </si>
  <si>
    <t>OPHLF</t>
  </si>
  <si>
    <t>7428.43</t>
  </si>
  <si>
    <t>469.71</t>
  </si>
  <si>
    <t>OPENLANE</t>
  </si>
  <si>
    <t>OPLN</t>
  </si>
  <si>
    <t>3065.61</t>
  </si>
  <si>
    <t>106.3</t>
  </si>
  <si>
    <t>Opera Limited</t>
  </si>
  <si>
    <t>OPRA</t>
  </si>
  <si>
    <t>OR Royalties Inc.</t>
  </si>
  <si>
    <t>OR</t>
  </si>
  <si>
    <t>8140.7</t>
  </si>
  <si>
    <t>187.49</t>
  </si>
  <si>
    <t>Ormat Technologies</t>
  </si>
  <si>
    <t>ORA</t>
  </si>
  <si>
    <t>6683.87</t>
  </si>
  <si>
    <t>60.85</t>
  </si>
  <si>
    <t>Orange</t>
  </si>
  <si>
    <t>ORANY</t>
  </si>
  <si>
    <t>52908.52</t>
  </si>
  <si>
    <t>2660.06</t>
  </si>
  <si>
    <t>Orchid Island Capital</t>
  </si>
  <si>
    <t>ORC</t>
  </si>
  <si>
    <t>1384.43</t>
  </si>
  <si>
    <t>190.69</t>
  </si>
  <si>
    <t>Oracle</t>
  </si>
  <si>
    <t>ORCL</t>
  </si>
  <si>
    <t>435451.56</t>
  </si>
  <si>
    <t>2873.13</t>
  </si>
  <si>
    <t>Old Republic International</t>
  </si>
  <si>
    <t>ORI</t>
  </si>
  <si>
    <t>10045.46</t>
  </si>
  <si>
    <t>245.73</t>
  </si>
  <si>
    <t>Oric Pharmaceuticals</t>
  </si>
  <si>
    <t>ORIC</t>
  </si>
  <si>
    <t>1169.17</t>
  </si>
  <si>
    <t>Orion OYJ</t>
  </si>
  <si>
    <t>ORINY</t>
  </si>
  <si>
    <t>10687.39</t>
  </si>
  <si>
    <t>282.27</t>
  </si>
  <si>
    <t>Oruka Therapeutics</t>
  </si>
  <si>
    <t>ORKA</t>
  </si>
  <si>
    <t>1628.97</t>
  </si>
  <si>
    <t>48.41</t>
  </si>
  <si>
    <t>Orla Mining</t>
  </si>
  <si>
    <t>ORLA</t>
  </si>
  <si>
    <t>6193.52</t>
  </si>
  <si>
    <t>344.47</t>
  </si>
  <si>
    <t>O'Reilly Automotive</t>
  </si>
  <si>
    <t>ORLY</t>
  </si>
  <si>
    <t>79329.26</t>
  </si>
  <si>
    <t>838.49</t>
  </si>
  <si>
    <t>OneStream</t>
  </si>
  <si>
    <t>OS</t>
  </si>
  <si>
    <t>5778.34</t>
  </si>
  <si>
    <t>243.81</t>
  </si>
  <si>
    <t>Old Second Bancorp</t>
  </si>
  <si>
    <t>OSBC</t>
  </si>
  <si>
    <t>1033.79</t>
  </si>
  <si>
    <t>52.69</t>
  </si>
  <si>
    <t>Oscar Health</t>
  </si>
  <si>
    <t>OSCR</t>
  </si>
  <si>
    <t>4156.56</t>
  </si>
  <si>
    <t>297.75</t>
  </si>
  <si>
    <t>OSI Systems</t>
  </si>
  <si>
    <t>OSIS</t>
  </si>
  <si>
    <t>4647.9</t>
  </si>
  <si>
    <t>Oshkosh</t>
  </si>
  <si>
    <t>OSK</t>
  </si>
  <si>
    <t>9658.76</t>
  </si>
  <si>
    <t>62.55</t>
  </si>
  <si>
    <t>OneSpaWorld</t>
  </si>
  <si>
    <t>OSW</t>
  </si>
  <si>
    <t>2068.59</t>
  </si>
  <si>
    <t>101.45</t>
  </si>
  <si>
    <t>Open Text</t>
  </si>
  <si>
    <t>OTEX</t>
  </si>
  <si>
    <t>6417.94</t>
  </si>
  <si>
    <t>250.6</t>
  </si>
  <si>
    <t>Blue Owl Technology Finance Corp.</t>
  </si>
  <si>
    <t>OTF</t>
  </si>
  <si>
    <t>5449.01</t>
  </si>
  <si>
    <t>465.33</t>
  </si>
  <si>
    <t>Otis Worldwide</t>
  </si>
  <si>
    <t>OTIS</t>
  </si>
  <si>
    <t>34040.28</t>
  </si>
  <si>
    <t>388.72</t>
  </si>
  <si>
    <t>Otsuka Holdings Co.</t>
  </si>
  <si>
    <t>OTSKY</t>
  </si>
  <si>
    <t>34008.71</t>
  </si>
  <si>
    <t>Otter Tail</t>
  </si>
  <si>
    <t>OTTR</t>
  </si>
  <si>
    <t>3688.97</t>
  </si>
  <si>
    <t>Ouster</t>
  </si>
  <si>
    <t>OUST</t>
  </si>
  <si>
    <t>1233.11</t>
  </si>
  <si>
    <t>52.46</t>
  </si>
  <si>
    <t>OUTFRONT Media</t>
  </si>
  <si>
    <t>OUT</t>
  </si>
  <si>
    <t>4952.29</t>
  </si>
  <si>
    <t>176.05</t>
  </si>
  <si>
    <t>Outokumpu</t>
  </si>
  <si>
    <t>OUTKY</t>
  </si>
  <si>
    <t>3084.07</t>
  </si>
  <si>
    <t>946.03</t>
  </si>
  <si>
    <t>OverseaChinese Banking</t>
  </si>
  <si>
    <t>OVCHY</t>
  </si>
  <si>
    <t>72312.38</t>
  </si>
  <si>
    <t>2245.38</t>
  </si>
  <si>
    <t>Ovintiv</t>
  </si>
  <si>
    <t>OVV</t>
  </si>
  <si>
    <t>15220.78</t>
  </si>
  <si>
    <t>283.33</t>
  </si>
  <si>
    <t>Blue Owl Capital</t>
  </si>
  <si>
    <t>OWL</t>
  </si>
  <si>
    <t>15250.33</t>
  </si>
  <si>
    <t>1554.57</t>
  </si>
  <si>
    <t>Oxford Instruments</t>
  </si>
  <si>
    <t>OXINF</t>
  </si>
  <si>
    <t>1996.24</t>
  </si>
  <si>
    <t>Occidental Petroleum</t>
  </si>
  <si>
    <t>OXY</t>
  </si>
  <si>
    <t>54264.39</t>
  </si>
  <si>
    <t>986.27</t>
  </si>
  <si>
    <t>55.02</t>
  </si>
  <si>
    <t>Bank OZK</t>
  </si>
  <si>
    <t>OZK</t>
  </si>
  <si>
    <t>5007.65</t>
  </si>
  <si>
    <t>111.88</t>
  </si>
  <si>
    <t>Plains All American Pipeline</t>
  </si>
  <si>
    <t>PAA</t>
  </si>
  <si>
    <t>15281.08</t>
  </si>
  <si>
    <t>705.5</t>
  </si>
  <si>
    <t>Pan American Silver</t>
  </si>
  <si>
    <t>PAAS</t>
  </si>
  <si>
    <t>25544.6</t>
  </si>
  <si>
    <t>421.81</t>
  </si>
  <si>
    <t>Grupo Aeroportuario Del Pacifico</t>
  </si>
  <si>
    <t>PAC</t>
  </si>
  <si>
    <t>11942.26</t>
  </si>
  <si>
    <t>PACS Group</t>
  </si>
  <si>
    <t>PACS</t>
  </si>
  <si>
    <t>5357.76</t>
  </si>
  <si>
    <t>157.16</t>
  </si>
  <si>
    <t>Penske Automotive Group</t>
  </si>
  <si>
    <t>PAG</t>
  </si>
  <si>
    <t>10254.63</t>
  </si>
  <si>
    <t>Plains Group</t>
  </si>
  <si>
    <t>PAGP</t>
  </si>
  <si>
    <t>4668.56</t>
  </si>
  <si>
    <t>197.9</t>
  </si>
  <si>
    <t>PagSeguro Digital</t>
  </si>
  <si>
    <t>PAGS</t>
  </si>
  <si>
    <t>3289.49</t>
  </si>
  <si>
    <t>329.61</t>
  </si>
  <si>
    <t>Phibro Animal Health</t>
  </si>
  <si>
    <t>PAHC</t>
  </si>
  <si>
    <t>1977.28</t>
  </si>
  <si>
    <t>40.53</t>
  </si>
  <si>
    <t>Paladin Energy</t>
  </si>
  <si>
    <t>PALAF</t>
  </si>
  <si>
    <t>3742.91</t>
  </si>
  <si>
    <t>449.33</t>
  </si>
  <si>
    <t>abrdn Physical Palladium Shares ETF</t>
  </si>
  <si>
    <t>PALL</t>
  </si>
  <si>
    <t>1087.86</t>
  </si>
  <si>
    <t>Palo Alto Networks</t>
  </si>
  <si>
    <t>PANW</t>
  </si>
  <si>
    <t>134721.61</t>
  </si>
  <si>
    <t>Par Pacific</t>
  </si>
  <si>
    <t>PARR</t>
  </si>
  <si>
    <t>2302.18</t>
  </si>
  <si>
    <t>UiPath</t>
  </si>
  <si>
    <t>PATH</t>
  </si>
  <si>
    <t>6400.95</t>
  </si>
  <si>
    <t>534.75</t>
  </si>
  <si>
    <t>Patrick Industries</t>
  </si>
  <si>
    <t>PATK</t>
  </si>
  <si>
    <t>3862.21</t>
  </si>
  <si>
    <t>Paymentus</t>
  </si>
  <si>
    <t>PAY</t>
  </si>
  <si>
    <t>3240.95</t>
  </si>
  <si>
    <t>125.72</t>
  </si>
  <si>
    <t>Paycom Software</t>
  </si>
  <si>
    <t>PAYC</t>
  </si>
  <si>
    <t>7503.53</t>
  </si>
  <si>
    <t>54.28</t>
  </si>
  <si>
    <t>Payoneer Global</t>
  </si>
  <si>
    <t>PAYO</t>
  </si>
  <si>
    <t>1678.83</t>
  </si>
  <si>
    <t>356.44</t>
  </si>
  <si>
    <t>Paychex</t>
  </si>
  <si>
    <t>PAYX</t>
  </si>
  <si>
    <t>35286.5</t>
  </si>
  <si>
    <t>358.97</t>
  </si>
  <si>
    <t>Prosperity Bancshares</t>
  </si>
  <si>
    <t>PB</t>
  </si>
  <si>
    <t>6865.9</t>
  </si>
  <si>
    <t>101.58</t>
  </si>
  <si>
    <t>Pembina Pipeline</t>
  </si>
  <si>
    <t>PBA</t>
  </si>
  <si>
    <t>25893.54</t>
  </si>
  <si>
    <t>581.09</t>
  </si>
  <si>
    <t>PBF Energy</t>
  </si>
  <si>
    <t>PBF</t>
  </si>
  <si>
    <t>4457.25</t>
  </si>
  <si>
    <t>PRESTIGE CONSMR</t>
  </si>
  <si>
    <t>PBH</t>
  </si>
  <si>
    <t>3132.5</t>
  </si>
  <si>
    <t>47.32</t>
  </si>
  <si>
    <t>Pitney Bowes</t>
  </si>
  <si>
    <t>PBI</t>
  </si>
  <si>
    <t>1599.89</t>
  </si>
  <si>
    <t>149.94</t>
  </si>
  <si>
    <t>Petroleo Brasileiro</t>
  </si>
  <si>
    <t>PBR</t>
  </si>
  <si>
    <t>117029.69</t>
  </si>
  <si>
    <t>6444.37</t>
  </si>
  <si>
    <t>PBR.A</t>
  </si>
  <si>
    <t>107556.48</t>
  </si>
  <si>
    <t>Oil and Gas - Integrated - Emerging Markets</t>
  </si>
  <si>
    <t>Prosiebensat.1 Media Se</t>
  </si>
  <si>
    <t>PBSFY</t>
  </si>
  <si>
    <t>1143.5</t>
  </si>
  <si>
    <t>907.54</t>
  </si>
  <si>
    <t>PACCAR</t>
  </si>
  <si>
    <t>PCAR</t>
  </si>
  <si>
    <t>63459.68</t>
  </si>
  <si>
    <t>525.89</t>
  </si>
  <si>
    <t>PCCW</t>
  </si>
  <si>
    <t>PCCWY</t>
  </si>
  <si>
    <t>5976.1</t>
  </si>
  <si>
    <t>774.11</t>
  </si>
  <si>
    <t>Pacific Basin Shipping</t>
  </si>
  <si>
    <t>PCFBY</t>
  </si>
  <si>
    <t>2007.27</t>
  </si>
  <si>
    <t>258.34</t>
  </si>
  <si>
    <t>PG&amp;E</t>
  </si>
  <si>
    <t>PCG</t>
  </si>
  <si>
    <t>39937.07</t>
  </si>
  <si>
    <t>2197.97</t>
  </si>
  <si>
    <t>Procore Technologies</t>
  </si>
  <si>
    <t>PCOR</t>
  </si>
  <si>
    <t>8812.4</t>
  </si>
  <si>
    <t>150.1</t>
  </si>
  <si>
    <t>PureCycle Technologies</t>
  </si>
  <si>
    <t>PCT</t>
  </si>
  <si>
    <t>1061.93</t>
  </si>
  <si>
    <t>180.6</t>
  </si>
  <si>
    <t>Paylocity Holding</t>
  </si>
  <si>
    <t>PCTY</t>
  </si>
  <si>
    <t>6354.76</t>
  </si>
  <si>
    <t>53.88</t>
  </si>
  <si>
    <t>201.04</t>
  </si>
  <si>
    <t>Vaxcyte</t>
  </si>
  <si>
    <t>PCVX</t>
  </si>
  <si>
    <t>8537.36</t>
  </si>
  <si>
    <t>143.92</t>
  </si>
  <si>
    <t>76.14</t>
  </si>
  <si>
    <t>Invesco Emerging Markets Sovereign Debt ETF</t>
  </si>
  <si>
    <t>PCY</t>
  </si>
  <si>
    <t>1450.18</t>
  </si>
  <si>
    <t>PDD Holdings Inc. Sponsored ADR</t>
  </si>
  <si>
    <t>PDD</t>
  </si>
  <si>
    <t>142889.92</t>
  </si>
  <si>
    <t>1392.15</t>
  </si>
  <si>
    <t>PDF Solutions</t>
  </si>
  <si>
    <t>PDFS</t>
  </si>
  <si>
    <t>1298.44</t>
  </si>
  <si>
    <t>Precision Drilling</t>
  </si>
  <si>
    <t>PDS</t>
  </si>
  <si>
    <t>1179.23</t>
  </si>
  <si>
    <t>Pebblebrook Hotel Trust</t>
  </si>
  <si>
    <t>PEB</t>
  </si>
  <si>
    <t>1423.24</t>
  </si>
  <si>
    <t>113.77</t>
  </si>
  <si>
    <t>Peoples Bancorp</t>
  </si>
  <si>
    <t>PEBO</t>
  </si>
  <si>
    <t>1144.32</t>
  </si>
  <si>
    <t>Phillips Edison &amp; Company</t>
  </si>
  <si>
    <t>PECO</t>
  </si>
  <si>
    <t>4857.14</t>
  </si>
  <si>
    <t>125.8</t>
  </si>
  <si>
    <t>Public Service Enterprise Group</t>
  </si>
  <si>
    <t>PEG</t>
  </si>
  <si>
    <t>41914.1</t>
  </si>
  <si>
    <t>498.74</t>
  </si>
  <si>
    <t>Pegasystems</t>
  </si>
  <si>
    <t>PEGA</t>
  </si>
  <si>
    <t>7808.13</t>
  </si>
  <si>
    <t>169.04</t>
  </si>
  <si>
    <t>Penumbra</t>
  </si>
  <si>
    <t>PEN</t>
  </si>
  <si>
    <t>13327.33</t>
  </si>
  <si>
    <t>PENN Entertainment</t>
  </si>
  <si>
    <t>PENN</t>
  </si>
  <si>
    <t>1963.13</t>
  </si>
  <si>
    <t>133.55</t>
  </si>
  <si>
    <t>PepsiCo</t>
  </si>
  <si>
    <t>PEP</t>
  </si>
  <si>
    <t>220754.81</t>
  </si>
  <si>
    <t>1366.65</t>
  </si>
  <si>
    <t>Preferred Bank</t>
  </si>
  <si>
    <t>PFBC</t>
  </si>
  <si>
    <t>1276.91</t>
  </si>
  <si>
    <t>Pfizer</t>
  </si>
  <si>
    <t>PFE</t>
  </si>
  <si>
    <t>152448.83</t>
  </si>
  <si>
    <t>5686.27</t>
  </si>
  <si>
    <t>iShares Preferred and Income Securities ETF</t>
  </si>
  <si>
    <t>PFF</t>
  </si>
  <si>
    <t>14087.28</t>
  </si>
  <si>
    <t>451.95</t>
  </si>
  <si>
    <t>Principal Financial Group</t>
  </si>
  <si>
    <t>PFG</t>
  </si>
  <si>
    <t>19647.43</t>
  </si>
  <si>
    <t>216.84</t>
  </si>
  <si>
    <t>Performance Food Group</t>
  </si>
  <si>
    <t>PFGC</t>
  </si>
  <si>
    <t>13794.76</t>
  </si>
  <si>
    <t>Food - Natural Foods Products</t>
  </si>
  <si>
    <t>156.81</t>
  </si>
  <si>
    <t>108.72</t>
  </si>
  <si>
    <t>Provident Financial Services</t>
  </si>
  <si>
    <t>PFS</t>
  </si>
  <si>
    <t>2719.79</t>
  </si>
  <si>
    <t>130.7</t>
  </si>
  <si>
    <t>23.79</t>
  </si>
  <si>
    <t>PennyMac Financial Services</t>
  </si>
  <si>
    <t>PFSI</t>
  </si>
  <si>
    <t>4539.12</t>
  </si>
  <si>
    <t>52.17</t>
  </si>
  <si>
    <t>Procter &amp; Gamble</t>
  </si>
  <si>
    <t>PG</t>
  </si>
  <si>
    <t>360731.41</t>
  </si>
  <si>
    <t>Precigen</t>
  </si>
  <si>
    <t>PGEN</t>
  </si>
  <si>
    <t>1241.92</t>
  </si>
  <si>
    <t>353.83</t>
  </si>
  <si>
    <t>PIGEON CORP</t>
  </si>
  <si>
    <t>PGENY</t>
  </si>
  <si>
    <t>1210.24</t>
  </si>
  <si>
    <t>478.36</t>
  </si>
  <si>
    <t>Progyny</t>
  </si>
  <si>
    <t>PGNY</t>
  </si>
  <si>
    <t>1494.72</t>
  </si>
  <si>
    <t>81.9</t>
  </si>
  <si>
    <t>Partners Group Holding Zug Namen-Akt</t>
  </si>
  <si>
    <t>PGPHF</t>
  </si>
  <si>
    <t>26280.13</t>
  </si>
  <si>
    <t>25.94</t>
  </si>
  <si>
    <t>The Progressive</t>
  </si>
  <si>
    <t>PGR</t>
  </si>
  <si>
    <t>121165.44</t>
  </si>
  <si>
    <t>585.91</t>
  </si>
  <si>
    <t>Invesco Preferred ETF</t>
  </si>
  <si>
    <t>PGX</t>
  </si>
  <si>
    <t>3914.72</t>
  </si>
  <si>
    <t>347.05</t>
  </si>
  <si>
    <t>ParkerHannifin</t>
  </si>
  <si>
    <t>PH</t>
  </si>
  <si>
    <t>117655.26</t>
  </si>
  <si>
    <t>126.22</t>
  </si>
  <si>
    <t>Pharming Group</t>
  </si>
  <si>
    <t>PHAR</t>
  </si>
  <si>
    <t>1121.55</t>
  </si>
  <si>
    <t>70.14</t>
  </si>
  <si>
    <t>Koninklijke Philips</t>
  </si>
  <si>
    <t>PHG</t>
  </si>
  <si>
    <t>28329.11</t>
  </si>
  <si>
    <t>962.92</t>
  </si>
  <si>
    <t>PHINIA Inc.</t>
  </si>
  <si>
    <t>PHIN</t>
  </si>
  <si>
    <t>2542.59</t>
  </si>
  <si>
    <t>37.92</t>
  </si>
  <si>
    <t>PulteGroup</t>
  </si>
  <si>
    <t>PHM</t>
  </si>
  <si>
    <t>24360.25</t>
  </si>
  <si>
    <t>192.33</t>
  </si>
  <si>
    <t>Impinj</t>
  </si>
  <si>
    <t>PI</t>
  </si>
  <si>
    <t>2987.19</t>
  </si>
  <si>
    <t>Polaris</t>
  </si>
  <si>
    <t>PII</t>
  </si>
  <si>
    <t>2989.3</t>
  </si>
  <si>
    <t>Pinterest</t>
  </si>
  <si>
    <t>PINS</t>
  </si>
  <si>
    <t>13069.97</t>
  </si>
  <si>
    <t>665.14</t>
  </si>
  <si>
    <t>PIPER SANDLR CP</t>
  </si>
  <si>
    <t>PIPR</t>
  </si>
  <si>
    <t>5139.28</t>
  </si>
  <si>
    <t>17.82</t>
  </si>
  <si>
    <t>PJT Partners</t>
  </si>
  <si>
    <t>PJT</t>
  </si>
  <si>
    <t>3413.47</t>
  </si>
  <si>
    <t>24.31</t>
  </si>
  <si>
    <t>Park Hotels &amp; Resorts</t>
  </si>
  <si>
    <t>PK</t>
  </si>
  <si>
    <t>2140.91</t>
  </si>
  <si>
    <t>199.9</t>
  </si>
  <si>
    <t>Packaging Corporation of America</t>
  </si>
  <si>
    <t>PKG</t>
  </si>
  <si>
    <t>19876.74</t>
  </si>
  <si>
    <t>89.21</t>
  </si>
  <si>
    <t>Planet Labs PBC</t>
  </si>
  <si>
    <t>PL</t>
  </si>
  <si>
    <t>8098.82</t>
  </si>
  <si>
    <t>313.67</t>
  </si>
  <si>
    <t>Photronics</t>
  </si>
  <si>
    <t>PLAB</t>
  </si>
  <si>
    <t>1981.54</t>
  </si>
  <si>
    <t>Polibeli Group Ltd.</t>
  </si>
  <si>
    <t>PLBL</t>
  </si>
  <si>
    <t>2982.39</t>
  </si>
  <si>
    <t>Unclassified</t>
  </si>
  <si>
    <t>366.39</t>
  </si>
  <si>
    <t>Prologis</t>
  </si>
  <si>
    <t>PLD</t>
  </si>
  <si>
    <t>125629.89</t>
  </si>
  <si>
    <t>929.56</t>
  </si>
  <si>
    <t>Palomar Holdings</t>
  </si>
  <si>
    <t>PLMR</t>
  </si>
  <si>
    <t>3277.77</t>
  </si>
  <si>
    <t>Planet Fitness</t>
  </si>
  <si>
    <t>PLNT</t>
  </si>
  <si>
    <t>6232.29</t>
  </si>
  <si>
    <t>Douglas Dynamics</t>
  </si>
  <si>
    <t>PLOW</t>
  </si>
  <si>
    <t>1005.58</t>
  </si>
  <si>
    <t>Preformed Line Products</t>
  </si>
  <si>
    <t>PLPC</t>
  </si>
  <si>
    <t>1191.26</t>
  </si>
  <si>
    <t>Pulse Biosciences</t>
  </si>
  <si>
    <t>PLSE</t>
  </si>
  <si>
    <t>1241.14</t>
  </si>
  <si>
    <t>67.99</t>
  </si>
  <si>
    <t>32.96</t>
  </si>
  <si>
    <t>Playtika</t>
  </si>
  <si>
    <t>PLTK</t>
  </si>
  <si>
    <t>1107.66</t>
  </si>
  <si>
    <t>379.33</t>
  </si>
  <si>
    <t>Palantir Technologies</t>
  </si>
  <si>
    <t>PLTR</t>
  </si>
  <si>
    <t>374129.78</t>
  </si>
  <si>
    <t>2391.68</t>
  </si>
  <si>
    <t>Plug Power</t>
  </si>
  <si>
    <t>PLUG</t>
  </si>
  <si>
    <t>3038.82</t>
  </si>
  <si>
    <t>1393.95</t>
  </si>
  <si>
    <t>ePlus</t>
  </si>
  <si>
    <t>PLUS</t>
  </si>
  <si>
    <t>2052.55</t>
  </si>
  <si>
    <t>Business - Software Services</t>
  </si>
  <si>
    <t>Plexus</t>
  </si>
  <si>
    <t>PLXS</t>
  </si>
  <si>
    <t>5131.75</t>
  </si>
  <si>
    <t>Philip Morris International</t>
  </si>
  <si>
    <t>PM</t>
  </si>
  <si>
    <t>269694.75</t>
  </si>
  <si>
    <t>1556.68</t>
  </si>
  <si>
    <t>Pop Mart International Group Limited - Unsponsored ADR</t>
  </si>
  <si>
    <t>PMRTY</t>
  </si>
  <si>
    <t>35778.96</t>
  </si>
  <si>
    <t>1341.54</t>
  </si>
  <si>
    <t>PennyMac Mortgage Investment Trust</t>
  </si>
  <si>
    <t>PMT</t>
  </si>
  <si>
    <t>1032.89</t>
  </si>
  <si>
    <t>87.02</t>
  </si>
  <si>
    <t>The PNC Financial Services Group</t>
  </si>
  <si>
    <t>PNC</t>
  </si>
  <si>
    <t>82828.18</t>
  </si>
  <si>
    <t>403.37</t>
  </si>
  <si>
    <t>Pinnacle Financial Partners</t>
  </si>
  <si>
    <t>PNFP</t>
  </si>
  <si>
    <t>6771.56</t>
  </si>
  <si>
    <t>Ping An Insurance Co. of China</t>
  </si>
  <si>
    <t>PNGAY</t>
  </si>
  <si>
    <t>149440.97</t>
  </si>
  <si>
    <t>9140.12</t>
  </si>
  <si>
    <t>Pentair</t>
  </si>
  <si>
    <t>PNR</t>
  </si>
  <si>
    <t>15050.33</t>
  </si>
  <si>
    <t>163.24</t>
  </si>
  <si>
    <t>The Pennant Group</t>
  </si>
  <si>
    <t>PNTG</t>
  </si>
  <si>
    <t>1193.8</t>
  </si>
  <si>
    <t>34.66</t>
  </si>
  <si>
    <t>Pinnacle West Capital</t>
  </si>
  <si>
    <t>PNW</t>
  </si>
  <si>
    <t>12245.3</t>
  </si>
  <si>
    <t>120.9</t>
  </si>
  <si>
    <t>Insulet</t>
  </si>
  <si>
    <t>PODD</t>
  </si>
  <si>
    <t>16921.76</t>
  </si>
  <si>
    <t>70.4</t>
  </si>
  <si>
    <t>Pony AI Inc. - Sponsored ADR</t>
  </si>
  <si>
    <t>PONY</t>
  </si>
  <si>
    <t>4958.71</t>
  </si>
  <si>
    <t>385.29</t>
  </si>
  <si>
    <t>Pool Corp.</t>
  </si>
  <si>
    <t>POOL</t>
  </si>
  <si>
    <t>7891.72</t>
  </si>
  <si>
    <t>36.79</t>
  </si>
  <si>
    <t>Portland General Electric</t>
  </si>
  <si>
    <t>POR</t>
  </si>
  <si>
    <t>6114.37</t>
  </si>
  <si>
    <t>115.56</t>
  </si>
  <si>
    <t>POLA ORBIS</t>
  </si>
  <si>
    <t>PORBF</t>
  </si>
  <si>
    <t>1925.01</t>
  </si>
  <si>
    <t>221.26</t>
  </si>
  <si>
    <t>Post Holdings</t>
  </si>
  <si>
    <t>POST</t>
  </si>
  <si>
    <t>5042.11</t>
  </si>
  <si>
    <t>47.82</t>
  </si>
  <si>
    <t>Power Integrations</t>
  </si>
  <si>
    <t>POWI</t>
  </si>
  <si>
    <t>2617.01</t>
  </si>
  <si>
    <t>Semiconductors - Power</t>
  </si>
  <si>
    <t>55.5</t>
  </si>
  <si>
    <t>Powell Industries</t>
  </si>
  <si>
    <t>POWL</t>
  </si>
  <si>
    <t>6315.08</t>
  </si>
  <si>
    <t>Pilgrim's Pride</t>
  </si>
  <si>
    <t>PPC</t>
  </si>
  <si>
    <t>9437.76</t>
  </si>
  <si>
    <t>237.55</t>
  </si>
  <si>
    <t>PT Bank Mandiri Persero TBK</t>
  </si>
  <si>
    <t>PPERY</t>
  </si>
  <si>
    <t>2333.33</t>
  </si>
  <si>
    <t>PPG Industries</t>
  </si>
  <si>
    <t>PPG</t>
  </si>
  <si>
    <t>24226.21</t>
  </si>
  <si>
    <t>223.8</t>
  </si>
  <si>
    <t>PPL</t>
  </si>
  <si>
    <t>28782.57</t>
  </si>
  <si>
    <t>751.31</t>
  </si>
  <si>
    <t>abrdn Physical Platinum Shares ETF</t>
  </si>
  <si>
    <t>PPLT</t>
  </si>
  <si>
    <t>3050.74</t>
  </si>
  <si>
    <t>Perpetua Resources</t>
  </si>
  <si>
    <t>PPTA</t>
  </si>
  <si>
    <t>4086.44</t>
  </si>
  <si>
    <t>124.55</t>
  </si>
  <si>
    <t>32.81</t>
  </si>
  <si>
    <t>Permian Resources Corporation</t>
  </si>
  <si>
    <t>PR</t>
  </si>
  <si>
    <t>15889.34</t>
  </si>
  <si>
    <t>829.3</t>
  </si>
  <si>
    <t>ProAssurance</t>
  </si>
  <si>
    <t>PRA</t>
  </si>
  <si>
    <t>1264.78</t>
  </si>
  <si>
    <t>51.41</t>
  </si>
  <si>
    <t>Praxis Precision Medicines</t>
  </si>
  <si>
    <t>PRAX</t>
  </si>
  <si>
    <t>8606.19</t>
  </si>
  <si>
    <t>PROCEPT BIOROBO</t>
  </si>
  <si>
    <t>PRCT</t>
  </si>
  <si>
    <t>1424.42</t>
  </si>
  <si>
    <t>Perdoceo Education</t>
  </si>
  <si>
    <t>PRDO</t>
  </si>
  <si>
    <t>Prog Holdings</t>
  </si>
  <si>
    <t>PRG</t>
  </si>
  <si>
    <t>1294.92</t>
  </si>
  <si>
    <t>Perrigo</t>
  </si>
  <si>
    <t>PRGO</t>
  </si>
  <si>
    <t>1416.41</t>
  </si>
  <si>
    <t>137.65</t>
  </si>
  <si>
    <t>Progress Software</t>
  </si>
  <si>
    <t>PRGS</t>
  </si>
  <si>
    <t>1636.11</t>
  </si>
  <si>
    <t>Primerica</t>
  </si>
  <si>
    <t>PRI</t>
  </si>
  <si>
    <t>8002.67</t>
  </si>
  <si>
    <t>Primoris Services</t>
  </si>
  <si>
    <t>PRIM</t>
  </si>
  <si>
    <t>7445.74</t>
  </si>
  <si>
    <t>54.06</t>
  </si>
  <si>
    <t>Park National</t>
  </si>
  <si>
    <t>PRK</t>
  </si>
  <si>
    <t>2862.62</t>
  </si>
  <si>
    <t>UTD PARKS&amp;RESRT</t>
  </si>
  <si>
    <t>PRKS</t>
  </si>
  <si>
    <t>1663.99</t>
  </si>
  <si>
    <t>Proto Labs</t>
  </si>
  <si>
    <t>PRLB</t>
  </si>
  <si>
    <t>1369.21</t>
  </si>
  <si>
    <t>Rubber - Plastics</t>
  </si>
  <si>
    <t>Perimeter Solutions</t>
  </si>
  <si>
    <t xml:space="preserve"> SA</t>
  </si>
  <si>
    <t>PRM</t>
  </si>
  <si>
    <t>3559.66</t>
  </si>
  <si>
    <t>Primo Brands Corporation</t>
  </si>
  <si>
    <t>PRMB</t>
  </si>
  <si>
    <t>7895.14</t>
  </si>
  <si>
    <t>363.33</t>
  </si>
  <si>
    <t>Paramount Resources</t>
  </si>
  <si>
    <t>PRMRF</t>
  </si>
  <si>
    <t>3132.26</t>
  </si>
  <si>
    <t>144.48</t>
  </si>
  <si>
    <t>Pernod Ricard</t>
  </si>
  <si>
    <t>PRNDY</t>
  </si>
  <si>
    <t>21490.81</t>
  </si>
  <si>
    <t>1261.35</t>
  </si>
  <si>
    <t>Prosus</t>
  </si>
  <si>
    <t>PROSY</t>
  </si>
  <si>
    <t>25181.05</t>
  </si>
  <si>
    <t>2525.68</t>
  </si>
  <si>
    <t>Premier Foods</t>
  </si>
  <si>
    <t>PRRFY</t>
  </si>
  <si>
    <t>2271.9</t>
  </si>
  <si>
    <t>173.76</t>
  </si>
  <si>
    <t>Pursuit Attractions and Hospitality</t>
  </si>
  <si>
    <t>PRSU</t>
  </si>
  <si>
    <t>1012.34</t>
  </si>
  <si>
    <t>Prudential Financial</t>
  </si>
  <si>
    <t>PRU</t>
  </si>
  <si>
    <t>33383.64</t>
  </si>
  <si>
    <t>Privia Health Group</t>
  </si>
  <si>
    <t>PRVA</t>
  </si>
  <si>
    <t>2881.94</t>
  </si>
  <si>
    <t>123.69</t>
  </si>
  <si>
    <t>Prysmian S.P.A. - Unsponsored ADR</t>
  </si>
  <si>
    <t>PRYMY</t>
  </si>
  <si>
    <t>33306.27</t>
  </si>
  <si>
    <t>573.85</t>
  </si>
  <si>
    <t>58.04</t>
  </si>
  <si>
    <t>Public Storage</t>
  </si>
  <si>
    <t>PSA</t>
  </si>
  <si>
    <t>53789.22</t>
  </si>
  <si>
    <t>175.51</t>
  </si>
  <si>
    <t>Prospect Capital</t>
  </si>
  <si>
    <t>PSEC</t>
  </si>
  <si>
    <t>1294.48</t>
  </si>
  <si>
    <t>484.83</t>
  </si>
  <si>
    <t>Pershing Square</t>
  </si>
  <si>
    <t>PSHZF</t>
  </si>
  <si>
    <t>10009.52</t>
  </si>
  <si>
    <t>182.96</t>
  </si>
  <si>
    <t>Power Solutions International</t>
  </si>
  <si>
    <t>PSIX</t>
  </si>
  <si>
    <t>1206.46</t>
  </si>
  <si>
    <t>Paramount Skydance Corporation</t>
  </si>
  <si>
    <t>PSKY</t>
  </si>
  <si>
    <t>11991.95</t>
  </si>
  <si>
    <t>1071.67</t>
  </si>
  <si>
    <t>Persimmon</t>
  </si>
  <si>
    <t>PSMMY</t>
  </si>
  <si>
    <t>5285.79</t>
  </si>
  <si>
    <t>160.37</t>
  </si>
  <si>
    <t>PriceSmart</t>
  </si>
  <si>
    <t>PSMT</t>
  </si>
  <si>
    <t>4586.57</t>
  </si>
  <si>
    <t>Parsons</t>
  </si>
  <si>
    <t>PSN</t>
  </si>
  <si>
    <t>6619.73</t>
  </si>
  <si>
    <t>Polestar Automotive Holding UK PLC</t>
  </si>
  <si>
    <t>PSNY</t>
  </si>
  <si>
    <t>1157.5</t>
  </si>
  <si>
    <t>Pearson</t>
  </si>
  <si>
    <t>PSO</t>
  </si>
  <si>
    <t>8374.64</t>
  </si>
  <si>
    <t>635.41</t>
  </si>
  <si>
    <t>EVERPURE</t>
  </si>
  <si>
    <t>PSTG</t>
  </si>
  <si>
    <t>20757.89</t>
  </si>
  <si>
    <t>Phillips 66</t>
  </si>
  <si>
    <t>PSX</t>
  </si>
  <si>
    <t>65321.27</t>
  </si>
  <si>
    <t>400.74</t>
  </si>
  <si>
    <t>PTC</t>
  </si>
  <si>
    <t>19446.35</t>
  </si>
  <si>
    <t>PTC Therapeutics</t>
  </si>
  <si>
    <t>PTCT</t>
  </si>
  <si>
    <t>5661.79</t>
  </si>
  <si>
    <t>82.78</t>
  </si>
  <si>
    <t>PattersonUTI Energy</t>
  </si>
  <si>
    <t>PTEN</t>
  </si>
  <si>
    <t>3518.66</t>
  </si>
  <si>
    <t>379.58</t>
  </si>
  <si>
    <t>Protagonist Therapeutics</t>
  </si>
  <si>
    <t>PTGX</t>
  </si>
  <si>
    <t>6167.75</t>
  </si>
  <si>
    <t>63.81</t>
  </si>
  <si>
    <t>PTL Limited</t>
  </si>
  <si>
    <t>PTLE</t>
  </si>
  <si>
    <t>4507.31</t>
  </si>
  <si>
    <t>502.49</t>
  </si>
  <si>
    <t>Peloton Interactive</t>
  </si>
  <si>
    <t>PTON</t>
  </si>
  <si>
    <t>1642.39</t>
  </si>
  <si>
    <t>425.49</t>
  </si>
  <si>
    <t>Pattern Group Inc.</t>
  </si>
  <si>
    <t>PTRN</t>
  </si>
  <si>
    <t>1572.67</t>
  </si>
  <si>
    <t>155.25</t>
  </si>
  <si>
    <t>Pimco Corporate &amp; Income Opportunity Fund</t>
  </si>
  <si>
    <t>PTY</t>
  </si>
  <si>
    <t>2224.64</t>
  </si>
  <si>
    <t>181.6</t>
  </si>
  <si>
    <t>Publicis Groupe</t>
  </si>
  <si>
    <t>PUBGY</t>
  </si>
  <si>
    <t>22372.38</t>
  </si>
  <si>
    <t>1003.97</t>
  </si>
  <si>
    <t>Prudential</t>
  </si>
  <si>
    <t>PUK</t>
  </si>
  <si>
    <t>37117.21</t>
  </si>
  <si>
    <t>1270.27</t>
  </si>
  <si>
    <t>ProPetro Holding</t>
  </si>
  <si>
    <t>PUMP</t>
  </si>
  <si>
    <t>1491.13</t>
  </si>
  <si>
    <t>122.02</t>
  </si>
  <si>
    <t>PVH</t>
  </si>
  <si>
    <t>2957.02</t>
  </si>
  <si>
    <t>45.8</t>
  </si>
  <si>
    <t>Palvella Therapeutics</t>
  </si>
  <si>
    <t>PVLA</t>
  </si>
  <si>
    <t>1618.05</t>
  </si>
  <si>
    <t>Perella Weinberg Partners</t>
  </si>
  <si>
    <t>PWP</t>
  </si>
  <si>
    <t>1486.66</t>
  </si>
  <si>
    <t>88.81</t>
  </si>
  <si>
    <t>Quanta Services</t>
  </si>
  <si>
    <t>PWR</t>
  </si>
  <si>
    <t>84989.82</t>
  </si>
  <si>
    <t>149.62</t>
  </si>
  <si>
    <t>Phoenix Education Partners</t>
  </si>
  <si>
    <t>PXED</t>
  </si>
  <si>
    <t>1047.05</t>
  </si>
  <si>
    <t>PayPal</t>
  </si>
  <si>
    <t>PYPL</t>
  </si>
  <si>
    <t>42497.87</t>
  </si>
  <si>
    <t>920.66</t>
  </si>
  <si>
    <t>Papa John's International</t>
  </si>
  <si>
    <t>PZZA</t>
  </si>
  <si>
    <t>1073.24</t>
  </si>
  <si>
    <t>Qnity Electronics</t>
  </si>
  <si>
    <t>Q</t>
  </si>
  <si>
    <t>23953.53</t>
  </si>
  <si>
    <t>209.66</t>
  </si>
  <si>
    <t>Quebecor Inc.</t>
  </si>
  <si>
    <t>QBCRF</t>
  </si>
  <si>
    <t>9874.43</t>
  </si>
  <si>
    <t>228.47</t>
  </si>
  <si>
    <t>QBE Insurance Group Limited - Sponsored ADR</t>
  </si>
  <si>
    <t>QBIEY</t>
  </si>
  <si>
    <t>22469.67</t>
  </si>
  <si>
    <t>1510.06</t>
  </si>
  <si>
    <t>D-WAVE QUANTUM</t>
  </si>
  <si>
    <t>QBTS</t>
  </si>
  <si>
    <t>7041.55</t>
  </si>
  <si>
    <t>369.83</t>
  </si>
  <si>
    <t>Qualcomm</t>
  </si>
  <si>
    <t>QCOM</t>
  </si>
  <si>
    <t>147363.38</t>
  </si>
  <si>
    <t>QCR Holdings</t>
  </si>
  <si>
    <t>QCRH</t>
  </si>
  <si>
    <t>1394.51</t>
  </si>
  <si>
    <t>16.73</t>
  </si>
  <si>
    <t>QuidelOrtho</t>
  </si>
  <si>
    <t>QDEL</t>
  </si>
  <si>
    <t>1352.1</t>
  </si>
  <si>
    <t>68.08</t>
  </si>
  <si>
    <t>Qfin Holdings Inc. - Sponsored ADR</t>
  </si>
  <si>
    <t>QFIN</t>
  </si>
  <si>
    <t>2074.48</t>
  </si>
  <si>
    <t>141.99</t>
  </si>
  <si>
    <t>QIAGEN</t>
  </si>
  <si>
    <t>QGEN</t>
  </si>
  <si>
    <t>9150.27</t>
  </si>
  <si>
    <t>211.18</t>
  </si>
  <si>
    <t>Qualys</t>
  </si>
  <si>
    <t>QLYS</t>
  </si>
  <si>
    <t>3437.73</t>
  </si>
  <si>
    <t>QMMM Holdings Limited</t>
  </si>
  <si>
    <t>QMMM</t>
  </si>
  <si>
    <t>6830.44</t>
  </si>
  <si>
    <t>Invesco QQQ</t>
  </si>
  <si>
    <t>QQQ</t>
  </si>
  <si>
    <t>391822.88</t>
  </si>
  <si>
    <t>644.7</t>
  </si>
  <si>
    <t>Nuveen NASDAQ 100 Dynamic Overwrite Fund</t>
  </si>
  <si>
    <t>QQQX</t>
  </si>
  <si>
    <t>1348.11</t>
  </si>
  <si>
    <t>48.83</t>
  </si>
  <si>
    <t>Qorvo</t>
  </si>
  <si>
    <t>QRVO</t>
  </si>
  <si>
    <t>7234.75</t>
  </si>
  <si>
    <t>Semiconductors - Radio Frequency</t>
  </si>
  <si>
    <t>92.71</t>
  </si>
  <si>
    <t>QuantumScape</t>
  </si>
  <si>
    <t>QS</t>
  </si>
  <si>
    <t>4165.56</t>
  </si>
  <si>
    <t>612.58</t>
  </si>
  <si>
    <t>Restaurant Brands International</t>
  </si>
  <si>
    <t>QSR</t>
  </si>
  <si>
    <t>25418.81</t>
  </si>
  <si>
    <t>346.49</t>
  </si>
  <si>
    <t>Q2 Holdings</t>
  </si>
  <si>
    <t>QTWO</t>
  </si>
  <si>
    <t>3291.83</t>
  </si>
  <si>
    <t>62.4</t>
  </si>
  <si>
    <t>Quantum Computing Inc.</t>
  </si>
  <si>
    <t>QUBT</t>
  </si>
  <si>
    <t>1713.23</t>
  </si>
  <si>
    <t>224.54</t>
  </si>
  <si>
    <t>uniQure</t>
  </si>
  <si>
    <t>QURE</t>
  </si>
  <si>
    <t>1124.9</t>
  </si>
  <si>
    <t>62.53</t>
  </si>
  <si>
    <t>71.33</t>
  </si>
  <si>
    <t>QXO INC</t>
  </si>
  <si>
    <t>QXO</t>
  </si>
  <si>
    <t>15368.47</t>
  </si>
  <si>
    <t>708.55</t>
  </si>
  <si>
    <t>Ryder System</t>
  </si>
  <si>
    <t>R</t>
  </si>
  <si>
    <t>7956.02</t>
  </si>
  <si>
    <t>Ferrari</t>
  </si>
  <si>
    <t>RACE</t>
  </si>
  <si>
    <t>81080.49</t>
  </si>
  <si>
    <t>233.95</t>
  </si>
  <si>
    <t>Raiffeisen Bank International</t>
  </si>
  <si>
    <t>RAIFY</t>
  </si>
  <si>
    <t>14262.82</t>
  </si>
  <si>
    <t>1315.76</t>
  </si>
  <si>
    <t>Ralliant Corporation</t>
  </si>
  <si>
    <t>RAL</t>
  </si>
  <si>
    <t>5022.41</t>
  </si>
  <si>
    <t>LiveRamp</t>
  </si>
  <si>
    <t>RAMP</t>
  </si>
  <si>
    <t>1873.55</t>
  </si>
  <si>
    <t>63.13</t>
  </si>
  <si>
    <t>Randstad Holding</t>
  </si>
  <si>
    <t>RANJY</t>
  </si>
  <si>
    <t>5486.98</t>
  </si>
  <si>
    <t>351.95</t>
  </si>
  <si>
    <t>Rapport Therapeutics</t>
  </si>
  <si>
    <t>RAPP</t>
  </si>
  <si>
    <t>1455.57</t>
  </si>
  <si>
    <t>Ultragenyx Pharmaceutical</t>
  </si>
  <si>
    <t>RARE</t>
  </si>
  <si>
    <t>2184.8</t>
  </si>
  <si>
    <t>96.63</t>
  </si>
  <si>
    <t>RB Global</t>
  </si>
  <si>
    <t>RBA</t>
  </si>
  <si>
    <t>19666.36</t>
  </si>
  <si>
    <t>185.9</t>
  </si>
  <si>
    <t>RBC Bearings</t>
  </si>
  <si>
    <t>RBC</t>
  </si>
  <si>
    <t>17884.95</t>
  </si>
  <si>
    <t>Republic Bancorp</t>
  </si>
  <si>
    <t>RBCAA</t>
  </si>
  <si>
    <t>1336.75</t>
  </si>
  <si>
    <t>Reckitt Benckiser Group</t>
  </si>
  <si>
    <t>RBGLY</t>
  </si>
  <si>
    <t>47969.66</t>
  </si>
  <si>
    <t>Soap and Cleaning Materials</t>
  </si>
  <si>
    <t>3223.77</t>
  </si>
  <si>
    <t>Roblox</t>
  </si>
  <si>
    <t>RBLX</t>
  </si>
  <si>
    <t>41451.47</t>
  </si>
  <si>
    <t>661.64</t>
  </si>
  <si>
    <t>Rubrik</t>
  </si>
  <si>
    <t>RBRK</t>
  </si>
  <si>
    <t>11442.09</t>
  </si>
  <si>
    <t>200.14</t>
  </si>
  <si>
    <t>NatWest Group PLC</t>
  </si>
  <si>
    <t>RBSPF</t>
  </si>
  <si>
    <t>62917.85</t>
  </si>
  <si>
    <t>8015.01</t>
  </si>
  <si>
    <t>Red Cat</t>
  </si>
  <si>
    <t>RCAT</t>
  </si>
  <si>
    <t>1682.54</t>
  </si>
  <si>
    <t>119.37</t>
  </si>
  <si>
    <t>Rogers Communication</t>
  </si>
  <si>
    <t>RCI</t>
  </si>
  <si>
    <t>21949.35</t>
  </si>
  <si>
    <t>540.22</t>
  </si>
  <si>
    <t>Royal Caribbean Cruises</t>
  </si>
  <si>
    <t>RCL</t>
  </si>
  <si>
    <t>78601.99</t>
  </si>
  <si>
    <t>270.53</t>
  </si>
  <si>
    <t>365.84</t>
  </si>
  <si>
    <t>Recruit Holdings Co.</t>
  </si>
  <si>
    <t>RCRUY</t>
  </si>
  <si>
    <t>67639.2</t>
  </si>
  <si>
    <t>7819.56</t>
  </si>
  <si>
    <t>Arcus Biosciences</t>
  </si>
  <si>
    <t>RCUS</t>
  </si>
  <si>
    <t>2936.94</t>
  </si>
  <si>
    <t>125.35</t>
  </si>
  <si>
    <t>Reddit Inc.</t>
  </si>
  <si>
    <t>RDDT</t>
  </si>
  <si>
    <t>26527.23</t>
  </si>
  <si>
    <t>191.04</t>
  </si>
  <si>
    <t>Redeia Corporacion SA - Unsponsored ADR</t>
  </si>
  <si>
    <t>RDEIY</t>
  </si>
  <si>
    <t>9241.65</t>
  </si>
  <si>
    <t>1082.16</t>
  </si>
  <si>
    <t>Radian Group</t>
  </si>
  <si>
    <t>RDN</t>
  </si>
  <si>
    <t>4569.21</t>
  </si>
  <si>
    <t>136.27</t>
  </si>
  <si>
    <t>RadNet</t>
  </si>
  <si>
    <t>RDNT</t>
  </si>
  <si>
    <t>4837.56</t>
  </si>
  <si>
    <t>77.61</t>
  </si>
  <si>
    <t>Redwire Corporation</t>
  </si>
  <si>
    <t>RDW</t>
  </si>
  <si>
    <t>1593.7</t>
  </si>
  <si>
    <t>Radware</t>
  </si>
  <si>
    <t>RDWR</t>
  </si>
  <si>
    <t>1060.76</t>
  </si>
  <si>
    <t>42.69</t>
  </si>
  <si>
    <t>Dr. Reddys Laboratories</t>
  </si>
  <si>
    <t>RDY</t>
  </si>
  <si>
    <t>12010.38</t>
  </si>
  <si>
    <t>834.63</t>
  </si>
  <si>
    <t>The RealReal</t>
  </si>
  <si>
    <t>REAL</t>
  </si>
  <si>
    <t>1293.34</t>
  </si>
  <si>
    <t>118.98</t>
  </si>
  <si>
    <t>Regency Centers</t>
  </si>
  <si>
    <t>REG</t>
  </si>
  <si>
    <t>14308.78</t>
  </si>
  <si>
    <t>182.91</t>
  </si>
  <si>
    <t>Regeneron Pharmaceuticals</t>
  </si>
  <si>
    <t>REGN</t>
  </si>
  <si>
    <t>82630.6</t>
  </si>
  <si>
    <t>RELX</t>
  </si>
  <si>
    <t>64868.48</t>
  </si>
  <si>
    <t>1818.06</t>
  </si>
  <si>
    <t>Remitly Global</t>
  </si>
  <si>
    <t>RELY</t>
  </si>
  <si>
    <t>3564.27</t>
  </si>
  <si>
    <t>210.65</t>
  </si>
  <si>
    <t>Remy Cointreau</t>
  </si>
  <si>
    <t>REMYY</t>
  </si>
  <si>
    <t>2340.25</t>
  </si>
  <si>
    <t>525.9</t>
  </si>
  <si>
    <t>Repsol</t>
  </si>
  <si>
    <t>REPYY</t>
  </si>
  <si>
    <t>26904.81</t>
  </si>
  <si>
    <t>1105.37</t>
  </si>
  <si>
    <t>RPC</t>
  </si>
  <si>
    <t>RES</t>
  </si>
  <si>
    <t>1387.46</t>
  </si>
  <si>
    <t>221.64</t>
  </si>
  <si>
    <t>REX American Resources</t>
  </si>
  <si>
    <t>REX</t>
  </si>
  <si>
    <t>1230.22</t>
  </si>
  <si>
    <t>Rexford Industrial Realty</t>
  </si>
  <si>
    <t>REXR</t>
  </si>
  <si>
    <t>8267.55</t>
  </si>
  <si>
    <t>231.84</t>
  </si>
  <si>
    <t>Reynolds Consumer Products</t>
  </si>
  <si>
    <t>REYN</t>
  </si>
  <si>
    <t>4659.11</t>
  </si>
  <si>
    <t>210.34</t>
  </si>
  <si>
    <t>Resideo Technologies</t>
  </si>
  <si>
    <t>REZI</t>
  </si>
  <si>
    <t>5355.66</t>
  </si>
  <si>
    <t>151.25</t>
  </si>
  <si>
    <t>Regions Financial</t>
  </si>
  <si>
    <t>RF</t>
  </si>
  <si>
    <t>23280.14</t>
  </si>
  <si>
    <t>863.51</t>
  </si>
  <si>
    <t>Reinsurance Group of America</t>
  </si>
  <si>
    <t>RGA</t>
  </si>
  <si>
    <t>13530.93</t>
  </si>
  <si>
    <t>65.56</t>
  </si>
  <si>
    <t>Regencell Bioscience</t>
  </si>
  <si>
    <t>RGC</t>
  </si>
  <si>
    <t>12807.26</t>
  </si>
  <si>
    <t>494.49</t>
  </si>
  <si>
    <t>Repligen</t>
  </si>
  <si>
    <t>RGEN</t>
  </si>
  <si>
    <t>7204.19</t>
  </si>
  <si>
    <t>56.33</t>
  </si>
  <si>
    <t>Royal Gold</t>
  </si>
  <si>
    <t>RGLD</t>
  </si>
  <si>
    <t>23904.57</t>
  </si>
  <si>
    <t>84.81</t>
  </si>
  <si>
    <t>Rigetti Computing</t>
  </si>
  <si>
    <t>RGTI</t>
  </si>
  <si>
    <t>5808.46</t>
  </si>
  <si>
    <t>330.03</t>
  </si>
  <si>
    <t>RH</t>
  </si>
  <si>
    <t>2654.42</t>
  </si>
  <si>
    <t>18.78</t>
  </si>
  <si>
    <t>Roche Holding</t>
  </si>
  <si>
    <t>RHHBY</t>
  </si>
  <si>
    <t>348149.88</t>
  </si>
  <si>
    <t>6370.54</t>
  </si>
  <si>
    <t>Robert Half Inc.</t>
  </si>
  <si>
    <t>RHI</t>
  </si>
  <si>
    <t>2441.61</t>
  </si>
  <si>
    <t>101.14</t>
  </si>
  <si>
    <t>Resolute Holdings Management</t>
  </si>
  <si>
    <t>RHLD</t>
  </si>
  <si>
    <t>1457.78</t>
  </si>
  <si>
    <t>Ryman Hospitality Properties</t>
  </si>
  <si>
    <t>RHP</t>
  </si>
  <si>
    <t>5982.42</t>
  </si>
  <si>
    <t>63.01</t>
  </si>
  <si>
    <t>Ricoh Co.</t>
  </si>
  <si>
    <t>RICOY</t>
  </si>
  <si>
    <t>4834.19</t>
  </si>
  <si>
    <t>569.73</t>
  </si>
  <si>
    <t>Transocean</t>
  </si>
  <si>
    <t>RIG</t>
  </si>
  <si>
    <t>6804.58</t>
  </si>
  <si>
    <t>1102.85</t>
  </si>
  <si>
    <t>Rio Tinto</t>
  </si>
  <si>
    <t>RIO</t>
  </si>
  <si>
    <t>113341.86</t>
  </si>
  <si>
    <t>1254.47</t>
  </si>
  <si>
    <t>Riot Platforms</t>
  </si>
  <si>
    <t>RIOT</t>
  </si>
  <si>
    <t>5573.15</t>
  </si>
  <si>
    <t>379.13</t>
  </si>
  <si>
    <t>RITHM CAP CP</t>
  </si>
  <si>
    <t>RITM</t>
  </si>
  <si>
    <t>5469.98</t>
  </si>
  <si>
    <t>Rivian Automotive</t>
  </si>
  <si>
    <t>RIVN</t>
  </si>
  <si>
    <t>19694.51</t>
  </si>
  <si>
    <t>1240.99</t>
  </si>
  <si>
    <t>Raymond James Financial</t>
  </si>
  <si>
    <t>RJF</t>
  </si>
  <si>
    <t>29798.19</t>
  </si>
  <si>
    <t>Rocket Lab Corporation</t>
  </si>
  <si>
    <t>RKLB</t>
  </si>
  <si>
    <t>38181.5</t>
  </si>
  <si>
    <t>534.16</t>
  </si>
  <si>
    <t>Rocket Companies</t>
  </si>
  <si>
    <t>RKT</t>
  </si>
  <si>
    <t>32809.46</t>
  </si>
  <si>
    <t>2104.52</t>
  </si>
  <si>
    <t>Rakuten</t>
  </si>
  <si>
    <t>RKUNY</t>
  </si>
  <si>
    <t>11047.85</t>
  </si>
  <si>
    <t>2170.5</t>
  </si>
  <si>
    <t>Ralph Lauren</t>
  </si>
  <si>
    <t>RL</t>
  </si>
  <si>
    <t>20831.79</t>
  </si>
  <si>
    <t>60.54</t>
  </si>
  <si>
    <t>Relay Therapeutics</t>
  </si>
  <si>
    <t>RLAY</t>
  </si>
  <si>
    <t>1812.28</t>
  </si>
  <si>
    <t>178.73</t>
  </si>
  <si>
    <t>RLI</t>
  </si>
  <si>
    <t>5609.89</t>
  </si>
  <si>
    <t>91.92</t>
  </si>
  <si>
    <t>RLJ Lodging Trust</t>
  </si>
  <si>
    <t>RLJ</t>
  </si>
  <si>
    <t>1166.73</t>
  </si>
  <si>
    <t>151.92</t>
  </si>
  <si>
    <t>RLX Technology</t>
  </si>
  <si>
    <t>RLX</t>
  </si>
  <si>
    <t>3518.57</t>
  </si>
  <si>
    <t>1570.79</t>
  </si>
  <si>
    <t>Rambus</t>
  </si>
  <si>
    <t>RMBS</t>
  </si>
  <si>
    <t>9574.27</t>
  </si>
  <si>
    <t>108.16</t>
  </si>
  <si>
    <t>ResMed</t>
  </si>
  <si>
    <t>RMD</t>
  </si>
  <si>
    <t>36846.44</t>
  </si>
  <si>
    <t>145.68</t>
  </si>
  <si>
    <t>Ramsay Health Care Ltd. Unsponsored ADR</t>
  </si>
  <si>
    <t>RMYHY</t>
  </si>
  <si>
    <t>6306.27</t>
  </si>
  <si>
    <t>923.32</t>
  </si>
  <si>
    <t>Ringcentral</t>
  </si>
  <si>
    <t>RNG</t>
  </si>
  <si>
    <t>3621.87</t>
  </si>
  <si>
    <t>86.57</t>
  </si>
  <si>
    <t>RENAULT</t>
  </si>
  <si>
    <t>RNLSY</t>
  </si>
  <si>
    <t>9699.69</t>
  </si>
  <si>
    <t>1478.61</t>
  </si>
  <si>
    <t>Rheinmetall AG Unsponsored ADR</t>
  </si>
  <si>
    <t>RNMBY</t>
  </si>
  <si>
    <t>85570.41</t>
  </si>
  <si>
    <t>229.4</t>
  </si>
  <si>
    <t>RenaissanceRe</t>
  </si>
  <si>
    <t>RNR</t>
  </si>
  <si>
    <t>12900.55</t>
  </si>
  <si>
    <t>43.49</t>
  </si>
  <si>
    <t>37.65</t>
  </si>
  <si>
    <t>RENISHAW PLC 20</t>
  </si>
  <si>
    <t>RNSHF</t>
  </si>
  <si>
    <t>4293.2</t>
  </si>
  <si>
    <t>72.73</t>
  </si>
  <si>
    <t>Renasant</t>
  </si>
  <si>
    <t>RNST</t>
  </si>
  <si>
    <t>3446.55</t>
  </si>
  <si>
    <t>ReNew Energy Global</t>
  </si>
  <si>
    <t>RNW</t>
  </si>
  <si>
    <t>1915.42</t>
  </si>
  <si>
    <t>362.77</t>
  </si>
  <si>
    <t>Construction Partners</t>
  </si>
  <si>
    <t>ROAD</t>
  </si>
  <si>
    <t>6977.95</t>
  </si>
  <si>
    <t>Gibraltar Industries</t>
  </si>
  <si>
    <t>ROCK</t>
  </si>
  <si>
    <t>1157.65</t>
  </si>
  <si>
    <t>Rogers</t>
  </si>
  <si>
    <t>ROG</t>
  </si>
  <si>
    <t>1867.81</t>
  </si>
  <si>
    <t>17.83</t>
  </si>
  <si>
    <t>Rohm Co.</t>
  </si>
  <si>
    <t>ROHCY</t>
  </si>
  <si>
    <t>8959.43</t>
  </si>
  <si>
    <t>403.76</t>
  </si>
  <si>
    <t>Montes Archimedes Acquisition</t>
  </si>
  <si>
    <t>ROIV</t>
  </si>
  <si>
    <t>21134.65</t>
  </si>
  <si>
    <t>715.7</t>
  </si>
  <si>
    <t>Rockwell Automation</t>
  </si>
  <si>
    <t>ROK</t>
  </si>
  <si>
    <t>42196.01</t>
  </si>
  <si>
    <t>112.36</t>
  </si>
  <si>
    <t>Roku</t>
  </si>
  <si>
    <t>ROKU</t>
  </si>
  <si>
    <t>14767.84</t>
  </si>
  <si>
    <t>147.43</t>
  </si>
  <si>
    <t>Rollins</t>
  </si>
  <si>
    <t>ROL</t>
  </si>
  <si>
    <t>27696.48</t>
  </si>
  <si>
    <t>Building Products - Maintenance Service</t>
  </si>
  <si>
    <t>481.09</t>
  </si>
  <si>
    <t>Roper Technologies</t>
  </si>
  <si>
    <t>ROP</t>
  </si>
  <si>
    <t>37368.86</t>
  </si>
  <si>
    <t>102.93</t>
  </si>
  <si>
    <t>Ross Stores</t>
  </si>
  <si>
    <t>ROST</t>
  </si>
  <si>
    <t>68618.84</t>
  </si>
  <si>
    <t>323.45</t>
  </si>
  <si>
    <t>Royal Mail</t>
  </si>
  <si>
    <t>ROYMY</t>
  </si>
  <si>
    <t>4051.48</t>
  </si>
  <si>
    <t>482.32</t>
  </si>
  <si>
    <t>RPM International</t>
  </si>
  <si>
    <t>RPM</t>
  </si>
  <si>
    <t>13145.69</t>
  </si>
  <si>
    <t>128.08</t>
  </si>
  <si>
    <t>128.23</t>
  </si>
  <si>
    <t>Royalty Pharma</t>
  </si>
  <si>
    <t>RPRX</t>
  </si>
  <si>
    <t>26443.11</t>
  </si>
  <si>
    <t>576.86</t>
  </si>
  <si>
    <t>Range Resources</t>
  </si>
  <si>
    <t>RRC</t>
  </si>
  <si>
    <t>9796.56</t>
  </si>
  <si>
    <t>235.38</t>
  </si>
  <si>
    <t>Red Rock Resorts</t>
  </si>
  <si>
    <t>RRR</t>
  </si>
  <si>
    <t>6101.01</t>
  </si>
  <si>
    <t>105.03</t>
  </si>
  <si>
    <t>REGAL REXNORD</t>
  </si>
  <si>
    <t>RRX</t>
  </si>
  <si>
    <t>13033.25</t>
  </si>
  <si>
    <t>Reliance</t>
  </si>
  <si>
    <t>RS</t>
  </si>
  <si>
    <t>15653.45</t>
  </si>
  <si>
    <t>51.73</t>
  </si>
  <si>
    <t>Republic Services</t>
  </si>
  <si>
    <t>RSG</t>
  </si>
  <si>
    <t>71068.38</t>
  </si>
  <si>
    <t>308.8</t>
  </si>
  <si>
    <t>Rush Street Interactive</t>
  </si>
  <si>
    <t>RSI</t>
  </si>
  <si>
    <t>4816.64</t>
  </si>
  <si>
    <t>Invesco S&amp;P 500 Equal Weight ETF</t>
  </si>
  <si>
    <t>RSP</t>
  </si>
  <si>
    <t>88139.81</t>
  </si>
  <si>
    <t>443.56</t>
  </si>
  <si>
    <t>Rentokil Initial</t>
  </si>
  <si>
    <t>RTO</t>
  </si>
  <si>
    <t>15959.52</t>
  </si>
  <si>
    <t>505.21</t>
  </si>
  <si>
    <t>RTX Corporation</t>
  </si>
  <si>
    <t>RTX</t>
  </si>
  <si>
    <t>279504.53</t>
  </si>
  <si>
    <t>1342.29</t>
  </si>
  <si>
    <t>RUMBLE INC</t>
  </si>
  <si>
    <t>RUM</t>
  </si>
  <si>
    <t>2309.12</t>
  </si>
  <si>
    <t>434.86</t>
  </si>
  <si>
    <t>Sunrun</t>
  </si>
  <si>
    <t>RUN</t>
  </si>
  <si>
    <t>2656.8</t>
  </si>
  <si>
    <t>234.49</t>
  </si>
  <si>
    <t>Rush Enterprises</t>
  </si>
  <si>
    <t>RUSHA</t>
  </si>
  <si>
    <t>5008.87</t>
  </si>
  <si>
    <t>76.94</t>
  </si>
  <si>
    <t>RUSHB</t>
  </si>
  <si>
    <t>4518.75</t>
  </si>
  <si>
    <t>Revolve Group</t>
  </si>
  <si>
    <t>RVLV</t>
  </si>
  <si>
    <t>1711.46</t>
  </si>
  <si>
    <t>Revolution Medicines</t>
  </si>
  <si>
    <t>RVMD</t>
  </si>
  <si>
    <t>19775.72</t>
  </si>
  <si>
    <t>198.17</t>
  </si>
  <si>
    <t>Royce Small-Cap Trust</t>
  </si>
  <si>
    <t>RVT</t>
  </si>
  <si>
    <t>2043.24</t>
  </si>
  <si>
    <t>Revvity</t>
  </si>
  <si>
    <t>RVTY</t>
  </si>
  <si>
    <t>10298.21</t>
  </si>
  <si>
    <t>RWE AG</t>
  </si>
  <si>
    <t>RWEOY</t>
  </si>
  <si>
    <t>45162.18</t>
  </si>
  <si>
    <t>726.08</t>
  </si>
  <si>
    <t>RXO</t>
  </si>
  <si>
    <t>2270.8</t>
  </si>
  <si>
    <t>164.19</t>
  </si>
  <si>
    <t>Recursion Pharmaceuticals</t>
  </si>
  <si>
    <t>RXRX</t>
  </si>
  <si>
    <t>1851.17</t>
  </si>
  <si>
    <t>527.4</t>
  </si>
  <si>
    <t>Royal Bank Of Canada</t>
  </si>
  <si>
    <t>RY</t>
  </si>
  <si>
    <t>228440.55</t>
  </si>
  <si>
    <t>1397.7</t>
  </si>
  <si>
    <t>Ryanair</t>
  </si>
  <si>
    <t>RYAAY</t>
  </si>
  <si>
    <t>33056.61</t>
  </si>
  <si>
    <t>524.29</t>
  </si>
  <si>
    <t>Ryan Specialty Holdings Inc.</t>
  </si>
  <si>
    <t>RYAN</t>
  </si>
  <si>
    <t>9996.94</t>
  </si>
  <si>
    <t>264.19</t>
  </si>
  <si>
    <t>RollsRoyce</t>
  </si>
  <si>
    <t>RYCEY</t>
  </si>
  <si>
    <t>141993.34</t>
  </si>
  <si>
    <t>8426.9</t>
  </si>
  <si>
    <t>Ryohin Keikaku Co. Ltd.</t>
  </si>
  <si>
    <t>RYKKY</t>
  </si>
  <si>
    <t>12702.49</t>
  </si>
  <si>
    <t>1123.12</t>
  </si>
  <si>
    <t>Rayonier</t>
  </si>
  <si>
    <t>RYN</t>
  </si>
  <si>
    <t>6378.5</t>
  </si>
  <si>
    <t>302.3</t>
  </si>
  <si>
    <t>Rhythm Pharmaceuticals</t>
  </si>
  <si>
    <t>RYTM</t>
  </si>
  <si>
    <t>6350.51</t>
  </si>
  <si>
    <t>68.29</t>
  </si>
  <si>
    <t>Ryerson</t>
  </si>
  <si>
    <t>RYZ</t>
  </si>
  <si>
    <t>1222.71</t>
  </si>
  <si>
    <t>51.48</t>
  </si>
  <si>
    <t>SentinelOne</t>
  </si>
  <si>
    <t>S</t>
  </si>
  <si>
    <t>4877.12</t>
  </si>
  <si>
    <t>339.87</t>
  </si>
  <si>
    <t>Seabridge Gold</t>
  </si>
  <si>
    <t>SA</t>
  </si>
  <si>
    <t>3650.16</t>
  </si>
  <si>
    <t>107.36</t>
  </si>
  <si>
    <t>Saab AB - Unsponsored ADR</t>
  </si>
  <si>
    <t>SAABY</t>
  </si>
  <si>
    <t>39213.95</t>
  </si>
  <si>
    <t>1070.54</t>
  </si>
  <si>
    <t>SAFEHOLD INC</t>
  </si>
  <si>
    <t>SAFE</t>
  </si>
  <si>
    <t>1091.42</t>
  </si>
  <si>
    <t>71.76</t>
  </si>
  <si>
    <t>Safran</t>
  </si>
  <si>
    <t>SAFRY</t>
  </si>
  <si>
    <t>153816.95</t>
  </si>
  <si>
    <t>1673.38</t>
  </si>
  <si>
    <t>Safety Insurance Group</t>
  </si>
  <si>
    <t>SAFT</t>
  </si>
  <si>
    <t>1062.99</t>
  </si>
  <si>
    <t>72.65</t>
  </si>
  <si>
    <t>Sonic Automotive</t>
  </si>
  <si>
    <t>SAH</t>
  </si>
  <si>
    <t>2055.51</t>
  </si>
  <si>
    <t>Saia</t>
  </si>
  <si>
    <t>SAIA</t>
  </si>
  <si>
    <t>9835.19</t>
  </si>
  <si>
    <t>Science Applications International</t>
  </si>
  <si>
    <t>SAIC</t>
  </si>
  <si>
    <t>4255.97</t>
  </si>
  <si>
    <t>SailPoint</t>
  </si>
  <si>
    <t>SAIL</t>
  </si>
  <si>
    <t>8660.27</t>
  </si>
  <si>
    <t>561.63</t>
  </si>
  <si>
    <t>The Boston Beer Company</t>
  </si>
  <si>
    <t>SAM</t>
  </si>
  <si>
    <t>2410.82</t>
  </si>
  <si>
    <t>Banco Santander</t>
  </si>
  <si>
    <t>SAN</t>
  </si>
  <si>
    <t>166715.66</t>
  </si>
  <si>
    <t>14885.33</t>
  </si>
  <si>
    <t>Sanmina</t>
  </si>
  <si>
    <t>SANM</t>
  </si>
  <si>
    <t>6837.62</t>
  </si>
  <si>
    <t>SAP</t>
  </si>
  <si>
    <t>245823.69</t>
  </si>
  <si>
    <t>Saipem</t>
  </si>
  <si>
    <t>SAPMF</t>
  </si>
  <si>
    <t>7734.79</t>
  </si>
  <si>
    <t>1995.56</t>
  </si>
  <si>
    <t>StandardAero</t>
  </si>
  <si>
    <t>SARO</t>
  </si>
  <si>
    <t>9510.6</t>
  </si>
  <si>
    <t>332.65</t>
  </si>
  <si>
    <t>EchoStar</t>
  </si>
  <si>
    <t>SATS</t>
  </si>
  <si>
    <t>31643.36</t>
  </si>
  <si>
    <t>287.88</t>
  </si>
  <si>
    <t>Sampo</t>
  </si>
  <si>
    <t>SAXPY</t>
  </si>
  <si>
    <t>114565.81</t>
  </si>
  <si>
    <t>5311.35</t>
  </si>
  <si>
    <t>SBA Communications</t>
  </si>
  <si>
    <t>SBAC</t>
  </si>
  <si>
    <t>20875.73</t>
  </si>
  <si>
    <t>106.55</t>
  </si>
  <si>
    <t>Seacoast Banking Corp. of Florida</t>
  </si>
  <si>
    <t>SBCF</t>
  </si>
  <si>
    <t>3002.44</t>
  </si>
  <si>
    <t>97.96</t>
  </si>
  <si>
    <t>Sharplink Inc</t>
  </si>
  <si>
    <t>SBET</t>
  </si>
  <si>
    <t>1494.87</t>
  </si>
  <si>
    <t>196.69</t>
  </si>
  <si>
    <t>Sinclair</t>
  </si>
  <si>
    <t>SBGI</t>
  </si>
  <si>
    <t>1034.1</t>
  </si>
  <si>
    <t>69.68</t>
  </si>
  <si>
    <t>Schneider Electric</t>
  </si>
  <si>
    <t>SBGSY</t>
  </si>
  <si>
    <t>167740.66</t>
  </si>
  <si>
    <t>2885.61</t>
  </si>
  <si>
    <t>Sally Beauty</t>
  </si>
  <si>
    <t>SBH</t>
  </si>
  <si>
    <t>1415.36</t>
  </si>
  <si>
    <t>97.01</t>
  </si>
  <si>
    <t>SBI</t>
  </si>
  <si>
    <t>SBHGF</t>
  </si>
  <si>
    <t>6237.45</t>
  </si>
  <si>
    <t>330.29</t>
  </si>
  <si>
    <t>Star Bulk Carriers</t>
  </si>
  <si>
    <t>SBLK</t>
  </si>
  <si>
    <t>2790.19</t>
  </si>
  <si>
    <t>Sino Biopharmaceutical</t>
  </si>
  <si>
    <t>SBMFF</t>
  </si>
  <si>
    <t>15757.13</t>
  </si>
  <si>
    <t>18760.72</t>
  </si>
  <si>
    <t>Sabine Royalty Trust</t>
  </si>
  <si>
    <t>SBR</t>
  </si>
  <si>
    <t>1088.79</t>
  </si>
  <si>
    <t>Sabra Healthcare REIT</t>
  </si>
  <si>
    <t>SBRA</t>
  </si>
  <si>
    <t>5201.77</t>
  </si>
  <si>
    <t>Companhia de saneamento Basico Do Estado De Sao Paulo  Sabesp</t>
  </si>
  <si>
    <t>SBS</t>
  </si>
  <si>
    <t>19915.89</t>
  </si>
  <si>
    <t>703.74</t>
  </si>
  <si>
    <t>Sibanye Gold Limited</t>
  </si>
  <si>
    <t>SBSW</t>
  </si>
  <si>
    <t>10182.94</t>
  </si>
  <si>
    <t>707.64</t>
  </si>
  <si>
    <t>Starbucks</t>
  </si>
  <si>
    <t>SBUX</t>
  </si>
  <si>
    <t>113667.95</t>
  </si>
  <si>
    <t>1139.3</t>
  </si>
  <si>
    <t>Standard Chartered</t>
  </si>
  <si>
    <t>SCBFF</t>
  </si>
  <si>
    <t>50106.84</t>
  </si>
  <si>
    <t>2273.45</t>
  </si>
  <si>
    <t>Southern Copper</t>
  </si>
  <si>
    <t>SCCO</t>
  </si>
  <si>
    <t>154836.25</t>
  </si>
  <si>
    <t>812.19</t>
  </si>
  <si>
    <t>Societe Generale Group</t>
  </si>
  <si>
    <t>SCGLY</t>
  </si>
  <si>
    <t>58559.3</t>
  </si>
  <si>
    <t>3758.62</t>
  </si>
  <si>
    <t>Charles Schwab</t>
  </si>
  <si>
    <t>SCHW</t>
  </si>
  <si>
    <t>165373.63</t>
  </si>
  <si>
    <t>1752.21</t>
  </si>
  <si>
    <t>Service Corporation International</t>
  </si>
  <si>
    <t>SCI</t>
  </si>
  <si>
    <t>11231.17</t>
  </si>
  <si>
    <t>Funeral Services</t>
  </si>
  <si>
    <t>139.22</t>
  </si>
  <si>
    <t>Stepan</t>
  </si>
  <si>
    <t>SCL</t>
  </si>
  <si>
    <t>1086.04</t>
  </si>
  <si>
    <t>Swisscom</t>
  </si>
  <si>
    <t>SCMWY</t>
  </si>
  <si>
    <t>482759.06</t>
  </si>
  <si>
    <t>5180.15</t>
  </si>
  <si>
    <t>Scor</t>
  </si>
  <si>
    <t>SCRYY</t>
  </si>
  <si>
    <t>6159.33</t>
  </si>
  <si>
    <t>1795.72</t>
  </si>
  <si>
    <t>Seadrill Limited</t>
  </si>
  <si>
    <t>SDRL</t>
  </si>
  <si>
    <t>2703.44</t>
  </si>
  <si>
    <t>62.45</t>
  </si>
  <si>
    <t>Sandvik</t>
  </si>
  <si>
    <t>SDVKY</t>
  </si>
  <si>
    <t>50129.66</t>
  </si>
  <si>
    <t>1254.39</t>
  </si>
  <si>
    <t>Sodexo</t>
  </si>
  <si>
    <t>SDXAY</t>
  </si>
  <si>
    <t>7792.99</t>
  </si>
  <si>
    <t>737.27</t>
  </si>
  <si>
    <t>State Street SPDR S&amp;P Dividend ETF</t>
  </si>
  <si>
    <t>SDY</t>
  </si>
  <si>
    <t>21393.45</t>
  </si>
  <si>
    <t>141.45</t>
  </si>
  <si>
    <t>Sandoz Group AG Sponsored ADR</t>
  </si>
  <si>
    <t>SDZNY</t>
  </si>
  <si>
    <t>36304.4</t>
  </si>
  <si>
    <t>Sea Limited</t>
  </si>
  <si>
    <t>SE</t>
  </si>
  <si>
    <t>53078.99</t>
  </si>
  <si>
    <t>589.11</t>
  </si>
  <si>
    <t>Seaboard</t>
  </si>
  <si>
    <t>SEB</t>
  </si>
  <si>
    <t>4657.14</t>
  </si>
  <si>
    <t>SolarEdge Technologies</t>
  </si>
  <si>
    <t>SEDG</t>
  </si>
  <si>
    <t>2088.07</t>
  </si>
  <si>
    <t>60.37</t>
  </si>
  <si>
    <t>Sealed Air</t>
  </si>
  <si>
    <t>SEE</t>
  </si>
  <si>
    <t>6194.11</t>
  </si>
  <si>
    <t>147.37</t>
  </si>
  <si>
    <t>SEGRO</t>
  </si>
  <si>
    <t>SEGXF</t>
  </si>
  <si>
    <t>13853.31</t>
  </si>
  <si>
    <t>1352.86</t>
  </si>
  <si>
    <t>Solaris Energy Infrastructure</t>
  </si>
  <si>
    <t>SEI</t>
  </si>
  <si>
    <t>3385.23</t>
  </si>
  <si>
    <t>SEI Investments</t>
  </si>
  <si>
    <t>SEIC</t>
  </si>
  <si>
    <t>9921.66</t>
  </si>
  <si>
    <t>122.25</t>
  </si>
  <si>
    <t>Seiko Epson</t>
  </si>
  <si>
    <t>SEKEY</t>
  </si>
  <si>
    <t>4729.44</t>
  </si>
  <si>
    <t>747.15</t>
  </si>
  <si>
    <t>Select Medical</t>
  </si>
  <si>
    <t>SEM</t>
  </si>
  <si>
    <t>2015.3</t>
  </si>
  <si>
    <t>124.02</t>
  </si>
  <si>
    <t>SEMrush</t>
  </si>
  <si>
    <t>SEMR</t>
  </si>
  <si>
    <t>1781.25</t>
  </si>
  <si>
    <t>149.18</t>
  </si>
  <si>
    <t>Stora Enso Oyj</t>
  </si>
  <si>
    <t>SEOAY</t>
  </si>
  <si>
    <t>9755.23</t>
  </si>
  <si>
    <t>788.62</t>
  </si>
  <si>
    <t>Septerna</t>
  </si>
  <si>
    <t>SEPN</t>
  </si>
  <si>
    <t>1301.14</t>
  </si>
  <si>
    <t>44.77</t>
  </si>
  <si>
    <t>Sezzle Inc.</t>
  </si>
  <si>
    <t>SEZL</t>
  </si>
  <si>
    <t>2448.93</t>
  </si>
  <si>
    <t>Stifel Financial</t>
  </si>
  <si>
    <t>SF</t>
  </si>
  <si>
    <t>11307.26</t>
  </si>
  <si>
    <t>154.79</t>
  </si>
  <si>
    <t>ServisFirst Bancshares</t>
  </si>
  <si>
    <t>SFBS</t>
  </si>
  <si>
    <t>4135.97</t>
  </si>
  <si>
    <t>54.62</t>
  </si>
  <si>
    <t>Smithfield Foods</t>
  </si>
  <si>
    <t>SFD</t>
  </si>
  <si>
    <t>9532.98</t>
  </si>
  <si>
    <t>393.11</t>
  </si>
  <si>
    <t>SFL</t>
  </si>
  <si>
    <t>1588.22</t>
  </si>
  <si>
    <t>145.71</t>
  </si>
  <si>
    <t>Sprouts Farmers Market</t>
  </si>
  <si>
    <t>SFM</t>
  </si>
  <si>
    <t>7357.1</t>
  </si>
  <si>
    <t>94.58</t>
  </si>
  <si>
    <t>Simmons First National</t>
  </si>
  <si>
    <t>SFNC</t>
  </si>
  <si>
    <t>2803.19</t>
  </si>
  <si>
    <t>Safestore</t>
  </si>
  <si>
    <t>SFSHF</t>
  </si>
  <si>
    <t>2088.33</t>
  </si>
  <si>
    <t>218.49</t>
  </si>
  <si>
    <t>SoftBank Group</t>
  </si>
  <si>
    <t>SFTBY</t>
  </si>
  <si>
    <t>135713.52</t>
  </si>
  <si>
    <t>11423.7</t>
  </si>
  <si>
    <t>Singapore Telecommunications</t>
  </si>
  <si>
    <t>SGAPY</t>
  </si>
  <si>
    <t>64718.36</t>
  </si>
  <si>
    <t>1651.4</t>
  </si>
  <si>
    <t>SES</t>
  </si>
  <si>
    <t>SGBAF</t>
  </si>
  <si>
    <t>4075.82</t>
  </si>
  <si>
    <t>557.19</t>
  </si>
  <si>
    <t>Super Group (SGHC)</t>
  </si>
  <si>
    <t>SGHC</t>
  </si>
  <si>
    <t>5441.84</t>
  </si>
  <si>
    <t>503.41</t>
  </si>
  <si>
    <t>Shanghai Industrial</t>
  </si>
  <si>
    <t>SGHIY</t>
  </si>
  <si>
    <t>1842.82</t>
  </si>
  <si>
    <t>Somnigroup International Inc.</t>
  </si>
  <si>
    <t>SGI</t>
  </si>
  <si>
    <t>16976.59</t>
  </si>
  <si>
    <t>Shionogi &amp; Co.</t>
  </si>
  <si>
    <t>SGIOY</t>
  </si>
  <si>
    <t>18493.99</t>
  </si>
  <si>
    <t>1701.38</t>
  </si>
  <si>
    <t>SIGMA LITHIUM</t>
  </si>
  <si>
    <t>SGML</t>
  </si>
  <si>
    <t>1371.37</t>
  </si>
  <si>
    <t>111.4</t>
  </si>
  <si>
    <t>Sage Group</t>
  </si>
  <si>
    <t>SGPYY</t>
  </si>
  <si>
    <t>10769.67</t>
  </si>
  <si>
    <t>234.68</t>
  </si>
  <si>
    <t>Surgery Partners</t>
  </si>
  <si>
    <t>SGRY</t>
  </si>
  <si>
    <t>1721.28</t>
  </si>
  <si>
    <t>129.42</t>
  </si>
  <si>
    <t>SGS</t>
  </si>
  <si>
    <t>SGSOY</t>
  </si>
  <si>
    <t>23139.54</t>
  </si>
  <si>
    <t>1947.77</t>
  </si>
  <si>
    <t>Shake Shack</t>
  </si>
  <si>
    <t>SHAK</t>
  </si>
  <si>
    <t>Sotera Health</t>
  </si>
  <si>
    <t>SHC</t>
  </si>
  <si>
    <t>4143.59</t>
  </si>
  <si>
    <t>284.39</t>
  </si>
  <si>
    <t>Sharp</t>
  </si>
  <si>
    <t>SHCAY</t>
  </si>
  <si>
    <t>2384.42</t>
  </si>
  <si>
    <t>2601.66</t>
  </si>
  <si>
    <t>ShinEtsu Chemical Co.</t>
  </si>
  <si>
    <t>SHECY</t>
  </si>
  <si>
    <t>76660.54</t>
  </si>
  <si>
    <t>3969.99</t>
  </si>
  <si>
    <t>Shell</t>
  </si>
  <si>
    <t>SHEL</t>
  </si>
  <si>
    <t>243383.58</t>
  </si>
  <si>
    <t>2843.6</t>
  </si>
  <si>
    <t>Shinhan Financial Group Co</t>
  </si>
  <si>
    <t>SHG</t>
  </si>
  <si>
    <t>29224.47</t>
  </si>
  <si>
    <t>474.65</t>
  </si>
  <si>
    <t>State Street SPDR Nuveen ICE Short Term Municipal Bond ETF</t>
  </si>
  <si>
    <t>SHM</t>
  </si>
  <si>
    <t>3500.33</t>
  </si>
  <si>
    <t>Shimizu</t>
  </si>
  <si>
    <t>SHMUY</t>
  </si>
  <si>
    <t>16974.88</t>
  </si>
  <si>
    <t>185.92</t>
  </si>
  <si>
    <t>Schroders</t>
  </si>
  <si>
    <t>SHNWF</t>
  </si>
  <si>
    <t>12555.67</t>
  </si>
  <si>
    <t>1605.69</t>
  </si>
  <si>
    <t>Sunstone Hotel Investors</t>
  </si>
  <si>
    <t>SHO</t>
  </si>
  <si>
    <t>1772.01</t>
  </si>
  <si>
    <t>189.52</t>
  </si>
  <si>
    <t>Steven Madden</t>
  </si>
  <si>
    <t>SHOO</t>
  </si>
  <si>
    <t>2451.29</t>
  </si>
  <si>
    <t>72.91</t>
  </si>
  <si>
    <t>Shopify</t>
  </si>
  <si>
    <t>SHOP</t>
  </si>
  <si>
    <t>173796.03</t>
  </si>
  <si>
    <t>1301.84</t>
  </si>
  <si>
    <t>iShares 0-1 Year Treasury Bond ETF</t>
  </si>
  <si>
    <t>SHV</t>
  </si>
  <si>
    <t>20013.48</t>
  </si>
  <si>
    <t>181.66</t>
  </si>
  <si>
    <t>SherwinWilliams</t>
  </si>
  <si>
    <t>SHW</t>
  </si>
  <si>
    <t>82470.61</t>
  </si>
  <si>
    <t>247.36</t>
  </si>
  <si>
    <t>Resonac Holdings Corporation Unsponsored ADR</t>
  </si>
  <si>
    <t>SHWDY</t>
  </si>
  <si>
    <t>12682.38</t>
  </si>
  <si>
    <t>184.9</t>
  </si>
  <si>
    <t>77.9</t>
  </si>
  <si>
    <t>Shandong Weigao Medical Polymer Co.</t>
  </si>
  <si>
    <t>SHWGF</t>
  </si>
  <si>
    <t>4491.27</t>
  </si>
  <si>
    <t>iShares 1-3 Year Treasury Bond ETF</t>
  </si>
  <si>
    <t>SHY</t>
  </si>
  <si>
    <t>24731.67</t>
  </si>
  <si>
    <t>298.8</t>
  </si>
  <si>
    <t>83.18</t>
  </si>
  <si>
    <t>National Steel</t>
  </si>
  <si>
    <t>SID</t>
  </si>
  <si>
    <t>1883.05</t>
  </si>
  <si>
    <t>1326.09</t>
  </si>
  <si>
    <t>Siemens</t>
  </si>
  <si>
    <t>SIEGY</t>
  </si>
  <si>
    <t>208960.02</t>
  </si>
  <si>
    <t>Shanghai Electric Group Co.</t>
  </si>
  <si>
    <t>SIELY</t>
  </si>
  <si>
    <t>9289.46</t>
  </si>
  <si>
    <t>778.99</t>
  </si>
  <si>
    <t>Sify Technologies Limited</t>
  </si>
  <si>
    <t>SIFY</t>
  </si>
  <si>
    <t>1009.29</t>
  </si>
  <si>
    <t>72.35</t>
  </si>
  <si>
    <t>Signet Jewelers</t>
  </si>
  <si>
    <t>SIG</t>
  </si>
  <si>
    <t>3727.1</t>
  </si>
  <si>
    <t>40.68</t>
  </si>
  <si>
    <t>Selective Insurance Group</t>
  </si>
  <si>
    <t>SIGI</t>
  </si>
  <si>
    <t>4673.17</t>
  </si>
  <si>
    <t>60.08</t>
  </si>
  <si>
    <t>Sprott</t>
  </si>
  <si>
    <t>SII</t>
  </si>
  <si>
    <t>4184.59</t>
  </si>
  <si>
    <t>39.51</t>
  </si>
  <si>
    <t>Sila Realty Trust</t>
  </si>
  <si>
    <t>SILA</t>
  </si>
  <si>
    <t>1348.56</t>
  </si>
  <si>
    <t>Grupo Simec</t>
  </si>
  <si>
    <t>SIM</t>
  </si>
  <si>
    <t>4732.98</t>
  </si>
  <si>
    <t>Silicon Motion Technology</t>
  </si>
  <si>
    <t>SIMO</t>
  </si>
  <si>
    <t>4133.43</t>
  </si>
  <si>
    <t>33.98</t>
  </si>
  <si>
    <t>Sionna Therapeutics</t>
  </si>
  <si>
    <t>SION</t>
  </si>
  <si>
    <t>1688.78</t>
  </si>
  <si>
    <t>Sirius XM</t>
  </si>
  <si>
    <t>SIRI</t>
  </si>
  <si>
    <t>7264.57</t>
  </si>
  <si>
    <t>334.77</t>
  </si>
  <si>
    <t>SiteOne Landscape Supply</t>
  </si>
  <si>
    <t>SITE</t>
  </si>
  <si>
    <t>5961.55</t>
  </si>
  <si>
    <t>44.46</t>
  </si>
  <si>
    <t>SiTime</t>
  </si>
  <si>
    <t>SITM</t>
  </si>
  <si>
    <t>9371.71</t>
  </si>
  <si>
    <t>The J. M. Smucker Co.</t>
  </si>
  <si>
    <t>SJM</t>
  </si>
  <si>
    <t>11620.4</t>
  </si>
  <si>
    <t>106.65</t>
  </si>
  <si>
    <t>SJMHF</t>
  </si>
  <si>
    <t>2059.52</t>
  </si>
  <si>
    <t>7101.81</t>
  </si>
  <si>
    <t>Skanska AB - Sponsored ADR</t>
  </si>
  <si>
    <t>SKBSY</t>
  </si>
  <si>
    <t>11328.38</t>
  </si>
  <si>
    <t>400.38</t>
  </si>
  <si>
    <t>Skeena Resources Limited</t>
  </si>
  <si>
    <t>SKE</t>
  </si>
  <si>
    <t>4063.56</t>
  </si>
  <si>
    <t>121.3</t>
  </si>
  <si>
    <t>AB SKF</t>
  </si>
  <si>
    <t>SKFRY</t>
  </si>
  <si>
    <t>11538.6</t>
  </si>
  <si>
    <t>455.35</t>
  </si>
  <si>
    <t>Sonic Healthcare Ltd. Sponsored ADR</t>
  </si>
  <si>
    <t>SKHHY</t>
  </si>
  <si>
    <t>7892.98</t>
  </si>
  <si>
    <t>494.24</t>
  </si>
  <si>
    <t>Sekisui House</t>
  </si>
  <si>
    <t>SKHSY</t>
  </si>
  <si>
    <t>14928.87</t>
  </si>
  <si>
    <t>648.24</t>
  </si>
  <si>
    <t>SK Telecom Co.</t>
  </si>
  <si>
    <t>SKM</t>
  </si>
  <si>
    <t>11393.54</t>
  </si>
  <si>
    <t>383.75</t>
  </si>
  <si>
    <t>TANGER INC</t>
  </si>
  <si>
    <t>SKT</t>
  </si>
  <si>
    <t>4111.8</t>
  </si>
  <si>
    <t>Skyward Specialty Insurance Group</t>
  </si>
  <si>
    <t>SKWD</t>
  </si>
  <si>
    <t>2057.05</t>
  </si>
  <si>
    <t>Champion Homes</t>
  </si>
  <si>
    <t>SKY</t>
  </si>
  <si>
    <t>4414.76</t>
  </si>
  <si>
    <t>55.3</t>
  </si>
  <si>
    <t>SkyWater Technology</t>
  </si>
  <si>
    <t>SKYT</t>
  </si>
  <si>
    <t>SkyWest</t>
  </si>
  <si>
    <t>SKYW</t>
  </si>
  <si>
    <t>3765.9</t>
  </si>
  <si>
    <t>Silicon Laboratories</t>
  </si>
  <si>
    <t>SLAB</t>
  </si>
  <si>
    <t>6703.9</t>
  </si>
  <si>
    <t>SLB Limited</t>
  </si>
  <si>
    <t>SLB</t>
  </si>
  <si>
    <t>70905.88</t>
  </si>
  <si>
    <t>1502.56</t>
  </si>
  <si>
    <t>Slide Insurance Holdings</t>
  </si>
  <si>
    <t>SLDE</t>
  </si>
  <si>
    <t>2200.45</t>
  </si>
  <si>
    <t>124.32</t>
  </si>
  <si>
    <t>Sun Life Financial</t>
  </si>
  <si>
    <t>SLF</t>
  </si>
  <si>
    <t>35187.57</t>
  </si>
  <si>
    <t>553.87</t>
  </si>
  <si>
    <t>Standard Life</t>
  </si>
  <si>
    <t>SLFPY</t>
  </si>
  <si>
    <t>5149.48</t>
  </si>
  <si>
    <t>460.19</t>
  </si>
  <si>
    <t>SL Green Realty</t>
  </si>
  <si>
    <t>SLG</t>
  </si>
  <si>
    <t>2791.97</t>
  </si>
  <si>
    <t>Silgan Holdings</t>
  </si>
  <si>
    <t>SLGN</t>
  </si>
  <si>
    <t>4658.43</t>
  </si>
  <si>
    <t>105.44</t>
  </si>
  <si>
    <t>44.18</t>
  </si>
  <si>
    <t>Standard Lithium</t>
  </si>
  <si>
    <t>SLI</t>
  </si>
  <si>
    <t>1078.78</t>
  </si>
  <si>
    <t>242.42</t>
  </si>
  <si>
    <t>SLM</t>
  </si>
  <si>
    <t>3959.13</t>
  </si>
  <si>
    <t>198.15</t>
  </si>
  <si>
    <t>Soleno Therapeutics</t>
  </si>
  <si>
    <t>SLNO</t>
  </si>
  <si>
    <t>2053.1</t>
  </si>
  <si>
    <t>Soitec</t>
  </si>
  <si>
    <t>SLOIF</t>
  </si>
  <si>
    <t>1706.65</t>
  </si>
  <si>
    <t>35.73</t>
  </si>
  <si>
    <t>Solaris Resources Inc.</t>
  </si>
  <si>
    <t>SLSR</t>
  </si>
  <si>
    <t>1540.46</t>
  </si>
  <si>
    <t>166.9</t>
  </si>
  <si>
    <t>Sylvamo</t>
  </si>
  <si>
    <t>SLVM</t>
  </si>
  <si>
    <t>1698.47</t>
  </si>
  <si>
    <t>SM Energy</t>
  </si>
  <si>
    <t>SM</t>
  </si>
  <si>
    <t>2980.7</t>
  </si>
  <si>
    <t>114.55</t>
  </si>
  <si>
    <t>Smartstop Self Storage REIT Inc</t>
  </si>
  <si>
    <t>SMA</t>
  </si>
  <si>
    <t>1763.89</t>
  </si>
  <si>
    <t>Smc</t>
  </si>
  <si>
    <t>SMCAY</t>
  </si>
  <si>
    <t>27016.74</t>
  </si>
  <si>
    <t>1277.39</t>
  </si>
  <si>
    <t>Super Micro Computer</t>
  </si>
  <si>
    <t>SMCI</t>
  </si>
  <si>
    <t>19155.68</t>
  </si>
  <si>
    <t>598.99</t>
  </si>
  <si>
    <t>Siemens Energy AG Unsponsored ADR</t>
  </si>
  <si>
    <t>SMERY</t>
  </si>
  <si>
    <t>149556.94</t>
  </si>
  <si>
    <t>855.34</t>
  </si>
  <si>
    <t>Sumitomo Mitsui Financial Group</t>
  </si>
  <si>
    <t>SMFG</t>
  </si>
  <si>
    <t>129688.4</t>
  </si>
  <si>
    <t>6379.16</t>
  </si>
  <si>
    <t>Scotts MiracleGro</t>
  </si>
  <si>
    <t>SMG</t>
  </si>
  <si>
    <t>3733.12</t>
  </si>
  <si>
    <t>Smiths Group</t>
  </si>
  <si>
    <t>SMGZY</t>
  </si>
  <si>
    <t>11197.77</t>
  </si>
  <si>
    <t>316.5</t>
  </si>
  <si>
    <t>Summit Therapeutics</t>
  </si>
  <si>
    <t>SMMT</t>
  </si>
  <si>
    <t>12188.86</t>
  </si>
  <si>
    <t>775.37</t>
  </si>
  <si>
    <t>Shimano</t>
  </si>
  <si>
    <t>SMNNY</t>
  </si>
  <si>
    <t>8992.2</t>
  </si>
  <si>
    <t>865.3</t>
  </si>
  <si>
    <t>Simply Good Foods</t>
  </si>
  <si>
    <t>SMPL</t>
  </si>
  <si>
    <t>1433.99</t>
  </si>
  <si>
    <t>92.57</t>
  </si>
  <si>
    <t>Sompo</t>
  </si>
  <si>
    <t>SMPNY</t>
  </si>
  <si>
    <t>34790.68</t>
  </si>
  <si>
    <t>1868.46</t>
  </si>
  <si>
    <t>NuScale Power</t>
  </si>
  <si>
    <t>SMR</t>
  </si>
  <si>
    <t>3629.48</t>
  </si>
  <si>
    <t>298.48</t>
  </si>
  <si>
    <t>Samsonite Group S.A.</t>
  </si>
  <si>
    <t>SMSEY</t>
  </si>
  <si>
    <t>3040.17</t>
  </si>
  <si>
    <t>277.39</t>
  </si>
  <si>
    <t>Sims Metal Management</t>
  </si>
  <si>
    <t>SMSMY</t>
  </si>
  <si>
    <t>2457.92</t>
  </si>
  <si>
    <t>193.23</t>
  </si>
  <si>
    <t>Semtech</t>
  </si>
  <si>
    <t>SMTC</t>
  </si>
  <si>
    <t>7878.86</t>
  </si>
  <si>
    <t>92.54</t>
  </si>
  <si>
    <t>85.14</t>
  </si>
  <si>
    <t>SharkNinja</t>
  </si>
  <si>
    <t>SN</t>
  </si>
  <si>
    <t>15728.8</t>
  </si>
  <si>
    <t>141.24</t>
  </si>
  <si>
    <t>111.36</t>
  </si>
  <si>
    <t>SnapOn</t>
  </si>
  <si>
    <t>SNA</t>
  </si>
  <si>
    <t>19393.19</t>
  </si>
  <si>
    <t>51.91</t>
  </si>
  <si>
    <t>Snap</t>
  </si>
  <si>
    <t>SNAP</t>
  </si>
  <si>
    <t>8664.32</t>
  </si>
  <si>
    <t>1688.95</t>
  </si>
  <si>
    <t>Sandisk Corporation</t>
  </si>
  <si>
    <t>SNDK</t>
  </si>
  <si>
    <t>86897.13</t>
  </si>
  <si>
    <t>147.6</t>
  </si>
  <si>
    <t>Schneider National</t>
  </si>
  <si>
    <t>SNDR</t>
  </si>
  <si>
    <t>4521.93</t>
  </si>
  <si>
    <t>175.34</t>
  </si>
  <si>
    <t>Syndax Pharmaceuticals</t>
  </si>
  <si>
    <t>SNDX</t>
  </si>
  <si>
    <t>2106.23</t>
  </si>
  <si>
    <t>88.2</t>
  </si>
  <si>
    <t>StoneX Group</t>
  </si>
  <si>
    <t>SNEX</t>
  </si>
  <si>
    <t>5720.6</t>
  </si>
  <si>
    <t>Sino Land Co.</t>
  </si>
  <si>
    <t>SNLAY</t>
  </si>
  <si>
    <t>14331.07</t>
  </si>
  <si>
    <t>1896.9</t>
  </si>
  <si>
    <t>Smith &amp; Nephew SNATS</t>
  </si>
  <si>
    <t>SNN</t>
  </si>
  <si>
    <t>14480.8</t>
  </si>
  <si>
    <t>424.91</t>
  </si>
  <si>
    <t>Snowflake</t>
  </si>
  <si>
    <t>SNOW</t>
  </si>
  <si>
    <t>62567.85</t>
  </si>
  <si>
    <t>342.2</t>
  </si>
  <si>
    <t>Synopsys</t>
  </si>
  <si>
    <t>SNPS</t>
  </si>
  <si>
    <t>83754.75</t>
  </si>
  <si>
    <t>191.56</t>
  </si>
  <si>
    <t>Sunny Optical</t>
  </si>
  <si>
    <t>SNPTF</t>
  </si>
  <si>
    <t>7444.67</t>
  </si>
  <si>
    <t>1094.81</t>
  </si>
  <si>
    <t>TD SYNNEX CORP</t>
  </si>
  <si>
    <t>SNX</t>
  </si>
  <si>
    <t>12564.82</t>
  </si>
  <si>
    <t>80.63</t>
  </si>
  <si>
    <t>Sanofi</t>
  </si>
  <si>
    <t>SNY</t>
  </si>
  <si>
    <t>108169.84</t>
  </si>
  <si>
    <t>The Southern Company</t>
  </si>
  <si>
    <t>SO</t>
  </si>
  <si>
    <t>107082.45</t>
  </si>
  <si>
    <t>1101.1</t>
  </si>
  <si>
    <t>South Bow Corporation</t>
  </si>
  <si>
    <t>SOBO</t>
  </si>
  <si>
    <t>6951.4</t>
  </si>
  <si>
    <t>208.25</t>
  </si>
  <si>
    <t>SABLE OFFSHORE</t>
  </si>
  <si>
    <t>SOC</t>
  </si>
  <si>
    <t>2054.11</t>
  </si>
  <si>
    <t>144.96</t>
  </si>
  <si>
    <t>SoFi Technologies</t>
  </si>
  <si>
    <t>SOFI</t>
  </si>
  <si>
    <t>23962.21</t>
  </si>
  <si>
    <t>1275.26</t>
  </si>
  <si>
    <t>SUMITOMO HEAVY</t>
  </si>
  <si>
    <t>SOHVY</t>
  </si>
  <si>
    <t>4280.84</t>
  </si>
  <si>
    <t>480.72</t>
  </si>
  <si>
    <t>Solstice Advanced Materials Inc.</t>
  </si>
  <si>
    <t>SOLS</t>
  </si>
  <si>
    <t>11726.68</t>
  </si>
  <si>
    <t>158.75</t>
  </si>
  <si>
    <t>Solventum Corporation</t>
  </si>
  <si>
    <t>SOLV</t>
  </si>
  <si>
    <t>11901.62</t>
  </si>
  <si>
    <t>173.49</t>
  </si>
  <si>
    <t>Secom Co.</t>
  </si>
  <si>
    <t>SOMLY</t>
  </si>
  <si>
    <t>17712.13</t>
  </si>
  <si>
    <t>1866.4</t>
  </si>
  <si>
    <t>SUMITOMO CHEMCL</t>
  </si>
  <si>
    <t>SOMMY</t>
  </si>
  <si>
    <t>5162.75</t>
  </si>
  <si>
    <t>331.58</t>
  </si>
  <si>
    <t>Sonoco</t>
  </si>
  <si>
    <t>SON</t>
  </si>
  <si>
    <t>5267.59</t>
  </si>
  <si>
    <t>98.64</t>
  </si>
  <si>
    <t>Sonos</t>
  </si>
  <si>
    <t>SONO</t>
  </si>
  <si>
    <t>1716.39</t>
  </si>
  <si>
    <t>SONOVA HOLDING</t>
  </si>
  <si>
    <t>SONVY</t>
  </si>
  <si>
    <t>14764.9</t>
  </si>
  <si>
    <t>298.04</t>
  </si>
  <si>
    <t>Sony</t>
  </si>
  <si>
    <t>SONY</t>
  </si>
  <si>
    <t>130750.49</t>
  </si>
  <si>
    <t>6047.66</t>
  </si>
  <si>
    <t>South32</t>
  </si>
  <si>
    <t>SOUHY</t>
  </si>
  <si>
    <t>14006.81</t>
  </si>
  <si>
    <t>897.3</t>
  </si>
  <si>
    <t>SoundHound AI</t>
  </si>
  <si>
    <t>SOUN</t>
  </si>
  <si>
    <t>3453.19</t>
  </si>
  <si>
    <t>420.1</t>
  </si>
  <si>
    <t>Spectrum Brands</t>
  </si>
  <si>
    <t>SPB</t>
  </si>
  <si>
    <t>1768.44</t>
  </si>
  <si>
    <t>Simon Property Group</t>
  </si>
  <si>
    <t>SPG</t>
  </si>
  <si>
    <t>62660.74</t>
  </si>
  <si>
    <t>324.95</t>
  </si>
  <si>
    <t>S&amp;P Global</t>
  </si>
  <si>
    <t>SPGI</t>
  </si>
  <si>
    <t>133049.66</t>
  </si>
  <si>
    <t>Suburban Propane Partners</t>
  </si>
  <si>
    <t>SPH</t>
  </si>
  <si>
    <t>1361.79</t>
  </si>
  <si>
    <t>Sphere Entertainment Co.</t>
  </si>
  <si>
    <t>SPHR</t>
  </si>
  <si>
    <t>4180.02</t>
  </si>
  <si>
    <t>Spark New Zealand</t>
  </si>
  <si>
    <t>SPKKY</t>
  </si>
  <si>
    <t>2527.91</t>
  </si>
  <si>
    <t>377.86</t>
  </si>
  <si>
    <t>SiriusPoint</t>
  </si>
  <si>
    <t>SPNT</t>
  </si>
  <si>
    <t>2422.87</t>
  </si>
  <si>
    <t>116.99</t>
  </si>
  <si>
    <t>Spotify Technology</t>
  </si>
  <si>
    <t>SPOT</t>
  </si>
  <si>
    <t>112181.17</t>
  </si>
  <si>
    <t>205.88</t>
  </si>
  <si>
    <t>SPS Commerce</t>
  </si>
  <si>
    <t>SPSC</t>
  </si>
  <si>
    <t>2324.59</t>
  </si>
  <si>
    <t>37.39</t>
  </si>
  <si>
    <t>SPX Technologies</t>
  </si>
  <si>
    <t>SPXC</t>
  </si>
  <si>
    <t>10464.17</t>
  </si>
  <si>
    <t>49.88</t>
  </si>
  <si>
    <t>State Street SPDR S&amp;P 500 ETF Trust</t>
  </si>
  <si>
    <t>SPY</t>
  </si>
  <si>
    <t>676121.38</t>
  </si>
  <si>
    <t>996.83</t>
  </si>
  <si>
    <t>Sociedad Quimica y Minera</t>
  </si>
  <si>
    <t>SQM</t>
  </si>
  <si>
    <t>21423.87</t>
  </si>
  <si>
    <t>285.65</t>
  </si>
  <si>
    <t>Square Enix</t>
  </si>
  <si>
    <t>SQNXF</t>
  </si>
  <si>
    <t>5679.9</t>
  </si>
  <si>
    <t>360.17</t>
  </si>
  <si>
    <t>Spire</t>
  </si>
  <si>
    <t>SR</t>
  </si>
  <si>
    <t>5429.2</t>
  </si>
  <si>
    <t>Sportradar Group</t>
  </si>
  <si>
    <t>SRAD</t>
  </si>
  <si>
    <t>5641.83</t>
  </si>
  <si>
    <t>299.46</t>
  </si>
  <si>
    <t>1st Source</t>
  </si>
  <si>
    <t>SRCE</t>
  </si>
  <si>
    <t>1637.18</t>
  </si>
  <si>
    <t>Sempra</t>
  </si>
  <si>
    <t>SRE</t>
  </si>
  <si>
    <t>61088.61</t>
  </si>
  <si>
    <t>653.28</t>
  </si>
  <si>
    <t>Sarepta Therapeutics</t>
  </si>
  <si>
    <t>SRPT</t>
  </si>
  <si>
    <t>1852.02</t>
  </si>
  <si>
    <t>104.99</t>
  </si>
  <si>
    <t>Scholar Rock</t>
  </si>
  <si>
    <t>SRRK</t>
  </si>
  <si>
    <t>5081.28</t>
  </si>
  <si>
    <t>114.88</t>
  </si>
  <si>
    <t>SSAB</t>
  </si>
  <si>
    <t>SSAAY</t>
  </si>
  <si>
    <t>8471.1</t>
  </si>
  <si>
    <t>1993.2</t>
  </si>
  <si>
    <t>SouthState Bank Corporation</t>
  </si>
  <si>
    <t>SSB</t>
  </si>
  <si>
    <t>9207.67</t>
  </si>
  <si>
    <t>98.07</t>
  </si>
  <si>
    <t>Simpson Manufacturing</t>
  </si>
  <si>
    <t>SSD</t>
  </si>
  <si>
    <t>7663.93</t>
  </si>
  <si>
    <t>Shiseido Co.</t>
  </si>
  <si>
    <t>SSDOY</t>
  </si>
  <si>
    <t>7806.78</t>
  </si>
  <si>
    <t>399.53</t>
  </si>
  <si>
    <t>SSE</t>
  </si>
  <si>
    <t>SSEZY</t>
  </si>
  <si>
    <t>43176.58</t>
  </si>
  <si>
    <t>1212.14</t>
  </si>
  <si>
    <t>Sasol</t>
  </si>
  <si>
    <t>SSL</t>
  </si>
  <si>
    <t>6071.66</t>
  </si>
  <si>
    <t>649.38</t>
  </si>
  <si>
    <t>Sysmex</t>
  </si>
  <si>
    <t>SSMXY</t>
  </si>
  <si>
    <t>6250.74</t>
  </si>
  <si>
    <t>629.48</t>
  </si>
  <si>
    <t>SS&amp;C Technologies</t>
  </si>
  <si>
    <t>SSNC</t>
  </si>
  <si>
    <t>17967.99</t>
  </si>
  <si>
    <t>241.51</t>
  </si>
  <si>
    <t>SSP Group</t>
  </si>
  <si>
    <t>SSPPF</t>
  </si>
  <si>
    <t>1996.31</t>
  </si>
  <si>
    <t>795.34</t>
  </si>
  <si>
    <t>Swiss Re</t>
  </si>
  <si>
    <t>SSREY</t>
  </si>
  <si>
    <t>49881.25</t>
  </si>
  <si>
    <t>1195.05</t>
  </si>
  <si>
    <t>Silver Standard Resources</t>
  </si>
  <si>
    <t>SSRM</t>
  </si>
  <si>
    <t>6118.45</t>
  </si>
  <si>
    <t>SARTORIUS</t>
  </si>
  <si>
    <t>SSSGY</t>
  </si>
  <si>
    <t>7412.71</t>
  </si>
  <si>
    <t>171.15</t>
  </si>
  <si>
    <t>Sumitomo</t>
  </si>
  <si>
    <t>SSUMY</t>
  </si>
  <si>
    <t>43869.67</t>
  </si>
  <si>
    <t>1203.23</t>
  </si>
  <si>
    <t>Sensata Technologies Holding</t>
  </si>
  <si>
    <t>ST</t>
  </si>
  <si>
    <t>4828.88</t>
  </si>
  <si>
    <t>145.8</t>
  </si>
  <si>
    <t>Stag Industrial</t>
  </si>
  <si>
    <t>STAG</t>
  </si>
  <si>
    <t>7328.15</t>
  </si>
  <si>
    <t>S&amp;T Bancorp</t>
  </si>
  <si>
    <t>STBA</t>
  </si>
  <si>
    <t>1472.91</t>
  </si>
  <si>
    <t>Stewart Information Services</t>
  </si>
  <si>
    <t>STC</t>
  </si>
  <si>
    <t>1846.23</t>
  </si>
  <si>
    <t>STERIS</t>
  </si>
  <si>
    <t>STE</t>
  </si>
  <si>
    <t>22333.64</t>
  </si>
  <si>
    <t>Stellar Bancorp</t>
  </si>
  <si>
    <t>STEL</t>
  </si>
  <si>
    <t>1858.77</t>
  </si>
  <si>
    <t>StepStone Group</t>
  </si>
  <si>
    <t>STEP</t>
  </si>
  <si>
    <t>5392.07</t>
  </si>
  <si>
    <t>SRH Total Return Fund</t>
  </si>
  <si>
    <t>STEW</t>
  </si>
  <si>
    <t>1683.87</t>
  </si>
  <si>
    <t>Stagwell Inc.</t>
  </si>
  <si>
    <t>STGW</t>
  </si>
  <si>
    <t>1321.1</t>
  </si>
  <si>
    <t>252.12</t>
  </si>
  <si>
    <t>Steel Dynamics</t>
  </si>
  <si>
    <t>STLD</t>
  </si>
  <si>
    <t>26420.75</t>
  </si>
  <si>
    <t>Stella-Jones Inc.</t>
  </si>
  <si>
    <t>STLJF</t>
  </si>
  <si>
    <t>3867.03</t>
  </si>
  <si>
    <t>STMicroelectronics</t>
  </si>
  <si>
    <t>STM</t>
  </si>
  <si>
    <t>30115.82</t>
  </si>
  <si>
    <t>898.17</t>
  </si>
  <si>
    <t>Stantec</t>
  </si>
  <si>
    <t>STN</t>
  </si>
  <si>
    <t>10410.89</t>
  </si>
  <si>
    <t>113.7</t>
  </si>
  <si>
    <t>StoneCo</t>
  </si>
  <si>
    <t>STNE</t>
  </si>
  <si>
    <t>3966.99</t>
  </si>
  <si>
    <t>286.01</t>
  </si>
  <si>
    <t>Scorpio Tankers</t>
  </si>
  <si>
    <t>STNG</t>
  </si>
  <si>
    <t>3948.47</t>
  </si>
  <si>
    <t>Stoke Therapeutics</t>
  </si>
  <si>
    <t>STOK</t>
  </si>
  <si>
    <t>2188.16</t>
  </si>
  <si>
    <t>57.12</t>
  </si>
  <si>
    <t>Strategic Education</t>
  </si>
  <si>
    <t>STRA</t>
  </si>
  <si>
    <t>1867.98</t>
  </si>
  <si>
    <t>Sterling Infrastructure</t>
  </si>
  <si>
    <t>STRL</t>
  </si>
  <si>
    <t>12606.37</t>
  </si>
  <si>
    <t>State Street</t>
  </si>
  <si>
    <t>STT</t>
  </si>
  <si>
    <t>33985.33</t>
  </si>
  <si>
    <t>278.73</t>
  </si>
  <si>
    <t>StubHub Holdings</t>
  </si>
  <si>
    <t>STUB</t>
  </si>
  <si>
    <t>3027.1</t>
  </si>
  <si>
    <t>367.81</t>
  </si>
  <si>
    <t>Stevanato Group</t>
  </si>
  <si>
    <t>STVN</t>
  </si>
  <si>
    <t>4718.29</t>
  </si>
  <si>
    <t>302.84</t>
  </si>
  <si>
    <t>Starwood Property Trust</t>
  </si>
  <si>
    <t>STWD</t>
  </si>
  <si>
    <t>6629.71</t>
  </si>
  <si>
    <t>370.58</t>
  </si>
  <si>
    <t>Seagate Technology</t>
  </si>
  <si>
    <t>STX</t>
  </si>
  <si>
    <t>81631.29</t>
  </si>
  <si>
    <t>218.07</t>
  </si>
  <si>
    <t>Constellation Brands</t>
  </si>
  <si>
    <t>STZ</t>
  </si>
  <si>
    <t>25831.28</t>
  </si>
  <si>
    <t>173.41</t>
  </si>
  <si>
    <t>Suncor Energy</t>
  </si>
  <si>
    <t>SU</t>
  </si>
  <si>
    <t>68302.66</t>
  </si>
  <si>
    <t>1189.94</t>
  </si>
  <si>
    <t>Subsea 7</t>
  </si>
  <si>
    <t>SUBCY</t>
  </si>
  <si>
    <t>7818.99</t>
  </si>
  <si>
    <t>295.61</t>
  </si>
  <si>
    <t>Suruga Bank</t>
  </si>
  <si>
    <t>SUGBY</t>
  </si>
  <si>
    <t>1577.51</t>
  </si>
  <si>
    <t>Sun Hung Kai Properties</t>
  </si>
  <si>
    <t>SUHJY</t>
  </si>
  <si>
    <t>51261.73</t>
  </si>
  <si>
    <t>2897.78</t>
  </si>
  <si>
    <t>Sun Communities</t>
  </si>
  <si>
    <t>SUI</t>
  </si>
  <si>
    <t>16684.13</t>
  </si>
  <si>
    <t>123.18</t>
  </si>
  <si>
    <t>Sunoco</t>
  </si>
  <si>
    <t>SUN</t>
  </si>
  <si>
    <t>12963.23</t>
  </si>
  <si>
    <t>204.82</t>
  </si>
  <si>
    <t>SUNB</t>
  </si>
  <si>
    <t>31605.12</t>
  </si>
  <si>
    <t>418.5</t>
  </si>
  <si>
    <t>SunocoCorp LLC</t>
  </si>
  <si>
    <t>SUNC</t>
  </si>
  <si>
    <t>3067.85</t>
  </si>
  <si>
    <t>51.52</t>
  </si>
  <si>
    <t>SUMCO</t>
  </si>
  <si>
    <t>SUOPY</t>
  </si>
  <si>
    <t>3556.57</t>
  </si>
  <si>
    <t>174.86</t>
  </si>
  <si>
    <t>Supernus Pharmaceuticals</t>
  </si>
  <si>
    <t>SUPN</t>
  </si>
  <si>
    <t>3119.2</t>
  </si>
  <si>
    <t>57.58</t>
  </si>
  <si>
    <t>Suzano</t>
  </si>
  <si>
    <t>SUZ</t>
  </si>
  <si>
    <t>13230.8</t>
  </si>
  <si>
    <t>SKANDINAVISKA</t>
  </si>
  <si>
    <t>SVKEF</t>
  </si>
  <si>
    <t>43673.28</t>
  </si>
  <si>
    <t>Silvercorp Metals</t>
  </si>
  <si>
    <t>SVM</t>
  </si>
  <si>
    <t>2555.16</t>
  </si>
  <si>
    <t>220.84</t>
  </si>
  <si>
    <t>38.73</t>
  </si>
  <si>
    <t>Seven and I Holdings Co.</t>
  </si>
  <si>
    <t>SVNDY</t>
  </si>
  <si>
    <t>34145.72</t>
  </si>
  <si>
    <t>2604.56</t>
  </si>
  <si>
    <t>Savara</t>
  </si>
  <si>
    <t>SVRA</t>
  </si>
  <si>
    <t>1104.83</t>
  </si>
  <si>
    <t>203.47</t>
  </si>
  <si>
    <t>Savers Value Village</t>
  </si>
  <si>
    <t>SVV</t>
  </si>
  <si>
    <t>1314.88</t>
  </si>
  <si>
    <t>155.06</t>
  </si>
  <si>
    <t>Smurfit Westrock PLC</t>
  </si>
  <si>
    <t>SW</t>
  </si>
  <si>
    <t>22065.84</t>
  </si>
  <si>
    <t>524.25</t>
  </si>
  <si>
    <t>Swedbank</t>
  </si>
  <si>
    <t>SWDBY</t>
  </si>
  <si>
    <t>41659.29</t>
  </si>
  <si>
    <t>1125.32</t>
  </si>
  <si>
    <t>Swatch Group</t>
  </si>
  <si>
    <t>SWGAY</t>
  </si>
  <si>
    <t>25921.89</t>
  </si>
  <si>
    <t>2354.4</t>
  </si>
  <si>
    <t>Stanley Black &amp; Decker</t>
  </si>
  <si>
    <t>SWK</t>
  </si>
  <si>
    <t>11742.76</t>
  </si>
  <si>
    <t>155.29</t>
  </si>
  <si>
    <t>Skyworks Solutions</t>
  </si>
  <si>
    <t>SWKS</t>
  </si>
  <si>
    <t>8312.65</t>
  </si>
  <si>
    <t>150.37</t>
  </si>
  <si>
    <t>Swire Pacific</t>
  </si>
  <si>
    <t>SWRAY</t>
  </si>
  <si>
    <t>36950.37</t>
  </si>
  <si>
    <t>3627.92</t>
  </si>
  <si>
    <t>Southwest Gas</t>
  </si>
  <si>
    <t>SWX</t>
  </si>
  <si>
    <t>6338.73</t>
  </si>
  <si>
    <t>Standex International</t>
  </si>
  <si>
    <t>SXI</t>
  </si>
  <si>
    <t>3156.2</t>
  </si>
  <si>
    <t>Sensient Technologies</t>
  </si>
  <si>
    <t>SXT</t>
  </si>
  <si>
    <t>3881.71</t>
  </si>
  <si>
    <t>42.51</t>
  </si>
  <si>
    <t>SIKA AG - Unsponsored ADR</t>
  </si>
  <si>
    <t>SXYAY</t>
  </si>
  <si>
    <t>29046.75</t>
  </si>
  <si>
    <t>1604.79</t>
  </si>
  <si>
    <t>Stock Yards Bancorp</t>
  </si>
  <si>
    <t>SYBT</t>
  </si>
  <si>
    <t>1899.33</t>
  </si>
  <si>
    <t>Synchrony Financial</t>
  </si>
  <si>
    <t>SYF</t>
  </si>
  <si>
    <t>23330.66</t>
  </si>
  <si>
    <t>347.6</t>
  </si>
  <si>
    <t>Symrise</t>
  </si>
  <si>
    <t>SYIEY</t>
  </si>
  <si>
    <t>11656.99</t>
  </si>
  <si>
    <t>559.09</t>
  </si>
  <si>
    <t>Stryker</t>
  </si>
  <si>
    <t>SYK</t>
  </si>
  <si>
    <t>140033.44</t>
  </si>
  <si>
    <t>382.69</t>
  </si>
  <si>
    <t>SYMBOTIC INC</t>
  </si>
  <si>
    <t>SYM</t>
  </si>
  <si>
    <t>30253.11</t>
  </si>
  <si>
    <t>602.17</t>
  </si>
  <si>
    <t>Synaptics</t>
  </si>
  <si>
    <t>SYNA</t>
  </si>
  <si>
    <t>2883.04</t>
  </si>
  <si>
    <t>Spyre Therapeutics</t>
  </si>
  <si>
    <t>SYRE</t>
  </si>
  <si>
    <t>3225.65</t>
  </si>
  <si>
    <t>78.54</t>
  </si>
  <si>
    <t>Sysco</t>
  </si>
  <si>
    <t>SYY</t>
  </si>
  <si>
    <t>40565.43</t>
  </si>
  <si>
    <t>478.93</t>
  </si>
  <si>
    <t>Salzgitter</t>
  </si>
  <si>
    <t>SZGPY</t>
  </si>
  <si>
    <t>3134.36</t>
  </si>
  <si>
    <t>540.87</t>
  </si>
  <si>
    <t>Suzuki Motor</t>
  </si>
  <si>
    <t>SZKMY</t>
  </si>
  <si>
    <t>25384.42</t>
  </si>
  <si>
    <t>AT&amp;T</t>
  </si>
  <si>
    <t>T</t>
  </si>
  <si>
    <t>192725.89</t>
  </si>
  <si>
    <t>7000.58</t>
  </si>
  <si>
    <t>TransAlta</t>
  </si>
  <si>
    <t>TAC</t>
  </si>
  <si>
    <t>3755.02</t>
  </si>
  <si>
    <t>296.84</t>
  </si>
  <si>
    <t>Takeda Pharmaceutical Co.</t>
  </si>
  <si>
    <t>TAK</t>
  </si>
  <si>
    <t>57501.67</t>
  </si>
  <si>
    <t>3182.16</t>
  </si>
  <si>
    <t>TAL Education Group</t>
  </si>
  <si>
    <t>TAL</t>
  </si>
  <si>
    <t>6539.87</t>
  </si>
  <si>
    <t>608.93</t>
  </si>
  <si>
    <t>Talos Energy</t>
  </si>
  <si>
    <t>TALO</t>
  </si>
  <si>
    <t>2227.76</t>
  </si>
  <si>
    <t>Molson Coors</t>
  </si>
  <si>
    <t>TAP</t>
  </si>
  <si>
    <t>8646.59</t>
  </si>
  <si>
    <t>187.93</t>
  </si>
  <si>
    <t>Tarsus Pharmaceuticals</t>
  </si>
  <si>
    <t>TARS</t>
  </si>
  <si>
    <t>3170.11</t>
  </si>
  <si>
    <t>Tate &amp; Lyle</t>
  </si>
  <si>
    <t>TATYY</t>
  </si>
  <si>
    <t>2103.62</t>
  </si>
  <si>
    <t>BBB Foods Inc.</t>
  </si>
  <si>
    <t>TBBB</t>
  </si>
  <si>
    <t>3825.73</t>
  </si>
  <si>
    <t>114.2</t>
  </si>
  <si>
    <t>The Bancorp</t>
  </si>
  <si>
    <t>TBBK</t>
  </si>
  <si>
    <t>2235.43</t>
  </si>
  <si>
    <t>Texas Capital Bancshares</t>
  </si>
  <si>
    <t>TCBI</t>
  </si>
  <si>
    <t>4072.66</t>
  </si>
  <si>
    <t>TriCo Bancshares</t>
  </si>
  <si>
    <t>TCBK</t>
  </si>
  <si>
    <t>1519.12</t>
  </si>
  <si>
    <t>32.15</t>
  </si>
  <si>
    <t>TechnoPro Holdings</t>
  </si>
  <si>
    <t>TCCPY</t>
  </si>
  <si>
    <t>3047.56</t>
  </si>
  <si>
    <t>520.95</t>
  </si>
  <si>
    <t>Tencent</t>
  </si>
  <si>
    <t>TCEHY</t>
  </si>
  <si>
    <t>610125.88</t>
  </si>
  <si>
    <t>9106.36</t>
  </si>
  <si>
    <t>TechCreate Group Ltd.</t>
  </si>
  <si>
    <t>TCGL</t>
  </si>
  <si>
    <t>3020.77</t>
  </si>
  <si>
    <t>17.48</t>
  </si>
  <si>
    <t>Trip.com Group Limited</t>
  </si>
  <si>
    <t>TCOM</t>
  </si>
  <si>
    <t>35106.77</t>
  </si>
  <si>
    <t>653.27</t>
  </si>
  <si>
    <t>78.96</t>
  </si>
  <si>
    <t>Tingyi Cayman Islands</t>
  </si>
  <si>
    <t>TCYMF</t>
  </si>
  <si>
    <t>7327.47</t>
  </si>
  <si>
    <t>5636.52</t>
  </si>
  <si>
    <t>The Toronto Dominion Bank</t>
  </si>
  <si>
    <t>TD</t>
  </si>
  <si>
    <t>159306.25</t>
  </si>
  <si>
    <t>1671.28</t>
  </si>
  <si>
    <t>Teradata</t>
  </si>
  <si>
    <t>TDC</t>
  </si>
  <si>
    <t>2631.39</t>
  </si>
  <si>
    <t>Transdigm Group</t>
  </si>
  <si>
    <t>TDG</t>
  </si>
  <si>
    <t>72169.27</t>
  </si>
  <si>
    <t>56.47</t>
  </si>
  <si>
    <t>Telephone and Data Systems</t>
  </si>
  <si>
    <t>TDS</t>
  </si>
  <si>
    <t>5158.9</t>
  </si>
  <si>
    <t>Tidewater</t>
  </si>
  <si>
    <t>TDW</t>
  </si>
  <si>
    <t>4015.46</t>
  </si>
  <si>
    <t>49.57</t>
  </si>
  <si>
    <t>Teledyne Technologies</t>
  </si>
  <si>
    <t>TDY</t>
  </si>
  <si>
    <t>30289.69</t>
  </si>
  <si>
    <t>T1 Energy Inc</t>
  </si>
  <si>
    <t>TE</t>
  </si>
  <si>
    <t>1520.54</t>
  </si>
  <si>
    <t>212.37</t>
  </si>
  <si>
    <t>Atlassian</t>
  </si>
  <si>
    <t>TEAM</t>
  </si>
  <si>
    <t>21637.56</t>
  </si>
  <si>
    <t>263.74</t>
  </si>
  <si>
    <t>BioTechne Corp</t>
  </si>
  <si>
    <t>TECH</t>
  </si>
  <si>
    <t>8584.59</t>
  </si>
  <si>
    <t>Teck Resources</t>
  </si>
  <si>
    <t>TECK</t>
  </si>
  <si>
    <t>24526.92</t>
  </si>
  <si>
    <t>481.39</t>
  </si>
  <si>
    <t>TE Connectivity</t>
  </si>
  <si>
    <t>TEL</t>
  </si>
  <si>
    <t>60517.88</t>
  </si>
  <si>
    <t>293.43</t>
  </si>
  <si>
    <t>Telefonica</t>
  </si>
  <si>
    <t>TELFY</t>
  </si>
  <si>
    <t>23247.66</t>
  </si>
  <si>
    <t>5670.16</t>
  </si>
  <si>
    <t>Telenor</t>
  </si>
  <si>
    <t>TELNY</t>
  </si>
  <si>
    <t>24137.69</t>
  </si>
  <si>
    <t>1368.35</t>
  </si>
  <si>
    <t>Tempus AI</t>
  </si>
  <si>
    <t>TEM</t>
  </si>
  <si>
    <t>9353.44</t>
  </si>
  <si>
    <t>178.77</t>
  </si>
  <si>
    <t>Tsakos Energy Navigation Ltd</t>
  </si>
  <si>
    <t>TEN</t>
  </si>
  <si>
    <t>1117.43</t>
  </si>
  <si>
    <t>30.13</t>
  </si>
  <si>
    <t>Tenable Holdings</t>
  </si>
  <si>
    <t>TENB</t>
  </si>
  <si>
    <t>2414.94</t>
  </si>
  <si>
    <t>114.89</t>
  </si>
  <si>
    <t>Telecom Argentina Stet  France Telecom</t>
  </si>
  <si>
    <t>TEO</t>
  </si>
  <si>
    <t>4789.8</t>
  </si>
  <si>
    <t>430.74</t>
  </si>
  <si>
    <t>Teradyne</t>
  </si>
  <si>
    <t>TER</t>
  </si>
  <si>
    <t>46409.45</t>
  </si>
  <si>
    <t>156.56</t>
  </si>
  <si>
    <t>Terns Pharmaceuticals</t>
  </si>
  <si>
    <t>TERN</t>
  </si>
  <si>
    <t>4595.6</t>
  </si>
  <si>
    <t>103.76</t>
  </si>
  <si>
    <t>Teva Pharmaceutical Industries</t>
  </si>
  <si>
    <t>TEVA</t>
  </si>
  <si>
    <t>36219.11</t>
  </si>
  <si>
    <t>1149.81</t>
  </si>
  <si>
    <t>Terex</t>
  </si>
  <si>
    <t>TEX</t>
  </si>
  <si>
    <t>6995.96</t>
  </si>
  <si>
    <t>Terna Rete Elettrica Nazionale</t>
  </si>
  <si>
    <t>TEZNY</t>
  </si>
  <si>
    <t>22920.61</t>
  </si>
  <si>
    <t>Truist Financial</t>
  </si>
  <si>
    <t>TFC</t>
  </si>
  <si>
    <t>58398.62</t>
  </si>
  <si>
    <t>1249.17</t>
  </si>
  <si>
    <t>State Street SPDR Nuveen ICE Municipal Bond ETF</t>
  </si>
  <si>
    <t>TFI</t>
  </si>
  <si>
    <t>3018.63</t>
  </si>
  <si>
    <t>65.75</t>
  </si>
  <si>
    <t>TFI International</t>
  </si>
  <si>
    <t>TFII</t>
  </si>
  <si>
    <t>9108.96</t>
  </si>
  <si>
    <t>82.15</t>
  </si>
  <si>
    <t>Triumph Financial</t>
  </si>
  <si>
    <t>TFIN</t>
  </si>
  <si>
    <t>1389.09</t>
  </si>
  <si>
    <t>Triple Flag Precious Metals Corp.</t>
  </si>
  <si>
    <t>TFPM</t>
  </si>
  <si>
    <t>8050.06</t>
  </si>
  <si>
    <t>206.57</t>
  </si>
  <si>
    <t>TFS Financial</t>
  </si>
  <si>
    <t>TFSL</t>
  </si>
  <si>
    <t>3891.52</t>
  </si>
  <si>
    <t>280.57</t>
  </si>
  <si>
    <t>Teleflex</t>
  </si>
  <si>
    <t>TFX</t>
  </si>
  <si>
    <t>5021.63</t>
  </si>
  <si>
    <t>Taseko Mines Limited</t>
  </si>
  <si>
    <t>TGB</t>
  </si>
  <si>
    <t>2621.17</t>
  </si>
  <si>
    <t>364.56</t>
  </si>
  <si>
    <t>Tecnoglass</t>
  </si>
  <si>
    <t>TGLS</t>
  </si>
  <si>
    <t>1899.12</t>
  </si>
  <si>
    <t>TEGNA</t>
  </si>
  <si>
    <t>TGNA</t>
  </si>
  <si>
    <t>3385.49</t>
  </si>
  <si>
    <t>161.91</t>
  </si>
  <si>
    <t>3i Group plc - Unsponsored ADR</t>
  </si>
  <si>
    <t>TGOPY</t>
  </si>
  <si>
    <t>41070.04</t>
  </si>
  <si>
    <t>4098.81</t>
  </si>
  <si>
    <t>Transportadora De Gas Ord B</t>
  </si>
  <si>
    <t>TGS</t>
  </si>
  <si>
    <t>4397.63</t>
  </si>
  <si>
    <t>150.55</t>
  </si>
  <si>
    <t>Target</t>
  </si>
  <si>
    <t>TGT</t>
  </si>
  <si>
    <t>54400.16</t>
  </si>
  <si>
    <t>452.81</t>
  </si>
  <si>
    <t>TG Therapeutics</t>
  </si>
  <si>
    <t>TGTX</t>
  </si>
  <si>
    <t>4661.3</t>
  </si>
  <si>
    <t>159.69</t>
  </si>
  <si>
    <t>Tenet Healthcare</t>
  </si>
  <si>
    <t>THC</t>
  </si>
  <si>
    <t>20922.43</t>
  </si>
  <si>
    <t>The Hanover Insurance Group</t>
  </si>
  <si>
    <t>THG</t>
  </si>
  <si>
    <t>6131.1</t>
  </si>
  <si>
    <t>Thk Co.</t>
  </si>
  <si>
    <t>THKLY</t>
  </si>
  <si>
    <t>3665.89</t>
  </si>
  <si>
    <t>238.2</t>
  </si>
  <si>
    <t>Thor Industries</t>
  </si>
  <si>
    <t>THO</t>
  </si>
  <si>
    <t>4517.46</t>
  </si>
  <si>
    <t>52.6</t>
  </si>
  <si>
    <t>Thermon</t>
  </si>
  <si>
    <t>THR</t>
  </si>
  <si>
    <t>1461.75</t>
  </si>
  <si>
    <t>32.85</t>
  </si>
  <si>
    <t>Acuren Corporation</t>
  </si>
  <si>
    <t>TIC</t>
  </si>
  <si>
    <t>1940.93</t>
  </si>
  <si>
    <t>220.56</t>
  </si>
  <si>
    <t>Millicom International Cellular</t>
  </si>
  <si>
    <t>TIGO</t>
  </si>
  <si>
    <t>172.1</t>
  </si>
  <si>
    <t>75.15</t>
  </si>
  <si>
    <t>UP Fintech Holding Limited</t>
  </si>
  <si>
    <t>TIGR</t>
  </si>
  <si>
    <t>1366.21</t>
  </si>
  <si>
    <t>186.9</t>
  </si>
  <si>
    <t>Interface</t>
  </si>
  <si>
    <t>TILE</t>
  </si>
  <si>
    <t>1599.21</t>
  </si>
  <si>
    <t>57.96</t>
  </si>
  <si>
    <t>TIM</t>
  </si>
  <si>
    <t>TIMB</t>
  </si>
  <si>
    <t>12588.18</t>
  </si>
  <si>
    <t>484.16</t>
  </si>
  <si>
    <t>Teijin</t>
  </si>
  <si>
    <t>TINLY</t>
  </si>
  <si>
    <t>1984.56</t>
  </si>
  <si>
    <t>192.68</t>
  </si>
  <si>
    <t>iShares TIPS Bond ETF</t>
  </si>
  <si>
    <t>TIP</t>
  </si>
  <si>
    <t>14364.21</t>
  </si>
  <si>
    <t>128.7</t>
  </si>
  <si>
    <t>The TJX Companies</t>
  </si>
  <si>
    <t>TJX</t>
  </si>
  <si>
    <t>175609.25</t>
  </si>
  <si>
    <t>1110.47</t>
  </si>
  <si>
    <t>112.81</t>
  </si>
  <si>
    <t>Teekay Corporation Ltd.</t>
  </si>
  <si>
    <t>TK</t>
  </si>
  <si>
    <t>1152.54</t>
  </si>
  <si>
    <t>91.84</t>
  </si>
  <si>
    <t>ThyssenKrupp</t>
  </si>
  <si>
    <t>TKAMY</t>
  </si>
  <si>
    <t>6524.13</t>
  </si>
  <si>
    <t>622.53</t>
  </si>
  <si>
    <t>Turkcell Iletisim Hizmetleri</t>
  </si>
  <si>
    <t>TKC</t>
  </si>
  <si>
    <t>5403.2</t>
  </si>
  <si>
    <t>TKO Group Holdings</t>
  </si>
  <si>
    <t>TKO</t>
  </si>
  <si>
    <t>39615.08</t>
  </si>
  <si>
    <t>194.13</t>
  </si>
  <si>
    <t>Tokio Marine</t>
  </si>
  <si>
    <t>TKOMY</t>
  </si>
  <si>
    <t>75899.82</t>
  </si>
  <si>
    <t>The Timken Company</t>
  </si>
  <si>
    <t>TKR</t>
  </si>
  <si>
    <t>6994.77</t>
  </si>
  <si>
    <t>69.54</t>
  </si>
  <si>
    <t>Tokuyama Corporation</t>
  </si>
  <si>
    <t>TKYMY</t>
  </si>
  <si>
    <t>1866.27</t>
  </si>
  <si>
    <t>Talen Energy Corporation</t>
  </si>
  <si>
    <t>TLN</t>
  </si>
  <si>
    <t>15312.85</t>
  </si>
  <si>
    <t>iShares 20+ Year Treasury Bond ETF</t>
  </si>
  <si>
    <t>TLT</t>
  </si>
  <si>
    <t>45632.22</t>
  </si>
  <si>
    <t>511.4</t>
  </si>
  <si>
    <t>Tele2</t>
  </si>
  <si>
    <t>TLTZY</t>
  </si>
  <si>
    <t>13946.81</t>
  </si>
  <si>
    <t>1368.68</t>
  </si>
  <si>
    <t>Telix Pharmaceuticals Limited</t>
  </si>
  <si>
    <t>TLX</t>
  </si>
  <si>
    <t>2537.44</t>
  </si>
  <si>
    <t>338.78</t>
  </si>
  <si>
    <t>Toyota Motor</t>
  </si>
  <si>
    <t>TM</t>
  </si>
  <si>
    <t>286121.94</t>
  </si>
  <si>
    <t>1303.34</t>
  </si>
  <si>
    <t>The Metals Company</t>
  </si>
  <si>
    <t>TMC</t>
  </si>
  <si>
    <t>413.49</t>
  </si>
  <si>
    <t>TransMedics Group</t>
  </si>
  <si>
    <t>TMDX</t>
  </si>
  <si>
    <t>4622.94</t>
  </si>
  <si>
    <t>Taylor Morrison Home</t>
  </si>
  <si>
    <t>TMHC</t>
  </si>
  <si>
    <t>5876.35</t>
  </si>
  <si>
    <t>Trend Micro</t>
  </si>
  <si>
    <t>TMICY</t>
  </si>
  <si>
    <t>4994.96</t>
  </si>
  <si>
    <t>140.9</t>
  </si>
  <si>
    <t>Thermo Fisher Scientific</t>
  </si>
  <si>
    <t>TMO</t>
  </si>
  <si>
    <t>189445.83</t>
  </si>
  <si>
    <t>371.48</t>
  </si>
  <si>
    <t>Tompkins Financial</t>
  </si>
  <si>
    <t>TMP</t>
  </si>
  <si>
    <t>1076.31</t>
  </si>
  <si>
    <t>TEMENOS GROUP</t>
  </si>
  <si>
    <t>TMSNY</t>
  </si>
  <si>
    <t>7120.25</t>
  </si>
  <si>
    <t>71.91</t>
  </si>
  <si>
    <t>Toromont Industries Ltd.</t>
  </si>
  <si>
    <t>TMTNF</t>
  </si>
  <si>
    <t>11975.09</t>
  </si>
  <si>
    <t>TMobile US</t>
  </si>
  <si>
    <t>TMUS</t>
  </si>
  <si>
    <t>239655.16</t>
  </si>
  <si>
    <t>1101.86</t>
  </si>
  <si>
    <t>Tennant</t>
  </si>
  <si>
    <t>TNC</t>
  </si>
  <si>
    <t>1103.64</t>
  </si>
  <si>
    <t>17.85</t>
  </si>
  <si>
    <t>Tandem Diabetes Care</t>
  </si>
  <si>
    <t>TNDM</t>
  </si>
  <si>
    <t>1426.65</t>
  </si>
  <si>
    <t>68.33</t>
  </si>
  <si>
    <t>TriNet</t>
  </si>
  <si>
    <t>TNET</t>
  </si>
  <si>
    <t>1759.53</t>
  </si>
  <si>
    <t>47.3</t>
  </si>
  <si>
    <t>Tango Therapeutics</t>
  </si>
  <si>
    <t>TNGX</t>
  </si>
  <si>
    <t>2347.23</t>
  </si>
  <si>
    <t>142.69</t>
  </si>
  <si>
    <t>TEEKAY TANK LTD</t>
  </si>
  <si>
    <t>TNK</t>
  </si>
  <si>
    <t>2566.11</t>
  </si>
  <si>
    <t>Travel  Leisure Co.</t>
  </si>
  <si>
    <t>TNL</t>
  </si>
  <si>
    <t>4459.57</t>
  </si>
  <si>
    <t>Tokyo Electron</t>
  </si>
  <si>
    <t>TOELY</t>
  </si>
  <si>
    <t>122596.21</t>
  </si>
  <si>
    <t>943.27</t>
  </si>
  <si>
    <t>Topicus.com Inc.</t>
  </si>
  <si>
    <t>TOITF</t>
  </si>
  <si>
    <t>17368.64</t>
  </si>
  <si>
    <t>212.91</t>
  </si>
  <si>
    <t>Toll Brothers</t>
  </si>
  <si>
    <t>TOL</t>
  </si>
  <si>
    <t>13934.24</t>
  </si>
  <si>
    <t>94.71</t>
  </si>
  <si>
    <t>Tosoh</t>
  </si>
  <si>
    <t>TOSCF</t>
  </si>
  <si>
    <t>318.41</t>
  </si>
  <si>
    <t>Toast</t>
  </si>
  <si>
    <t>TOST</t>
  </si>
  <si>
    <t>15452.76</t>
  </si>
  <si>
    <t>Towne Bank</t>
  </si>
  <si>
    <t>TOWN</t>
  </si>
  <si>
    <t>2623.19</t>
  </si>
  <si>
    <t>Turning Point Brands</t>
  </si>
  <si>
    <t>TPB</t>
  </si>
  <si>
    <t>1777.83</t>
  </si>
  <si>
    <t>Tutor Perini</t>
  </si>
  <si>
    <t>TPC</t>
  </si>
  <si>
    <t>3803.1</t>
  </si>
  <si>
    <t>TPG Inc.</t>
  </si>
  <si>
    <t>TPG</t>
  </si>
  <si>
    <t>16404.21</t>
  </si>
  <si>
    <t>384.17</t>
  </si>
  <si>
    <t>Tri Pointe Homes</t>
  </si>
  <si>
    <t>TPH</t>
  </si>
  <si>
    <t>3941.77</t>
  </si>
  <si>
    <t>Texas Pacific Land</t>
  </si>
  <si>
    <t>TPL</t>
  </si>
  <si>
    <t>37213.96</t>
  </si>
  <si>
    <t>68.94</t>
  </si>
  <si>
    <t>Tapestry</t>
  </si>
  <si>
    <t>TPR</t>
  </si>
  <si>
    <t>29458.54</t>
  </si>
  <si>
    <t>202.46</t>
  </si>
  <si>
    <t>Tootsie Roll Industries</t>
  </si>
  <si>
    <t>TR</t>
  </si>
  <si>
    <t>3182.96</t>
  </si>
  <si>
    <t>Trex</t>
  </si>
  <si>
    <t>TREX</t>
  </si>
  <si>
    <t>105.74</t>
  </si>
  <si>
    <t>Targa Resources</t>
  </si>
  <si>
    <t>TRGP</t>
  </si>
  <si>
    <t>50457.79</t>
  </si>
  <si>
    <t>Thomson Reuters</t>
  </si>
  <si>
    <t>TRI</t>
  </si>
  <si>
    <t>49628.96</t>
  </si>
  <si>
    <t>445.02</t>
  </si>
  <si>
    <t>Trinity Capital</t>
  </si>
  <si>
    <t>TRIN</t>
  </si>
  <si>
    <t>1235.98</t>
  </si>
  <si>
    <t>TripAdvisor</t>
  </si>
  <si>
    <t>TRIP</t>
  </si>
  <si>
    <t>1217.55</t>
  </si>
  <si>
    <t>114.75</t>
  </si>
  <si>
    <t>Trimble</t>
  </si>
  <si>
    <t>TRMB</t>
  </si>
  <si>
    <t>16480.33</t>
  </si>
  <si>
    <t>233.93</t>
  </si>
  <si>
    <t>TORM</t>
  </si>
  <si>
    <t>TRMD</t>
  </si>
  <si>
    <t>2694.98</t>
  </si>
  <si>
    <t>Trustmark</t>
  </si>
  <si>
    <t>TRMK</t>
  </si>
  <si>
    <t>2458.74</t>
  </si>
  <si>
    <t>Tourmaline Oil Corp.</t>
  </si>
  <si>
    <t>TRMLF</t>
  </si>
  <si>
    <t>18122.04</t>
  </si>
  <si>
    <t>387.14</t>
  </si>
  <si>
    <t>Trinity Industries</t>
  </si>
  <si>
    <t>TRN</t>
  </si>
  <si>
    <t>2539.7</t>
  </si>
  <si>
    <t>79.84</t>
  </si>
  <si>
    <t>Terreno Realty</t>
  </si>
  <si>
    <t>TRNO</t>
  </si>
  <si>
    <t>6530.92</t>
  </si>
  <si>
    <t>104.18</t>
  </si>
  <si>
    <t>T. Rowe Price</t>
  </si>
  <si>
    <t>TROW</t>
  </si>
  <si>
    <t>19746.5</t>
  </si>
  <si>
    <t>80.27</t>
  </si>
  <si>
    <t>Tronox</t>
  </si>
  <si>
    <t>TROX</t>
  </si>
  <si>
    <t>1087.71</t>
  </si>
  <si>
    <t>158.56</t>
  </si>
  <si>
    <t>TC Energy</t>
  </si>
  <si>
    <t>TRP</t>
  </si>
  <si>
    <t>65961.19</t>
  </si>
  <si>
    <t>1041.22</t>
  </si>
  <si>
    <t>TriMas</t>
  </si>
  <si>
    <t>TRS</t>
  </si>
  <si>
    <t>1383.73</t>
  </si>
  <si>
    <t>TransUnion</t>
  </si>
  <si>
    <t>TRU</t>
  </si>
  <si>
    <t>14647.23</t>
  </si>
  <si>
    <t>Terumo</t>
  </si>
  <si>
    <t>TRUMY</t>
  </si>
  <si>
    <t>19308.7</t>
  </si>
  <si>
    <t>1475.07</t>
  </si>
  <si>
    <t>Trupanion</t>
  </si>
  <si>
    <t>TRUP</t>
  </si>
  <si>
    <t>1149.6</t>
  </si>
  <si>
    <t>43.43</t>
  </si>
  <si>
    <t>The Travelers Companies</t>
  </si>
  <si>
    <t>TRV</t>
  </si>
  <si>
    <t>65561.17</t>
  </si>
  <si>
    <t>216.24</t>
  </si>
  <si>
    <t>Trevi Therapeutics</t>
  </si>
  <si>
    <t>TRVI</t>
  </si>
  <si>
    <t>1500.29</t>
  </si>
  <si>
    <t>Toray Industries</t>
  </si>
  <si>
    <t>TRYIY</t>
  </si>
  <si>
    <t>11195.22</t>
  </si>
  <si>
    <t>752.24</t>
  </si>
  <si>
    <t>Tenaris</t>
  </si>
  <si>
    <t>TS</t>
  </si>
  <si>
    <t>30940.98</t>
  </si>
  <si>
    <t>Steel - Pipe and Tube</t>
  </si>
  <si>
    <t>581.38</t>
  </si>
  <si>
    <t>Tesco</t>
  </si>
  <si>
    <t>TSCDY</t>
  </si>
  <si>
    <t>40346.8</t>
  </si>
  <si>
    <t>2130.24</t>
  </si>
  <si>
    <t>Tractor Supply Co.</t>
  </si>
  <si>
    <t>TSCO</t>
  </si>
  <si>
    <t>26670.22</t>
  </si>
  <si>
    <t>526.35</t>
  </si>
  <si>
    <t>Tower Semiconductor</t>
  </si>
  <si>
    <t>TSEM</t>
  </si>
  <si>
    <t>12983.48</t>
  </si>
  <si>
    <t>112.45</t>
  </si>
  <si>
    <t>Tsingtao Brewery Co.</t>
  </si>
  <si>
    <t>TSGTY</t>
  </si>
  <si>
    <t>8686.51</t>
  </si>
  <si>
    <t>272.84</t>
  </si>
  <si>
    <t>Taysha Gene Therapies</t>
  </si>
  <si>
    <t>TSHA</t>
  </si>
  <si>
    <t>1257.29</t>
  </si>
  <si>
    <t>273.92</t>
  </si>
  <si>
    <t>361 Degrees International Limited</t>
  </si>
  <si>
    <t>TSIOF</t>
  </si>
  <si>
    <t>1424.01</t>
  </si>
  <si>
    <t>2067.68</t>
  </si>
  <si>
    <t>Tesla</t>
  </si>
  <si>
    <t>TSLA</t>
  </si>
  <si>
    <t>1496019.5</t>
  </si>
  <si>
    <t>3752.43</t>
  </si>
  <si>
    <t>Sixth Street Specialty Lending</t>
  </si>
  <si>
    <t>TSLX</t>
  </si>
  <si>
    <t>1741.63</t>
  </si>
  <si>
    <t>Taiwan Semiconductor</t>
  </si>
  <si>
    <t>TSM</t>
  </si>
  <si>
    <t>1806266.13</t>
  </si>
  <si>
    <t>Semiconductor - Circuit Foundry</t>
  </si>
  <si>
    <t>Tyson Foods</t>
  </si>
  <si>
    <t>TSN</t>
  </si>
  <si>
    <t>352.08</t>
  </si>
  <si>
    <t>Treasury Wine Estates Ltd.</t>
  </si>
  <si>
    <t>TSRYY</t>
  </si>
  <si>
    <t>2341.57</t>
  </si>
  <si>
    <t>807.44</t>
  </si>
  <si>
    <t>TravelSky Technology</t>
  </si>
  <si>
    <t>TSYHY</t>
  </si>
  <si>
    <t>4005.98</t>
  </si>
  <si>
    <t>292.62</t>
  </si>
  <si>
    <t>Trane Technologies</t>
  </si>
  <si>
    <t>TT</t>
  </si>
  <si>
    <t>94623.81</t>
  </si>
  <si>
    <t>221.33</t>
  </si>
  <si>
    <t>Titan America SA</t>
  </si>
  <si>
    <t>TTAM</t>
  </si>
  <si>
    <t>2947.96</t>
  </si>
  <si>
    <t>184.36</t>
  </si>
  <si>
    <t>ServiceTitan Inc.</t>
  </si>
  <si>
    <t>TTAN</t>
  </si>
  <si>
    <t>7554.47</t>
  </si>
  <si>
    <t>93.65</t>
  </si>
  <si>
    <t>Toro</t>
  </si>
  <si>
    <t>TTC</t>
  </si>
  <si>
    <t>96.93</t>
  </si>
  <si>
    <t>The Trade Desk</t>
  </si>
  <si>
    <t>TTD</t>
  </si>
  <si>
    <t>13811.47</t>
  </si>
  <si>
    <t>483.6</t>
  </si>
  <si>
    <t>TDK</t>
  </si>
  <si>
    <t>TTDKY</t>
  </si>
  <si>
    <t>26922.45</t>
  </si>
  <si>
    <t>1943.86</t>
  </si>
  <si>
    <t>TotalEnergies</t>
  </si>
  <si>
    <t>TTE</t>
  </si>
  <si>
    <t>192509.7</t>
  </si>
  <si>
    <t>2397.68</t>
  </si>
  <si>
    <t>Tetra Tech</t>
  </si>
  <si>
    <t>TTEK</t>
  </si>
  <si>
    <t>9164.78</t>
  </si>
  <si>
    <t>260.81</t>
  </si>
  <si>
    <t>Tetra Technologies</t>
  </si>
  <si>
    <t>TTI</t>
  </si>
  <si>
    <t>1117.87</t>
  </si>
  <si>
    <t>134.2</t>
  </si>
  <si>
    <t>TTM Technologies</t>
  </si>
  <si>
    <t>TTMI</t>
  </si>
  <si>
    <t>10009.6</t>
  </si>
  <si>
    <t>103.4</t>
  </si>
  <si>
    <t>Techtronic Industries Co.</t>
  </si>
  <si>
    <t>TTNDY</t>
  </si>
  <si>
    <t>26929.63</t>
  </si>
  <si>
    <t>TakeTwo Interactive Software</t>
  </si>
  <si>
    <t>TTWO</t>
  </si>
  <si>
    <t>39744.21</t>
  </si>
  <si>
    <t>185.18</t>
  </si>
  <si>
    <t>190.36</t>
  </si>
  <si>
    <t>TELUS</t>
  </si>
  <si>
    <t>TU</t>
  </si>
  <si>
    <t>21170.13</t>
  </si>
  <si>
    <t>1548.66</t>
  </si>
  <si>
    <t>Tuya</t>
  </si>
  <si>
    <t>TUYA</t>
  </si>
  <si>
    <t>1339.9</t>
  </si>
  <si>
    <t>542.47</t>
  </si>
  <si>
    <t>TELEVISION FRAN</t>
  </si>
  <si>
    <t>TVFCF</t>
  </si>
  <si>
    <t>2057.46</t>
  </si>
  <si>
    <t>211.02</t>
  </si>
  <si>
    <t>Travere Therapeutics</t>
  </si>
  <si>
    <t>TVTX</t>
  </si>
  <si>
    <t>2673.16</t>
  </si>
  <si>
    <t>92.24</t>
  </si>
  <si>
    <t>Tradeweb Markets</t>
  </si>
  <si>
    <t>TW</t>
  </si>
  <si>
    <t>29825.95</t>
  </si>
  <si>
    <t>235.65</t>
  </si>
  <si>
    <t>TWFG</t>
  </si>
  <si>
    <t>56.2</t>
  </si>
  <si>
    <t>Twilio</t>
  </si>
  <si>
    <t>TWLO</t>
  </si>
  <si>
    <t>19190.76</t>
  </si>
  <si>
    <t>151.51</t>
  </si>
  <si>
    <t>Taylor Wimpey</t>
  </si>
  <si>
    <t>TWODY</t>
  </si>
  <si>
    <t>4624.35</t>
  </si>
  <si>
    <t>354.63</t>
  </si>
  <si>
    <t>Twist Bioscience</t>
  </si>
  <si>
    <t>TWST</t>
  </si>
  <si>
    <t>2963.2</t>
  </si>
  <si>
    <t>61.31</t>
  </si>
  <si>
    <t>Ternium</t>
  </si>
  <si>
    <t>TX</t>
  </si>
  <si>
    <t>7928.76</t>
  </si>
  <si>
    <t>200.47</t>
  </si>
  <si>
    <t>10x Genomics</t>
  </si>
  <si>
    <t>TXG</t>
  </si>
  <si>
    <t>2671.3</t>
  </si>
  <si>
    <t>127.75</t>
  </si>
  <si>
    <t>Texas Instruments</t>
  </si>
  <si>
    <t>TXN</t>
  </si>
  <si>
    <t>178632.91</t>
  </si>
  <si>
    <t>910.46</t>
  </si>
  <si>
    <t>TXNM Energy</t>
  </si>
  <si>
    <t>TXNM</t>
  </si>
  <si>
    <t>6406.75</t>
  </si>
  <si>
    <t>Texas Roadhouse</t>
  </si>
  <si>
    <t>TXRH</t>
  </si>
  <si>
    <t>11410.2</t>
  </si>
  <si>
    <t>Textron</t>
  </si>
  <si>
    <t>TXT</t>
  </si>
  <si>
    <t>16389.67</t>
  </si>
  <si>
    <t>174.1</t>
  </si>
  <si>
    <t>Tri Continental Corporation</t>
  </si>
  <si>
    <t>TY</t>
  </si>
  <si>
    <t>1675.23</t>
  </si>
  <si>
    <t>51.96</t>
  </si>
  <si>
    <t>Tyler Technologies</t>
  </si>
  <si>
    <t>TYL</t>
  </si>
  <si>
    <t>15790.67</t>
  </si>
  <si>
    <t>Tyra Biosciences</t>
  </si>
  <si>
    <t>TYRA</t>
  </si>
  <si>
    <t>1818.02</t>
  </si>
  <si>
    <t>Unity Software</t>
  </si>
  <si>
    <t>U</t>
  </si>
  <si>
    <t>9200.99</t>
  </si>
  <si>
    <t>432.99</t>
  </si>
  <si>
    <t>Under Armour</t>
  </si>
  <si>
    <t>UA</t>
  </si>
  <si>
    <t>2666.07</t>
  </si>
  <si>
    <t>425.89</t>
  </si>
  <si>
    <t>UAA</t>
  </si>
  <si>
    <t>2759.77</t>
  </si>
  <si>
    <t>United Airlines</t>
  </si>
  <si>
    <t>UAL</t>
  </si>
  <si>
    <t>30570.64</t>
  </si>
  <si>
    <t>323.43</t>
  </si>
  <si>
    <t>United States Antimony</t>
  </si>
  <si>
    <t>UAMY</t>
  </si>
  <si>
    <t>1344.34</t>
  </si>
  <si>
    <t>140.04</t>
  </si>
  <si>
    <t>CVR Partners</t>
  </si>
  <si>
    <t>UAN</t>
  </si>
  <si>
    <t>1996.68</t>
  </si>
  <si>
    <t>Uber Technologies</t>
  </si>
  <si>
    <t>UBER</t>
  </si>
  <si>
    <t>151971.28</t>
  </si>
  <si>
    <t>2058.12</t>
  </si>
  <si>
    <t>UBS</t>
  </si>
  <si>
    <t>120678.76</t>
  </si>
  <si>
    <t>3123.97</t>
  </si>
  <si>
    <t>United Bankshares</t>
  </si>
  <si>
    <t>UBSI</t>
  </si>
  <si>
    <t>5567.02</t>
  </si>
  <si>
    <t>United Community Banks</t>
  </si>
  <si>
    <t>UCB</t>
  </si>
  <si>
    <t>3658.97</t>
  </si>
  <si>
    <t>Ultra Clean</t>
  </si>
  <si>
    <t>UCTT</t>
  </si>
  <si>
    <t>2406.42</t>
  </si>
  <si>
    <t>United Internet</t>
  </si>
  <si>
    <t>UDIRF</t>
  </si>
  <si>
    <t>5248.42</t>
  </si>
  <si>
    <t>United Dominion Realty Trust</t>
  </si>
  <si>
    <t>UDR</t>
  </si>
  <si>
    <t>12226.16</t>
  </si>
  <si>
    <t>328.57</t>
  </si>
  <si>
    <t>Urban Edge Properties</t>
  </si>
  <si>
    <t>UE</t>
  </si>
  <si>
    <t>2559.43</t>
  </si>
  <si>
    <t>125.96</t>
  </si>
  <si>
    <t>Uranium Energy</t>
  </si>
  <si>
    <t>UEC</t>
  </si>
  <si>
    <t>6554.6</t>
  </si>
  <si>
    <t>483.38</t>
  </si>
  <si>
    <t>UFP Industries</t>
  </si>
  <si>
    <t>UFPI</t>
  </si>
  <si>
    <t>5283.7</t>
  </si>
  <si>
    <t>UFP Technologies</t>
  </si>
  <si>
    <t>UFPT</t>
  </si>
  <si>
    <t>1658.36</t>
  </si>
  <si>
    <t>UGI</t>
  </si>
  <si>
    <t>7883.59</t>
  </si>
  <si>
    <t>214.64</t>
  </si>
  <si>
    <t>Ultrapar Participacoes</t>
  </si>
  <si>
    <t>UGP</t>
  </si>
  <si>
    <t>5756.02</t>
  </si>
  <si>
    <t>1115.51</t>
  </si>
  <si>
    <t>Universal Health Services</t>
  </si>
  <si>
    <t>UHS</t>
  </si>
  <si>
    <t>11638.84</t>
  </si>
  <si>
    <t>61.09</t>
  </si>
  <si>
    <t>Ubiquiti</t>
  </si>
  <si>
    <t>UI</t>
  </si>
  <si>
    <t>45541.29</t>
  </si>
  <si>
    <t>Unilever</t>
  </si>
  <si>
    <t>UL</t>
  </si>
  <si>
    <t>144731.52</t>
  </si>
  <si>
    <t>UL Solutions Inc.</t>
  </si>
  <si>
    <t>ULS</t>
  </si>
  <si>
    <t>16583.97</t>
  </si>
  <si>
    <t>Ulta Beauty</t>
  </si>
  <si>
    <t>ULTA</t>
  </si>
  <si>
    <t>28490.27</t>
  </si>
  <si>
    <t>44.36</t>
  </si>
  <si>
    <t>UMB Financial</t>
  </si>
  <si>
    <t>UMBF</t>
  </si>
  <si>
    <t>8676.4</t>
  </si>
  <si>
    <t>United Microelectronics</t>
  </si>
  <si>
    <t>UMC</t>
  </si>
  <si>
    <t>24443.15</t>
  </si>
  <si>
    <t>2512.14</t>
  </si>
  <si>
    <t>UMH Properties</t>
  </si>
  <si>
    <t>UMH</t>
  </si>
  <si>
    <t>1268.44</t>
  </si>
  <si>
    <t>85.02</t>
  </si>
  <si>
    <t>Umicore S.A. - Unsponsored ADR</t>
  </si>
  <si>
    <t>UMICY</t>
  </si>
  <si>
    <t>4674.95</t>
  </si>
  <si>
    <t>961.92</t>
  </si>
  <si>
    <t>UniCredit</t>
  </si>
  <si>
    <t>UNCRY</t>
  </si>
  <si>
    <t>116233.02</t>
  </si>
  <si>
    <t>3015.91</t>
  </si>
  <si>
    <t>Unifirst</t>
  </si>
  <si>
    <t>UNF</t>
  </si>
  <si>
    <t>4746.57</t>
  </si>
  <si>
    <t>Uniform and Related</t>
  </si>
  <si>
    <t>United Natural Foods</t>
  </si>
  <si>
    <t>UNFI</t>
  </si>
  <si>
    <t>2366.59</t>
  </si>
  <si>
    <t>60.93</t>
  </si>
  <si>
    <t>UnitedHealth Group</t>
  </si>
  <si>
    <t>UNH</t>
  </si>
  <si>
    <t>258841.94</t>
  </si>
  <si>
    <t>907.68</t>
  </si>
  <si>
    <t>Unicharm</t>
  </si>
  <si>
    <t>UNICY</t>
  </si>
  <si>
    <t>10335.21</t>
  </si>
  <si>
    <t>3479.87</t>
  </si>
  <si>
    <t>Uniti Group</t>
  </si>
  <si>
    <t>UNIT</t>
  </si>
  <si>
    <t>1219.39</t>
  </si>
  <si>
    <t>147.98</t>
  </si>
  <si>
    <t>Unum Group</t>
  </si>
  <si>
    <t>UNM</t>
  </si>
  <si>
    <t>11944.21</t>
  </si>
  <si>
    <t>163.75</t>
  </si>
  <si>
    <t>Union Pacific</t>
  </si>
  <si>
    <t>UNP</t>
  </si>
  <si>
    <t>150490.02</t>
  </si>
  <si>
    <t>593.39</t>
  </si>
  <si>
    <t>United Overseas Bank</t>
  </si>
  <si>
    <t>UOVEY</t>
  </si>
  <si>
    <t>46277.52</t>
  </si>
  <si>
    <t>825.79</t>
  </si>
  <si>
    <t>Upbound Group</t>
  </si>
  <si>
    <t>UPBD</t>
  </si>
  <si>
    <t>1108.88</t>
  </si>
  <si>
    <t>United Parcel Service</t>
  </si>
  <si>
    <t>UPS</t>
  </si>
  <si>
    <t>84859.23</t>
  </si>
  <si>
    <t>849.1</t>
  </si>
  <si>
    <t>Upstart</t>
  </si>
  <si>
    <t>UPST</t>
  </si>
  <si>
    <t>2737.87</t>
  </si>
  <si>
    <t>Upwork</t>
  </si>
  <si>
    <t>UPWK</t>
  </si>
  <si>
    <t>1737.97</t>
  </si>
  <si>
    <t>130.38</t>
  </si>
  <si>
    <t>Urban Outfitters</t>
  </si>
  <si>
    <t>URBN</t>
  </si>
  <si>
    <t>5782.5</t>
  </si>
  <si>
    <t>89.68</t>
  </si>
  <si>
    <t>United Rentals</t>
  </si>
  <si>
    <t>URI</t>
  </si>
  <si>
    <t>51701.32</t>
  </si>
  <si>
    <t>Liberty All-Star Equity Fund</t>
  </si>
  <si>
    <t>USA</t>
  </si>
  <si>
    <t>1758.05</t>
  </si>
  <si>
    <t>301.55</t>
  </si>
  <si>
    <t>USA Compression Partners</t>
  </si>
  <si>
    <t>USAC</t>
  </si>
  <si>
    <t>3983.84</t>
  </si>
  <si>
    <t>USA Rare Earth Inc.</t>
  </si>
  <si>
    <t>USAR</t>
  </si>
  <si>
    <t>2481.67</t>
  </si>
  <si>
    <t>Americas Gold and Silver</t>
  </si>
  <si>
    <t>USAS</t>
  </si>
  <si>
    <t>2617.82</t>
  </si>
  <si>
    <t>U.S. Bancorp</t>
  </si>
  <si>
    <t>USB</t>
  </si>
  <si>
    <t>80994.16</t>
  </si>
  <si>
    <t>1553.7</t>
  </si>
  <si>
    <t>US Foods</t>
  </si>
  <si>
    <t>USFD</t>
  </si>
  <si>
    <t>20009.77</t>
  </si>
  <si>
    <t>220.54</t>
  </si>
  <si>
    <t>United States Lime &amp; Minerals</t>
  </si>
  <si>
    <t>USLM</t>
  </si>
  <si>
    <t>3410.88</t>
  </si>
  <si>
    <t>United States Oil ETF</t>
  </si>
  <si>
    <t>USO</t>
  </si>
  <si>
    <t>1682.18</t>
  </si>
  <si>
    <t>U.S. Physical Therapy</t>
  </si>
  <si>
    <t>USPH</t>
  </si>
  <si>
    <t>1218.43</t>
  </si>
  <si>
    <t>UNITE Group</t>
  </si>
  <si>
    <t>UTGPF</t>
  </si>
  <si>
    <t>3138.04</t>
  </si>
  <si>
    <t>488.79</t>
  </si>
  <si>
    <t>United Therapeutics</t>
  </si>
  <si>
    <t>UTHR</t>
  </si>
  <si>
    <t>23192.3</t>
  </si>
  <si>
    <t>Universal Technical Institute</t>
  </si>
  <si>
    <t>UTI</t>
  </si>
  <si>
    <t>1935.07</t>
  </si>
  <si>
    <t>Utz Brands</t>
  </si>
  <si>
    <t>UTZ</t>
  </si>
  <si>
    <t>1180.45</t>
  </si>
  <si>
    <t>143.78</t>
  </si>
  <si>
    <t>United Utilities Group</t>
  </si>
  <si>
    <t>UUGRY</t>
  </si>
  <si>
    <t>12113.6</t>
  </si>
  <si>
    <t>340.94</t>
  </si>
  <si>
    <t>Energy Fuels</t>
  </si>
  <si>
    <t>UUUU</t>
  </si>
  <si>
    <t>4714.89</t>
  </si>
  <si>
    <t>237.29</t>
  </si>
  <si>
    <t>Universal</t>
  </si>
  <si>
    <t>UVV</t>
  </si>
  <si>
    <t>1309.73</t>
  </si>
  <si>
    <t>24.92</t>
  </si>
  <si>
    <t>UWM</t>
  </si>
  <si>
    <t>UWMC</t>
  </si>
  <si>
    <t>6223.79</t>
  </si>
  <si>
    <t>1599.95</t>
  </si>
  <si>
    <t>Visa</t>
  </si>
  <si>
    <t>V</t>
  </si>
  <si>
    <t>573540.06</t>
  </si>
  <si>
    <t>1815.17</t>
  </si>
  <si>
    <t>MARRIOTT VAC WW</t>
  </si>
  <si>
    <t>VAC</t>
  </si>
  <si>
    <t>2357.47</t>
  </si>
  <si>
    <t>VAT Group AG - Unsponsored ADR</t>
  </si>
  <si>
    <t>VACNY</t>
  </si>
  <si>
    <t>Valaris</t>
  </si>
  <si>
    <t>VAL</t>
  </si>
  <si>
    <t>6286.86</t>
  </si>
  <si>
    <t>Visteon</t>
  </si>
  <si>
    <t>VC</t>
  </si>
  <si>
    <t>2462.56</t>
  </si>
  <si>
    <t>26.82</t>
  </si>
  <si>
    <t>Vericel</t>
  </si>
  <si>
    <t>VCEL</t>
  </si>
  <si>
    <t>1732.04</t>
  </si>
  <si>
    <t>Vinci</t>
  </si>
  <si>
    <t>VCISY</t>
  </si>
  <si>
    <t>87920.84</t>
  </si>
  <si>
    <t>2329.03</t>
  </si>
  <si>
    <t>Victory Capital Holdings</t>
  </si>
  <si>
    <t>VCTR</t>
  </si>
  <si>
    <t>4452.63</t>
  </si>
  <si>
    <t>64.93</t>
  </si>
  <si>
    <t>Veracyte</t>
  </si>
  <si>
    <t>VCYT</t>
  </si>
  <si>
    <t>2651.53</t>
  </si>
  <si>
    <t>79.46</t>
  </si>
  <si>
    <t>Veeco Instruments</t>
  </si>
  <si>
    <t>VECO</t>
  </si>
  <si>
    <t>1859.47</t>
  </si>
  <si>
    <t>60.39</t>
  </si>
  <si>
    <t>Veeva Systems</t>
  </si>
  <si>
    <t>VEEV</t>
  </si>
  <si>
    <t>32148.16</t>
  </si>
  <si>
    <t>164.38</t>
  </si>
  <si>
    <t>VEON</t>
  </si>
  <si>
    <t>3660.22</t>
  </si>
  <si>
    <t>Vera Therapeutics</t>
  </si>
  <si>
    <t>VERA</t>
  </si>
  <si>
    <t>2729.18</t>
  </si>
  <si>
    <t>70.03</t>
  </si>
  <si>
    <t>Vertex</t>
  </si>
  <si>
    <t>VERX</t>
  </si>
  <si>
    <t>2389.76</t>
  </si>
  <si>
    <t>159.96</t>
  </si>
  <si>
    <t>Vermilion Energy</t>
  </si>
  <si>
    <t>VET</t>
  </si>
  <si>
    <t>1743.16</t>
  </si>
  <si>
    <t>152.77</t>
  </si>
  <si>
    <t>V.F. Corporation</t>
  </si>
  <si>
    <t>VFC</t>
  </si>
  <si>
    <t>6757.12</t>
  </si>
  <si>
    <t>391.26</t>
  </si>
  <si>
    <t>Vanguard Financials Index Fund ETF Shares</t>
  </si>
  <si>
    <t>VFH</t>
  </si>
  <si>
    <t>12423.41</t>
  </si>
  <si>
    <t>VinFast Auto Ltd.</t>
  </si>
  <si>
    <t>VFS</t>
  </si>
  <si>
    <t>7392.86</t>
  </si>
  <si>
    <t>2339.51</t>
  </si>
  <si>
    <t>Venture Global</t>
  </si>
  <si>
    <t>VG</t>
  </si>
  <si>
    <t>28177.75</t>
  </si>
  <si>
    <t>2448.11</t>
  </si>
  <si>
    <t>Via Transportation Inc.</t>
  </si>
  <si>
    <t>VIA</t>
  </si>
  <si>
    <t>1538.83</t>
  </si>
  <si>
    <t>80.99</t>
  </si>
  <si>
    <t>Flughafen Wien</t>
  </si>
  <si>
    <t>VIAAY</t>
  </si>
  <si>
    <t>4274.25</t>
  </si>
  <si>
    <t>335.5</t>
  </si>
  <si>
    <t>Viavi Solutions</t>
  </si>
  <si>
    <t>VIAV</t>
  </si>
  <si>
    <t>6765.82</t>
  </si>
  <si>
    <t>VICI Properties</t>
  </si>
  <si>
    <t>VICI</t>
  </si>
  <si>
    <t>31535.18</t>
  </si>
  <si>
    <t>1068.99</t>
  </si>
  <si>
    <t>Vicor</t>
  </si>
  <si>
    <t>VICR</t>
  </si>
  <si>
    <t>7592.29</t>
  </si>
  <si>
    <t>44.65</t>
  </si>
  <si>
    <t>Viking Holdings Ltd.</t>
  </si>
  <si>
    <t>VIK</t>
  </si>
  <si>
    <t>32176.6</t>
  </si>
  <si>
    <t>443.14</t>
  </si>
  <si>
    <t>Vipshop</t>
  </si>
  <si>
    <t>VIPS</t>
  </si>
  <si>
    <t>8341.83</t>
  </si>
  <si>
    <t>512.71</t>
  </si>
  <si>
    <t>Vir Biotechnology</t>
  </si>
  <si>
    <t>VIR</t>
  </si>
  <si>
    <t>1367.27</t>
  </si>
  <si>
    <t>139.52</t>
  </si>
  <si>
    <t>Viridien Sponsored ADR</t>
  </si>
  <si>
    <t>VIRDY</t>
  </si>
  <si>
    <t>1020.27</t>
  </si>
  <si>
    <t>Virtu Financial</t>
  </si>
  <si>
    <t>VIRT</t>
  </si>
  <si>
    <t>6486.63</t>
  </si>
  <si>
    <t>154.66</t>
  </si>
  <si>
    <t>Vistance Networks</t>
  </si>
  <si>
    <t>VISN</t>
  </si>
  <si>
    <t>4001.95</t>
  </si>
  <si>
    <t>225.46</t>
  </si>
  <si>
    <t>Vista Energy</t>
  </si>
  <si>
    <t xml:space="preserve"> S.A.B. de C.V. - Sponsored ADR</t>
  </si>
  <si>
    <t>VIST</t>
  </si>
  <si>
    <t>6281.45</t>
  </si>
  <si>
    <t>Telefonica Brasil</t>
  </si>
  <si>
    <t>VIV</t>
  </si>
  <si>
    <t>26173.32</t>
  </si>
  <si>
    <t>1626.68</t>
  </si>
  <si>
    <t>Viking Therapeutics</t>
  </si>
  <si>
    <t>VKTX</t>
  </si>
  <si>
    <t>3883.78</t>
  </si>
  <si>
    <t>115.55</t>
  </si>
  <si>
    <t>Valeo</t>
  </si>
  <si>
    <t>VLEEY</t>
  </si>
  <si>
    <t>2957.12</t>
  </si>
  <si>
    <t>491.21</t>
  </si>
  <si>
    <t>Volkswagen AG</t>
  </si>
  <si>
    <t>VLKAF</t>
  </si>
  <si>
    <t>30473.92</t>
  </si>
  <si>
    <t>295.09</t>
  </si>
  <si>
    <t>Valero Energy</t>
  </si>
  <si>
    <t>VLO</t>
  </si>
  <si>
    <t>64574.71</t>
  </si>
  <si>
    <t>299.03</t>
  </si>
  <si>
    <t>Vallourec</t>
  </si>
  <si>
    <t>VLOWY</t>
  </si>
  <si>
    <t>5390.26</t>
  </si>
  <si>
    <t>Oil and Gas - Speciality - International</t>
  </si>
  <si>
    <t>1171.8</t>
  </si>
  <si>
    <t>Voestalpine</t>
  </si>
  <si>
    <t>VLPNY</t>
  </si>
  <si>
    <t>7912.42</t>
  </si>
  <si>
    <t>857.25</t>
  </si>
  <si>
    <t>Veralto Corporation</t>
  </si>
  <si>
    <t>VLTO</t>
  </si>
  <si>
    <t>23312.14</t>
  </si>
  <si>
    <t>247.84</t>
  </si>
  <si>
    <t>Volvo</t>
  </si>
  <si>
    <t>VLVLY</t>
  </si>
  <si>
    <t>72492.57</t>
  </si>
  <si>
    <t>2033.45</t>
  </si>
  <si>
    <t>Valley National Bancorp</t>
  </si>
  <si>
    <t>VLY</t>
  </si>
  <si>
    <t>6648.45</t>
  </si>
  <si>
    <t>555.43</t>
  </si>
  <si>
    <t>Vulcan Materials</t>
  </si>
  <si>
    <t>VMC</t>
  </si>
  <si>
    <t>35822.11</t>
  </si>
  <si>
    <t>130.58</t>
  </si>
  <si>
    <t>Valmont Industries</t>
  </si>
  <si>
    <t>VMI</t>
  </si>
  <si>
    <t>8400.94</t>
  </si>
  <si>
    <t>VNET Group</t>
  </si>
  <si>
    <t>VNET</t>
  </si>
  <si>
    <t>2632.81</t>
  </si>
  <si>
    <t>268.93</t>
  </si>
  <si>
    <t>Vornado Realty Trust</t>
  </si>
  <si>
    <t>VNO</t>
  </si>
  <si>
    <t>5146.08</t>
  </si>
  <si>
    <t>190.67</t>
  </si>
  <si>
    <t>Viper Energy Inc.</t>
  </si>
  <si>
    <t>VNOM</t>
  </si>
  <si>
    <t>15782.21</t>
  </si>
  <si>
    <t>357.55</t>
  </si>
  <si>
    <t>Vanguard Real Estate Index Fund ETF Shares</t>
  </si>
  <si>
    <t>VNQ</t>
  </si>
  <si>
    <t>36275.36</t>
  </si>
  <si>
    <t>386.9</t>
  </si>
  <si>
    <t>Vontier</t>
  </si>
  <si>
    <t>VNT</t>
  </si>
  <si>
    <t>5465.76</t>
  </si>
  <si>
    <t>141.6</t>
  </si>
  <si>
    <t>Vodafone Group</t>
  </si>
  <si>
    <t>VOD</t>
  </si>
  <si>
    <t>33903.35</t>
  </si>
  <si>
    <t>2341.39</t>
  </si>
  <si>
    <t>Vonovia</t>
  </si>
  <si>
    <t>VONOY</t>
  </si>
  <si>
    <t>24853.98</t>
  </si>
  <si>
    <t>1696.52</t>
  </si>
  <si>
    <t>Royal Vopak</t>
  </si>
  <si>
    <t>VOPKY</t>
  </si>
  <si>
    <t>6062.9</t>
  </si>
  <si>
    <t>115.26</t>
  </si>
  <si>
    <t>Voya Financial</t>
  </si>
  <si>
    <t>VOYA</t>
  </si>
  <si>
    <t>6312.53</t>
  </si>
  <si>
    <t>92.76</t>
  </si>
  <si>
    <t>Voyager Technologies</t>
  </si>
  <si>
    <t>VOYG</t>
  </si>
  <si>
    <t>1432.94</t>
  </si>
  <si>
    <t>53.79</t>
  </si>
  <si>
    <t>Viridian Therapeutics</t>
  </si>
  <si>
    <t>VRDN</t>
  </si>
  <si>
    <t>3030.43</t>
  </si>
  <si>
    <t>Veris Residential</t>
  </si>
  <si>
    <t>VRE</t>
  </si>
  <si>
    <t>1761.69</t>
  </si>
  <si>
    <t>93.46</t>
  </si>
  <si>
    <t>Varonis Systems</t>
  </si>
  <si>
    <t>VRNS</t>
  </si>
  <si>
    <t>2858.68</t>
  </si>
  <si>
    <t>Verra Mobility</t>
  </si>
  <si>
    <t>VRRM</t>
  </si>
  <si>
    <t>2459.63</t>
  </si>
  <si>
    <t>Verisk Analytics</t>
  </si>
  <si>
    <t>VRSK</t>
  </si>
  <si>
    <t>29006.42</t>
  </si>
  <si>
    <t>137.94</t>
  </si>
  <si>
    <t>VeriSign</t>
  </si>
  <si>
    <t>VRSN</t>
  </si>
  <si>
    <t>22226.25</t>
  </si>
  <si>
    <t>91.7</t>
  </si>
  <si>
    <t>Vertiv</t>
  </si>
  <si>
    <t>VRT</t>
  </si>
  <si>
    <t>101139.91</t>
  </si>
  <si>
    <t>382.6</t>
  </si>
  <si>
    <t>Vertex Pharmaceuticals</t>
  </si>
  <si>
    <t>VRTX</t>
  </si>
  <si>
    <t>117076.73</t>
  </si>
  <si>
    <t>254.03</t>
  </si>
  <si>
    <t>Viasat</t>
  </si>
  <si>
    <t>VSAT</t>
  </si>
  <si>
    <t>6245.53</t>
  </si>
  <si>
    <t>135.83</t>
  </si>
  <si>
    <t>Victoria's Secret</t>
  </si>
  <si>
    <t>VSCO</t>
  </si>
  <si>
    <t>3862.54</t>
  </si>
  <si>
    <t>VSE</t>
  </si>
  <si>
    <t>VSEC</t>
  </si>
  <si>
    <t>6094.77</t>
  </si>
  <si>
    <t>Vishay Intertechnology</t>
  </si>
  <si>
    <t>VSH</t>
  </si>
  <si>
    <t>2279.99</t>
  </si>
  <si>
    <t>Semiconductor - Discretes</t>
  </si>
  <si>
    <t>135.79</t>
  </si>
  <si>
    <t>Versant Media Group</t>
  </si>
  <si>
    <t>VSNT</t>
  </si>
  <si>
    <t>5254.12</t>
  </si>
  <si>
    <t>143.79</t>
  </si>
  <si>
    <t>Vistra</t>
  </si>
  <si>
    <t>VST</t>
  </si>
  <si>
    <t>55438.63</t>
  </si>
  <si>
    <t>338.83</t>
  </si>
  <si>
    <t>Vestis Corporation</t>
  </si>
  <si>
    <t>VSTS</t>
  </si>
  <si>
    <t>1063.51</t>
  </si>
  <si>
    <t>Vanguard Total Stock Market ETF</t>
  </si>
  <si>
    <t>VTI</t>
  </si>
  <si>
    <t>578558.19</t>
  </si>
  <si>
    <t>1730.76</t>
  </si>
  <si>
    <t>Corporacion Inmobiliaria Vesta</t>
  </si>
  <si>
    <t xml:space="preserve"> S.A.B. de C.V. Sponsored ADR</t>
  </si>
  <si>
    <t>VTMX</t>
  </si>
  <si>
    <t>2776.63</t>
  </si>
  <si>
    <t>Bristow Group</t>
  </si>
  <si>
    <t>VTOL</t>
  </si>
  <si>
    <t>1337.82</t>
  </si>
  <si>
    <t>Ventas</t>
  </si>
  <si>
    <t>VTR</t>
  </si>
  <si>
    <t>40946.75</t>
  </si>
  <si>
    <t>474.96</t>
  </si>
  <si>
    <t>Viatris</t>
  </si>
  <si>
    <t>VTRS</t>
  </si>
  <si>
    <t>16372.81</t>
  </si>
  <si>
    <t>1151.39</t>
  </si>
  <si>
    <t>Valvoline</t>
  </si>
  <si>
    <t>VVV</t>
  </si>
  <si>
    <t>4431.86</t>
  </si>
  <si>
    <t>127.32</t>
  </si>
  <si>
    <t>V2X</t>
  </si>
  <si>
    <t>VVX</t>
  </si>
  <si>
    <t>2277.53</t>
  </si>
  <si>
    <t>Volkswagen</t>
  </si>
  <si>
    <t>VWAGY</t>
  </si>
  <si>
    <t>52786.39</t>
  </si>
  <si>
    <t>5012.95</t>
  </si>
  <si>
    <t>Vestas Wind Systems</t>
  </si>
  <si>
    <t>VWDRY</t>
  </si>
  <si>
    <t>24602.83</t>
  </si>
  <si>
    <t>3029.91</t>
  </si>
  <si>
    <t>Vanguard Emerging Markets Stock Index Fund ETF Shares</t>
  </si>
  <si>
    <t>VWO</t>
  </si>
  <si>
    <t>112120.91</t>
  </si>
  <si>
    <t>2033.76</t>
  </si>
  <si>
    <t>NCR Voyix Corporation</t>
  </si>
  <si>
    <t>VYX</t>
  </si>
  <si>
    <t>1021.73</t>
  </si>
  <si>
    <t>139.01</t>
  </si>
  <si>
    <t>Verizon Communications</t>
  </si>
  <si>
    <t>VZ</t>
  </si>
  <si>
    <t>212782.17</t>
  </si>
  <si>
    <t>4217.68</t>
  </si>
  <si>
    <t>Vizsla Silver Corp.</t>
  </si>
  <si>
    <t>VZLA</t>
  </si>
  <si>
    <t>1394.23</t>
  </si>
  <si>
    <t>349.43</t>
  </si>
  <si>
    <t>Wayfair</t>
  </si>
  <si>
    <t>W</t>
  </si>
  <si>
    <t>9900.23</t>
  </si>
  <si>
    <t>130.75</t>
  </si>
  <si>
    <t>Wabtec</t>
  </si>
  <si>
    <t>WAB</t>
  </si>
  <si>
    <t>42117.74</t>
  </si>
  <si>
    <t>170.52</t>
  </si>
  <si>
    <t>Westamerica Ban</t>
  </si>
  <si>
    <t>WABC</t>
  </si>
  <si>
    <t>1217.01</t>
  </si>
  <si>
    <t>Wacoal</t>
  </si>
  <si>
    <t>WACLY</t>
  </si>
  <si>
    <t>1428.2</t>
  </si>
  <si>
    <t>WaFd</t>
  </si>
  <si>
    <t>WAFD</t>
  </si>
  <si>
    <t>2339.63</t>
  </si>
  <si>
    <t>Western Alliance Ban</t>
  </si>
  <si>
    <t>WAL</t>
  </si>
  <si>
    <t>8064.03</t>
  </si>
  <si>
    <t>109.88</t>
  </si>
  <si>
    <t>Waters</t>
  </si>
  <si>
    <t>WAT</t>
  </si>
  <si>
    <t>29986.8</t>
  </si>
  <si>
    <t>98.1</t>
  </si>
  <si>
    <t>Waystar Holding Corp.</t>
  </si>
  <si>
    <t>WAY</t>
  </si>
  <si>
    <t>4960.72</t>
  </si>
  <si>
    <t>191.68</t>
  </si>
  <si>
    <t>Weibo</t>
  </si>
  <si>
    <t>WB</t>
  </si>
  <si>
    <t>2354.78</t>
  </si>
  <si>
    <t>Warner Bros. Discovery</t>
  </si>
  <si>
    <t>WBD</t>
  </si>
  <si>
    <t>68763.8</t>
  </si>
  <si>
    <t>2477.98</t>
  </si>
  <si>
    <t>WaterBridge Infrastructure LLC</t>
  </si>
  <si>
    <t>WBI</t>
  </si>
  <si>
    <t>3109.83</t>
  </si>
  <si>
    <t>123.46</t>
  </si>
  <si>
    <t>Webster Financial</t>
  </si>
  <si>
    <t>WBS</t>
  </si>
  <si>
    <t>11061.76</t>
  </si>
  <si>
    <t>161.23</t>
  </si>
  <si>
    <t>WEBTOON Entertainment Inc.</t>
  </si>
  <si>
    <t>WBTN</t>
  </si>
  <si>
    <t>1290.78</t>
  </si>
  <si>
    <t>133.48</t>
  </si>
  <si>
    <t>WESCO International</t>
  </si>
  <si>
    <t>WCC</t>
  </si>
  <si>
    <t>13036.04</t>
  </si>
  <si>
    <t>48.66</t>
  </si>
  <si>
    <t>Waste Connections</t>
  </si>
  <si>
    <t>WCN</t>
  </si>
  <si>
    <t>43907.8</t>
  </si>
  <si>
    <t>255.68</t>
  </si>
  <si>
    <t>Walker &amp; Dunlop</t>
  </si>
  <si>
    <t>WD</t>
  </si>
  <si>
    <t>1700.3</t>
  </si>
  <si>
    <t>Workday</t>
  </si>
  <si>
    <t>WDAY</t>
  </si>
  <si>
    <t>38960.82</t>
  </si>
  <si>
    <t>Western Digital</t>
  </si>
  <si>
    <t>WDC</t>
  </si>
  <si>
    <t>88848.28</t>
  </si>
  <si>
    <t>339.04</t>
  </si>
  <si>
    <t>WD40</t>
  </si>
  <si>
    <t>WDFC</t>
  </si>
  <si>
    <t>3104.55</t>
  </si>
  <si>
    <t>Woodside Energy Group Ltd</t>
  </si>
  <si>
    <t>WDS</t>
  </si>
  <si>
    <t>41558.05</t>
  </si>
  <si>
    <t>1901.1</t>
  </si>
  <si>
    <t>WEC Energy Group</t>
  </si>
  <si>
    <t>WEC</t>
  </si>
  <si>
    <t>37628.17</t>
  </si>
  <si>
    <t>325.53</t>
  </si>
  <si>
    <t>Welltower</t>
  </si>
  <si>
    <t>WELL</t>
  </si>
  <si>
    <t>144909.23</t>
  </si>
  <si>
    <t>697.75</t>
  </si>
  <si>
    <t>Wendy's</t>
  </si>
  <si>
    <t>WEN</t>
  </si>
  <si>
    <t>1383.92</t>
  </si>
  <si>
    <t>Werner Enterprises</t>
  </si>
  <si>
    <t>WERN</t>
  </si>
  <si>
    <t>1869.12</t>
  </si>
  <si>
    <t>59.87</t>
  </si>
  <si>
    <t>Western Midstream Partners</t>
  </si>
  <si>
    <t>WES</t>
  </si>
  <si>
    <t>16270.28</t>
  </si>
  <si>
    <t>393.67</t>
  </si>
  <si>
    <t>WEX</t>
  </si>
  <si>
    <t>5557.63</t>
  </si>
  <si>
    <t>Woori Bank</t>
  </si>
  <si>
    <t>WF</t>
  </si>
  <si>
    <t>16710.02</t>
  </si>
  <si>
    <t>244.69</t>
  </si>
  <si>
    <t>Wells Fargo &amp; Company</t>
  </si>
  <si>
    <t>WFC</t>
  </si>
  <si>
    <t>243240.66</t>
  </si>
  <si>
    <t>3085.64</t>
  </si>
  <si>
    <t>West Fraser Timber Co.</t>
  </si>
  <si>
    <t>WFG</t>
  </si>
  <si>
    <t>4931.31</t>
  </si>
  <si>
    <t>76.02</t>
  </si>
  <si>
    <t>Weatherford International</t>
  </si>
  <si>
    <t>WFRD</t>
  </si>
  <si>
    <t>6522.71</t>
  </si>
  <si>
    <t>GENEDX HOLDINGS</t>
  </si>
  <si>
    <t>WGS</t>
  </si>
  <si>
    <t>2768.08</t>
  </si>
  <si>
    <t>Wyndham Hotels &amp; Resorts</t>
  </si>
  <si>
    <t>WH</t>
  </si>
  <si>
    <t>5729.35</t>
  </si>
  <si>
    <t>Cactus</t>
  </si>
  <si>
    <t>WHD</t>
  </si>
  <si>
    <t>4128.11</t>
  </si>
  <si>
    <t>79.85</t>
  </si>
  <si>
    <t>Whirlpool</t>
  </si>
  <si>
    <t>WHR</t>
  </si>
  <si>
    <t>3319.91</t>
  </si>
  <si>
    <t>Demant</t>
  </si>
  <si>
    <t>WILYY</t>
  </si>
  <si>
    <t>5915.7</t>
  </si>
  <si>
    <t>427.59</t>
  </si>
  <si>
    <t>Winmark</t>
  </si>
  <si>
    <t>WINA</t>
  </si>
  <si>
    <t>1574.74</t>
  </si>
  <si>
    <t>Wingstop</t>
  </si>
  <si>
    <t>WING</t>
  </si>
  <si>
    <t>6164.24</t>
  </si>
  <si>
    <t>Wipro Limited</t>
  </si>
  <si>
    <t>WIT</t>
  </si>
  <si>
    <t>24197.04</t>
  </si>
  <si>
    <t>10474.91</t>
  </si>
  <si>
    <t>Wix.com</t>
  </si>
  <si>
    <t>WIX</t>
  </si>
  <si>
    <t>5364.9</t>
  </si>
  <si>
    <t>WISE PLC - Sponsored ADR</t>
  </si>
  <si>
    <t>WIZEY</t>
  </si>
  <si>
    <t>12443.2</t>
  </si>
  <si>
    <t>West Japan Railway</t>
  </si>
  <si>
    <t>WJRYY</t>
  </si>
  <si>
    <t>9343.56</t>
  </si>
  <si>
    <t>455.56</t>
  </si>
  <si>
    <t>Workiva</t>
  </si>
  <si>
    <t>WK</t>
  </si>
  <si>
    <t>3637.99</t>
  </si>
  <si>
    <t>56.83</t>
  </si>
  <si>
    <t>World Kinect Corporation</t>
  </si>
  <si>
    <t>WKC</t>
  </si>
  <si>
    <t>1209.67</t>
  </si>
  <si>
    <t>Willdan Group</t>
  </si>
  <si>
    <t>WLDN</t>
  </si>
  <si>
    <t>1225.13</t>
  </si>
  <si>
    <t>Willis Lease Finance</t>
  </si>
  <si>
    <t>WLFC</t>
  </si>
  <si>
    <t>1212.17</t>
  </si>
  <si>
    <t>Westlake Corporation</t>
  </si>
  <si>
    <t>WLK</t>
  </si>
  <si>
    <t>13601.99</t>
  </si>
  <si>
    <t>127.91</t>
  </si>
  <si>
    <t>Wealthfront Corporation</t>
  </si>
  <si>
    <t>WLTH</t>
  </si>
  <si>
    <t>1294.04</t>
  </si>
  <si>
    <t>150.12</t>
  </si>
  <si>
    <t>Woolworths</t>
  </si>
  <si>
    <t>WLWHY</t>
  </si>
  <si>
    <t>3205.49</t>
  </si>
  <si>
    <t>981.77</t>
  </si>
  <si>
    <t>John Wiley &amp; Sons</t>
  </si>
  <si>
    <t>WLY</t>
  </si>
  <si>
    <t>1943.61</t>
  </si>
  <si>
    <t>Publishing - Books</t>
  </si>
  <si>
    <t>WLYB</t>
  </si>
  <si>
    <t>1918.38</t>
  </si>
  <si>
    <t>Waste Management</t>
  </si>
  <si>
    <t>WM</t>
  </si>
  <si>
    <t>99426.3</t>
  </si>
  <si>
    <t>403.34</t>
  </si>
  <si>
    <t>The Williams Companies</t>
  </si>
  <si>
    <t>WMB</t>
  </si>
  <si>
    <t>89393.99</t>
  </si>
  <si>
    <t>1221.56</t>
  </si>
  <si>
    <t>Warner Music Group</t>
  </si>
  <si>
    <t>WMG</t>
  </si>
  <si>
    <t>14369.74</t>
  </si>
  <si>
    <t>522.35</t>
  </si>
  <si>
    <t>Weis Markets</t>
  </si>
  <si>
    <t>WMK</t>
  </si>
  <si>
    <t>1554.21</t>
  </si>
  <si>
    <t>WalMart de Mexico</t>
  </si>
  <si>
    <t>WMMVY</t>
  </si>
  <si>
    <t>54564.2</t>
  </si>
  <si>
    <t>Advanced Drainage Systems</t>
  </si>
  <si>
    <t>WMS</t>
  </si>
  <si>
    <t>11676.55</t>
  </si>
  <si>
    <t>Walmart</t>
  </si>
  <si>
    <t>WMT</t>
  </si>
  <si>
    <t>991010.56</t>
  </si>
  <si>
    <t>7970.17</t>
  </si>
  <si>
    <t>George Weston</t>
  </si>
  <si>
    <t>WNGRF</t>
  </si>
  <si>
    <t>26170.74</t>
  </si>
  <si>
    <t>379.51</t>
  </si>
  <si>
    <t>Worthington Enterprises</t>
  </si>
  <si>
    <t>WOR</t>
  </si>
  <si>
    <t>2489.22</t>
  </si>
  <si>
    <t>49.55</t>
  </si>
  <si>
    <t>W.P. Carey</t>
  </si>
  <si>
    <t>WPC</t>
  </si>
  <si>
    <t>15867.88</t>
  </si>
  <si>
    <t>219.17</t>
  </si>
  <si>
    <t>Wheaton Precious Metals</t>
  </si>
  <si>
    <t>WPM</t>
  </si>
  <si>
    <t>67174.7</t>
  </si>
  <si>
    <t>WPP</t>
  </si>
  <si>
    <t>3797.39</t>
  </si>
  <si>
    <t>215.76</t>
  </si>
  <si>
    <t>W.R. Berkley</t>
  </si>
  <si>
    <t>WRB</t>
  </si>
  <si>
    <t>25555.25</t>
  </si>
  <si>
    <t>374.49</t>
  </si>
  <si>
    <t>Warby Parker</t>
  </si>
  <si>
    <t>WRBY</t>
  </si>
  <si>
    <t>2699.11</t>
  </si>
  <si>
    <t>106.77</t>
  </si>
  <si>
    <t>WeRide Inc.</t>
  </si>
  <si>
    <t>WRD</t>
  </si>
  <si>
    <t>2037.55</t>
  </si>
  <si>
    <t>323.93</t>
  </si>
  <si>
    <t>Wartsila</t>
  </si>
  <si>
    <t>WRTBY</t>
  </si>
  <si>
    <t>22485.49</t>
  </si>
  <si>
    <t>2958.62</t>
  </si>
  <si>
    <t>Worthington Steel</t>
  </si>
  <si>
    <t>WS</t>
  </si>
  <si>
    <t>1872.19</t>
  </si>
  <si>
    <t>WesBanco</t>
  </si>
  <si>
    <t>WSBC</t>
  </si>
  <si>
    <t>3207.29</t>
  </si>
  <si>
    <t>96.11</t>
  </si>
  <si>
    <t>WillScot Holdings Corporation</t>
  </si>
  <si>
    <t>WSC</t>
  </si>
  <si>
    <t>3580.92</t>
  </si>
  <si>
    <t>180.85</t>
  </si>
  <si>
    <t>WSFS</t>
  </si>
  <si>
    <t>3308.42</t>
  </si>
  <si>
    <t>WilliamsSonoma</t>
  </si>
  <si>
    <t>WSM</t>
  </si>
  <si>
    <t>22479.39</t>
  </si>
  <si>
    <t>Watsco</t>
  </si>
  <si>
    <t>WSO</t>
  </si>
  <si>
    <t>15976.77</t>
  </si>
  <si>
    <t>WSO.B</t>
  </si>
  <si>
    <t>17004.12</t>
  </si>
  <si>
    <t>WSP Global Inc.</t>
  </si>
  <si>
    <t>WSPOF</t>
  </si>
  <si>
    <t>22637.73</t>
  </si>
  <si>
    <t>West Pharmaceutical Services</t>
  </si>
  <si>
    <t>WST</t>
  </si>
  <si>
    <t>17865.65</t>
  </si>
  <si>
    <t>72.02</t>
  </si>
  <si>
    <t>WisdomTree</t>
  </si>
  <si>
    <t>WT</t>
  </si>
  <si>
    <t>2349.42</t>
  </si>
  <si>
    <t>141.62</t>
  </si>
  <si>
    <t>Whitbread PLC - Sponsored ADR</t>
  </si>
  <si>
    <t>WTBDY</t>
  </si>
  <si>
    <t>5522.05</t>
  </si>
  <si>
    <t>670.97</t>
  </si>
  <si>
    <t>Wintrust Financial</t>
  </si>
  <si>
    <t>WTFC</t>
  </si>
  <si>
    <t>9229.51</t>
  </si>
  <si>
    <t>Wolters Kluwer</t>
  </si>
  <si>
    <t>WTKWY</t>
  </si>
  <si>
    <t>18733.83</t>
  </si>
  <si>
    <t>232.52</t>
  </si>
  <si>
    <t>White Mountains Insurance Group</t>
  </si>
  <si>
    <t>WTM</t>
  </si>
  <si>
    <t>5300.84</t>
  </si>
  <si>
    <t>Essential Utilities</t>
  </si>
  <si>
    <t>WTRG</t>
  </si>
  <si>
    <t>11565.36</t>
  </si>
  <si>
    <t>283.12</t>
  </si>
  <si>
    <t>Watts Water Technologies</t>
  </si>
  <si>
    <t>WTS</t>
  </si>
  <si>
    <t>10294.04</t>
  </si>
  <si>
    <t>33.34</t>
  </si>
  <si>
    <t>Select Water Solutions</t>
  </si>
  <si>
    <t>WTTR</t>
  </si>
  <si>
    <t>1689.35</t>
  </si>
  <si>
    <t>121.36</t>
  </si>
  <si>
    <t>Willis Towers Watson</t>
  </si>
  <si>
    <t>WTW</t>
  </si>
  <si>
    <t>27859.84</t>
  </si>
  <si>
    <t>94.55</t>
  </si>
  <si>
    <t>Western Union</t>
  </si>
  <si>
    <t>WU</t>
  </si>
  <si>
    <t>3043.65</t>
  </si>
  <si>
    <t>313.45</t>
  </si>
  <si>
    <t>TeraWulf</t>
  </si>
  <si>
    <t>WULF</t>
  </si>
  <si>
    <t>5873.34</t>
  </si>
  <si>
    <t>424.07</t>
  </si>
  <si>
    <t>WAVE Life Sciences</t>
  </si>
  <si>
    <t>WVE</t>
  </si>
  <si>
    <t>2501.91</t>
  </si>
  <si>
    <t>188.26</t>
  </si>
  <si>
    <t>Woodward</t>
  </si>
  <si>
    <t>WWD</t>
  </si>
  <si>
    <t>22925.88</t>
  </si>
  <si>
    <t>Want Want China</t>
  </si>
  <si>
    <t>WWNTY</t>
  </si>
  <si>
    <t>7067.68</t>
  </si>
  <si>
    <t>236.06</t>
  </si>
  <si>
    <t>Wolverine World Wide</t>
  </si>
  <si>
    <t>WWW</t>
  </si>
  <si>
    <t>1358.78</t>
  </si>
  <si>
    <t>Weyerhaeuser</t>
  </si>
  <si>
    <t>WY</t>
  </si>
  <si>
    <t>17620.26</t>
  </si>
  <si>
    <t>720.66</t>
  </si>
  <si>
    <t>Worley Limited</t>
  </si>
  <si>
    <t>WYGPY</t>
  </si>
  <si>
    <t>3871.95</t>
  </si>
  <si>
    <t>506.14</t>
  </si>
  <si>
    <t>Wynn Macau</t>
  </si>
  <si>
    <t xml:space="preserve"> Limited - Unsponsored ADR</t>
  </si>
  <si>
    <t>WYNMY</t>
  </si>
  <si>
    <t>3806.95</t>
  </si>
  <si>
    <t>Wynn Resorts</t>
  </si>
  <si>
    <t>WYNN</t>
  </si>
  <si>
    <t>10591.01</t>
  </si>
  <si>
    <t>104.28</t>
  </si>
  <si>
    <t>State Street SPDR S&amp;P Biotech ETF</t>
  </si>
  <si>
    <t>XBI</t>
  </si>
  <si>
    <t>8199.24</t>
  </si>
  <si>
    <t>64.5</t>
  </si>
  <si>
    <t>Xcel Energy</t>
  </si>
  <si>
    <t>XEL</t>
  </si>
  <si>
    <t>51220.28</t>
  </si>
  <si>
    <t>623.88</t>
  </si>
  <si>
    <t>Xenon Pharmaceuticals</t>
  </si>
  <si>
    <t>XENE</t>
  </si>
  <si>
    <t>5221.02</t>
  </si>
  <si>
    <t>Xenia Hotels &amp; Resorts</t>
  </si>
  <si>
    <t>XHR</t>
  </si>
  <si>
    <t>1379.54</t>
  </si>
  <si>
    <t>92.15</t>
  </si>
  <si>
    <t>Xiaomi Corporation - Unsponsored ADR</t>
  </si>
  <si>
    <t>XIACY</t>
  </si>
  <si>
    <t>93803.81</t>
  </si>
  <si>
    <t>4326.74</t>
  </si>
  <si>
    <t>State Street Materials Select Sector SPDR ETF</t>
  </si>
  <si>
    <t>XLB</t>
  </si>
  <si>
    <t>6808.51</t>
  </si>
  <si>
    <t>136.2</t>
  </si>
  <si>
    <t>State Street Financial Select Sector SPDR ETF</t>
  </si>
  <si>
    <t>XLF</t>
  </si>
  <si>
    <t>47883.73</t>
  </si>
  <si>
    <t>951.4</t>
  </si>
  <si>
    <t>State Street Utilities Select Sector SPDR ETF</t>
  </si>
  <si>
    <t>XLU</t>
  </si>
  <si>
    <t>24549.32</t>
  </si>
  <si>
    <t>State Street Consumer Discretionary Select Sector SPDR ETF</t>
  </si>
  <si>
    <t>XLY</t>
  </si>
  <si>
    <t>22678.11</t>
  </si>
  <si>
    <t>197.91</t>
  </si>
  <si>
    <t>State Street SPDR S&amp;P Metals &amp; Mining ETF</t>
  </si>
  <si>
    <t>XME</t>
  </si>
  <si>
    <t>4285.94</t>
  </si>
  <si>
    <t>38.25</t>
  </si>
  <si>
    <t>Xometry</t>
  </si>
  <si>
    <t>XMTR</t>
  </si>
  <si>
    <t>2270.95</t>
  </si>
  <si>
    <t>51.82</t>
  </si>
  <si>
    <t>ENN Energy</t>
  </si>
  <si>
    <t>XNGSY</t>
  </si>
  <si>
    <t>9946.04</t>
  </si>
  <si>
    <t>282.96</t>
  </si>
  <si>
    <t>Exxon Mobil</t>
  </si>
  <si>
    <t>XOM</t>
  </si>
  <si>
    <t>626847.94</t>
  </si>
  <si>
    <t>4166.76</t>
  </si>
  <si>
    <t>XP</t>
  </si>
  <si>
    <t>10495.88</t>
  </si>
  <si>
    <t>537.42</t>
  </si>
  <si>
    <t>XPEL</t>
  </si>
  <si>
    <t>1100.58</t>
  </si>
  <si>
    <t>XPeng</t>
  </si>
  <si>
    <t>XPEV</t>
  </si>
  <si>
    <t>17510.09</t>
  </si>
  <si>
    <t>949.06</t>
  </si>
  <si>
    <t>XPO</t>
  </si>
  <si>
    <t>22764.08</t>
  </si>
  <si>
    <t>Expro Group Holdings</t>
  </si>
  <si>
    <t>XPRO</t>
  </si>
  <si>
    <t>1932.88</t>
  </si>
  <si>
    <t>Dentsply Sirona</t>
  </si>
  <si>
    <t>XRAY</t>
  </si>
  <si>
    <t>2556.79</t>
  </si>
  <si>
    <t>199.75</t>
  </si>
  <si>
    <t>Xtep International</t>
  </si>
  <si>
    <t>XTEPY</t>
  </si>
  <si>
    <t>1945.31</t>
  </si>
  <si>
    <t>Twenty One Capital</t>
  </si>
  <si>
    <t>XXI</t>
  </si>
  <si>
    <t>4409.92</t>
  </si>
  <si>
    <t>651.39</t>
  </si>
  <si>
    <t>Xinyi Glass</t>
  </si>
  <si>
    <t>XYIGF</t>
  </si>
  <si>
    <t>6857.37</t>
  </si>
  <si>
    <t>4424.11</t>
  </si>
  <si>
    <t>Xylem</t>
  </si>
  <si>
    <t>XYL</t>
  </si>
  <si>
    <t>30032.83</t>
  </si>
  <si>
    <t>243.14</t>
  </si>
  <si>
    <t>Block</t>
  </si>
  <si>
    <t>XYZ</t>
  </si>
  <si>
    <t>39826.37</t>
  </si>
  <si>
    <t>607.66</t>
  </si>
  <si>
    <t>Exzeo Group</t>
  </si>
  <si>
    <t>XZO</t>
  </si>
  <si>
    <t>1381.89</t>
  </si>
  <si>
    <t>LY CORPORATION</t>
  </si>
  <si>
    <t>YAHOY</t>
  </si>
  <si>
    <t>17380.58</t>
  </si>
  <si>
    <t>3441.7</t>
  </si>
  <si>
    <t>Yalla Group Limited</t>
  </si>
  <si>
    <t>YALA</t>
  </si>
  <si>
    <t>1123.88</t>
  </si>
  <si>
    <t>158.07</t>
  </si>
  <si>
    <t>Yara International ASA</t>
  </si>
  <si>
    <t>YARIY</t>
  </si>
  <si>
    <t>13266.11</t>
  </si>
  <si>
    <t>509.45</t>
  </si>
  <si>
    <t>Yaskawa Electric</t>
  </si>
  <si>
    <t>YASKY</t>
  </si>
  <si>
    <t>7276.53</t>
  </si>
  <si>
    <t>129.67</t>
  </si>
  <si>
    <t>Yelp</t>
  </si>
  <si>
    <t>YELP</t>
  </si>
  <si>
    <t>1489.34</t>
  </si>
  <si>
    <t>61.49</t>
  </si>
  <si>
    <t>YETI</t>
  </si>
  <si>
    <t>3040.09</t>
  </si>
  <si>
    <t>75.27</t>
  </si>
  <si>
    <t>Yamaha Motor Co.</t>
  </si>
  <si>
    <t>YMHAY</t>
  </si>
  <si>
    <t>7274.5</t>
  </si>
  <si>
    <t>509.06</t>
  </si>
  <si>
    <t>Full Truck Alliance</t>
  </si>
  <si>
    <t>YMM</t>
  </si>
  <si>
    <t>9507.18</t>
  </si>
  <si>
    <t>1045.89</t>
  </si>
  <si>
    <t>CLEAR Secure</t>
  </si>
  <si>
    <t>YOU</t>
  </si>
  <si>
    <t>6163.46</t>
  </si>
  <si>
    <t>133.32</t>
  </si>
  <si>
    <t>YPF Sociedad Anonima</t>
  </si>
  <si>
    <t>YPF</t>
  </si>
  <si>
    <t>14466.04</t>
  </si>
  <si>
    <t>393.31</t>
  </si>
  <si>
    <t>York Space Systems Inc.</t>
  </si>
  <si>
    <t>YSS</t>
  </si>
  <si>
    <t>2748.35</t>
  </si>
  <si>
    <t>Yue Yuen Industrial</t>
  </si>
  <si>
    <t>YUEIY</t>
  </si>
  <si>
    <t>3757.07</t>
  </si>
  <si>
    <t>320.91</t>
  </si>
  <si>
    <t>Yum Brands</t>
  </si>
  <si>
    <t>YUM</t>
  </si>
  <si>
    <t>44187.36</t>
  </si>
  <si>
    <t>276.43</t>
  </si>
  <si>
    <t>Yum China</t>
  </si>
  <si>
    <t>YUMC</t>
  </si>
  <si>
    <t>18848.29</t>
  </si>
  <si>
    <t>353.1</t>
  </si>
  <si>
    <t>Yankuang Energy Group Company Limited Sponsored ADR</t>
  </si>
  <si>
    <t>YZCAY</t>
  </si>
  <si>
    <t>18520.31</t>
  </si>
  <si>
    <t>967.12</t>
  </si>
  <si>
    <t>Zillow Group Class C</t>
  </si>
  <si>
    <t>Z</t>
  </si>
  <si>
    <t>10856.75</t>
  </si>
  <si>
    <t>239.93</t>
  </si>
  <si>
    <t>Zimmer Biomet</t>
  </si>
  <si>
    <t>ZBH</t>
  </si>
  <si>
    <t>18250.42</t>
  </si>
  <si>
    <t>195.65</t>
  </si>
  <si>
    <t>Zenas BioPharma</t>
  </si>
  <si>
    <t>ZBIO</t>
  </si>
  <si>
    <t>1403.17</t>
  </si>
  <si>
    <t>53.68</t>
  </si>
  <si>
    <t>Zebra Technologies</t>
  </si>
  <si>
    <t>ZBRA</t>
  </si>
  <si>
    <t>10516.2</t>
  </si>
  <si>
    <t>49.19</t>
  </si>
  <si>
    <t>Ziff Davis</t>
  </si>
  <si>
    <t>ZD</t>
  </si>
  <si>
    <t>1515.21</t>
  </si>
  <si>
    <t>Zeta Global</t>
  </si>
  <si>
    <t>ZETA</t>
  </si>
  <si>
    <t>4657.88</t>
  </si>
  <si>
    <t>244.12</t>
  </si>
  <si>
    <t>Zillow Group Class A</t>
  </si>
  <si>
    <t>ZG</t>
  </si>
  <si>
    <t>10830.36</t>
  </si>
  <si>
    <t>Ermenegildo Zegna</t>
  </si>
  <si>
    <t>ZGN</t>
  </si>
  <si>
    <t>4241.92</t>
  </si>
  <si>
    <t>407.48</t>
  </si>
  <si>
    <t>ZIM Integrated Shipping Services</t>
  </si>
  <si>
    <t>ZIM</t>
  </si>
  <si>
    <t>3506.52</t>
  </si>
  <si>
    <t>Zions Bancorporation</t>
  </si>
  <si>
    <t>ZION</t>
  </si>
  <si>
    <t>8249.24</t>
  </si>
  <si>
    <t>147.89</t>
  </si>
  <si>
    <t>Zai Lab Limited</t>
  </si>
  <si>
    <t>ZLAB</t>
  </si>
  <si>
    <t>2156.98</t>
  </si>
  <si>
    <t>Zealand Pharma AS</t>
  </si>
  <si>
    <t>ZLDPF</t>
  </si>
  <si>
    <t>2805.45</t>
  </si>
  <si>
    <t>71.02</t>
  </si>
  <si>
    <t>Zalando</t>
  </si>
  <si>
    <t>ZLNDY</t>
  </si>
  <si>
    <t>6213.56</t>
  </si>
  <si>
    <t>528.36</t>
  </si>
  <si>
    <t>Zoom Communications</t>
  </si>
  <si>
    <t>ZM</t>
  </si>
  <si>
    <t>22817.54</t>
  </si>
  <si>
    <t>296.1</t>
  </si>
  <si>
    <t>Zscaler</t>
  </si>
  <si>
    <t>ZS</t>
  </si>
  <si>
    <t>26147.79</t>
  </si>
  <si>
    <t>160.79</t>
  </si>
  <si>
    <t>ZTO Express Cayman</t>
  </si>
  <si>
    <t>ZTO</t>
  </si>
  <si>
    <t>13562.74</t>
  </si>
  <si>
    <t>589.43</t>
  </si>
  <si>
    <t>Zoetis</t>
  </si>
  <si>
    <t>ZTS</t>
  </si>
  <si>
    <t>51651.55</t>
  </si>
  <si>
    <t>422.13</t>
  </si>
  <si>
    <t>Zurich Insurance Group</t>
  </si>
  <si>
    <t>ZURVY</t>
  </si>
  <si>
    <t>100956.2</t>
  </si>
  <si>
    <t>2927.11</t>
  </si>
  <si>
    <t>Zurn Elkay Water Solutions Cor</t>
  </si>
  <si>
    <t>ZWS</t>
  </si>
  <si>
    <t>7887.88</t>
  </si>
  <si>
    <t>Zymeworks</t>
  </si>
  <si>
    <t>ZYME</t>
  </si>
  <si>
    <t>1788.43</t>
  </si>
  <si>
    <t>10</t>
  </si>
  <si>
    <t>12</t>
  </si>
  <si>
    <t>202512</t>
  </si>
  <si>
    <t>30</t>
  </si>
  <si>
    <t>2211</t>
  </si>
  <si>
    <t>3815335</t>
  </si>
  <si>
    <t>9</t>
  </si>
  <si>
    <t>202509</t>
  </si>
  <si>
    <t>2</t>
  </si>
  <si>
    <t>33</t>
  </si>
  <si>
    <t>0</t>
  </si>
  <si>
    <t>3</t>
  </si>
  <si>
    <t>4.36</t>
  </si>
  <si>
    <t>8.5</t>
  </si>
  <si>
    <t>1</t>
  </si>
  <si>
    <t>-4</t>
  </si>
  <si>
    <t>28.06</t>
  </si>
  <si>
    <t>7</t>
  </si>
  <si>
    <t>8</t>
  </si>
  <si>
    <t>85</t>
  </si>
  <si>
    <t>11</t>
  </si>
  <si>
    <t>6.81</t>
  </si>
  <si>
    <t>14</t>
  </si>
  <si>
    <t>6</t>
  </si>
  <si>
    <t>520</t>
  </si>
  <si>
    <t>211</t>
  </si>
  <si>
    <t>22.9</t>
  </si>
  <si>
    <t>13.5</t>
  </si>
  <si>
    <t>1.44</t>
  </si>
  <si>
    <t>5</t>
  </si>
  <si>
    <t>23.05</t>
  </si>
  <si>
    <t>10.86</t>
  </si>
  <si>
    <t>28.11</t>
  </si>
  <si>
    <t>202503</t>
  </si>
  <si>
    <t>4</t>
  </si>
  <si>
    <t>202504</t>
  </si>
  <si>
    <t>28.7</t>
  </si>
  <si>
    <t>39</t>
  </si>
  <si>
    <t>19</t>
  </si>
  <si>
    <t>18</t>
  </si>
  <si>
    <t>12.12</t>
  </si>
  <si>
    <t>10.45</t>
  </si>
  <si>
    <t>154374</t>
  </si>
  <si>
    <t>-10</t>
  </si>
  <si>
    <t>-14</t>
  </si>
  <si>
    <t>53903</t>
  </si>
  <si>
    <t>19.7</t>
  </si>
  <si>
    <t>175</t>
  </si>
  <si>
    <t>2.79</t>
  </si>
  <si>
    <t>5.11</t>
  </si>
  <si>
    <t>48</t>
  </si>
  <si>
    <t>12.79</t>
  </si>
  <si>
    <t>3015</t>
  </si>
  <si>
    <t>254</t>
  </si>
  <si>
    <t>18.2</t>
  </si>
  <si>
    <t>-6</t>
  </si>
  <si>
    <t>27</t>
  </si>
  <si>
    <t>-28</t>
  </si>
  <si>
    <t>42</t>
  </si>
  <si>
    <t>-16</t>
  </si>
  <si>
    <t>22.3</t>
  </si>
  <si>
    <t>22.09</t>
  </si>
  <si>
    <t>31.8</t>
  </si>
  <si>
    <t>28</t>
  </si>
  <si>
    <t>7.18</t>
  </si>
  <si>
    <t>21</t>
  </si>
  <si>
    <t>73</t>
  </si>
  <si>
    <t>2.28</t>
  </si>
  <si>
    <t>15.12</t>
  </si>
  <si>
    <t>34</t>
  </si>
  <si>
    <t>12.99</t>
  </si>
  <si>
    <t>25.11</t>
  </si>
  <si>
    <t>-18</t>
  </si>
  <si>
    <t>115290</t>
  </si>
  <si>
    <t>732</t>
  </si>
  <si>
    <t>12.14</t>
  </si>
  <si>
    <t>12.91</t>
  </si>
  <si>
    <t>83</t>
  </si>
  <si>
    <t>75</t>
  </si>
  <si>
    <t>2378</t>
  </si>
  <si>
    <t>28.02</t>
  </si>
  <si>
    <t>12.78</t>
  </si>
  <si>
    <t>225</t>
  </si>
  <si>
    <t>9820</t>
  </si>
  <si>
    <t>58</t>
  </si>
  <si>
    <t>3930</t>
  </si>
  <si>
    <t>13560</t>
  </si>
  <si>
    <t>2000</t>
  </si>
  <si>
    <t>2.47</t>
  </si>
  <si>
    <t>84</t>
  </si>
  <si>
    <t>7.1</t>
  </si>
  <si>
    <t>15.4</t>
  </si>
  <si>
    <t>16</t>
  </si>
  <si>
    <t>25</t>
  </si>
  <si>
    <t>115</t>
  </si>
  <si>
    <t>12.58</t>
  </si>
  <si>
    <t>12.66</t>
  </si>
  <si>
    <t>26.3</t>
  </si>
  <si>
    <t>11.2</t>
  </si>
  <si>
    <t>10.75</t>
  </si>
  <si>
    <t>2538</t>
  </si>
  <si>
    <t>-9</t>
  </si>
  <si>
    <t>356</t>
  </si>
  <si>
    <t>51</t>
  </si>
  <si>
    <t>4557</t>
  </si>
  <si>
    <t>5000</t>
  </si>
  <si>
    <t>35</t>
  </si>
  <si>
    <t>7.15</t>
  </si>
  <si>
    <t>-21</t>
  </si>
  <si>
    <t>135</t>
  </si>
  <si>
    <t>152</t>
  </si>
  <si>
    <t>-3</t>
  </si>
  <si>
    <t>11.93</t>
  </si>
  <si>
    <t>809350</t>
  </si>
  <si>
    <t>692600</t>
  </si>
  <si>
    <t>745200</t>
  </si>
  <si>
    <t>1072627</t>
  </si>
  <si>
    <t>23.2</t>
  </si>
  <si>
    <t>15.05</t>
  </si>
  <si>
    <t>25.9</t>
  </si>
  <si>
    <t>-8</t>
  </si>
  <si>
    <t>7.71</t>
  </si>
  <si>
    <t>54</t>
  </si>
  <si>
    <t>-2</t>
  </si>
  <si>
    <t>775</t>
  </si>
  <si>
    <t>9.4</t>
  </si>
  <si>
    <t>1239</t>
  </si>
  <si>
    <t>6.57</t>
  </si>
  <si>
    <t>29.05</t>
  </si>
  <si>
    <t>44</t>
  </si>
  <si>
    <t>-1</t>
  </si>
  <si>
    <t>41</t>
  </si>
  <si>
    <t>55</t>
  </si>
  <si>
    <t>415</t>
  </si>
  <si>
    <t>31.05</t>
  </si>
  <si>
    <t>4.9</t>
  </si>
  <si>
    <t>93</t>
  </si>
  <si>
    <t>11.94</t>
  </si>
  <si>
    <t>11.84</t>
  </si>
  <si>
    <t>-12</t>
  </si>
  <si>
    <t>1659</t>
  </si>
  <si>
    <t>25.2</t>
  </si>
  <si>
    <t>-7</t>
  </si>
  <si>
    <t>850</t>
  </si>
  <si>
    <t>255</t>
  </si>
  <si>
    <t>116</t>
  </si>
  <si>
    <t>16.12</t>
  </si>
  <si>
    <t>923</t>
  </si>
  <si>
    <t>46</t>
  </si>
  <si>
    <t>28.5</t>
  </si>
  <si>
    <t>75498</t>
  </si>
  <si>
    <t>3.58</t>
  </si>
  <si>
    <t>7.76</t>
  </si>
  <si>
    <t>7786</t>
  </si>
  <si>
    <t>13</t>
  </si>
  <si>
    <t>384</t>
  </si>
  <si>
    <t>-15</t>
  </si>
  <si>
    <t>82</t>
  </si>
  <si>
    <t>24.07</t>
  </si>
  <si>
    <t>87</t>
  </si>
  <si>
    <t>78</t>
  </si>
  <si>
    <t>280</t>
  </si>
  <si>
    <t>63</t>
  </si>
  <si>
    <t>17</t>
  </si>
  <si>
    <t>50</t>
  </si>
  <si>
    <t>89</t>
  </si>
  <si>
    <t>92</t>
  </si>
  <si>
    <t>-46</t>
  </si>
  <si>
    <t>620</t>
  </si>
  <si>
    <t>23</t>
  </si>
  <si>
    <t>448</t>
  </si>
  <si>
    <t>28.2</t>
  </si>
  <si>
    <t>738</t>
  </si>
  <si>
    <t>6.55</t>
  </si>
  <si>
    <t>4169</t>
  </si>
  <si>
    <t>758</t>
  </si>
  <si>
    <t>562</t>
  </si>
  <si>
    <t>40</t>
  </si>
  <si>
    <t>25.01</t>
  </si>
  <si>
    <t>3371</t>
  </si>
  <si>
    <t>107</t>
  </si>
  <si>
    <t>18935</t>
  </si>
  <si>
    <t>31</t>
  </si>
  <si>
    <t>16917</t>
  </si>
  <si>
    <t>149</t>
  </si>
  <si>
    <t>22.05</t>
  </si>
  <si>
    <t>15</t>
  </si>
  <si>
    <t>122</t>
  </si>
  <si>
    <t>17.12</t>
  </si>
  <si>
    <t>17000</t>
  </si>
  <si>
    <t>11800</t>
  </si>
  <si>
    <t>1534</t>
  </si>
  <si>
    <t>5474</t>
  </si>
  <si>
    <t>8370</t>
  </si>
  <si>
    <t>314</t>
  </si>
  <si>
    <t>29</t>
  </si>
  <si>
    <t>1328</t>
  </si>
  <si>
    <t>1645</t>
  </si>
  <si>
    <t>56</t>
  </si>
  <si>
    <t>524</t>
  </si>
  <si>
    <t>96</t>
  </si>
  <si>
    <t>70</t>
  </si>
  <si>
    <t>7785</t>
  </si>
  <si>
    <t>352</t>
  </si>
  <si>
    <t>290</t>
  </si>
  <si>
    <t>4685</t>
  </si>
  <si>
    <t>25.3</t>
  </si>
  <si>
    <t>3701803</t>
  </si>
  <si>
    <t>12097</t>
  </si>
  <si>
    <t>26</t>
  </si>
  <si>
    <t>4027</t>
  </si>
  <si>
    <t>36</t>
  </si>
  <si>
    <t>-17</t>
  </si>
  <si>
    <t>59</t>
  </si>
  <si>
    <t>43</t>
  </si>
  <si>
    <t>125</t>
  </si>
  <si>
    <t>3409</t>
  </si>
  <si>
    <t>140</t>
  </si>
  <si>
    <t>312</t>
  </si>
  <si>
    <t>45</t>
  </si>
  <si>
    <t>20.9</t>
  </si>
  <si>
    <t>25.07</t>
  </si>
  <si>
    <t>4995</t>
  </si>
  <si>
    <t>577</t>
  </si>
  <si>
    <t>15385</t>
  </si>
  <si>
    <t>137</t>
  </si>
  <si>
    <t>14.8</t>
  </si>
  <si>
    <t>86</t>
  </si>
  <si>
    <t>31.01</t>
  </si>
  <si>
    <t>278</t>
  </si>
  <si>
    <t>27.6</t>
  </si>
  <si>
    <t>-38</t>
  </si>
  <si>
    <t>19.01</t>
  </si>
  <si>
    <t>24</t>
  </si>
  <si>
    <t>11.79</t>
  </si>
  <si>
    <t>38247</t>
  </si>
  <si>
    <t>26753</t>
  </si>
  <si>
    <t>156</t>
  </si>
  <si>
    <t>89496</t>
  </si>
  <si>
    <t>-23</t>
  </si>
  <si>
    <t>61</t>
  </si>
  <si>
    <t>24.2</t>
  </si>
  <si>
    <t>436</t>
  </si>
  <si>
    <t>71</t>
  </si>
  <si>
    <t>-20</t>
  </si>
  <si>
    <t>4050</t>
  </si>
  <si>
    <t>1000</t>
  </si>
  <si>
    <t>399</t>
  </si>
  <si>
    <t>263678</t>
  </si>
  <si>
    <t>745</t>
  </si>
  <si>
    <t>461709</t>
  </si>
  <si>
    <t>168</t>
  </si>
  <si>
    <t>4670</t>
  </si>
  <si>
    <t>65</t>
  </si>
  <si>
    <t>178</t>
  </si>
  <si>
    <t>790</t>
  </si>
  <si>
    <t>191</t>
  </si>
  <si>
    <t>-5</t>
  </si>
  <si>
    <t>37929</t>
  </si>
  <si>
    <t>10687</t>
  </si>
  <si>
    <t>1062</t>
  </si>
  <si>
    <t>166</t>
  </si>
  <si>
    <t>22</t>
  </si>
  <si>
    <t>3040127</t>
  </si>
  <si>
    <t>398</t>
  </si>
  <si>
    <t>984</t>
  </si>
  <si>
    <t>2110</t>
  </si>
  <si>
    <t>-13</t>
  </si>
  <si>
    <t>8827</t>
  </si>
  <si>
    <t>1046</t>
  </si>
  <si>
    <t>-32</t>
  </si>
  <si>
    <t>1857</t>
  </si>
  <si>
    <t>266979</t>
  </si>
  <si>
    <t>4438395</t>
  </si>
  <si>
    <t>24300</t>
  </si>
  <si>
    <t>4465</t>
  </si>
  <si>
    <t>8543</t>
  </si>
  <si>
    <t>6700</t>
  </si>
  <si>
    <t>37</t>
  </si>
  <si>
    <t>2242</t>
  </si>
  <si>
    <t>9886</t>
  </si>
  <si>
    <t>-36</t>
  </si>
  <si>
    <t>1351</t>
  </si>
  <si>
    <t>816</t>
  </si>
  <si>
    <t>49</t>
  </si>
  <si>
    <t>-34</t>
  </si>
  <si>
    <t>2324</t>
  </si>
  <si>
    <t>1400</t>
  </si>
  <si>
    <t>23.08</t>
  </si>
  <si>
    <t>27580</t>
  </si>
  <si>
    <t>2163</t>
  </si>
  <si>
    <t>18.07</t>
  </si>
  <si>
    <t>348</t>
  </si>
  <si>
    <t>163</t>
  </si>
  <si>
    <t>119</t>
  </si>
  <si>
    <t>148</t>
  </si>
  <si>
    <t>-24</t>
  </si>
  <si>
    <t>1067</t>
  </si>
  <si>
    <t>207</t>
  </si>
  <si>
    <t>468</t>
  </si>
  <si>
    <t>20</t>
  </si>
  <si>
    <t>440</t>
  </si>
  <si>
    <t>57</t>
  </si>
  <si>
    <t>4084</t>
  </si>
  <si>
    <t>1600</t>
  </si>
  <si>
    <t>106</t>
  </si>
  <si>
    <t>-11</t>
  </si>
  <si>
    <t>1398</t>
  </si>
  <si>
    <t>38</t>
  </si>
  <si>
    <t>2439</t>
  </si>
  <si>
    <t>203</t>
  </si>
  <si>
    <t>1240</t>
  </si>
  <si>
    <t>2037</t>
  </si>
  <si>
    <t>68</t>
  </si>
  <si>
    <t>67</t>
  </si>
  <si>
    <t>81</t>
  </si>
  <si>
    <t>249</t>
  </si>
  <si>
    <t>670</t>
  </si>
  <si>
    <t>12076</t>
  </si>
  <si>
    <t>880</t>
  </si>
  <si>
    <t>1934</t>
  </si>
  <si>
    <t>5413</t>
  </si>
  <si>
    <t>94</t>
  </si>
  <si>
    <t>5180</t>
  </si>
  <si>
    <t>21593</t>
  </si>
  <si>
    <t>9671</t>
  </si>
  <si>
    <t>113</t>
  </si>
  <si>
    <t>1124</t>
  </si>
  <si>
    <t>192</t>
  </si>
  <si>
    <t>215</t>
  </si>
  <si>
    <t>2181</t>
  </si>
  <si>
    <t>1020</t>
  </si>
  <si>
    <t>19854</t>
  </si>
  <si>
    <t>300</t>
  </si>
  <si>
    <t>69</t>
  </si>
  <si>
    <t>143</t>
  </si>
  <si>
    <t>142</t>
  </si>
  <si>
    <t>247</t>
  </si>
  <si>
    <t>263</t>
  </si>
  <si>
    <t>1010</t>
  </si>
  <si>
    <t>1730</t>
  </si>
  <si>
    <t>s/o</t>
  </si>
  <si>
    <t>Price</t>
  </si>
  <si>
    <t>EPS0</t>
  </si>
  <si>
    <t>EPS1</t>
  </si>
  <si>
    <t>EPS2</t>
  </si>
  <si>
    <t>RG1</t>
  </si>
  <si>
    <t>PE1</t>
  </si>
  <si>
    <t>PE2</t>
  </si>
  <si>
    <t>EG1</t>
  </si>
  <si>
    <t>EG2</t>
  </si>
  <si>
    <t>PEG1</t>
  </si>
  <si>
    <t>PEG2</t>
  </si>
  <si>
    <t>01,09,2015</t>
  </si>
  <si>
    <t>06,01,2026</t>
  </si>
  <si>
    <t>01,08,1951</t>
  </si>
  <si>
    <t>01,10,1952</t>
  </si>
  <si>
    <t>01,08,1934</t>
  </si>
  <si>
    <t>01,02,2019</t>
  </si>
  <si>
    <t>01,09,1974</t>
  </si>
  <si>
    <t>01,07,1944</t>
  </si>
  <si>
    <t>01,04,1976</t>
  </si>
  <si>
    <t>01,09,1931</t>
  </si>
  <si>
    <t>01,04,1952</t>
  </si>
  <si>
    <t>01,09,1958</t>
  </si>
  <si>
    <t>13,01,2026</t>
  </si>
  <si>
    <t>01,01,1946</t>
  </si>
  <si>
    <t>12,08,2026</t>
  </si>
  <si>
    <t>01,12,1949</t>
  </si>
  <si>
    <t>10,06,2026</t>
  </si>
  <si>
    <t>01,12,2017</t>
  </si>
  <si>
    <t>01,02,1995</t>
  </si>
  <si>
    <t>01,04,1941</t>
  </si>
  <si>
    <t>01,06,1991</t>
  </si>
  <si>
    <t>01,02,1949</t>
  </si>
  <si>
    <t>01,12,1983</t>
  </si>
  <si>
    <t>01,01,1954</t>
  </si>
  <si>
    <t>01,01,2027</t>
  </si>
  <si>
    <t>01,01,1973</t>
  </si>
  <si>
    <t>01,06,1955</t>
  </si>
  <si>
    <t>01,01,1976</t>
  </si>
  <si>
    <t>01,08,2016</t>
  </si>
  <si>
    <t>01,05,1982</t>
  </si>
  <si>
    <t>06,02,2026</t>
  </si>
  <si>
    <t>01,09,1967</t>
  </si>
  <si>
    <t>01,07,2015</t>
  </si>
  <si>
    <t>01,07,1967</t>
  </si>
  <si>
    <t>01,03,1932</t>
  </si>
  <si>
    <t>01,03,1967</t>
  </si>
  <si>
    <t>01,05,1972</t>
  </si>
  <si>
    <t>01,09,2019</t>
  </si>
  <si>
    <t>01,06,1934</t>
  </si>
  <si>
    <t>01,09,1986</t>
  </si>
  <si>
    <t>01,08,1967</t>
  </si>
  <si>
    <t>01,08,1937</t>
  </si>
  <si>
    <t>01,03,1965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</si>
</sst>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2" fontId="0" fillId="0" borderId="0" xfId="0" applyNumberFormat="1"/>
    <xf numFmtId="49" fontId="0" fillId="33" borderId="0" xfId="0" applyNumberFormat="1" applyFill="1"/>
    <xf numFmtId="2" fontId="0" fillId="33" borderId="0" xfId="0" applyNumberFormat="1" applyFill="1"/>
    <xf numFmtId="10" fontId="0" fillId="33" borderId="0" xfId="1" applyNumberFormat="1" applyFont="1" applyFill="1"/>
    <xf numFmtId="0" fontId="0" fillId="33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3B7D-07D3-4F2A-9767-1B9CE7570870}">
  <dimension ref="A1:Z3157"/>
  <sheetViews>
    <sheetView tabSelected="1" workbookViewId="0">
      <selection activeCell="Q3" sqref="Q3"/>
    </sheetView>
  </sheetViews>
  <sheetFormatPr defaultRowHeight="15" x14ac:dyDescent="0.25"/>
  <cols>
    <col min="1" max="1" width="16.85546875" customWidth="1"/>
    <col min="13" max="14" width="9.5703125" style="6" bestFit="1" customWidth="1"/>
    <col min="15" max="16" width="9.140625" style="6"/>
    <col min="17" max="18" width="9.5703125" style="6" bestFit="1" customWidth="1"/>
    <col min="19" max="19" width="9.140625" style="6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7283</v>
      </c>
      <c r="G1" s="1" t="s">
        <v>5</v>
      </c>
      <c r="H1" s="1" t="s">
        <v>12820</v>
      </c>
      <c r="I1" s="1" t="s">
        <v>12821</v>
      </c>
      <c r="J1" s="1" t="s">
        <v>12822</v>
      </c>
      <c r="K1" s="1" t="s">
        <v>12823</v>
      </c>
      <c r="L1" s="1" t="s">
        <v>12824</v>
      </c>
      <c r="M1" s="3" t="s">
        <v>12826</v>
      </c>
      <c r="N1" s="3" t="s">
        <v>12827</v>
      </c>
      <c r="O1" s="3" t="s">
        <v>12828</v>
      </c>
      <c r="P1" s="3" t="s">
        <v>12829</v>
      </c>
      <c r="Q1" s="3" t="s">
        <v>12830</v>
      </c>
      <c r="R1" s="3" t="s">
        <v>12831</v>
      </c>
      <c r="S1" s="3" t="s">
        <v>12825</v>
      </c>
      <c r="T1" s="1" t="s">
        <v>8</v>
      </c>
      <c r="U1" s="1" t="s">
        <v>6</v>
      </c>
      <c r="V1" s="1" t="s">
        <v>7</v>
      </c>
      <c r="W1" s="1" t="s">
        <v>9</v>
      </c>
      <c r="X1" s="1" t="s">
        <v>10</v>
      </c>
      <c r="Y1" s="1" t="s">
        <v>11</v>
      </c>
      <c r="Z1" s="1" t="s">
        <v>12</v>
      </c>
    </row>
    <row r="2" spans="1:26" x14ac:dyDescent="0.25">
      <c r="A2" s="1" t="s">
        <v>13</v>
      </c>
      <c r="B2" s="1" t="s">
        <v>14</v>
      </c>
      <c r="C2" s="1" t="s">
        <v>16</v>
      </c>
      <c r="D2" s="1" t="s">
        <v>18</v>
      </c>
      <c r="E2" s="1" t="s">
        <v>19</v>
      </c>
      <c r="F2" s="1" t="s">
        <v>15</v>
      </c>
      <c r="G2" s="1" t="s">
        <v>12479</v>
      </c>
      <c r="H2" s="1" t="s">
        <v>20</v>
      </c>
      <c r="I2" s="2">
        <v>116.64</v>
      </c>
      <c r="J2" s="2">
        <v>5.59</v>
      </c>
      <c r="K2" s="2">
        <v>5.95</v>
      </c>
      <c r="L2" s="2">
        <v>6.54</v>
      </c>
      <c r="M2" s="4">
        <f>I2/K2</f>
        <v>19.603361344537813</v>
      </c>
      <c r="N2" s="4">
        <f>I2/L2</f>
        <v>17.834862385321102</v>
      </c>
      <c r="O2" s="5">
        <f>K2/J2-1</f>
        <v>6.4400715563506239E-2</v>
      </c>
      <c r="P2" s="5">
        <f>L2/K2-1</f>
        <v>9.9159663865546088E-2</v>
      </c>
      <c r="Q2" s="4">
        <f>M2/(O2*100)</f>
        <v>3.0439663865546227</v>
      </c>
      <c r="R2" s="4">
        <f>N2/(P2*100)</f>
        <v>1.7986005286891646</v>
      </c>
      <c r="S2" s="4">
        <v>6.73</v>
      </c>
      <c r="T2" s="2">
        <v>1.31</v>
      </c>
      <c r="U2" s="2">
        <v>157.19999999999999</v>
      </c>
      <c r="V2" s="2">
        <v>99.29</v>
      </c>
      <c r="W2" s="2">
        <v>-1.29</v>
      </c>
      <c r="X2" s="2">
        <v>-8.52</v>
      </c>
      <c r="Y2" s="2">
        <v>-17.04</v>
      </c>
      <c r="Z2" s="2">
        <v>-14.28</v>
      </c>
    </row>
    <row r="3" spans="1:26" x14ac:dyDescent="0.25">
      <c r="A3" s="1" t="s">
        <v>21</v>
      </c>
      <c r="B3" s="1" t="s">
        <v>22</v>
      </c>
      <c r="C3" s="1" t="s">
        <v>16</v>
      </c>
      <c r="D3" s="1" t="s">
        <v>25</v>
      </c>
      <c r="E3" s="1" t="s">
        <v>26</v>
      </c>
      <c r="F3" s="1" t="s">
        <v>23</v>
      </c>
      <c r="G3" s="1" t="s">
        <v>12480</v>
      </c>
      <c r="H3" s="1" t="s">
        <v>27</v>
      </c>
      <c r="I3" s="2">
        <v>61.16</v>
      </c>
      <c r="J3" s="2">
        <v>3.77</v>
      </c>
      <c r="K3" s="2">
        <v>5.19</v>
      </c>
      <c r="L3" s="2">
        <v>5.51</v>
      </c>
      <c r="M3" s="4">
        <f t="shared" ref="M3:M66" si="0">I3/K3</f>
        <v>11.784200385356453</v>
      </c>
      <c r="N3" s="4">
        <f t="shared" ref="N3:N66" si="1">I3/L3</f>
        <v>11.099818511796734</v>
      </c>
      <c r="O3" s="5">
        <f t="shared" ref="O3:O66" si="2">K3/J3-1</f>
        <v>0.37665782493368716</v>
      </c>
      <c r="P3" s="5">
        <f t="shared" ref="P3:P66" si="3">L3/K3-1</f>
        <v>6.1657032755298546E-2</v>
      </c>
      <c r="Q3" s="4">
        <f t="shared" ref="Q3:Q66" si="4">M3/(O3*100)</f>
        <v>0.31286222149854792</v>
      </c>
      <c r="R3" s="4">
        <f t="shared" ref="R3:R66" si="5">N3/(P3*100)</f>
        <v>1.8002518148820359</v>
      </c>
      <c r="S3" s="4">
        <v>7.87</v>
      </c>
      <c r="T3" s="2">
        <v>1.85</v>
      </c>
      <c r="U3" s="2">
        <v>65.67</v>
      </c>
      <c r="V3" s="2">
        <v>22.57</v>
      </c>
      <c r="W3" s="2">
        <v>-4.5599999999999996</v>
      </c>
      <c r="X3" s="2">
        <v>-1.92</v>
      </c>
      <c r="Y3" s="2">
        <v>34.450000000000003</v>
      </c>
      <c r="Z3" s="2">
        <v>15.09</v>
      </c>
    </row>
    <row r="4" spans="1:26" x14ac:dyDescent="0.25">
      <c r="A4" s="1" t="s">
        <v>28</v>
      </c>
      <c r="B4" s="1" t="s">
        <v>29</v>
      </c>
      <c r="C4" s="1" t="s">
        <v>31</v>
      </c>
      <c r="D4" s="1" t="s">
        <v>32</v>
      </c>
      <c r="E4" s="1" t="s">
        <v>33</v>
      </c>
      <c r="F4" s="1" t="s">
        <v>30</v>
      </c>
      <c r="G4" s="1" t="s">
        <v>12480</v>
      </c>
      <c r="H4" s="1" t="s">
        <v>34</v>
      </c>
      <c r="I4" s="2">
        <v>4.0875000000000004</v>
      </c>
      <c r="J4" s="2">
        <v>0.21</v>
      </c>
      <c r="K4" s="2">
        <v>0.38</v>
      </c>
      <c r="L4" s="2">
        <v>0.44</v>
      </c>
      <c r="M4" s="4">
        <f t="shared" si="0"/>
        <v>10.756578947368421</v>
      </c>
      <c r="N4" s="4">
        <f t="shared" si="1"/>
        <v>9.2897727272727284</v>
      </c>
      <c r="O4" s="5">
        <f t="shared" si="2"/>
        <v>0.80952380952380953</v>
      </c>
      <c r="P4" s="5">
        <f t="shared" si="3"/>
        <v>0.15789473684210531</v>
      </c>
      <c r="Q4" s="4">
        <f t="shared" si="4"/>
        <v>0.13287538699690404</v>
      </c>
      <c r="R4" s="4">
        <f t="shared" si="5"/>
        <v>0.58835227272727264</v>
      </c>
      <c r="S4" s="4">
        <v>34.15</v>
      </c>
      <c r="T4" s="2">
        <v>1.32</v>
      </c>
      <c r="U4" s="2">
        <v>6.89</v>
      </c>
      <c r="V4" s="2">
        <v>3.98</v>
      </c>
      <c r="W4" s="2">
        <v>-9.9</v>
      </c>
      <c r="X4" s="2">
        <v>-11.72</v>
      </c>
      <c r="Y4" s="2">
        <v>-14.84</v>
      </c>
      <c r="Z4" s="2">
        <v>-18.579999999999998</v>
      </c>
    </row>
    <row r="5" spans="1:26" x14ac:dyDescent="0.25">
      <c r="A5" s="1" t="s">
        <v>35</v>
      </c>
      <c r="B5" s="1" t="s">
        <v>36</v>
      </c>
      <c r="C5" s="1" t="s">
        <v>31</v>
      </c>
      <c r="D5" s="1" t="s">
        <v>38</v>
      </c>
      <c r="E5" s="1" t="s">
        <v>39</v>
      </c>
      <c r="F5" s="1" t="s">
        <v>37</v>
      </c>
      <c r="G5" s="1" t="s">
        <v>12480</v>
      </c>
      <c r="H5" s="1" t="s">
        <v>40</v>
      </c>
      <c r="I5" s="2">
        <v>42.32</v>
      </c>
      <c r="J5" s="2">
        <v>2.48</v>
      </c>
      <c r="K5" s="2">
        <v>3.18</v>
      </c>
      <c r="L5" s="2">
        <v>3.62</v>
      </c>
      <c r="M5" s="4">
        <f t="shared" si="0"/>
        <v>13.308176100628931</v>
      </c>
      <c r="N5" s="4">
        <f t="shared" si="1"/>
        <v>11.69060773480663</v>
      </c>
      <c r="O5" s="5">
        <f t="shared" si="2"/>
        <v>0.282258064516129</v>
      </c>
      <c r="P5" s="5">
        <f t="shared" si="3"/>
        <v>0.13836477987421381</v>
      </c>
      <c r="Q5" s="4">
        <f t="shared" si="4"/>
        <v>0.47148966756513933</v>
      </c>
      <c r="R5" s="4">
        <f t="shared" si="5"/>
        <v>0.84491210447011567</v>
      </c>
      <c r="S5" s="4">
        <v>10.28</v>
      </c>
      <c r="T5" s="2">
        <v>0.25</v>
      </c>
      <c r="U5" s="2">
        <v>46.43</v>
      </c>
      <c r="V5" s="2">
        <v>25.77</v>
      </c>
      <c r="W5" s="2">
        <v>-3.14</v>
      </c>
      <c r="X5" s="2">
        <v>-5.22</v>
      </c>
      <c r="Y5" s="2">
        <v>2.25</v>
      </c>
      <c r="Z5" s="2">
        <v>3.14</v>
      </c>
    </row>
    <row r="6" spans="1:26" x14ac:dyDescent="0.25">
      <c r="A6" s="1" t="s">
        <v>42</v>
      </c>
      <c r="B6" s="1" t="s">
        <v>43</v>
      </c>
      <c r="C6" s="1" t="s">
        <v>45</v>
      </c>
      <c r="D6" s="1" t="s">
        <v>46</v>
      </c>
      <c r="E6" s="1" t="s">
        <v>47</v>
      </c>
      <c r="F6" s="1" t="s">
        <v>44</v>
      </c>
      <c r="G6" s="1" t="s">
        <v>12480</v>
      </c>
      <c r="H6" s="1" t="s">
        <v>48</v>
      </c>
      <c r="I6" s="2">
        <v>11.44</v>
      </c>
      <c r="J6" s="2">
        <v>0.36</v>
      </c>
      <c r="K6" s="2">
        <v>2.1800000000000002</v>
      </c>
      <c r="L6" s="2">
        <v>2.72</v>
      </c>
      <c r="M6" s="4">
        <f t="shared" si="0"/>
        <v>5.2477064220183482</v>
      </c>
      <c r="N6" s="4">
        <f t="shared" si="1"/>
        <v>4.2058823529411757</v>
      </c>
      <c r="O6" s="5">
        <f t="shared" si="2"/>
        <v>5.0555555555555562</v>
      </c>
      <c r="P6" s="5">
        <f t="shared" si="3"/>
        <v>0.24770642201834869</v>
      </c>
      <c r="Q6" s="4">
        <f t="shared" si="4"/>
        <v>1.038007863695937E-2</v>
      </c>
      <c r="R6" s="4">
        <f t="shared" si="5"/>
        <v>0.16979302832244003</v>
      </c>
      <c r="S6" s="4">
        <v>0.78</v>
      </c>
      <c r="T6" s="2">
        <v>1.22</v>
      </c>
      <c r="U6" s="2">
        <v>16.260000000000002</v>
      </c>
      <c r="V6" s="2">
        <v>9.07</v>
      </c>
      <c r="W6" s="2">
        <v>-8.6300000000000008</v>
      </c>
      <c r="X6" s="2">
        <v>-23.68</v>
      </c>
      <c r="Y6" s="2">
        <v>-25.38</v>
      </c>
      <c r="Z6" s="2">
        <v>-25.38</v>
      </c>
    </row>
    <row r="7" spans="1:26" x14ac:dyDescent="0.25">
      <c r="A7" s="1" t="s">
        <v>49</v>
      </c>
      <c r="B7" s="1" t="s">
        <v>50</v>
      </c>
      <c r="C7" s="1" t="s">
        <v>16</v>
      </c>
      <c r="D7" s="1" t="s">
        <v>38</v>
      </c>
      <c r="E7" s="1" t="s">
        <v>52</v>
      </c>
      <c r="F7" s="1" t="s">
        <v>51</v>
      </c>
      <c r="G7" s="1" t="s">
        <v>12480</v>
      </c>
      <c r="H7" s="1" t="s">
        <v>53</v>
      </c>
      <c r="I7" s="2">
        <v>51.56</v>
      </c>
      <c r="J7" s="2">
        <v>3.25</v>
      </c>
      <c r="K7" s="2">
        <v>4.82</v>
      </c>
      <c r="L7" s="2">
        <v>5.83</v>
      </c>
      <c r="M7" s="4">
        <f t="shared" si="0"/>
        <v>10.697095435684647</v>
      </c>
      <c r="N7" s="4">
        <f t="shared" si="1"/>
        <v>8.8439108061749572</v>
      </c>
      <c r="O7" s="5">
        <f t="shared" si="2"/>
        <v>0.48307692307692318</v>
      </c>
      <c r="P7" s="5">
        <f t="shared" si="3"/>
        <v>0.20954356846473021</v>
      </c>
      <c r="Q7" s="4">
        <f t="shared" si="4"/>
        <v>0.22143668895525537</v>
      </c>
      <c r="R7" s="4">
        <f t="shared" si="5"/>
        <v>0.42205594144320108</v>
      </c>
      <c r="S7" s="4">
        <v>11.49</v>
      </c>
      <c r="T7" s="2">
        <v>1.32</v>
      </c>
      <c r="U7" s="2">
        <v>56.43</v>
      </c>
      <c r="V7" s="2">
        <v>22.96</v>
      </c>
      <c r="W7" s="2">
        <v>-6.17</v>
      </c>
      <c r="X7" s="2">
        <v>-0.57999999999999996</v>
      </c>
      <c r="Y7" s="2">
        <v>8.18</v>
      </c>
      <c r="Z7" s="2">
        <v>9.6999999999999993</v>
      </c>
    </row>
    <row r="8" spans="1:26" x14ac:dyDescent="0.25">
      <c r="A8" s="1" t="s">
        <v>54</v>
      </c>
      <c r="B8" s="1" t="s">
        <v>55</v>
      </c>
      <c r="C8" s="1" t="s">
        <v>45</v>
      </c>
      <c r="D8" s="1" t="s">
        <v>32</v>
      </c>
      <c r="E8" s="1" t="s">
        <v>57</v>
      </c>
      <c r="F8" s="1" t="s">
        <v>56</v>
      </c>
      <c r="G8" s="1" t="s">
        <v>12480</v>
      </c>
      <c r="H8" s="1" t="s">
        <v>58</v>
      </c>
      <c r="I8" s="2">
        <v>110.62</v>
      </c>
      <c r="J8" s="2">
        <v>-0.26</v>
      </c>
      <c r="K8" s="2">
        <v>0.84</v>
      </c>
      <c r="L8" s="2">
        <v>3.39</v>
      </c>
      <c r="M8" s="4">
        <f t="shared" si="0"/>
        <v>131.6904761904762</v>
      </c>
      <c r="N8" s="4">
        <f t="shared" si="1"/>
        <v>32.631268436578168</v>
      </c>
      <c r="O8" s="5">
        <f t="shared" si="2"/>
        <v>-4.2307692307692299</v>
      </c>
      <c r="P8" s="5">
        <f t="shared" si="3"/>
        <v>3.0357142857142856</v>
      </c>
      <c r="Q8" s="4">
        <f t="shared" si="4"/>
        <v>-0.31126839826839836</v>
      </c>
      <c r="R8" s="4">
        <f t="shared" si="5"/>
        <v>0.10749123720284573</v>
      </c>
      <c r="S8" s="4">
        <v>82.75</v>
      </c>
      <c r="T8" s="2">
        <v>3.2</v>
      </c>
      <c r="U8" s="2">
        <v>110.62</v>
      </c>
      <c r="V8" s="2">
        <v>10.050000000000001</v>
      </c>
      <c r="W8" s="2">
        <v>7.91</v>
      </c>
      <c r="X8" s="2">
        <v>130.88999999999999</v>
      </c>
      <c r="Y8" s="2">
        <v>269.97000000000003</v>
      </c>
      <c r="Z8" s="2">
        <v>217.33</v>
      </c>
    </row>
    <row r="9" spans="1:26" x14ac:dyDescent="0.25">
      <c r="A9" s="1" t="s">
        <v>59</v>
      </c>
      <c r="B9" s="1" t="s">
        <v>59</v>
      </c>
      <c r="C9" s="1" t="s">
        <v>45</v>
      </c>
      <c r="D9" s="1" t="s">
        <v>61</v>
      </c>
      <c r="E9" s="1" t="s">
        <v>62</v>
      </c>
      <c r="F9" s="1" t="s">
        <v>60</v>
      </c>
      <c r="G9" s="1" t="s">
        <v>12480</v>
      </c>
      <c r="H9" s="1" t="s">
        <v>63</v>
      </c>
      <c r="I9" s="2">
        <v>90.33</v>
      </c>
      <c r="J9" s="2">
        <v>1.35</v>
      </c>
      <c r="K9" s="2">
        <v>2.21</v>
      </c>
      <c r="L9" s="2">
        <v>2.94</v>
      </c>
      <c r="M9" s="4">
        <f t="shared" si="0"/>
        <v>40.873303167420815</v>
      </c>
      <c r="N9" s="4">
        <f t="shared" si="1"/>
        <v>30.724489795918366</v>
      </c>
      <c r="O9" s="5">
        <f t="shared" si="2"/>
        <v>0.63703703703703685</v>
      </c>
      <c r="P9" s="5">
        <f t="shared" si="3"/>
        <v>0.3303167420814479</v>
      </c>
      <c r="Q9" s="4">
        <f t="shared" si="4"/>
        <v>0.64161580553509445</v>
      </c>
      <c r="R9" s="4">
        <f t="shared" si="5"/>
        <v>0.93015236231478904</v>
      </c>
      <c r="S9" s="4">
        <v>20.11</v>
      </c>
      <c r="T9" s="2">
        <v>1.0900000000000001</v>
      </c>
      <c r="U9" s="2">
        <v>106.87</v>
      </c>
      <c r="V9" s="2">
        <v>71.78</v>
      </c>
      <c r="W9" s="2">
        <v>-13.75</v>
      </c>
      <c r="X9" s="2">
        <v>-8.58</v>
      </c>
      <c r="Y9" s="2">
        <v>17.57</v>
      </c>
      <c r="Z9" s="2">
        <v>18.47</v>
      </c>
    </row>
    <row r="10" spans="1:26" x14ac:dyDescent="0.25">
      <c r="A10" s="1" t="s">
        <v>64</v>
      </c>
      <c r="B10" s="1" t="s">
        <v>65</v>
      </c>
      <c r="C10" s="1" t="s">
        <v>16</v>
      </c>
      <c r="D10" s="1" t="s">
        <v>67</v>
      </c>
      <c r="E10" s="1" t="s">
        <v>68</v>
      </c>
      <c r="F10" s="1" t="s">
        <v>66</v>
      </c>
      <c r="G10" s="1" t="s">
        <v>12480</v>
      </c>
      <c r="H10" s="1" t="s">
        <v>69</v>
      </c>
      <c r="I10" s="2">
        <v>51.09</v>
      </c>
      <c r="J10" s="2">
        <v>2.2599999999999998</v>
      </c>
      <c r="K10" s="2">
        <v>2.76</v>
      </c>
      <c r="L10" s="2">
        <v>3.89</v>
      </c>
      <c r="M10" s="4">
        <f t="shared" si="0"/>
        <v>18.510869565217394</v>
      </c>
      <c r="N10" s="4">
        <f t="shared" si="1"/>
        <v>13.133676092544988</v>
      </c>
      <c r="O10" s="5">
        <f t="shared" si="2"/>
        <v>0.22123893805309747</v>
      </c>
      <c r="P10" s="5">
        <f t="shared" si="3"/>
        <v>0.40942028985507273</v>
      </c>
      <c r="Q10" s="4">
        <f t="shared" si="4"/>
        <v>0.83669130434782568</v>
      </c>
      <c r="R10" s="4">
        <f t="shared" si="5"/>
        <v>0.32078713287985972</v>
      </c>
      <c r="S10" s="4">
        <v>-5.42</v>
      </c>
      <c r="T10" s="2">
        <v>1.1100000000000001</v>
      </c>
      <c r="U10" s="2">
        <v>66.5</v>
      </c>
      <c r="V10" s="2">
        <v>30.31</v>
      </c>
      <c r="W10" s="2">
        <v>-4.09</v>
      </c>
      <c r="X10" s="2">
        <v>-7.61</v>
      </c>
      <c r="Y10" s="2">
        <v>12.39</v>
      </c>
      <c r="Z10" s="2" t="s">
        <v>12482</v>
      </c>
    </row>
    <row r="11" spans="1:26" x14ac:dyDescent="0.25">
      <c r="A11" s="1" t="s">
        <v>72</v>
      </c>
      <c r="B11" s="1" t="s">
        <v>73</v>
      </c>
      <c r="C11" s="1" t="s">
        <v>45</v>
      </c>
      <c r="D11" s="1" t="s">
        <v>18</v>
      </c>
      <c r="E11" s="1" t="s">
        <v>74</v>
      </c>
      <c r="F11" s="1" t="s">
        <v>12483</v>
      </c>
      <c r="G11" s="1" t="s">
        <v>12480</v>
      </c>
      <c r="H11" s="1" t="s">
        <v>75</v>
      </c>
      <c r="I11" s="2">
        <v>23.69</v>
      </c>
      <c r="J11" s="2">
        <v>-0.72</v>
      </c>
      <c r="K11" s="2">
        <v>-0.33</v>
      </c>
      <c r="L11" s="2">
        <v>-0.34</v>
      </c>
      <c r="M11" s="4">
        <f t="shared" si="0"/>
        <v>-71.787878787878782</v>
      </c>
      <c r="N11" s="4">
        <f t="shared" si="1"/>
        <v>-69.67647058823529</v>
      </c>
      <c r="O11" s="5">
        <f t="shared" si="2"/>
        <v>-0.54166666666666663</v>
      </c>
      <c r="P11" s="5">
        <f t="shared" si="3"/>
        <v>3.0303030303030276E-2</v>
      </c>
      <c r="Q11" s="4">
        <f t="shared" si="4"/>
        <v>1.3253146853146853</v>
      </c>
      <c r="R11" s="4">
        <f t="shared" si="5"/>
        <v>-22.993235294117667</v>
      </c>
      <c r="S11" s="4">
        <v>327.74</v>
      </c>
      <c r="T11" s="2">
        <v>0.78</v>
      </c>
      <c r="U11" s="2">
        <v>47.9</v>
      </c>
      <c r="V11" s="2">
        <v>17.7</v>
      </c>
      <c r="W11" s="2">
        <v>0.13</v>
      </c>
      <c r="X11" s="2">
        <v>0.34</v>
      </c>
      <c r="Y11" s="2">
        <v>-14.17</v>
      </c>
      <c r="Z11" s="2">
        <v>-9.7200000000000006</v>
      </c>
    </row>
    <row r="12" spans="1:26" x14ac:dyDescent="0.25">
      <c r="A12" s="1" t="s">
        <v>76</v>
      </c>
      <c r="B12" s="1" t="s">
        <v>77</v>
      </c>
      <c r="C12" s="1" t="s">
        <v>45</v>
      </c>
      <c r="D12" s="1" t="s">
        <v>32</v>
      </c>
      <c r="E12" s="1" t="s">
        <v>78</v>
      </c>
      <c r="F12" s="1" t="s">
        <v>12484</v>
      </c>
      <c r="G12" s="1" t="s">
        <v>12485</v>
      </c>
      <c r="H12" s="1" t="s">
        <v>79</v>
      </c>
      <c r="I12" s="2">
        <v>259.88</v>
      </c>
      <c r="J12" s="2">
        <v>7.46</v>
      </c>
      <c r="K12" s="2">
        <v>8.41</v>
      </c>
      <c r="L12" s="2">
        <v>9.2899999999999991</v>
      </c>
      <c r="M12" s="4">
        <f t="shared" si="0"/>
        <v>30.901307966706302</v>
      </c>
      <c r="N12" s="4">
        <f t="shared" si="1"/>
        <v>27.974165769644781</v>
      </c>
      <c r="O12" s="5">
        <f t="shared" si="2"/>
        <v>0.12734584450402142</v>
      </c>
      <c r="P12" s="5">
        <f t="shared" si="3"/>
        <v>0.10463733650416152</v>
      </c>
      <c r="Q12" s="4">
        <f t="shared" si="4"/>
        <v>2.4265658677013584</v>
      </c>
      <c r="R12" s="4">
        <f t="shared" si="5"/>
        <v>2.6734401604853755</v>
      </c>
      <c r="S12" s="4">
        <v>6.43</v>
      </c>
      <c r="T12" s="2">
        <v>1.1000000000000001</v>
      </c>
      <c r="U12" s="2">
        <v>286.19</v>
      </c>
      <c r="V12" s="2">
        <v>172.42</v>
      </c>
      <c r="W12" s="2">
        <v>-1.83</v>
      </c>
      <c r="X12" s="2">
        <v>-5.37</v>
      </c>
      <c r="Y12" s="2">
        <v>-5.19</v>
      </c>
      <c r="Z12" s="2">
        <v>-4.41</v>
      </c>
    </row>
    <row r="13" spans="1:26" x14ac:dyDescent="0.25">
      <c r="A13" s="1" t="s">
        <v>80</v>
      </c>
      <c r="B13" s="1" t="s">
        <v>81</v>
      </c>
      <c r="C13" s="1" t="s">
        <v>16</v>
      </c>
      <c r="D13" s="1" t="s">
        <v>38</v>
      </c>
      <c r="E13" s="1" t="s">
        <v>83</v>
      </c>
      <c r="F13" s="1" t="s">
        <v>82</v>
      </c>
      <c r="G13" s="1" t="s">
        <v>12480</v>
      </c>
      <c r="H13" s="1" t="s">
        <v>84</v>
      </c>
      <c r="I13" s="2">
        <v>19.05</v>
      </c>
      <c r="J13" s="2" t="s">
        <v>12487</v>
      </c>
      <c r="K13" s="2">
        <v>2.0499999999999998</v>
      </c>
      <c r="L13" s="2">
        <v>2.08</v>
      </c>
      <c r="M13" s="4">
        <f t="shared" si="0"/>
        <v>9.2926829268292703</v>
      </c>
      <c r="N13" s="4">
        <f t="shared" si="1"/>
        <v>9.1586538461538467</v>
      </c>
      <c r="O13" s="5">
        <f t="shared" si="2"/>
        <v>2.4999999999999911E-2</v>
      </c>
      <c r="P13" s="5">
        <f t="shared" si="3"/>
        <v>1.4634146341463428E-2</v>
      </c>
      <c r="Q13" s="4">
        <f t="shared" si="4"/>
        <v>3.7170731707317213</v>
      </c>
      <c r="R13" s="4">
        <f t="shared" si="5"/>
        <v>6.2584134615384563</v>
      </c>
      <c r="S13" s="4">
        <v>-4.7300000000000004</v>
      </c>
      <c r="T13" s="2">
        <v>0.95</v>
      </c>
      <c r="U13" s="2">
        <v>21.39</v>
      </c>
      <c r="V13" s="2">
        <v>17.29</v>
      </c>
      <c r="W13" s="2">
        <v>-3.1</v>
      </c>
      <c r="X13" s="2">
        <v>1.22</v>
      </c>
      <c r="Y13" s="2">
        <v>-1.45</v>
      </c>
      <c r="Z13" s="2">
        <v>0.63</v>
      </c>
    </row>
    <row r="14" spans="1:26" x14ac:dyDescent="0.25">
      <c r="A14" s="1" t="s">
        <v>85</v>
      </c>
      <c r="B14" s="1" t="s">
        <v>86</v>
      </c>
      <c r="C14" s="1" t="s">
        <v>16</v>
      </c>
      <c r="D14" s="1" t="s">
        <v>88</v>
      </c>
      <c r="E14" s="1" t="s">
        <v>89</v>
      </c>
      <c r="F14" s="1" t="s">
        <v>87</v>
      </c>
      <c r="G14" s="1" t="s">
        <v>12480</v>
      </c>
      <c r="H14" s="1" t="s">
        <v>90</v>
      </c>
      <c r="I14" s="2">
        <v>31.47</v>
      </c>
      <c r="J14" s="2">
        <v>0.14000000000000001</v>
      </c>
      <c r="K14" s="2">
        <v>6.18</v>
      </c>
      <c r="L14" s="2">
        <v>8.41</v>
      </c>
      <c r="M14" s="4">
        <f t="shared" si="0"/>
        <v>5.092233009708738</v>
      </c>
      <c r="N14" s="4">
        <f t="shared" si="1"/>
        <v>3.7419738406658736</v>
      </c>
      <c r="O14" s="5">
        <f t="shared" si="2"/>
        <v>43.142857142857139</v>
      </c>
      <c r="P14" s="5">
        <f t="shared" si="3"/>
        <v>0.36084142394822005</v>
      </c>
      <c r="Q14" s="4">
        <f t="shared" si="4"/>
        <v>1.180318909535138E-3</v>
      </c>
      <c r="R14" s="4">
        <f t="shared" si="5"/>
        <v>0.10370133782652512</v>
      </c>
      <c r="S14" s="4">
        <v>11.39</v>
      </c>
      <c r="T14" s="2"/>
      <c r="U14" s="2">
        <v>32.01</v>
      </c>
      <c r="V14" s="2">
        <v>11.58</v>
      </c>
      <c r="W14" s="2">
        <v>-0.06</v>
      </c>
      <c r="X14" s="2">
        <v>-0.56999999999999995</v>
      </c>
      <c r="Y14" s="2">
        <v>34.6</v>
      </c>
      <c r="Z14" s="2">
        <v>37.54</v>
      </c>
    </row>
    <row r="15" spans="1:26" x14ac:dyDescent="0.25">
      <c r="A15" s="1" t="s">
        <v>91</v>
      </c>
      <c r="B15" s="1" t="s">
        <v>92</v>
      </c>
      <c r="C15" s="1" t="s">
        <v>31</v>
      </c>
      <c r="D15" s="1" t="s">
        <v>94</v>
      </c>
      <c r="E15" s="1" t="s">
        <v>95</v>
      </c>
      <c r="F15" s="1" t="s">
        <v>93</v>
      </c>
      <c r="G15" s="1" t="s">
        <v>12480</v>
      </c>
      <c r="H15" s="1" t="s">
        <v>96</v>
      </c>
      <c r="I15" s="2">
        <v>7.84</v>
      </c>
      <c r="J15" s="2">
        <v>0.22</v>
      </c>
      <c r="K15" s="2"/>
      <c r="L15" s="2"/>
      <c r="M15" s="4" t="e">
        <f t="shared" si="0"/>
        <v>#DIV/0!</v>
      </c>
      <c r="N15" s="4" t="e">
        <f t="shared" si="1"/>
        <v>#DIV/0!</v>
      </c>
      <c r="O15" s="5">
        <f t="shared" si="2"/>
        <v>-1</v>
      </c>
      <c r="P15" s="5" t="e">
        <f t="shared" si="3"/>
        <v>#DIV/0!</v>
      </c>
      <c r="Q15" s="4" t="e">
        <f t="shared" si="4"/>
        <v>#DIV/0!</v>
      </c>
      <c r="R15" s="4" t="e">
        <f t="shared" si="5"/>
        <v>#DIV/0!</v>
      </c>
      <c r="S15" s="4">
        <v>26.15</v>
      </c>
      <c r="T15" s="2">
        <v>0.96</v>
      </c>
      <c r="U15" s="2">
        <v>9.25</v>
      </c>
      <c r="V15" s="2">
        <v>5.75</v>
      </c>
      <c r="W15" s="2">
        <v>4.95</v>
      </c>
      <c r="X15" s="2">
        <v>-3.09</v>
      </c>
      <c r="Y15" s="2">
        <v>-10.199999999999999</v>
      </c>
      <c r="Z15" s="2">
        <v>-9.67</v>
      </c>
    </row>
    <row r="16" spans="1:26" x14ac:dyDescent="0.25">
      <c r="A16" s="1" t="s">
        <v>98</v>
      </c>
      <c r="B16" s="1" t="s">
        <v>99</v>
      </c>
      <c r="C16" s="1" t="s">
        <v>16</v>
      </c>
      <c r="D16" s="1" t="s">
        <v>38</v>
      </c>
      <c r="E16" s="1" t="s">
        <v>101</v>
      </c>
      <c r="F16" s="1" t="s">
        <v>100</v>
      </c>
      <c r="G16" s="1" t="s">
        <v>12480</v>
      </c>
      <c r="H16" s="1" t="s">
        <v>102</v>
      </c>
      <c r="I16" s="2">
        <v>37.909999999999997</v>
      </c>
      <c r="J16" s="2">
        <v>3.33</v>
      </c>
      <c r="K16" s="2">
        <v>3.7</v>
      </c>
      <c r="L16" s="2">
        <v>4.08</v>
      </c>
      <c r="M16" s="4">
        <f t="shared" si="0"/>
        <v>10.245945945945945</v>
      </c>
      <c r="N16" s="4">
        <f t="shared" si="1"/>
        <v>9.2916666666666661</v>
      </c>
      <c r="O16" s="5">
        <f t="shared" si="2"/>
        <v>0.11111111111111116</v>
      </c>
      <c r="P16" s="5">
        <f t="shared" si="3"/>
        <v>0.10270270270270276</v>
      </c>
      <c r="Q16" s="4">
        <f t="shared" si="4"/>
        <v>0.92213513513513456</v>
      </c>
      <c r="R16" s="4">
        <f t="shared" si="5"/>
        <v>0.90471491228070111</v>
      </c>
      <c r="S16" s="4">
        <v>1.24</v>
      </c>
      <c r="T16" s="2">
        <v>0.87</v>
      </c>
      <c r="U16" s="2">
        <v>42.88</v>
      </c>
      <c r="V16" s="2" t="s">
        <v>12488</v>
      </c>
      <c r="W16" s="2">
        <v>-3.02</v>
      </c>
      <c r="X16" s="2">
        <v>-4.53</v>
      </c>
      <c r="Y16" s="2">
        <v>-5.04</v>
      </c>
      <c r="Z16" s="2">
        <v>-1.48</v>
      </c>
    </row>
    <row r="17" spans="1:26" x14ac:dyDescent="0.25">
      <c r="A17" s="1" t="s">
        <v>103</v>
      </c>
      <c r="B17" s="1" t="s">
        <v>104</v>
      </c>
      <c r="C17" s="1" t="s">
        <v>31</v>
      </c>
      <c r="D17" s="1" t="s">
        <v>25</v>
      </c>
      <c r="E17" s="1" t="s">
        <v>106</v>
      </c>
      <c r="F17" s="1" t="s">
        <v>105</v>
      </c>
      <c r="G17" s="1" t="s">
        <v>12480</v>
      </c>
      <c r="H17" s="1" t="s">
        <v>107</v>
      </c>
      <c r="I17" s="2">
        <v>84.98</v>
      </c>
      <c r="J17" s="2">
        <v>2.4900000000000002</v>
      </c>
      <c r="K17" s="2">
        <v>3.18</v>
      </c>
      <c r="L17" s="2">
        <v>3.24</v>
      </c>
      <c r="M17" s="4">
        <f t="shared" si="0"/>
        <v>26.723270440251572</v>
      </c>
      <c r="N17" s="4">
        <f t="shared" si="1"/>
        <v>26.228395061728396</v>
      </c>
      <c r="O17" s="5">
        <f t="shared" si="2"/>
        <v>0.27710843373493965</v>
      </c>
      <c r="P17" s="5">
        <f t="shared" si="3"/>
        <v>1.8867924528301883E-2</v>
      </c>
      <c r="Q17" s="4">
        <f t="shared" si="4"/>
        <v>0.96436149849603536</v>
      </c>
      <c r="R17" s="4">
        <f t="shared" si="5"/>
        <v>13.901049382716053</v>
      </c>
      <c r="S17" s="4">
        <v>1.1299999999999999</v>
      </c>
      <c r="T17" s="2">
        <v>1.24</v>
      </c>
      <c r="U17" s="2">
        <v>92.79</v>
      </c>
      <c r="V17" s="2">
        <v>46.47</v>
      </c>
      <c r="W17" s="2">
        <v>-5.53</v>
      </c>
      <c r="X17" s="2">
        <v>-5.0999999999999996</v>
      </c>
      <c r="Y17" s="2">
        <v>15.21</v>
      </c>
      <c r="Z17" s="2">
        <v>14.88</v>
      </c>
    </row>
    <row r="18" spans="1:26" x14ac:dyDescent="0.25">
      <c r="A18" s="1" t="s">
        <v>110</v>
      </c>
      <c r="B18" s="1" t="s">
        <v>111</v>
      </c>
      <c r="C18" s="1" t="s">
        <v>16</v>
      </c>
      <c r="D18" s="1" t="s">
        <v>18</v>
      </c>
      <c r="E18" s="1" t="s">
        <v>113</v>
      </c>
      <c r="F18" s="1" t="s">
        <v>112</v>
      </c>
      <c r="G18" s="1" t="s">
        <v>12480</v>
      </c>
      <c r="H18" s="1" t="s">
        <v>114</v>
      </c>
      <c r="I18" s="2">
        <v>227.45</v>
      </c>
      <c r="J18" s="2" t="s">
        <v>12479</v>
      </c>
      <c r="K18" s="2">
        <v>14.54</v>
      </c>
      <c r="L18" s="2">
        <v>16.239999999999998</v>
      </c>
      <c r="M18" s="4">
        <f t="shared" si="0"/>
        <v>15.643053645116918</v>
      </c>
      <c r="N18" s="4">
        <f t="shared" si="1"/>
        <v>14.005541871921183</v>
      </c>
      <c r="O18" s="5">
        <f t="shared" si="2"/>
        <v>0.45399999999999996</v>
      </c>
      <c r="P18" s="5">
        <f t="shared" si="3"/>
        <v>0.11691884456671242</v>
      </c>
      <c r="Q18" s="4">
        <f t="shared" si="4"/>
        <v>0.34456065297614358</v>
      </c>
      <c r="R18" s="4">
        <f t="shared" si="5"/>
        <v>1.1978857577513773</v>
      </c>
      <c r="S18" s="4">
        <v>8.57</v>
      </c>
      <c r="T18" s="2">
        <v>0.34</v>
      </c>
      <c r="U18" s="2">
        <v>244.38</v>
      </c>
      <c r="V18" s="2">
        <v>170.16</v>
      </c>
      <c r="W18" s="2">
        <v>-2.91</v>
      </c>
      <c r="X18" s="2">
        <v>1.88</v>
      </c>
      <c r="Y18" s="2" t="s">
        <v>12489</v>
      </c>
      <c r="Z18" s="2">
        <v>-0.46</v>
      </c>
    </row>
    <row r="19" spans="1:26" x14ac:dyDescent="0.25">
      <c r="A19" s="1" t="s">
        <v>116</v>
      </c>
      <c r="B19" s="1" t="s">
        <v>117</v>
      </c>
      <c r="C19" s="1" t="s">
        <v>16</v>
      </c>
      <c r="D19" s="1" t="s">
        <v>38</v>
      </c>
      <c r="E19" s="1" t="s">
        <v>119</v>
      </c>
      <c r="F19" s="1" t="s">
        <v>118</v>
      </c>
      <c r="G19" s="1" t="s">
        <v>12480</v>
      </c>
      <c r="H19" s="1" t="s">
        <v>120</v>
      </c>
      <c r="I19" s="2">
        <v>76.400000000000006</v>
      </c>
      <c r="J19" s="2">
        <v>5.99</v>
      </c>
      <c r="K19" s="2">
        <v>6.48</v>
      </c>
      <c r="L19" s="2">
        <v>6.96</v>
      </c>
      <c r="M19" s="4">
        <f t="shared" si="0"/>
        <v>11.790123456790123</v>
      </c>
      <c r="N19" s="4">
        <f t="shared" si="1"/>
        <v>10.977011494252874</v>
      </c>
      <c r="O19" s="5">
        <f t="shared" si="2"/>
        <v>8.1803005008347363E-2</v>
      </c>
      <c r="P19" s="5">
        <f t="shared" si="3"/>
        <v>7.4074074074073959E-2</v>
      </c>
      <c r="Q19" s="4">
        <f t="shared" si="4"/>
        <v>1.4412824389014844</v>
      </c>
      <c r="R19" s="4">
        <f t="shared" si="5"/>
        <v>1.4818965517241403</v>
      </c>
      <c r="S19" s="4">
        <v>-0.36</v>
      </c>
      <c r="T19" s="2">
        <v>0.97</v>
      </c>
      <c r="U19" s="2">
        <v>85.94</v>
      </c>
      <c r="V19" s="2">
        <v>50.69</v>
      </c>
      <c r="W19" s="2">
        <v>-3.68</v>
      </c>
      <c r="X19" s="2">
        <v>-10.95</v>
      </c>
      <c r="Y19" s="2">
        <v>-2.87</v>
      </c>
      <c r="Z19" s="2">
        <v>2.87</v>
      </c>
    </row>
    <row r="20" spans="1:26" x14ac:dyDescent="0.25">
      <c r="A20" s="1" t="s">
        <v>121</v>
      </c>
      <c r="B20" s="1" t="s">
        <v>122</v>
      </c>
      <c r="C20" s="1" t="s">
        <v>45</v>
      </c>
      <c r="D20" s="1" t="s">
        <v>18</v>
      </c>
      <c r="E20" s="1" t="s">
        <v>74</v>
      </c>
      <c r="F20" s="1" t="s">
        <v>123</v>
      </c>
      <c r="G20" s="1" t="s">
        <v>12480</v>
      </c>
      <c r="H20" s="1" t="s">
        <v>124</v>
      </c>
      <c r="I20" s="2">
        <v>3.52</v>
      </c>
      <c r="J20" s="2">
        <v>-0.49</v>
      </c>
      <c r="K20" s="2">
        <v>-0.77</v>
      </c>
      <c r="L20" s="2">
        <v>-0.95</v>
      </c>
      <c r="M20" s="4">
        <f t="shared" si="0"/>
        <v>-4.5714285714285712</v>
      </c>
      <c r="N20" s="4">
        <f t="shared" si="1"/>
        <v>-3.7052631578947368</v>
      </c>
      <c r="O20" s="5">
        <f t="shared" si="2"/>
        <v>0.5714285714285714</v>
      </c>
      <c r="P20" s="5">
        <f t="shared" si="3"/>
        <v>0.23376623376623362</v>
      </c>
      <c r="Q20" s="4">
        <f t="shared" si="4"/>
        <v>-0.08</v>
      </c>
      <c r="R20" s="4">
        <f t="shared" si="5"/>
        <v>-0.15850292397660828</v>
      </c>
      <c r="S20" s="4">
        <v>160.56</v>
      </c>
      <c r="T20" s="2">
        <v>0.84</v>
      </c>
      <c r="U20" s="2">
        <v>6.17</v>
      </c>
      <c r="V20" s="2">
        <v>1.93</v>
      </c>
      <c r="W20" s="2">
        <v>-7.85</v>
      </c>
      <c r="X20" s="2">
        <v>9.32</v>
      </c>
      <c r="Y20" s="2">
        <v>0.28000000000000003</v>
      </c>
      <c r="Z20" s="2">
        <v>2.92</v>
      </c>
    </row>
    <row r="21" spans="1:26" x14ac:dyDescent="0.25">
      <c r="A21" s="1" t="s">
        <v>125</v>
      </c>
      <c r="B21" s="1" t="s">
        <v>126</v>
      </c>
      <c r="C21" s="1" t="s">
        <v>16</v>
      </c>
      <c r="D21" s="1" t="s">
        <v>128</v>
      </c>
      <c r="E21" s="1" t="s">
        <v>129</v>
      </c>
      <c r="F21" s="1" t="s">
        <v>127</v>
      </c>
      <c r="G21" s="1" t="s">
        <v>12480</v>
      </c>
      <c r="H21" s="1" t="s">
        <v>130</v>
      </c>
      <c r="I21" s="2" t="s">
        <v>12490</v>
      </c>
      <c r="J21" s="2">
        <v>0.18</v>
      </c>
      <c r="K21" s="2">
        <v>0.19</v>
      </c>
      <c r="L21" s="2">
        <v>0.21</v>
      </c>
      <c r="M21" s="4">
        <f t="shared" si="0"/>
        <v>15.789473684210526</v>
      </c>
      <c r="N21" s="4">
        <f t="shared" si="1"/>
        <v>14.285714285714286</v>
      </c>
      <c r="O21" s="5">
        <f t="shared" si="2"/>
        <v>5.555555555555558E-2</v>
      </c>
      <c r="P21" s="5">
        <f t="shared" si="3"/>
        <v>0.10526315789473673</v>
      </c>
      <c r="Q21" s="4">
        <f t="shared" si="4"/>
        <v>2.8421052631578934</v>
      </c>
      <c r="R21" s="4">
        <f t="shared" si="5"/>
        <v>1.3571428571428588</v>
      </c>
      <c r="S21" s="4">
        <v>-4.75</v>
      </c>
      <c r="T21" s="2">
        <v>0.64</v>
      </c>
      <c r="U21" s="2">
        <v>3.23</v>
      </c>
      <c r="V21" s="2">
        <v>2.11</v>
      </c>
      <c r="W21" s="2">
        <v>-2.6</v>
      </c>
      <c r="X21" s="2">
        <v>2.04</v>
      </c>
      <c r="Y21" s="2">
        <v>15.83</v>
      </c>
      <c r="Z21" s="2">
        <v>21.46</v>
      </c>
    </row>
    <row r="22" spans="1:26" x14ac:dyDescent="0.25">
      <c r="A22" s="1" t="s">
        <v>131</v>
      </c>
      <c r="B22" s="1" t="s">
        <v>132</v>
      </c>
      <c r="C22" s="1" t="s">
        <v>16</v>
      </c>
      <c r="D22" s="1" t="s">
        <v>67</v>
      </c>
      <c r="E22" s="1" t="s">
        <v>134</v>
      </c>
      <c r="F22" s="1" t="s">
        <v>133</v>
      </c>
      <c r="G22" s="1" t="s">
        <v>12480</v>
      </c>
      <c r="H22" s="1" t="s">
        <v>135</v>
      </c>
      <c r="I22" s="2">
        <v>204.17</v>
      </c>
      <c r="J22" s="2">
        <v>28.1</v>
      </c>
      <c r="K22" s="2">
        <v>27.1</v>
      </c>
      <c r="L22" s="2">
        <v>30.42</v>
      </c>
      <c r="M22" s="4">
        <f t="shared" si="0"/>
        <v>7.5339483394833939</v>
      </c>
      <c r="N22" s="4">
        <f t="shared" si="1"/>
        <v>6.7117028270874419</v>
      </c>
      <c r="O22" s="5">
        <f t="shared" si="2"/>
        <v>-3.5587188612099641E-2</v>
      </c>
      <c r="P22" s="5">
        <f t="shared" si="3"/>
        <v>0.12250922509225082</v>
      </c>
      <c r="Q22" s="4">
        <f t="shared" si="4"/>
        <v>-2.1170394833948341</v>
      </c>
      <c r="R22" s="4">
        <f t="shared" si="5"/>
        <v>0.54785285124719829</v>
      </c>
      <c r="S22" s="4">
        <v>4.71</v>
      </c>
      <c r="T22" s="2">
        <v>0.81</v>
      </c>
      <c r="U22" s="2">
        <v>265.97000000000003</v>
      </c>
      <c r="V22" s="2">
        <v>204.17</v>
      </c>
      <c r="W22" s="2">
        <v>-3.13</v>
      </c>
      <c r="X22" s="2">
        <v>-8.65</v>
      </c>
      <c r="Y22" s="2">
        <v>-15.78</v>
      </c>
      <c r="Z22" s="2">
        <v>-12.2</v>
      </c>
    </row>
    <row r="23" spans="1:26" x14ac:dyDescent="0.25">
      <c r="A23" s="1" t="s">
        <v>137</v>
      </c>
      <c r="B23" s="1" t="s">
        <v>138</v>
      </c>
      <c r="C23" s="1" t="s">
        <v>16</v>
      </c>
      <c r="D23" s="1" t="s">
        <v>140</v>
      </c>
      <c r="E23" s="1" t="s">
        <v>141</v>
      </c>
      <c r="F23" s="1" t="s">
        <v>139</v>
      </c>
      <c r="G23" s="1" t="s">
        <v>12479</v>
      </c>
      <c r="H23" s="1" t="s">
        <v>142</v>
      </c>
      <c r="I23" s="2">
        <v>43.28</v>
      </c>
      <c r="J23" s="2">
        <v>3.44</v>
      </c>
      <c r="K23" s="2">
        <v>4.09</v>
      </c>
      <c r="L23" s="2">
        <v>4.3600000000000003</v>
      </c>
      <c r="M23" s="4">
        <f t="shared" si="0"/>
        <v>10.581907090464549</v>
      </c>
      <c r="N23" s="4">
        <f t="shared" si="1"/>
        <v>9.9266055045871546</v>
      </c>
      <c r="O23" s="5">
        <f t="shared" si="2"/>
        <v>0.18895348837209291</v>
      </c>
      <c r="P23" s="5">
        <f t="shared" si="3"/>
        <v>6.6014669926650393E-2</v>
      </c>
      <c r="Q23" s="4">
        <f t="shared" si="4"/>
        <v>0.56002708294150882</v>
      </c>
      <c r="R23" s="4">
        <f t="shared" si="5"/>
        <v>1.5036969079170905</v>
      </c>
      <c r="S23" s="4">
        <v>4.62</v>
      </c>
      <c r="T23" s="2">
        <v>0.73</v>
      </c>
      <c r="U23" s="2">
        <v>54.64</v>
      </c>
      <c r="V23" s="2">
        <v>40.31</v>
      </c>
      <c r="W23" s="2">
        <v>-3.2</v>
      </c>
      <c r="X23" s="2">
        <v>-7.46</v>
      </c>
      <c r="Y23" s="2">
        <v>-8.27</v>
      </c>
      <c r="Z23" s="2">
        <v>2.3199999999999998</v>
      </c>
    </row>
    <row r="24" spans="1:26" x14ac:dyDescent="0.25">
      <c r="A24" s="1" t="s">
        <v>144</v>
      </c>
      <c r="B24" s="1" t="s">
        <v>145</v>
      </c>
      <c r="C24" s="1" t="s">
        <v>45</v>
      </c>
      <c r="D24" s="1" t="s">
        <v>147</v>
      </c>
      <c r="E24" s="1" t="s">
        <v>148</v>
      </c>
      <c r="F24" s="1" t="s">
        <v>146</v>
      </c>
      <c r="G24" s="1" t="s">
        <v>12480</v>
      </c>
      <c r="H24" s="1" t="s">
        <v>149</v>
      </c>
      <c r="I24" s="2">
        <v>134.03</v>
      </c>
      <c r="J24" s="2">
        <v>4.03</v>
      </c>
      <c r="K24" s="2">
        <v>4.91</v>
      </c>
      <c r="L24" s="2">
        <v>5.63</v>
      </c>
      <c r="M24" s="4">
        <f t="shared" si="0"/>
        <v>27.29735234215886</v>
      </c>
      <c r="N24" s="4">
        <f t="shared" si="1"/>
        <v>23.806394316163409</v>
      </c>
      <c r="O24" s="5">
        <f t="shared" si="2"/>
        <v>0.21836228287841197</v>
      </c>
      <c r="P24" s="5">
        <f t="shared" si="3"/>
        <v>0.14663951120162921</v>
      </c>
      <c r="Q24" s="4">
        <f t="shared" si="4"/>
        <v>1.2500946583965928</v>
      </c>
      <c r="R24" s="4">
        <f t="shared" si="5"/>
        <v>1.623463834616145</v>
      </c>
      <c r="S24" s="4">
        <v>10.26</v>
      </c>
      <c r="T24" s="2">
        <v>1.1200000000000001</v>
      </c>
      <c r="U24" s="2">
        <v>142.16</v>
      </c>
      <c r="V24" s="2">
        <v>105.69</v>
      </c>
      <c r="W24" s="2">
        <v>0.57999999999999996</v>
      </c>
      <c r="X24" s="2">
        <v>10.49</v>
      </c>
      <c r="Y24" s="2">
        <v>1.68</v>
      </c>
      <c r="Z24" s="2">
        <v>-1.25</v>
      </c>
    </row>
    <row r="25" spans="1:26" x14ac:dyDescent="0.25">
      <c r="A25" s="1" t="s">
        <v>150</v>
      </c>
      <c r="B25" s="1" t="s">
        <v>151</v>
      </c>
      <c r="C25" s="1" t="s">
        <v>16</v>
      </c>
      <c r="D25" s="1" t="s">
        <v>38</v>
      </c>
      <c r="E25" s="1" t="s">
        <v>153</v>
      </c>
      <c r="F25" s="1" t="s">
        <v>152</v>
      </c>
      <c r="G25" s="1" t="s">
        <v>12480</v>
      </c>
      <c r="H25" s="1" t="s">
        <v>154</v>
      </c>
      <c r="I25" s="2">
        <v>8.5</v>
      </c>
      <c r="J25" s="2">
        <v>1.07</v>
      </c>
      <c r="K25" s="2">
        <v>0.83</v>
      </c>
      <c r="L25" s="2">
        <v>1.1000000000000001</v>
      </c>
      <c r="M25" s="4">
        <f t="shared" si="0"/>
        <v>10.240963855421688</v>
      </c>
      <c r="N25" s="4">
        <f t="shared" si="1"/>
        <v>7.7272727272727266</v>
      </c>
      <c r="O25" s="5">
        <f t="shared" si="2"/>
        <v>-0.22429906542056088</v>
      </c>
      <c r="P25" s="5">
        <f t="shared" si="3"/>
        <v>0.32530120481927738</v>
      </c>
      <c r="Q25" s="4">
        <f t="shared" si="4"/>
        <v>-0.45657630522088333</v>
      </c>
      <c r="R25" s="4">
        <f t="shared" si="5"/>
        <v>0.2375420875420873</v>
      </c>
      <c r="S25" s="4">
        <v>-19.510000000000002</v>
      </c>
      <c r="T25" s="2">
        <v>1.36</v>
      </c>
      <c r="U25" s="2">
        <v>12.46</v>
      </c>
      <c r="V25" s="2">
        <v>7.17</v>
      </c>
      <c r="W25" s="2">
        <v>-1.05</v>
      </c>
      <c r="X25" s="2">
        <v>8.6999999999999993</v>
      </c>
      <c r="Y25" s="2">
        <v>1.43</v>
      </c>
      <c r="Z25" s="2">
        <v>9.5399999999999991</v>
      </c>
    </row>
    <row r="26" spans="1:26" x14ac:dyDescent="0.25">
      <c r="A26" s="1" t="s">
        <v>155</v>
      </c>
      <c r="B26" s="1" t="s">
        <v>156</v>
      </c>
      <c r="C26" s="1" t="s">
        <v>16</v>
      </c>
      <c r="D26" s="1" t="s">
        <v>18</v>
      </c>
      <c r="E26" s="1" t="s">
        <v>19</v>
      </c>
      <c r="F26" s="1" t="s">
        <v>157</v>
      </c>
      <c r="G26" s="1" t="s">
        <v>12480</v>
      </c>
      <c r="H26" s="1" t="s">
        <v>158</v>
      </c>
      <c r="I26" s="2">
        <v>112.65</v>
      </c>
      <c r="J26" s="2">
        <v>5.15</v>
      </c>
      <c r="K26" s="2">
        <v>5.68</v>
      </c>
      <c r="L26" s="2">
        <v>6.23</v>
      </c>
      <c r="M26" s="4">
        <f t="shared" si="0"/>
        <v>19.83274647887324</v>
      </c>
      <c r="N26" s="4">
        <f t="shared" si="1"/>
        <v>18.081861958266451</v>
      </c>
      <c r="O26" s="5">
        <f t="shared" si="2"/>
        <v>0.10291262135922308</v>
      </c>
      <c r="P26" s="5">
        <f t="shared" si="3"/>
        <v>9.6830985915492995E-2</v>
      </c>
      <c r="Q26" s="4">
        <f t="shared" si="4"/>
        <v>1.9271442333244795</v>
      </c>
      <c r="R26" s="4">
        <f t="shared" si="5"/>
        <v>1.8673631985991528</v>
      </c>
      <c r="S26" s="4">
        <v>5.67</v>
      </c>
      <c r="T26" s="2">
        <v>0.74</v>
      </c>
      <c r="U26" s="2">
        <v>138.08000000000001</v>
      </c>
      <c r="V26" s="2">
        <v>106.05</v>
      </c>
      <c r="W26" s="2">
        <v>-1.29</v>
      </c>
      <c r="X26" s="2">
        <v>1.42</v>
      </c>
      <c r="Y26" s="2">
        <v>-12.31</v>
      </c>
      <c r="Z26" s="2">
        <v>-10.09</v>
      </c>
    </row>
    <row r="27" spans="1:26" x14ac:dyDescent="0.25">
      <c r="A27" s="1" t="s">
        <v>159</v>
      </c>
      <c r="B27" s="1" t="s">
        <v>160</v>
      </c>
      <c r="C27" s="1" t="s">
        <v>45</v>
      </c>
      <c r="D27" s="1" t="s">
        <v>38</v>
      </c>
      <c r="E27" s="1" t="s">
        <v>52</v>
      </c>
      <c r="F27" s="1" t="s">
        <v>161</v>
      </c>
      <c r="G27" s="1" t="s">
        <v>12480</v>
      </c>
      <c r="H27" s="1" t="s">
        <v>162</v>
      </c>
      <c r="I27" s="2">
        <v>1.1000000000000001</v>
      </c>
      <c r="J27" s="2">
        <v>-2.5499999999999998</v>
      </c>
      <c r="K27" s="2">
        <v>0.01</v>
      </c>
      <c r="L27" s="2">
        <v>0.02</v>
      </c>
      <c r="M27" s="4">
        <f t="shared" si="0"/>
        <v>110</v>
      </c>
      <c r="N27" s="4">
        <f t="shared" si="1"/>
        <v>55</v>
      </c>
      <c r="O27" s="5">
        <f t="shared" si="2"/>
        <v>-1.003921568627451</v>
      </c>
      <c r="P27" s="5">
        <f t="shared" si="3"/>
        <v>1</v>
      </c>
      <c r="Q27" s="4">
        <f t="shared" si="4"/>
        <v>-1.095703125</v>
      </c>
      <c r="R27" s="4">
        <f t="shared" si="5"/>
        <v>0.55000000000000004</v>
      </c>
      <c r="S27" s="4">
        <v>200.45</v>
      </c>
      <c r="T27" s="2">
        <v>3.81</v>
      </c>
      <c r="U27" s="2">
        <v>9.31</v>
      </c>
      <c r="V27" s="2">
        <v>0.67</v>
      </c>
      <c r="W27" s="2">
        <v>7.84</v>
      </c>
      <c r="X27" s="2">
        <v>-12.7</v>
      </c>
      <c r="Y27" s="2">
        <v>-33.33</v>
      </c>
      <c r="Z27" s="2">
        <v>-35.29</v>
      </c>
    </row>
    <row r="28" spans="1:26" x14ac:dyDescent="0.25">
      <c r="A28" s="1" t="s">
        <v>163</v>
      </c>
      <c r="B28" s="1" t="s">
        <v>164</v>
      </c>
      <c r="C28" s="1" t="s">
        <v>45</v>
      </c>
      <c r="D28" s="1" t="s">
        <v>18</v>
      </c>
      <c r="E28" s="1" t="s">
        <v>74</v>
      </c>
      <c r="F28" s="1" t="s">
        <v>165</v>
      </c>
      <c r="G28" s="1" t="s">
        <v>12480</v>
      </c>
      <c r="H28" s="1" t="s">
        <v>166</v>
      </c>
      <c r="I28" s="2">
        <v>109.61</v>
      </c>
      <c r="J28" s="2">
        <v>-3.03</v>
      </c>
      <c r="K28" s="2">
        <v>-3.99</v>
      </c>
      <c r="L28" s="2" t="s">
        <v>12494</v>
      </c>
      <c r="M28" s="4">
        <f t="shared" si="0"/>
        <v>-27.471177944862152</v>
      </c>
      <c r="N28" s="4">
        <f t="shared" si="1"/>
        <v>-27.4025</v>
      </c>
      <c r="O28" s="5">
        <f t="shared" si="2"/>
        <v>0.31683168316831689</v>
      </c>
      <c r="P28" s="5">
        <f t="shared" si="3"/>
        <v>2.5062656641603454E-3</v>
      </c>
      <c r="Q28" s="4">
        <f t="shared" si="4"/>
        <v>-0.86705905388471149</v>
      </c>
      <c r="R28" s="4">
        <f t="shared" si="5"/>
        <v>-109.33597500000242</v>
      </c>
      <c r="S28" s="4"/>
      <c r="T28" s="2" t="s">
        <v>12493</v>
      </c>
      <c r="U28" s="2">
        <v>145.31</v>
      </c>
      <c r="V28" s="2">
        <v>5.17</v>
      </c>
      <c r="W28" s="2">
        <v>-3.09</v>
      </c>
      <c r="X28" s="2">
        <v>-8.49</v>
      </c>
      <c r="Y28" s="2">
        <v>-7.04</v>
      </c>
      <c r="Z28" s="2">
        <v>-18.72</v>
      </c>
    </row>
    <row r="29" spans="1:26" x14ac:dyDescent="0.25">
      <c r="A29" s="1" t="s">
        <v>167</v>
      </c>
      <c r="B29" s="1" t="s">
        <v>168</v>
      </c>
      <c r="C29" s="1" t="s">
        <v>16</v>
      </c>
      <c r="D29" s="1" t="s">
        <v>61</v>
      </c>
      <c r="E29" s="1" t="s">
        <v>170</v>
      </c>
      <c r="F29" s="1" t="s">
        <v>169</v>
      </c>
      <c r="G29" s="1" t="s">
        <v>12480</v>
      </c>
      <c r="H29" s="1" t="s">
        <v>171</v>
      </c>
      <c r="I29" s="2">
        <v>109.93</v>
      </c>
      <c r="J29" s="2">
        <v>4.47</v>
      </c>
      <c r="K29" s="2">
        <v>4.7699999999999996</v>
      </c>
      <c r="L29" s="2">
        <v>5.41</v>
      </c>
      <c r="M29" s="4">
        <f t="shared" si="0"/>
        <v>23.046121593291407</v>
      </c>
      <c r="N29" s="4">
        <f t="shared" si="1"/>
        <v>20.319778188539743</v>
      </c>
      <c r="O29" s="5">
        <f t="shared" si="2"/>
        <v>6.7114093959731447E-2</v>
      </c>
      <c r="P29" s="5">
        <f t="shared" si="3"/>
        <v>0.13417190775681354</v>
      </c>
      <c r="Q29" s="4">
        <f t="shared" si="4"/>
        <v>3.4338721174004245</v>
      </c>
      <c r="R29" s="4">
        <f t="shared" si="5"/>
        <v>1.5144584681146014</v>
      </c>
      <c r="S29" s="4">
        <v>12.2</v>
      </c>
      <c r="T29" s="2">
        <v>1.01</v>
      </c>
      <c r="U29" s="2">
        <v>128.16999999999999</v>
      </c>
      <c r="V29" s="2">
        <v>70.66</v>
      </c>
      <c r="W29" s="2">
        <v>1.21</v>
      </c>
      <c r="X29" s="2">
        <v>-13.14</v>
      </c>
      <c r="Y29" s="2">
        <v>0.14000000000000001</v>
      </c>
      <c r="Z29" s="2">
        <v>3.4</v>
      </c>
    </row>
    <row r="30" spans="1:26" x14ac:dyDescent="0.25">
      <c r="A30" s="1" t="s">
        <v>173</v>
      </c>
      <c r="B30" s="1" t="s">
        <v>174</v>
      </c>
      <c r="C30" s="1" t="s">
        <v>45</v>
      </c>
      <c r="D30" s="1" t="s">
        <v>18</v>
      </c>
      <c r="E30" s="1" t="s">
        <v>74</v>
      </c>
      <c r="F30" s="1" t="s">
        <v>175</v>
      </c>
      <c r="G30" s="1" t="s">
        <v>12480</v>
      </c>
      <c r="H30" s="1" t="s">
        <v>176</v>
      </c>
      <c r="I30" s="2">
        <v>22.58</v>
      </c>
      <c r="J30" s="2">
        <v>0.84</v>
      </c>
      <c r="K30" s="2">
        <v>0.53</v>
      </c>
      <c r="L30" s="2">
        <v>0.89</v>
      </c>
      <c r="M30" s="4">
        <f t="shared" si="0"/>
        <v>42.603773584905653</v>
      </c>
      <c r="N30" s="4">
        <f t="shared" si="1"/>
        <v>25.370786516853929</v>
      </c>
      <c r="O30" s="5">
        <f t="shared" si="2"/>
        <v>-0.36904761904761896</v>
      </c>
      <c r="P30" s="5">
        <f t="shared" si="3"/>
        <v>0.67924528301886777</v>
      </c>
      <c r="Q30" s="4">
        <f t="shared" si="4"/>
        <v>-1.1544248326232502</v>
      </c>
      <c r="R30" s="4">
        <f t="shared" si="5"/>
        <v>0.37351435705368291</v>
      </c>
      <c r="S30" s="4">
        <v>11.87</v>
      </c>
      <c r="T30" s="2">
        <v>0.66</v>
      </c>
      <c r="U30" s="2">
        <v>28.06</v>
      </c>
      <c r="V30" s="2">
        <v>14.1</v>
      </c>
      <c r="W30" s="2">
        <v>-1.01</v>
      </c>
      <c r="X30" s="2">
        <v>-2.76</v>
      </c>
      <c r="Y30" s="2">
        <v>-17.170000000000002</v>
      </c>
      <c r="Z30" s="2">
        <v>-15.46</v>
      </c>
    </row>
    <row r="31" spans="1:26" x14ac:dyDescent="0.25">
      <c r="A31" s="1" t="s">
        <v>177</v>
      </c>
      <c r="B31" s="1" t="s">
        <v>178</v>
      </c>
      <c r="C31" s="1" t="s">
        <v>31</v>
      </c>
      <c r="D31" s="1" t="s">
        <v>147</v>
      </c>
      <c r="E31" s="1" t="s">
        <v>180</v>
      </c>
      <c r="F31" s="1" t="s">
        <v>179</v>
      </c>
      <c r="G31" s="1" t="s">
        <v>12480</v>
      </c>
      <c r="H31" s="1" t="s">
        <v>181</v>
      </c>
      <c r="I31" s="2">
        <v>9.84</v>
      </c>
      <c r="J31" s="2">
        <v>0.42</v>
      </c>
      <c r="K31" s="2">
        <v>0.54</v>
      </c>
      <c r="L31" s="2">
        <v>0.61</v>
      </c>
      <c r="M31" s="4">
        <f t="shared" si="0"/>
        <v>18.222222222222221</v>
      </c>
      <c r="N31" s="4">
        <f t="shared" si="1"/>
        <v>16.131147540983605</v>
      </c>
      <c r="O31" s="5">
        <f t="shared" si="2"/>
        <v>0.28571428571428581</v>
      </c>
      <c r="P31" s="5">
        <f t="shared" si="3"/>
        <v>0.12962962962962954</v>
      </c>
      <c r="Q31" s="4">
        <f t="shared" si="4"/>
        <v>0.63777777777777755</v>
      </c>
      <c r="R31" s="4">
        <f t="shared" si="5"/>
        <v>1.2444028103044502</v>
      </c>
      <c r="S31" s="4">
        <v>5.14</v>
      </c>
      <c r="T31" s="2"/>
      <c r="U31" s="2">
        <v>11.98</v>
      </c>
      <c r="V31" s="2">
        <v>9.35</v>
      </c>
      <c r="W31" s="2">
        <v>-6.82</v>
      </c>
      <c r="X31" s="2">
        <v>-15.25</v>
      </c>
      <c r="Y31" s="2">
        <v>-11.59</v>
      </c>
      <c r="Z31" s="2">
        <v>-12.22</v>
      </c>
    </row>
    <row r="32" spans="1:26" x14ac:dyDescent="0.25">
      <c r="A32" s="1" t="s">
        <v>182</v>
      </c>
      <c r="B32" s="1" t="s">
        <v>183</v>
      </c>
      <c r="C32" s="1" t="s">
        <v>31</v>
      </c>
      <c r="D32" s="1" t="s">
        <v>46</v>
      </c>
      <c r="E32" s="1" t="s">
        <v>47</v>
      </c>
      <c r="F32" s="1" t="s">
        <v>184</v>
      </c>
      <c r="G32" s="1" t="s">
        <v>12480</v>
      </c>
      <c r="H32" s="1" t="s">
        <v>185</v>
      </c>
      <c r="I32" s="2">
        <v>13.02</v>
      </c>
      <c r="J32" s="2">
        <v>1.05</v>
      </c>
      <c r="K32" s="2">
        <v>1.68</v>
      </c>
      <c r="L32" s="2">
        <v>1.91</v>
      </c>
      <c r="M32" s="4">
        <f t="shared" si="0"/>
        <v>7.75</v>
      </c>
      <c r="N32" s="4">
        <f t="shared" si="1"/>
        <v>6.8167539267015709</v>
      </c>
      <c r="O32" s="5">
        <f t="shared" si="2"/>
        <v>0.59999999999999987</v>
      </c>
      <c r="P32" s="5">
        <f t="shared" si="3"/>
        <v>0.13690476190476186</v>
      </c>
      <c r="Q32" s="4">
        <f t="shared" si="4"/>
        <v>0.12916666666666671</v>
      </c>
      <c r="R32" s="4">
        <f t="shared" si="5"/>
        <v>0.49791941725472361</v>
      </c>
      <c r="S32" s="4">
        <v>-1.43</v>
      </c>
      <c r="T32" s="2">
        <v>1.39</v>
      </c>
      <c r="U32" s="2">
        <v>17.059999999999999</v>
      </c>
      <c r="V32" s="2">
        <v>8.9499999999999993</v>
      </c>
      <c r="W32" s="2">
        <v>-7.59</v>
      </c>
      <c r="X32" s="2">
        <v>-12.62</v>
      </c>
      <c r="Y32" s="2">
        <v>-3.13</v>
      </c>
      <c r="Z32" s="2">
        <v>-7.2</v>
      </c>
    </row>
    <row r="33" spans="1:26" x14ac:dyDescent="0.25">
      <c r="A33" s="1" t="s">
        <v>186</v>
      </c>
      <c r="B33" s="1" t="s">
        <v>187</v>
      </c>
      <c r="C33" s="1" t="s">
        <v>31</v>
      </c>
      <c r="D33" s="1" t="s">
        <v>38</v>
      </c>
      <c r="E33" s="1" t="s">
        <v>189</v>
      </c>
      <c r="F33" s="1" t="s">
        <v>188</v>
      </c>
      <c r="G33" s="1" t="s">
        <v>12480</v>
      </c>
      <c r="H33" s="1" t="s">
        <v>190</v>
      </c>
      <c r="I33" s="2">
        <v>16.649999999999999</v>
      </c>
      <c r="J33" s="2">
        <v>2.6</v>
      </c>
      <c r="K33" s="2"/>
      <c r="L33" s="2"/>
      <c r="M33" s="4" t="e">
        <f t="shared" si="0"/>
        <v>#DIV/0!</v>
      </c>
      <c r="N33" s="4" t="e">
        <f t="shared" si="1"/>
        <v>#DIV/0!</v>
      </c>
      <c r="O33" s="5">
        <f t="shared" si="2"/>
        <v>-1</v>
      </c>
      <c r="P33" s="5" t="e">
        <f t="shared" si="3"/>
        <v>#DIV/0!</v>
      </c>
      <c r="Q33" s="4" t="e">
        <f t="shared" si="4"/>
        <v>#DIV/0!</v>
      </c>
      <c r="R33" s="4" t="e">
        <f t="shared" si="5"/>
        <v>#DIV/0!</v>
      </c>
      <c r="S33" s="4">
        <v>2.62</v>
      </c>
      <c r="T33" s="2">
        <v>0.08</v>
      </c>
      <c r="U33" s="2">
        <v>20.420000000000002</v>
      </c>
      <c r="V33" s="2">
        <v>13.22</v>
      </c>
      <c r="W33" s="2">
        <v>1.34</v>
      </c>
      <c r="X33" s="2">
        <v>-5.62</v>
      </c>
      <c r="Y33" s="2">
        <v>-5.08</v>
      </c>
      <c r="Z33" s="2">
        <v>-9.83</v>
      </c>
    </row>
    <row r="34" spans="1:26" x14ac:dyDescent="0.25">
      <c r="A34" s="1" t="s">
        <v>191</v>
      </c>
      <c r="B34" s="1" t="s">
        <v>192</v>
      </c>
      <c r="C34" s="1" t="s">
        <v>45</v>
      </c>
      <c r="D34" s="1" t="s">
        <v>38</v>
      </c>
      <c r="E34" s="1" t="s">
        <v>194</v>
      </c>
      <c r="F34" s="1" t="s">
        <v>193</v>
      </c>
      <c r="G34" s="1" t="s">
        <v>12480</v>
      </c>
      <c r="H34" s="1" t="s">
        <v>195</v>
      </c>
      <c r="I34" s="2">
        <v>95.62</v>
      </c>
      <c r="J34" s="2">
        <v>9.84</v>
      </c>
      <c r="K34" s="2">
        <v>9.43</v>
      </c>
      <c r="L34" s="2">
        <v>10.199999999999999</v>
      </c>
      <c r="M34" s="4">
        <f t="shared" si="0"/>
        <v>10.139978791092259</v>
      </c>
      <c r="N34" s="4">
        <f t="shared" si="1"/>
        <v>9.3745098039215691</v>
      </c>
      <c r="O34" s="5">
        <f t="shared" si="2"/>
        <v>-4.166666666666663E-2</v>
      </c>
      <c r="P34" s="5">
        <f t="shared" si="3"/>
        <v>8.1654294803817473E-2</v>
      </c>
      <c r="Q34" s="4">
        <f t="shared" si="4"/>
        <v>-2.4335949098621446</v>
      </c>
      <c r="R34" s="4">
        <f t="shared" si="5"/>
        <v>1.1480730837789681</v>
      </c>
      <c r="S34" s="4">
        <v>14.27</v>
      </c>
      <c r="T34" s="2">
        <v>0.4</v>
      </c>
      <c r="U34" s="2">
        <v>101.98</v>
      </c>
      <c r="V34" s="2">
        <v>84.72</v>
      </c>
      <c r="W34" s="2">
        <v>-5.38</v>
      </c>
      <c r="X34" s="2">
        <v>-0.46</v>
      </c>
      <c r="Y34" s="2">
        <v>-0.1</v>
      </c>
      <c r="Z34" s="2">
        <v>-0.31</v>
      </c>
    </row>
    <row r="35" spans="1:26" x14ac:dyDescent="0.25">
      <c r="A35" s="1" t="s">
        <v>196</v>
      </c>
      <c r="B35" s="1" t="s">
        <v>197</v>
      </c>
      <c r="C35" s="1" t="s">
        <v>45</v>
      </c>
      <c r="D35" s="1" t="s">
        <v>18</v>
      </c>
      <c r="E35" s="1" t="s">
        <v>199</v>
      </c>
      <c r="F35" s="1" t="s">
        <v>198</v>
      </c>
      <c r="G35" s="1" t="s">
        <v>12480</v>
      </c>
      <c r="H35" s="1" t="s">
        <v>200</v>
      </c>
      <c r="I35" s="2">
        <v>24.71</v>
      </c>
      <c r="J35" s="2" t="s">
        <v>12487</v>
      </c>
      <c r="K35" s="2">
        <v>1.57</v>
      </c>
      <c r="L35" s="2">
        <v>1.69</v>
      </c>
      <c r="M35" s="4">
        <f t="shared" si="0"/>
        <v>15.738853503184714</v>
      </c>
      <c r="N35" s="4">
        <f t="shared" si="1"/>
        <v>14.621301775147931</v>
      </c>
      <c r="O35" s="5">
        <f t="shared" si="2"/>
        <v>-0.21499999999999997</v>
      </c>
      <c r="P35" s="5">
        <f t="shared" si="3"/>
        <v>7.6433121019108263E-2</v>
      </c>
      <c r="Q35" s="4">
        <f t="shared" si="4"/>
        <v>-0.73203969782254497</v>
      </c>
      <c r="R35" s="4">
        <f t="shared" si="5"/>
        <v>1.9129536489151879</v>
      </c>
      <c r="S35" s="4">
        <v>5.04</v>
      </c>
      <c r="T35" s="2">
        <v>0.74</v>
      </c>
      <c r="U35" s="2">
        <v>30.57</v>
      </c>
      <c r="V35" s="2">
        <v>11.68</v>
      </c>
      <c r="W35" s="2">
        <v>5.42</v>
      </c>
      <c r="X35" s="2">
        <v>83.17</v>
      </c>
      <c r="Y35" s="2">
        <v>73.77</v>
      </c>
      <c r="Z35" s="2">
        <v>74.14</v>
      </c>
    </row>
    <row r="36" spans="1:26" x14ac:dyDescent="0.25">
      <c r="A36" s="1" t="s">
        <v>201</v>
      </c>
      <c r="B36" s="1" t="s">
        <v>202</v>
      </c>
      <c r="C36" s="1" t="s">
        <v>16</v>
      </c>
      <c r="D36" s="1" t="s">
        <v>204</v>
      </c>
      <c r="E36" s="1" t="s">
        <v>205</v>
      </c>
      <c r="F36" s="1" t="s">
        <v>203</v>
      </c>
      <c r="G36" s="1" t="s">
        <v>12480</v>
      </c>
      <c r="H36" s="1" t="s">
        <v>206</v>
      </c>
      <c r="I36" s="2">
        <v>6.52</v>
      </c>
      <c r="J36" s="2">
        <v>-0.63</v>
      </c>
      <c r="K36" s="2">
        <v>-0.6</v>
      </c>
      <c r="L36" s="2">
        <v>-0.59</v>
      </c>
      <c r="M36" s="4">
        <f t="shared" si="0"/>
        <v>-10.866666666666667</v>
      </c>
      <c r="N36" s="4">
        <f t="shared" si="1"/>
        <v>-11.050847457627118</v>
      </c>
      <c r="O36" s="5">
        <f t="shared" si="2"/>
        <v>-4.7619047619047672E-2</v>
      </c>
      <c r="P36" s="5">
        <f t="shared" si="3"/>
        <v>-1.6666666666666718E-2</v>
      </c>
      <c r="Q36" s="4">
        <f t="shared" si="4"/>
        <v>2.2819999999999974</v>
      </c>
      <c r="R36" s="4">
        <f t="shared" si="5"/>
        <v>6.6305084745762501</v>
      </c>
      <c r="S36" s="4"/>
      <c r="T36" s="2">
        <v>3.1</v>
      </c>
      <c r="U36" s="2">
        <v>13.64</v>
      </c>
      <c r="V36" s="2">
        <v>6.2</v>
      </c>
      <c r="W36" s="2">
        <v>-13.3</v>
      </c>
      <c r="X36" s="2">
        <v>-11.53</v>
      </c>
      <c r="Y36" s="2">
        <v>-16.73</v>
      </c>
      <c r="Z36" s="2">
        <v>-13.3</v>
      </c>
    </row>
    <row r="37" spans="1:26" x14ac:dyDescent="0.25">
      <c r="A37" s="1" t="s">
        <v>207</v>
      </c>
      <c r="B37" s="1" t="s">
        <v>208</v>
      </c>
      <c r="C37" s="1" t="s">
        <v>16</v>
      </c>
      <c r="D37" s="1" t="s">
        <v>128</v>
      </c>
      <c r="E37" s="1" t="s">
        <v>210</v>
      </c>
      <c r="F37" s="1" t="s">
        <v>209</v>
      </c>
      <c r="G37" s="1" t="s">
        <v>12487</v>
      </c>
      <c r="H37" s="1" t="s">
        <v>211</v>
      </c>
      <c r="I37" s="2">
        <v>17.23</v>
      </c>
      <c r="J37" s="2">
        <v>2.34</v>
      </c>
      <c r="K37" s="2">
        <v>2.2599999999999998</v>
      </c>
      <c r="L37" s="2">
        <v>2.37</v>
      </c>
      <c r="M37" s="4">
        <f t="shared" si="0"/>
        <v>7.6238938053097351</v>
      </c>
      <c r="N37" s="4">
        <f t="shared" si="1"/>
        <v>7.2700421940928273</v>
      </c>
      <c r="O37" s="5">
        <f t="shared" si="2"/>
        <v>-3.4188034188034178E-2</v>
      </c>
      <c r="P37" s="5">
        <f t="shared" si="3"/>
        <v>4.8672566371681603E-2</v>
      </c>
      <c r="Q37" s="4">
        <f t="shared" si="4"/>
        <v>-2.2299889380530984</v>
      </c>
      <c r="R37" s="4">
        <f t="shared" si="5"/>
        <v>1.4936632144227024</v>
      </c>
      <c r="S37" s="4">
        <v>1.46</v>
      </c>
      <c r="T37" s="2">
        <v>0.48</v>
      </c>
      <c r="U37" s="2">
        <v>22.91</v>
      </c>
      <c r="V37" s="2">
        <v>16.09</v>
      </c>
      <c r="W37" s="2">
        <v>-2.66</v>
      </c>
      <c r="X37" s="2">
        <v>-5.12</v>
      </c>
      <c r="Y37" s="2">
        <v>-0.57999999999999996</v>
      </c>
      <c r="Z37" s="2">
        <v>0.35</v>
      </c>
    </row>
    <row r="38" spans="1:26" x14ac:dyDescent="0.25">
      <c r="A38" s="1" t="s">
        <v>212</v>
      </c>
      <c r="B38" s="1" t="s">
        <v>213</v>
      </c>
      <c r="C38" s="1" t="s">
        <v>45</v>
      </c>
      <c r="D38" s="1" t="s">
        <v>32</v>
      </c>
      <c r="E38" s="1" t="s">
        <v>215</v>
      </c>
      <c r="F38" s="1" t="s">
        <v>214</v>
      </c>
      <c r="G38" s="1" t="s">
        <v>12480</v>
      </c>
      <c r="H38" s="1" t="s">
        <v>216</v>
      </c>
      <c r="I38" s="2">
        <v>42.63</v>
      </c>
      <c r="J38" s="2">
        <v>2.83</v>
      </c>
      <c r="K38" s="2">
        <v>3.41</v>
      </c>
      <c r="L38" s="2">
        <v>3.72</v>
      </c>
      <c r="M38" s="4">
        <f t="shared" si="0"/>
        <v>12.501466275659824</v>
      </c>
      <c r="N38" s="4">
        <f t="shared" si="1"/>
        <v>11.459677419354838</v>
      </c>
      <c r="O38" s="5">
        <f t="shared" si="2"/>
        <v>0.20494699646643122</v>
      </c>
      <c r="P38" s="5">
        <f t="shared" si="3"/>
        <v>9.0909090909090828E-2</v>
      </c>
      <c r="Q38" s="4">
        <f t="shared" si="4"/>
        <v>0.60998533724340143</v>
      </c>
      <c r="R38" s="4">
        <f t="shared" si="5"/>
        <v>1.2605645161290333</v>
      </c>
      <c r="S38" s="4">
        <v>10.38</v>
      </c>
      <c r="T38" s="2">
        <v>1.07</v>
      </c>
      <c r="U38" s="2">
        <v>57.17</v>
      </c>
      <c r="V38" s="2">
        <v>38.47</v>
      </c>
      <c r="W38" s="2">
        <v>5.65</v>
      </c>
      <c r="X38" s="2">
        <v>1.91</v>
      </c>
      <c r="Y38" s="2">
        <v>-8.66</v>
      </c>
      <c r="Z38" s="2">
        <v>-10.84</v>
      </c>
    </row>
    <row r="39" spans="1:26" x14ac:dyDescent="0.25">
      <c r="A39" s="1" t="s">
        <v>217</v>
      </c>
      <c r="B39" s="1" t="s">
        <v>218</v>
      </c>
      <c r="C39" s="1" t="s">
        <v>31</v>
      </c>
      <c r="D39" s="1" t="s">
        <v>25</v>
      </c>
      <c r="E39" s="1" t="s">
        <v>220</v>
      </c>
      <c r="F39" s="1" t="s">
        <v>219</v>
      </c>
      <c r="G39" s="1" t="s">
        <v>12480</v>
      </c>
      <c r="H39" s="1" t="s">
        <v>221</v>
      </c>
      <c r="I39" s="2">
        <v>84.84</v>
      </c>
      <c r="J39" s="2">
        <v>1.81</v>
      </c>
      <c r="K39" s="2"/>
      <c r="L39" s="2"/>
      <c r="M39" s="4" t="e">
        <f t="shared" si="0"/>
        <v>#DIV/0!</v>
      </c>
      <c r="N39" s="4" t="e">
        <f t="shared" si="1"/>
        <v>#DIV/0!</v>
      </c>
      <c r="O39" s="5">
        <f t="shared" si="2"/>
        <v>-1</v>
      </c>
      <c r="P39" s="5" t="e">
        <f t="shared" si="3"/>
        <v>#DIV/0!</v>
      </c>
      <c r="Q39" s="4" t="e">
        <f t="shared" si="4"/>
        <v>#DIV/0!</v>
      </c>
      <c r="R39" s="4" t="e">
        <f t="shared" si="5"/>
        <v>#DIV/0!</v>
      </c>
      <c r="S39" s="4">
        <v>11.77</v>
      </c>
      <c r="T39" s="2">
        <v>1.46</v>
      </c>
      <c r="U39" s="2">
        <v>96.44</v>
      </c>
      <c r="V39" s="2">
        <v>41.2</v>
      </c>
      <c r="W39" s="2">
        <v>-9.33</v>
      </c>
      <c r="X39" s="2">
        <v>-11.98</v>
      </c>
      <c r="Y39" s="2" t="s">
        <v>12496</v>
      </c>
      <c r="Z39" s="2">
        <v>9.15</v>
      </c>
    </row>
    <row r="40" spans="1:26" x14ac:dyDescent="0.25">
      <c r="A40" s="1" t="s">
        <v>223</v>
      </c>
      <c r="B40" s="1" t="s">
        <v>224</v>
      </c>
      <c r="C40" s="1" t="s">
        <v>45</v>
      </c>
      <c r="D40" s="1" t="s">
        <v>32</v>
      </c>
      <c r="E40" s="1" t="s">
        <v>226</v>
      </c>
      <c r="F40" s="1" t="s">
        <v>225</v>
      </c>
      <c r="G40" s="1" t="s">
        <v>12480</v>
      </c>
      <c r="H40" s="1" t="s">
        <v>227</v>
      </c>
      <c r="I40" s="2">
        <v>84.06</v>
      </c>
      <c r="J40" s="2">
        <v>4.88</v>
      </c>
      <c r="K40" s="2">
        <v>3.54</v>
      </c>
      <c r="L40" s="2">
        <v>4.46</v>
      </c>
      <c r="M40" s="4">
        <f t="shared" si="0"/>
        <v>23.745762711864408</v>
      </c>
      <c r="N40" s="4">
        <f t="shared" si="1"/>
        <v>18.847533632286996</v>
      </c>
      <c r="O40" s="5">
        <f t="shared" si="2"/>
        <v>-0.27459016393442626</v>
      </c>
      <c r="P40" s="5">
        <f t="shared" si="3"/>
        <v>0.25988700564971756</v>
      </c>
      <c r="Q40" s="4">
        <f t="shared" si="4"/>
        <v>-0.86477105995446502</v>
      </c>
      <c r="R40" s="4">
        <f t="shared" si="5"/>
        <v>0.72522031585104296</v>
      </c>
      <c r="S40" s="4">
        <v>-17.57</v>
      </c>
      <c r="T40" s="2">
        <v>1.78</v>
      </c>
      <c r="U40" s="2">
        <v>100.44</v>
      </c>
      <c r="V40" s="2">
        <v>42.42</v>
      </c>
      <c r="W40" s="2">
        <v>-2.91</v>
      </c>
      <c r="X40" s="2">
        <v>-1.65</v>
      </c>
      <c r="Y40" s="2">
        <v>-3.67</v>
      </c>
      <c r="Z40" s="2">
        <v>4.63</v>
      </c>
    </row>
    <row r="41" spans="1:26" x14ac:dyDescent="0.25">
      <c r="A41" s="1" t="s">
        <v>228</v>
      </c>
      <c r="B41" s="1" t="s">
        <v>229</v>
      </c>
      <c r="C41" s="1" t="s">
        <v>45</v>
      </c>
      <c r="D41" s="1" t="s">
        <v>18</v>
      </c>
      <c r="E41" s="1" t="s">
        <v>74</v>
      </c>
      <c r="F41" s="1" t="s">
        <v>230</v>
      </c>
      <c r="G41" s="1" t="s">
        <v>12480</v>
      </c>
      <c r="H41" s="1" t="s">
        <v>231</v>
      </c>
      <c r="I41" s="2">
        <v>114.5</v>
      </c>
      <c r="J41" s="2">
        <v>-4.07</v>
      </c>
      <c r="K41" s="2">
        <v>-3.13</v>
      </c>
      <c r="L41" s="2">
        <v>-1.36</v>
      </c>
      <c r="M41" s="4">
        <f t="shared" si="0"/>
        <v>-36.581469648562305</v>
      </c>
      <c r="N41" s="4">
        <f t="shared" si="1"/>
        <v>-84.191176470588232</v>
      </c>
      <c r="O41" s="5">
        <f t="shared" si="2"/>
        <v>-0.23095823095823109</v>
      </c>
      <c r="P41" s="5">
        <f t="shared" si="3"/>
        <v>-0.56549520766773154</v>
      </c>
      <c r="Q41" s="4">
        <f t="shared" si="4"/>
        <v>1.5838998028686009</v>
      </c>
      <c r="R41" s="4">
        <f t="shared" si="5"/>
        <v>1.4888044200731141</v>
      </c>
      <c r="S41" s="4">
        <v>-79.349999999999994</v>
      </c>
      <c r="T41" s="2">
        <v>0.23</v>
      </c>
      <c r="U41" s="2">
        <v>114.5</v>
      </c>
      <c r="V41" s="2">
        <v>52.8</v>
      </c>
      <c r="W41" s="2">
        <v>0.39</v>
      </c>
      <c r="X41" s="2">
        <v>66.42</v>
      </c>
      <c r="Y41" s="2">
        <v>67.540000000000006</v>
      </c>
      <c r="Z41" s="2">
        <v>75.61</v>
      </c>
    </row>
    <row r="42" spans="1:26" x14ac:dyDescent="0.25">
      <c r="A42" s="1" t="s">
        <v>234</v>
      </c>
      <c r="B42" s="1" t="s">
        <v>235</v>
      </c>
      <c r="C42" s="1" t="s">
        <v>16</v>
      </c>
      <c r="D42" s="1" t="s">
        <v>61</v>
      </c>
      <c r="E42" s="1" t="s">
        <v>237</v>
      </c>
      <c r="F42" s="1" t="s">
        <v>236</v>
      </c>
      <c r="G42" s="1" t="s">
        <v>12485</v>
      </c>
      <c r="H42" s="1" t="s">
        <v>238</v>
      </c>
      <c r="I42" s="2">
        <v>94.08</v>
      </c>
      <c r="J42" s="2">
        <v>5.26</v>
      </c>
      <c r="K42" s="2">
        <v>5.97</v>
      </c>
      <c r="L42" s="2">
        <v>6.69</v>
      </c>
      <c r="M42" s="4">
        <f t="shared" si="0"/>
        <v>15.758793969849247</v>
      </c>
      <c r="N42" s="4">
        <f t="shared" si="1"/>
        <v>14.062780269058296</v>
      </c>
      <c r="O42" s="5">
        <f t="shared" si="2"/>
        <v>0.13498098859315588</v>
      </c>
      <c r="P42" s="5">
        <f t="shared" si="3"/>
        <v>0.12060301507537696</v>
      </c>
      <c r="Q42" s="4">
        <f t="shared" si="4"/>
        <v>1.167482482836719</v>
      </c>
      <c r="R42" s="4">
        <f t="shared" si="5"/>
        <v>1.166038863976083</v>
      </c>
      <c r="S42" s="4">
        <v>0.21</v>
      </c>
      <c r="T42" s="2">
        <v>1.06</v>
      </c>
      <c r="U42" s="2">
        <v>134.35</v>
      </c>
      <c r="V42" s="2">
        <v>87.19</v>
      </c>
      <c r="W42" s="2">
        <v>-3.29</v>
      </c>
      <c r="X42" s="2">
        <v>-8.39</v>
      </c>
      <c r="Y42" s="2">
        <v>-3.96</v>
      </c>
      <c r="Z42" s="2">
        <v>-1.31</v>
      </c>
    </row>
    <row r="43" spans="1:26" x14ac:dyDescent="0.25">
      <c r="A43" s="1" t="s">
        <v>239</v>
      </c>
      <c r="B43" s="1" t="s">
        <v>240</v>
      </c>
      <c r="C43" s="1" t="s">
        <v>45</v>
      </c>
      <c r="D43" s="1" t="s">
        <v>32</v>
      </c>
      <c r="E43" s="1" t="s">
        <v>242</v>
      </c>
      <c r="F43" s="1" t="s">
        <v>241</v>
      </c>
      <c r="G43" s="1" t="s">
        <v>12480</v>
      </c>
      <c r="H43" s="1" t="s">
        <v>243</v>
      </c>
      <c r="I43" s="2">
        <v>46.69</v>
      </c>
      <c r="J43" s="2">
        <v>1.61</v>
      </c>
      <c r="K43" s="2">
        <v>1.7</v>
      </c>
      <c r="L43" s="2">
        <v>2.4</v>
      </c>
      <c r="M43" s="4">
        <f t="shared" si="0"/>
        <v>27.464705882352941</v>
      </c>
      <c r="N43" s="4">
        <f t="shared" si="1"/>
        <v>19.454166666666666</v>
      </c>
      <c r="O43" s="5">
        <f t="shared" si="2"/>
        <v>5.5900621118012417E-2</v>
      </c>
      <c r="P43" s="5">
        <f t="shared" si="3"/>
        <v>0.41176470588235303</v>
      </c>
      <c r="Q43" s="4">
        <f t="shared" si="4"/>
        <v>4.9131307189542488</v>
      </c>
      <c r="R43" s="4">
        <f t="shared" si="5"/>
        <v>0.4724583333333332</v>
      </c>
      <c r="S43" s="4">
        <v>15.24</v>
      </c>
      <c r="T43" s="2">
        <v>1.49</v>
      </c>
      <c r="U43" s="2">
        <v>70.680000000000007</v>
      </c>
      <c r="V43" s="2">
        <v>18.329999999999998</v>
      </c>
      <c r="W43" s="2">
        <v>-18.25</v>
      </c>
      <c r="X43" s="2">
        <v>-25.46</v>
      </c>
      <c r="Y43" s="2">
        <v>23.75</v>
      </c>
      <c r="Z43" s="2">
        <v>18.350000000000001</v>
      </c>
    </row>
    <row r="44" spans="1:26" x14ac:dyDescent="0.25">
      <c r="A44" s="1" t="s">
        <v>245</v>
      </c>
      <c r="B44" s="1" t="s">
        <v>246</v>
      </c>
      <c r="C44" s="1" t="s">
        <v>16</v>
      </c>
      <c r="D44" s="1" t="s">
        <v>32</v>
      </c>
      <c r="E44" s="1" t="s">
        <v>248</v>
      </c>
      <c r="F44" s="1" t="s">
        <v>247</v>
      </c>
      <c r="G44" s="1" t="s">
        <v>12497</v>
      </c>
      <c r="H44" s="1" t="s">
        <v>249</v>
      </c>
      <c r="I44" s="2">
        <v>209.36</v>
      </c>
      <c r="J44" s="2">
        <v>12.93</v>
      </c>
      <c r="K44" s="2">
        <v>13.87</v>
      </c>
      <c r="L44" s="2">
        <v>14.92</v>
      </c>
      <c r="M44" s="4">
        <f t="shared" si="0"/>
        <v>15.094448449891855</v>
      </c>
      <c r="N44" s="4">
        <f t="shared" si="1"/>
        <v>14.032171581769438</v>
      </c>
      <c r="O44" s="5">
        <f t="shared" si="2"/>
        <v>7.2699149265274432E-2</v>
      </c>
      <c r="P44" s="5">
        <f t="shared" si="3"/>
        <v>7.5702956020187617E-2</v>
      </c>
      <c r="Q44" s="4">
        <f t="shared" si="4"/>
        <v>2.0762895580542766</v>
      </c>
      <c r="R44" s="4">
        <f t="shared" si="5"/>
        <v>1.8535830460870637</v>
      </c>
      <c r="S44" s="4">
        <v>7.36</v>
      </c>
      <c r="T44" s="2">
        <v>1.27</v>
      </c>
      <c r="U44" s="2">
        <v>342.18</v>
      </c>
      <c r="V44" s="2">
        <v>191.5</v>
      </c>
      <c r="W44" s="2">
        <v>1.67</v>
      </c>
      <c r="X44" s="2">
        <v>-11.57</v>
      </c>
      <c r="Y44" s="2">
        <v>-23.78</v>
      </c>
      <c r="Z44" s="2">
        <v>-21.97</v>
      </c>
    </row>
    <row r="45" spans="1:26" x14ac:dyDescent="0.25">
      <c r="A45" s="1" t="s">
        <v>251</v>
      </c>
      <c r="B45" s="1" t="s">
        <v>252</v>
      </c>
      <c r="C45" s="1" t="s">
        <v>45</v>
      </c>
      <c r="D45" s="1" t="s">
        <v>38</v>
      </c>
      <c r="E45" s="1" t="s">
        <v>254</v>
      </c>
      <c r="F45" s="1" t="s">
        <v>253</v>
      </c>
      <c r="G45" s="1" t="s">
        <v>12480</v>
      </c>
      <c r="H45" s="1" t="s">
        <v>255</v>
      </c>
      <c r="I45" s="2">
        <v>41.72</v>
      </c>
      <c r="J45" s="2">
        <v>4.6100000000000003</v>
      </c>
      <c r="K45" s="2">
        <v>4.82</v>
      </c>
      <c r="L45" s="2">
        <v>5.14</v>
      </c>
      <c r="M45" s="4">
        <f t="shared" si="0"/>
        <v>8.6556016597510368</v>
      </c>
      <c r="N45" s="4">
        <f t="shared" si="1"/>
        <v>8.1167315175097272</v>
      </c>
      <c r="O45" s="5">
        <f t="shared" si="2"/>
        <v>4.5553145336225676E-2</v>
      </c>
      <c r="P45" s="5">
        <f t="shared" si="3"/>
        <v>6.6390041493775698E-2</v>
      </c>
      <c r="Q45" s="4">
        <f t="shared" si="4"/>
        <v>1.9001106500691529</v>
      </c>
      <c r="R45" s="4">
        <f t="shared" si="5"/>
        <v>1.2225826848249071</v>
      </c>
      <c r="S45" s="4">
        <v>2.83</v>
      </c>
      <c r="T45" s="2">
        <v>0.54</v>
      </c>
      <c r="U45" s="2">
        <v>44.19</v>
      </c>
      <c r="V45" s="2">
        <v>31.91</v>
      </c>
      <c r="W45" s="2">
        <v>-1.7</v>
      </c>
      <c r="X45" s="2">
        <v>-1.58</v>
      </c>
      <c r="Y45" s="2">
        <v>3.6</v>
      </c>
      <c r="Z45" s="2">
        <v>5.25</v>
      </c>
    </row>
    <row r="46" spans="1:26" x14ac:dyDescent="0.25">
      <c r="A46" s="1" t="s">
        <v>256</v>
      </c>
      <c r="B46" s="1" t="s">
        <v>257</v>
      </c>
      <c r="C46" s="1" t="s">
        <v>45</v>
      </c>
      <c r="D46" s="1" t="s">
        <v>38</v>
      </c>
      <c r="E46" s="1" t="s">
        <v>259</v>
      </c>
      <c r="F46" s="1" t="s">
        <v>258</v>
      </c>
      <c r="G46" s="1" t="s">
        <v>12480</v>
      </c>
      <c r="H46" s="1" t="s">
        <v>260</v>
      </c>
      <c r="I46" s="2">
        <v>143.05000000000001</v>
      </c>
      <c r="J46" s="2"/>
      <c r="K46" s="2"/>
      <c r="L46" s="2"/>
      <c r="M46" s="4" t="e">
        <f t="shared" si="0"/>
        <v>#DIV/0!</v>
      </c>
      <c r="N46" s="4" t="e">
        <f t="shared" si="1"/>
        <v>#DIV/0!</v>
      </c>
      <c r="O46" s="5" t="e">
        <f t="shared" si="2"/>
        <v>#DIV/0!</v>
      </c>
      <c r="P46" s="5" t="e">
        <f t="shared" si="3"/>
        <v>#DIV/0!</v>
      </c>
      <c r="Q46" s="4" t="e">
        <f t="shared" si="4"/>
        <v>#DIV/0!</v>
      </c>
      <c r="R46" s="4" t="e">
        <f t="shared" si="5"/>
        <v>#DIV/0!</v>
      </c>
      <c r="S46" s="4"/>
      <c r="T46" s="2">
        <v>0.91</v>
      </c>
      <c r="U46" s="2">
        <v>148.65</v>
      </c>
      <c r="V46" s="2">
        <v>103.59</v>
      </c>
      <c r="W46" s="2">
        <v>-2.39</v>
      </c>
      <c r="X46" s="2">
        <v>-2.96</v>
      </c>
      <c r="Y46" s="2">
        <v>0.88</v>
      </c>
      <c r="Z46" s="2">
        <v>1.1000000000000001</v>
      </c>
    </row>
    <row r="47" spans="1:26" x14ac:dyDescent="0.25">
      <c r="A47" s="1" t="s">
        <v>261</v>
      </c>
      <c r="B47" s="1" t="s">
        <v>262</v>
      </c>
      <c r="C47" s="1" t="s">
        <v>16</v>
      </c>
      <c r="D47" s="1" t="s">
        <v>32</v>
      </c>
      <c r="E47" s="1" t="s">
        <v>264</v>
      </c>
      <c r="F47" s="1" t="s">
        <v>263</v>
      </c>
      <c r="G47" s="1" t="s">
        <v>12480</v>
      </c>
      <c r="H47" s="1" t="s">
        <v>12498</v>
      </c>
      <c r="I47" s="2">
        <v>49.06</v>
      </c>
      <c r="J47" s="2">
        <v>1.66</v>
      </c>
      <c r="K47" s="2">
        <v>5.01</v>
      </c>
      <c r="L47" s="2">
        <v>0.79</v>
      </c>
      <c r="M47" s="4">
        <f t="shared" si="0"/>
        <v>9.7924151696606803</v>
      </c>
      <c r="N47" s="4">
        <f t="shared" si="1"/>
        <v>62.101265822784811</v>
      </c>
      <c r="O47" s="5">
        <f t="shared" si="2"/>
        <v>2.0180722891566267</v>
      </c>
      <c r="P47" s="5">
        <f t="shared" si="3"/>
        <v>-0.8423153692614771</v>
      </c>
      <c r="Q47" s="4">
        <f t="shared" si="4"/>
        <v>4.8523609497423063E-2</v>
      </c>
      <c r="R47" s="4">
        <f t="shared" si="5"/>
        <v>-0.73726858239846416</v>
      </c>
      <c r="S47" s="4">
        <v>-95.68</v>
      </c>
      <c r="T47" s="2">
        <v>0.18</v>
      </c>
      <c r="U47" s="2">
        <v>77.010000000000005</v>
      </c>
      <c r="V47" s="2">
        <v>44.45</v>
      </c>
      <c r="W47" s="2">
        <v>1.55</v>
      </c>
      <c r="X47" s="2">
        <v>0.14000000000000001</v>
      </c>
      <c r="Y47" s="2">
        <v>0.1</v>
      </c>
      <c r="Z47" s="2">
        <v>-8.5</v>
      </c>
    </row>
    <row r="48" spans="1:26" x14ac:dyDescent="0.25">
      <c r="A48" s="1" t="s">
        <v>267</v>
      </c>
      <c r="B48" s="1" t="s">
        <v>268</v>
      </c>
      <c r="C48" s="1" t="s">
        <v>45</v>
      </c>
      <c r="D48" s="1" t="s">
        <v>32</v>
      </c>
      <c r="E48" s="1" t="s">
        <v>215</v>
      </c>
      <c r="F48" s="1" t="s">
        <v>269</v>
      </c>
      <c r="G48" s="1" t="s">
        <v>12499</v>
      </c>
      <c r="H48" s="1" t="s">
        <v>270</v>
      </c>
      <c r="I48" s="2">
        <v>282.44</v>
      </c>
      <c r="J48" s="2">
        <v>20.94</v>
      </c>
      <c r="K48" s="2">
        <v>23.44</v>
      </c>
      <c r="L48" s="2">
        <v>26.54</v>
      </c>
      <c r="M48" s="4">
        <f t="shared" si="0"/>
        <v>12.049488054607508</v>
      </c>
      <c r="N48" s="4">
        <f t="shared" si="1"/>
        <v>10.642049736247174</v>
      </c>
      <c r="O48" s="5">
        <f t="shared" si="2"/>
        <v>0.11938872970391601</v>
      </c>
      <c r="P48" s="5">
        <f t="shared" si="3"/>
        <v>0.13225255972696237</v>
      </c>
      <c r="Q48" s="4">
        <f t="shared" si="4"/>
        <v>1.0092651194539244</v>
      </c>
      <c r="R48" s="4">
        <f t="shared" si="5"/>
        <v>0.80467627683107712</v>
      </c>
      <c r="S48" s="4">
        <v>10.53</v>
      </c>
      <c r="T48" s="2">
        <v>1.53</v>
      </c>
      <c r="U48" s="2">
        <v>449.4</v>
      </c>
      <c r="V48" s="2">
        <v>246.68</v>
      </c>
      <c r="W48" s="2">
        <v>8.26</v>
      </c>
      <c r="X48" s="2">
        <v>5.82</v>
      </c>
      <c r="Y48" s="2">
        <v>-19.57</v>
      </c>
      <c r="Z48" s="2">
        <v>-19.3</v>
      </c>
    </row>
    <row r="49" spans="1:26" x14ac:dyDescent="0.25">
      <c r="A49" s="1" t="s">
        <v>271</v>
      </c>
      <c r="B49" s="1" t="s">
        <v>272</v>
      </c>
      <c r="C49" s="1" t="s">
        <v>16</v>
      </c>
      <c r="D49" s="1" t="s">
        <v>38</v>
      </c>
      <c r="E49" s="1" t="s">
        <v>83</v>
      </c>
      <c r="F49" s="1" t="s">
        <v>273</v>
      </c>
      <c r="G49" s="1" t="s">
        <v>12480</v>
      </c>
      <c r="H49" s="1" t="s">
        <v>274</v>
      </c>
      <c r="I49" s="2">
        <v>81.06</v>
      </c>
      <c r="J49" s="2">
        <v>4.33</v>
      </c>
      <c r="K49" s="2">
        <v>4.53</v>
      </c>
      <c r="L49" s="2">
        <v>4.76</v>
      </c>
      <c r="M49" s="4">
        <f t="shared" si="0"/>
        <v>17.894039735099337</v>
      </c>
      <c r="N49" s="4">
        <f t="shared" si="1"/>
        <v>17.029411764705884</v>
      </c>
      <c r="O49" s="5">
        <f t="shared" si="2"/>
        <v>4.6189376443418029E-2</v>
      </c>
      <c r="P49" s="5">
        <f t="shared" si="3"/>
        <v>5.0772626931567144E-2</v>
      </c>
      <c r="Q49" s="4">
        <f t="shared" si="4"/>
        <v>3.8740596026490053</v>
      </c>
      <c r="R49" s="4">
        <f t="shared" si="5"/>
        <v>3.3540537084399102</v>
      </c>
      <c r="S49" s="4">
        <v>16.420000000000002</v>
      </c>
      <c r="T49" s="2">
        <v>0.52</v>
      </c>
      <c r="U49" s="2">
        <v>81.92</v>
      </c>
      <c r="V49" s="2">
        <v>70.22</v>
      </c>
      <c r="W49" s="2">
        <v>-0.09</v>
      </c>
      <c r="X49" s="2">
        <v>7.65</v>
      </c>
      <c r="Y49" s="2">
        <v>12.82</v>
      </c>
      <c r="Z49" s="2">
        <v>12.54</v>
      </c>
    </row>
    <row r="50" spans="1:26" x14ac:dyDescent="0.25">
      <c r="A50" s="1" t="s">
        <v>276</v>
      </c>
      <c r="B50" s="1" t="s">
        <v>277</v>
      </c>
      <c r="C50" s="1" t="s">
        <v>31</v>
      </c>
      <c r="D50" s="1" t="s">
        <v>147</v>
      </c>
      <c r="E50" s="1" t="s">
        <v>279</v>
      </c>
      <c r="F50" s="1" t="s">
        <v>278</v>
      </c>
      <c r="G50" s="1" t="s">
        <v>12480</v>
      </c>
      <c r="H50" s="1" t="s">
        <v>280</v>
      </c>
      <c r="I50" s="2">
        <v>82.55</v>
      </c>
      <c r="J50" s="2">
        <v>4.22</v>
      </c>
      <c r="K50" s="2">
        <v>5.68</v>
      </c>
      <c r="L50" s="2">
        <v>6.81</v>
      </c>
      <c r="M50" s="4">
        <f t="shared" si="0"/>
        <v>14.533450704225352</v>
      </c>
      <c r="N50" s="4">
        <f t="shared" si="1"/>
        <v>12.121879588839942</v>
      </c>
      <c r="O50" s="5">
        <f t="shared" si="2"/>
        <v>0.34597156398104256</v>
      </c>
      <c r="P50" s="5">
        <f t="shared" si="3"/>
        <v>0.198943661971831</v>
      </c>
      <c r="Q50" s="4">
        <f t="shared" si="4"/>
        <v>0.42007645186185621</v>
      </c>
      <c r="R50" s="4">
        <f t="shared" si="5"/>
        <v>0.60931217756292799</v>
      </c>
      <c r="S50" s="4">
        <v>9.5</v>
      </c>
      <c r="T50" s="2">
        <v>1.1499999999999999</v>
      </c>
      <c r="U50" s="2">
        <v>129.96</v>
      </c>
      <c r="V50" s="2">
        <v>82.55</v>
      </c>
      <c r="W50" s="2">
        <v>-7.03</v>
      </c>
      <c r="X50" s="2">
        <v>-9.99</v>
      </c>
      <c r="Y50" s="2">
        <v>-15.51</v>
      </c>
      <c r="Z50" s="2">
        <v>-16.489999999999998</v>
      </c>
    </row>
    <row r="51" spans="1:26" x14ac:dyDescent="0.25">
      <c r="A51" s="1" t="s">
        <v>281</v>
      </c>
      <c r="B51" s="1" t="s">
        <v>282</v>
      </c>
      <c r="C51" s="1" t="s">
        <v>45</v>
      </c>
      <c r="D51" s="1" t="s">
        <v>140</v>
      </c>
      <c r="E51" s="1" t="s">
        <v>284</v>
      </c>
      <c r="F51" s="1" t="s">
        <v>283</v>
      </c>
      <c r="G51" s="1" t="s">
        <v>12480</v>
      </c>
      <c r="H51" s="1" t="s">
        <v>285</v>
      </c>
      <c r="I51" s="2">
        <v>22.31</v>
      </c>
      <c r="J51" s="2">
        <v>1.65</v>
      </c>
      <c r="K51" s="2">
        <v>1.39</v>
      </c>
      <c r="L51" s="2">
        <v>1.69</v>
      </c>
      <c r="M51" s="4">
        <f t="shared" si="0"/>
        <v>16.050359712230215</v>
      </c>
      <c r="N51" s="4">
        <f t="shared" si="1"/>
        <v>13.201183431952662</v>
      </c>
      <c r="O51" s="5">
        <f t="shared" si="2"/>
        <v>-0.15757575757575759</v>
      </c>
      <c r="P51" s="5">
        <f t="shared" si="3"/>
        <v>0.21582733812949639</v>
      </c>
      <c r="Q51" s="4">
        <f t="shared" si="4"/>
        <v>-1.0185805201992251</v>
      </c>
      <c r="R51" s="4">
        <f t="shared" si="5"/>
        <v>0.61165483234714002</v>
      </c>
      <c r="S51" s="4">
        <v>17.91</v>
      </c>
      <c r="T51" s="2">
        <v>1.41</v>
      </c>
      <c r="U51" s="2">
        <v>22.31</v>
      </c>
      <c r="V51" s="2">
        <v>11.23</v>
      </c>
      <c r="W51" s="2">
        <v>9.6300000000000008</v>
      </c>
      <c r="X51" s="2">
        <v>16.2</v>
      </c>
      <c r="Y51" s="2">
        <v>73.75</v>
      </c>
      <c r="Z51" s="2">
        <v>29.33</v>
      </c>
    </row>
    <row r="52" spans="1:26" x14ac:dyDescent="0.25">
      <c r="A52" s="1" t="s">
        <v>287</v>
      </c>
      <c r="B52" s="1" t="s">
        <v>288</v>
      </c>
      <c r="C52" s="1" t="s">
        <v>45</v>
      </c>
      <c r="D52" s="1" t="s">
        <v>32</v>
      </c>
      <c r="E52" s="1" t="s">
        <v>290</v>
      </c>
      <c r="F52" s="1" t="s">
        <v>289</v>
      </c>
      <c r="G52" s="1" t="s">
        <v>12479</v>
      </c>
      <c r="H52" s="1" t="s">
        <v>291</v>
      </c>
      <c r="I52" s="2">
        <v>319.70999999999998</v>
      </c>
      <c r="J52" s="2">
        <v>7.79</v>
      </c>
      <c r="K52" s="2">
        <v>11.22</v>
      </c>
      <c r="L52" s="2">
        <v>12.43</v>
      </c>
      <c r="M52" s="4">
        <f t="shared" si="0"/>
        <v>28.49465240641711</v>
      </c>
      <c r="N52" s="4">
        <f t="shared" si="1"/>
        <v>25.720836685438453</v>
      </c>
      <c r="O52" s="5">
        <f t="shared" si="2"/>
        <v>0.44030808729139936</v>
      </c>
      <c r="P52" s="5">
        <f t="shared" si="3"/>
        <v>0.1078431372549018</v>
      </c>
      <c r="Q52" s="4">
        <f t="shared" si="4"/>
        <v>0.64715260130026009</v>
      </c>
      <c r="R52" s="4">
        <f t="shared" si="5"/>
        <v>2.3850230381042965</v>
      </c>
      <c r="S52" s="4">
        <v>16.89</v>
      </c>
      <c r="T52" s="2" t="s">
        <v>12493</v>
      </c>
      <c r="U52" s="2">
        <v>360.8</v>
      </c>
      <c r="V52" s="2">
        <v>164.6</v>
      </c>
      <c r="W52" s="2">
        <v>-9.2799999999999994</v>
      </c>
      <c r="X52" s="2">
        <v>-1.01</v>
      </c>
      <c r="Y52" s="2" t="s">
        <v>12501</v>
      </c>
      <c r="Z52" s="2">
        <v>17.89</v>
      </c>
    </row>
    <row r="53" spans="1:26" x14ac:dyDescent="0.25">
      <c r="A53" s="1" t="s">
        <v>293</v>
      </c>
      <c r="B53" s="1" t="s">
        <v>294</v>
      </c>
      <c r="C53" s="1" t="s">
        <v>16</v>
      </c>
      <c r="D53" s="1" t="s">
        <v>128</v>
      </c>
      <c r="E53" s="1" t="s">
        <v>296</v>
      </c>
      <c r="F53" s="1" t="s">
        <v>295</v>
      </c>
      <c r="G53" s="1" t="s">
        <v>12480</v>
      </c>
      <c r="H53" s="1" t="s">
        <v>297</v>
      </c>
      <c r="I53" s="2">
        <v>67.92</v>
      </c>
      <c r="J53" s="2">
        <v>3.43</v>
      </c>
      <c r="K53" s="2">
        <v>3.95</v>
      </c>
      <c r="L53" s="2">
        <v>4.49</v>
      </c>
      <c r="M53" s="4">
        <f t="shared" si="0"/>
        <v>17.194936708860759</v>
      </c>
      <c r="N53" s="4">
        <f t="shared" si="1"/>
        <v>15.126948775055679</v>
      </c>
      <c r="O53" s="5">
        <f t="shared" si="2"/>
        <v>0.15160349854227406</v>
      </c>
      <c r="P53" s="5">
        <f t="shared" si="3"/>
        <v>0.13670886075949373</v>
      </c>
      <c r="Q53" s="4">
        <f t="shared" si="4"/>
        <v>1.1342044790652386</v>
      </c>
      <c r="R53" s="4">
        <f t="shared" si="5"/>
        <v>1.1065082900272205</v>
      </c>
      <c r="S53" s="4">
        <v>-6.15</v>
      </c>
      <c r="T53" s="2">
        <v>0.68</v>
      </c>
      <c r="U53" s="2">
        <v>69.61</v>
      </c>
      <c r="V53" s="2">
        <v>41.79</v>
      </c>
      <c r="W53" s="2">
        <v>-2.4300000000000002</v>
      </c>
      <c r="X53" s="2">
        <v>0.85</v>
      </c>
      <c r="Y53" s="2">
        <v>12.82</v>
      </c>
      <c r="Z53" s="2">
        <v>18.14</v>
      </c>
    </row>
    <row r="54" spans="1:26" x14ac:dyDescent="0.25">
      <c r="A54" s="1" t="s">
        <v>298</v>
      </c>
      <c r="B54" s="1" t="s">
        <v>299</v>
      </c>
      <c r="C54" s="1" t="s">
        <v>45</v>
      </c>
      <c r="D54" s="1" t="s">
        <v>18</v>
      </c>
      <c r="E54" s="1" t="s">
        <v>74</v>
      </c>
      <c r="F54" s="1" t="s">
        <v>300</v>
      </c>
      <c r="G54" s="1" t="s">
        <v>12480</v>
      </c>
      <c r="H54" s="1" t="s">
        <v>301</v>
      </c>
      <c r="I54" s="2">
        <v>15.81</v>
      </c>
      <c r="J54" s="2">
        <v>0.6</v>
      </c>
      <c r="K54" s="2">
        <v>0.95</v>
      </c>
      <c r="L54" s="2">
        <v>1.38</v>
      </c>
      <c r="M54" s="4">
        <f t="shared" si="0"/>
        <v>16.642105263157895</v>
      </c>
      <c r="N54" s="4">
        <f t="shared" si="1"/>
        <v>11.456521739130435</v>
      </c>
      <c r="O54" s="5">
        <f t="shared" si="2"/>
        <v>0.58333333333333326</v>
      </c>
      <c r="P54" s="5">
        <f t="shared" si="3"/>
        <v>0.45263157894736827</v>
      </c>
      <c r="Q54" s="4">
        <f t="shared" si="4"/>
        <v>0.28529323308270677</v>
      </c>
      <c r="R54" s="4">
        <f t="shared" si="5"/>
        <v>0.2531092012133469</v>
      </c>
      <c r="S54" s="4">
        <v>19.63</v>
      </c>
      <c r="T54" s="2">
        <v>0.51</v>
      </c>
      <c r="U54" s="2">
        <v>24.51</v>
      </c>
      <c r="V54" s="2">
        <v>13.99</v>
      </c>
      <c r="W54" s="2">
        <v>-4.6399999999999997</v>
      </c>
      <c r="X54" s="2">
        <v>-3.42</v>
      </c>
      <c r="Y54" s="2">
        <v>-19.87</v>
      </c>
      <c r="Z54" s="2">
        <v>-13.32</v>
      </c>
    </row>
    <row r="55" spans="1:26" x14ac:dyDescent="0.25">
      <c r="A55" s="1" t="s">
        <v>302</v>
      </c>
      <c r="B55" s="1" t="s">
        <v>303</v>
      </c>
      <c r="C55" s="1" t="s">
        <v>16</v>
      </c>
      <c r="D55" s="1" t="s">
        <v>305</v>
      </c>
      <c r="E55" s="1" t="s">
        <v>306</v>
      </c>
      <c r="F55" s="1" t="s">
        <v>304</v>
      </c>
      <c r="G55" s="1" t="s">
        <v>12485</v>
      </c>
      <c r="H55" s="1" t="s">
        <v>307</v>
      </c>
      <c r="I55" s="2">
        <v>21.18</v>
      </c>
      <c r="J55" s="2">
        <v>1.93</v>
      </c>
      <c r="K55" s="2">
        <v>2.08</v>
      </c>
      <c r="L55" s="2">
        <v>3.17</v>
      </c>
      <c r="M55" s="4">
        <f t="shared" si="0"/>
        <v>10.182692307692307</v>
      </c>
      <c r="N55" s="4">
        <f t="shared" si="1"/>
        <v>6.6813880126182967</v>
      </c>
      <c r="O55" s="5">
        <f t="shared" si="2"/>
        <v>7.7720207253886064E-2</v>
      </c>
      <c r="P55" s="5">
        <f t="shared" si="3"/>
        <v>0.52403846153846145</v>
      </c>
      <c r="Q55" s="4">
        <f t="shared" si="4"/>
        <v>1.3101730769230759</v>
      </c>
      <c r="R55" s="4">
        <f t="shared" si="5"/>
        <v>0.12749804647932164</v>
      </c>
      <c r="S55" s="4">
        <v>-1.04</v>
      </c>
      <c r="T55" s="2">
        <v>1.56</v>
      </c>
      <c r="U55" s="2">
        <v>27.09</v>
      </c>
      <c r="V55" s="2">
        <v>10.34</v>
      </c>
      <c r="W55" s="2">
        <v>-10.18</v>
      </c>
      <c r="X55" s="2">
        <v>-18.63</v>
      </c>
      <c r="Y55" s="2">
        <v>12.9</v>
      </c>
      <c r="Z55" s="2">
        <v>10.48</v>
      </c>
    </row>
    <row r="56" spans="1:26" x14ac:dyDescent="0.25">
      <c r="A56" s="1" t="s">
        <v>308</v>
      </c>
      <c r="B56" s="1" t="s">
        <v>309</v>
      </c>
      <c r="C56" s="1" t="s">
        <v>45</v>
      </c>
      <c r="D56" s="1" t="s">
        <v>32</v>
      </c>
      <c r="E56" s="1" t="s">
        <v>311</v>
      </c>
      <c r="F56" s="1" t="s">
        <v>310</v>
      </c>
      <c r="G56" s="1" t="s">
        <v>12502</v>
      </c>
      <c r="H56" s="1" t="s">
        <v>312</v>
      </c>
      <c r="I56" s="2">
        <v>223.04</v>
      </c>
      <c r="J56" s="2">
        <v>10.01</v>
      </c>
      <c r="K56" s="2">
        <v>10.96</v>
      </c>
      <c r="L56" s="2">
        <v>12.06</v>
      </c>
      <c r="M56" s="4">
        <f t="shared" si="0"/>
        <v>20.350364963503647</v>
      </c>
      <c r="N56" s="4">
        <f t="shared" si="1"/>
        <v>18.494195688225538</v>
      </c>
      <c r="O56" s="5">
        <f t="shared" si="2"/>
        <v>9.4905094905094911E-2</v>
      </c>
      <c r="P56" s="5">
        <f t="shared" si="3"/>
        <v>0.10036496350364965</v>
      </c>
      <c r="Q56" s="4">
        <f t="shared" si="4"/>
        <v>2.1442858240491733</v>
      </c>
      <c r="R56" s="4">
        <f t="shared" si="5"/>
        <v>1.8426944067541078</v>
      </c>
      <c r="S56" s="4">
        <v>7.07</v>
      </c>
      <c r="T56" s="2">
        <v>0.86</v>
      </c>
      <c r="U56" s="2">
        <v>326.81</v>
      </c>
      <c r="V56" s="2">
        <v>205.68</v>
      </c>
      <c r="W56" s="2">
        <v>3.75</v>
      </c>
      <c r="X56" s="2">
        <v>-1.58</v>
      </c>
      <c r="Y56" s="2">
        <v>-15.82</v>
      </c>
      <c r="Z56" s="2">
        <v>-13.29</v>
      </c>
    </row>
    <row r="57" spans="1:26" x14ac:dyDescent="0.25">
      <c r="A57" s="1" t="s">
        <v>313</v>
      </c>
      <c r="B57" s="1" t="s">
        <v>314</v>
      </c>
      <c r="C57" s="1" t="s">
        <v>45</v>
      </c>
      <c r="D57" s="1" t="s">
        <v>18</v>
      </c>
      <c r="E57" s="1" t="s">
        <v>74</v>
      </c>
      <c r="F57" s="1" t="s">
        <v>315</v>
      </c>
      <c r="G57" s="1" t="s">
        <v>12480</v>
      </c>
      <c r="H57" s="1" t="s">
        <v>316</v>
      </c>
      <c r="I57" s="2">
        <v>14.95</v>
      </c>
      <c r="J57" s="2">
        <v>-0.6</v>
      </c>
      <c r="K57" s="2">
        <v>-0.5</v>
      </c>
      <c r="L57" s="2">
        <v>-0.24</v>
      </c>
      <c r="M57" s="4">
        <f t="shared" si="0"/>
        <v>-29.9</v>
      </c>
      <c r="N57" s="4">
        <f t="shared" si="1"/>
        <v>-62.291666666666664</v>
      </c>
      <c r="O57" s="5">
        <f t="shared" si="2"/>
        <v>-0.16666666666666663</v>
      </c>
      <c r="P57" s="5">
        <f t="shared" si="3"/>
        <v>-0.52</v>
      </c>
      <c r="Q57" s="4">
        <f t="shared" si="4"/>
        <v>1.7940000000000003</v>
      </c>
      <c r="R57" s="4">
        <f t="shared" si="5"/>
        <v>1.1979166666666665</v>
      </c>
      <c r="S57" s="4">
        <v>54.77</v>
      </c>
      <c r="T57" s="2">
        <v>2.19</v>
      </c>
      <c r="U57" s="2">
        <v>20.46</v>
      </c>
      <c r="V57" s="2">
        <v>6.67</v>
      </c>
      <c r="W57" s="2">
        <v>-7.26</v>
      </c>
      <c r="X57" s="2">
        <v>-5.74</v>
      </c>
      <c r="Y57" s="2">
        <v>-4.72</v>
      </c>
      <c r="Z57" s="2">
        <v>-7.94</v>
      </c>
    </row>
    <row r="58" spans="1:26" x14ac:dyDescent="0.25">
      <c r="A58" s="1" t="s">
        <v>317</v>
      </c>
      <c r="B58" s="1" t="s">
        <v>318</v>
      </c>
      <c r="C58" s="1" t="s">
        <v>31</v>
      </c>
      <c r="D58" s="1" t="s">
        <v>128</v>
      </c>
      <c r="E58" s="1" t="s">
        <v>210</v>
      </c>
      <c r="F58" s="1" t="s">
        <v>319</v>
      </c>
      <c r="G58" s="1" t="s">
        <v>12480</v>
      </c>
      <c r="H58" s="1" t="s">
        <v>320</v>
      </c>
      <c r="I58" s="2">
        <v>48.029000000000003</v>
      </c>
      <c r="J58" s="2">
        <v>3.02</v>
      </c>
      <c r="K58" s="2">
        <v>3.18</v>
      </c>
      <c r="L58" s="2">
        <v>3.37</v>
      </c>
      <c r="M58" s="4">
        <f t="shared" si="0"/>
        <v>15.103459119496856</v>
      </c>
      <c r="N58" s="4">
        <f t="shared" si="1"/>
        <v>14.251928783382789</v>
      </c>
      <c r="O58" s="5">
        <f t="shared" si="2"/>
        <v>5.2980132450331174E-2</v>
      </c>
      <c r="P58" s="5">
        <f t="shared" si="3"/>
        <v>5.9748427672955851E-2</v>
      </c>
      <c r="Q58" s="4">
        <f t="shared" si="4"/>
        <v>2.8507779088050289</v>
      </c>
      <c r="R58" s="4">
        <f t="shared" si="5"/>
        <v>2.3853228174293348</v>
      </c>
      <c r="S58" s="4">
        <v>8.0299999999999994</v>
      </c>
      <c r="T58" s="2">
        <v>0.47</v>
      </c>
      <c r="U58" s="2">
        <v>49.29</v>
      </c>
      <c r="V58" s="2">
        <v>35.81</v>
      </c>
      <c r="W58" s="2">
        <v>-0.55000000000000004</v>
      </c>
      <c r="X58" s="2">
        <v>16.920000000000002</v>
      </c>
      <c r="Y58" s="2">
        <v>17.690000000000001</v>
      </c>
      <c r="Z58" s="2">
        <v>17.63</v>
      </c>
    </row>
    <row r="59" spans="1:26" x14ac:dyDescent="0.25">
      <c r="A59" s="1" t="s">
        <v>322</v>
      </c>
      <c r="B59" s="1" t="s">
        <v>323</v>
      </c>
      <c r="C59" s="1" t="s">
        <v>31</v>
      </c>
      <c r="D59" s="1" t="s">
        <v>25</v>
      </c>
      <c r="E59" s="1" t="s">
        <v>325</v>
      </c>
      <c r="F59" s="1" t="s">
        <v>324</v>
      </c>
      <c r="G59" s="1" t="s">
        <v>12480</v>
      </c>
      <c r="H59" s="1" t="s">
        <v>12503</v>
      </c>
      <c r="I59" s="2">
        <v>17.069500000000001</v>
      </c>
      <c r="J59" s="2">
        <v>1.06</v>
      </c>
      <c r="K59" s="2">
        <v>1.27</v>
      </c>
      <c r="L59" s="2">
        <v>1.38</v>
      </c>
      <c r="M59" s="4">
        <f t="shared" si="0"/>
        <v>13.440551181102363</v>
      </c>
      <c r="N59" s="4">
        <f t="shared" si="1"/>
        <v>12.369202898550727</v>
      </c>
      <c r="O59" s="5">
        <f t="shared" si="2"/>
        <v>0.19811320754716988</v>
      </c>
      <c r="P59" s="5">
        <f t="shared" si="3"/>
        <v>8.6614173228346303E-2</v>
      </c>
      <c r="Q59" s="4">
        <f t="shared" si="4"/>
        <v>0.67842782152230952</v>
      </c>
      <c r="R59" s="4">
        <f t="shared" si="5"/>
        <v>1.4280806982872227</v>
      </c>
      <c r="S59" s="4">
        <v>4.5199999999999996</v>
      </c>
      <c r="T59" s="2">
        <v>0.97</v>
      </c>
      <c r="U59" s="2">
        <v>18.809999999999999</v>
      </c>
      <c r="V59" s="2">
        <v>10.79</v>
      </c>
      <c r="W59" s="2">
        <v>-3.94</v>
      </c>
      <c r="X59" s="2">
        <v>-1.9</v>
      </c>
      <c r="Y59" s="2">
        <v>13.27</v>
      </c>
      <c r="Z59" s="2">
        <v>11.78</v>
      </c>
    </row>
    <row r="60" spans="1:26" x14ac:dyDescent="0.25">
      <c r="A60" s="1" t="s">
        <v>326</v>
      </c>
      <c r="B60" s="1" t="s">
        <v>327</v>
      </c>
      <c r="C60" s="1" t="s">
        <v>45</v>
      </c>
      <c r="D60" s="1" t="s">
        <v>32</v>
      </c>
      <c r="E60" s="1" t="s">
        <v>311</v>
      </c>
      <c r="F60" s="1" t="s">
        <v>328</v>
      </c>
      <c r="G60" s="1" t="s">
        <v>12493</v>
      </c>
      <c r="H60" s="1" t="s">
        <v>12504</v>
      </c>
      <c r="I60" s="2">
        <v>260.75</v>
      </c>
      <c r="J60" s="2">
        <v>10.43</v>
      </c>
      <c r="K60" s="2">
        <v>12.37</v>
      </c>
      <c r="L60" s="2">
        <v>13.91</v>
      </c>
      <c r="M60" s="4">
        <f t="shared" si="0"/>
        <v>21.079223928860149</v>
      </c>
      <c r="N60" s="4">
        <f t="shared" si="1"/>
        <v>18.745506829618979</v>
      </c>
      <c r="O60" s="5">
        <f t="shared" si="2"/>
        <v>0.18600191754554163</v>
      </c>
      <c r="P60" s="5">
        <f t="shared" si="3"/>
        <v>0.12449474535165739</v>
      </c>
      <c r="Q60" s="4">
        <f t="shared" si="4"/>
        <v>1.1332799256598527</v>
      </c>
      <c r="R60" s="4">
        <f t="shared" si="5"/>
        <v>1.5057267498856266</v>
      </c>
      <c r="S60" s="4">
        <v>17.53</v>
      </c>
      <c r="T60" s="2">
        <v>1.45</v>
      </c>
      <c r="U60" s="2">
        <v>326.79000000000002</v>
      </c>
      <c r="V60" s="2">
        <v>218.64</v>
      </c>
      <c r="W60" s="2">
        <v>5.59</v>
      </c>
      <c r="X60" s="2">
        <v>7.51</v>
      </c>
      <c r="Y60" s="2">
        <v>-11.4</v>
      </c>
      <c r="Z60" s="2">
        <v>-11.91</v>
      </c>
    </row>
    <row r="61" spans="1:26" x14ac:dyDescent="0.25">
      <c r="A61" s="1" t="s">
        <v>329</v>
      </c>
      <c r="B61" s="1" t="s">
        <v>329</v>
      </c>
      <c r="C61" s="1" t="s">
        <v>16</v>
      </c>
      <c r="D61" s="1" t="s">
        <v>25</v>
      </c>
      <c r="E61" s="1" t="s">
        <v>331</v>
      </c>
      <c r="F61" s="1" t="s">
        <v>330</v>
      </c>
      <c r="G61" s="1" t="s">
        <v>12480</v>
      </c>
      <c r="H61" s="1" t="s">
        <v>332</v>
      </c>
      <c r="I61" s="2">
        <v>6.53</v>
      </c>
      <c r="J61" s="2">
        <v>0.89</v>
      </c>
      <c r="K61" s="2">
        <v>0.87</v>
      </c>
      <c r="L61" s="2">
        <v>0.92</v>
      </c>
      <c r="M61" s="4">
        <f t="shared" si="0"/>
        <v>7.5057471264367823</v>
      </c>
      <c r="N61" s="4">
        <f t="shared" si="1"/>
        <v>7.0978260869565215</v>
      </c>
      <c r="O61" s="5">
        <f t="shared" si="2"/>
        <v>-2.2471910112359605E-2</v>
      </c>
      <c r="P61" s="5">
        <f t="shared" si="3"/>
        <v>5.7471264367816133E-2</v>
      </c>
      <c r="Q61" s="4">
        <f t="shared" si="4"/>
        <v>-3.3400574712643598</v>
      </c>
      <c r="R61" s="4">
        <f t="shared" si="5"/>
        <v>1.2350217391304339</v>
      </c>
      <c r="S61" s="4">
        <v>4.72</v>
      </c>
      <c r="T61" s="2" t="s">
        <v>12493</v>
      </c>
      <c r="U61" s="2">
        <v>8.85</v>
      </c>
      <c r="V61" s="2">
        <v>6.53</v>
      </c>
      <c r="W61" s="2">
        <v>-8.2899999999999991</v>
      </c>
      <c r="X61" s="2">
        <v>-19.48</v>
      </c>
      <c r="Y61" s="2">
        <v>-20.27</v>
      </c>
      <c r="Z61" s="2">
        <v>-19.079999999999998</v>
      </c>
    </row>
    <row r="62" spans="1:26" x14ac:dyDescent="0.25">
      <c r="A62" s="1" t="s">
        <v>333</v>
      </c>
      <c r="B62" s="1" t="s">
        <v>334</v>
      </c>
      <c r="C62" s="1" t="s">
        <v>45</v>
      </c>
      <c r="D62" s="1" t="s">
        <v>18</v>
      </c>
      <c r="E62" s="1" t="s">
        <v>336</v>
      </c>
      <c r="F62" s="1" t="s">
        <v>335</v>
      </c>
      <c r="G62" s="1" t="s">
        <v>12480</v>
      </c>
      <c r="H62" s="1" t="s">
        <v>337</v>
      </c>
      <c r="I62" s="2">
        <v>102.86</v>
      </c>
      <c r="J62" s="2">
        <v>6.23</v>
      </c>
      <c r="K62" s="2">
        <v>6.86</v>
      </c>
      <c r="L62" s="2">
        <v>7.46</v>
      </c>
      <c r="M62" s="4">
        <f t="shared" si="0"/>
        <v>14.994169096209912</v>
      </c>
      <c r="N62" s="4">
        <f t="shared" si="1"/>
        <v>13.788203753351207</v>
      </c>
      <c r="O62" s="5">
        <f t="shared" si="2"/>
        <v>0.101123595505618</v>
      </c>
      <c r="P62" s="5">
        <f t="shared" si="3"/>
        <v>8.7463556851311797E-2</v>
      </c>
      <c r="Q62" s="4">
        <f t="shared" si="4"/>
        <v>1.4827567217363131</v>
      </c>
      <c r="R62" s="4">
        <f t="shared" si="5"/>
        <v>1.576451295799824</v>
      </c>
      <c r="S62" s="4">
        <v>23.21</v>
      </c>
      <c r="T62" s="2">
        <v>0.92</v>
      </c>
      <c r="U62" s="2">
        <v>122.75</v>
      </c>
      <c r="V62" s="2">
        <v>89.83</v>
      </c>
      <c r="W62" s="2">
        <v>-2.2799999999999998</v>
      </c>
      <c r="X62" s="2">
        <v>-0.82</v>
      </c>
      <c r="Y62" s="2">
        <v>-10.67</v>
      </c>
      <c r="Z62" s="2">
        <v>-4.22</v>
      </c>
    </row>
    <row r="63" spans="1:26" x14ac:dyDescent="0.25">
      <c r="A63" s="1" t="s">
        <v>338</v>
      </c>
      <c r="B63" s="1" t="s">
        <v>339</v>
      </c>
      <c r="C63" s="1" t="s">
        <v>16</v>
      </c>
      <c r="D63" s="1" t="s">
        <v>38</v>
      </c>
      <c r="E63" s="1" t="s">
        <v>259</v>
      </c>
      <c r="F63" s="1" t="s">
        <v>340</v>
      </c>
      <c r="G63" s="1" t="s">
        <v>12480</v>
      </c>
      <c r="H63" s="1" t="s">
        <v>341</v>
      </c>
      <c r="I63" s="2">
        <v>22.9</v>
      </c>
      <c r="J63" s="2"/>
      <c r="K63" s="2"/>
      <c r="L63" s="2"/>
      <c r="M63" s="4" t="e">
        <f t="shared" si="0"/>
        <v>#DIV/0!</v>
      </c>
      <c r="N63" s="4" t="e">
        <f t="shared" si="1"/>
        <v>#DIV/0!</v>
      </c>
      <c r="O63" s="5" t="e">
        <f t="shared" si="2"/>
        <v>#DIV/0!</v>
      </c>
      <c r="P63" s="5" t="e">
        <f t="shared" si="3"/>
        <v>#DIV/0!</v>
      </c>
      <c r="Q63" s="4" t="e">
        <f t="shared" si="4"/>
        <v>#DIV/0!</v>
      </c>
      <c r="R63" s="4" t="e">
        <f t="shared" si="5"/>
        <v>#DIV/0!</v>
      </c>
      <c r="S63" s="4"/>
      <c r="T63" s="2" t="s">
        <v>12493</v>
      </c>
      <c r="U63" s="2">
        <v>23.69</v>
      </c>
      <c r="V63" s="2">
        <v>17.11</v>
      </c>
      <c r="W63" s="2">
        <v>-1.55</v>
      </c>
      <c r="X63" s="2">
        <v>-1.51</v>
      </c>
      <c r="Y63" s="2">
        <v>1.91</v>
      </c>
      <c r="Z63" s="2">
        <v>-1.8</v>
      </c>
    </row>
    <row r="64" spans="1:26" x14ac:dyDescent="0.25">
      <c r="A64" s="1" t="s">
        <v>342</v>
      </c>
      <c r="B64" s="1" t="s">
        <v>343</v>
      </c>
      <c r="C64" s="1" t="s">
        <v>31</v>
      </c>
      <c r="D64" s="1" t="s">
        <v>32</v>
      </c>
      <c r="E64" s="1" t="s">
        <v>311</v>
      </c>
      <c r="F64" s="1" t="s">
        <v>344</v>
      </c>
      <c r="G64" s="1" t="s">
        <v>12480</v>
      </c>
      <c r="H64" s="1" t="s">
        <v>345</v>
      </c>
      <c r="I64" s="2">
        <v>11.05</v>
      </c>
      <c r="J64" s="2">
        <v>0.38</v>
      </c>
      <c r="K64" s="2">
        <v>0.46</v>
      </c>
      <c r="L64" s="2">
        <v>0.55000000000000004</v>
      </c>
      <c r="M64" s="4">
        <f t="shared" si="0"/>
        <v>24.021739130434781</v>
      </c>
      <c r="N64" s="4">
        <f t="shared" si="1"/>
        <v>20.09090909090909</v>
      </c>
      <c r="O64" s="5">
        <f t="shared" si="2"/>
        <v>0.21052631578947367</v>
      </c>
      <c r="P64" s="5">
        <f t="shared" si="3"/>
        <v>0.19565217391304346</v>
      </c>
      <c r="Q64" s="4">
        <f t="shared" si="4"/>
        <v>1.1410326086956522</v>
      </c>
      <c r="R64" s="4">
        <f t="shared" si="5"/>
        <v>1.0268686868686869</v>
      </c>
      <c r="S64" s="4">
        <v>11.03</v>
      </c>
      <c r="T64" s="2">
        <v>2.44</v>
      </c>
      <c r="U64" s="2">
        <v>19.88</v>
      </c>
      <c r="V64" s="2">
        <v>10.72</v>
      </c>
      <c r="W64" s="2">
        <v>-2.13</v>
      </c>
      <c r="X64" s="2">
        <v>-21.52</v>
      </c>
      <c r="Y64" s="2">
        <v>-30.02</v>
      </c>
      <c r="Z64" s="2">
        <v>-30.81</v>
      </c>
    </row>
    <row r="65" spans="1:26" x14ac:dyDescent="0.25">
      <c r="A65" s="1" t="s">
        <v>346</v>
      </c>
      <c r="B65" s="1" t="s">
        <v>347</v>
      </c>
      <c r="C65" s="1" t="s">
        <v>45</v>
      </c>
      <c r="D65" s="1" t="s">
        <v>305</v>
      </c>
      <c r="E65" s="1" t="s">
        <v>349</v>
      </c>
      <c r="F65" s="1" t="s">
        <v>348</v>
      </c>
      <c r="G65" s="1" t="s">
        <v>12480</v>
      </c>
      <c r="H65" s="1" t="s">
        <v>350</v>
      </c>
      <c r="I65" s="2">
        <v>13.5</v>
      </c>
      <c r="J65" s="2"/>
      <c r="K65" s="2">
        <v>0.88</v>
      </c>
      <c r="L65" s="2">
        <v>1.3</v>
      </c>
      <c r="M65" s="4">
        <f t="shared" si="0"/>
        <v>15.340909090909092</v>
      </c>
      <c r="N65" s="4">
        <f t="shared" si="1"/>
        <v>10.384615384615385</v>
      </c>
      <c r="O65" s="5" t="e">
        <f t="shared" si="2"/>
        <v>#DIV/0!</v>
      </c>
      <c r="P65" s="5">
        <f t="shared" si="3"/>
        <v>0.47727272727272729</v>
      </c>
      <c r="Q65" s="4" t="e">
        <f t="shared" si="4"/>
        <v>#DIV/0!</v>
      </c>
      <c r="R65" s="4">
        <f t="shared" si="5"/>
        <v>0.21758241758241759</v>
      </c>
      <c r="S65" s="4"/>
      <c r="T65" s="2"/>
      <c r="U65" s="2">
        <v>15.61</v>
      </c>
      <c r="V65" s="2">
        <v>9.26</v>
      </c>
      <c r="W65" s="2">
        <v>-6.7</v>
      </c>
      <c r="X65" s="2">
        <v>-12.85</v>
      </c>
      <c r="Y65" s="2">
        <v>-0.52</v>
      </c>
      <c r="Z65" s="2">
        <v>6.72</v>
      </c>
    </row>
    <row r="66" spans="1:26" x14ac:dyDescent="0.25">
      <c r="A66" s="1" t="s">
        <v>351</v>
      </c>
      <c r="B66" s="1" t="s">
        <v>352</v>
      </c>
      <c r="C66" s="1" t="s">
        <v>16</v>
      </c>
      <c r="D66" s="1" t="s">
        <v>354</v>
      </c>
      <c r="E66" s="1" t="s">
        <v>355</v>
      </c>
      <c r="F66" s="1" t="s">
        <v>353</v>
      </c>
      <c r="G66" s="1" t="s">
        <v>12480</v>
      </c>
      <c r="H66" s="1" t="s">
        <v>356</v>
      </c>
      <c r="I66" s="2">
        <v>111.16</v>
      </c>
      <c r="J66" s="2">
        <v>5.03</v>
      </c>
      <c r="K66" s="2">
        <v>5.31</v>
      </c>
      <c r="L66" s="2">
        <v>5.84</v>
      </c>
      <c r="M66" s="4">
        <f t="shared" si="0"/>
        <v>20.934086629001886</v>
      </c>
      <c r="N66" s="4">
        <f t="shared" si="1"/>
        <v>19.034246575342465</v>
      </c>
      <c r="O66" s="5">
        <f t="shared" si="2"/>
        <v>5.5666003976142964E-2</v>
      </c>
      <c r="P66" s="5">
        <f t="shared" si="3"/>
        <v>9.9811676082862677E-2</v>
      </c>
      <c r="Q66" s="4">
        <f t="shared" si="4"/>
        <v>3.7606591337099937</v>
      </c>
      <c r="R66" s="4">
        <f t="shared" si="5"/>
        <v>1.9070160248126102</v>
      </c>
      <c r="S66" s="4">
        <v>15.43</v>
      </c>
      <c r="T66" s="2">
        <v>0.56000000000000005</v>
      </c>
      <c r="U66" s="2">
        <v>113.33</v>
      </c>
      <c r="V66" s="2">
        <v>94.23</v>
      </c>
      <c r="W66" s="2">
        <v>-1.54</v>
      </c>
      <c r="X66" s="2">
        <v>6.62</v>
      </c>
      <c r="Y66" s="2">
        <v>12.43</v>
      </c>
      <c r="Z66" s="2">
        <v>11.32</v>
      </c>
    </row>
    <row r="67" spans="1:26" x14ac:dyDescent="0.25">
      <c r="A67" s="1" t="s">
        <v>357</v>
      </c>
      <c r="B67" s="1" t="s">
        <v>358</v>
      </c>
      <c r="C67" s="1" t="s">
        <v>16</v>
      </c>
      <c r="D67" s="1" t="s">
        <v>38</v>
      </c>
      <c r="E67" s="1" t="s">
        <v>254</v>
      </c>
      <c r="F67" s="1" t="s">
        <v>359</v>
      </c>
      <c r="G67" s="1" t="s">
        <v>12480</v>
      </c>
      <c r="H67" s="1" t="s">
        <v>360</v>
      </c>
      <c r="I67" s="2">
        <v>7.06</v>
      </c>
      <c r="J67" s="2">
        <v>0.4</v>
      </c>
      <c r="K67" s="2">
        <v>1.1399999999999999</v>
      </c>
      <c r="L67" s="2">
        <v>1.44</v>
      </c>
      <c r="M67" s="4">
        <f t="shared" ref="M67:M130" si="6">I67/K67</f>
        <v>6.192982456140351</v>
      </c>
      <c r="N67" s="4">
        <f t="shared" ref="N67:N130" si="7">I67/L67</f>
        <v>4.9027777777777777</v>
      </c>
      <c r="O67" s="5">
        <f t="shared" ref="O67:O130" si="8">K67/J67-1</f>
        <v>1.8499999999999996</v>
      </c>
      <c r="P67" s="5">
        <f t="shared" ref="P67:P130" si="9">L67/K67-1</f>
        <v>0.26315789473684226</v>
      </c>
      <c r="Q67" s="4">
        <f t="shared" ref="Q67:Q130" si="10">M67/(O67*100)</f>
        <v>3.3475580844001901E-2</v>
      </c>
      <c r="R67" s="4">
        <f t="shared" ref="R67:R130" si="11">N67/(P67*100)</f>
        <v>0.18630555555555545</v>
      </c>
      <c r="S67" s="4">
        <v>-5.25</v>
      </c>
      <c r="T67" s="2">
        <v>0.78</v>
      </c>
      <c r="U67" s="2">
        <v>8.0500000000000007</v>
      </c>
      <c r="V67" s="2">
        <v>5.51</v>
      </c>
      <c r="W67" s="2">
        <v>-4.59</v>
      </c>
      <c r="X67" s="2">
        <v>-10.86</v>
      </c>
      <c r="Y67" s="2">
        <v>-7.59</v>
      </c>
      <c r="Z67" s="2">
        <v>-8.43</v>
      </c>
    </row>
    <row r="68" spans="1:26" x14ac:dyDescent="0.25">
      <c r="A68" s="1" t="s">
        <v>361</v>
      </c>
      <c r="B68" s="1" t="s">
        <v>362</v>
      </c>
      <c r="C68" s="1" t="s">
        <v>45</v>
      </c>
      <c r="D68" s="1" t="s">
        <v>32</v>
      </c>
      <c r="E68" s="1" t="s">
        <v>364</v>
      </c>
      <c r="F68" s="1" t="s">
        <v>363</v>
      </c>
      <c r="G68" s="1" t="s">
        <v>12508</v>
      </c>
      <c r="H68" s="1" t="s">
        <v>365</v>
      </c>
      <c r="I68" s="2">
        <v>40.880000000000003</v>
      </c>
      <c r="J68" s="2">
        <v>0.15</v>
      </c>
      <c r="K68" s="2">
        <v>-0.17</v>
      </c>
      <c r="L68" s="2">
        <v>0.15</v>
      </c>
      <c r="M68" s="4">
        <f t="shared" si="6"/>
        <v>-240.47058823529412</v>
      </c>
      <c r="N68" s="4">
        <f t="shared" si="7"/>
        <v>272.53333333333336</v>
      </c>
      <c r="O68" s="5">
        <f t="shared" si="8"/>
        <v>-2.1333333333333337</v>
      </c>
      <c r="P68" s="5">
        <f t="shared" si="9"/>
        <v>-1.8823529411764706</v>
      </c>
      <c r="Q68" s="4">
        <f t="shared" si="10"/>
        <v>1.1272058823529409</v>
      </c>
      <c r="R68" s="4">
        <f t="shared" si="11"/>
        <v>-1.4478333333333335</v>
      </c>
      <c r="S68" s="4">
        <v>-10.95</v>
      </c>
      <c r="T68" s="2">
        <v>2.2200000000000002</v>
      </c>
      <c r="U68" s="2">
        <v>44.03</v>
      </c>
      <c r="V68" s="2">
        <v>6.78</v>
      </c>
      <c r="W68" s="2">
        <v>-7.15</v>
      </c>
      <c r="X68" s="2">
        <v>48.17</v>
      </c>
      <c r="Y68" s="2">
        <v>78.36</v>
      </c>
      <c r="Z68" s="2">
        <v>102.48</v>
      </c>
    </row>
    <row r="69" spans="1:26" x14ac:dyDescent="0.25">
      <c r="A69" s="1" t="s">
        <v>367</v>
      </c>
      <c r="B69" s="1" t="s">
        <v>368</v>
      </c>
      <c r="C69" s="1" t="s">
        <v>45</v>
      </c>
      <c r="D69" s="1" t="s">
        <v>32</v>
      </c>
      <c r="E69" s="1" t="s">
        <v>370</v>
      </c>
      <c r="F69" s="1" t="s">
        <v>369</v>
      </c>
      <c r="G69" s="1" t="s">
        <v>12480</v>
      </c>
      <c r="H69" s="1" t="s">
        <v>371</v>
      </c>
      <c r="I69" s="2">
        <v>305.02</v>
      </c>
      <c r="J69" s="2">
        <v>6.41</v>
      </c>
      <c r="K69" s="2">
        <v>8.32</v>
      </c>
      <c r="L69" s="2">
        <v>9.52</v>
      </c>
      <c r="M69" s="4">
        <f t="shared" si="6"/>
        <v>36.661057692307686</v>
      </c>
      <c r="N69" s="4">
        <f t="shared" si="7"/>
        <v>32.039915966386552</v>
      </c>
      <c r="O69" s="5">
        <f t="shared" si="8"/>
        <v>0.29797191887675512</v>
      </c>
      <c r="P69" s="5">
        <f t="shared" si="9"/>
        <v>0.14423076923076916</v>
      </c>
      <c r="Q69" s="4">
        <f t="shared" si="10"/>
        <v>1.230352773862263</v>
      </c>
      <c r="R69" s="4">
        <f t="shared" si="11"/>
        <v>2.2214341736694685</v>
      </c>
      <c r="S69" s="4">
        <v>21.37</v>
      </c>
      <c r="T69" s="2">
        <v>1.35</v>
      </c>
      <c r="U69" s="2">
        <v>340.42</v>
      </c>
      <c r="V69" s="2">
        <v>79.03</v>
      </c>
      <c r="W69" s="2">
        <v>-10.4</v>
      </c>
      <c r="X69" s="2">
        <v>9.26</v>
      </c>
      <c r="Y69" s="2">
        <v>40.65</v>
      </c>
      <c r="Z69" s="2">
        <v>45.69</v>
      </c>
    </row>
    <row r="70" spans="1:26" x14ac:dyDescent="0.25">
      <c r="A70" s="1" t="s">
        <v>374</v>
      </c>
      <c r="B70" s="1" t="s">
        <v>375</v>
      </c>
      <c r="C70" s="1" t="s">
        <v>16</v>
      </c>
      <c r="D70" s="1" t="s">
        <v>88</v>
      </c>
      <c r="E70" s="1" t="s">
        <v>89</v>
      </c>
      <c r="F70" s="1" t="s">
        <v>376</v>
      </c>
      <c r="G70" s="1" t="s">
        <v>12480</v>
      </c>
      <c r="H70" s="1" t="s">
        <v>377</v>
      </c>
      <c r="I70" s="2">
        <v>224.75</v>
      </c>
      <c r="J70" s="2">
        <v>8.2799999999999994</v>
      </c>
      <c r="K70" s="2">
        <v>13.28</v>
      </c>
      <c r="L70" s="2">
        <v>13.48</v>
      </c>
      <c r="M70" s="4">
        <f t="shared" si="6"/>
        <v>16.923945783132531</v>
      </c>
      <c r="N70" s="4">
        <f t="shared" si="7"/>
        <v>16.672848664688427</v>
      </c>
      <c r="O70" s="5">
        <f t="shared" si="8"/>
        <v>0.60386473429951693</v>
      </c>
      <c r="P70" s="5">
        <f t="shared" si="9"/>
        <v>1.5060240963855609E-2</v>
      </c>
      <c r="Q70" s="4">
        <f t="shared" si="10"/>
        <v>0.28026054216867469</v>
      </c>
      <c r="R70" s="4">
        <f t="shared" si="11"/>
        <v>11.070771513352978</v>
      </c>
      <c r="S70" s="4">
        <v>43.71</v>
      </c>
      <c r="T70" s="2">
        <v>0.61</v>
      </c>
      <c r="U70" s="2">
        <v>252.19</v>
      </c>
      <c r="V70" s="2">
        <v>97.03</v>
      </c>
      <c r="W70" s="2">
        <v>-10.88</v>
      </c>
      <c r="X70" s="2">
        <v>7.11</v>
      </c>
      <c r="Y70" s="2">
        <v>33.46</v>
      </c>
      <c r="Z70" s="2">
        <v>32.57</v>
      </c>
    </row>
    <row r="71" spans="1:26" x14ac:dyDescent="0.25">
      <c r="A71" s="1" t="s">
        <v>378</v>
      </c>
      <c r="B71" s="1" t="s">
        <v>379</v>
      </c>
      <c r="C71" s="1" t="s">
        <v>16</v>
      </c>
      <c r="D71" s="1" t="s">
        <v>67</v>
      </c>
      <c r="E71" s="1" t="s">
        <v>381</v>
      </c>
      <c r="F71" s="1" t="s">
        <v>380</v>
      </c>
      <c r="G71" s="1" t="s">
        <v>12493</v>
      </c>
      <c r="H71" s="1" t="s">
        <v>382</v>
      </c>
      <c r="I71" s="2">
        <v>18.47</v>
      </c>
      <c r="J71" s="2">
        <v>1.5</v>
      </c>
      <c r="K71" s="2">
        <v>1.74</v>
      </c>
      <c r="L71" s="2">
        <v>1.88</v>
      </c>
      <c r="M71" s="4">
        <f t="shared" si="6"/>
        <v>10.614942528735632</v>
      </c>
      <c r="N71" s="4">
        <f t="shared" si="7"/>
        <v>9.8244680851063837</v>
      </c>
      <c r="O71" s="5">
        <f t="shared" si="8"/>
        <v>0.15999999999999992</v>
      </c>
      <c r="P71" s="5">
        <f t="shared" si="9"/>
        <v>8.0459770114942541E-2</v>
      </c>
      <c r="Q71" s="4">
        <f t="shared" si="10"/>
        <v>0.66343390804597735</v>
      </c>
      <c r="R71" s="4">
        <f t="shared" si="11"/>
        <v>1.2210410334346502</v>
      </c>
      <c r="S71" s="4">
        <v>3.16</v>
      </c>
      <c r="T71" s="2">
        <v>1.39</v>
      </c>
      <c r="U71" s="2">
        <v>28.19</v>
      </c>
      <c r="V71" s="2">
        <v>9.31</v>
      </c>
      <c r="W71" s="2">
        <v>-17.91</v>
      </c>
      <c r="X71" s="2">
        <v>-21.6</v>
      </c>
      <c r="Y71" s="2">
        <v>-31.62</v>
      </c>
      <c r="Z71" s="2">
        <v>-29.96</v>
      </c>
    </row>
    <row r="72" spans="1:26" x14ac:dyDescent="0.25">
      <c r="A72" s="1" t="s">
        <v>383</v>
      </c>
      <c r="B72" s="1" t="s">
        <v>384</v>
      </c>
      <c r="C72" s="1" t="s">
        <v>45</v>
      </c>
      <c r="D72" s="1" t="s">
        <v>354</v>
      </c>
      <c r="E72" s="1" t="s">
        <v>355</v>
      </c>
      <c r="F72" s="1" t="s">
        <v>385</v>
      </c>
      <c r="G72" s="1" t="s">
        <v>12480</v>
      </c>
      <c r="H72" s="1" t="s">
        <v>386</v>
      </c>
      <c r="I72" s="2">
        <v>131.86000000000001</v>
      </c>
      <c r="J72" s="2">
        <v>5.97</v>
      </c>
      <c r="K72" s="2">
        <v>6.32</v>
      </c>
      <c r="L72" s="2">
        <v>6.82</v>
      </c>
      <c r="M72" s="4">
        <f t="shared" si="6"/>
        <v>20.863924050632914</v>
      </c>
      <c r="N72" s="4">
        <f t="shared" si="7"/>
        <v>19.334310850439884</v>
      </c>
      <c r="O72" s="5">
        <f t="shared" si="8"/>
        <v>5.8626465661641536E-2</v>
      </c>
      <c r="P72" s="5">
        <f t="shared" si="9"/>
        <v>7.9113924050632889E-2</v>
      </c>
      <c r="Q72" s="4">
        <f t="shared" si="10"/>
        <v>3.5587893309222429</v>
      </c>
      <c r="R72" s="4">
        <f t="shared" si="11"/>
        <v>2.443856891495602</v>
      </c>
      <c r="S72" s="4">
        <v>10.93</v>
      </c>
      <c r="T72" s="2">
        <v>0.61</v>
      </c>
      <c r="U72" s="2">
        <v>133.82</v>
      </c>
      <c r="V72" s="2">
        <v>98.59</v>
      </c>
      <c r="W72" s="2">
        <v>-1.07</v>
      </c>
      <c r="X72" s="2">
        <v>8.89</v>
      </c>
      <c r="Y72" s="2">
        <v>13.9</v>
      </c>
      <c r="Z72" s="2">
        <v>14.35</v>
      </c>
    </row>
    <row r="73" spans="1:26" x14ac:dyDescent="0.25">
      <c r="A73" s="1" t="s">
        <v>388</v>
      </c>
      <c r="B73" s="1" t="s">
        <v>389</v>
      </c>
      <c r="C73" s="1" t="s">
        <v>16</v>
      </c>
      <c r="D73" s="1" t="s">
        <v>46</v>
      </c>
      <c r="E73" s="1" t="s">
        <v>391</v>
      </c>
      <c r="F73" s="1" t="s">
        <v>390</v>
      </c>
      <c r="G73" s="1" t="s">
        <v>12480</v>
      </c>
      <c r="H73" s="1" t="s">
        <v>392</v>
      </c>
      <c r="I73" s="2">
        <v>139.34</v>
      </c>
      <c r="J73" s="2">
        <v>15.37</v>
      </c>
      <c r="K73" s="2">
        <v>15.45</v>
      </c>
      <c r="L73" s="2">
        <v>16.52</v>
      </c>
      <c r="M73" s="4">
        <f t="shared" si="6"/>
        <v>9.0187702265372174</v>
      </c>
      <c r="N73" s="4">
        <f t="shared" si="7"/>
        <v>8.4346246973365613</v>
      </c>
      <c r="O73" s="5">
        <f t="shared" si="8"/>
        <v>5.2049446974626878E-3</v>
      </c>
      <c r="P73" s="5">
        <f t="shared" si="9"/>
        <v>6.9255663430420666E-2</v>
      </c>
      <c r="Q73" s="4">
        <f t="shared" si="10"/>
        <v>17.327312297734302</v>
      </c>
      <c r="R73" s="4">
        <f t="shared" si="11"/>
        <v>1.2178967436808408</v>
      </c>
      <c r="S73" s="4">
        <v>6.5</v>
      </c>
      <c r="T73" s="2">
        <v>1.01</v>
      </c>
      <c r="U73" s="2">
        <v>154.83000000000001</v>
      </c>
      <c r="V73" s="2">
        <v>88.97</v>
      </c>
      <c r="W73" s="2">
        <v>-7.25</v>
      </c>
      <c r="X73" s="2">
        <v>-2.2200000000000002</v>
      </c>
      <c r="Y73" s="2">
        <v>-1.73</v>
      </c>
      <c r="Z73" s="2">
        <v>-3.07</v>
      </c>
    </row>
    <row r="74" spans="1:26" x14ac:dyDescent="0.25">
      <c r="A74" s="1" t="s">
        <v>393</v>
      </c>
      <c r="B74" s="1" t="s">
        <v>394</v>
      </c>
      <c r="C74" s="1" t="s">
        <v>16</v>
      </c>
      <c r="D74" s="1" t="s">
        <v>204</v>
      </c>
      <c r="E74" s="1" t="s">
        <v>205</v>
      </c>
      <c r="F74" s="1" t="s">
        <v>395</v>
      </c>
      <c r="G74" s="1" t="s">
        <v>12480</v>
      </c>
      <c r="H74" s="1" t="s">
        <v>396</v>
      </c>
      <c r="I74" s="2">
        <v>15.78</v>
      </c>
      <c r="J74" s="2">
        <v>2.0499999999999998</v>
      </c>
      <c r="K74" s="2">
        <v>2.0699999999999998</v>
      </c>
      <c r="L74" s="2">
        <v>3.2</v>
      </c>
      <c r="M74" s="4">
        <f t="shared" si="6"/>
        <v>7.6231884057971016</v>
      </c>
      <c r="N74" s="4">
        <f t="shared" si="7"/>
        <v>4.9312499999999995</v>
      </c>
      <c r="O74" s="5">
        <f t="shared" si="8"/>
        <v>9.7560975609756184E-3</v>
      </c>
      <c r="P74" s="5">
        <f t="shared" si="9"/>
        <v>0.54589371980676349</v>
      </c>
      <c r="Q74" s="4">
        <f t="shared" si="10"/>
        <v>7.8137681159420218</v>
      </c>
      <c r="R74" s="4">
        <f t="shared" si="11"/>
        <v>9.0333517699115004E-2</v>
      </c>
      <c r="S74" s="4"/>
      <c r="T74" s="2"/>
      <c r="U74" s="2">
        <v>22.91</v>
      </c>
      <c r="V74" s="2">
        <v>15.72</v>
      </c>
      <c r="W74" s="2">
        <v>-11.75</v>
      </c>
      <c r="X74" s="2">
        <v>-17.04</v>
      </c>
      <c r="Y74" s="2">
        <v>-17.43</v>
      </c>
      <c r="Z74" s="2">
        <v>-28.14</v>
      </c>
    </row>
    <row r="75" spans="1:26" x14ac:dyDescent="0.25">
      <c r="A75" s="1" t="s">
        <v>397</v>
      </c>
      <c r="B75" s="1" t="s">
        <v>397</v>
      </c>
      <c r="C75" s="1" t="s">
        <v>16</v>
      </c>
      <c r="D75" s="1" t="s">
        <v>354</v>
      </c>
      <c r="E75" s="1" t="s">
        <v>355</v>
      </c>
      <c r="F75" s="1" t="s">
        <v>398</v>
      </c>
      <c r="G75" s="1" t="s">
        <v>12480</v>
      </c>
      <c r="H75" s="1" t="s">
        <v>399</v>
      </c>
      <c r="I75" s="2">
        <v>14.19</v>
      </c>
      <c r="J75" s="2">
        <v>2.34</v>
      </c>
      <c r="K75" s="2">
        <v>2.39</v>
      </c>
      <c r="L75" s="2">
        <v>2.4300000000000002</v>
      </c>
      <c r="M75" s="4">
        <f t="shared" si="6"/>
        <v>5.9372384937238492</v>
      </c>
      <c r="N75" s="4">
        <f t="shared" si="7"/>
        <v>5.8395061728395055</v>
      </c>
      <c r="O75" s="5">
        <f t="shared" si="8"/>
        <v>2.1367521367521514E-2</v>
      </c>
      <c r="P75" s="5">
        <f t="shared" si="9"/>
        <v>1.6736401673640211E-2</v>
      </c>
      <c r="Q75" s="4">
        <f t="shared" si="10"/>
        <v>2.7786276150627423</v>
      </c>
      <c r="R75" s="4">
        <f t="shared" si="11"/>
        <v>3.4891049382715953</v>
      </c>
      <c r="S75" s="4">
        <v>-0.37</v>
      </c>
      <c r="T75" s="2">
        <v>0.95</v>
      </c>
      <c r="U75" s="2">
        <v>17.28</v>
      </c>
      <c r="V75" s="2">
        <v>9.6300000000000008</v>
      </c>
      <c r="W75" s="2">
        <v>-0.14000000000000001</v>
      </c>
      <c r="X75" s="2">
        <v>-11.64</v>
      </c>
      <c r="Y75" s="2">
        <v>2.38</v>
      </c>
      <c r="Z75" s="2">
        <v>-1.05</v>
      </c>
    </row>
    <row r="76" spans="1:26" x14ac:dyDescent="0.25">
      <c r="A76" s="1" t="s">
        <v>400</v>
      </c>
      <c r="B76" s="1" t="s">
        <v>401</v>
      </c>
      <c r="C76" s="1" t="s">
        <v>16</v>
      </c>
      <c r="D76" s="1" t="s">
        <v>94</v>
      </c>
      <c r="E76" s="1" t="s">
        <v>403</v>
      </c>
      <c r="F76" s="1" t="s">
        <v>402</v>
      </c>
      <c r="G76" s="1" t="s">
        <v>12480</v>
      </c>
      <c r="H76" s="1" t="s">
        <v>404</v>
      </c>
      <c r="I76" s="2">
        <v>11.9</v>
      </c>
      <c r="J76" s="2">
        <v>-0.41</v>
      </c>
      <c r="K76" s="2">
        <v>-0.4</v>
      </c>
      <c r="L76" s="2">
        <v>0.2</v>
      </c>
      <c r="M76" s="4">
        <f t="shared" si="6"/>
        <v>-29.75</v>
      </c>
      <c r="N76" s="4">
        <f t="shared" si="7"/>
        <v>59.5</v>
      </c>
      <c r="O76" s="5">
        <f t="shared" si="8"/>
        <v>-2.4390243902438935E-2</v>
      </c>
      <c r="P76" s="5">
        <f t="shared" si="9"/>
        <v>-1.5</v>
      </c>
      <c r="Q76" s="4">
        <f t="shared" si="10"/>
        <v>12.197500000000044</v>
      </c>
      <c r="R76" s="4">
        <f t="shared" si="11"/>
        <v>-0.39666666666666667</v>
      </c>
      <c r="S76" s="4">
        <v>3.73</v>
      </c>
      <c r="T76" s="2">
        <v>1.31</v>
      </c>
      <c r="U76" s="2">
        <v>18.54</v>
      </c>
      <c r="V76" s="2">
        <v>8.1</v>
      </c>
      <c r="W76" s="2">
        <v>19.48</v>
      </c>
      <c r="X76" s="2">
        <v>-0.42</v>
      </c>
      <c r="Y76" s="2">
        <v>18.53</v>
      </c>
      <c r="Z76" s="2">
        <v>26.33</v>
      </c>
    </row>
    <row r="77" spans="1:26" x14ac:dyDescent="0.25">
      <c r="A77" s="1" t="s">
        <v>406</v>
      </c>
      <c r="B77" s="1" t="s">
        <v>407</v>
      </c>
      <c r="C77" s="1" t="s">
        <v>31</v>
      </c>
      <c r="D77" s="1" t="s">
        <v>94</v>
      </c>
      <c r="E77" s="1" t="s">
        <v>409</v>
      </c>
      <c r="F77" s="1" t="s">
        <v>408</v>
      </c>
      <c r="G77" s="1" t="s">
        <v>12480</v>
      </c>
      <c r="H77" s="1" t="s">
        <v>410</v>
      </c>
      <c r="I77" s="2">
        <v>19.6555</v>
      </c>
      <c r="J77" s="2">
        <v>1.57</v>
      </c>
      <c r="K77" s="2">
        <v>1.1299999999999999</v>
      </c>
      <c r="L77" s="2">
        <v>1.18</v>
      </c>
      <c r="M77" s="4">
        <f t="shared" si="6"/>
        <v>17.39424778761062</v>
      </c>
      <c r="N77" s="4">
        <f t="shared" si="7"/>
        <v>16.65720338983051</v>
      </c>
      <c r="O77" s="5">
        <f t="shared" si="8"/>
        <v>-0.28025477707006374</v>
      </c>
      <c r="P77" s="5">
        <f t="shared" si="9"/>
        <v>4.4247787610619538E-2</v>
      </c>
      <c r="Q77" s="4">
        <f t="shared" si="10"/>
        <v>-0.62065838696701525</v>
      </c>
      <c r="R77" s="4">
        <f t="shared" si="11"/>
        <v>3.7645279661016895</v>
      </c>
      <c r="S77" s="4">
        <v>46.06</v>
      </c>
      <c r="T77" s="2">
        <v>0.26</v>
      </c>
      <c r="U77" s="2">
        <v>22.91</v>
      </c>
      <c r="V77" s="2">
        <v>16.71</v>
      </c>
      <c r="W77" s="2">
        <v>6.25</v>
      </c>
      <c r="X77" s="2">
        <v>15.82</v>
      </c>
      <c r="Y77" s="2">
        <v>5.62</v>
      </c>
      <c r="Z77" s="2">
        <v>4.4800000000000004</v>
      </c>
    </row>
    <row r="78" spans="1:26" x14ac:dyDescent="0.25">
      <c r="A78" s="1" t="s">
        <v>412</v>
      </c>
      <c r="B78" s="1" t="s">
        <v>413</v>
      </c>
      <c r="C78" s="1" t="s">
        <v>16</v>
      </c>
      <c r="D78" s="1" t="s">
        <v>38</v>
      </c>
      <c r="E78" s="1" t="s">
        <v>194</v>
      </c>
      <c r="F78" s="1" t="s">
        <v>414</v>
      </c>
      <c r="G78" s="1" t="s">
        <v>12480</v>
      </c>
      <c r="H78" s="1" t="s">
        <v>415</v>
      </c>
      <c r="I78" s="2">
        <v>129.25</v>
      </c>
      <c r="J78" s="2">
        <v>10.29</v>
      </c>
      <c r="K78" s="2" t="s">
        <v>12499</v>
      </c>
      <c r="L78" s="2">
        <v>11.64</v>
      </c>
      <c r="M78" s="4">
        <f t="shared" si="6"/>
        <v>11.75</v>
      </c>
      <c r="N78" s="4">
        <f t="shared" si="7"/>
        <v>11.103951890034363</v>
      </c>
      <c r="O78" s="5">
        <f t="shared" si="8"/>
        <v>6.899902818270176E-2</v>
      </c>
      <c r="P78" s="5">
        <f t="shared" si="9"/>
        <v>5.8181818181818334E-2</v>
      </c>
      <c r="Q78" s="4">
        <f t="shared" si="10"/>
        <v>1.7029225352112649</v>
      </c>
      <c r="R78" s="4">
        <f t="shared" si="11"/>
        <v>1.9084917310996512</v>
      </c>
      <c r="S78" s="4">
        <v>-1.8</v>
      </c>
      <c r="T78" s="2">
        <v>0.69</v>
      </c>
      <c r="U78" s="2">
        <v>148.71</v>
      </c>
      <c r="V78" s="2">
        <v>116.9</v>
      </c>
      <c r="W78" s="2">
        <v>-3.9</v>
      </c>
      <c r="X78" s="2">
        <v>-0.3</v>
      </c>
      <c r="Y78" s="2">
        <v>-5.97</v>
      </c>
      <c r="Z78" s="2">
        <v>-5.44</v>
      </c>
    </row>
    <row r="79" spans="1:26" x14ac:dyDescent="0.25">
      <c r="A79" s="1" t="s">
        <v>417</v>
      </c>
      <c r="B79" s="1" t="s">
        <v>418</v>
      </c>
      <c r="C79" s="1" t="s">
        <v>16</v>
      </c>
      <c r="D79" s="1" t="s">
        <v>38</v>
      </c>
      <c r="E79" s="1" t="s">
        <v>420</v>
      </c>
      <c r="F79" s="1" t="s">
        <v>419</v>
      </c>
      <c r="G79" s="1" t="s">
        <v>12480</v>
      </c>
      <c r="H79" s="1" t="s">
        <v>421</v>
      </c>
      <c r="I79" s="2">
        <v>110.18</v>
      </c>
      <c r="J79" s="2">
        <v>7.49</v>
      </c>
      <c r="K79" s="2">
        <v>7.32</v>
      </c>
      <c r="L79" s="2">
        <v>7.69</v>
      </c>
      <c r="M79" s="4">
        <f t="shared" si="6"/>
        <v>15.051912568306012</v>
      </c>
      <c r="N79" s="4">
        <f t="shared" si="7"/>
        <v>14.327698309492847</v>
      </c>
      <c r="O79" s="5">
        <f t="shared" si="8"/>
        <v>-2.2696929238985253E-2</v>
      </c>
      <c r="P79" s="5">
        <f t="shared" si="9"/>
        <v>5.0546448087431806E-2</v>
      </c>
      <c r="Q79" s="4">
        <f t="shared" si="10"/>
        <v>-6.6316955962713138</v>
      </c>
      <c r="R79" s="4">
        <f t="shared" si="11"/>
        <v>2.8345608547429029</v>
      </c>
      <c r="S79" s="4">
        <v>-9.31</v>
      </c>
      <c r="T79" s="2">
        <v>0.66</v>
      </c>
      <c r="U79" s="2">
        <v>117.47</v>
      </c>
      <c r="V79" s="2">
        <v>98.09</v>
      </c>
      <c r="W79" s="2">
        <v>-2.8</v>
      </c>
      <c r="X79" s="2">
        <v>-2.67</v>
      </c>
      <c r="Y79" s="2">
        <v>-1.18</v>
      </c>
      <c r="Z79" s="2">
        <v>-0.08</v>
      </c>
    </row>
    <row r="80" spans="1:26" x14ac:dyDescent="0.25">
      <c r="A80" s="1" t="s">
        <v>422</v>
      </c>
      <c r="B80" s="1" t="s">
        <v>423</v>
      </c>
      <c r="C80" s="1" t="s">
        <v>31</v>
      </c>
      <c r="D80" s="1" t="s">
        <v>46</v>
      </c>
      <c r="E80" s="1" t="s">
        <v>47</v>
      </c>
      <c r="F80" s="1" t="s">
        <v>424</v>
      </c>
      <c r="G80" s="1" t="s">
        <v>12480</v>
      </c>
      <c r="H80" s="1" t="s">
        <v>425</v>
      </c>
      <c r="I80" s="2">
        <v>1.1200000000000001</v>
      </c>
      <c r="J80" s="2">
        <v>0.4</v>
      </c>
      <c r="K80" s="2">
        <v>0.59</v>
      </c>
      <c r="L80" s="2">
        <v>0.76</v>
      </c>
      <c r="M80" s="4">
        <f t="shared" si="6"/>
        <v>1.898305084745763</v>
      </c>
      <c r="N80" s="4">
        <f t="shared" si="7"/>
        <v>1.4736842105263159</v>
      </c>
      <c r="O80" s="5">
        <f t="shared" si="8"/>
        <v>0.47499999999999987</v>
      </c>
      <c r="P80" s="5">
        <f t="shared" si="9"/>
        <v>0.2881355932203391</v>
      </c>
      <c r="Q80" s="4">
        <f t="shared" si="10"/>
        <v>3.9964317573595025E-2</v>
      </c>
      <c r="R80" s="4">
        <f t="shared" si="11"/>
        <v>5.1145510835913295E-2</v>
      </c>
      <c r="S80" s="4">
        <v>-17.53</v>
      </c>
      <c r="T80" s="2">
        <v>1.23</v>
      </c>
      <c r="U80" s="2">
        <v>1.74</v>
      </c>
      <c r="V80" s="2">
        <v>0.77</v>
      </c>
      <c r="W80" s="2">
        <v>-10.4</v>
      </c>
      <c r="X80" s="2">
        <v>-21.95</v>
      </c>
      <c r="Y80" s="2">
        <v>-12.5</v>
      </c>
      <c r="Z80" s="2">
        <v>-14.18</v>
      </c>
    </row>
    <row r="81" spans="1:26" x14ac:dyDescent="0.25">
      <c r="A81" s="1" t="s">
        <v>426</v>
      </c>
      <c r="B81" s="1" t="s">
        <v>427</v>
      </c>
      <c r="C81" s="1" t="s">
        <v>45</v>
      </c>
      <c r="D81" s="1" t="s">
        <v>32</v>
      </c>
      <c r="E81" s="1" t="s">
        <v>311</v>
      </c>
      <c r="F81" s="1" t="s">
        <v>428</v>
      </c>
      <c r="G81" s="1" t="s">
        <v>12502</v>
      </c>
      <c r="H81" s="1" t="s">
        <v>429</v>
      </c>
      <c r="I81" s="2">
        <v>50.81</v>
      </c>
      <c r="J81" s="2">
        <v>0.15</v>
      </c>
      <c r="K81" s="2">
        <v>1.1100000000000001</v>
      </c>
      <c r="L81" s="2">
        <v>1.76</v>
      </c>
      <c r="M81" s="4">
        <f t="shared" si="6"/>
        <v>45.77477477477477</v>
      </c>
      <c r="N81" s="4">
        <f t="shared" si="7"/>
        <v>28.869318181818183</v>
      </c>
      <c r="O81" s="5">
        <f t="shared" si="8"/>
        <v>6.4000000000000012</v>
      </c>
      <c r="P81" s="5">
        <f t="shared" si="9"/>
        <v>0.58558558558558538</v>
      </c>
      <c r="Q81" s="4">
        <f t="shared" si="10"/>
        <v>7.1523085585585566E-2</v>
      </c>
      <c r="R81" s="4">
        <f t="shared" si="11"/>
        <v>0.49299912587412609</v>
      </c>
      <c r="S81" s="4">
        <v>39.659999999999997</v>
      </c>
      <c r="T81" s="2">
        <v>3.61</v>
      </c>
      <c r="U81" s="2">
        <v>92.18</v>
      </c>
      <c r="V81" s="2">
        <v>35.75</v>
      </c>
      <c r="W81" s="2">
        <v>8.8699999999999992</v>
      </c>
      <c r="X81" s="2">
        <v>-12.32</v>
      </c>
      <c r="Y81" s="2">
        <v>-22.62</v>
      </c>
      <c r="Z81" s="2">
        <v>-31.74</v>
      </c>
    </row>
    <row r="82" spans="1:26" x14ac:dyDescent="0.25">
      <c r="A82" s="1" t="s">
        <v>432</v>
      </c>
      <c r="B82" s="1" t="s">
        <v>433</v>
      </c>
      <c r="C82" s="1" t="s">
        <v>45</v>
      </c>
      <c r="D82" s="1" t="s">
        <v>147</v>
      </c>
      <c r="E82" s="1" t="s">
        <v>435</v>
      </c>
      <c r="F82" s="1" t="s">
        <v>434</v>
      </c>
      <c r="G82" s="1" t="s">
        <v>12480</v>
      </c>
      <c r="H82" s="1" t="s">
        <v>436</v>
      </c>
      <c r="I82" s="2">
        <v>14.01</v>
      </c>
      <c r="J82" s="2">
        <v>1.65</v>
      </c>
      <c r="K82" s="2">
        <v>1.78</v>
      </c>
      <c r="L82" s="2">
        <v>2.0099999999999998</v>
      </c>
      <c r="M82" s="4">
        <f t="shared" si="6"/>
        <v>7.8707865168539319</v>
      </c>
      <c r="N82" s="4">
        <f t="shared" si="7"/>
        <v>6.9701492537313436</v>
      </c>
      <c r="O82" s="5">
        <f t="shared" si="8"/>
        <v>7.8787878787878851E-2</v>
      </c>
      <c r="P82" s="5">
        <f t="shared" si="9"/>
        <v>0.12921348314606718</v>
      </c>
      <c r="Q82" s="4">
        <f t="shared" si="10"/>
        <v>0.9989844425237675</v>
      </c>
      <c r="R82" s="4">
        <f t="shared" si="11"/>
        <v>0.53942894224529625</v>
      </c>
      <c r="S82" s="4">
        <v>6.37</v>
      </c>
      <c r="T82" s="2">
        <v>0.52</v>
      </c>
      <c r="U82" s="2">
        <v>19.61</v>
      </c>
      <c r="V82" s="2">
        <v>13.16</v>
      </c>
      <c r="W82" s="2">
        <v>4.4000000000000004</v>
      </c>
      <c r="X82" s="2">
        <v>-10.42</v>
      </c>
      <c r="Y82" s="2">
        <v>-3.71</v>
      </c>
      <c r="Z82" s="2">
        <v>-9.09</v>
      </c>
    </row>
    <row r="83" spans="1:26" x14ac:dyDescent="0.25">
      <c r="A83" s="1" t="s">
        <v>437</v>
      </c>
      <c r="B83" s="1" t="s">
        <v>438</v>
      </c>
      <c r="C83" s="1" t="s">
        <v>16</v>
      </c>
      <c r="D83" s="1" t="s">
        <v>88</v>
      </c>
      <c r="E83" s="1" t="s">
        <v>440</v>
      </c>
      <c r="F83" s="1" t="s">
        <v>439</v>
      </c>
      <c r="G83" s="1" t="s">
        <v>12480</v>
      </c>
      <c r="H83" s="1" t="s">
        <v>441</v>
      </c>
      <c r="I83" s="2">
        <v>26.14</v>
      </c>
      <c r="J83" s="2">
        <v>0.46</v>
      </c>
      <c r="K83" s="2">
        <v>0.6</v>
      </c>
      <c r="L83" s="2">
        <v>1.1100000000000001</v>
      </c>
      <c r="M83" s="4">
        <f t="shared" si="6"/>
        <v>43.56666666666667</v>
      </c>
      <c r="N83" s="4">
        <f t="shared" si="7"/>
        <v>23.54954954954955</v>
      </c>
      <c r="O83" s="5">
        <f t="shared" si="8"/>
        <v>0.30434782608695632</v>
      </c>
      <c r="P83" s="5">
        <f t="shared" si="9"/>
        <v>0.85000000000000031</v>
      </c>
      <c r="Q83" s="4">
        <f t="shared" si="10"/>
        <v>1.4314761904761917</v>
      </c>
      <c r="R83" s="4">
        <f t="shared" si="11"/>
        <v>0.27705352411234757</v>
      </c>
      <c r="S83" s="4">
        <v>124.25</v>
      </c>
      <c r="T83" s="2">
        <v>0.76</v>
      </c>
      <c r="U83" s="2">
        <v>32.01</v>
      </c>
      <c r="V83" s="2">
        <v>5.24</v>
      </c>
      <c r="W83" s="2">
        <v>-17.28</v>
      </c>
      <c r="X83" s="2">
        <v>10.06</v>
      </c>
      <c r="Y83" s="2">
        <v>62.97</v>
      </c>
      <c r="Z83" s="2">
        <v>56.9</v>
      </c>
    </row>
    <row r="84" spans="1:26" x14ac:dyDescent="0.25">
      <c r="A84" s="1" t="s">
        <v>443</v>
      </c>
      <c r="B84" s="1" t="s">
        <v>444</v>
      </c>
      <c r="C84" s="1" t="s">
        <v>16</v>
      </c>
      <c r="D84" s="1" t="s">
        <v>140</v>
      </c>
      <c r="E84" s="1" t="s">
        <v>284</v>
      </c>
      <c r="F84" s="1" t="s">
        <v>445</v>
      </c>
      <c r="G84" s="1" t="s">
        <v>12480</v>
      </c>
      <c r="H84" s="1" t="s">
        <v>446</v>
      </c>
      <c r="I84" s="2">
        <v>10.58</v>
      </c>
      <c r="J84" s="2"/>
      <c r="K84" s="2"/>
      <c r="L84" s="2"/>
      <c r="M84" s="4" t="e">
        <f t="shared" si="6"/>
        <v>#DIV/0!</v>
      </c>
      <c r="N84" s="4" t="e">
        <f t="shared" si="7"/>
        <v>#DIV/0!</v>
      </c>
      <c r="O84" s="5" t="e">
        <f t="shared" si="8"/>
        <v>#DIV/0!</v>
      </c>
      <c r="P84" s="5" t="e">
        <f t="shared" si="9"/>
        <v>#DIV/0!</v>
      </c>
      <c r="Q84" s="4" t="e">
        <f t="shared" si="10"/>
        <v>#DIV/0!</v>
      </c>
      <c r="R84" s="4" t="e">
        <f t="shared" si="11"/>
        <v>#DIV/0!</v>
      </c>
      <c r="S84" s="4"/>
      <c r="T84" s="2"/>
      <c r="U84" s="2" t="s">
        <v>12480</v>
      </c>
      <c r="V84" s="2">
        <v>10.210000000000001</v>
      </c>
      <c r="W84" s="2">
        <v>-10.029999999999999</v>
      </c>
      <c r="X84" s="2"/>
      <c r="Y84" s="2"/>
      <c r="Z84" s="2"/>
    </row>
    <row r="85" spans="1:26" x14ac:dyDescent="0.25">
      <c r="A85" s="1" t="s">
        <v>447</v>
      </c>
      <c r="B85" s="1" t="s">
        <v>447</v>
      </c>
      <c r="C85" s="1" t="s">
        <v>16</v>
      </c>
      <c r="D85" s="1" t="s">
        <v>25</v>
      </c>
      <c r="E85" s="1" t="s">
        <v>449</v>
      </c>
      <c r="F85" s="1" t="s">
        <v>448</v>
      </c>
      <c r="G85" s="1" t="s">
        <v>12480</v>
      </c>
      <c r="H85" s="1" t="s">
        <v>450</v>
      </c>
      <c r="I85" s="2">
        <v>123.92</v>
      </c>
      <c r="J85" s="2">
        <v>5.28</v>
      </c>
      <c r="K85" s="2">
        <v>5.78</v>
      </c>
      <c r="L85" s="2">
        <v>7.95</v>
      </c>
      <c r="M85" s="4">
        <f t="shared" si="6"/>
        <v>21.439446366782008</v>
      </c>
      <c r="N85" s="4">
        <f t="shared" si="7"/>
        <v>15.587421383647799</v>
      </c>
      <c r="O85" s="5">
        <f t="shared" si="8"/>
        <v>9.4696969696969724E-2</v>
      </c>
      <c r="P85" s="5">
        <f t="shared" si="9"/>
        <v>0.37543252595155696</v>
      </c>
      <c r="Q85" s="4">
        <f t="shared" si="10"/>
        <v>2.2640055363321792</v>
      </c>
      <c r="R85" s="4">
        <f t="shared" si="11"/>
        <v>0.41518569399762356</v>
      </c>
      <c r="S85" s="4">
        <v>-13.55</v>
      </c>
      <c r="T85" s="2">
        <v>1.1299999999999999</v>
      </c>
      <c r="U85" s="2">
        <v>140.49</v>
      </c>
      <c r="V85" s="2">
        <v>75.77</v>
      </c>
      <c r="W85" s="2">
        <v>-9.57</v>
      </c>
      <c r="X85" s="2">
        <v>-7.22</v>
      </c>
      <c r="Y85" s="2">
        <v>14.39</v>
      </c>
      <c r="Z85" s="2">
        <v>18.79</v>
      </c>
    </row>
    <row r="86" spans="1:26" x14ac:dyDescent="0.25">
      <c r="A86" s="1" t="s">
        <v>451</v>
      </c>
      <c r="B86" s="1" t="s">
        <v>452</v>
      </c>
      <c r="C86" s="1" t="s">
        <v>31</v>
      </c>
      <c r="D86" s="1" t="s">
        <v>38</v>
      </c>
      <c r="E86" s="1" t="s">
        <v>254</v>
      </c>
      <c r="F86" s="1" t="s">
        <v>453</v>
      </c>
      <c r="G86" s="1" t="s">
        <v>12480</v>
      </c>
      <c r="H86" s="1" t="s">
        <v>454</v>
      </c>
      <c r="I86" s="2">
        <v>69.400000000000006</v>
      </c>
      <c r="J86" s="2">
        <v>6.59</v>
      </c>
      <c r="K86" s="2">
        <v>9.06</v>
      </c>
      <c r="L86" s="2">
        <v>10.06</v>
      </c>
      <c r="M86" s="4">
        <f t="shared" si="6"/>
        <v>7.6600441501103758</v>
      </c>
      <c r="N86" s="4">
        <f t="shared" si="7"/>
        <v>6.8986083499005968</v>
      </c>
      <c r="O86" s="5">
        <f t="shared" si="8"/>
        <v>0.37481031866464343</v>
      </c>
      <c r="P86" s="5">
        <f t="shared" si="9"/>
        <v>0.11037527593818974</v>
      </c>
      <c r="Q86" s="4">
        <f t="shared" si="10"/>
        <v>0.20437121841792458</v>
      </c>
      <c r="R86" s="4">
        <f t="shared" si="11"/>
        <v>0.62501391650099458</v>
      </c>
      <c r="S86" s="4">
        <v>16.43</v>
      </c>
      <c r="T86" s="2">
        <v>0.4</v>
      </c>
      <c r="U86" s="2">
        <v>75.260000000000005</v>
      </c>
      <c r="V86" s="2">
        <v>54.13</v>
      </c>
      <c r="W86" s="2">
        <v>-4.72</v>
      </c>
      <c r="X86" s="2">
        <v>-7.64</v>
      </c>
      <c r="Y86" s="2">
        <v>1.34</v>
      </c>
      <c r="Z86" s="2">
        <v>-1.29</v>
      </c>
    </row>
    <row r="87" spans="1:26" x14ac:dyDescent="0.25">
      <c r="A87" s="1" t="s">
        <v>456</v>
      </c>
      <c r="B87" s="1" t="s">
        <v>457</v>
      </c>
      <c r="C87" s="1" t="s">
        <v>16</v>
      </c>
      <c r="D87" s="1" t="s">
        <v>38</v>
      </c>
      <c r="E87" s="1" t="s">
        <v>259</v>
      </c>
      <c r="F87" s="1" t="s">
        <v>458</v>
      </c>
      <c r="G87" s="1" t="s">
        <v>12480</v>
      </c>
      <c r="H87" s="1" t="s">
        <v>459</v>
      </c>
      <c r="I87" s="2">
        <v>100.44</v>
      </c>
      <c r="J87" s="2"/>
      <c r="K87" s="2"/>
      <c r="L87" s="2"/>
      <c r="M87" s="4" t="e">
        <f t="shared" si="6"/>
        <v>#DIV/0!</v>
      </c>
      <c r="N87" s="4" t="e">
        <f t="shared" si="7"/>
        <v>#DIV/0!</v>
      </c>
      <c r="O87" s="5" t="e">
        <f t="shared" si="8"/>
        <v>#DIV/0!</v>
      </c>
      <c r="P87" s="5" t="e">
        <f t="shared" si="9"/>
        <v>#DIV/0!</v>
      </c>
      <c r="Q87" s="4" t="e">
        <f t="shared" si="10"/>
        <v>#DIV/0!</v>
      </c>
      <c r="R87" s="4" t="e">
        <f t="shared" si="11"/>
        <v>#DIV/0!</v>
      </c>
      <c r="S87" s="4"/>
      <c r="T87" s="2">
        <v>0.27</v>
      </c>
      <c r="U87" s="2">
        <v>101.4</v>
      </c>
      <c r="V87" s="2">
        <v>96.82</v>
      </c>
      <c r="W87" s="2">
        <v>-0.24</v>
      </c>
      <c r="X87" s="2">
        <v>0.28000000000000003</v>
      </c>
      <c r="Y87" s="2">
        <v>0.53</v>
      </c>
      <c r="Z87" s="2">
        <v>0.56000000000000005</v>
      </c>
    </row>
    <row r="88" spans="1:26" x14ac:dyDescent="0.25">
      <c r="A88" s="1" t="s">
        <v>461</v>
      </c>
      <c r="B88" s="1" t="s">
        <v>443</v>
      </c>
      <c r="C88" s="1" t="s">
        <v>16</v>
      </c>
      <c r="D88" s="1" t="s">
        <v>88</v>
      </c>
      <c r="E88" s="1" t="s">
        <v>89</v>
      </c>
      <c r="F88" s="1" t="s">
        <v>462</v>
      </c>
      <c r="G88" s="1" t="s">
        <v>12480</v>
      </c>
      <c r="H88" s="1" t="s">
        <v>463</v>
      </c>
      <c r="I88" s="2">
        <v>51.16</v>
      </c>
      <c r="J88" s="2">
        <v>1.4</v>
      </c>
      <c r="K88" s="2">
        <v>2.5</v>
      </c>
      <c r="L88" s="2">
        <v>3.1</v>
      </c>
      <c r="M88" s="4">
        <f t="shared" si="6"/>
        <v>20.463999999999999</v>
      </c>
      <c r="N88" s="4">
        <f t="shared" si="7"/>
        <v>16.50322580645161</v>
      </c>
      <c r="O88" s="5">
        <f t="shared" si="8"/>
        <v>0.78571428571428581</v>
      </c>
      <c r="P88" s="5">
        <f t="shared" si="9"/>
        <v>0.24</v>
      </c>
      <c r="Q88" s="4">
        <f t="shared" si="10"/>
        <v>0.26045090909090901</v>
      </c>
      <c r="R88" s="4">
        <f t="shared" si="11"/>
        <v>0.68763440860215042</v>
      </c>
      <c r="S88" s="4">
        <v>34.29</v>
      </c>
      <c r="T88" s="2">
        <v>0.55000000000000004</v>
      </c>
      <c r="U88" s="2">
        <v>55.33</v>
      </c>
      <c r="V88" s="2">
        <v>23.05</v>
      </c>
      <c r="W88" s="2">
        <v>-7.54</v>
      </c>
      <c r="X88" s="2">
        <v>16.670000000000002</v>
      </c>
      <c r="Y88" s="2">
        <v>36.35</v>
      </c>
      <c r="Z88" s="2">
        <v>32.61</v>
      </c>
    </row>
    <row r="89" spans="1:26" x14ac:dyDescent="0.25">
      <c r="A89" s="1" t="s">
        <v>465</v>
      </c>
      <c r="B89" s="1" t="s">
        <v>466</v>
      </c>
      <c r="C89" s="1" t="s">
        <v>45</v>
      </c>
      <c r="D89" s="1" t="s">
        <v>18</v>
      </c>
      <c r="E89" s="1" t="s">
        <v>74</v>
      </c>
      <c r="F89" s="1" t="s">
        <v>467</v>
      </c>
      <c r="G89" s="1" t="s">
        <v>12480</v>
      </c>
      <c r="H89" s="1" t="s">
        <v>468</v>
      </c>
      <c r="I89" s="2">
        <v>28.53</v>
      </c>
      <c r="J89" s="2">
        <v>-7.12</v>
      </c>
      <c r="K89" s="2">
        <v>-6.63</v>
      </c>
      <c r="L89" s="2">
        <v>-5.05</v>
      </c>
      <c r="M89" s="4">
        <f t="shared" si="6"/>
        <v>-4.3031674208144794</v>
      </c>
      <c r="N89" s="4">
        <f t="shared" si="7"/>
        <v>-5.6495049504950501</v>
      </c>
      <c r="O89" s="5">
        <f t="shared" si="8"/>
        <v>-6.8820224719101097E-2</v>
      </c>
      <c r="P89" s="5">
        <f t="shared" si="9"/>
        <v>-0.23831070889894423</v>
      </c>
      <c r="Q89" s="4">
        <f t="shared" si="10"/>
        <v>0.62527657216732868</v>
      </c>
      <c r="R89" s="4">
        <f t="shared" si="11"/>
        <v>0.23706466975811505</v>
      </c>
      <c r="S89" s="4">
        <v>48.03</v>
      </c>
      <c r="T89" s="2">
        <v>0.89</v>
      </c>
      <c r="U89" s="2">
        <v>45.49</v>
      </c>
      <c r="V89" s="2">
        <v>22.34</v>
      </c>
      <c r="W89" s="2">
        <v>-2.29</v>
      </c>
      <c r="X89" s="2">
        <v>5.9</v>
      </c>
      <c r="Y89" s="2">
        <v>6.26</v>
      </c>
      <c r="Z89" s="2">
        <v>4.8099999999999996</v>
      </c>
    </row>
    <row r="90" spans="1:26" x14ac:dyDescent="0.25">
      <c r="A90" s="1" t="s">
        <v>470</v>
      </c>
      <c r="B90" s="1" t="s">
        <v>471</v>
      </c>
      <c r="C90" s="1" t="s">
        <v>16</v>
      </c>
      <c r="D90" s="1" t="s">
        <v>38</v>
      </c>
      <c r="E90" s="1" t="s">
        <v>473</v>
      </c>
      <c r="F90" s="1" t="s">
        <v>472</v>
      </c>
      <c r="G90" s="1" t="s">
        <v>12480</v>
      </c>
      <c r="H90" s="1" t="s">
        <v>12510</v>
      </c>
      <c r="I90" s="2">
        <v>161.46</v>
      </c>
      <c r="J90" s="2">
        <v>16.66</v>
      </c>
      <c r="K90" s="2">
        <v>19.38</v>
      </c>
      <c r="L90" s="2">
        <v>21.43</v>
      </c>
      <c r="M90" s="4">
        <f t="shared" si="6"/>
        <v>8.3312693498452024</v>
      </c>
      <c r="N90" s="4">
        <f t="shared" si="7"/>
        <v>7.5342977134857678</v>
      </c>
      <c r="O90" s="5">
        <f t="shared" si="8"/>
        <v>0.16326530612244894</v>
      </c>
      <c r="P90" s="5">
        <f t="shared" si="9"/>
        <v>0.10577915376676983</v>
      </c>
      <c r="Q90" s="4">
        <f t="shared" si="10"/>
        <v>0.51029024767801878</v>
      </c>
      <c r="R90" s="4">
        <f t="shared" si="11"/>
        <v>0.71226677896270352</v>
      </c>
      <c r="S90" s="4">
        <v>-74.75</v>
      </c>
      <c r="T90" s="2">
        <v>0.99</v>
      </c>
      <c r="U90" s="2">
        <v>209.73</v>
      </c>
      <c r="V90" s="2">
        <v>149.46</v>
      </c>
      <c r="W90" s="2">
        <v>1.27</v>
      </c>
      <c r="X90" s="2">
        <v>-8.94</v>
      </c>
      <c r="Y90" s="2">
        <v>-9.61</v>
      </c>
      <c r="Z90" s="2">
        <v>-8.0399999999999991</v>
      </c>
    </row>
    <row r="91" spans="1:26" x14ac:dyDescent="0.25">
      <c r="A91" s="1" t="s">
        <v>474</v>
      </c>
      <c r="B91" s="1" t="s">
        <v>475</v>
      </c>
      <c r="C91" s="1" t="s">
        <v>45</v>
      </c>
      <c r="D91" s="1" t="s">
        <v>38</v>
      </c>
      <c r="E91" s="1" t="s">
        <v>153</v>
      </c>
      <c r="F91" s="1" t="s">
        <v>476</v>
      </c>
      <c r="G91" s="1" t="s">
        <v>12480</v>
      </c>
      <c r="H91" s="1" t="s">
        <v>477</v>
      </c>
      <c r="I91" s="2">
        <v>10.54</v>
      </c>
      <c r="J91" s="2">
        <v>1.5</v>
      </c>
      <c r="K91" s="2">
        <v>1.5</v>
      </c>
      <c r="L91" s="2">
        <v>1.48</v>
      </c>
      <c r="M91" s="4">
        <f t="shared" si="6"/>
        <v>7.0266666666666664</v>
      </c>
      <c r="N91" s="4">
        <f t="shared" si="7"/>
        <v>7.121621621621621</v>
      </c>
      <c r="O91" s="5">
        <f t="shared" si="8"/>
        <v>0</v>
      </c>
      <c r="P91" s="5">
        <f t="shared" si="9"/>
        <v>-1.3333333333333308E-2</v>
      </c>
      <c r="Q91" s="4" t="e">
        <f t="shared" si="10"/>
        <v>#DIV/0!</v>
      </c>
      <c r="R91" s="4">
        <f t="shared" si="11"/>
        <v>-5.3412162162162256</v>
      </c>
      <c r="S91" s="4">
        <v>19.46</v>
      </c>
      <c r="T91" s="2">
        <v>1.37</v>
      </c>
      <c r="U91" s="2">
        <v>12.17</v>
      </c>
      <c r="V91" s="2">
        <v>8.1199999999999992</v>
      </c>
      <c r="W91" s="2">
        <v>-5.47</v>
      </c>
      <c r="X91" s="2">
        <v>-7.05</v>
      </c>
      <c r="Y91" s="2">
        <v>1.74</v>
      </c>
      <c r="Z91" s="2">
        <v>-1.68</v>
      </c>
    </row>
    <row r="92" spans="1:26" x14ac:dyDescent="0.25">
      <c r="A92" s="1" t="s">
        <v>478</v>
      </c>
      <c r="B92" s="1" t="s">
        <v>479</v>
      </c>
      <c r="C92" s="1" t="s">
        <v>16</v>
      </c>
      <c r="D92" s="1" t="s">
        <v>38</v>
      </c>
      <c r="E92" s="1" t="s">
        <v>254</v>
      </c>
      <c r="F92" s="1" t="s">
        <v>480</v>
      </c>
      <c r="G92" s="1" t="s">
        <v>12480</v>
      </c>
      <c r="H92" s="1" t="s">
        <v>481</v>
      </c>
      <c r="I92" s="2">
        <v>85.59</v>
      </c>
      <c r="J92" s="2">
        <v>9.08</v>
      </c>
      <c r="K92" s="2">
        <v>6.85</v>
      </c>
      <c r="L92" s="2">
        <v>7.65</v>
      </c>
      <c r="M92" s="4">
        <f t="shared" si="6"/>
        <v>12.494890510948906</v>
      </c>
      <c r="N92" s="4">
        <f t="shared" si="7"/>
        <v>11.188235294117646</v>
      </c>
      <c r="O92" s="5">
        <f t="shared" si="8"/>
        <v>-0.24559471365638774</v>
      </c>
      <c r="P92" s="5">
        <f t="shared" si="9"/>
        <v>0.11678832116788329</v>
      </c>
      <c r="Q92" s="4">
        <f t="shared" si="10"/>
        <v>-0.50876056430231409</v>
      </c>
      <c r="R92" s="4">
        <f t="shared" si="11"/>
        <v>0.95799264705882292</v>
      </c>
      <c r="S92" s="4">
        <v>27.29</v>
      </c>
      <c r="T92" s="2">
        <v>0.9</v>
      </c>
      <c r="U92" s="2">
        <v>92.18</v>
      </c>
      <c r="V92" s="2">
        <v>76.56</v>
      </c>
      <c r="W92" s="2">
        <v>-2.13</v>
      </c>
      <c r="X92" s="2">
        <v>-7.0000000000000007E-2</v>
      </c>
      <c r="Y92" s="2">
        <v>-6.65</v>
      </c>
      <c r="Z92" s="2">
        <v>-4.76</v>
      </c>
    </row>
    <row r="93" spans="1:26" x14ac:dyDescent="0.25">
      <c r="A93" s="1" t="s">
        <v>482</v>
      </c>
      <c r="B93" s="1" t="s">
        <v>483</v>
      </c>
      <c r="C93" s="1" t="s">
        <v>16</v>
      </c>
      <c r="D93" s="1" t="s">
        <v>61</v>
      </c>
      <c r="E93" s="1" t="s">
        <v>170</v>
      </c>
      <c r="F93" s="1" t="s">
        <v>484</v>
      </c>
      <c r="G93" s="1" t="s">
        <v>12493</v>
      </c>
      <c r="H93" s="1" t="s">
        <v>250</v>
      </c>
      <c r="I93" s="2">
        <v>466.38</v>
      </c>
      <c r="J93" s="2">
        <v>6.15</v>
      </c>
      <c r="K93" s="2">
        <v>10.18</v>
      </c>
      <c r="L93" s="2">
        <v>15.2</v>
      </c>
      <c r="M93" s="4">
        <f t="shared" si="6"/>
        <v>45.813359528487233</v>
      </c>
      <c r="N93" s="4">
        <f t="shared" si="7"/>
        <v>30.682894736842105</v>
      </c>
      <c r="O93" s="5">
        <f t="shared" si="8"/>
        <v>0.65528455284552822</v>
      </c>
      <c r="P93" s="5">
        <f t="shared" si="9"/>
        <v>0.49312377210216107</v>
      </c>
      <c r="Q93" s="4">
        <f t="shared" si="10"/>
        <v>0.69913687617914788</v>
      </c>
      <c r="R93" s="4">
        <f t="shared" si="11"/>
        <v>0.62221487733277425</v>
      </c>
      <c r="S93" s="4">
        <v>52.47</v>
      </c>
      <c r="T93" s="2">
        <v>0.56999999999999995</v>
      </c>
      <c r="U93" s="2">
        <v>466.38</v>
      </c>
      <c r="V93" s="2">
        <v>104.05</v>
      </c>
      <c r="W93" s="2">
        <v>4.72</v>
      </c>
      <c r="X93" s="2">
        <v>26.05</v>
      </c>
      <c r="Y93" s="2">
        <v>46.85</v>
      </c>
      <c r="Z93" s="2">
        <v>48.85</v>
      </c>
    </row>
    <row r="94" spans="1:26" x14ac:dyDescent="0.25">
      <c r="A94" s="1" t="s">
        <v>487</v>
      </c>
      <c r="B94" s="1" t="s">
        <v>488</v>
      </c>
      <c r="C94" s="1" t="s">
        <v>45</v>
      </c>
      <c r="D94" s="1" t="s">
        <v>32</v>
      </c>
      <c r="E94" s="1" t="s">
        <v>490</v>
      </c>
      <c r="F94" s="1" t="s">
        <v>489</v>
      </c>
      <c r="G94" s="1" t="s">
        <v>12490</v>
      </c>
      <c r="H94" s="1" t="s">
        <v>12511</v>
      </c>
      <c r="I94" s="2">
        <v>75.989999999999995</v>
      </c>
      <c r="J94" s="2">
        <v>1.55</v>
      </c>
      <c r="K94" s="2">
        <v>1.65</v>
      </c>
      <c r="L94" s="2">
        <v>2.17</v>
      </c>
      <c r="M94" s="4">
        <f t="shared" si="6"/>
        <v>46.054545454545455</v>
      </c>
      <c r="N94" s="4">
        <f t="shared" si="7"/>
        <v>35.018433179723502</v>
      </c>
      <c r="O94" s="5">
        <f t="shared" si="8"/>
        <v>6.4516129032258007E-2</v>
      </c>
      <c r="P94" s="5">
        <f t="shared" si="9"/>
        <v>0.31515151515151518</v>
      </c>
      <c r="Q94" s="4">
        <f t="shared" si="10"/>
        <v>7.138454545454552</v>
      </c>
      <c r="R94" s="4">
        <f t="shared" si="11"/>
        <v>1.1111618220489186</v>
      </c>
      <c r="S94" s="4">
        <v>16.07</v>
      </c>
      <c r="T94" s="2">
        <v>0.36</v>
      </c>
      <c r="U94" s="2">
        <v>141.12</v>
      </c>
      <c r="V94" s="2">
        <v>65.760000000000005</v>
      </c>
      <c r="W94" s="2">
        <v>3.39</v>
      </c>
      <c r="X94" s="2">
        <v>-11.68</v>
      </c>
      <c r="Y94" s="2">
        <v>-37.81</v>
      </c>
      <c r="Z94" s="2">
        <v>-36.06</v>
      </c>
    </row>
    <row r="95" spans="1:26" x14ac:dyDescent="0.25">
      <c r="A95" s="1" t="s">
        <v>492</v>
      </c>
      <c r="B95" s="1" t="s">
        <v>493</v>
      </c>
      <c r="C95" s="1" t="s">
        <v>45</v>
      </c>
      <c r="D95" s="1" t="s">
        <v>18</v>
      </c>
      <c r="E95" s="1" t="s">
        <v>19</v>
      </c>
      <c r="F95" s="1" t="s">
        <v>494</v>
      </c>
      <c r="G95" s="1" t="s">
        <v>12480</v>
      </c>
      <c r="H95" s="1" t="s">
        <v>495</v>
      </c>
      <c r="I95" s="2">
        <v>9.67</v>
      </c>
      <c r="J95" s="2">
        <v>0.55000000000000004</v>
      </c>
      <c r="K95" s="2">
        <v>0.93</v>
      </c>
      <c r="L95" s="2">
        <v>1.1399999999999999</v>
      </c>
      <c r="M95" s="4">
        <f t="shared" si="6"/>
        <v>10.39784946236559</v>
      </c>
      <c r="N95" s="4">
        <f t="shared" si="7"/>
        <v>8.4824561403508785</v>
      </c>
      <c r="O95" s="5">
        <f t="shared" si="8"/>
        <v>0.69090909090909092</v>
      </c>
      <c r="P95" s="5">
        <f t="shared" si="9"/>
        <v>0.22580645161290303</v>
      </c>
      <c r="Q95" s="4">
        <f t="shared" si="10"/>
        <v>0.15049518958687039</v>
      </c>
      <c r="R95" s="4">
        <f t="shared" si="11"/>
        <v>0.37565162907268207</v>
      </c>
      <c r="S95" s="4">
        <v>-0.49</v>
      </c>
      <c r="T95" s="2">
        <v>1.76</v>
      </c>
      <c r="U95" s="2">
        <v>10.84</v>
      </c>
      <c r="V95" s="2">
        <v>7.33</v>
      </c>
      <c r="W95" s="2">
        <v>0.31</v>
      </c>
      <c r="X95" s="2">
        <v>-9.7899999999999991</v>
      </c>
      <c r="Y95" s="2">
        <v>-5.84</v>
      </c>
      <c r="Z95" s="2">
        <v>-2.91</v>
      </c>
    </row>
    <row r="96" spans="1:26" x14ac:dyDescent="0.25">
      <c r="A96" s="1" t="s">
        <v>496</v>
      </c>
      <c r="B96" s="1" t="s">
        <v>497</v>
      </c>
      <c r="C96" s="1" t="s">
        <v>31</v>
      </c>
      <c r="D96" s="1" t="s">
        <v>140</v>
      </c>
      <c r="E96" s="1" t="s">
        <v>499</v>
      </c>
      <c r="F96" s="1" t="s">
        <v>498</v>
      </c>
      <c r="G96" s="1" t="s">
        <v>12480</v>
      </c>
      <c r="H96" s="1" t="s">
        <v>500</v>
      </c>
      <c r="I96" s="2">
        <v>13.55</v>
      </c>
      <c r="J96" s="2">
        <v>1.34</v>
      </c>
      <c r="K96" s="2">
        <v>1.54</v>
      </c>
      <c r="L96" s="2">
        <v>1.61</v>
      </c>
      <c r="M96" s="4">
        <f t="shared" si="6"/>
        <v>8.7987012987012996</v>
      </c>
      <c r="N96" s="4">
        <f t="shared" si="7"/>
        <v>8.4161490683229818</v>
      </c>
      <c r="O96" s="5">
        <f t="shared" si="8"/>
        <v>0.14925373134328357</v>
      </c>
      <c r="P96" s="5">
        <f t="shared" si="9"/>
        <v>4.5454545454545414E-2</v>
      </c>
      <c r="Q96" s="4">
        <f t="shared" si="10"/>
        <v>0.58951298701298716</v>
      </c>
      <c r="R96" s="4">
        <f t="shared" si="11"/>
        <v>1.8515527950310577</v>
      </c>
      <c r="S96" s="4">
        <v>4.2699999999999996</v>
      </c>
      <c r="T96" s="2">
        <v>1.04</v>
      </c>
      <c r="U96" s="2">
        <v>16.850000000000001</v>
      </c>
      <c r="V96" s="2">
        <v>12.27</v>
      </c>
      <c r="W96" s="2">
        <v>1.76</v>
      </c>
      <c r="X96" s="2">
        <v>-9.7899999999999991</v>
      </c>
      <c r="Y96" s="2">
        <v>-2.59</v>
      </c>
      <c r="Z96" s="2">
        <v>-6.36</v>
      </c>
    </row>
    <row r="97" spans="1:26" x14ac:dyDescent="0.25">
      <c r="A97" s="1" t="s">
        <v>501</v>
      </c>
      <c r="B97" s="1" t="s">
        <v>502</v>
      </c>
      <c r="C97" s="1" t="s">
        <v>31</v>
      </c>
      <c r="D97" s="1" t="s">
        <v>88</v>
      </c>
      <c r="E97" s="1" t="s">
        <v>504</v>
      </c>
      <c r="F97" s="1" t="s">
        <v>503</v>
      </c>
      <c r="G97" s="1" t="s">
        <v>12490</v>
      </c>
      <c r="H97" s="1" t="s">
        <v>505</v>
      </c>
      <c r="I97" s="2">
        <v>20.96</v>
      </c>
      <c r="J97" s="2">
        <v>1.28</v>
      </c>
      <c r="K97" s="2">
        <v>1.27</v>
      </c>
      <c r="L97" s="2">
        <v>1.49</v>
      </c>
      <c r="M97" s="4">
        <f t="shared" si="6"/>
        <v>16.503937007874015</v>
      </c>
      <c r="N97" s="4">
        <f t="shared" si="7"/>
        <v>14.067114093959733</v>
      </c>
      <c r="O97" s="5">
        <f t="shared" si="8"/>
        <v>-7.8125E-3</v>
      </c>
      <c r="P97" s="5">
        <f t="shared" si="9"/>
        <v>0.17322834645669283</v>
      </c>
      <c r="Q97" s="4">
        <f t="shared" si="10"/>
        <v>-21.125039370078738</v>
      </c>
      <c r="R97" s="4">
        <f t="shared" si="11"/>
        <v>0.81205613178767588</v>
      </c>
      <c r="S97" s="4">
        <v>3.4</v>
      </c>
      <c r="T97" s="2">
        <v>0.41</v>
      </c>
      <c r="U97" s="2">
        <v>23.77</v>
      </c>
      <c r="V97" s="2">
        <v>12.51</v>
      </c>
      <c r="W97" s="2">
        <v>-11.82</v>
      </c>
      <c r="X97" s="2">
        <v>-7.13</v>
      </c>
      <c r="Y97" s="2">
        <v>16.25</v>
      </c>
      <c r="Z97" s="2">
        <v>18.47</v>
      </c>
    </row>
    <row r="98" spans="1:26" x14ac:dyDescent="0.25">
      <c r="A98" s="1" t="s">
        <v>507</v>
      </c>
      <c r="B98" s="1" t="s">
        <v>508</v>
      </c>
      <c r="C98" s="1" t="s">
        <v>16</v>
      </c>
      <c r="D98" s="1" t="s">
        <v>38</v>
      </c>
      <c r="E98" s="1" t="s">
        <v>510</v>
      </c>
      <c r="F98" s="1" t="s">
        <v>509</v>
      </c>
      <c r="G98" s="1" t="s">
        <v>12480</v>
      </c>
      <c r="H98" s="1" t="s">
        <v>511</v>
      </c>
      <c r="I98" s="2">
        <v>52.19</v>
      </c>
      <c r="J98" s="2">
        <v>1.72</v>
      </c>
      <c r="K98" s="2">
        <v>1.97</v>
      </c>
      <c r="L98" s="2">
        <v>2.15</v>
      </c>
      <c r="M98" s="4">
        <f t="shared" si="6"/>
        <v>26.492385786802028</v>
      </c>
      <c r="N98" s="4">
        <f t="shared" si="7"/>
        <v>24.274418604651164</v>
      </c>
      <c r="O98" s="5">
        <f t="shared" si="8"/>
        <v>0.14534883720930236</v>
      </c>
      <c r="P98" s="5">
        <f t="shared" si="9"/>
        <v>9.137055837563457E-2</v>
      </c>
      <c r="Q98" s="4">
        <f t="shared" si="10"/>
        <v>1.8226761421319793</v>
      </c>
      <c r="R98" s="4">
        <f t="shared" si="11"/>
        <v>2.6567002583979313</v>
      </c>
      <c r="S98" s="4" t="s">
        <v>12832</v>
      </c>
      <c r="T98" s="2">
        <v>0.95</v>
      </c>
      <c r="U98" s="2">
        <v>53.19</v>
      </c>
      <c r="V98" s="2">
        <v>27.32</v>
      </c>
      <c r="W98" s="2">
        <v>-1.34</v>
      </c>
      <c r="X98" s="2">
        <v>5.69</v>
      </c>
      <c r="Y98" s="2">
        <v>10.57</v>
      </c>
      <c r="Z98" s="2">
        <v>10.9</v>
      </c>
    </row>
    <row r="99" spans="1:26" x14ac:dyDescent="0.25">
      <c r="A99" s="1" t="s">
        <v>513</v>
      </c>
      <c r="B99" s="1" t="s">
        <v>514</v>
      </c>
      <c r="C99" s="1" t="s">
        <v>16</v>
      </c>
      <c r="D99" s="1" t="s">
        <v>32</v>
      </c>
      <c r="E99" s="1" t="s">
        <v>248</v>
      </c>
      <c r="F99" s="1" t="s">
        <v>515</v>
      </c>
      <c r="G99" s="1" t="s">
        <v>12513</v>
      </c>
      <c r="H99" s="1" t="s">
        <v>516</v>
      </c>
      <c r="I99" s="2">
        <v>9.27</v>
      </c>
      <c r="J99" s="2">
        <v>-0.41</v>
      </c>
      <c r="K99" s="2">
        <v>-1.35</v>
      </c>
      <c r="L99" s="2">
        <v>-0.94</v>
      </c>
      <c r="M99" s="4">
        <f t="shared" si="6"/>
        <v>-6.8666666666666663</v>
      </c>
      <c r="N99" s="4">
        <f t="shared" si="7"/>
        <v>-9.8617021276595747</v>
      </c>
      <c r="O99" s="5">
        <f t="shared" si="8"/>
        <v>2.2926829268292686</v>
      </c>
      <c r="P99" s="5">
        <f t="shared" si="9"/>
        <v>-0.30370370370370381</v>
      </c>
      <c r="Q99" s="4">
        <f t="shared" si="10"/>
        <v>-2.9950354609929071E-2</v>
      </c>
      <c r="R99" s="4">
        <f t="shared" si="11"/>
        <v>0.3247145822522054</v>
      </c>
      <c r="S99" s="4">
        <v>25.27</v>
      </c>
      <c r="T99" s="2">
        <v>2.0499999999999998</v>
      </c>
      <c r="U99" s="2">
        <v>29.16</v>
      </c>
      <c r="V99" s="2">
        <v>7.95</v>
      </c>
      <c r="W99" s="2">
        <v>7.17</v>
      </c>
      <c r="X99" s="2">
        <v>-20.36</v>
      </c>
      <c r="Y99" s="2">
        <v>-36.72</v>
      </c>
      <c r="Z99" s="2">
        <v>-31.23</v>
      </c>
    </row>
    <row r="100" spans="1:26" x14ac:dyDescent="0.25">
      <c r="A100" s="1" t="s">
        <v>518</v>
      </c>
      <c r="B100" s="1" t="s">
        <v>519</v>
      </c>
      <c r="C100" s="1" t="s">
        <v>16</v>
      </c>
      <c r="D100" s="1" t="s">
        <v>38</v>
      </c>
      <c r="E100" s="1" t="s">
        <v>254</v>
      </c>
      <c r="F100" s="1" t="s">
        <v>520</v>
      </c>
      <c r="G100" s="1" t="s">
        <v>12480</v>
      </c>
      <c r="H100" s="1" t="s">
        <v>521</v>
      </c>
      <c r="I100" s="2">
        <v>77.62</v>
      </c>
      <c r="J100" s="2">
        <v>7.09</v>
      </c>
      <c r="K100" s="2">
        <v>7.8</v>
      </c>
      <c r="L100" s="2">
        <v>8.77</v>
      </c>
      <c r="M100" s="4">
        <f t="shared" si="6"/>
        <v>9.9512820512820515</v>
      </c>
      <c r="N100" s="4">
        <f t="shared" si="7"/>
        <v>8.8506271379703545</v>
      </c>
      <c r="O100" s="5">
        <f t="shared" si="8"/>
        <v>0.10014104372355437</v>
      </c>
      <c r="P100" s="5">
        <f t="shared" si="9"/>
        <v>0.12435897435897436</v>
      </c>
      <c r="Q100" s="4">
        <f t="shared" si="10"/>
        <v>0.99372661610689716</v>
      </c>
      <c r="R100" s="4">
        <f t="shared" si="11"/>
        <v>0.71169991418730683</v>
      </c>
      <c r="S100" s="4">
        <v>-1.75</v>
      </c>
      <c r="T100" s="2">
        <v>0.57999999999999996</v>
      </c>
      <c r="U100" s="2">
        <v>87.72</v>
      </c>
      <c r="V100" s="2">
        <v>71.89</v>
      </c>
      <c r="W100" s="2">
        <v>-4.3099999999999996</v>
      </c>
      <c r="X100" s="2">
        <v>3.63</v>
      </c>
      <c r="Y100" s="2">
        <v>-10.06</v>
      </c>
      <c r="Z100" s="2">
        <v>-9.27</v>
      </c>
    </row>
    <row r="101" spans="1:26" x14ac:dyDescent="0.25">
      <c r="A101" s="1" t="s">
        <v>522</v>
      </c>
      <c r="B101" s="1" t="s">
        <v>523</v>
      </c>
      <c r="C101" s="1" t="s">
        <v>16</v>
      </c>
      <c r="D101" s="1" t="s">
        <v>25</v>
      </c>
      <c r="E101" s="1" t="s">
        <v>525</v>
      </c>
      <c r="F101" s="1" t="s">
        <v>524</v>
      </c>
      <c r="G101" s="1" t="s">
        <v>12480</v>
      </c>
      <c r="H101" s="1" t="s">
        <v>12515</v>
      </c>
      <c r="I101" s="2">
        <v>56.48</v>
      </c>
      <c r="J101" s="2">
        <v>-1.18</v>
      </c>
      <c r="K101" s="2">
        <v>3.07</v>
      </c>
      <c r="L101" s="2">
        <v>2.95</v>
      </c>
      <c r="M101" s="4">
        <f t="shared" si="6"/>
        <v>18.397394136807819</v>
      </c>
      <c r="N101" s="4">
        <f t="shared" si="7"/>
        <v>19.145762711864403</v>
      </c>
      <c r="O101" s="5">
        <f t="shared" si="8"/>
        <v>-3.6016949152542375</v>
      </c>
      <c r="P101" s="5">
        <f t="shared" si="9"/>
        <v>-3.9087947882736063E-2</v>
      </c>
      <c r="Q101" s="4">
        <f t="shared" si="10"/>
        <v>-5.1079823721019359E-2</v>
      </c>
      <c r="R101" s="4">
        <f t="shared" si="11"/>
        <v>-4.8981242937853215</v>
      </c>
      <c r="S101" s="4">
        <v>-3.88</v>
      </c>
      <c r="T101" s="2">
        <v>1.18</v>
      </c>
      <c r="U101" s="2">
        <v>74.709999999999994</v>
      </c>
      <c r="V101" s="2">
        <v>41.42</v>
      </c>
      <c r="W101" s="2">
        <v>-5.25</v>
      </c>
      <c r="X101" s="2">
        <v>-4.21</v>
      </c>
      <c r="Y101" s="2">
        <v>10.25</v>
      </c>
      <c r="Z101" s="2">
        <v>11.4</v>
      </c>
    </row>
    <row r="102" spans="1:26" x14ac:dyDescent="0.25">
      <c r="A102" s="1" t="s">
        <v>527</v>
      </c>
      <c r="B102" s="1" t="s">
        <v>528</v>
      </c>
      <c r="C102" s="1" t="s">
        <v>31</v>
      </c>
      <c r="D102" s="1" t="s">
        <v>88</v>
      </c>
      <c r="E102" s="1" t="s">
        <v>504</v>
      </c>
      <c r="F102" s="1" t="s">
        <v>529</v>
      </c>
      <c r="G102" s="1" t="s">
        <v>12480</v>
      </c>
      <c r="H102" s="1" t="s">
        <v>530</v>
      </c>
      <c r="I102" s="2" t="s">
        <v>12516</v>
      </c>
      <c r="J102" s="2">
        <v>1.44</v>
      </c>
      <c r="K102" s="2">
        <v>1.55</v>
      </c>
      <c r="L102" s="2">
        <v>1.82</v>
      </c>
      <c r="M102" s="4">
        <f t="shared" si="6"/>
        <v>25.161290322580644</v>
      </c>
      <c r="N102" s="4">
        <f t="shared" si="7"/>
        <v>21.428571428571427</v>
      </c>
      <c r="O102" s="5">
        <f t="shared" si="8"/>
        <v>7.6388888888889062E-2</v>
      </c>
      <c r="P102" s="5">
        <f t="shared" si="9"/>
        <v>0.17419354838709689</v>
      </c>
      <c r="Q102" s="4">
        <f t="shared" si="10"/>
        <v>3.2938416422287315</v>
      </c>
      <c r="R102" s="4">
        <f t="shared" si="11"/>
        <v>1.2301587301587293</v>
      </c>
      <c r="S102" s="4">
        <v>4.07</v>
      </c>
      <c r="T102" s="2">
        <v>0.83</v>
      </c>
      <c r="U102" s="2">
        <v>42.97</v>
      </c>
      <c r="V102" s="2">
        <v>35.200000000000003</v>
      </c>
      <c r="W102" s="2">
        <v>-4.79</v>
      </c>
      <c r="X102" s="2">
        <v>-2.0099999999999998</v>
      </c>
      <c r="Y102" s="2">
        <v>4.1399999999999997</v>
      </c>
      <c r="Z102" s="2">
        <v>3.83</v>
      </c>
    </row>
    <row r="103" spans="1:26" x14ac:dyDescent="0.25">
      <c r="A103" s="1" t="s">
        <v>531</v>
      </c>
      <c r="B103" s="1" t="s">
        <v>532</v>
      </c>
      <c r="C103" s="1" t="s">
        <v>16</v>
      </c>
      <c r="D103" s="1" t="s">
        <v>204</v>
      </c>
      <c r="E103" s="1" t="s">
        <v>534</v>
      </c>
      <c r="F103" s="1" t="s">
        <v>533</v>
      </c>
      <c r="G103" s="1" t="s">
        <v>12508</v>
      </c>
      <c r="H103" s="1" t="s">
        <v>535</v>
      </c>
      <c r="I103" s="2">
        <v>107.87</v>
      </c>
      <c r="J103" s="2">
        <v>3.91</v>
      </c>
      <c r="K103" s="2">
        <v>4.8499999999999996</v>
      </c>
      <c r="L103" s="2">
        <v>5.61</v>
      </c>
      <c r="M103" s="4">
        <f t="shared" si="6"/>
        <v>22.241237113402065</v>
      </c>
      <c r="N103" s="4">
        <f t="shared" si="7"/>
        <v>19.228163992869874</v>
      </c>
      <c r="O103" s="5">
        <f t="shared" si="8"/>
        <v>0.24040920716112524</v>
      </c>
      <c r="P103" s="5">
        <f t="shared" si="9"/>
        <v>0.15670103092783516</v>
      </c>
      <c r="Q103" s="4">
        <f t="shared" si="10"/>
        <v>0.92514082035534151</v>
      </c>
      <c r="R103" s="4">
        <f t="shared" si="11"/>
        <v>1.2270604653344581</v>
      </c>
      <c r="S103" s="4">
        <v>19.91</v>
      </c>
      <c r="T103" s="2">
        <v>1.19</v>
      </c>
      <c r="U103" s="2">
        <v>119.77</v>
      </c>
      <c r="V103" s="2">
        <v>48.56</v>
      </c>
      <c r="W103" s="2">
        <v>-9.94</v>
      </c>
      <c r="X103" s="2">
        <v>-5.66</v>
      </c>
      <c r="Y103" s="2">
        <v>30.42</v>
      </c>
      <c r="Z103" s="2">
        <v>30.29</v>
      </c>
    </row>
    <row r="104" spans="1:26" x14ac:dyDescent="0.25">
      <c r="A104" s="1" t="s">
        <v>536</v>
      </c>
      <c r="B104" s="1" t="s">
        <v>537</v>
      </c>
      <c r="C104" s="1" t="s">
        <v>31</v>
      </c>
      <c r="D104" s="1" t="s">
        <v>46</v>
      </c>
      <c r="E104" s="1" t="s">
        <v>47</v>
      </c>
      <c r="F104" s="1" t="s">
        <v>538</v>
      </c>
      <c r="G104" s="1" t="s">
        <v>12480</v>
      </c>
      <c r="H104" s="1" t="s">
        <v>539</v>
      </c>
      <c r="I104" s="2">
        <v>15.63</v>
      </c>
      <c r="J104" s="2">
        <v>-0.04</v>
      </c>
      <c r="K104" s="2">
        <v>0.55000000000000004</v>
      </c>
      <c r="L104" s="2">
        <v>0.72</v>
      </c>
      <c r="M104" s="4">
        <f t="shared" si="6"/>
        <v>28.418181818181818</v>
      </c>
      <c r="N104" s="4">
        <f t="shared" si="7"/>
        <v>21.708333333333336</v>
      </c>
      <c r="O104" s="5">
        <f t="shared" si="8"/>
        <v>-14.75</v>
      </c>
      <c r="P104" s="5">
        <f t="shared" si="9"/>
        <v>0.30909090909090886</v>
      </c>
      <c r="Q104" s="4">
        <f t="shared" si="10"/>
        <v>-1.9266563944530045E-2</v>
      </c>
      <c r="R104" s="4">
        <f t="shared" si="11"/>
        <v>0.70232843137254963</v>
      </c>
      <c r="S104" s="4">
        <v>10.36</v>
      </c>
      <c r="T104" s="2">
        <v>-0.14000000000000001</v>
      </c>
      <c r="U104" s="2" t="s">
        <v>12517</v>
      </c>
      <c r="V104" s="2">
        <v>10.77</v>
      </c>
      <c r="W104" s="2">
        <v>-17.739999999999998</v>
      </c>
      <c r="X104" s="2">
        <v>-17.739999999999998</v>
      </c>
      <c r="Y104" s="2">
        <v>2.83</v>
      </c>
      <c r="Z104" s="2">
        <v>-12.44</v>
      </c>
    </row>
    <row r="105" spans="1:26" x14ac:dyDescent="0.25">
      <c r="A105" s="1" t="s">
        <v>540</v>
      </c>
      <c r="B105" s="1" t="s">
        <v>541</v>
      </c>
      <c r="C105" s="1" t="s">
        <v>16</v>
      </c>
      <c r="D105" s="1" t="s">
        <v>25</v>
      </c>
      <c r="E105" s="1" t="s">
        <v>220</v>
      </c>
      <c r="F105" s="1" t="s">
        <v>542</v>
      </c>
      <c r="G105" s="1" t="s">
        <v>12502</v>
      </c>
      <c r="H105" s="1" t="s">
        <v>543</v>
      </c>
      <c r="I105" s="2">
        <v>267.57</v>
      </c>
      <c r="J105" s="2">
        <v>10.119999999999999</v>
      </c>
      <c r="K105" s="2">
        <v>10.65</v>
      </c>
      <c r="L105" s="2">
        <v>11.61</v>
      </c>
      <c r="M105" s="4">
        <f t="shared" si="6"/>
        <v>25.123943661971829</v>
      </c>
      <c r="N105" s="4">
        <f t="shared" si="7"/>
        <v>23.046511627906977</v>
      </c>
      <c r="O105" s="5">
        <f t="shared" si="8"/>
        <v>5.2371541501976315E-2</v>
      </c>
      <c r="P105" s="5">
        <f t="shared" si="9"/>
        <v>9.0140845070422415E-2</v>
      </c>
      <c r="Q105" s="4">
        <f t="shared" si="10"/>
        <v>4.7972511294180142</v>
      </c>
      <c r="R105" s="4">
        <f t="shared" si="11"/>
        <v>2.5567223837209339</v>
      </c>
      <c r="S105" s="4">
        <v>1.88</v>
      </c>
      <c r="T105" s="2">
        <v>0.81</v>
      </c>
      <c r="U105" s="2">
        <v>291.74</v>
      </c>
      <c r="V105" s="2">
        <v>206.03</v>
      </c>
      <c r="W105" s="2">
        <v>-5.63</v>
      </c>
      <c r="X105" s="2">
        <v>-5.27</v>
      </c>
      <c r="Y105" s="2">
        <v>2.99</v>
      </c>
      <c r="Z105" s="2">
        <v>4.21</v>
      </c>
    </row>
    <row r="106" spans="1:26" x14ac:dyDescent="0.25">
      <c r="A106" s="1" t="s">
        <v>544</v>
      </c>
      <c r="B106" s="1" t="s">
        <v>545</v>
      </c>
      <c r="C106" s="1" t="s">
        <v>16</v>
      </c>
      <c r="D106" s="1" t="s">
        <v>38</v>
      </c>
      <c r="E106" s="1" t="s">
        <v>254</v>
      </c>
      <c r="F106" s="1" t="s">
        <v>546</v>
      </c>
      <c r="G106" s="1" t="s">
        <v>12480</v>
      </c>
      <c r="H106" s="1" t="s">
        <v>547</v>
      </c>
      <c r="I106" s="2">
        <v>219.67</v>
      </c>
      <c r="J106" s="2">
        <v>19.77</v>
      </c>
      <c r="K106" s="2">
        <v>21.06</v>
      </c>
      <c r="L106" s="2">
        <v>22.52</v>
      </c>
      <c r="M106" s="4">
        <f t="shared" si="6"/>
        <v>10.430674264007598</v>
      </c>
      <c r="N106" s="4">
        <f t="shared" si="7"/>
        <v>9.7544404973357004</v>
      </c>
      <c r="O106" s="5">
        <f t="shared" si="8"/>
        <v>6.5250379362670641E-2</v>
      </c>
      <c r="P106" s="5">
        <f t="shared" si="9"/>
        <v>6.9325735992402659E-2</v>
      </c>
      <c r="Q106" s="4">
        <f t="shared" si="10"/>
        <v>1.5985614744141894</v>
      </c>
      <c r="R106" s="4">
        <f t="shared" si="11"/>
        <v>1.4070446361225333</v>
      </c>
      <c r="S106" s="4">
        <v>7.89</v>
      </c>
      <c r="T106" s="2">
        <v>0.57999999999999996</v>
      </c>
      <c r="U106" s="2">
        <v>243.31</v>
      </c>
      <c r="V106" s="2">
        <v>179.73</v>
      </c>
      <c r="W106" s="2">
        <v>-5.94</v>
      </c>
      <c r="X106" s="2">
        <v>-6.65</v>
      </c>
      <c r="Y106" s="2">
        <v>-5.83</v>
      </c>
      <c r="Z106" s="2">
        <v>-8.7899999999999991</v>
      </c>
    </row>
    <row r="107" spans="1:26" x14ac:dyDescent="0.25">
      <c r="A107" s="1" t="s">
        <v>548</v>
      </c>
      <c r="B107" s="1" t="s">
        <v>549</v>
      </c>
      <c r="C107" s="1" t="s">
        <v>16</v>
      </c>
      <c r="D107" s="1" t="s">
        <v>38</v>
      </c>
      <c r="E107" s="1" t="s">
        <v>551</v>
      </c>
      <c r="F107" s="1" t="s">
        <v>550</v>
      </c>
      <c r="G107" s="1" t="s">
        <v>12480</v>
      </c>
      <c r="H107" s="1" t="s">
        <v>552</v>
      </c>
      <c r="I107" s="2">
        <v>217.78</v>
      </c>
      <c r="J107" s="2">
        <v>10.69</v>
      </c>
      <c r="K107" s="2">
        <v>13.21</v>
      </c>
      <c r="L107" s="2">
        <v>14.79</v>
      </c>
      <c r="M107" s="4">
        <f t="shared" si="6"/>
        <v>16.485995457986373</v>
      </c>
      <c r="N107" s="4">
        <f t="shared" si="7"/>
        <v>14.724814063556458</v>
      </c>
      <c r="O107" s="5">
        <f t="shared" si="8"/>
        <v>0.23573433115060816</v>
      </c>
      <c r="P107" s="5">
        <f t="shared" si="9"/>
        <v>0.11960635881907633</v>
      </c>
      <c r="Q107" s="4">
        <f t="shared" si="10"/>
        <v>0.69934639462648507</v>
      </c>
      <c r="R107" s="4">
        <f t="shared" si="11"/>
        <v>1.2311062897441836</v>
      </c>
      <c r="S107" s="4">
        <v>22.29</v>
      </c>
      <c r="T107" s="2">
        <v>0.67</v>
      </c>
      <c r="U107" s="2">
        <v>348.77</v>
      </c>
      <c r="V107" s="2">
        <v>204.79</v>
      </c>
      <c r="W107" s="2">
        <v>-5.01</v>
      </c>
      <c r="X107" s="2" t="s">
        <v>12489</v>
      </c>
      <c r="Y107" s="2">
        <v>-14.99</v>
      </c>
      <c r="Z107" s="2">
        <v>-15.85</v>
      </c>
    </row>
    <row r="108" spans="1:26" x14ac:dyDescent="0.25">
      <c r="A108" s="1" t="s">
        <v>553</v>
      </c>
      <c r="B108" s="1" t="s">
        <v>554</v>
      </c>
      <c r="C108" s="1" t="s">
        <v>31</v>
      </c>
      <c r="D108" s="1" t="s">
        <v>128</v>
      </c>
      <c r="E108" s="1" t="s">
        <v>556</v>
      </c>
      <c r="F108" s="1" t="s">
        <v>555</v>
      </c>
      <c r="G108" s="1" t="s">
        <v>12490</v>
      </c>
      <c r="H108" s="1" t="s">
        <v>557</v>
      </c>
      <c r="I108" s="2">
        <v>27.89</v>
      </c>
      <c r="J108" s="2">
        <v>0.46</v>
      </c>
      <c r="K108" s="2"/>
      <c r="L108" s="2"/>
      <c r="M108" s="4" t="e">
        <f t="shared" si="6"/>
        <v>#DIV/0!</v>
      </c>
      <c r="N108" s="4" t="e">
        <f t="shared" si="7"/>
        <v>#DIV/0!</v>
      </c>
      <c r="O108" s="5">
        <f t="shared" si="8"/>
        <v>-1</v>
      </c>
      <c r="P108" s="5" t="e">
        <f t="shared" si="9"/>
        <v>#DIV/0!</v>
      </c>
      <c r="Q108" s="4" t="e">
        <f t="shared" si="10"/>
        <v>#DIV/0!</v>
      </c>
      <c r="R108" s="4" t="e">
        <f t="shared" si="11"/>
        <v>#DIV/0!</v>
      </c>
      <c r="S108" s="4">
        <v>0.82</v>
      </c>
      <c r="T108" s="2">
        <v>0.5</v>
      </c>
      <c r="U108" s="2">
        <v>31.89</v>
      </c>
      <c r="V108" s="2">
        <v>18.32</v>
      </c>
      <c r="W108" s="2">
        <v>-10.61</v>
      </c>
      <c r="X108" s="2">
        <v>-2.0299999999999998</v>
      </c>
      <c r="Y108" s="2">
        <v>28.94</v>
      </c>
      <c r="Z108" s="2">
        <v>32.75</v>
      </c>
    </row>
    <row r="109" spans="1:26" x14ac:dyDescent="0.25">
      <c r="A109" s="1" t="s">
        <v>558</v>
      </c>
      <c r="B109" s="1" t="s">
        <v>559</v>
      </c>
      <c r="C109" s="1" t="s">
        <v>31</v>
      </c>
      <c r="D109" s="1" t="s">
        <v>38</v>
      </c>
      <c r="E109" s="1" t="s">
        <v>101</v>
      </c>
      <c r="F109" s="1" t="s">
        <v>560</v>
      </c>
      <c r="G109" s="1" t="s">
        <v>12502</v>
      </c>
      <c r="H109" s="1" t="s">
        <v>561</v>
      </c>
      <c r="I109" s="2">
        <v>3.4</v>
      </c>
      <c r="J109" s="2">
        <v>0.09</v>
      </c>
      <c r="K109" s="2"/>
      <c r="L109" s="2"/>
      <c r="M109" s="4" t="e">
        <f t="shared" si="6"/>
        <v>#DIV/0!</v>
      </c>
      <c r="N109" s="4" t="e">
        <f t="shared" si="7"/>
        <v>#DIV/0!</v>
      </c>
      <c r="O109" s="5">
        <f t="shared" si="8"/>
        <v>-1</v>
      </c>
      <c r="P109" s="5" t="e">
        <f t="shared" si="9"/>
        <v>#DIV/0!</v>
      </c>
      <c r="Q109" s="4" t="e">
        <f t="shared" si="10"/>
        <v>#DIV/0!</v>
      </c>
      <c r="R109" s="4" t="e">
        <f t="shared" si="11"/>
        <v>#DIV/0!</v>
      </c>
      <c r="S109" s="4">
        <v>-21.5</v>
      </c>
      <c r="T109" s="2">
        <v>-0.08</v>
      </c>
      <c r="U109" s="2">
        <v>3.49</v>
      </c>
      <c r="V109" s="2">
        <v>1.75</v>
      </c>
      <c r="W109" s="2" t="s">
        <v>12489</v>
      </c>
      <c r="X109" s="2">
        <v>0.59</v>
      </c>
      <c r="Y109" s="2">
        <v>53.85</v>
      </c>
      <c r="Z109" s="2">
        <v>47.83</v>
      </c>
    </row>
    <row r="110" spans="1:26" x14ac:dyDescent="0.25">
      <c r="A110" s="1" t="s">
        <v>562</v>
      </c>
      <c r="B110" s="1" t="s">
        <v>563</v>
      </c>
      <c r="C110" s="1" t="s">
        <v>45</v>
      </c>
      <c r="D110" s="1" t="s">
        <v>32</v>
      </c>
      <c r="E110" s="1" t="s">
        <v>565</v>
      </c>
      <c r="F110" s="1" t="s">
        <v>564</v>
      </c>
      <c r="G110" s="1" t="s">
        <v>12480</v>
      </c>
      <c r="H110" s="1" t="s">
        <v>566</v>
      </c>
      <c r="I110" s="2">
        <v>102.11</v>
      </c>
      <c r="J110" s="2">
        <v>7.12</v>
      </c>
      <c r="K110" s="2">
        <v>6.91</v>
      </c>
      <c r="L110" s="2">
        <v>7.62</v>
      </c>
      <c r="M110" s="4">
        <f t="shared" si="6"/>
        <v>14.777134587554269</v>
      </c>
      <c r="N110" s="4">
        <f t="shared" si="7"/>
        <v>13.400262467191601</v>
      </c>
      <c r="O110" s="5">
        <f t="shared" si="8"/>
        <v>-2.9494382022471899E-2</v>
      </c>
      <c r="P110" s="5">
        <f t="shared" si="9"/>
        <v>0.10274963820549932</v>
      </c>
      <c r="Q110" s="4">
        <f t="shared" si="10"/>
        <v>-5.0101522982564966</v>
      </c>
      <c r="R110" s="4">
        <f t="shared" si="11"/>
        <v>1.3041663894125906</v>
      </c>
      <c r="S110" s="4">
        <v>5.44</v>
      </c>
      <c r="T110" s="2">
        <v>0.72</v>
      </c>
      <c r="U110" s="2">
        <v>111.76</v>
      </c>
      <c r="V110" s="2">
        <v>68.209999999999994</v>
      </c>
      <c r="W110" s="2">
        <v>4.58</v>
      </c>
      <c r="X110" s="2">
        <v>7.8</v>
      </c>
      <c r="Y110" s="2" t="s">
        <v>12518</v>
      </c>
      <c r="Z110" s="2">
        <v>17.03</v>
      </c>
    </row>
    <row r="111" spans="1:26" x14ac:dyDescent="0.25">
      <c r="A111" s="1" t="s">
        <v>568</v>
      </c>
      <c r="B111" s="1" t="s">
        <v>569</v>
      </c>
      <c r="C111" s="1" t="s">
        <v>16</v>
      </c>
      <c r="D111" s="1" t="s">
        <v>38</v>
      </c>
      <c r="E111" s="1" t="s">
        <v>83</v>
      </c>
      <c r="F111" s="1" t="s">
        <v>570</v>
      </c>
      <c r="G111" s="1" t="s">
        <v>12480</v>
      </c>
      <c r="H111" s="1" t="s">
        <v>571</v>
      </c>
      <c r="I111" s="2">
        <v>20.74</v>
      </c>
      <c r="J111" s="2">
        <v>1.32</v>
      </c>
      <c r="K111" s="2">
        <v>1.23</v>
      </c>
      <c r="L111" s="2">
        <v>1.32</v>
      </c>
      <c r="M111" s="4">
        <f t="shared" si="6"/>
        <v>16.861788617886177</v>
      </c>
      <c r="N111" s="4">
        <f t="shared" si="7"/>
        <v>15.712121212121211</v>
      </c>
      <c r="O111" s="5">
        <f t="shared" si="8"/>
        <v>-6.8181818181818232E-2</v>
      </c>
      <c r="P111" s="5">
        <f t="shared" si="9"/>
        <v>7.3170731707317138E-2</v>
      </c>
      <c r="Q111" s="4">
        <f t="shared" si="10"/>
        <v>-2.4730623306233039</v>
      </c>
      <c r="R111" s="4">
        <f t="shared" si="11"/>
        <v>2.1473232323232301</v>
      </c>
      <c r="S111" s="4">
        <v>14.2</v>
      </c>
      <c r="T111" s="2">
        <v>1.0900000000000001</v>
      </c>
      <c r="U111" s="2">
        <v>22.52</v>
      </c>
      <c r="V111" s="2">
        <v>17.489999999999998</v>
      </c>
      <c r="W111" s="2">
        <v>-1.19</v>
      </c>
      <c r="X111" s="2">
        <v>-1.24</v>
      </c>
      <c r="Y111" s="2">
        <v>2.78</v>
      </c>
      <c r="Z111" s="2">
        <v>0.97</v>
      </c>
    </row>
    <row r="112" spans="1:26" x14ac:dyDescent="0.25">
      <c r="A112" s="1" t="s">
        <v>573</v>
      </c>
      <c r="B112" s="1" t="s">
        <v>574</v>
      </c>
      <c r="C112" s="1" t="s">
        <v>31</v>
      </c>
      <c r="D112" s="1" t="s">
        <v>88</v>
      </c>
      <c r="E112" s="1" t="s">
        <v>504</v>
      </c>
      <c r="F112" s="1" t="s">
        <v>575</v>
      </c>
      <c r="G112" s="1" t="s">
        <v>12480</v>
      </c>
      <c r="H112" s="1" t="s">
        <v>576</v>
      </c>
      <c r="I112" s="2">
        <v>20.079999999999998</v>
      </c>
      <c r="J112" s="2">
        <v>1.37</v>
      </c>
      <c r="K112" s="2">
        <v>1.63</v>
      </c>
      <c r="L112" s="2">
        <v>1.82</v>
      </c>
      <c r="M112" s="4">
        <f t="shared" si="6"/>
        <v>12.319018404907975</v>
      </c>
      <c r="N112" s="4">
        <f t="shared" si="7"/>
        <v>11.032967032967031</v>
      </c>
      <c r="O112" s="5">
        <f t="shared" si="8"/>
        <v>0.18978102189780999</v>
      </c>
      <c r="P112" s="5">
        <f t="shared" si="9"/>
        <v>0.11656441717791433</v>
      </c>
      <c r="Q112" s="4">
        <f t="shared" si="10"/>
        <v>0.64911750825861336</v>
      </c>
      <c r="R112" s="4">
        <f t="shared" si="11"/>
        <v>0.94651243493348569</v>
      </c>
      <c r="S112" s="4">
        <v>-0.88</v>
      </c>
      <c r="T112" s="2">
        <v>1.07</v>
      </c>
      <c r="U112" s="2">
        <v>24.36</v>
      </c>
      <c r="V112" s="2">
        <v>18.22</v>
      </c>
      <c r="W112" s="2">
        <v>-9.91</v>
      </c>
      <c r="X112" s="2">
        <v>-13.97</v>
      </c>
      <c r="Y112" s="2">
        <v>-9.5500000000000007</v>
      </c>
      <c r="Z112" s="2">
        <v>-13.26</v>
      </c>
    </row>
    <row r="113" spans="1:26" x14ac:dyDescent="0.25">
      <c r="A113" s="1" t="s">
        <v>577</v>
      </c>
      <c r="B113" s="1" t="s">
        <v>578</v>
      </c>
      <c r="C113" s="1" t="s">
        <v>16</v>
      </c>
      <c r="D113" s="1" t="s">
        <v>46</v>
      </c>
      <c r="E113" s="1" t="s">
        <v>391</v>
      </c>
      <c r="F113" s="1" t="s">
        <v>579</v>
      </c>
      <c r="G113" s="1" t="s">
        <v>12480</v>
      </c>
      <c r="H113" s="1" t="s">
        <v>580</v>
      </c>
      <c r="I113" s="2">
        <v>64.78</v>
      </c>
      <c r="J113" s="2">
        <v>6.4</v>
      </c>
      <c r="K113" s="2">
        <v>7.3</v>
      </c>
      <c r="L113" s="2">
        <v>7.33</v>
      </c>
      <c r="M113" s="4">
        <f t="shared" si="6"/>
        <v>8.8739726027397268</v>
      </c>
      <c r="N113" s="4">
        <f t="shared" si="7"/>
        <v>8.8376534788540244</v>
      </c>
      <c r="O113" s="5">
        <f t="shared" si="8"/>
        <v>0.140625</v>
      </c>
      <c r="P113" s="5">
        <f t="shared" si="9"/>
        <v>4.109589041095818E-3</v>
      </c>
      <c r="Q113" s="4">
        <f t="shared" si="10"/>
        <v>0.63103805175038052</v>
      </c>
      <c r="R113" s="4">
        <f t="shared" si="11"/>
        <v>21.504956798545173</v>
      </c>
      <c r="S113" s="4">
        <v>10.32</v>
      </c>
      <c r="T113" s="2">
        <v>1.1100000000000001</v>
      </c>
      <c r="U113" s="2">
        <v>64.95</v>
      </c>
      <c r="V113" s="2">
        <v>40.46</v>
      </c>
      <c r="W113" s="2">
        <v>0.12</v>
      </c>
      <c r="X113" s="2">
        <v>0.33</v>
      </c>
      <c r="Y113" s="2">
        <v>0.82</v>
      </c>
      <c r="Z113" s="2">
        <v>0.86</v>
      </c>
    </row>
    <row r="114" spans="1:26" x14ac:dyDescent="0.25">
      <c r="A114" s="1" t="s">
        <v>582</v>
      </c>
      <c r="B114" s="1" t="s">
        <v>583</v>
      </c>
      <c r="C114" s="1" t="s">
        <v>45</v>
      </c>
      <c r="D114" s="1" t="s">
        <v>32</v>
      </c>
      <c r="E114" s="1" t="s">
        <v>311</v>
      </c>
      <c r="F114" s="1" t="s">
        <v>584</v>
      </c>
      <c r="G114" s="1" t="s">
        <v>12480</v>
      </c>
      <c r="H114" s="1" t="s">
        <v>585</v>
      </c>
      <c r="I114" s="2">
        <v>122.31</v>
      </c>
      <c r="J114" s="2">
        <v>1.84</v>
      </c>
      <c r="K114" s="2">
        <v>2.39</v>
      </c>
      <c r="L114" s="2">
        <v>3.29</v>
      </c>
      <c r="M114" s="4">
        <f t="shared" si="6"/>
        <v>51.17573221757322</v>
      </c>
      <c r="N114" s="4">
        <f t="shared" si="7"/>
        <v>37.176291793313069</v>
      </c>
      <c r="O114" s="5">
        <f t="shared" si="8"/>
        <v>0.29891304347826098</v>
      </c>
      <c r="P114" s="5">
        <f t="shared" si="9"/>
        <v>0.37656903765690375</v>
      </c>
      <c r="Q114" s="4">
        <f t="shared" si="10"/>
        <v>1.7120608596424489</v>
      </c>
      <c r="R114" s="4">
        <f t="shared" si="11"/>
        <v>0.98723708206686933</v>
      </c>
      <c r="S114" s="4">
        <v>115.13</v>
      </c>
      <c r="T114" s="2">
        <v>1.74</v>
      </c>
      <c r="U114" s="2">
        <v>251.88</v>
      </c>
      <c r="V114" s="2">
        <v>52.94</v>
      </c>
      <c r="W114" s="2">
        <v>1.46</v>
      </c>
      <c r="X114" s="2">
        <v>-34.83</v>
      </c>
      <c r="Y114" s="2">
        <v>-14.86</v>
      </c>
      <c r="Z114" s="2">
        <v>-26.48</v>
      </c>
    </row>
    <row r="115" spans="1:26" x14ac:dyDescent="0.25">
      <c r="A115" s="1" t="s">
        <v>586</v>
      </c>
      <c r="B115" s="1" t="s">
        <v>587</v>
      </c>
      <c r="C115" s="1" t="s">
        <v>16</v>
      </c>
      <c r="D115" s="1" t="s">
        <v>88</v>
      </c>
      <c r="E115" s="1" t="s">
        <v>504</v>
      </c>
      <c r="F115" s="1" t="s">
        <v>588</v>
      </c>
      <c r="G115" s="1" t="s">
        <v>12480</v>
      </c>
      <c r="H115" s="1" t="s">
        <v>589</v>
      </c>
      <c r="I115" s="2">
        <v>169.57</v>
      </c>
      <c r="J115" s="2">
        <v>-0.79</v>
      </c>
      <c r="K115" s="2">
        <v>7.87</v>
      </c>
      <c r="L115" s="2">
        <v>9.59</v>
      </c>
      <c r="M115" s="4">
        <f t="shared" si="6"/>
        <v>21.546378653113088</v>
      </c>
      <c r="N115" s="4">
        <f t="shared" si="7"/>
        <v>17.681960375391032</v>
      </c>
      <c r="O115" s="5">
        <f t="shared" si="8"/>
        <v>-10.962025316455696</v>
      </c>
      <c r="P115" s="5">
        <f t="shared" si="9"/>
        <v>0.21855146124523506</v>
      </c>
      <c r="Q115" s="4">
        <f t="shared" si="10"/>
        <v>-1.9655472443371059E-2</v>
      </c>
      <c r="R115" s="4">
        <f t="shared" si="11"/>
        <v>0.80905248926934548</v>
      </c>
      <c r="S115" s="4">
        <v>-4.37</v>
      </c>
      <c r="T115" s="2">
        <v>1.43</v>
      </c>
      <c r="U115" s="2">
        <v>195.87</v>
      </c>
      <c r="V115" s="2">
        <v>50.76</v>
      </c>
      <c r="W115" s="2">
        <v>-4.83</v>
      </c>
      <c r="X115" s="2">
        <v>2.2999999999999998</v>
      </c>
      <c r="Y115" s="2">
        <v>28.25</v>
      </c>
      <c r="Z115" s="2">
        <v>19.89</v>
      </c>
    </row>
    <row r="116" spans="1:26" x14ac:dyDescent="0.25">
      <c r="A116" s="1" t="s">
        <v>591</v>
      </c>
      <c r="B116" s="1" t="s">
        <v>592</v>
      </c>
      <c r="C116" s="1" t="s">
        <v>16</v>
      </c>
      <c r="D116" s="1" t="s">
        <v>18</v>
      </c>
      <c r="E116" s="1" t="s">
        <v>594</v>
      </c>
      <c r="F116" s="1" t="s">
        <v>593</v>
      </c>
      <c r="G116" s="1" t="s">
        <v>12480</v>
      </c>
      <c r="H116" s="1" t="s">
        <v>595</v>
      </c>
      <c r="I116" s="2">
        <v>81.849999999999994</v>
      </c>
      <c r="J116" s="2">
        <v>3.07</v>
      </c>
      <c r="K116" s="2">
        <v>3.45</v>
      </c>
      <c r="L116" s="2">
        <v>3.83</v>
      </c>
      <c r="M116" s="4">
        <f t="shared" si="6"/>
        <v>23.724637681159418</v>
      </c>
      <c r="N116" s="4">
        <f t="shared" si="7"/>
        <v>21.370757180156655</v>
      </c>
      <c r="O116" s="5">
        <f t="shared" si="8"/>
        <v>0.12377850162866455</v>
      </c>
      <c r="P116" s="5">
        <f t="shared" si="9"/>
        <v>0.11014492753623184</v>
      </c>
      <c r="Q116" s="4">
        <f t="shared" si="10"/>
        <v>1.9167009916094575</v>
      </c>
      <c r="R116" s="4">
        <f t="shared" si="11"/>
        <v>1.9402397966194866</v>
      </c>
      <c r="S116" s="4">
        <v>4.9400000000000004</v>
      </c>
      <c r="T116" s="2">
        <v>0.98</v>
      </c>
      <c r="U116" s="2">
        <v>98.3</v>
      </c>
      <c r="V116" s="2">
        <v>72.05</v>
      </c>
      <c r="W116" s="2">
        <v>-3.34</v>
      </c>
      <c r="X116" s="2">
        <v>4.3499999999999996</v>
      </c>
      <c r="Y116" s="2">
        <v>3.36</v>
      </c>
      <c r="Z116" s="2">
        <v>3.86</v>
      </c>
    </row>
    <row r="117" spans="1:26" x14ac:dyDescent="0.25">
      <c r="A117" s="1" t="s">
        <v>596</v>
      </c>
      <c r="B117" s="1" t="s">
        <v>597</v>
      </c>
      <c r="C117" s="1" t="s">
        <v>16</v>
      </c>
      <c r="D117" s="1" t="s">
        <v>38</v>
      </c>
      <c r="E117" s="1" t="s">
        <v>510</v>
      </c>
      <c r="F117" s="1" t="s">
        <v>598</v>
      </c>
      <c r="G117" s="1" t="s">
        <v>12480</v>
      </c>
      <c r="H117" s="1" t="s">
        <v>599</v>
      </c>
      <c r="I117" s="2">
        <v>20.85</v>
      </c>
      <c r="J117" s="2">
        <v>1.37</v>
      </c>
      <c r="K117" s="2">
        <v>1.2</v>
      </c>
      <c r="L117" s="2">
        <v>1.27</v>
      </c>
      <c r="M117" s="4">
        <f t="shared" si="6"/>
        <v>17.375000000000004</v>
      </c>
      <c r="N117" s="4">
        <f t="shared" si="7"/>
        <v>16.41732283464567</v>
      </c>
      <c r="O117" s="5">
        <f t="shared" si="8"/>
        <v>-0.12408759124087598</v>
      </c>
      <c r="P117" s="5">
        <f t="shared" si="9"/>
        <v>5.8333333333333348E-2</v>
      </c>
      <c r="Q117" s="4">
        <f t="shared" si="10"/>
        <v>-1.4002205882352936</v>
      </c>
      <c r="R117" s="4">
        <f t="shared" si="11"/>
        <v>2.8143982002249714</v>
      </c>
      <c r="S117" s="4">
        <v>-12.67</v>
      </c>
      <c r="T117" s="2">
        <v>0.9</v>
      </c>
      <c r="U117" s="2">
        <v>20.98</v>
      </c>
      <c r="V117" s="2">
        <v>15.14</v>
      </c>
      <c r="W117" s="2">
        <v>0.1</v>
      </c>
      <c r="X117" s="2">
        <v>0.43</v>
      </c>
      <c r="Y117" s="2">
        <v>-0.52</v>
      </c>
      <c r="Z117" s="2">
        <v>1.02</v>
      </c>
    </row>
    <row r="118" spans="1:26" x14ac:dyDescent="0.25">
      <c r="A118" s="1" t="s">
        <v>600</v>
      </c>
      <c r="B118" s="1" t="s">
        <v>601</v>
      </c>
      <c r="C118" s="1" t="s">
        <v>16</v>
      </c>
      <c r="D118" s="1" t="s">
        <v>25</v>
      </c>
      <c r="E118" s="1" t="s">
        <v>449</v>
      </c>
      <c r="F118" s="1" t="s">
        <v>602</v>
      </c>
      <c r="G118" s="1" t="s">
        <v>12480</v>
      </c>
      <c r="H118" s="1" t="s">
        <v>12519</v>
      </c>
      <c r="I118" s="2">
        <v>167.9</v>
      </c>
      <c r="J118" s="2">
        <v>9.3699999999999992</v>
      </c>
      <c r="K118" s="2">
        <v>10.45</v>
      </c>
      <c r="L118" s="2">
        <v>11.52</v>
      </c>
      <c r="M118" s="4">
        <f t="shared" si="6"/>
        <v>16.066985645933016</v>
      </c>
      <c r="N118" s="4">
        <f t="shared" si="7"/>
        <v>14.574652777777779</v>
      </c>
      <c r="O118" s="5">
        <f t="shared" si="8"/>
        <v>0.11526147278548571</v>
      </c>
      <c r="P118" s="5">
        <f t="shared" si="9"/>
        <v>0.10239234449760759</v>
      </c>
      <c r="Q118" s="4">
        <f t="shared" si="10"/>
        <v>1.3939597731702982</v>
      </c>
      <c r="R118" s="4">
        <f t="shared" si="11"/>
        <v>1.4234123507268963</v>
      </c>
      <c r="S118" s="4">
        <v>-1.52</v>
      </c>
      <c r="T118" s="2">
        <v>1.1100000000000001</v>
      </c>
      <c r="U118" s="2">
        <v>232.42</v>
      </c>
      <c r="V118" s="2">
        <v>157.80000000000001</v>
      </c>
      <c r="W118" s="2">
        <v>-23.15</v>
      </c>
      <c r="X118" s="2">
        <v>-19.399999999999999</v>
      </c>
      <c r="Y118" s="2">
        <v>-5.69</v>
      </c>
      <c r="Z118" s="2">
        <v>0.02</v>
      </c>
    </row>
    <row r="119" spans="1:26" x14ac:dyDescent="0.25">
      <c r="A119" s="1" t="s">
        <v>603</v>
      </c>
      <c r="B119" s="1" t="s">
        <v>604</v>
      </c>
      <c r="C119" s="1" t="s">
        <v>45</v>
      </c>
      <c r="D119" s="1" t="s">
        <v>32</v>
      </c>
      <c r="E119" s="1" t="s">
        <v>57</v>
      </c>
      <c r="F119" s="1" t="s">
        <v>605</v>
      </c>
      <c r="G119" s="1" t="s">
        <v>12490</v>
      </c>
      <c r="H119" s="1" t="s">
        <v>606</v>
      </c>
      <c r="I119" s="2">
        <v>32.869999999999997</v>
      </c>
      <c r="J119" s="2">
        <v>0.24</v>
      </c>
      <c r="K119" s="2">
        <v>0.53</v>
      </c>
      <c r="L119" s="2">
        <v>0.94</v>
      </c>
      <c r="M119" s="4">
        <f t="shared" si="6"/>
        <v>62.018867924528294</v>
      </c>
      <c r="N119" s="4">
        <f t="shared" si="7"/>
        <v>34.968085106382979</v>
      </c>
      <c r="O119" s="5">
        <f t="shared" si="8"/>
        <v>1.2083333333333335</v>
      </c>
      <c r="P119" s="5">
        <f t="shared" si="9"/>
        <v>0.77358490566037719</v>
      </c>
      <c r="Q119" s="4">
        <f t="shared" si="10"/>
        <v>0.51325959661678588</v>
      </c>
      <c r="R119" s="4">
        <f t="shared" si="11"/>
        <v>0.45202646600934104</v>
      </c>
      <c r="S119" s="4">
        <v>-30.91</v>
      </c>
      <c r="T119" s="2">
        <v>1.64</v>
      </c>
      <c r="U119" s="2">
        <v>42.81</v>
      </c>
      <c r="V119" s="2">
        <v>16.53</v>
      </c>
      <c r="W119" s="2">
        <v>-10.17</v>
      </c>
      <c r="X119" s="2">
        <v>-21.72</v>
      </c>
      <c r="Y119" s="2">
        <v>23.02</v>
      </c>
      <c r="Z119" s="2">
        <v>24.6</v>
      </c>
    </row>
    <row r="120" spans="1:26" x14ac:dyDescent="0.25">
      <c r="A120" s="1" t="s">
        <v>607</v>
      </c>
      <c r="B120" s="1" t="s">
        <v>608</v>
      </c>
      <c r="C120" s="1" t="s">
        <v>45</v>
      </c>
      <c r="D120" s="1" t="s">
        <v>18</v>
      </c>
      <c r="E120" s="1" t="s">
        <v>610</v>
      </c>
      <c r="F120" s="1" t="s">
        <v>609</v>
      </c>
      <c r="G120" s="1" t="s">
        <v>12480</v>
      </c>
      <c r="H120" s="1" t="s">
        <v>611</v>
      </c>
      <c r="I120" s="2">
        <v>175.05</v>
      </c>
      <c r="J120" s="2">
        <v>10.51</v>
      </c>
      <c r="K120" s="2">
        <v>11.21</v>
      </c>
      <c r="L120" s="2">
        <v>12.21</v>
      </c>
      <c r="M120" s="4">
        <f t="shared" si="6"/>
        <v>15.615521855486174</v>
      </c>
      <c r="N120" s="4">
        <f t="shared" si="7"/>
        <v>14.336609336609337</v>
      </c>
      <c r="O120" s="5">
        <f t="shared" si="8"/>
        <v>6.6603235014272233E-2</v>
      </c>
      <c r="P120" s="5">
        <f t="shared" si="9"/>
        <v>8.9206066012488927E-2</v>
      </c>
      <c r="Q120" s="4">
        <f t="shared" si="10"/>
        <v>2.3445590671594201</v>
      </c>
      <c r="R120" s="4">
        <f t="shared" si="11"/>
        <v>1.6071339066339054</v>
      </c>
      <c r="S120" s="4">
        <v>0.9</v>
      </c>
      <c r="T120" s="2">
        <v>1.79</v>
      </c>
      <c r="U120" s="2">
        <v>207.19</v>
      </c>
      <c r="V120" s="2">
        <v>124.88</v>
      </c>
      <c r="W120" s="2">
        <v>-7.39</v>
      </c>
      <c r="X120" s="2">
        <v>-9.06</v>
      </c>
      <c r="Y120" s="2">
        <v>7.57</v>
      </c>
      <c r="Z120" s="2">
        <v>12.1</v>
      </c>
    </row>
    <row r="121" spans="1:26" x14ac:dyDescent="0.25">
      <c r="A121" s="1" t="s">
        <v>612</v>
      </c>
      <c r="B121" s="1" t="s">
        <v>613</v>
      </c>
      <c r="C121" s="1" t="s">
        <v>45</v>
      </c>
      <c r="D121" s="1" t="s">
        <v>46</v>
      </c>
      <c r="E121" s="1" t="s">
        <v>47</v>
      </c>
      <c r="F121" s="1" t="s">
        <v>614</v>
      </c>
      <c r="G121" s="1" t="s">
        <v>12480</v>
      </c>
      <c r="H121" s="1" t="s">
        <v>615</v>
      </c>
      <c r="I121" s="2">
        <v>82.48</v>
      </c>
      <c r="J121" s="2">
        <v>3.8</v>
      </c>
      <c r="K121" s="2">
        <v>8.34</v>
      </c>
      <c r="L121" s="2">
        <v>10.64</v>
      </c>
      <c r="M121" s="4">
        <f t="shared" si="6"/>
        <v>9.8896882494004803</v>
      </c>
      <c r="N121" s="4">
        <f t="shared" si="7"/>
        <v>7.7518796992481205</v>
      </c>
      <c r="O121" s="5">
        <f t="shared" si="8"/>
        <v>1.1947368421052631</v>
      </c>
      <c r="P121" s="5">
        <f t="shared" si="9"/>
        <v>0.27577937649880102</v>
      </c>
      <c r="Q121" s="4">
        <f t="shared" si="10"/>
        <v>8.2777126316567903E-2</v>
      </c>
      <c r="R121" s="4">
        <f t="shared" si="11"/>
        <v>0.28108989865969264</v>
      </c>
      <c r="S121" s="4">
        <v>3.74</v>
      </c>
      <c r="T121" s="2">
        <v>1.56</v>
      </c>
      <c r="U121" s="2">
        <v>114.79</v>
      </c>
      <c r="V121" s="2">
        <v>40.9</v>
      </c>
      <c r="W121" s="2">
        <v>-15.59</v>
      </c>
      <c r="X121" s="2">
        <v>-27.61</v>
      </c>
      <c r="Y121" s="2">
        <v>-6.02</v>
      </c>
      <c r="Z121" s="2">
        <v>-3.27</v>
      </c>
    </row>
    <row r="122" spans="1:26" x14ac:dyDescent="0.25">
      <c r="A122" s="1" t="s">
        <v>616</v>
      </c>
      <c r="B122" s="1" t="s">
        <v>617</v>
      </c>
      <c r="C122" s="1" t="s">
        <v>16</v>
      </c>
      <c r="D122" s="1" t="s">
        <v>67</v>
      </c>
      <c r="E122" s="1" t="s">
        <v>619</v>
      </c>
      <c r="F122" s="1" t="s">
        <v>618</v>
      </c>
      <c r="G122" s="1" t="s">
        <v>12480</v>
      </c>
      <c r="H122" s="1" t="s">
        <v>620</v>
      </c>
      <c r="I122" s="2">
        <v>21.37</v>
      </c>
      <c r="J122" s="2"/>
      <c r="K122" s="2">
        <v>1.1599999999999999</v>
      </c>
      <c r="L122" s="2">
        <v>1.32</v>
      </c>
      <c r="M122" s="4">
        <f t="shared" si="6"/>
        <v>18.422413793103452</v>
      </c>
      <c r="N122" s="4">
        <f t="shared" si="7"/>
        <v>16.189393939393938</v>
      </c>
      <c r="O122" s="5" t="e">
        <f t="shared" si="8"/>
        <v>#DIV/0!</v>
      </c>
      <c r="P122" s="5">
        <f t="shared" si="9"/>
        <v>0.13793103448275867</v>
      </c>
      <c r="Q122" s="4" t="e">
        <f t="shared" si="10"/>
        <v>#DIV/0!</v>
      </c>
      <c r="R122" s="4">
        <f t="shared" si="11"/>
        <v>1.17373106060606</v>
      </c>
      <c r="S122" s="4"/>
      <c r="T122" s="2"/>
      <c r="U122" s="2">
        <v>26.93</v>
      </c>
      <c r="V122" s="2">
        <v>20.350000000000001</v>
      </c>
      <c r="W122" s="2">
        <v>-4.8499999999999996</v>
      </c>
      <c r="X122" s="2">
        <v>-10.51</v>
      </c>
      <c r="Y122" s="2">
        <v>-0.7</v>
      </c>
      <c r="Z122" s="2">
        <v>5.01</v>
      </c>
    </row>
    <row r="123" spans="1:26" x14ac:dyDescent="0.25">
      <c r="A123" s="1" t="s">
        <v>621</v>
      </c>
      <c r="B123" s="1" t="s">
        <v>622</v>
      </c>
      <c r="C123" s="1" t="s">
        <v>45</v>
      </c>
      <c r="D123" s="1" t="s">
        <v>18</v>
      </c>
      <c r="E123" s="1" t="s">
        <v>624</v>
      </c>
      <c r="F123" s="1" t="s">
        <v>623</v>
      </c>
      <c r="G123" s="1" t="s">
        <v>12480</v>
      </c>
      <c r="H123" s="1" t="s">
        <v>625</v>
      </c>
      <c r="I123" s="2">
        <v>18.22</v>
      </c>
      <c r="J123" s="2" t="s">
        <v>12489</v>
      </c>
      <c r="K123" s="2">
        <v>0.18</v>
      </c>
      <c r="L123" s="2">
        <v>0.42</v>
      </c>
      <c r="M123" s="4">
        <f t="shared" si="6"/>
        <v>101.22222222222221</v>
      </c>
      <c r="N123" s="4">
        <f t="shared" si="7"/>
        <v>43.38095238095238</v>
      </c>
      <c r="O123" s="5" t="e">
        <f t="shared" si="8"/>
        <v>#DIV/0!</v>
      </c>
      <c r="P123" s="5">
        <f t="shared" si="9"/>
        <v>1.3333333333333335</v>
      </c>
      <c r="Q123" s="4" t="e">
        <f t="shared" si="10"/>
        <v>#DIV/0!</v>
      </c>
      <c r="R123" s="4">
        <f t="shared" si="11"/>
        <v>0.32535714285714284</v>
      </c>
      <c r="S123" s="4">
        <v>46.06</v>
      </c>
      <c r="T123" s="2">
        <v>1.18</v>
      </c>
      <c r="U123" s="2">
        <v>23.81</v>
      </c>
      <c r="V123" s="2">
        <v>11.64</v>
      </c>
      <c r="W123" s="2">
        <v>-7.28</v>
      </c>
      <c r="X123" s="2">
        <v>-12.24</v>
      </c>
      <c r="Y123" s="2">
        <v>-9.4</v>
      </c>
      <c r="Z123" s="2">
        <v>-7.75</v>
      </c>
    </row>
    <row r="124" spans="1:26" x14ac:dyDescent="0.25">
      <c r="A124" s="1" t="s">
        <v>626</v>
      </c>
      <c r="B124" s="1" t="s">
        <v>627</v>
      </c>
      <c r="C124" s="1" t="s">
        <v>31</v>
      </c>
      <c r="D124" s="1" t="s">
        <v>38</v>
      </c>
      <c r="E124" s="1" t="s">
        <v>254</v>
      </c>
      <c r="F124" s="1" t="s">
        <v>12521</v>
      </c>
      <c r="G124" s="1" t="s">
        <v>12480</v>
      </c>
      <c r="H124" s="1" t="s">
        <v>628</v>
      </c>
      <c r="I124" s="2">
        <v>40.58</v>
      </c>
      <c r="J124" s="2">
        <v>3.23</v>
      </c>
      <c r="K124" s="2">
        <v>3.61</v>
      </c>
      <c r="L124" s="2">
        <v>3.81</v>
      </c>
      <c r="M124" s="4">
        <f t="shared" si="6"/>
        <v>11.240997229916898</v>
      </c>
      <c r="N124" s="4">
        <f t="shared" si="7"/>
        <v>10.650918635170603</v>
      </c>
      <c r="O124" s="5">
        <f t="shared" si="8"/>
        <v>0.11764705882352944</v>
      </c>
      <c r="P124" s="5">
        <f t="shared" si="9"/>
        <v>5.5401662049861633E-2</v>
      </c>
      <c r="Q124" s="4">
        <f t="shared" si="10"/>
        <v>0.95548476454293607</v>
      </c>
      <c r="R124" s="4">
        <f t="shared" si="11"/>
        <v>1.922490813648289</v>
      </c>
      <c r="S124" s="4">
        <v>8.68</v>
      </c>
      <c r="T124" s="2">
        <v>0.62</v>
      </c>
      <c r="U124" s="2">
        <v>46.19</v>
      </c>
      <c r="V124" s="2">
        <v>34.54</v>
      </c>
      <c r="W124" s="2">
        <v>-6.04</v>
      </c>
      <c r="X124" s="2">
        <v>-12.05</v>
      </c>
      <c r="Y124" s="2" t="s">
        <v>12522</v>
      </c>
      <c r="Z124" s="2">
        <v>-11.78</v>
      </c>
    </row>
    <row r="125" spans="1:26" x14ac:dyDescent="0.25">
      <c r="A125" s="1" t="s">
        <v>630</v>
      </c>
      <c r="B125" s="1" t="s">
        <v>631</v>
      </c>
      <c r="C125" s="1" t="s">
        <v>16</v>
      </c>
      <c r="D125" s="1" t="s">
        <v>46</v>
      </c>
      <c r="E125" s="1" t="s">
        <v>47</v>
      </c>
      <c r="F125" s="1" t="s">
        <v>632</v>
      </c>
      <c r="G125" s="1" t="s">
        <v>12480</v>
      </c>
      <c r="H125" s="1" t="s">
        <v>633</v>
      </c>
      <c r="I125" s="2">
        <v>43.26</v>
      </c>
      <c r="J125" s="2">
        <v>2.44</v>
      </c>
      <c r="K125" s="2">
        <v>5.5</v>
      </c>
      <c r="L125" s="2">
        <v>8.11</v>
      </c>
      <c r="M125" s="4">
        <f t="shared" si="6"/>
        <v>7.8654545454545453</v>
      </c>
      <c r="N125" s="4">
        <f t="shared" si="7"/>
        <v>5.3341553637484589</v>
      </c>
      <c r="O125" s="5">
        <f t="shared" si="8"/>
        <v>1.2540983606557377</v>
      </c>
      <c r="P125" s="5">
        <f t="shared" si="9"/>
        <v>0.47454545454545438</v>
      </c>
      <c r="Q125" s="4">
        <f t="shared" si="10"/>
        <v>6.271800356506238E-2</v>
      </c>
      <c r="R125" s="4">
        <f t="shared" si="11"/>
        <v>0.11240557279929707</v>
      </c>
      <c r="S125" s="4">
        <v>21.34</v>
      </c>
      <c r="T125" s="2">
        <v>1.17</v>
      </c>
      <c r="U125" s="2">
        <v>63.86</v>
      </c>
      <c r="V125" s="2">
        <v>37.82</v>
      </c>
      <c r="W125" s="2">
        <v>-14.79</v>
      </c>
      <c r="X125" s="2">
        <v>-28.15</v>
      </c>
      <c r="Y125" s="2">
        <v>-16.63</v>
      </c>
      <c r="Z125" s="2" t="s">
        <v>12523</v>
      </c>
    </row>
    <row r="126" spans="1:26" x14ac:dyDescent="0.25">
      <c r="A126" s="1" t="s">
        <v>634</v>
      </c>
      <c r="B126" s="1" t="s">
        <v>635</v>
      </c>
      <c r="C126" s="1" t="s">
        <v>45</v>
      </c>
      <c r="D126" s="1" t="s">
        <v>18</v>
      </c>
      <c r="E126" s="1" t="s">
        <v>74</v>
      </c>
      <c r="F126" s="1" t="s">
        <v>636</v>
      </c>
      <c r="G126" s="1" t="s">
        <v>12480</v>
      </c>
      <c r="H126" s="1" t="s">
        <v>637</v>
      </c>
      <c r="I126" s="2">
        <v>28.45</v>
      </c>
      <c r="J126" s="2">
        <v>1.94</v>
      </c>
      <c r="K126" s="2">
        <v>0.44</v>
      </c>
      <c r="L126" s="2">
        <v>1.88</v>
      </c>
      <c r="M126" s="4">
        <f t="shared" si="6"/>
        <v>64.659090909090907</v>
      </c>
      <c r="N126" s="4">
        <f t="shared" si="7"/>
        <v>15.132978723404255</v>
      </c>
      <c r="O126" s="5">
        <f t="shared" si="8"/>
        <v>-0.77319587628865982</v>
      </c>
      <c r="P126" s="5">
        <f t="shared" si="9"/>
        <v>3.2727272727272725</v>
      </c>
      <c r="Q126" s="4">
        <f t="shared" si="10"/>
        <v>-0.83625757575757564</v>
      </c>
      <c r="R126" s="4">
        <f t="shared" si="11"/>
        <v>4.6239657210401894E-2</v>
      </c>
      <c r="S126" s="4">
        <v>-5.25</v>
      </c>
      <c r="T126" s="2">
        <v>0.53</v>
      </c>
      <c r="U126" s="2">
        <v>35.24</v>
      </c>
      <c r="V126" s="2">
        <v>26.13</v>
      </c>
      <c r="W126" s="2">
        <v>-5.95</v>
      </c>
      <c r="X126" s="2">
        <v>-18.34</v>
      </c>
      <c r="Y126" s="2">
        <v>0.99</v>
      </c>
      <c r="Z126" s="2">
        <v>1.68</v>
      </c>
    </row>
    <row r="127" spans="1:26" x14ac:dyDescent="0.25">
      <c r="A127" s="1" t="s">
        <v>638</v>
      </c>
      <c r="B127" s="1" t="s">
        <v>639</v>
      </c>
      <c r="C127" s="1" t="s">
        <v>45</v>
      </c>
      <c r="D127" s="1" t="s">
        <v>32</v>
      </c>
      <c r="E127" s="1" t="s">
        <v>311</v>
      </c>
      <c r="F127" s="1" t="s">
        <v>640</v>
      </c>
      <c r="G127" s="1" t="s">
        <v>12480</v>
      </c>
      <c r="H127" s="1" t="s">
        <v>641</v>
      </c>
      <c r="I127" s="2">
        <v>17.5</v>
      </c>
      <c r="J127" s="2">
        <v>0.41</v>
      </c>
      <c r="K127" s="2">
        <v>0.92</v>
      </c>
      <c r="L127" s="2">
        <v>1.2</v>
      </c>
      <c r="M127" s="4">
        <f t="shared" si="6"/>
        <v>19.021739130434781</v>
      </c>
      <c r="N127" s="4">
        <f t="shared" si="7"/>
        <v>14.583333333333334</v>
      </c>
      <c r="O127" s="5">
        <f t="shared" si="8"/>
        <v>1.2439024390243905</v>
      </c>
      <c r="P127" s="5">
        <f t="shared" si="9"/>
        <v>0.30434782608695632</v>
      </c>
      <c r="Q127" s="4">
        <f t="shared" si="10"/>
        <v>0.15291986359761292</v>
      </c>
      <c r="R127" s="4">
        <f t="shared" si="11"/>
        <v>0.47916666666666702</v>
      </c>
      <c r="S127" s="4">
        <v>32.89</v>
      </c>
      <c r="T127" s="2">
        <v>0.56999999999999995</v>
      </c>
      <c r="U127" s="2">
        <v>31.19</v>
      </c>
      <c r="V127" s="2">
        <v>15.48</v>
      </c>
      <c r="W127" s="2">
        <v>2.4</v>
      </c>
      <c r="X127" s="2">
        <v>1.92</v>
      </c>
      <c r="Y127" s="2">
        <v>-19.649999999999999</v>
      </c>
      <c r="Z127" s="2">
        <v>-24.14</v>
      </c>
    </row>
    <row r="128" spans="1:26" x14ac:dyDescent="0.25">
      <c r="A128" s="1" t="s">
        <v>642</v>
      </c>
      <c r="B128" s="1" t="s">
        <v>643</v>
      </c>
      <c r="C128" s="1" t="s">
        <v>16</v>
      </c>
      <c r="D128" s="1" t="s">
        <v>38</v>
      </c>
      <c r="E128" s="1" t="s">
        <v>194</v>
      </c>
      <c r="F128" s="1" t="s">
        <v>12524</v>
      </c>
      <c r="G128" s="1" t="s">
        <v>12480</v>
      </c>
      <c r="H128" s="1" t="s">
        <v>644</v>
      </c>
      <c r="I128" s="2">
        <v>207.69</v>
      </c>
      <c r="J128" s="2">
        <v>34.83</v>
      </c>
      <c r="K128" s="2">
        <v>25.38</v>
      </c>
      <c r="L128" s="2">
        <v>26.08</v>
      </c>
      <c r="M128" s="4">
        <f t="shared" si="6"/>
        <v>8.1832151300236404</v>
      </c>
      <c r="N128" s="4">
        <f t="shared" si="7"/>
        <v>7.9635736196319025</v>
      </c>
      <c r="O128" s="5">
        <f t="shared" si="8"/>
        <v>-0.27131782945736438</v>
      </c>
      <c r="P128" s="5">
        <f t="shared" si="9"/>
        <v>2.7580772261623254E-2</v>
      </c>
      <c r="Q128" s="4">
        <f t="shared" si="10"/>
        <v>-0.30160992907801409</v>
      </c>
      <c r="R128" s="4">
        <f t="shared" si="11"/>
        <v>2.8873642638036885</v>
      </c>
      <c r="S128" s="4">
        <v>5.58</v>
      </c>
      <c r="T128" s="2">
        <v>0.23</v>
      </c>
      <c r="U128" s="2">
        <v>215.19</v>
      </c>
      <c r="V128" s="2">
        <v>180.53</v>
      </c>
      <c r="W128" s="2">
        <v>-2.38</v>
      </c>
      <c r="X128" s="2">
        <v>3.88</v>
      </c>
      <c r="Y128" s="2">
        <v>-2.0099999999999998</v>
      </c>
      <c r="Z128" s="2">
        <v>-0.22</v>
      </c>
    </row>
    <row r="129" spans="1:26" x14ac:dyDescent="0.25">
      <c r="A129" s="1" t="s">
        <v>646</v>
      </c>
      <c r="B129" s="1" t="s">
        <v>647</v>
      </c>
      <c r="C129" s="1" t="s">
        <v>16</v>
      </c>
      <c r="D129" s="1" t="s">
        <v>25</v>
      </c>
      <c r="E129" s="1" t="s">
        <v>331</v>
      </c>
      <c r="F129" s="1" t="s">
        <v>648</v>
      </c>
      <c r="G129" s="1" t="s">
        <v>12480</v>
      </c>
      <c r="H129" s="1" t="s">
        <v>649</v>
      </c>
      <c r="I129" s="2">
        <v>150.22</v>
      </c>
      <c r="J129" s="2">
        <v>8.14</v>
      </c>
      <c r="K129" s="2">
        <v>8.75</v>
      </c>
      <c r="L129" s="2">
        <v>9.35</v>
      </c>
      <c r="M129" s="4">
        <f t="shared" si="6"/>
        <v>17.167999999999999</v>
      </c>
      <c r="N129" s="4">
        <f t="shared" si="7"/>
        <v>16.066310160427808</v>
      </c>
      <c r="O129" s="5">
        <f t="shared" si="8"/>
        <v>7.493857493857492E-2</v>
      </c>
      <c r="P129" s="5">
        <f t="shared" si="9"/>
        <v>6.8571428571428505E-2</v>
      </c>
      <c r="Q129" s="4">
        <f t="shared" si="10"/>
        <v>2.2909429508196726</v>
      </c>
      <c r="R129" s="4">
        <f t="shared" si="11"/>
        <v>2.343003565062391</v>
      </c>
      <c r="S129" s="4">
        <v>7.82</v>
      </c>
      <c r="T129" s="2">
        <v>1.03</v>
      </c>
      <c r="U129" s="2">
        <v>179.77</v>
      </c>
      <c r="V129" s="2">
        <v>118.52</v>
      </c>
      <c r="W129" s="2">
        <v>-7.56</v>
      </c>
      <c r="X129" s="2">
        <v>-15.58</v>
      </c>
      <c r="Y129" s="2">
        <v>-7.87</v>
      </c>
      <c r="Z129" s="2">
        <v>-5.65</v>
      </c>
    </row>
    <row r="130" spans="1:26" x14ac:dyDescent="0.25">
      <c r="A130" s="1" t="s">
        <v>650</v>
      </c>
      <c r="B130" s="1" t="s">
        <v>651</v>
      </c>
      <c r="C130" s="1" t="s">
        <v>16</v>
      </c>
      <c r="D130" s="1" t="s">
        <v>38</v>
      </c>
      <c r="E130" s="1" t="s">
        <v>653</v>
      </c>
      <c r="F130" s="1" t="s">
        <v>652</v>
      </c>
      <c r="G130" s="1" t="s">
        <v>12480</v>
      </c>
      <c r="H130" s="1" t="s">
        <v>654</v>
      </c>
      <c r="I130" s="2">
        <v>38.44</v>
      </c>
      <c r="J130" s="2">
        <v>3.81</v>
      </c>
      <c r="K130" s="2">
        <v>5.09</v>
      </c>
      <c r="L130" s="2">
        <v>6.15</v>
      </c>
      <c r="M130" s="4">
        <f t="shared" si="6"/>
        <v>7.5520628683693518</v>
      </c>
      <c r="N130" s="4">
        <f t="shared" si="7"/>
        <v>6.2504065040650403</v>
      </c>
      <c r="O130" s="5">
        <f t="shared" si="8"/>
        <v>0.33595800524934383</v>
      </c>
      <c r="P130" s="5">
        <f t="shared" si="9"/>
        <v>0.2082514734774068</v>
      </c>
      <c r="Q130" s="4">
        <f t="shared" si="10"/>
        <v>0.22479187131630649</v>
      </c>
      <c r="R130" s="4">
        <f t="shared" si="11"/>
        <v>0.30013744439331164</v>
      </c>
      <c r="S130" s="4">
        <v>-3.26</v>
      </c>
      <c r="T130" s="2">
        <v>1.18</v>
      </c>
      <c r="U130" s="2">
        <v>47.06</v>
      </c>
      <c r="V130" s="2">
        <v>30.09</v>
      </c>
      <c r="W130" s="2">
        <v>-3.3</v>
      </c>
      <c r="X130" s="2">
        <v>-8.56</v>
      </c>
      <c r="Y130" s="2">
        <v>-14.29</v>
      </c>
      <c r="Z130" s="2">
        <v>-15.13</v>
      </c>
    </row>
    <row r="131" spans="1:26" x14ac:dyDescent="0.25">
      <c r="A131" s="1" t="s">
        <v>655</v>
      </c>
      <c r="B131" s="1" t="s">
        <v>656</v>
      </c>
      <c r="C131" s="1" t="s">
        <v>45</v>
      </c>
      <c r="D131" s="1" t="s">
        <v>88</v>
      </c>
      <c r="E131" s="1" t="s">
        <v>658</v>
      </c>
      <c r="F131" s="1" t="s">
        <v>657</v>
      </c>
      <c r="G131" s="1" t="s">
        <v>12480</v>
      </c>
      <c r="H131" s="1" t="s">
        <v>659</v>
      </c>
      <c r="I131" s="2">
        <v>19.7</v>
      </c>
      <c r="J131" s="2">
        <v>-0.05</v>
      </c>
      <c r="K131" s="2">
        <v>0.39</v>
      </c>
      <c r="L131" s="2">
        <v>0.75</v>
      </c>
      <c r="M131" s="4">
        <f t="shared" ref="M131:M194" si="12">I131/K131</f>
        <v>50.512820512820511</v>
      </c>
      <c r="N131" s="4">
        <f t="shared" ref="N131:N194" si="13">I131/L131</f>
        <v>26.266666666666666</v>
      </c>
      <c r="O131" s="5">
        <f t="shared" ref="O131:O194" si="14">K131/J131-1</f>
        <v>-8.8000000000000007</v>
      </c>
      <c r="P131" s="5">
        <f t="shared" ref="P131:P194" si="15">L131/K131-1</f>
        <v>0.92307692307692291</v>
      </c>
      <c r="Q131" s="4">
        <f t="shared" ref="Q131:Q194" si="16">M131/(O131*100)</f>
        <v>-5.7400932400932393E-2</v>
      </c>
      <c r="R131" s="4">
        <f t="shared" ref="R131:R194" si="17">N131/(P131*100)</f>
        <v>0.28455555555555562</v>
      </c>
      <c r="S131" s="4">
        <v>26.23</v>
      </c>
      <c r="T131" s="2"/>
      <c r="U131" s="2">
        <v>20.72</v>
      </c>
      <c r="V131" s="2">
        <v>3.42</v>
      </c>
      <c r="W131" s="2">
        <v>-4.92</v>
      </c>
      <c r="X131" s="2">
        <v>32.840000000000003</v>
      </c>
      <c r="Y131" s="2">
        <v>169.49</v>
      </c>
      <c r="Z131" s="2">
        <v>123.61</v>
      </c>
    </row>
    <row r="132" spans="1:26" x14ac:dyDescent="0.25">
      <c r="A132" s="1" t="s">
        <v>660</v>
      </c>
      <c r="B132" s="1" t="s">
        <v>661</v>
      </c>
      <c r="C132" s="1" t="s">
        <v>45</v>
      </c>
      <c r="D132" s="1" t="s">
        <v>18</v>
      </c>
      <c r="E132" s="1" t="s">
        <v>74</v>
      </c>
      <c r="F132" s="1" t="s">
        <v>662</v>
      </c>
      <c r="G132" s="1" t="s">
        <v>12480</v>
      </c>
      <c r="H132" s="1" t="s">
        <v>663</v>
      </c>
      <c r="I132" s="2">
        <v>26.84</v>
      </c>
      <c r="J132" s="2">
        <v>-10.38</v>
      </c>
      <c r="K132" s="2">
        <v>-3.14</v>
      </c>
      <c r="L132" s="2">
        <v>-2.81</v>
      </c>
      <c r="M132" s="4">
        <f t="shared" si="12"/>
        <v>-8.5477707006369421</v>
      </c>
      <c r="N132" s="4">
        <f t="shared" si="13"/>
        <v>-9.5516014234875435</v>
      </c>
      <c r="O132" s="5">
        <f t="shared" si="14"/>
        <v>-0.69749518304431601</v>
      </c>
      <c r="P132" s="5">
        <f t="shared" si="15"/>
        <v>-0.10509554140127386</v>
      </c>
      <c r="Q132" s="4">
        <f t="shared" si="16"/>
        <v>0.12254953021078931</v>
      </c>
      <c r="R132" s="4">
        <f t="shared" si="17"/>
        <v>0.9088493475682089</v>
      </c>
      <c r="S132" s="4"/>
      <c r="T132" s="2">
        <v>-2.15</v>
      </c>
      <c r="U132" s="2">
        <v>29.98</v>
      </c>
      <c r="V132" s="2">
        <v>2.8</v>
      </c>
      <c r="W132" s="2">
        <v>-9.69</v>
      </c>
      <c r="X132" s="2">
        <v>2.76</v>
      </c>
      <c r="Y132" s="2">
        <v>137.31</v>
      </c>
      <c r="Z132" s="2" t="s">
        <v>12526</v>
      </c>
    </row>
    <row r="133" spans="1:26" x14ac:dyDescent="0.25">
      <c r="A133" s="1" t="s">
        <v>664</v>
      </c>
      <c r="B133" s="1" t="s">
        <v>665</v>
      </c>
      <c r="C133" s="1" t="s">
        <v>31</v>
      </c>
      <c r="D133" s="1" t="s">
        <v>46</v>
      </c>
      <c r="E133" s="1" t="s">
        <v>47</v>
      </c>
      <c r="F133" s="1" t="s">
        <v>666</v>
      </c>
      <c r="G133" s="1" t="s">
        <v>12490</v>
      </c>
      <c r="H133" s="1" t="s">
        <v>667</v>
      </c>
      <c r="I133" s="2">
        <v>3.95</v>
      </c>
      <c r="J133" s="2">
        <v>0.44</v>
      </c>
      <c r="K133" s="2"/>
      <c r="L133" s="2"/>
      <c r="M133" s="4" t="e">
        <f t="shared" si="12"/>
        <v>#DIV/0!</v>
      </c>
      <c r="N133" s="4" t="e">
        <f t="shared" si="13"/>
        <v>#DIV/0!</v>
      </c>
      <c r="O133" s="5">
        <f t="shared" si="14"/>
        <v>-1</v>
      </c>
      <c r="P133" s="5" t="e">
        <f t="shared" si="15"/>
        <v>#DIV/0!</v>
      </c>
      <c r="Q133" s="4" t="e">
        <f t="shared" si="16"/>
        <v>#DIV/0!</v>
      </c>
      <c r="R133" s="4" t="e">
        <f t="shared" si="17"/>
        <v>#DIV/0!</v>
      </c>
      <c r="S133" s="4">
        <v>4.3</v>
      </c>
      <c r="T133" s="2">
        <v>0.4</v>
      </c>
      <c r="U133" s="2">
        <v>4.4800000000000004</v>
      </c>
      <c r="V133" s="2">
        <v>3.59</v>
      </c>
      <c r="W133" s="2">
        <v>-2.82</v>
      </c>
      <c r="X133" s="2">
        <v>-7.06</v>
      </c>
      <c r="Y133" s="2">
        <v>6.76</v>
      </c>
      <c r="Z133" s="2">
        <v>1.54</v>
      </c>
    </row>
    <row r="134" spans="1:26" x14ac:dyDescent="0.25">
      <c r="A134" s="1" t="s">
        <v>668</v>
      </c>
      <c r="B134" s="1" t="s">
        <v>669</v>
      </c>
      <c r="C134" s="1" t="s">
        <v>45</v>
      </c>
      <c r="D134" s="1" t="s">
        <v>32</v>
      </c>
      <c r="E134" s="1" t="s">
        <v>33</v>
      </c>
      <c r="F134" s="1" t="s">
        <v>670</v>
      </c>
      <c r="G134" s="1" t="s">
        <v>12480</v>
      </c>
      <c r="H134" s="1" t="s">
        <v>671</v>
      </c>
      <c r="I134" s="2">
        <v>60.95</v>
      </c>
      <c r="J134" s="2">
        <v>2.17</v>
      </c>
      <c r="K134" s="2">
        <v>2.52</v>
      </c>
      <c r="L134" s="2">
        <v>2.94</v>
      </c>
      <c r="M134" s="4">
        <f t="shared" si="12"/>
        <v>24.186507936507937</v>
      </c>
      <c r="N134" s="4">
        <f t="shared" si="13"/>
        <v>20.731292517006803</v>
      </c>
      <c r="O134" s="5">
        <f t="shared" si="14"/>
        <v>0.16129032258064524</v>
      </c>
      <c r="P134" s="5">
        <f t="shared" si="15"/>
        <v>0.16666666666666674</v>
      </c>
      <c r="Q134" s="4">
        <f t="shared" si="16"/>
        <v>1.4995634920634915</v>
      </c>
      <c r="R134" s="4">
        <f t="shared" si="17"/>
        <v>1.2438775510204076</v>
      </c>
      <c r="S134" s="4">
        <v>4.62</v>
      </c>
      <c r="T134" s="2">
        <v>1.51</v>
      </c>
      <c r="U134" s="2">
        <v>68.87</v>
      </c>
      <c r="V134" s="2">
        <v>19.89</v>
      </c>
      <c r="W134" s="2">
        <v>-6.59</v>
      </c>
      <c r="X134" s="2">
        <v>-11.5</v>
      </c>
      <c r="Y134" s="2">
        <v>10.76</v>
      </c>
      <c r="Z134" s="2">
        <v>13.4</v>
      </c>
    </row>
    <row r="135" spans="1:26" x14ac:dyDescent="0.25">
      <c r="A135" s="1" t="s">
        <v>672</v>
      </c>
      <c r="B135" s="1" t="s">
        <v>673</v>
      </c>
      <c r="C135" s="1" t="s">
        <v>45</v>
      </c>
      <c r="D135" s="1" t="s">
        <v>18</v>
      </c>
      <c r="E135" s="1" t="s">
        <v>74</v>
      </c>
      <c r="F135" s="1" t="s">
        <v>674</v>
      </c>
      <c r="G135" s="1" t="s">
        <v>12480</v>
      </c>
      <c r="H135" s="1" t="s">
        <v>675</v>
      </c>
      <c r="I135" s="2">
        <v>323.58999999999997</v>
      </c>
      <c r="J135" s="2">
        <v>5.08</v>
      </c>
      <c r="K135" s="2">
        <v>9.57</v>
      </c>
      <c r="L135" s="2">
        <v>15.02</v>
      </c>
      <c r="M135" s="4">
        <f t="shared" si="12"/>
        <v>33.812957157784737</v>
      </c>
      <c r="N135" s="4">
        <f t="shared" si="13"/>
        <v>21.543941411451396</v>
      </c>
      <c r="O135" s="5">
        <f t="shared" si="14"/>
        <v>0.88385826771653542</v>
      </c>
      <c r="P135" s="5">
        <f t="shared" si="15"/>
        <v>0.56948798328108663</v>
      </c>
      <c r="Q135" s="4">
        <f t="shared" si="16"/>
        <v>0.38256085158473602</v>
      </c>
      <c r="R135" s="4">
        <f t="shared" si="17"/>
        <v>0.37830370515154105</v>
      </c>
      <c r="S135" s="4">
        <v>65.19</v>
      </c>
      <c r="T135" s="2">
        <v>0.36</v>
      </c>
      <c r="U135" s="2">
        <v>491.22</v>
      </c>
      <c r="V135" s="2">
        <v>224.32</v>
      </c>
      <c r="W135" s="2">
        <v>-0.46</v>
      </c>
      <c r="X135" s="2">
        <v>1.1200000000000001</v>
      </c>
      <c r="Y135" s="2">
        <v>-17.350000000000001</v>
      </c>
      <c r="Z135" s="2">
        <v>-18.62</v>
      </c>
    </row>
    <row r="136" spans="1:26" x14ac:dyDescent="0.25">
      <c r="A136" s="1" t="s">
        <v>676</v>
      </c>
      <c r="B136" s="1" t="s">
        <v>677</v>
      </c>
      <c r="C136" s="1" t="s">
        <v>45</v>
      </c>
      <c r="D136" s="1" t="s">
        <v>25</v>
      </c>
      <c r="E136" s="1" t="s">
        <v>331</v>
      </c>
      <c r="F136" s="1" t="s">
        <v>678</v>
      </c>
      <c r="G136" s="1" t="s">
        <v>12480</v>
      </c>
      <c r="H136" s="1" t="s">
        <v>679</v>
      </c>
      <c r="I136" s="2">
        <v>49.58</v>
      </c>
      <c r="J136" s="2">
        <v>2.62</v>
      </c>
      <c r="K136" s="2">
        <v>2.79</v>
      </c>
      <c r="L136" s="2">
        <v>3.08</v>
      </c>
      <c r="M136" s="4">
        <f t="shared" si="12"/>
        <v>17.770609318996414</v>
      </c>
      <c r="N136" s="4">
        <f t="shared" si="13"/>
        <v>16.097402597402596</v>
      </c>
      <c r="O136" s="5">
        <f t="shared" si="14"/>
        <v>6.4885496183206159E-2</v>
      </c>
      <c r="P136" s="5">
        <f t="shared" si="15"/>
        <v>0.10394265232974909</v>
      </c>
      <c r="Q136" s="4">
        <f t="shared" si="16"/>
        <v>2.7387644950453276</v>
      </c>
      <c r="R136" s="4">
        <f t="shared" si="17"/>
        <v>1.5486811464397672</v>
      </c>
      <c r="S136" s="4">
        <v>7.59</v>
      </c>
      <c r="T136" s="2">
        <v>0.8</v>
      </c>
      <c r="U136" s="2">
        <v>60.68</v>
      </c>
      <c r="V136" s="2">
        <v>44.24</v>
      </c>
      <c r="W136" s="2">
        <v>4.42</v>
      </c>
      <c r="X136" s="2" t="s">
        <v>12508</v>
      </c>
      <c r="Y136" s="2">
        <v>-3.69</v>
      </c>
      <c r="Z136" s="2">
        <v>-2.82</v>
      </c>
    </row>
    <row r="137" spans="1:26" x14ac:dyDescent="0.25">
      <c r="A137" s="1" t="s">
        <v>680</v>
      </c>
      <c r="B137" s="1" t="s">
        <v>681</v>
      </c>
      <c r="C137" s="1" t="s">
        <v>31</v>
      </c>
      <c r="D137" s="1" t="s">
        <v>46</v>
      </c>
      <c r="E137" s="1" t="s">
        <v>683</v>
      </c>
      <c r="F137" s="1" t="s">
        <v>682</v>
      </c>
      <c r="G137" s="1" t="s">
        <v>12490</v>
      </c>
      <c r="H137" s="1" t="s">
        <v>684</v>
      </c>
      <c r="I137" s="2">
        <v>2.73</v>
      </c>
      <c r="J137" s="2">
        <v>0.11</v>
      </c>
      <c r="K137" s="2">
        <v>0.19</v>
      </c>
      <c r="L137" s="2">
        <v>0.24</v>
      </c>
      <c r="M137" s="4">
        <f t="shared" si="12"/>
        <v>14.368421052631579</v>
      </c>
      <c r="N137" s="4">
        <f t="shared" si="13"/>
        <v>11.375</v>
      </c>
      <c r="O137" s="5">
        <f t="shared" si="14"/>
        <v>0.72727272727272729</v>
      </c>
      <c r="P137" s="5">
        <f t="shared" si="15"/>
        <v>0.26315789473684204</v>
      </c>
      <c r="Q137" s="4">
        <f t="shared" si="16"/>
        <v>0.19756578947368419</v>
      </c>
      <c r="R137" s="4">
        <f t="shared" si="17"/>
        <v>0.43225000000000008</v>
      </c>
      <c r="S137" s="4">
        <v>3.83</v>
      </c>
      <c r="T137" s="2">
        <v>1.32</v>
      </c>
      <c r="U137" s="2">
        <v>3.5</v>
      </c>
      <c r="V137" s="2">
        <v>1.83</v>
      </c>
      <c r="W137" s="2">
        <v>-13.33</v>
      </c>
      <c r="X137" s="2">
        <v>-19.71</v>
      </c>
      <c r="Y137" s="2">
        <v>-4.55</v>
      </c>
      <c r="Z137" s="2">
        <v>-6.19</v>
      </c>
    </row>
    <row r="138" spans="1:26" x14ac:dyDescent="0.25">
      <c r="A138" s="1" t="s">
        <v>685</v>
      </c>
      <c r="B138" s="1" t="s">
        <v>686</v>
      </c>
      <c r="C138" s="1" t="s">
        <v>16</v>
      </c>
      <c r="D138" s="1" t="s">
        <v>305</v>
      </c>
      <c r="E138" s="1" t="s">
        <v>306</v>
      </c>
      <c r="F138" s="1" t="s">
        <v>687</v>
      </c>
      <c r="G138" s="1" t="s">
        <v>12480</v>
      </c>
      <c r="H138" s="1" t="s">
        <v>688</v>
      </c>
      <c r="I138" s="2">
        <v>116.87</v>
      </c>
      <c r="J138" s="2">
        <v>8.2100000000000009</v>
      </c>
      <c r="K138" s="2">
        <v>8.81</v>
      </c>
      <c r="L138" s="2">
        <v>10.27</v>
      </c>
      <c r="M138" s="4">
        <f t="shared" si="12"/>
        <v>13.265607264472191</v>
      </c>
      <c r="N138" s="4">
        <f t="shared" si="13"/>
        <v>11.379746835443038</v>
      </c>
      <c r="O138" s="5">
        <f t="shared" si="14"/>
        <v>7.3081607795371539E-2</v>
      </c>
      <c r="P138" s="5">
        <f t="shared" si="15"/>
        <v>0.16572077185017009</v>
      </c>
      <c r="Q138" s="4">
        <f t="shared" si="16"/>
        <v>1.8151772606886105</v>
      </c>
      <c r="R138" s="4">
        <f t="shared" si="17"/>
        <v>0.68668198370036493</v>
      </c>
      <c r="S138" s="4">
        <v>-6.67</v>
      </c>
      <c r="T138" s="2">
        <v>0.96</v>
      </c>
      <c r="U138" s="2">
        <v>126.94</v>
      </c>
      <c r="V138" s="2">
        <v>79.27</v>
      </c>
      <c r="W138" s="2">
        <v>-7.91</v>
      </c>
      <c r="X138" s="2">
        <v>1.65</v>
      </c>
      <c r="Y138" s="2">
        <v>17.55</v>
      </c>
      <c r="Z138" s="2">
        <v>19.38</v>
      </c>
    </row>
    <row r="139" spans="1:26" x14ac:dyDescent="0.25">
      <c r="A139" s="1" t="s">
        <v>690</v>
      </c>
      <c r="B139" s="1" t="s">
        <v>691</v>
      </c>
      <c r="C139" s="1" t="s">
        <v>16</v>
      </c>
      <c r="D139" s="1" t="s">
        <v>305</v>
      </c>
      <c r="E139" s="1" t="s">
        <v>306</v>
      </c>
      <c r="F139" s="1" t="s">
        <v>692</v>
      </c>
      <c r="G139" s="1" t="s">
        <v>12480</v>
      </c>
      <c r="H139" s="1" t="s">
        <v>526</v>
      </c>
      <c r="I139" s="2">
        <v>109.45</v>
      </c>
      <c r="J139" s="2">
        <v>9.85</v>
      </c>
      <c r="K139" s="2">
        <v>10.45</v>
      </c>
      <c r="L139" s="2">
        <v>11.78</v>
      </c>
      <c r="M139" s="4">
        <f t="shared" si="12"/>
        <v>10.473684210526317</v>
      </c>
      <c r="N139" s="4">
        <f t="shared" si="13"/>
        <v>9.2911714770797964</v>
      </c>
      <c r="O139" s="5">
        <f t="shared" si="14"/>
        <v>6.0913705583756306E-2</v>
      </c>
      <c r="P139" s="5">
        <f t="shared" si="15"/>
        <v>0.1272727272727272</v>
      </c>
      <c r="Q139" s="4">
        <f t="shared" si="16"/>
        <v>1.7194298245614048</v>
      </c>
      <c r="R139" s="4">
        <f t="shared" si="17"/>
        <v>0.73002061605627011</v>
      </c>
      <c r="S139" s="4">
        <v>4.09</v>
      </c>
      <c r="T139" s="2">
        <v>1.32</v>
      </c>
      <c r="U139" s="2">
        <v>129.58000000000001</v>
      </c>
      <c r="V139" s="2">
        <v>76.77</v>
      </c>
      <c r="W139" s="2">
        <v>-6.44</v>
      </c>
      <c r="X139" s="2">
        <v>-11.43</v>
      </c>
      <c r="Y139" s="2">
        <v>-9.7799999999999994</v>
      </c>
      <c r="Z139" s="2">
        <v>-7.79</v>
      </c>
    </row>
    <row r="140" spans="1:26" x14ac:dyDescent="0.25">
      <c r="A140" s="1" t="s">
        <v>693</v>
      </c>
      <c r="B140" s="1" t="s">
        <v>694</v>
      </c>
      <c r="C140" s="1" t="s">
        <v>45</v>
      </c>
      <c r="D140" s="1" t="s">
        <v>18</v>
      </c>
      <c r="E140" s="1" t="s">
        <v>74</v>
      </c>
      <c r="F140" s="1" t="s">
        <v>695</v>
      </c>
      <c r="G140" s="1" t="s">
        <v>12480</v>
      </c>
      <c r="H140" s="1" t="s">
        <v>696</v>
      </c>
      <c r="I140" s="2">
        <v>4.0199999999999996</v>
      </c>
      <c r="J140" s="2">
        <v>-0.66</v>
      </c>
      <c r="K140" s="2">
        <v>0.49</v>
      </c>
      <c r="L140" s="2">
        <v>0.75</v>
      </c>
      <c r="M140" s="4">
        <f t="shared" si="12"/>
        <v>8.204081632653061</v>
      </c>
      <c r="N140" s="4">
        <f t="shared" si="13"/>
        <v>5.3599999999999994</v>
      </c>
      <c r="O140" s="5">
        <f t="shared" si="14"/>
        <v>-1.7424242424242424</v>
      </c>
      <c r="P140" s="5">
        <f t="shared" si="15"/>
        <v>0.53061224489795911</v>
      </c>
      <c r="Q140" s="4">
        <f t="shared" si="16"/>
        <v>-4.7084294587400176E-2</v>
      </c>
      <c r="R140" s="4">
        <f t="shared" si="17"/>
        <v>0.10101538461538462</v>
      </c>
      <c r="S140" s="4">
        <v>426.84</v>
      </c>
      <c r="T140" s="2">
        <v>0.16</v>
      </c>
      <c r="U140" s="2">
        <v>11.66</v>
      </c>
      <c r="V140" s="2">
        <v>3.8</v>
      </c>
      <c r="W140" s="2">
        <v>1.52</v>
      </c>
      <c r="X140" s="2">
        <v>-21.79</v>
      </c>
      <c r="Y140" s="2">
        <v>-25.56</v>
      </c>
      <c r="Z140" s="2">
        <v>-21.64</v>
      </c>
    </row>
    <row r="141" spans="1:26" x14ac:dyDescent="0.25">
      <c r="A141" s="1" t="s">
        <v>697</v>
      </c>
      <c r="B141" s="1" t="s">
        <v>698</v>
      </c>
      <c r="C141" s="1" t="s">
        <v>16</v>
      </c>
      <c r="D141" s="1" t="s">
        <v>38</v>
      </c>
      <c r="E141" s="1" t="s">
        <v>510</v>
      </c>
      <c r="F141" s="1" t="s">
        <v>699</v>
      </c>
      <c r="G141" s="1" t="s">
        <v>12480</v>
      </c>
      <c r="H141" s="1" t="s">
        <v>12528</v>
      </c>
      <c r="I141" s="2">
        <v>240.32</v>
      </c>
      <c r="J141" s="2">
        <v>12.27</v>
      </c>
      <c r="K141" s="2">
        <v>12.08</v>
      </c>
      <c r="L141" s="2">
        <v>12.23</v>
      </c>
      <c r="M141" s="4">
        <f t="shared" si="12"/>
        <v>19.894039735099337</v>
      </c>
      <c r="N141" s="4">
        <f t="shared" si="13"/>
        <v>19.650040883074407</v>
      </c>
      <c r="O141" s="5">
        <f t="shared" si="14"/>
        <v>-1.5484922575387028E-2</v>
      </c>
      <c r="P141" s="5">
        <f t="shared" si="15"/>
        <v>1.2417218543046449E-2</v>
      </c>
      <c r="Q141" s="4">
        <f t="shared" si="16"/>
        <v>-12.847361449982651</v>
      </c>
      <c r="R141" s="4">
        <f t="shared" si="17"/>
        <v>15.824832924502473</v>
      </c>
      <c r="S141" s="4">
        <v>-5.83</v>
      </c>
      <c r="T141" s="2">
        <v>0.82</v>
      </c>
      <c r="U141" s="2">
        <v>259.12</v>
      </c>
      <c r="V141" s="2">
        <v>193.54</v>
      </c>
      <c r="W141" s="2">
        <v>1.99</v>
      </c>
      <c r="X141" s="2">
        <v>5.95</v>
      </c>
      <c r="Y141" s="2">
        <v>11.13</v>
      </c>
      <c r="Z141" s="2">
        <v>10.27</v>
      </c>
    </row>
    <row r="142" spans="1:26" x14ac:dyDescent="0.25">
      <c r="A142" s="1" t="s">
        <v>700</v>
      </c>
      <c r="B142" s="1" t="s">
        <v>701</v>
      </c>
      <c r="C142" s="1" t="s">
        <v>16</v>
      </c>
      <c r="D142" s="1" t="s">
        <v>94</v>
      </c>
      <c r="E142" s="1" t="s">
        <v>403</v>
      </c>
      <c r="F142" s="1" t="s">
        <v>702</v>
      </c>
      <c r="G142" s="1" t="s">
        <v>12480</v>
      </c>
      <c r="H142" s="1" t="s">
        <v>703</v>
      </c>
      <c r="I142" s="2">
        <v>22.75</v>
      </c>
      <c r="J142" s="2">
        <v>0.86</v>
      </c>
      <c r="K142" s="2">
        <v>1.1299999999999999</v>
      </c>
      <c r="L142" s="2">
        <v>1.22</v>
      </c>
      <c r="M142" s="4">
        <f t="shared" si="12"/>
        <v>20.13274336283186</v>
      </c>
      <c r="N142" s="4">
        <f t="shared" si="13"/>
        <v>18.647540983606557</v>
      </c>
      <c r="O142" s="5">
        <f t="shared" si="14"/>
        <v>0.31395348837209291</v>
      </c>
      <c r="P142" s="5">
        <f t="shared" si="15"/>
        <v>7.9646017699115168E-2</v>
      </c>
      <c r="Q142" s="4">
        <f t="shared" si="16"/>
        <v>0.64126515896427427</v>
      </c>
      <c r="R142" s="4">
        <f t="shared" si="17"/>
        <v>2.3413023679417084</v>
      </c>
      <c r="S142" s="4">
        <v>7.43</v>
      </c>
      <c r="T142" s="2">
        <v>0.77</v>
      </c>
      <c r="U142" s="2">
        <v>22.97</v>
      </c>
      <c r="V142" s="2">
        <v>15.88</v>
      </c>
      <c r="W142" s="2">
        <v>-0.7</v>
      </c>
      <c r="X142" s="2">
        <v>15.25</v>
      </c>
      <c r="Y142" s="2">
        <v>26.39</v>
      </c>
      <c r="Z142" s="2">
        <v>27.88</v>
      </c>
    </row>
    <row r="143" spans="1:26" x14ac:dyDescent="0.25">
      <c r="A143" s="1" t="s">
        <v>705</v>
      </c>
      <c r="B143" s="1" t="s">
        <v>706</v>
      </c>
      <c r="C143" s="1" t="s">
        <v>31</v>
      </c>
      <c r="D143" s="1" t="s">
        <v>140</v>
      </c>
      <c r="E143" s="1" t="s">
        <v>284</v>
      </c>
      <c r="F143" s="1" t="s">
        <v>707</v>
      </c>
      <c r="G143" s="1" t="s">
        <v>12480</v>
      </c>
      <c r="H143" s="1" t="s">
        <v>708</v>
      </c>
      <c r="I143" s="2">
        <v>63.38</v>
      </c>
      <c r="J143" s="2">
        <v>3.62</v>
      </c>
      <c r="K143" s="2">
        <v>4.01</v>
      </c>
      <c r="L143" s="2">
        <v>4.5999999999999996</v>
      </c>
      <c r="M143" s="4">
        <f t="shared" si="12"/>
        <v>15.805486284289278</v>
      </c>
      <c r="N143" s="4">
        <f t="shared" si="13"/>
        <v>13.778260869565219</v>
      </c>
      <c r="O143" s="5">
        <f t="shared" si="14"/>
        <v>0.10773480662983426</v>
      </c>
      <c r="P143" s="5">
        <f t="shared" si="15"/>
        <v>0.1471321695760599</v>
      </c>
      <c r="Q143" s="4">
        <f t="shared" si="16"/>
        <v>1.4670733422853124</v>
      </c>
      <c r="R143" s="4">
        <f t="shared" si="17"/>
        <v>0.93645467943994087</v>
      </c>
      <c r="S143" s="4">
        <v>10.91</v>
      </c>
      <c r="T143" s="2">
        <v>0.77</v>
      </c>
      <c r="U143" s="2">
        <v>85.71</v>
      </c>
      <c r="V143" s="2">
        <v>55.13</v>
      </c>
      <c r="W143" s="2">
        <v>5.85</v>
      </c>
      <c r="X143" s="2">
        <v>2.2599999999999998</v>
      </c>
      <c r="Y143" s="2">
        <v>-13.12</v>
      </c>
      <c r="Z143" s="2">
        <v>-13.73</v>
      </c>
    </row>
    <row r="144" spans="1:26" x14ac:dyDescent="0.25">
      <c r="A144" s="1" t="s">
        <v>709</v>
      </c>
      <c r="B144" s="1" t="s">
        <v>710</v>
      </c>
      <c r="C144" s="1" t="s">
        <v>45</v>
      </c>
      <c r="D144" s="1" t="s">
        <v>38</v>
      </c>
      <c r="E144" s="1" t="s">
        <v>712</v>
      </c>
      <c r="F144" s="1" t="s">
        <v>711</v>
      </c>
      <c r="G144" s="1" t="s">
        <v>12480</v>
      </c>
      <c r="H144" s="1" t="s">
        <v>713</v>
      </c>
      <c r="I144" s="2">
        <v>37.869999999999997</v>
      </c>
      <c r="J144" s="2">
        <v>3.64</v>
      </c>
      <c r="K144" s="2">
        <v>4.16</v>
      </c>
      <c r="L144" s="2">
        <v>4.62</v>
      </c>
      <c r="M144" s="4">
        <f t="shared" si="12"/>
        <v>9.1033653846153832</v>
      </c>
      <c r="N144" s="4">
        <f t="shared" si="13"/>
        <v>8.1969696969696955</v>
      </c>
      <c r="O144" s="5">
        <f t="shared" si="14"/>
        <v>0.14285714285714279</v>
      </c>
      <c r="P144" s="5">
        <f t="shared" si="15"/>
        <v>0.11057692307692313</v>
      </c>
      <c r="Q144" s="4">
        <f t="shared" si="16"/>
        <v>0.63723557692307708</v>
      </c>
      <c r="R144" s="4">
        <f t="shared" si="17"/>
        <v>0.74129117259551991</v>
      </c>
      <c r="S144" s="4">
        <v>4.29</v>
      </c>
      <c r="T144" s="2">
        <v>0.81</v>
      </c>
      <c r="U144" s="2">
        <v>41.91</v>
      </c>
      <c r="V144" s="2">
        <v>25.26</v>
      </c>
      <c r="W144" s="2">
        <v>-2.3199999999999998</v>
      </c>
      <c r="X144" s="2">
        <v>-9.64</v>
      </c>
      <c r="Y144" s="2">
        <v>17.39</v>
      </c>
      <c r="Z144" s="2">
        <v>18.23</v>
      </c>
    </row>
    <row r="145" spans="1:26" x14ac:dyDescent="0.25">
      <c r="A145" s="1" t="s">
        <v>714</v>
      </c>
      <c r="B145" s="1" t="s">
        <v>715</v>
      </c>
      <c r="C145" s="1" t="s">
        <v>45</v>
      </c>
      <c r="D145" s="1" t="s">
        <v>32</v>
      </c>
      <c r="E145" s="1" t="s">
        <v>57</v>
      </c>
      <c r="F145" s="1" t="s">
        <v>716</v>
      </c>
      <c r="G145" s="1" t="s">
        <v>12479</v>
      </c>
      <c r="H145" s="1" t="s">
        <v>717</v>
      </c>
      <c r="I145" s="2">
        <v>338.94</v>
      </c>
      <c r="J145" s="2">
        <v>9.42</v>
      </c>
      <c r="K145" s="2">
        <v>10.97</v>
      </c>
      <c r="L145" s="2">
        <v>13.69</v>
      </c>
      <c r="M145" s="4">
        <f t="shared" si="12"/>
        <v>30.896991795806745</v>
      </c>
      <c r="N145" s="4">
        <f t="shared" si="13"/>
        <v>24.758217677136596</v>
      </c>
      <c r="O145" s="5">
        <f t="shared" si="14"/>
        <v>0.16454352441613596</v>
      </c>
      <c r="P145" s="5">
        <f t="shared" si="15"/>
        <v>0.24794895168641728</v>
      </c>
      <c r="Q145" s="4">
        <f t="shared" si="16"/>
        <v>1.8777397594612866</v>
      </c>
      <c r="R145" s="4">
        <f t="shared" si="17"/>
        <v>0.9985207644051054</v>
      </c>
      <c r="S145" s="4">
        <v>4.3899999999999997</v>
      </c>
      <c r="T145" s="2">
        <v>1.65</v>
      </c>
      <c r="U145" s="2">
        <v>394.95</v>
      </c>
      <c r="V145" s="2">
        <v>126.95</v>
      </c>
      <c r="W145" s="2">
        <v>-8.93</v>
      </c>
      <c r="X145" s="2">
        <v>2.5299999999999998</v>
      </c>
      <c r="Y145" s="2">
        <v>29.73</v>
      </c>
      <c r="Z145" s="2">
        <v>31.89</v>
      </c>
    </row>
    <row r="146" spans="1:26" x14ac:dyDescent="0.25">
      <c r="A146" s="1" t="s">
        <v>718</v>
      </c>
      <c r="B146" s="1" t="s">
        <v>719</v>
      </c>
      <c r="C146" s="1" t="s">
        <v>45</v>
      </c>
      <c r="D146" s="1" t="s">
        <v>32</v>
      </c>
      <c r="E146" s="1" t="s">
        <v>57</v>
      </c>
      <c r="F146" s="1" t="s">
        <v>720</v>
      </c>
      <c r="G146" s="1" t="s">
        <v>12493</v>
      </c>
      <c r="H146" s="1" t="s">
        <v>721</v>
      </c>
      <c r="I146" s="2">
        <v>53.26</v>
      </c>
      <c r="J146" s="2">
        <v>0.62</v>
      </c>
      <c r="K146" s="2">
        <v>0.74</v>
      </c>
      <c r="L146" s="2">
        <v>0.95</v>
      </c>
      <c r="M146" s="4">
        <f t="shared" si="12"/>
        <v>71.972972972972968</v>
      </c>
      <c r="N146" s="4">
        <f t="shared" si="13"/>
        <v>56.06315789473684</v>
      </c>
      <c r="O146" s="5">
        <f t="shared" si="14"/>
        <v>0.19354838709677424</v>
      </c>
      <c r="P146" s="5">
        <f t="shared" si="15"/>
        <v>0.28378378378378377</v>
      </c>
      <c r="Q146" s="4">
        <f t="shared" si="16"/>
        <v>3.7186036036036025</v>
      </c>
      <c r="R146" s="4">
        <f t="shared" si="17"/>
        <v>1.9755588972431077</v>
      </c>
      <c r="S146" s="4">
        <v>37.15</v>
      </c>
      <c r="T146" s="2">
        <v>1.95</v>
      </c>
      <c r="U146" s="2">
        <v>95.51</v>
      </c>
      <c r="V146" s="2">
        <v>40.299999999999997</v>
      </c>
      <c r="W146" s="2">
        <v>-12.75</v>
      </c>
      <c r="X146" s="2">
        <v>-18.38</v>
      </c>
      <c r="Y146" s="2">
        <v>-27.83</v>
      </c>
      <c r="Z146" s="2">
        <v>-24.82</v>
      </c>
    </row>
    <row r="147" spans="1:26" x14ac:dyDescent="0.25">
      <c r="A147" s="1" t="s">
        <v>722</v>
      </c>
      <c r="B147" s="1" t="s">
        <v>723</v>
      </c>
      <c r="C147" s="1" t="s">
        <v>31</v>
      </c>
      <c r="D147" s="1" t="s">
        <v>18</v>
      </c>
      <c r="E147" s="1" t="s">
        <v>199</v>
      </c>
      <c r="F147" s="1" t="s">
        <v>724</v>
      </c>
      <c r="G147" s="1" t="s">
        <v>12485</v>
      </c>
      <c r="H147" s="1" t="s">
        <v>725</v>
      </c>
      <c r="I147" s="2">
        <v>11.5</v>
      </c>
      <c r="J147" s="2">
        <v>0.34</v>
      </c>
      <c r="K147" s="2"/>
      <c r="L147" s="2"/>
      <c r="M147" s="4" t="e">
        <f t="shared" si="12"/>
        <v>#DIV/0!</v>
      </c>
      <c r="N147" s="4" t="e">
        <f t="shared" si="13"/>
        <v>#DIV/0!</v>
      </c>
      <c r="O147" s="5">
        <f t="shared" si="14"/>
        <v>-1</v>
      </c>
      <c r="P147" s="5" t="e">
        <f t="shared" si="15"/>
        <v>#DIV/0!</v>
      </c>
      <c r="Q147" s="4" t="e">
        <f t="shared" si="16"/>
        <v>#DIV/0!</v>
      </c>
      <c r="R147" s="4" t="e">
        <f t="shared" si="17"/>
        <v>#DIV/0!</v>
      </c>
      <c r="S147" s="4">
        <v>14.11</v>
      </c>
      <c r="T147" s="2">
        <v>0.98</v>
      </c>
      <c r="U147" s="2">
        <v>18.05</v>
      </c>
      <c r="V147" s="2">
        <v>11.49</v>
      </c>
      <c r="W147" s="2">
        <v>-8.2899999999999991</v>
      </c>
      <c r="X147" s="2">
        <v>-16.79</v>
      </c>
      <c r="Y147" s="2">
        <v>-16.55</v>
      </c>
      <c r="Z147" s="2">
        <v>-12.88</v>
      </c>
    </row>
    <row r="148" spans="1:26" x14ac:dyDescent="0.25">
      <c r="A148" s="1" t="s">
        <v>726</v>
      </c>
      <c r="B148" s="1" t="s">
        <v>727</v>
      </c>
      <c r="C148" s="1" t="s">
        <v>16</v>
      </c>
      <c r="D148" s="1" t="s">
        <v>25</v>
      </c>
      <c r="E148" s="1" t="s">
        <v>729</v>
      </c>
      <c r="F148" s="1" t="s">
        <v>728</v>
      </c>
      <c r="G148" s="1" t="s">
        <v>12480</v>
      </c>
      <c r="H148" s="1" t="s">
        <v>730</v>
      </c>
      <c r="I148" s="2">
        <v>4.3899999999999997</v>
      </c>
      <c r="J148" s="2">
        <v>0.21</v>
      </c>
      <c r="K148" s="2">
        <v>0.25</v>
      </c>
      <c r="L148" s="2">
        <v>0.3</v>
      </c>
      <c r="M148" s="4">
        <f t="shared" si="12"/>
        <v>17.559999999999999</v>
      </c>
      <c r="N148" s="4">
        <f t="shared" si="13"/>
        <v>14.633333333333333</v>
      </c>
      <c r="O148" s="5">
        <f t="shared" si="14"/>
        <v>0.19047619047619047</v>
      </c>
      <c r="P148" s="5">
        <f t="shared" si="15"/>
        <v>0.19999999999999996</v>
      </c>
      <c r="Q148" s="4">
        <f t="shared" si="16"/>
        <v>0.92189999999999994</v>
      </c>
      <c r="R148" s="4">
        <f t="shared" si="17"/>
        <v>0.7316666666666668</v>
      </c>
      <c r="S148" s="4" t="s">
        <v>12480</v>
      </c>
      <c r="T148" s="2">
        <v>0.54</v>
      </c>
      <c r="U148" s="2">
        <v>4.91</v>
      </c>
      <c r="V148" s="2">
        <v>2.6</v>
      </c>
      <c r="W148" s="2">
        <v>-9.48</v>
      </c>
      <c r="X148" s="2">
        <v>-9.3000000000000007</v>
      </c>
      <c r="Y148" s="2">
        <v>4.28</v>
      </c>
      <c r="Z148" s="2">
        <v>7.07</v>
      </c>
    </row>
    <row r="149" spans="1:26" x14ac:dyDescent="0.25">
      <c r="A149" s="1" t="s">
        <v>731</v>
      </c>
      <c r="B149" s="1" t="s">
        <v>732</v>
      </c>
      <c r="C149" s="1" t="s">
        <v>16</v>
      </c>
      <c r="D149" s="1" t="s">
        <v>25</v>
      </c>
      <c r="E149" s="1" t="s">
        <v>734</v>
      </c>
      <c r="F149" s="1" t="s">
        <v>733</v>
      </c>
      <c r="G149" s="1" t="s">
        <v>12502</v>
      </c>
      <c r="H149" s="1" t="s">
        <v>735</v>
      </c>
      <c r="I149" s="2">
        <v>42.3</v>
      </c>
      <c r="J149" s="2">
        <v>3.55</v>
      </c>
      <c r="K149" s="2">
        <v>3.99</v>
      </c>
      <c r="L149" s="2">
        <v>4.3899999999999997</v>
      </c>
      <c r="M149" s="4">
        <f t="shared" si="12"/>
        <v>10.601503759398495</v>
      </c>
      <c r="N149" s="4">
        <f t="shared" si="13"/>
        <v>9.6355353075170846</v>
      </c>
      <c r="O149" s="5">
        <f t="shared" si="14"/>
        <v>0.12394366197183104</v>
      </c>
      <c r="P149" s="5">
        <f t="shared" si="15"/>
        <v>0.10025062656641581</v>
      </c>
      <c r="Q149" s="4">
        <f t="shared" si="16"/>
        <v>0.85534859876965097</v>
      </c>
      <c r="R149" s="4">
        <f t="shared" si="17"/>
        <v>0.96114464692483148</v>
      </c>
      <c r="S149" s="4">
        <v>10.039999999999999</v>
      </c>
      <c r="T149" s="2">
        <v>0.65</v>
      </c>
      <c r="U149" s="2">
        <v>51.45</v>
      </c>
      <c r="V149" s="2">
        <v>39.1</v>
      </c>
      <c r="W149" s="2">
        <v>-12.15</v>
      </c>
      <c r="X149" s="2">
        <v>-12.62</v>
      </c>
      <c r="Y149" s="2">
        <v>2.5499999999999998</v>
      </c>
      <c r="Z149" s="2">
        <v>1.44</v>
      </c>
    </row>
    <row r="150" spans="1:26" x14ac:dyDescent="0.25">
      <c r="A150" s="1" t="s">
        <v>736</v>
      </c>
      <c r="B150" s="1" t="s">
        <v>737</v>
      </c>
      <c r="C150" s="1" t="s">
        <v>45</v>
      </c>
      <c r="D150" s="1" t="s">
        <v>32</v>
      </c>
      <c r="E150" s="1" t="s">
        <v>490</v>
      </c>
      <c r="F150" s="1" t="s">
        <v>738</v>
      </c>
      <c r="G150" s="1" t="s">
        <v>12480</v>
      </c>
      <c r="H150" s="1" t="s">
        <v>739</v>
      </c>
      <c r="I150" s="2">
        <v>202.68</v>
      </c>
      <c r="J150" s="2">
        <v>4.17</v>
      </c>
      <c r="K150" s="2">
        <v>6.61</v>
      </c>
      <c r="L150" s="2">
        <v>9.9700000000000006</v>
      </c>
      <c r="M150" s="4">
        <f t="shared" si="12"/>
        <v>30.662632375189109</v>
      </c>
      <c r="N150" s="4">
        <f t="shared" si="13"/>
        <v>20.328986960882649</v>
      </c>
      <c r="O150" s="5">
        <f t="shared" si="14"/>
        <v>0.58513189448441261</v>
      </c>
      <c r="P150" s="5">
        <f t="shared" si="15"/>
        <v>0.50832072617246604</v>
      </c>
      <c r="Q150" s="4">
        <f t="shared" si="16"/>
        <v>0.52402941395302682</v>
      </c>
      <c r="R150" s="4">
        <f t="shared" si="17"/>
        <v>0.3999244161054592</v>
      </c>
      <c r="S150" s="4">
        <v>34.340000000000003</v>
      </c>
      <c r="T150" s="2">
        <v>1.98</v>
      </c>
      <c r="U150" s="2">
        <v>264.33</v>
      </c>
      <c r="V150" s="2">
        <v>78.209999999999994</v>
      </c>
      <c r="W150" s="2">
        <v>2.04</v>
      </c>
      <c r="X150" s="2">
        <v>-6.17</v>
      </c>
      <c r="Y150" s="2">
        <v>-2.36</v>
      </c>
      <c r="Z150" s="2">
        <v>-5.36</v>
      </c>
    </row>
    <row r="151" spans="1:26" x14ac:dyDescent="0.25">
      <c r="A151" s="1" t="s">
        <v>740</v>
      </c>
      <c r="B151" s="1" t="s">
        <v>741</v>
      </c>
      <c r="C151" s="1" t="s">
        <v>31</v>
      </c>
      <c r="D151" s="1" t="s">
        <v>25</v>
      </c>
      <c r="E151" s="1" t="s">
        <v>743</v>
      </c>
      <c r="F151" s="1" t="s">
        <v>742</v>
      </c>
      <c r="G151" s="1" t="s">
        <v>12490</v>
      </c>
      <c r="H151" s="1" t="s">
        <v>744</v>
      </c>
      <c r="I151" s="2">
        <v>47.15</v>
      </c>
      <c r="J151" s="2">
        <v>2.59</v>
      </c>
      <c r="K151" s="2"/>
      <c r="L151" s="2"/>
      <c r="M151" s="4" t="e">
        <f t="shared" si="12"/>
        <v>#DIV/0!</v>
      </c>
      <c r="N151" s="4" t="e">
        <f t="shared" si="13"/>
        <v>#DIV/0!</v>
      </c>
      <c r="O151" s="5">
        <f t="shared" si="14"/>
        <v>-1</v>
      </c>
      <c r="P151" s="5" t="e">
        <f t="shared" si="15"/>
        <v>#DIV/0!</v>
      </c>
      <c r="Q151" s="4" t="e">
        <f t="shared" si="16"/>
        <v>#DIV/0!</v>
      </c>
      <c r="R151" s="4" t="e">
        <f t="shared" si="17"/>
        <v>#DIV/0!</v>
      </c>
      <c r="S151" s="4">
        <v>-6.8</v>
      </c>
      <c r="T151" s="2">
        <v>0.18</v>
      </c>
      <c r="U151" s="2" t="s">
        <v>12529</v>
      </c>
      <c r="V151" s="2">
        <v>33.53</v>
      </c>
      <c r="W151" s="2" t="s">
        <v>12489</v>
      </c>
      <c r="X151" s="2" t="s">
        <v>12489</v>
      </c>
      <c r="Y151" s="2" t="s">
        <v>12489</v>
      </c>
      <c r="Z151" s="2" t="s">
        <v>12489</v>
      </c>
    </row>
    <row r="152" spans="1:26" x14ac:dyDescent="0.25">
      <c r="A152" s="1" t="s">
        <v>745</v>
      </c>
      <c r="B152" s="1" t="s">
        <v>746</v>
      </c>
      <c r="C152" s="1" t="s">
        <v>16</v>
      </c>
      <c r="D152" s="1" t="s">
        <v>32</v>
      </c>
      <c r="E152" s="1" t="s">
        <v>748</v>
      </c>
      <c r="F152" s="1" t="s">
        <v>747</v>
      </c>
      <c r="G152" s="1" t="s">
        <v>12480</v>
      </c>
      <c r="H152" s="1" t="s">
        <v>749</v>
      </c>
      <c r="I152" s="2">
        <v>225.07</v>
      </c>
      <c r="J152" s="2">
        <v>7.43</v>
      </c>
      <c r="K152" s="2">
        <v>8.0399999999999991</v>
      </c>
      <c r="L152" s="2">
        <v>8.68</v>
      </c>
      <c r="M152" s="4">
        <f t="shared" si="12"/>
        <v>27.993781094527364</v>
      </c>
      <c r="N152" s="4">
        <f t="shared" si="13"/>
        <v>25.929723502304146</v>
      </c>
      <c r="O152" s="5">
        <f t="shared" si="14"/>
        <v>8.2099596231493877E-2</v>
      </c>
      <c r="P152" s="5">
        <f t="shared" si="15"/>
        <v>7.9601990049751326E-2</v>
      </c>
      <c r="Q152" s="4">
        <f t="shared" si="16"/>
        <v>3.4097343202022703</v>
      </c>
      <c r="R152" s="4">
        <f t="shared" si="17"/>
        <v>3.2574215149769552</v>
      </c>
      <c r="S152" s="4">
        <v>6.63</v>
      </c>
      <c r="T152" s="2">
        <v>1.02</v>
      </c>
      <c r="U152" s="2">
        <v>241.46</v>
      </c>
      <c r="V152" s="2">
        <v>151.41</v>
      </c>
      <c r="W152" s="2">
        <v>-6.79</v>
      </c>
      <c r="X152" s="2">
        <v>-3.57</v>
      </c>
      <c r="Y152" s="2">
        <v>10.77</v>
      </c>
      <c r="Z152" s="2">
        <v>9.6199999999999992</v>
      </c>
    </row>
    <row r="153" spans="1:26" x14ac:dyDescent="0.25">
      <c r="A153" s="1" t="s">
        <v>750</v>
      </c>
      <c r="B153" s="1" t="s">
        <v>751</v>
      </c>
      <c r="C153" s="1" t="s">
        <v>31</v>
      </c>
      <c r="D153" s="1" t="s">
        <v>18</v>
      </c>
      <c r="E153" s="1" t="s">
        <v>624</v>
      </c>
      <c r="F153" s="1" t="s">
        <v>752</v>
      </c>
      <c r="G153" s="1" t="s">
        <v>12480</v>
      </c>
      <c r="H153" s="1" t="s">
        <v>753</v>
      </c>
      <c r="I153" s="2">
        <v>14.0901</v>
      </c>
      <c r="J153" s="2">
        <v>0.72</v>
      </c>
      <c r="K153" s="2"/>
      <c r="L153" s="2"/>
      <c r="M153" s="4" t="e">
        <f t="shared" si="12"/>
        <v>#DIV/0!</v>
      </c>
      <c r="N153" s="4" t="e">
        <f t="shared" si="13"/>
        <v>#DIV/0!</v>
      </c>
      <c r="O153" s="5">
        <f t="shared" si="14"/>
        <v>-1</v>
      </c>
      <c r="P153" s="5" t="e">
        <f t="shared" si="15"/>
        <v>#DIV/0!</v>
      </c>
      <c r="Q153" s="4" t="e">
        <f t="shared" si="16"/>
        <v>#DIV/0!</v>
      </c>
      <c r="R153" s="4" t="e">
        <f t="shared" si="17"/>
        <v>#DIV/0!</v>
      </c>
      <c r="S153" s="4">
        <v>6.6</v>
      </c>
      <c r="T153" s="2">
        <v>0.46</v>
      </c>
      <c r="U153" s="2">
        <v>23.85</v>
      </c>
      <c r="V153" s="2">
        <v>14.09</v>
      </c>
      <c r="W153" s="2">
        <v>-10.050000000000001</v>
      </c>
      <c r="X153" s="2">
        <v>-10.050000000000001</v>
      </c>
      <c r="Y153" s="2">
        <v>-9.42</v>
      </c>
      <c r="Z153" s="2">
        <v>-9.42</v>
      </c>
    </row>
    <row r="154" spans="1:26" x14ac:dyDescent="0.25">
      <c r="A154" s="1" t="s">
        <v>754</v>
      </c>
      <c r="B154" s="1" t="s">
        <v>755</v>
      </c>
      <c r="C154" s="1" t="s">
        <v>16</v>
      </c>
      <c r="D154" s="1" t="s">
        <v>38</v>
      </c>
      <c r="E154" s="1" t="s">
        <v>101</v>
      </c>
      <c r="F154" s="1" t="s">
        <v>756</v>
      </c>
      <c r="G154" s="1" t="s">
        <v>12480</v>
      </c>
      <c r="H154" s="1" t="s">
        <v>757</v>
      </c>
      <c r="I154" s="2">
        <v>281.52999999999997</v>
      </c>
      <c r="J154" s="2">
        <v>26.05</v>
      </c>
      <c r="K154" s="2">
        <v>30.38</v>
      </c>
      <c r="L154" s="2">
        <v>35.049999999999997</v>
      </c>
      <c r="M154" s="4">
        <f t="shared" si="12"/>
        <v>9.2669519420671485</v>
      </c>
      <c r="N154" s="4">
        <f t="shared" si="13"/>
        <v>8.0322396576319548</v>
      </c>
      <c r="O154" s="5">
        <f t="shared" si="14"/>
        <v>0.16621880998080618</v>
      </c>
      <c r="P154" s="5">
        <f t="shared" si="15"/>
        <v>0.1537195523370638</v>
      </c>
      <c r="Q154" s="4">
        <f t="shared" si="16"/>
        <v>0.55751523808510195</v>
      </c>
      <c r="R154" s="4">
        <f t="shared" si="17"/>
        <v>0.52252556916243875</v>
      </c>
      <c r="S154" s="4">
        <v>1.64</v>
      </c>
      <c r="T154" s="2">
        <v>1.18</v>
      </c>
      <c r="U154" s="2">
        <v>330.75</v>
      </c>
      <c r="V154" s="2">
        <v>143.35</v>
      </c>
      <c r="W154" s="2">
        <v>-10.029999999999999</v>
      </c>
      <c r="X154" s="2">
        <v>-7.58</v>
      </c>
      <c r="Y154" s="2">
        <v>2.2400000000000002</v>
      </c>
      <c r="Z154" s="2">
        <v>-2.34</v>
      </c>
    </row>
    <row r="155" spans="1:26" x14ac:dyDescent="0.25">
      <c r="A155" s="1" t="s">
        <v>758</v>
      </c>
      <c r="B155" s="1" t="s">
        <v>759</v>
      </c>
      <c r="C155" s="1" t="s">
        <v>45</v>
      </c>
      <c r="D155" s="1" t="s">
        <v>18</v>
      </c>
      <c r="E155" s="1" t="s">
        <v>74</v>
      </c>
      <c r="F155" s="1" t="s">
        <v>760</v>
      </c>
      <c r="G155" s="1" t="s">
        <v>12480</v>
      </c>
      <c r="H155" s="1" t="s">
        <v>761</v>
      </c>
      <c r="I155" s="2">
        <v>376.97</v>
      </c>
      <c r="J155" s="2">
        <v>21.84</v>
      </c>
      <c r="K155" s="2">
        <v>22.22</v>
      </c>
      <c r="L155" s="2">
        <v>23.24</v>
      </c>
      <c r="M155" s="4">
        <f t="shared" si="12"/>
        <v>16.965346534653467</v>
      </c>
      <c r="N155" s="4">
        <f t="shared" si="13"/>
        <v>16.220740103270227</v>
      </c>
      <c r="O155" s="5">
        <f t="shared" si="14"/>
        <v>1.7399267399267337E-2</v>
      </c>
      <c r="P155" s="5">
        <f t="shared" si="15"/>
        <v>4.5904590459045824E-2</v>
      </c>
      <c r="Q155" s="4">
        <f t="shared" si="16"/>
        <v>9.7506096925482382</v>
      </c>
      <c r="R155" s="4">
        <f t="shared" si="17"/>
        <v>3.5335769126927947</v>
      </c>
      <c r="S155" s="4">
        <v>9.9499999999999993</v>
      </c>
      <c r="T155" s="2">
        <v>0.45</v>
      </c>
      <c r="U155" s="2">
        <v>388.16</v>
      </c>
      <c r="V155" s="2">
        <v>262.27999999999997</v>
      </c>
      <c r="W155" s="2">
        <v>-2.2599999999999998</v>
      </c>
      <c r="X155" s="2">
        <v>0.31</v>
      </c>
      <c r="Y155" s="2">
        <v>15.88</v>
      </c>
      <c r="Z155" s="2">
        <v>15.17</v>
      </c>
    </row>
    <row r="156" spans="1:26" x14ac:dyDescent="0.25">
      <c r="A156" s="1" t="s">
        <v>762</v>
      </c>
      <c r="B156" s="1" t="s">
        <v>763</v>
      </c>
      <c r="C156" s="1" t="s">
        <v>16</v>
      </c>
      <c r="D156" s="1" t="s">
        <v>38</v>
      </c>
      <c r="E156" s="1" t="s">
        <v>765</v>
      </c>
      <c r="F156" s="1" t="s">
        <v>764</v>
      </c>
      <c r="G156" s="1" t="s">
        <v>12480</v>
      </c>
      <c r="H156" s="1" t="s">
        <v>766</v>
      </c>
      <c r="I156" s="2">
        <v>29.47</v>
      </c>
      <c r="J156" s="2">
        <v>1.87</v>
      </c>
      <c r="K156" s="2">
        <v>1.94</v>
      </c>
      <c r="L156" s="2">
        <v>2.0499999999999998</v>
      </c>
      <c r="M156" s="4">
        <f t="shared" si="12"/>
        <v>15.190721649484535</v>
      </c>
      <c r="N156" s="4">
        <f t="shared" si="13"/>
        <v>14.375609756097562</v>
      </c>
      <c r="O156" s="5">
        <f t="shared" si="14"/>
        <v>3.7433155080213831E-2</v>
      </c>
      <c r="P156" s="5">
        <f t="shared" si="15"/>
        <v>5.6701030927835072E-2</v>
      </c>
      <c r="Q156" s="4">
        <f t="shared" si="16"/>
        <v>4.0580927835051623</v>
      </c>
      <c r="R156" s="4">
        <f t="shared" si="17"/>
        <v>2.5353348115299328</v>
      </c>
      <c r="S156" s="4">
        <v>7.03</v>
      </c>
      <c r="T156" s="2">
        <v>0.8</v>
      </c>
      <c r="U156" s="2">
        <v>39.31</v>
      </c>
      <c r="V156" s="2">
        <v>29.42</v>
      </c>
      <c r="W156" s="2">
        <v>-0.97</v>
      </c>
      <c r="X156" s="2">
        <v>-5.15</v>
      </c>
      <c r="Y156" s="2">
        <v>-6.18</v>
      </c>
      <c r="Z156" s="2">
        <v>-8.19</v>
      </c>
    </row>
    <row r="157" spans="1:26" x14ac:dyDescent="0.25">
      <c r="A157" s="1" t="s">
        <v>767</v>
      </c>
      <c r="B157" s="1" t="s">
        <v>768</v>
      </c>
      <c r="C157" s="1" t="s">
        <v>31</v>
      </c>
      <c r="D157" s="1" t="s">
        <v>46</v>
      </c>
      <c r="E157" s="1" t="s">
        <v>770</v>
      </c>
      <c r="F157" s="1" t="s">
        <v>769</v>
      </c>
      <c r="G157" s="1" t="s">
        <v>12480</v>
      </c>
      <c r="H157" s="1" t="s">
        <v>771</v>
      </c>
      <c r="I157" s="2">
        <v>12.84</v>
      </c>
      <c r="J157" s="2">
        <v>0.91</v>
      </c>
      <c r="K157" s="2">
        <v>-0.24</v>
      </c>
      <c r="L157" s="2">
        <v>-1.02</v>
      </c>
      <c r="M157" s="4">
        <f t="shared" si="12"/>
        <v>-53.5</v>
      </c>
      <c r="N157" s="4">
        <f t="shared" si="13"/>
        <v>-12.588235294117647</v>
      </c>
      <c r="O157" s="5">
        <f t="shared" si="14"/>
        <v>-1.2637362637362637</v>
      </c>
      <c r="P157" s="5">
        <f t="shared" si="15"/>
        <v>3.25</v>
      </c>
      <c r="Q157" s="4">
        <f t="shared" si="16"/>
        <v>0.42334782608695654</v>
      </c>
      <c r="R157" s="4">
        <f t="shared" si="17"/>
        <v>-3.8733031674208142E-2</v>
      </c>
      <c r="S157" s="4">
        <v>-2.69</v>
      </c>
      <c r="T157" s="2">
        <v>0.87</v>
      </c>
      <c r="U157" s="2">
        <v>13.5</v>
      </c>
      <c r="V157" s="2" t="s">
        <v>12496</v>
      </c>
      <c r="W157" s="2">
        <v>-3.02</v>
      </c>
      <c r="X157" s="2">
        <v>6.38</v>
      </c>
      <c r="Y157" s="2">
        <v>12.04</v>
      </c>
      <c r="Z157" s="2">
        <v>12.24</v>
      </c>
    </row>
    <row r="158" spans="1:26" x14ac:dyDescent="0.25">
      <c r="A158" s="1" t="s">
        <v>772</v>
      </c>
      <c r="B158" s="1" t="s">
        <v>773</v>
      </c>
      <c r="C158" s="1" t="s">
        <v>45</v>
      </c>
      <c r="D158" s="1" t="s">
        <v>32</v>
      </c>
      <c r="E158" s="1" t="s">
        <v>57</v>
      </c>
      <c r="F158" s="1" t="s">
        <v>774</v>
      </c>
      <c r="G158" s="1" t="s">
        <v>12480</v>
      </c>
      <c r="H158" s="1" t="s">
        <v>775</v>
      </c>
      <c r="I158" s="2">
        <v>43.22</v>
      </c>
      <c r="J158" s="2">
        <v>1.5</v>
      </c>
      <c r="K158" s="2">
        <v>1.62</v>
      </c>
      <c r="L158" s="2">
        <v>2.11</v>
      </c>
      <c r="M158" s="4">
        <f t="shared" si="12"/>
        <v>26.679012345679009</v>
      </c>
      <c r="N158" s="4">
        <f t="shared" si="13"/>
        <v>20.483412322274884</v>
      </c>
      <c r="O158" s="5">
        <f t="shared" si="14"/>
        <v>8.0000000000000071E-2</v>
      </c>
      <c r="P158" s="5">
        <f t="shared" si="15"/>
        <v>0.30246913580246892</v>
      </c>
      <c r="Q158" s="4">
        <f t="shared" si="16"/>
        <v>3.334876543209873</v>
      </c>
      <c r="R158" s="4">
        <f t="shared" si="17"/>
        <v>0.67720669310378234</v>
      </c>
      <c r="S158" s="4">
        <v>6.18</v>
      </c>
      <c r="T158" s="2">
        <v>1.94</v>
      </c>
      <c r="U158" s="2">
        <v>56.17</v>
      </c>
      <c r="V158" s="2">
        <v>14.88</v>
      </c>
      <c r="W158" s="2">
        <v>-9.6</v>
      </c>
      <c r="X158" s="2">
        <v>-17.71</v>
      </c>
      <c r="Y158" s="2">
        <v>-1.57</v>
      </c>
      <c r="Z158" s="2">
        <v>9.4700000000000006</v>
      </c>
    </row>
    <row r="159" spans="1:26" x14ac:dyDescent="0.25">
      <c r="A159" s="1" t="s">
        <v>777</v>
      </c>
      <c r="B159" s="1" t="s">
        <v>778</v>
      </c>
      <c r="C159" s="1" t="s">
        <v>45</v>
      </c>
      <c r="D159" s="1" t="s">
        <v>18</v>
      </c>
      <c r="E159" s="1" t="s">
        <v>780</v>
      </c>
      <c r="F159" s="1" t="s">
        <v>779</v>
      </c>
      <c r="G159" s="1" t="s">
        <v>12480</v>
      </c>
      <c r="H159" s="1" t="s">
        <v>781</v>
      </c>
      <c r="I159" s="2">
        <v>14.31</v>
      </c>
      <c r="J159" s="2">
        <v>-1.53</v>
      </c>
      <c r="K159" s="2">
        <v>-1.36</v>
      </c>
      <c r="L159" s="2">
        <v>-1.1499999999999999</v>
      </c>
      <c r="M159" s="4">
        <f t="shared" si="12"/>
        <v>-10.522058823529411</v>
      </c>
      <c r="N159" s="4">
        <f t="shared" si="13"/>
        <v>-12.443478260869567</v>
      </c>
      <c r="O159" s="5">
        <f t="shared" si="14"/>
        <v>-0.11111111111111105</v>
      </c>
      <c r="P159" s="5">
        <f t="shared" si="15"/>
        <v>-0.15441176470588247</v>
      </c>
      <c r="Q159" s="4">
        <f t="shared" si="16"/>
        <v>0.94698529411764754</v>
      </c>
      <c r="R159" s="4">
        <f t="shared" si="17"/>
        <v>0.80586335403726661</v>
      </c>
      <c r="S159" s="4">
        <v>-77.06</v>
      </c>
      <c r="T159" s="2">
        <v>-0.31</v>
      </c>
      <c r="U159" s="2">
        <v>16.920000000000002</v>
      </c>
      <c r="V159" s="2">
        <v>3.31</v>
      </c>
      <c r="W159" s="2">
        <v>-6.47</v>
      </c>
      <c r="X159" s="2">
        <v>0.63</v>
      </c>
      <c r="Y159" s="2">
        <v>13.93</v>
      </c>
      <c r="Z159" s="2">
        <v>18.46</v>
      </c>
    </row>
    <row r="160" spans="1:26" x14ac:dyDescent="0.25">
      <c r="A160" s="1" t="s">
        <v>782</v>
      </c>
      <c r="B160" s="1" t="s">
        <v>783</v>
      </c>
      <c r="C160" s="1" t="s">
        <v>16</v>
      </c>
      <c r="D160" s="1" t="s">
        <v>38</v>
      </c>
      <c r="E160" s="1" t="s">
        <v>101</v>
      </c>
      <c r="F160" s="1" t="s">
        <v>784</v>
      </c>
      <c r="G160" s="1" t="s">
        <v>12480</v>
      </c>
      <c r="H160" s="1" t="s">
        <v>785</v>
      </c>
      <c r="I160" s="2">
        <v>461.48</v>
      </c>
      <c r="J160" s="2">
        <v>39.340000000000003</v>
      </c>
      <c r="K160" s="2">
        <v>41.62</v>
      </c>
      <c r="L160" s="2">
        <v>45.19</v>
      </c>
      <c r="M160" s="4">
        <f t="shared" si="12"/>
        <v>11.087938491110044</v>
      </c>
      <c r="N160" s="4">
        <f t="shared" si="13"/>
        <v>10.211993803938926</v>
      </c>
      <c r="O160" s="5">
        <f t="shared" si="14"/>
        <v>5.7956278596847932E-2</v>
      </c>
      <c r="P160" s="5">
        <f t="shared" si="15"/>
        <v>8.5776069197501137E-2</v>
      </c>
      <c r="Q160" s="4">
        <f t="shared" si="16"/>
        <v>1.9131557028082</v>
      </c>
      <c r="R160" s="4">
        <f t="shared" si="17"/>
        <v>1.1905411263863821</v>
      </c>
      <c r="S160" s="4">
        <v>7.04</v>
      </c>
      <c r="T160" s="2">
        <v>1.27</v>
      </c>
      <c r="U160" s="2">
        <v>545.5</v>
      </c>
      <c r="V160" s="2">
        <v>422.19</v>
      </c>
      <c r="W160" s="2">
        <v>-2.91</v>
      </c>
      <c r="X160" s="2">
        <v>-14.4</v>
      </c>
      <c r="Y160" s="2">
        <v>-6.11</v>
      </c>
      <c r="Z160" s="2">
        <v>-5.89</v>
      </c>
    </row>
    <row r="161" spans="1:26" x14ac:dyDescent="0.25">
      <c r="A161" s="1" t="s">
        <v>787</v>
      </c>
      <c r="B161" s="1" t="s">
        <v>788</v>
      </c>
      <c r="C161" s="1" t="s">
        <v>16</v>
      </c>
      <c r="D161" s="1" t="s">
        <v>140</v>
      </c>
      <c r="E161" s="1" t="s">
        <v>284</v>
      </c>
      <c r="F161" s="1" t="s">
        <v>789</v>
      </c>
      <c r="G161" s="1" t="s">
        <v>12480</v>
      </c>
      <c r="H161" s="1" t="s">
        <v>790</v>
      </c>
      <c r="I161" s="2">
        <v>17.72</v>
      </c>
      <c r="J161" s="2">
        <v>-0.17</v>
      </c>
      <c r="K161" s="2">
        <v>-7.0000000000000007E-2</v>
      </c>
      <c r="L161" s="2">
        <v>0.1</v>
      </c>
      <c r="M161" s="4">
        <f t="shared" si="12"/>
        <v>-253.14285714285711</v>
      </c>
      <c r="N161" s="4">
        <f t="shared" si="13"/>
        <v>177.2</v>
      </c>
      <c r="O161" s="5">
        <f t="shared" si="14"/>
        <v>-0.58823529411764697</v>
      </c>
      <c r="P161" s="5">
        <f t="shared" si="15"/>
        <v>-2.4285714285714288</v>
      </c>
      <c r="Q161" s="4">
        <f t="shared" si="16"/>
        <v>4.3034285714285714</v>
      </c>
      <c r="R161" s="4">
        <f t="shared" si="17"/>
        <v>-0.72964705882352932</v>
      </c>
      <c r="S161" s="4">
        <v>202.11</v>
      </c>
      <c r="T161" s="2">
        <v>3.04</v>
      </c>
      <c r="U161" s="2">
        <v>17.72</v>
      </c>
      <c r="V161" s="2">
        <v>1.78</v>
      </c>
      <c r="W161" s="2">
        <v>52.89</v>
      </c>
      <c r="X161" s="2">
        <v>41.87</v>
      </c>
      <c r="Y161" s="2">
        <v>76.319999999999993</v>
      </c>
      <c r="Z161" s="2">
        <v>124.59</v>
      </c>
    </row>
    <row r="162" spans="1:26" x14ac:dyDescent="0.25">
      <c r="A162" s="1" t="s">
        <v>791</v>
      </c>
      <c r="B162" s="1" t="s">
        <v>792</v>
      </c>
      <c r="C162" s="1" t="s">
        <v>16</v>
      </c>
      <c r="D162" s="1" t="s">
        <v>88</v>
      </c>
      <c r="E162" s="1" t="s">
        <v>658</v>
      </c>
      <c r="F162" s="1" t="s">
        <v>793</v>
      </c>
      <c r="G162" s="1" t="s">
        <v>12480</v>
      </c>
      <c r="H162" s="1" t="s">
        <v>12530</v>
      </c>
      <c r="I162" s="2">
        <v>175.18</v>
      </c>
      <c r="J162" s="2">
        <v>-4.75</v>
      </c>
      <c r="K162" s="2">
        <v>18.43</v>
      </c>
      <c r="L162" s="2">
        <v>38.619999999999997</v>
      </c>
      <c r="M162" s="4">
        <f t="shared" si="12"/>
        <v>9.5051546391752577</v>
      </c>
      <c r="N162" s="4">
        <f t="shared" si="13"/>
        <v>4.5359917141377526</v>
      </c>
      <c r="O162" s="5">
        <f t="shared" si="14"/>
        <v>-4.88</v>
      </c>
      <c r="P162" s="5">
        <f t="shared" si="15"/>
        <v>1.0954964731416168</v>
      </c>
      <c r="Q162" s="4">
        <f t="shared" si="16"/>
        <v>-1.9477775899949298E-2</v>
      </c>
      <c r="R162" s="4">
        <f t="shared" si="17"/>
        <v>4.140580846535849E-2</v>
      </c>
      <c r="S162" s="4">
        <v>-27.99</v>
      </c>
      <c r="T162" s="2">
        <v>0.79</v>
      </c>
      <c r="U162" s="2">
        <v>249.65</v>
      </c>
      <c r="V162" s="2">
        <v>99.46</v>
      </c>
      <c r="W162" s="2">
        <v>6.05</v>
      </c>
      <c r="X162" s="2">
        <v>-13.9</v>
      </c>
      <c r="Y162" s="2">
        <v>-8.52</v>
      </c>
      <c r="Z162" s="2">
        <v>-12.36</v>
      </c>
    </row>
    <row r="163" spans="1:26" x14ac:dyDescent="0.25">
      <c r="A163" s="1" t="s">
        <v>794</v>
      </c>
      <c r="B163" s="1" t="s">
        <v>795</v>
      </c>
      <c r="C163" s="1" t="s">
        <v>16</v>
      </c>
      <c r="D163" s="1" t="s">
        <v>94</v>
      </c>
      <c r="E163" s="1" t="s">
        <v>95</v>
      </c>
      <c r="F163" s="1" t="s">
        <v>796</v>
      </c>
      <c r="G163" s="1" t="s">
        <v>12480</v>
      </c>
      <c r="H163" s="1" t="s">
        <v>233</v>
      </c>
      <c r="I163" s="2">
        <v>26.24</v>
      </c>
      <c r="J163" s="2">
        <v>0.9</v>
      </c>
      <c r="K163" s="2">
        <v>1.18</v>
      </c>
      <c r="L163" s="2">
        <v>1.71</v>
      </c>
      <c r="M163" s="4">
        <f t="shared" si="12"/>
        <v>22.237288135593221</v>
      </c>
      <c r="N163" s="4">
        <f t="shared" si="13"/>
        <v>15.345029239766081</v>
      </c>
      <c r="O163" s="5">
        <f t="shared" si="14"/>
        <v>0.31111111111111112</v>
      </c>
      <c r="P163" s="5">
        <f t="shared" si="15"/>
        <v>0.44915254237288149</v>
      </c>
      <c r="Q163" s="4">
        <f t="shared" si="16"/>
        <v>0.71476997578692503</v>
      </c>
      <c r="R163" s="4">
        <f t="shared" si="17"/>
        <v>0.34164404722498054</v>
      </c>
      <c r="S163" s="4">
        <v>9.16</v>
      </c>
      <c r="T163" s="2">
        <v>2.5299999999999998</v>
      </c>
      <c r="U163" s="2">
        <v>43.23</v>
      </c>
      <c r="V163" s="2">
        <v>8.66</v>
      </c>
      <c r="W163" s="2">
        <v>-15.22</v>
      </c>
      <c r="X163" s="2">
        <v>-18.91</v>
      </c>
      <c r="Y163" s="2">
        <v>-11.5</v>
      </c>
      <c r="Z163" s="2">
        <v>-10.41</v>
      </c>
    </row>
    <row r="164" spans="1:26" x14ac:dyDescent="0.25">
      <c r="A164" s="1" t="s">
        <v>797</v>
      </c>
      <c r="B164" s="1" t="s">
        <v>798</v>
      </c>
      <c r="C164" s="1" t="s">
        <v>45</v>
      </c>
      <c r="D164" s="1" t="s">
        <v>18</v>
      </c>
      <c r="E164" s="1" t="s">
        <v>780</v>
      </c>
      <c r="F164" s="1" t="s">
        <v>799</v>
      </c>
      <c r="G164" s="1" t="s">
        <v>12480</v>
      </c>
      <c r="H164" s="1" t="s">
        <v>800</v>
      </c>
      <c r="I164" s="2">
        <v>13.25</v>
      </c>
      <c r="J164" s="2">
        <v>0.83</v>
      </c>
      <c r="K164" s="2">
        <v>0.99</v>
      </c>
      <c r="L164" s="2">
        <v>1.1599999999999999</v>
      </c>
      <c r="M164" s="4">
        <f t="shared" si="12"/>
        <v>13.383838383838384</v>
      </c>
      <c r="N164" s="4">
        <f t="shared" si="13"/>
        <v>11.422413793103448</v>
      </c>
      <c r="O164" s="5">
        <f t="shared" si="14"/>
        <v>0.19277108433734935</v>
      </c>
      <c r="P164" s="5">
        <f t="shared" si="15"/>
        <v>0.17171717171717171</v>
      </c>
      <c r="Q164" s="4">
        <f t="shared" si="16"/>
        <v>0.69428661616161635</v>
      </c>
      <c r="R164" s="4">
        <f t="shared" si="17"/>
        <v>0.665187626774848</v>
      </c>
      <c r="S164" s="4">
        <v>8.0500000000000007</v>
      </c>
      <c r="T164" s="2">
        <v>1.35</v>
      </c>
      <c r="U164" s="2">
        <v>15.19</v>
      </c>
      <c r="V164" s="2">
        <v>6.97</v>
      </c>
      <c r="W164" s="2">
        <v>-3.78</v>
      </c>
      <c r="X164" s="2">
        <v>-8.75</v>
      </c>
      <c r="Y164" s="2">
        <v>6.34</v>
      </c>
      <c r="Z164" s="2">
        <v>5.16</v>
      </c>
    </row>
    <row r="165" spans="1:26" x14ac:dyDescent="0.25">
      <c r="A165" s="1" t="s">
        <v>802</v>
      </c>
      <c r="B165" s="1" t="s">
        <v>803</v>
      </c>
      <c r="C165" s="1" t="s">
        <v>16</v>
      </c>
      <c r="D165" s="1" t="s">
        <v>61</v>
      </c>
      <c r="E165" s="1" t="s">
        <v>170</v>
      </c>
      <c r="F165" s="1" t="s">
        <v>804</v>
      </c>
      <c r="G165" s="1" t="s">
        <v>12480</v>
      </c>
      <c r="H165" s="1" t="s">
        <v>805</v>
      </c>
      <c r="I165" s="2">
        <v>58.91</v>
      </c>
      <c r="J165" s="2">
        <v>2.4</v>
      </c>
      <c r="K165" s="2">
        <v>2.78</v>
      </c>
      <c r="L165" s="2">
        <v>3.14</v>
      </c>
      <c r="M165" s="4">
        <f t="shared" si="12"/>
        <v>21.190647482014388</v>
      </c>
      <c r="N165" s="4">
        <f t="shared" si="13"/>
        <v>18.761146496815286</v>
      </c>
      <c r="O165" s="5">
        <f t="shared" si="14"/>
        <v>0.15833333333333321</v>
      </c>
      <c r="P165" s="5">
        <f t="shared" si="15"/>
        <v>0.12949640287769792</v>
      </c>
      <c r="Q165" s="4">
        <f t="shared" si="16"/>
        <v>1.3383566830745939</v>
      </c>
      <c r="R165" s="4">
        <f t="shared" si="17"/>
        <v>1.4487774239207349</v>
      </c>
      <c r="S165" s="4">
        <v>0.95</v>
      </c>
      <c r="T165" s="2"/>
      <c r="U165" s="2">
        <v>65.86</v>
      </c>
      <c r="V165" s="2">
        <v>46.65</v>
      </c>
      <c r="W165" s="2">
        <v>-7.62</v>
      </c>
      <c r="X165" s="2">
        <v>-0.81</v>
      </c>
      <c r="Y165" s="2">
        <v>4.28</v>
      </c>
      <c r="Z165" s="2">
        <v>8.93</v>
      </c>
    </row>
    <row r="166" spans="1:26" x14ac:dyDescent="0.25">
      <c r="A166" s="1" t="s">
        <v>806</v>
      </c>
      <c r="B166" s="1" t="s">
        <v>807</v>
      </c>
      <c r="C166" s="1" t="s">
        <v>45</v>
      </c>
      <c r="D166" s="1" t="s">
        <v>32</v>
      </c>
      <c r="E166" s="1" t="s">
        <v>33</v>
      </c>
      <c r="F166" s="1" t="s">
        <v>808</v>
      </c>
      <c r="G166" s="1" t="s">
        <v>12490</v>
      </c>
      <c r="H166" s="1" t="s">
        <v>809</v>
      </c>
      <c r="I166" s="2">
        <v>29.04</v>
      </c>
      <c r="J166" s="2">
        <v>0.64</v>
      </c>
      <c r="K166" s="2">
        <v>3.44</v>
      </c>
      <c r="L166" s="2">
        <v>1.02</v>
      </c>
      <c r="M166" s="4">
        <f t="shared" si="12"/>
        <v>8.4418604651162781</v>
      </c>
      <c r="N166" s="4">
        <f t="shared" si="13"/>
        <v>28.470588235294116</v>
      </c>
      <c r="O166" s="5">
        <f t="shared" si="14"/>
        <v>4.375</v>
      </c>
      <c r="P166" s="5">
        <f t="shared" si="15"/>
        <v>-0.70348837209302317</v>
      </c>
      <c r="Q166" s="4">
        <f t="shared" si="16"/>
        <v>1.9295681063122922E-2</v>
      </c>
      <c r="R166" s="4">
        <f t="shared" si="17"/>
        <v>-0.40470588235294119</v>
      </c>
      <c r="S166" s="4">
        <v>52.99</v>
      </c>
      <c r="T166" s="2">
        <v>2.98</v>
      </c>
      <c r="U166" s="2">
        <v>66.680000000000007</v>
      </c>
      <c r="V166" s="2">
        <v>15.8</v>
      </c>
      <c r="W166" s="2">
        <v>-12.03</v>
      </c>
      <c r="X166" s="2">
        <v>0.87</v>
      </c>
      <c r="Y166" s="2">
        <v>-7.84</v>
      </c>
      <c r="Z166" s="2">
        <v>0.9</v>
      </c>
    </row>
    <row r="167" spans="1:26" x14ac:dyDescent="0.25">
      <c r="A167" s="1" t="s">
        <v>811</v>
      </c>
      <c r="B167" s="1" t="s">
        <v>812</v>
      </c>
      <c r="C167" s="1" t="s">
        <v>31</v>
      </c>
      <c r="D167" s="1" t="s">
        <v>32</v>
      </c>
      <c r="E167" s="1" t="s">
        <v>57</v>
      </c>
      <c r="F167" s="1" t="s">
        <v>813</v>
      </c>
      <c r="G167" s="1" t="s">
        <v>12480</v>
      </c>
      <c r="H167" s="1" t="s">
        <v>814</v>
      </c>
      <c r="I167" s="2">
        <v>5.64</v>
      </c>
      <c r="J167" s="2">
        <v>0.33</v>
      </c>
      <c r="K167" s="2">
        <v>-0.35</v>
      </c>
      <c r="L167" s="2">
        <v>-0.18</v>
      </c>
      <c r="M167" s="4">
        <f t="shared" si="12"/>
        <v>-16.114285714285714</v>
      </c>
      <c r="N167" s="4">
        <f t="shared" si="13"/>
        <v>-31.333333333333332</v>
      </c>
      <c r="O167" s="5">
        <f t="shared" si="14"/>
        <v>-2.0606060606060606</v>
      </c>
      <c r="P167" s="5">
        <f t="shared" si="15"/>
        <v>-0.48571428571428565</v>
      </c>
      <c r="Q167" s="4">
        <f t="shared" si="16"/>
        <v>7.8201680672268903E-2</v>
      </c>
      <c r="R167" s="4">
        <f t="shared" si="17"/>
        <v>0.64509803921568643</v>
      </c>
      <c r="S167" s="4">
        <v>1.32</v>
      </c>
      <c r="T167" s="2">
        <v>1.04</v>
      </c>
      <c r="U167" s="2">
        <v>7.8</v>
      </c>
      <c r="V167" s="2">
        <v>3.57</v>
      </c>
      <c r="W167" s="2">
        <v>8.4600000000000009</v>
      </c>
      <c r="X167" s="2">
        <v>8.4600000000000009</v>
      </c>
      <c r="Y167" s="2">
        <v>12.13</v>
      </c>
      <c r="Z167" s="2">
        <v>9.94</v>
      </c>
    </row>
    <row r="168" spans="1:26" x14ac:dyDescent="0.25">
      <c r="A168" s="1" t="s">
        <v>815</v>
      </c>
      <c r="B168" s="1" t="s">
        <v>816</v>
      </c>
      <c r="C168" s="1" t="s">
        <v>16</v>
      </c>
      <c r="D168" s="1" t="s">
        <v>38</v>
      </c>
      <c r="E168" s="1" t="s">
        <v>510</v>
      </c>
      <c r="F168" s="1" t="s">
        <v>817</v>
      </c>
      <c r="G168" s="1" t="s">
        <v>12480</v>
      </c>
      <c r="H168" s="1" t="s">
        <v>818</v>
      </c>
      <c r="I168" s="2">
        <v>186.64</v>
      </c>
      <c r="J168" s="2">
        <v>10.76</v>
      </c>
      <c r="K168" s="2">
        <v>10.94</v>
      </c>
      <c r="L168" s="2">
        <v>10.19</v>
      </c>
      <c r="M168" s="4">
        <f t="shared" si="12"/>
        <v>17.060329067641682</v>
      </c>
      <c r="N168" s="4">
        <f t="shared" si="13"/>
        <v>18.315996074582923</v>
      </c>
      <c r="O168" s="5">
        <f t="shared" si="14"/>
        <v>1.6728624535315983E-2</v>
      </c>
      <c r="P168" s="5">
        <f t="shared" si="15"/>
        <v>-6.8555758683729429E-2</v>
      </c>
      <c r="Q168" s="4">
        <f t="shared" si="16"/>
        <v>10.198285598212474</v>
      </c>
      <c r="R168" s="4">
        <f t="shared" si="17"/>
        <v>-2.6716932940791622</v>
      </c>
      <c r="S168" s="4">
        <v>5.1100000000000003</v>
      </c>
      <c r="T168" s="2">
        <v>0.92</v>
      </c>
      <c r="U168" s="2">
        <v>232.35</v>
      </c>
      <c r="V168" s="2">
        <v>168.51</v>
      </c>
      <c r="W168" s="2">
        <v>-1.87</v>
      </c>
      <c r="X168" s="2">
        <v>7.44</v>
      </c>
      <c r="Y168" s="2">
        <v>3.54</v>
      </c>
      <c r="Z168" s="2">
        <v>6.31</v>
      </c>
    </row>
    <row r="169" spans="1:26" x14ac:dyDescent="0.25">
      <c r="A169" s="1" t="s">
        <v>821</v>
      </c>
      <c r="B169" s="1" t="s">
        <v>822</v>
      </c>
      <c r="C169" s="1" t="s">
        <v>16</v>
      </c>
      <c r="D169" s="1" t="s">
        <v>61</v>
      </c>
      <c r="E169" s="1" t="s">
        <v>237</v>
      </c>
      <c r="F169" s="1" t="s">
        <v>823</v>
      </c>
      <c r="G169" s="1" t="s">
        <v>12485</v>
      </c>
      <c r="H169" s="1" t="s">
        <v>824</v>
      </c>
      <c r="I169" s="2">
        <v>30.3</v>
      </c>
      <c r="J169" s="2">
        <v>2.2200000000000002</v>
      </c>
      <c r="K169" s="2">
        <v>2.42</v>
      </c>
      <c r="L169" s="2">
        <v>2.79</v>
      </c>
      <c r="M169" s="4">
        <f t="shared" si="12"/>
        <v>12.520661157024794</v>
      </c>
      <c r="N169" s="4">
        <f t="shared" si="13"/>
        <v>10.86021505376344</v>
      </c>
      <c r="O169" s="5">
        <f t="shared" si="14"/>
        <v>9.0090090090090058E-2</v>
      </c>
      <c r="P169" s="5">
        <f t="shared" si="15"/>
        <v>0.15289256198347112</v>
      </c>
      <c r="Q169" s="4">
        <f t="shared" si="16"/>
        <v>1.3897933884297526</v>
      </c>
      <c r="R169" s="4">
        <f t="shared" si="17"/>
        <v>0.71031676838128432</v>
      </c>
      <c r="S169" s="4">
        <v>71.59</v>
      </c>
      <c r="T169" s="2">
        <v>0.23</v>
      </c>
      <c r="U169" s="2">
        <v>37.53</v>
      </c>
      <c r="V169" s="2">
        <v>16.43</v>
      </c>
      <c r="W169" s="2">
        <v>-1.3</v>
      </c>
      <c r="X169" s="2">
        <v>-17.190000000000001</v>
      </c>
      <c r="Y169" s="2">
        <v>3.24</v>
      </c>
      <c r="Z169" s="2">
        <v>4.4800000000000004</v>
      </c>
    </row>
    <row r="170" spans="1:26" x14ac:dyDescent="0.25">
      <c r="A170" s="1" t="s">
        <v>825</v>
      </c>
      <c r="B170" s="1" t="s">
        <v>826</v>
      </c>
      <c r="C170" s="1" t="s">
        <v>828</v>
      </c>
      <c r="D170" s="1" t="s">
        <v>24</v>
      </c>
      <c r="E170" s="1" t="s">
        <v>32</v>
      </c>
      <c r="F170" s="1" t="s">
        <v>827</v>
      </c>
      <c r="G170" s="1" t="s">
        <v>829</v>
      </c>
      <c r="H170" s="1" t="s">
        <v>12480</v>
      </c>
      <c r="I170" s="2">
        <v>13.42</v>
      </c>
      <c r="J170" s="2" t="s">
        <v>12481</v>
      </c>
      <c r="K170" s="2">
        <v>1.44</v>
      </c>
      <c r="L170" s="2">
        <v>1.82</v>
      </c>
      <c r="M170" s="4">
        <f t="shared" si="12"/>
        <v>9.3194444444444446</v>
      </c>
      <c r="N170" s="4">
        <f t="shared" si="13"/>
        <v>7.3736263736263732</v>
      </c>
      <c r="O170" s="5">
        <f t="shared" si="14"/>
        <v>-0.99999288931026309</v>
      </c>
      <c r="P170" s="5">
        <f t="shared" si="15"/>
        <v>0.26388888888888906</v>
      </c>
      <c r="Q170" s="4">
        <f t="shared" si="16"/>
        <v>-9.3195107125936219E-2</v>
      </c>
      <c r="R170" s="4">
        <f t="shared" si="17"/>
        <v>0.27942163100057815</v>
      </c>
      <c r="S170" s="4">
        <v>1.92</v>
      </c>
      <c r="T170" s="2">
        <v>24.03</v>
      </c>
      <c r="U170" s="2" t="s">
        <v>12531</v>
      </c>
      <c r="V170" s="2">
        <v>26.02</v>
      </c>
      <c r="W170" s="2">
        <v>0.72</v>
      </c>
      <c r="X170" s="2">
        <v>-7.22</v>
      </c>
      <c r="Y170" s="2">
        <v>8.49</v>
      </c>
      <c r="Z170" s="2">
        <v>13.35</v>
      </c>
    </row>
    <row r="171" spans="1:26" x14ac:dyDescent="0.25">
      <c r="A171" s="1" t="s">
        <v>830</v>
      </c>
      <c r="B171" s="1" t="s">
        <v>831</v>
      </c>
      <c r="C171" s="1" t="s">
        <v>45</v>
      </c>
      <c r="D171" s="1" t="s">
        <v>67</v>
      </c>
      <c r="E171" s="1" t="s">
        <v>833</v>
      </c>
      <c r="F171" s="1" t="s">
        <v>832</v>
      </c>
      <c r="G171" s="1" t="s">
        <v>12480</v>
      </c>
      <c r="H171" s="1" t="s">
        <v>834</v>
      </c>
      <c r="I171" s="2">
        <v>213.49</v>
      </c>
      <c r="J171" s="2">
        <v>7.17</v>
      </c>
      <c r="K171" s="2">
        <v>7.78</v>
      </c>
      <c r="L171" s="2">
        <v>9.31</v>
      </c>
      <c r="M171" s="4">
        <f t="shared" si="12"/>
        <v>27.440874035989719</v>
      </c>
      <c r="N171" s="4">
        <f t="shared" si="13"/>
        <v>22.931256713211599</v>
      </c>
      <c r="O171" s="5">
        <f t="shared" si="14"/>
        <v>8.5076708507670906E-2</v>
      </c>
      <c r="P171" s="5">
        <f t="shared" si="15"/>
        <v>0.19665809768637543</v>
      </c>
      <c r="Q171" s="4">
        <f t="shared" si="16"/>
        <v>3.2254273252138712</v>
      </c>
      <c r="R171" s="4">
        <f t="shared" si="17"/>
        <v>1.1660469099920663</v>
      </c>
      <c r="S171" s="4">
        <v>12.38</v>
      </c>
      <c r="T171" s="2">
        <v>1.4</v>
      </c>
      <c r="U171" s="2" t="s">
        <v>12532</v>
      </c>
      <c r="V171" s="2">
        <v>167.32</v>
      </c>
      <c r="W171" s="2">
        <v>2.4500000000000002</v>
      </c>
      <c r="X171" s="2">
        <v>2.29</v>
      </c>
      <c r="Y171" s="2">
        <v>-4.07</v>
      </c>
      <c r="Z171" s="2">
        <v>-7.51</v>
      </c>
    </row>
    <row r="172" spans="1:26" x14ac:dyDescent="0.25">
      <c r="A172" s="1" t="s">
        <v>835</v>
      </c>
      <c r="B172" s="1" t="s">
        <v>836</v>
      </c>
      <c r="C172" s="1" t="s">
        <v>16</v>
      </c>
      <c r="D172" s="1" t="s">
        <v>67</v>
      </c>
      <c r="E172" s="1" t="s">
        <v>134</v>
      </c>
      <c r="F172" s="1" t="s">
        <v>837</v>
      </c>
      <c r="G172" s="1" t="s">
        <v>12480</v>
      </c>
      <c r="H172" s="1" t="s">
        <v>838</v>
      </c>
      <c r="I172" s="2">
        <v>193.58</v>
      </c>
      <c r="J172" s="2">
        <v>20.22</v>
      </c>
      <c r="K172" s="2">
        <v>21.45</v>
      </c>
      <c r="L172" s="2">
        <v>23.96</v>
      </c>
      <c r="M172" s="4">
        <f t="shared" si="12"/>
        <v>9.0247086247086248</v>
      </c>
      <c r="N172" s="4">
        <f t="shared" si="13"/>
        <v>8.0792988313856426</v>
      </c>
      <c r="O172" s="5">
        <f t="shared" si="14"/>
        <v>6.0830860534124565E-2</v>
      </c>
      <c r="P172" s="5">
        <f t="shared" si="15"/>
        <v>0.11701631701631698</v>
      </c>
      <c r="Q172" s="4">
        <f t="shared" si="16"/>
        <v>1.4835740519642975</v>
      </c>
      <c r="R172" s="4">
        <f t="shared" si="17"/>
        <v>0.69044207144710001</v>
      </c>
      <c r="S172" s="4">
        <v>3.24</v>
      </c>
      <c r="T172" s="2">
        <v>0.89</v>
      </c>
      <c r="U172" s="2">
        <v>227.18</v>
      </c>
      <c r="V172" s="2">
        <v>155.71</v>
      </c>
      <c r="W172" s="2">
        <v>0.28000000000000003</v>
      </c>
      <c r="X172" s="2">
        <v>-8.01</v>
      </c>
      <c r="Y172" s="2">
        <v>-6.76</v>
      </c>
      <c r="Z172" s="2">
        <v>-6.25</v>
      </c>
    </row>
    <row r="173" spans="1:26" x14ac:dyDescent="0.25">
      <c r="A173" s="1" t="s">
        <v>839</v>
      </c>
      <c r="B173" s="1" t="s">
        <v>840</v>
      </c>
      <c r="C173" s="1" t="s">
        <v>45</v>
      </c>
      <c r="D173" s="1" t="s">
        <v>18</v>
      </c>
      <c r="E173" s="1" t="s">
        <v>74</v>
      </c>
      <c r="F173" s="1" t="s">
        <v>841</v>
      </c>
      <c r="G173" s="1" t="s">
        <v>12480</v>
      </c>
      <c r="H173" s="1" t="s">
        <v>842</v>
      </c>
      <c r="I173" s="2">
        <v>59.7</v>
      </c>
      <c r="J173" s="2">
        <v>-0.46</v>
      </c>
      <c r="K173" s="2">
        <v>-3.02</v>
      </c>
      <c r="L173" s="2">
        <v>-3.68</v>
      </c>
      <c r="M173" s="4">
        <f t="shared" si="12"/>
        <v>-19.768211920529801</v>
      </c>
      <c r="N173" s="4">
        <f t="shared" si="13"/>
        <v>-16.222826086956523</v>
      </c>
      <c r="O173" s="5">
        <f t="shared" si="14"/>
        <v>5.5652173913043477</v>
      </c>
      <c r="P173" s="5">
        <f t="shared" si="15"/>
        <v>0.2185430463576159</v>
      </c>
      <c r="Q173" s="4">
        <f t="shared" si="16"/>
        <v>-3.5521005794701986E-2</v>
      </c>
      <c r="R173" s="4">
        <f t="shared" si="17"/>
        <v>-0.74231719367588933</v>
      </c>
      <c r="S173" s="4">
        <v>157.01</v>
      </c>
      <c r="T173" s="2">
        <v>0.32</v>
      </c>
      <c r="U173" s="2">
        <v>60.55</v>
      </c>
      <c r="V173" s="2">
        <v>16.14</v>
      </c>
      <c r="W173" s="2">
        <v>8.7200000000000006</v>
      </c>
      <c r="X173" s="2">
        <v>19.52</v>
      </c>
      <c r="Y173" s="2">
        <v>31.04</v>
      </c>
      <c r="Z173" s="2">
        <v>23.14</v>
      </c>
    </row>
    <row r="174" spans="1:26" x14ac:dyDescent="0.25">
      <c r="A174" s="1" t="s">
        <v>843</v>
      </c>
      <c r="B174" s="1" t="s">
        <v>844</v>
      </c>
      <c r="C174" s="1" t="s">
        <v>45</v>
      </c>
      <c r="D174" s="1" t="s">
        <v>88</v>
      </c>
      <c r="E174" s="1" t="s">
        <v>846</v>
      </c>
      <c r="F174" s="1" t="s">
        <v>845</v>
      </c>
      <c r="G174" s="1" t="s">
        <v>12480</v>
      </c>
      <c r="H174" s="1" t="s">
        <v>847</v>
      </c>
      <c r="I174" s="2">
        <v>65.709999999999994</v>
      </c>
      <c r="J174" s="2">
        <v>3.23</v>
      </c>
      <c r="K174" s="2"/>
      <c r="L174" s="2"/>
      <c r="M174" s="4" t="e">
        <f t="shared" si="12"/>
        <v>#DIV/0!</v>
      </c>
      <c r="N174" s="4" t="e">
        <f t="shared" si="13"/>
        <v>#DIV/0!</v>
      </c>
      <c r="O174" s="5">
        <f t="shared" si="14"/>
        <v>-1</v>
      </c>
      <c r="P174" s="5" t="e">
        <f t="shared" si="15"/>
        <v>#DIV/0!</v>
      </c>
      <c r="Q174" s="4" t="e">
        <f t="shared" si="16"/>
        <v>#DIV/0!</v>
      </c>
      <c r="R174" s="4" t="e">
        <f t="shared" si="17"/>
        <v>#DIV/0!</v>
      </c>
      <c r="S174" s="4">
        <v>-2.21</v>
      </c>
      <c r="T174" s="2">
        <v>0.74</v>
      </c>
      <c r="U174" s="2">
        <v>69.11</v>
      </c>
      <c r="V174" s="2">
        <v>31.51</v>
      </c>
      <c r="W174" s="2">
        <v>-1.45</v>
      </c>
      <c r="X174" s="2">
        <v>-2.42</v>
      </c>
      <c r="Y174" s="2">
        <v>16.61</v>
      </c>
      <c r="Z174" s="2">
        <v>23.58</v>
      </c>
    </row>
    <row r="175" spans="1:26" x14ac:dyDescent="0.25">
      <c r="A175" s="1" t="s">
        <v>848</v>
      </c>
      <c r="B175" s="1" t="s">
        <v>849</v>
      </c>
      <c r="C175" s="1" t="s">
        <v>16</v>
      </c>
      <c r="D175" s="1" t="s">
        <v>38</v>
      </c>
      <c r="E175" s="1" t="s">
        <v>52</v>
      </c>
      <c r="F175" s="1" t="s">
        <v>850</v>
      </c>
      <c r="G175" s="1" t="s">
        <v>12480</v>
      </c>
      <c r="H175" s="1" t="s">
        <v>851</v>
      </c>
      <c r="I175" s="2">
        <v>23.94</v>
      </c>
      <c r="J175" s="2"/>
      <c r="K175" s="2">
        <v>1.46</v>
      </c>
      <c r="L175" s="2">
        <v>1.85</v>
      </c>
      <c r="M175" s="4">
        <f t="shared" si="12"/>
        <v>16.397260273972606</v>
      </c>
      <c r="N175" s="4">
        <f t="shared" si="13"/>
        <v>12.940540540540541</v>
      </c>
      <c r="O175" s="5" t="e">
        <f t="shared" si="14"/>
        <v>#DIV/0!</v>
      </c>
      <c r="P175" s="5">
        <f t="shared" si="15"/>
        <v>0.26712328767123306</v>
      </c>
      <c r="Q175" s="4" t="e">
        <f t="shared" si="16"/>
        <v>#DIV/0!</v>
      </c>
      <c r="R175" s="4">
        <f t="shared" si="17"/>
        <v>0.48444074844074808</v>
      </c>
      <c r="S175" s="4"/>
      <c r="T175" s="2"/>
      <c r="U175" s="2">
        <v>26.41</v>
      </c>
      <c r="V175" s="2">
        <v>18.34</v>
      </c>
      <c r="W175" s="2">
        <v>-1.07</v>
      </c>
      <c r="X175" s="2">
        <v>13.95</v>
      </c>
      <c r="Y175" s="2"/>
      <c r="Z175" s="2">
        <v>-7.67</v>
      </c>
    </row>
    <row r="176" spans="1:26" x14ac:dyDescent="0.25">
      <c r="A176" s="1" t="s">
        <v>853</v>
      </c>
      <c r="B176" s="1" t="s">
        <v>854</v>
      </c>
      <c r="C176" s="1" t="s">
        <v>16</v>
      </c>
      <c r="D176" s="1" t="s">
        <v>32</v>
      </c>
      <c r="E176" s="1" t="s">
        <v>311</v>
      </c>
      <c r="F176" s="1" t="s">
        <v>855</v>
      </c>
      <c r="G176" s="1" t="s">
        <v>12480</v>
      </c>
      <c r="H176" s="1" t="s">
        <v>856</v>
      </c>
      <c r="I176" s="2">
        <v>137.16999999999999</v>
      </c>
      <c r="J176" s="2">
        <v>2.98</v>
      </c>
      <c r="K176" s="2">
        <v>3.51</v>
      </c>
      <c r="L176" s="2">
        <v>4.13</v>
      </c>
      <c r="M176" s="4">
        <f t="shared" si="12"/>
        <v>39.079772079772077</v>
      </c>
      <c r="N176" s="4">
        <f t="shared" si="13"/>
        <v>33.213075060532688</v>
      </c>
      <c r="O176" s="5">
        <f t="shared" si="14"/>
        <v>0.17785234899328861</v>
      </c>
      <c r="P176" s="5">
        <f t="shared" si="15"/>
        <v>0.1766381766381766</v>
      </c>
      <c r="Q176" s="4">
        <f t="shared" si="16"/>
        <v>2.1973154867494484</v>
      </c>
      <c r="R176" s="4">
        <f t="shared" si="17"/>
        <v>1.8802886042333833</v>
      </c>
      <c r="S176" s="4">
        <v>28.6</v>
      </c>
      <c r="T176" s="2">
        <v>1.46</v>
      </c>
      <c r="U176" s="2">
        <v>162.03</v>
      </c>
      <c r="V176" s="2">
        <v>64.37</v>
      </c>
      <c r="W176" s="2">
        <v>6.09</v>
      </c>
      <c r="X176" s="2">
        <v>-3.22</v>
      </c>
      <c r="Y176" s="2">
        <v>8.9600000000000009</v>
      </c>
      <c r="Z176" s="2">
        <v>4.6900000000000004</v>
      </c>
    </row>
    <row r="177" spans="1:26" x14ac:dyDescent="0.25">
      <c r="A177" s="1" t="s">
        <v>857</v>
      </c>
      <c r="B177" s="1" t="s">
        <v>858</v>
      </c>
      <c r="C177" s="1" t="s">
        <v>16</v>
      </c>
      <c r="D177" s="1" t="s">
        <v>67</v>
      </c>
      <c r="E177" s="1" t="s">
        <v>381</v>
      </c>
      <c r="F177" s="1" t="s">
        <v>859</v>
      </c>
      <c r="G177" s="1" t="s">
        <v>12493</v>
      </c>
      <c r="H177" s="1" t="s">
        <v>860</v>
      </c>
      <c r="I177" s="2">
        <v>86.27</v>
      </c>
      <c r="J177" s="2">
        <v>9.86</v>
      </c>
      <c r="K177" s="2">
        <v>10.34</v>
      </c>
      <c r="L177" s="2">
        <v>11.08</v>
      </c>
      <c r="M177" s="4">
        <f t="shared" si="12"/>
        <v>8.343326885880078</v>
      </c>
      <c r="N177" s="4">
        <f t="shared" si="13"/>
        <v>7.7861010830324906</v>
      </c>
      <c r="O177" s="5">
        <f t="shared" si="14"/>
        <v>4.8681541582150212E-2</v>
      </c>
      <c r="P177" s="5">
        <f t="shared" si="15"/>
        <v>7.1566731141199158E-2</v>
      </c>
      <c r="Q177" s="4">
        <f t="shared" si="16"/>
        <v>1.7138583978078621</v>
      </c>
      <c r="R177" s="4">
        <f t="shared" si="17"/>
        <v>1.0879497999804868</v>
      </c>
      <c r="S177" s="4">
        <v>6.42</v>
      </c>
      <c r="T177" s="2">
        <v>1.17</v>
      </c>
      <c r="U177" s="2">
        <v>129.85</v>
      </c>
      <c r="V177" s="2">
        <v>65.61</v>
      </c>
      <c r="W177" s="2">
        <v>-11.83</v>
      </c>
      <c r="X177" s="2">
        <v>-7.03</v>
      </c>
      <c r="Y177" s="2">
        <v>-27.32</v>
      </c>
      <c r="Z177" s="2">
        <v>-31.46</v>
      </c>
    </row>
    <row r="178" spans="1:26" x14ac:dyDescent="0.25">
      <c r="A178" s="1" t="s">
        <v>862</v>
      </c>
      <c r="B178" s="1" t="s">
        <v>863</v>
      </c>
      <c r="C178" s="1" t="s">
        <v>45</v>
      </c>
      <c r="D178" s="1" t="s">
        <v>18</v>
      </c>
      <c r="E178" s="1" t="s">
        <v>74</v>
      </c>
      <c r="F178" s="1" t="s">
        <v>864</v>
      </c>
      <c r="G178" s="1" t="s">
        <v>12480</v>
      </c>
      <c r="H178" s="1" t="s">
        <v>865</v>
      </c>
      <c r="I178" s="2">
        <v>74.81</v>
      </c>
      <c r="J178" s="2">
        <v>7.89</v>
      </c>
      <c r="K178" s="2" t="s">
        <v>12485</v>
      </c>
      <c r="L178" s="2">
        <v>10.1</v>
      </c>
      <c r="M178" s="4">
        <f t="shared" si="12"/>
        <v>8.3122222222222231</v>
      </c>
      <c r="N178" s="4">
        <f t="shared" si="13"/>
        <v>7.4069306930693077</v>
      </c>
      <c r="O178" s="5">
        <f t="shared" si="14"/>
        <v>0.14068441064638781</v>
      </c>
      <c r="P178" s="5">
        <f t="shared" si="15"/>
        <v>0.12222222222222223</v>
      </c>
      <c r="Q178" s="4">
        <f t="shared" si="16"/>
        <v>0.59084174174174187</v>
      </c>
      <c r="R178" s="4">
        <f t="shared" si="17"/>
        <v>0.60602160216021606</v>
      </c>
      <c r="S178" s="4">
        <v>43.78</v>
      </c>
      <c r="T178" s="2">
        <v>0.52</v>
      </c>
      <c r="U178" s="2">
        <v>98.81</v>
      </c>
      <c r="V178" s="2">
        <v>57.27</v>
      </c>
      <c r="W178" s="2">
        <v>-0.55000000000000004</v>
      </c>
      <c r="X178" s="2">
        <v>-6.88</v>
      </c>
      <c r="Y178" s="2">
        <v>-8.2200000000000006</v>
      </c>
      <c r="Z178" s="2">
        <v>-5.23</v>
      </c>
    </row>
    <row r="179" spans="1:26" x14ac:dyDescent="0.25">
      <c r="A179" s="1" t="s">
        <v>866</v>
      </c>
      <c r="B179" s="1" t="s">
        <v>867</v>
      </c>
      <c r="C179" s="1" t="s">
        <v>31</v>
      </c>
      <c r="D179" s="1" t="s">
        <v>147</v>
      </c>
      <c r="E179" s="1" t="s">
        <v>279</v>
      </c>
      <c r="F179" s="1" t="s">
        <v>868</v>
      </c>
      <c r="G179" s="1" t="s">
        <v>12480</v>
      </c>
      <c r="H179" s="1" t="s">
        <v>869</v>
      </c>
      <c r="I179" s="2">
        <v>10.45</v>
      </c>
      <c r="J179" s="2">
        <v>0.75</v>
      </c>
      <c r="K179" s="2"/>
      <c r="L179" s="2"/>
      <c r="M179" s="4" t="e">
        <f t="shared" si="12"/>
        <v>#DIV/0!</v>
      </c>
      <c r="N179" s="4" t="e">
        <f t="shared" si="13"/>
        <v>#DIV/0!</v>
      </c>
      <c r="O179" s="5">
        <f t="shared" si="14"/>
        <v>-1</v>
      </c>
      <c r="P179" s="5" t="e">
        <f t="shared" si="15"/>
        <v>#DIV/0!</v>
      </c>
      <c r="Q179" s="4" t="e">
        <f t="shared" si="16"/>
        <v>#DIV/0!</v>
      </c>
      <c r="R179" s="4" t="e">
        <f t="shared" si="17"/>
        <v>#DIV/0!</v>
      </c>
      <c r="S179" s="4">
        <v>11.67</v>
      </c>
      <c r="T179" s="2">
        <v>-0.26</v>
      </c>
      <c r="U179" s="2">
        <v>13.5</v>
      </c>
      <c r="V179" s="2">
        <v>9.44</v>
      </c>
      <c r="W179" s="2">
        <v>-2.0699999999999998</v>
      </c>
      <c r="X179" s="2">
        <v>0.97</v>
      </c>
      <c r="Y179" s="2">
        <v>-0.48</v>
      </c>
      <c r="Z179" s="2">
        <v>4.09</v>
      </c>
    </row>
    <row r="180" spans="1:26" x14ac:dyDescent="0.25">
      <c r="A180" s="1" t="s">
        <v>870</v>
      </c>
      <c r="B180" s="1" t="s">
        <v>871</v>
      </c>
      <c r="C180" s="1" t="s">
        <v>31</v>
      </c>
      <c r="D180" s="1" t="s">
        <v>38</v>
      </c>
      <c r="E180" s="1" t="s">
        <v>52</v>
      </c>
      <c r="F180" s="1" t="s">
        <v>872</v>
      </c>
      <c r="G180" s="1" t="s">
        <v>12485</v>
      </c>
      <c r="H180" s="1" t="s">
        <v>873</v>
      </c>
      <c r="I180" s="2">
        <v>26.54</v>
      </c>
      <c r="J180" s="2"/>
      <c r="K180" s="2">
        <v>1.57</v>
      </c>
      <c r="L180" s="2">
        <v>1.62</v>
      </c>
      <c r="M180" s="4">
        <f t="shared" si="12"/>
        <v>16.904458598726112</v>
      </c>
      <c r="N180" s="4">
        <f t="shared" si="13"/>
        <v>16.382716049382715</v>
      </c>
      <c r="O180" s="5" t="e">
        <f t="shared" si="14"/>
        <v>#DIV/0!</v>
      </c>
      <c r="P180" s="5">
        <f t="shared" si="15"/>
        <v>3.1847133757961776E-2</v>
      </c>
      <c r="Q180" s="4" t="e">
        <f t="shared" si="16"/>
        <v>#DIV/0!</v>
      </c>
      <c r="R180" s="4">
        <f t="shared" si="17"/>
        <v>5.1441728395061741</v>
      </c>
      <c r="S180" s="4"/>
      <c r="T180" s="2"/>
      <c r="U180" s="2">
        <v>29.04</v>
      </c>
      <c r="V180" s="2">
        <v>18.2</v>
      </c>
      <c r="W180" s="2">
        <v>-4.6399999999999997</v>
      </c>
      <c r="X180" s="2">
        <v>-1.01</v>
      </c>
      <c r="Y180" s="2">
        <v>10.119999999999999</v>
      </c>
      <c r="Z180" s="2">
        <v>9.58</v>
      </c>
    </row>
    <row r="181" spans="1:26" x14ac:dyDescent="0.25">
      <c r="A181" s="1" t="s">
        <v>874</v>
      </c>
      <c r="B181" s="1" t="s">
        <v>875</v>
      </c>
      <c r="C181" s="1" t="s">
        <v>16</v>
      </c>
      <c r="D181" s="1" t="s">
        <v>38</v>
      </c>
      <c r="E181" s="1" t="s">
        <v>551</v>
      </c>
      <c r="F181" s="1" t="s">
        <v>876</v>
      </c>
      <c r="G181" s="1" t="s">
        <v>12480</v>
      </c>
      <c r="H181" s="1" t="s">
        <v>877</v>
      </c>
      <c r="I181" s="2">
        <v>332.84</v>
      </c>
      <c r="J181" s="2">
        <v>17.07</v>
      </c>
      <c r="K181" s="2">
        <v>19.079999999999998</v>
      </c>
      <c r="L181" s="2">
        <v>21.41</v>
      </c>
      <c r="M181" s="4">
        <f t="shared" si="12"/>
        <v>17.444444444444446</v>
      </c>
      <c r="N181" s="4">
        <f t="shared" si="13"/>
        <v>15.546006539000466</v>
      </c>
      <c r="O181" s="5">
        <f t="shared" si="14"/>
        <v>0.117750439367311</v>
      </c>
      <c r="P181" s="5">
        <f t="shared" si="15"/>
        <v>0.12211740041928731</v>
      </c>
      <c r="Q181" s="4">
        <f t="shared" si="16"/>
        <v>1.4814759535655069</v>
      </c>
      <c r="R181" s="4">
        <f t="shared" si="17"/>
        <v>1.2730377886872475</v>
      </c>
      <c r="S181" s="4">
        <v>9.4499999999999993</v>
      </c>
      <c r="T181" s="2">
        <v>0.82</v>
      </c>
      <c r="U181" s="2">
        <v>403.09</v>
      </c>
      <c r="V181" s="2">
        <v>309.97000000000003</v>
      </c>
      <c r="W181" s="2">
        <v>-1.47</v>
      </c>
      <c r="X181" s="2">
        <v>7.25</v>
      </c>
      <c r="Y181" s="2" t="s">
        <v>12534</v>
      </c>
      <c r="Z181" s="2">
        <v>-5.68</v>
      </c>
    </row>
    <row r="182" spans="1:26" x14ac:dyDescent="0.25">
      <c r="A182" s="1" t="s">
        <v>879</v>
      </c>
      <c r="B182" s="1" t="s">
        <v>880</v>
      </c>
      <c r="C182" s="1" t="s">
        <v>31</v>
      </c>
      <c r="D182" s="1" t="s">
        <v>67</v>
      </c>
      <c r="E182" s="1" t="s">
        <v>882</v>
      </c>
      <c r="F182" s="1" t="s">
        <v>881</v>
      </c>
      <c r="G182" s="1" t="s">
        <v>12487</v>
      </c>
      <c r="H182" s="1" t="s">
        <v>883</v>
      </c>
      <c r="I182" s="2">
        <v>12.69</v>
      </c>
      <c r="J182" s="2">
        <v>0.26</v>
      </c>
      <c r="K182" s="2">
        <v>0.19</v>
      </c>
      <c r="L182" s="2">
        <v>0.21</v>
      </c>
      <c r="M182" s="4">
        <f t="shared" si="12"/>
        <v>66.78947368421052</v>
      </c>
      <c r="N182" s="4">
        <f t="shared" si="13"/>
        <v>60.428571428571431</v>
      </c>
      <c r="O182" s="5">
        <f t="shared" si="14"/>
        <v>-0.26923076923076927</v>
      </c>
      <c r="P182" s="5">
        <f t="shared" si="15"/>
        <v>0.10526315789473673</v>
      </c>
      <c r="Q182" s="4">
        <f t="shared" si="16"/>
        <v>-2.4807518796992474</v>
      </c>
      <c r="R182" s="4">
        <f t="shared" si="17"/>
        <v>5.7407142857142919</v>
      </c>
      <c r="S182" s="4">
        <v>-5.27</v>
      </c>
      <c r="T182" s="2">
        <v>0.39</v>
      </c>
      <c r="U182" s="2">
        <v>18.420000000000002</v>
      </c>
      <c r="V182" s="2">
        <v>8.27</v>
      </c>
      <c r="W182" s="2">
        <v>-5.86</v>
      </c>
      <c r="X182" s="2">
        <v>-12.84</v>
      </c>
      <c r="Y182" s="2">
        <v>-19.28</v>
      </c>
      <c r="Z182" s="2">
        <v>-18.809999999999999</v>
      </c>
    </row>
    <row r="183" spans="1:26" x14ac:dyDescent="0.25">
      <c r="A183" s="1" t="s">
        <v>884</v>
      </c>
      <c r="B183" s="1" t="s">
        <v>885</v>
      </c>
      <c r="C183" s="1" t="s">
        <v>16</v>
      </c>
      <c r="D183" s="1" t="s">
        <v>18</v>
      </c>
      <c r="E183" s="1" t="s">
        <v>594</v>
      </c>
      <c r="F183" s="1" t="s">
        <v>886</v>
      </c>
      <c r="G183" s="1" t="s">
        <v>12480</v>
      </c>
      <c r="H183" s="1" t="s">
        <v>887</v>
      </c>
      <c r="I183" s="2">
        <v>36.090000000000003</v>
      </c>
      <c r="J183" s="2">
        <v>0.63</v>
      </c>
      <c r="K183" s="2">
        <v>0.63</v>
      </c>
      <c r="L183" s="2">
        <v>0.96</v>
      </c>
      <c r="M183" s="4">
        <f t="shared" si="12"/>
        <v>57.285714285714292</v>
      </c>
      <c r="N183" s="4">
        <f t="shared" si="13"/>
        <v>37.593750000000007</v>
      </c>
      <c r="O183" s="5">
        <f t="shared" si="14"/>
        <v>0</v>
      </c>
      <c r="P183" s="5">
        <f t="shared" si="15"/>
        <v>0.52380952380952372</v>
      </c>
      <c r="Q183" s="4" t="e">
        <f t="shared" si="16"/>
        <v>#DIV/0!</v>
      </c>
      <c r="R183" s="4">
        <f t="shared" si="17"/>
        <v>0.71769886363636393</v>
      </c>
      <c r="S183" s="4">
        <v>13.59</v>
      </c>
      <c r="T183" s="2">
        <v>1.6</v>
      </c>
      <c r="U183" s="2">
        <v>47.63</v>
      </c>
      <c r="V183" s="2">
        <v>22.19</v>
      </c>
      <c r="W183" s="2">
        <v>-6.38</v>
      </c>
      <c r="X183" s="2">
        <v>-8.89</v>
      </c>
      <c r="Y183" s="2">
        <v>-20.45</v>
      </c>
      <c r="Z183" s="2">
        <v>-20.87</v>
      </c>
    </row>
    <row r="184" spans="1:26" x14ac:dyDescent="0.25">
      <c r="A184" s="1" t="s">
        <v>888</v>
      </c>
      <c r="B184" s="1" t="s">
        <v>889</v>
      </c>
      <c r="C184" s="1" t="s">
        <v>16</v>
      </c>
      <c r="D184" s="1" t="s">
        <v>25</v>
      </c>
      <c r="E184" s="1" t="s">
        <v>106</v>
      </c>
      <c r="F184" s="1" t="s">
        <v>890</v>
      </c>
      <c r="G184" s="1" t="s">
        <v>12480</v>
      </c>
      <c r="H184" s="1" t="s">
        <v>891</v>
      </c>
      <c r="I184" s="2">
        <v>70.459999999999994</v>
      </c>
      <c r="J184" s="2">
        <v>3.85</v>
      </c>
      <c r="K184" s="2">
        <v>4.03</v>
      </c>
      <c r="L184" s="2">
        <v>4.4000000000000004</v>
      </c>
      <c r="M184" s="4">
        <f t="shared" si="12"/>
        <v>17.483870967741932</v>
      </c>
      <c r="N184" s="4">
        <f t="shared" si="13"/>
        <v>16.013636363636362</v>
      </c>
      <c r="O184" s="5">
        <f t="shared" si="14"/>
        <v>4.6753246753246769E-2</v>
      </c>
      <c r="P184" s="5">
        <f t="shared" si="15"/>
        <v>9.1811414392059643E-2</v>
      </c>
      <c r="Q184" s="4">
        <f t="shared" si="16"/>
        <v>3.7396057347670233</v>
      </c>
      <c r="R184" s="4">
        <f t="shared" si="17"/>
        <v>1.7441879606879589</v>
      </c>
      <c r="S184" s="4">
        <v>0.32</v>
      </c>
      <c r="T184" s="2">
        <v>1.33</v>
      </c>
      <c r="U184" s="2">
        <v>80.47</v>
      </c>
      <c r="V184" s="2">
        <v>59.63</v>
      </c>
      <c r="W184" s="2">
        <v>-9.59</v>
      </c>
      <c r="X184" s="2">
        <v>-10.9</v>
      </c>
      <c r="Y184" s="2">
        <v>2.38</v>
      </c>
      <c r="Z184" s="2">
        <v>5.35</v>
      </c>
    </row>
    <row r="185" spans="1:26" x14ac:dyDescent="0.25">
      <c r="A185" s="1" t="s">
        <v>892</v>
      </c>
      <c r="B185" s="1" t="s">
        <v>892</v>
      </c>
      <c r="C185" s="1" t="s">
        <v>45</v>
      </c>
      <c r="D185" s="1" t="s">
        <v>94</v>
      </c>
      <c r="E185" s="1" t="s">
        <v>894</v>
      </c>
      <c r="F185" s="1" t="s">
        <v>893</v>
      </c>
      <c r="G185" s="1" t="s">
        <v>12480</v>
      </c>
      <c r="H185" s="1" t="s">
        <v>895</v>
      </c>
      <c r="I185" s="2">
        <v>32.590000000000003</v>
      </c>
      <c r="J185" s="2">
        <v>3.77</v>
      </c>
      <c r="K185" s="2">
        <v>1.84</v>
      </c>
      <c r="L185" s="2">
        <v>2.06</v>
      </c>
      <c r="M185" s="4">
        <f t="shared" si="12"/>
        <v>17.711956521739133</v>
      </c>
      <c r="N185" s="4">
        <f t="shared" si="13"/>
        <v>15.820388349514564</v>
      </c>
      <c r="O185" s="5">
        <f t="shared" si="14"/>
        <v>-0.51193633952254647</v>
      </c>
      <c r="P185" s="5">
        <f t="shared" si="15"/>
        <v>0.11956521739130443</v>
      </c>
      <c r="Q185" s="4">
        <f t="shared" si="16"/>
        <v>-0.34597966884433434</v>
      </c>
      <c r="R185" s="4">
        <f t="shared" si="17"/>
        <v>1.3231597528684897</v>
      </c>
      <c r="S185" s="4">
        <v>-5.31</v>
      </c>
      <c r="T185" s="2">
        <v>0.67</v>
      </c>
      <c r="U185" s="2">
        <v>32.68</v>
      </c>
      <c r="V185" s="2">
        <v>14.03</v>
      </c>
      <c r="W185" s="2">
        <v>2.84</v>
      </c>
      <c r="X185" s="2">
        <v>18.55</v>
      </c>
      <c r="Y185" s="2">
        <v>28.97</v>
      </c>
      <c r="Z185" s="2">
        <v>33.24</v>
      </c>
    </row>
    <row r="186" spans="1:26" x14ac:dyDescent="0.25">
      <c r="A186" s="1" t="s">
        <v>897</v>
      </c>
      <c r="B186" s="1" t="s">
        <v>898</v>
      </c>
      <c r="C186" s="1" t="s">
        <v>16</v>
      </c>
      <c r="D186" s="1" t="s">
        <v>38</v>
      </c>
      <c r="E186" s="1" t="s">
        <v>101</v>
      </c>
      <c r="F186" s="1" t="s">
        <v>899</v>
      </c>
      <c r="G186" s="1" t="s">
        <v>12480</v>
      </c>
      <c r="H186" s="1" t="s">
        <v>900</v>
      </c>
      <c r="I186" s="2">
        <v>37.020000000000003</v>
      </c>
      <c r="J186" s="2">
        <v>3.93</v>
      </c>
      <c r="K186" s="2">
        <v>4.12</v>
      </c>
      <c r="L186" s="2">
        <v>4.32</v>
      </c>
      <c r="M186" s="4">
        <f t="shared" si="12"/>
        <v>8.9854368932038842</v>
      </c>
      <c r="N186" s="4">
        <f t="shared" si="13"/>
        <v>8.5694444444444446</v>
      </c>
      <c r="O186" s="5">
        <f t="shared" si="14"/>
        <v>4.8346055979643809E-2</v>
      </c>
      <c r="P186" s="5">
        <f t="shared" si="15"/>
        <v>4.8543689320388328E-2</v>
      </c>
      <c r="Q186" s="4">
        <f t="shared" si="16"/>
        <v>1.8585666836995385</v>
      </c>
      <c r="R186" s="4">
        <f t="shared" si="17"/>
        <v>1.7653055555555563</v>
      </c>
      <c r="S186" s="4">
        <v>7.64</v>
      </c>
      <c r="T186" s="2">
        <v>1.77</v>
      </c>
      <c r="U186" s="2">
        <v>48.34</v>
      </c>
      <c r="V186" s="2">
        <v>33.85</v>
      </c>
      <c r="W186" s="2">
        <v>-8.41</v>
      </c>
      <c r="X186" s="2">
        <v>-19.920000000000002</v>
      </c>
      <c r="Y186" s="2">
        <v>-10.75</v>
      </c>
      <c r="Z186" s="2">
        <v>-9.1300000000000008</v>
      </c>
    </row>
    <row r="187" spans="1:26" x14ac:dyDescent="0.25">
      <c r="A187" s="1" t="s">
        <v>901</v>
      </c>
      <c r="B187" s="1" t="s">
        <v>902</v>
      </c>
      <c r="C187" s="1" t="s">
        <v>16</v>
      </c>
      <c r="D187" s="1" t="s">
        <v>88</v>
      </c>
      <c r="E187" s="1" t="s">
        <v>504</v>
      </c>
      <c r="F187" s="1" t="s">
        <v>903</v>
      </c>
      <c r="G187" s="1" t="s">
        <v>12485</v>
      </c>
      <c r="H187" s="1" t="s">
        <v>904</v>
      </c>
      <c r="I187" s="2">
        <v>274.39999999999998</v>
      </c>
      <c r="J187" s="2">
        <v>12.03</v>
      </c>
      <c r="K187" s="2">
        <v>13.01</v>
      </c>
      <c r="L187" s="2" t="s">
        <v>12501</v>
      </c>
      <c r="M187" s="4">
        <f t="shared" si="12"/>
        <v>21.091468101460414</v>
      </c>
      <c r="N187" s="4">
        <f t="shared" si="13"/>
        <v>19.599999999999998</v>
      </c>
      <c r="O187" s="5">
        <f t="shared" si="14"/>
        <v>8.1463009143807108E-2</v>
      </c>
      <c r="P187" s="5">
        <f t="shared" si="15"/>
        <v>7.6095311299000823E-2</v>
      </c>
      <c r="Q187" s="4">
        <f t="shared" si="16"/>
        <v>2.5890853189853975</v>
      </c>
      <c r="R187" s="4">
        <f t="shared" si="17"/>
        <v>2.5757171717171694</v>
      </c>
      <c r="S187" s="4">
        <v>-0.52</v>
      </c>
      <c r="T187" s="2">
        <v>0.88</v>
      </c>
      <c r="U187" s="2">
        <v>316.41000000000003</v>
      </c>
      <c r="V187" s="2">
        <v>230.76</v>
      </c>
      <c r="W187" s="2">
        <v>-0.73</v>
      </c>
      <c r="X187" s="2">
        <v>-4.18</v>
      </c>
      <c r="Y187" s="2">
        <v>11.99</v>
      </c>
      <c r="Z187" s="2">
        <v>11.08</v>
      </c>
    </row>
    <row r="188" spans="1:26" x14ac:dyDescent="0.25">
      <c r="A188" s="1" t="s">
        <v>905</v>
      </c>
      <c r="B188" s="1" t="s">
        <v>906</v>
      </c>
      <c r="C188" s="1" t="s">
        <v>31</v>
      </c>
      <c r="D188" s="1" t="s">
        <v>32</v>
      </c>
      <c r="E188" s="1" t="s">
        <v>33</v>
      </c>
      <c r="F188" s="1" t="s">
        <v>907</v>
      </c>
      <c r="G188" s="1" t="s">
        <v>12490</v>
      </c>
      <c r="H188" s="1" t="s">
        <v>485</v>
      </c>
      <c r="I188" s="2" t="s">
        <v>12535</v>
      </c>
      <c r="J188" s="2">
        <v>0.67</v>
      </c>
      <c r="K188" s="2">
        <v>1.0900000000000001</v>
      </c>
      <c r="L188" s="2">
        <v>1.0900000000000001</v>
      </c>
      <c r="M188" s="4">
        <f t="shared" si="12"/>
        <v>24.77064220183486</v>
      </c>
      <c r="N188" s="4">
        <f t="shared" si="13"/>
        <v>24.77064220183486</v>
      </c>
      <c r="O188" s="5">
        <f t="shared" si="14"/>
        <v>0.62686567164179108</v>
      </c>
      <c r="P188" s="5">
        <f t="shared" si="15"/>
        <v>0</v>
      </c>
      <c r="Q188" s="4">
        <f t="shared" si="16"/>
        <v>0.39515072083879416</v>
      </c>
      <c r="R188" s="4" t="e">
        <f t="shared" si="17"/>
        <v>#DIV/0!</v>
      </c>
      <c r="S188" s="4">
        <v>-2.61</v>
      </c>
      <c r="T188" s="2">
        <v>0.34</v>
      </c>
      <c r="U188" s="2" t="s">
        <v>12482</v>
      </c>
      <c r="V188" s="2">
        <v>16.21</v>
      </c>
      <c r="W188" s="2">
        <v>-5.33</v>
      </c>
      <c r="X188" s="2">
        <v>-4.66</v>
      </c>
      <c r="Y188" s="2">
        <v>1.5</v>
      </c>
      <c r="Z188" s="2">
        <v>4.92</v>
      </c>
    </row>
    <row r="189" spans="1:26" x14ac:dyDescent="0.25">
      <c r="A189" s="1" t="s">
        <v>909</v>
      </c>
      <c r="B189" s="1" t="s">
        <v>910</v>
      </c>
      <c r="C189" s="1" t="s">
        <v>31</v>
      </c>
      <c r="D189" s="1" t="s">
        <v>88</v>
      </c>
      <c r="E189" s="1" t="s">
        <v>912</v>
      </c>
      <c r="F189" s="1" t="s">
        <v>911</v>
      </c>
      <c r="G189" s="1" t="s">
        <v>12480</v>
      </c>
      <c r="H189" s="1" t="s">
        <v>913</v>
      </c>
      <c r="I189" s="2">
        <v>40.299999999999997</v>
      </c>
      <c r="J189" s="2">
        <v>0.15</v>
      </c>
      <c r="K189" s="2">
        <v>2.57</v>
      </c>
      <c r="L189" s="2">
        <v>4.58</v>
      </c>
      <c r="M189" s="4">
        <f t="shared" si="12"/>
        <v>15.680933852140077</v>
      </c>
      <c r="N189" s="4">
        <f t="shared" si="13"/>
        <v>8.7991266375545845</v>
      </c>
      <c r="O189" s="5">
        <f t="shared" si="14"/>
        <v>16.133333333333333</v>
      </c>
      <c r="P189" s="5">
        <f t="shared" si="15"/>
        <v>0.78210116731517521</v>
      </c>
      <c r="Q189" s="4">
        <f t="shared" si="16"/>
        <v>9.7195870984339329E-3</v>
      </c>
      <c r="R189" s="4">
        <f t="shared" si="17"/>
        <v>0.11250624606226507</v>
      </c>
      <c r="S189" s="4">
        <v>1.6</v>
      </c>
      <c r="T189" s="2">
        <v>1.06</v>
      </c>
      <c r="U189" s="2">
        <v>54.5</v>
      </c>
      <c r="V189" s="2">
        <v>25.97</v>
      </c>
      <c r="W189" s="2">
        <v>-20.65</v>
      </c>
      <c r="X189" s="2">
        <v>-17.23</v>
      </c>
      <c r="Y189" s="2">
        <v>5.08</v>
      </c>
      <c r="Z189" s="2">
        <v>-3.81</v>
      </c>
    </row>
    <row r="190" spans="1:26" x14ac:dyDescent="0.25">
      <c r="A190" s="1" t="s">
        <v>914</v>
      </c>
      <c r="B190" s="1" t="s">
        <v>915</v>
      </c>
      <c r="C190" s="1" t="s">
        <v>16</v>
      </c>
      <c r="D190" s="1" t="s">
        <v>140</v>
      </c>
      <c r="E190" s="1" t="s">
        <v>141</v>
      </c>
      <c r="F190" s="1" t="s">
        <v>916</v>
      </c>
      <c r="G190" s="1" t="s">
        <v>12480</v>
      </c>
      <c r="H190" s="1" t="s">
        <v>917</v>
      </c>
      <c r="I190" s="2">
        <v>42.45</v>
      </c>
      <c r="J190" s="2">
        <v>1.48</v>
      </c>
      <c r="K190" s="2">
        <v>1.68</v>
      </c>
      <c r="L190" s="2">
        <v>1.89</v>
      </c>
      <c r="M190" s="4">
        <f t="shared" si="12"/>
        <v>25.267857142857146</v>
      </c>
      <c r="N190" s="4">
        <f t="shared" si="13"/>
        <v>22.460317460317462</v>
      </c>
      <c r="O190" s="5">
        <f t="shared" si="14"/>
        <v>0.13513513513513509</v>
      </c>
      <c r="P190" s="5">
        <f t="shared" si="15"/>
        <v>0.125</v>
      </c>
      <c r="Q190" s="4">
        <f t="shared" si="16"/>
        <v>1.8698214285714294</v>
      </c>
      <c r="R190" s="4">
        <f t="shared" si="17"/>
        <v>1.7968253968253969</v>
      </c>
      <c r="S190" s="4">
        <v>12.72</v>
      </c>
      <c r="T190" s="2">
        <v>1.69</v>
      </c>
      <c r="U190" s="2">
        <v>45.29</v>
      </c>
      <c r="V190" s="2">
        <v>21.47</v>
      </c>
      <c r="W190" s="2">
        <v>-4.78</v>
      </c>
      <c r="X190" s="2">
        <v>-5.27</v>
      </c>
      <c r="Y190" s="2">
        <v>7.99</v>
      </c>
      <c r="Z190" s="2">
        <v>10.95</v>
      </c>
    </row>
    <row r="191" spans="1:26" x14ac:dyDescent="0.25">
      <c r="A191" s="1" t="s">
        <v>918</v>
      </c>
      <c r="B191" s="1" t="s">
        <v>919</v>
      </c>
      <c r="C191" s="1" t="s">
        <v>45</v>
      </c>
      <c r="D191" s="1" t="s">
        <v>18</v>
      </c>
      <c r="E191" s="1" t="s">
        <v>74</v>
      </c>
      <c r="F191" s="1" t="s">
        <v>920</v>
      </c>
      <c r="G191" s="1" t="s">
        <v>12480</v>
      </c>
      <c r="H191" s="1" t="s">
        <v>921</v>
      </c>
      <c r="I191" s="2">
        <v>74.94</v>
      </c>
      <c r="J191" s="2">
        <v>-4.22</v>
      </c>
      <c r="K191" s="2">
        <v>-4.62</v>
      </c>
      <c r="L191" s="2">
        <v>-5.57</v>
      </c>
      <c r="M191" s="4">
        <f t="shared" si="12"/>
        <v>-16.220779220779221</v>
      </c>
      <c r="N191" s="4">
        <f t="shared" si="13"/>
        <v>-13.454219030520646</v>
      </c>
      <c r="O191" s="5">
        <f t="shared" si="14"/>
        <v>9.4786729857819996E-2</v>
      </c>
      <c r="P191" s="5">
        <f t="shared" si="15"/>
        <v>0.2056277056277056</v>
      </c>
      <c r="Q191" s="4">
        <f t="shared" si="16"/>
        <v>-1.7112922077922061</v>
      </c>
      <c r="R191" s="4">
        <f t="shared" si="17"/>
        <v>-0.65429991495795148</v>
      </c>
      <c r="S191" s="4"/>
      <c r="T191" s="2">
        <v>1.39</v>
      </c>
      <c r="U191" s="2">
        <v>82.43</v>
      </c>
      <c r="V191" s="2">
        <v>28.79</v>
      </c>
      <c r="W191" s="2">
        <v>5.68</v>
      </c>
      <c r="X191" s="2">
        <v>20.62</v>
      </c>
      <c r="Y191" s="2">
        <v>-2.4300000000000002</v>
      </c>
      <c r="Z191" s="2">
        <v>-0.72</v>
      </c>
    </row>
    <row r="192" spans="1:26" x14ac:dyDescent="0.25">
      <c r="A192" s="1" t="s">
        <v>922</v>
      </c>
      <c r="B192" s="1" t="s">
        <v>923</v>
      </c>
      <c r="C192" s="1" t="s">
        <v>16</v>
      </c>
      <c r="D192" s="1" t="s">
        <v>32</v>
      </c>
      <c r="E192" s="1" t="s">
        <v>925</v>
      </c>
      <c r="F192" s="1" t="s">
        <v>924</v>
      </c>
      <c r="G192" s="1" t="s">
        <v>12480</v>
      </c>
      <c r="H192" s="1" t="s">
        <v>926</v>
      </c>
      <c r="I192" s="2">
        <v>136.06</v>
      </c>
      <c r="J192" s="2">
        <v>3.34</v>
      </c>
      <c r="K192" s="2">
        <v>4.32</v>
      </c>
      <c r="L192" s="2">
        <v>5.18</v>
      </c>
      <c r="M192" s="4">
        <f t="shared" si="12"/>
        <v>31.49537037037037</v>
      </c>
      <c r="N192" s="4">
        <f t="shared" si="13"/>
        <v>26.266409266409269</v>
      </c>
      <c r="O192" s="5">
        <f t="shared" si="14"/>
        <v>0.29341317365269481</v>
      </c>
      <c r="P192" s="5">
        <f t="shared" si="15"/>
        <v>0.19907407407407396</v>
      </c>
      <c r="Q192" s="4">
        <f t="shared" si="16"/>
        <v>1.0734136432350709</v>
      </c>
      <c r="R192" s="4">
        <f t="shared" si="17"/>
        <v>1.3194289305917222</v>
      </c>
      <c r="S192" s="4">
        <v>51.71</v>
      </c>
      <c r="T192" s="2">
        <v>1.2</v>
      </c>
      <c r="U192" s="2">
        <v>166.25</v>
      </c>
      <c r="V192" s="2">
        <v>59.09</v>
      </c>
      <c r="W192" s="2">
        <v>0.67</v>
      </c>
      <c r="X192" s="2">
        <v>-5.64</v>
      </c>
      <c r="Y192" s="2">
        <v>4.74</v>
      </c>
      <c r="Z192" s="2">
        <v>0.68</v>
      </c>
    </row>
    <row r="193" spans="1:26" x14ac:dyDescent="0.25">
      <c r="A193" s="1" t="s">
        <v>927</v>
      </c>
      <c r="B193" s="1" t="s">
        <v>928</v>
      </c>
      <c r="C193" s="1" t="s">
        <v>45</v>
      </c>
      <c r="D193" s="1" t="s">
        <v>38</v>
      </c>
      <c r="E193" s="1" t="s">
        <v>52</v>
      </c>
      <c r="F193" s="1" t="s">
        <v>929</v>
      </c>
      <c r="G193" s="1" t="s">
        <v>12508</v>
      </c>
      <c r="H193" s="1" t="s">
        <v>930</v>
      </c>
      <c r="I193" s="2">
        <v>27.03</v>
      </c>
      <c r="J193" s="2">
        <v>-0.8</v>
      </c>
      <c r="K193" s="2">
        <v>-0.26</v>
      </c>
      <c r="L193" s="2">
        <v>-0.32</v>
      </c>
      <c r="M193" s="4">
        <f t="shared" si="12"/>
        <v>-103.96153846153847</v>
      </c>
      <c r="N193" s="4">
        <f t="shared" si="13"/>
        <v>-84.46875</v>
      </c>
      <c r="O193" s="5">
        <f t="shared" si="14"/>
        <v>-0.67500000000000004</v>
      </c>
      <c r="P193" s="5">
        <f t="shared" si="15"/>
        <v>0.23076923076923084</v>
      </c>
      <c r="Q193" s="4">
        <f t="shared" si="16"/>
        <v>1.5401709401709403</v>
      </c>
      <c r="R193" s="4">
        <f t="shared" si="17"/>
        <v>-3.660312499999999</v>
      </c>
      <c r="S193" s="4">
        <v>-12.91</v>
      </c>
      <c r="T193" s="2">
        <v>7.2</v>
      </c>
      <c r="U193" s="2">
        <v>41.35</v>
      </c>
      <c r="V193" s="2">
        <v>3.44</v>
      </c>
      <c r="W193" s="2">
        <v>-3.22</v>
      </c>
      <c r="X193" s="2">
        <v>-29.35</v>
      </c>
      <c r="Y193" s="2">
        <v>17.62</v>
      </c>
      <c r="Z193" s="2">
        <v>10.24</v>
      </c>
    </row>
    <row r="194" spans="1:26" x14ac:dyDescent="0.25">
      <c r="A194" s="1" t="s">
        <v>931</v>
      </c>
      <c r="B194" s="1" t="s">
        <v>932</v>
      </c>
      <c r="C194" s="1" t="s">
        <v>16</v>
      </c>
      <c r="D194" s="1" t="s">
        <v>38</v>
      </c>
      <c r="E194" s="1" t="s">
        <v>510</v>
      </c>
      <c r="F194" s="1" t="s">
        <v>933</v>
      </c>
      <c r="G194" s="1" t="s">
        <v>12480</v>
      </c>
      <c r="H194" s="1" t="s">
        <v>934</v>
      </c>
      <c r="I194" s="2">
        <v>12.03</v>
      </c>
      <c r="J194" s="2">
        <v>1.52</v>
      </c>
      <c r="K194" s="2">
        <v>1.49</v>
      </c>
      <c r="L194" s="2">
        <v>1.53</v>
      </c>
      <c r="M194" s="4">
        <f t="shared" si="12"/>
        <v>8.0738255033557049</v>
      </c>
      <c r="N194" s="4">
        <f t="shared" si="13"/>
        <v>7.8627450980392153</v>
      </c>
      <c r="O194" s="5">
        <f t="shared" si="14"/>
        <v>-1.9736842105263164E-2</v>
      </c>
      <c r="P194" s="5">
        <f t="shared" si="15"/>
        <v>2.6845637583892579E-2</v>
      </c>
      <c r="Q194" s="4">
        <f t="shared" si="16"/>
        <v>-4.090738255033556</v>
      </c>
      <c r="R194" s="4">
        <f t="shared" si="17"/>
        <v>2.9288725490196121</v>
      </c>
      <c r="S194" s="4">
        <v>-1.33</v>
      </c>
      <c r="T194" s="2">
        <v>0.81</v>
      </c>
      <c r="U194" s="2">
        <v>14.67</v>
      </c>
      <c r="V194" s="2">
        <v>10.66</v>
      </c>
      <c r="W194" s="2">
        <v>-2.2000000000000002</v>
      </c>
      <c r="X194" s="2">
        <v>-1.39</v>
      </c>
      <c r="Y194" s="2">
        <v>-2.12</v>
      </c>
      <c r="Z194" s="2">
        <v>1.52</v>
      </c>
    </row>
    <row r="195" spans="1:26" x14ac:dyDescent="0.25">
      <c r="A195" s="1" t="s">
        <v>936</v>
      </c>
      <c r="B195" s="1" t="s">
        <v>937</v>
      </c>
      <c r="C195" s="1" t="s">
        <v>45</v>
      </c>
      <c r="D195" s="1" t="s">
        <v>18</v>
      </c>
      <c r="E195" s="1" t="s">
        <v>74</v>
      </c>
      <c r="F195" s="1" t="s">
        <v>938</v>
      </c>
      <c r="G195" s="1" t="s">
        <v>12480</v>
      </c>
      <c r="H195" s="1" t="s">
        <v>939</v>
      </c>
      <c r="I195" s="2">
        <v>19.989999999999998</v>
      </c>
      <c r="J195" s="2">
        <v>0.2</v>
      </c>
      <c r="K195" s="2">
        <v>-1.22</v>
      </c>
      <c r="L195" s="2">
        <v>-0.57999999999999996</v>
      </c>
      <c r="M195" s="4">
        <f t="shared" ref="M195:M258" si="18">I195/K195</f>
        <v>-16.385245901639344</v>
      </c>
      <c r="N195" s="4">
        <f t="shared" ref="N195:N258" si="19">I195/L195</f>
        <v>-34.46551724137931</v>
      </c>
      <c r="O195" s="5">
        <f t="shared" ref="O195:O258" si="20">K195/J195-1</f>
        <v>-7.1</v>
      </c>
      <c r="P195" s="5">
        <f t="shared" ref="P195:P258" si="21">L195/K195-1</f>
        <v>-0.52459016393442626</v>
      </c>
      <c r="Q195" s="4">
        <f t="shared" ref="Q195:Q258" si="22">M195/(O195*100)</f>
        <v>2.3077811129069498E-2</v>
      </c>
      <c r="R195" s="4">
        <f t="shared" ref="R195:R258" si="23">N195/(P195*100)</f>
        <v>0.6569989224137931</v>
      </c>
      <c r="S195" s="4">
        <v>28.46</v>
      </c>
      <c r="T195" s="2">
        <v>0.26</v>
      </c>
      <c r="U195" s="2">
        <v>30.05</v>
      </c>
      <c r="V195" s="2">
        <v>16.36</v>
      </c>
      <c r="W195" s="2">
        <v>-3.43</v>
      </c>
      <c r="X195" s="2">
        <v>-12.44</v>
      </c>
      <c r="Y195" s="2">
        <v>-18.61</v>
      </c>
      <c r="Z195" s="2">
        <v>-20.420000000000002</v>
      </c>
    </row>
    <row r="196" spans="1:26" x14ac:dyDescent="0.25">
      <c r="A196" s="1" t="s">
        <v>940</v>
      </c>
      <c r="B196" s="1" t="s">
        <v>941</v>
      </c>
      <c r="C196" s="1" t="s">
        <v>16</v>
      </c>
      <c r="D196" s="1" t="s">
        <v>38</v>
      </c>
      <c r="E196" s="1" t="s">
        <v>101</v>
      </c>
      <c r="F196" s="1" t="s">
        <v>942</v>
      </c>
      <c r="G196" s="1" t="s">
        <v>12480</v>
      </c>
      <c r="H196" s="1" t="s">
        <v>943</v>
      </c>
      <c r="I196" s="2">
        <v>108.14</v>
      </c>
      <c r="J196" s="2">
        <v>8.3800000000000008</v>
      </c>
      <c r="K196" s="2">
        <v>9.24</v>
      </c>
      <c r="L196" s="2">
        <v>10.92</v>
      </c>
      <c r="M196" s="4">
        <f t="shared" si="18"/>
        <v>11.703463203463203</v>
      </c>
      <c r="N196" s="4">
        <f t="shared" si="19"/>
        <v>9.9029304029304033</v>
      </c>
      <c r="O196" s="5">
        <f t="shared" si="20"/>
        <v>0.10262529832935563</v>
      </c>
      <c r="P196" s="5">
        <f t="shared" si="21"/>
        <v>0.18181818181818188</v>
      </c>
      <c r="Q196" s="4">
        <f t="shared" si="22"/>
        <v>1.140407228430484</v>
      </c>
      <c r="R196" s="4">
        <f t="shared" si="23"/>
        <v>0.54466117216117205</v>
      </c>
      <c r="S196" s="4">
        <v>22.73</v>
      </c>
      <c r="T196" s="2">
        <v>1.6</v>
      </c>
      <c r="U196" s="2">
        <v>156.05000000000001</v>
      </c>
      <c r="V196" s="2">
        <v>104.6</v>
      </c>
      <c r="W196" s="2">
        <v>1.59</v>
      </c>
      <c r="X196" s="2">
        <v>-19.27</v>
      </c>
      <c r="Y196" s="2">
        <v>-26.35</v>
      </c>
      <c r="Z196" s="2">
        <v>-25.3</v>
      </c>
    </row>
    <row r="197" spans="1:26" x14ac:dyDescent="0.25">
      <c r="A197" s="1" t="s">
        <v>945</v>
      </c>
      <c r="B197" s="1" t="s">
        <v>946</v>
      </c>
      <c r="C197" s="1" t="s">
        <v>45</v>
      </c>
      <c r="D197" s="1" t="s">
        <v>140</v>
      </c>
      <c r="E197" s="1" t="s">
        <v>284</v>
      </c>
      <c r="F197" s="1" t="s">
        <v>947</v>
      </c>
      <c r="G197" s="1" t="s">
        <v>12480</v>
      </c>
      <c r="H197" s="1" t="s">
        <v>948</v>
      </c>
      <c r="I197" s="2">
        <v>517.23</v>
      </c>
      <c r="J197" s="2">
        <v>10.039999999999999</v>
      </c>
      <c r="K197" s="2">
        <v>15.59</v>
      </c>
      <c r="L197" s="2">
        <v>20.48</v>
      </c>
      <c r="M197" s="4">
        <f t="shared" si="18"/>
        <v>33.177036561898653</v>
      </c>
      <c r="N197" s="4">
        <f t="shared" si="19"/>
        <v>25.25537109375</v>
      </c>
      <c r="O197" s="5">
        <f t="shared" si="20"/>
        <v>0.55278884462151412</v>
      </c>
      <c r="P197" s="5">
        <f t="shared" si="21"/>
        <v>0.31366260423348313</v>
      </c>
      <c r="Q197" s="4">
        <f t="shared" si="22"/>
        <v>0.60017558032695928</v>
      </c>
      <c r="R197" s="4">
        <f t="shared" si="23"/>
        <v>0.80517635041219282</v>
      </c>
      <c r="S197" s="4">
        <v>16.38</v>
      </c>
      <c r="T197" s="2">
        <v>2.5099999999999998</v>
      </c>
      <c r="U197" s="2">
        <v>733.6</v>
      </c>
      <c r="V197" s="2">
        <v>219.37</v>
      </c>
      <c r="W197" s="2">
        <v>19.46</v>
      </c>
      <c r="X197" s="2">
        <v>12.35</v>
      </c>
      <c r="Y197" s="2">
        <v>-23.39</v>
      </c>
      <c r="Z197" s="2">
        <v>-23.24</v>
      </c>
    </row>
    <row r="198" spans="1:26" x14ac:dyDescent="0.25">
      <c r="A198" s="1" t="s">
        <v>949</v>
      </c>
      <c r="B198" s="1" t="s">
        <v>950</v>
      </c>
      <c r="C198" s="1" t="s">
        <v>45</v>
      </c>
      <c r="D198" s="1" t="s">
        <v>32</v>
      </c>
      <c r="E198" s="1" t="s">
        <v>311</v>
      </c>
      <c r="F198" s="1" t="s">
        <v>951</v>
      </c>
      <c r="G198" s="1" t="s">
        <v>12480</v>
      </c>
      <c r="H198" s="1" t="s">
        <v>952</v>
      </c>
      <c r="I198" s="2">
        <v>189.71</v>
      </c>
      <c r="J198" s="2">
        <v>5.29</v>
      </c>
      <c r="K198" s="2">
        <v>6.36</v>
      </c>
      <c r="L198" s="2">
        <v>7.84</v>
      </c>
      <c r="M198" s="4">
        <f t="shared" si="18"/>
        <v>29.828616352201259</v>
      </c>
      <c r="N198" s="4">
        <f t="shared" si="19"/>
        <v>24.197704081632654</v>
      </c>
      <c r="O198" s="5">
        <f t="shared" si="20"/>
        <v>0.20226843100189051</v>
      </c>
      <c r="P198" s="5">
        <f t="shared" si="21"/>
        <v>0.23270440251572322</v>
      </c>
      <c r="Q198" s="4">
        <f t="shared" si="22"/>
        <v>1.4747044906835938</v>
      </c>
      <c r="R198" s="4">
        <f t="shared" si="23"/>
        <v>1.0398472835079982</v>
      </c>
      <c r="S198" s="4">
        <v>19.72</v>
      </c>
      <c r="T198" s="2">
        <v>0.75</v>
      </c>
      <c r="U198" s="2">
        <v>321.25</v>
      </c>
      <c r="V198" s="2">
        <v>163.33000000000001</v>
      </c>
      <c r="W198" s="2">
        <v>5.04</v>
      </c>
      <c r="X198" s="2">
        <v>3.22</v>
      </c>
      <c r="Y198" s="2">
        <v>-15.5</v>
      </c>
      <c r="Z198" s="2">
        <v>-18.46</v>
      </c>
    </row>
    <row r="199" spans="1:26" x14ac:dyDescent="0.25">
      <c r="A199" s="1" t="s">
        <v>953</v>
      </c>
      <c r="B199" s="1" t="s">
        <v>954</v>
      </c>
      <c r="C199" s="1" t="s">
        <v>45</v>
      </c>
      <c r="D199" s="1" t="s">
        <v>32</v>
      </c>
      <c r="E199" s="1" t="s">
        <v>311</v>
      </c>
      <c r="F199" s="1" t="s">
        <v>955</v>
      </c>
      <c r="G199" s="1" t="s">
        <v>12480</v>
      </c>
      <c r="H199" s="1" t="s">
        <v>956</v>
      </c>
      <c r="I199" s="2">
        <v>26.57</v>
      </c>
      <c r="J199" s="2">
        <v>0.61</v>
      </c>
      <c r="K199" s="2">
        <v>0.88</v>
      </c>
      <c r="L199" s="2">
        <v>1.1499999999999999</v>
      </c>
      <c r="M199" s="4">
        <f t="shared" si="18"/>
        <v>30.19318181818182</v>
      </c>
      <c r="N199" s="4">
        <f t="shared" si="19"/>
        <v>23.104347826086958</v>
      </c>
      <c r="O199" s="5">
        <f t="shared" si="20"/>
        <v>0.44262295081967218</v>
      </c>
      <c r="P199" s="5">
        <f t="shared" si="21"/>
        <v>0.30681818181818166</v>
      </c>
      <c r="Q199" s="4">
        <f t="shared" si="22"/>
        <v>0.68214225589225586</v>
      </c>
      <c r="R199" s="4">
        <f t="shared" si="23"/>
        <v>0.75303059581320497</v>
      </c>
      <c r="S199" s="4">
        <v>17.809999999999999</v>
      </c>
      <c r="T199" s="2">
        <v>0.92</v>
      </c>
      <c r="U199" s="2">
        <v>45.64</v>
      </c>
      <c r="V199" s="2">
        <v>22.38</v>
      </c>
      <c r="W199" s="2">
        <v>0.64</v>
      </c>
      <c r="X199" s="2">
        <v>4.4800000000000004</v>
      </c>
      <c r="Y199" s="2" t="s">
        <v>12536</v>
      </c>
      <c r="Z199" s="2">
        <v>-24.99</v>
      </c>
    </row>
    <row r="200" spans="1:26" x14ac:dyDescent="0.25">
      <c r="A200" s="1" t="s">
        <v>957</v>
      </c>
      <c r="B200" s="1" t="s">
        <v>958</v>
      </c>
      <c r="C200" s="1" t="s">
        <v>16</v>
      </c>
      <c r="D200" s="1" t="s">
        <v>305</v>
      </c>
      <c r="E200" s="1" t="s">
        <v>306</v>
      </c>
      <c r="F200" s="1" t="s">
        <v>959</v>
      </c>
      <c r="G200" s="1" t="s">
        <v>12480</v>
      </c>
      <c r="H200" s="1" t="s">
        <v>960</v>
      </c>
      <c r="I200" s="2">
        <v>72.849999999999994</v>
      </c>
      <c r="J200" s="2">
        <v>7.82</v>
      </c>
      <c r="K200" s="2">
        <v>8.4</v>
      </c>
      <c r="L200" s="2">
        <v>9.42</v>
      </c>
      <c r="M200" s="4">
        <f t="shared" si="18"/>
        <v>8.6726190476190474</v>
      </c>
      <c r="N200" s="4">
        <f t="shared" si="19"/>
        <v>7.7335456475583859</v>
      </c>
      <c r="O200" s="5">
        <f t="shared" si="20"/>
        <v>7.4168797953964249E-2</v>
      </c>
      <c r="P200" s="5">
        <f t="shared" si="21"/>
        <v>0.12142857142857144</v>
      </c>
      <c r="Q200" s="4">
        <f t="shared" si="22"/>
        <v>1.1693082922824294</v>
      </c>
      <c r="R200" s="4">
        <f t="shared" si="23"/>
        <v>0.63688022979892578</v>
      </c>
      <c r="S200" s="4">
        <v>3.47</v>
      </c>
      <c r="T200" s="2">
        <v>1.5</v>
      </c>
      <c r="U200" s="2">
        <v>88.67</v>
      </c>
      <c r="V200" s="2">
        <v>47.92</v>
      </c>
      <c r="W200" s="2">
        <v>0.52</v>
      </c>
      <c r="X200" s="2">
        <v>-12.62</v>
      </c>
      <c r="Y200" s="2">
        <v>-5.82</v>
      </c>
      <c r="Z200" s="2">
        <v>-4.26</v>
      </c>
    </row>
    <row r="201" spans="1:26" x14ac:dyDescent="0.25">
      <c r="A201" s="1" t="s">
        <v>961</v>
      </c>
      <c r="B201" s="1" t="s">
        <v>962</v>
      </c>
      <c r="C201" s="1" t="s">
        <v>16</v>
      </c>
      <c r="D201" s="1" t="s">
        <v>354</v>
      </c>
      <c r="E201" s="1" t="s">
        <v>355</v>
      </c>
      <c r="F201" s="1" t="s">
        <v>963</v>
      </c>
      <c r="G201" s="1" t="s">
        <v>12480</v>
      </c>
      <c r="H201" s="1" t="s">
        <v>964</v>
      </c>
      <c r="I201" s="2">
        <v>6.19</v>
      </c>
      <c r="J201" s="2">
        <v>0.34</v>
      </c>
      <c r="K201" s="2">
        <v>0.37</v>
      </c>
      <c r="L201" s="2">
        <v>0.43</v>
      </c>
      <c r="M201" s="4">
        <f t="shared" si="18"/>
        <v>16.72972972972973</v>
      </c>
      <c r="N201" s="4">
        <f t="shared" si="19"/>
        <v>14.395348837209303</v>
      </c>
      <c r="O201" s="5">
        <f t="shared" si="20"/>
        <v>8.8235294117646967E-2</v>
      </c>
      <c r="P201" s="5">
        <f t="shared" si="21"/>
        <v>0.16216216216216206</v>
      </c>
      <c r="Q201" s="4">
        <f t="shared" si="22"/>
        <v>1.8960360360360382</v>
      </c>
      <c r="R201" s="4">
        <f t="shared" si="23"/>
        <v>0.88771317829457419</v>
      </c>
      <c r="S201" s="4">
        <v>4.92</v>
      </c>
      <c r="T201" s="2">
        <v>0.75</v>
      </c>
      <c r="U201" s="2">
        <v>6.98</v>
      </c>
      <c r="V201" s="2">
        <v>4.5599999999999996</v>
      </c>
      <c r="W201" s="2">
        <v>-11.06</v>
      </c>
      <c r="X201" s="2">
        <v>-4.62</v>
      </c>
      <c r="Y201" s="2">
        <v>4.03</v>
      </c>
      <c r="Z201" s="2">
        <v>0.65</v>
      </c>
    </row>
    <row r="202" spans="1:26" x14ac:dyDescent="0.25">
      <c r="A202" s="1" t="s">
        <v>965</v>
      </c>
      <c r="B202" s="1" t="s">
        <v>966</v>
      </c>
      <c r="C202" s="1" t="s">
        <v>16</v>
      </c>
      <c r="D202" s="1" t="s">
        <v>94</v>
      </c>
      <c r="E202" s="1" t="s">
        <v>894</v>
      </c>
      <c r="F202" s="1" t="s">
        <v>967</v>
      </c>
      <c r="G202" s="1" t="s">
        <v>12480</v>
      </c>
      <c r="H202" s="1" t="s">
        <v>968</v>
      </c>
      <c r="I202" s="2">
        <v>39.090000000000003</v>
      </c>
      <c r="J202" s="2">
        <v>1.71</v>
      </c>
      <c r="K202" s="2">
        <v>3.14</v>
      </c>
      <c r="L202" s="2">
        <v>3.7</v>
      </c>
      <c r="M202" s="4">
        <f t="shared" si="18"/>
        <v>12.449044585987261</v>
      </c>
      <c r="N202" s="4">
        <f t="shared" si="19"/>
        <v>10.564864864864866</v>
      </c>
      <c r="O202" s="5">
        <f t="shared" si="20"/>
        <v>0.83625730994152048</v>
      </c>
      <c r="P202" s="5">
        <f t="shared" si="21"/>
        <v>0.17834394904458595</v>
      </c>
      <c r="Q202" s="4">
        <f t="shared" si="22"/>
        <v>0.14886619749677074</v>
      </c>
      <c r="R202" s="4">
        <f t="shared" si="23"/>
        <v>0.59238706563706578</v>
      </c>
      <c r="S202" s="4">
        <v>21.97</v>
      </c>
      <c r="T202" s="2">
        <v>0.52</v>
      </c>
      <c r="U202" s="2">
        <v>43.78</v>
      </c>
      <c r="V202" s="2">
        <v>29.87</v>
      </c>
      <c r="W202" s="2">
        <v>5.42</v>
      </c>
      <c r="X202" s="2">
        <v>14.16</v>
      </c>
      <c r="Y202" s="2">
        <v>12.17</v>
      </c>
      <c r="Z202" s="2">
        <v>13.44</v>
      </c>
    </row>
    <row r="203" spans="1:26" x14ac:dyDescent="0.25">
      <c r="A203" s="1" t="s">
        <v>969</v>
      </c>
      <c r="B203" s="1" t="s">
        <v>970</v>
      </c>
      <c r="C203" s="1" t="s">
        <v>31</v>
      </c>
      <c r="D203" s="1" t="s">
        <v>61</v>
      </c>
      <c r="E203" s="1" t="s">
        <v>237</v>
      </c>
      <c r="F203" s="1" t="s">
        <v>971</v>
      </c>
      <c r="G203" s="1" t="s">
        <v>12480</v>
      </c>
      <c r="H203" s="1" t="s">
        <v>972</v>
      </c>
      <c r="I203" s="2" t="s">
        <v>12537</v>
      </c>
      <c r="J203" s="2">
        <v>3.03</v>
      </c>
      <c r="K203" s="2">
        <v>3.88</v>
      </c>
      <c r="L203" s="2">
        <v>4.18</v>
      </c>
      <c r="M203" s="4">
        <f t="shared" si="18"/>
        <v>10.824742268041238</v>
      </c>
      <c r="N203" s="4">
        <f t="shared" si="19"/>
        <v>10.047846889952154</v>
      </c>
      <c r="O203" s="5">
        <f t="shared" si="20"/>
        <v>0.28052805280528048</v>
      </c>
      <c r="P203" s="5">
        <f t="shared" si="21"/>
        <v>7.7319587628865927E-2</v>
      </c>
      <c r="Q203" s="4">
        <f t="shared" si="22"/>
        <v>0.38587022437841123</v>
      </c>
      <c r="R203" s="4">
        <f t="shared" si="23"/>
        <v>1.2995215311004795</v>
      </c>
      <c r="S203" s="4">
        <v>1.29</v>
      </c>
      <c r="T203" s="2">
        <v>0.49</v>
      </c>
      <c r="U203" s="2">
        <v>59.1</v>
      </c>
      <c r="V203" s="2">
        <v>28.86</v>
      </c>
      <c r="W203" s="2">
        <v>-4.4800000000000004</v>
      </c>
      <c r="X203" s="2" t="s">
        <v>12538</v>
      </c>
      <c r="Y203" s="2" t="s">
        <v>12508</v>
      </c>
      <c r="Z203" s="2">
        <v>2.44</v>
      </c>
    </row>
    <row r="204" spans="1:26" x14ac:dyDescent="0.25">
      <c r="A204" s="1" t="s">
        <v>974</v>
      </c>
      <c r="B204" s="1" t="s">
        <v>975</v>
      </c>
      <c r="C204" s="1" t="s">
        <v>45</v>
      </c>
      <c r="D204" s="1" t="s">
        <v>46</v>
      </c>
      <c r="E204" s="1" t="s">
        <v>977</v>
      </c>
      <c r="F204" s="1" t="s">
        <v>976</v>
      </c>
      <c r="G204" s="1" t="s">
        <v>12480</v>
      </c>
      <c r="H204" s="1" t="s">
        <v>12539</v>
      </c>
      <c r="I204" s="2">
        <v>94.14</v>
      </c>
      <c r="J204" s="2">
        <v>3.7</v>
      </c>
      <c r="K204" s="2">
        <v>4.74</v>
      </c>
      <c r="L204" s="2">
        <v>7.42</v>
      </c>
      <c r="M204" s="4">
        <f t="shared" si="18"/>
        <v>19.860759493670884</v>
      </c>
      <c r="N204" s="4">
        <f t="shared" si="19"/>
        <v>12.68733153638814</v>
      </c>
      <c r="O204" s="5">
        <f t="shared" si="20"/>
        <v>0.2810810810810811</v>
      </c>
      <c r="P204" s="5">
        <f t="shared" si="21"/>
        <v>0.56540084388185652</v>
      </c>
      <c r="Q204" s="4">
        <f t="shared" si="22"/>
        <v>0.70658471275559875</v>
      </c>
      <c r="R204" s="4">
        <f t="shared" si="23"/>
        <v>0.2243953413525365</v>
      </c>
      <c r="S204" s="4">
        <v>-4.04</v>
      </c>
      <c r="T204" s="2">
        <v>1.48</v>
      </c>
      <c r="U204" s="2">
        <v>111.96</v>
      </c>
      <c r="V204" s="2">
        <v>56.73</v>
      </c>
      <c r="W204" s="2">
        <v>-11.65</v>
      </c>
      <c r="X204" s="2">
        <v>-13.38</v>
      </c>
      <c r="Y204" s="2">
        <v>21.96</v>
      </c>
      <c r="Z204" s="2">
        <v>26.89</v>
      </c>
    </row>
    <row r="205" spans="1:26" x14ac:dyDescent="0.25">
      <c r="A205" s="1" t="s">
        <v>979</v>
      </c>
      <c r="B205" s="1" t="s">
        <v>980</v>
      </c>
      <c r="C205" s="1" t="s">
        <v>45</v>
      </c>
      <c r="D205" s="1" t="s">
        <v>38</v>
      </c>
      <c r="E205" s="1" t="s">
        <v>712</v>
      </c>
      <c r="F205" s="1" t="s">
        <v>981</v>
      </c>
      <c r="G205" s="1" t="s">
        <v>12480</v>
      </c>
      <c r="H205" s="1" t="s">
        <v>982</v>
      </c>
      <c r="I205" s="2">
        <v>18.690000000000001</v>
      </c>
      <c r="J205" s="2">
        <v>2.0099999999999998</v>
      </c>
      <c r="K205" s="2">
        <v>1.94</v>
      </c>
      <c r="L205" s="2">
        <v>1.92</v>
      </c>
      <c r="M205" s="4">
        <f t="shared" si="18"/>
        <v>9.6340206185567023</v>
      </c>
      <c r="N205" s="4">
        <f t="shared" si="19"/>
        <v>9.7343750000000018</v>
      </c>
      <c r="O205" s="5">
        <f t="shared" si="20"/>
        <v>-3.4825870646766122E-2</v>
      </c>
      <c r="P205" s="5">
        <f t="shared" si="21"/>
        <v>-1.0309278350515427E-2</v>
      </c>
      <c r="Q205" s="4">
        <f t="shared" si="22"/>
        <v>-2.7663402061855713</v>
      </c>
      <c r="R205" s="4">
        <f t="shared" si="23"/>
        <v>-9.4423437500000347</v>
      </c>
      <c r="S205" s="4">
        <v>2.0699999999999998</v>
      </c>
      <c r="T205" s="2">
        <v>0.59</v>
      </c>
      <c r="U205" s="2">
        <v>23.25</v>
      </c>
      <c r="V205" s="2">
        <v>18.62</v>
      </c>
      <c r="W205" s="2">
        <v>-1.53</v>
      </c>
      <c r="X205" s="2">
        <v>-4.0599999999999996</v>
      </c>
      <c r="Y205" s="2">
        <v>-7.98</v>
      </c>
      <c r="Z205" s="2">
        <v>-7.61</v>
      </c>
    </row>
    <row r="206" spans="1:26" x14ac:dyDescent="0.25">
      <c r="A206" s="1" t="s">
        <v>983</v>
      </c>
      <c r="B206" s="1" t="s">
        <v>984</v>
      </c>
      <c r="C206" s="1" t="s">
        <v>16</v>
      </c>
      <c r="D206" s="1" t="s">
        <v>18</v>
      </c>
      <c r="E206" s="1" t="s">
        <v>624</v>
      </c>
      <c r="F206" s="1" t="s">
        <v>985</v>
      </c>
      <c r="G206" s="1" t="s">
        <v>12480</v>
      </c>
      <c r="H206" s="1" t="s">
        <v>986</v>
      </c>
      <c r="I206" s="2">
        <v>9.17</v>
      </c>
      <c r="J206" s="2">
        <v>1.65</v>
      </c>
      <c r="K206" s="2">
        <v>1.26</v>
      </c>
      <c r="L206" s="2">
        <v>1.32</v>
      </c>
      <c r="M206" s="4">
        <f t="shared" si="18"/>
        <v>7.2777777777777777</v>
      </c>
      <c r="N206" s="4">
        <f t="shared" si="19"/>
        <v>6.9469696969696964</v>
      </c>
      <c r="O206" s="5">
        <f t="shared" si="20"/>
        <v>-0.23636363636363633</v>
      </c>
      <c r="P206" s="5">
        <f t="shared" si="21"/>
        <v>4.7619047619047672E-2</v>
      </c>
      <c r="Q206" s="4">
        <f t="shared" si="22"/>
        <v>-0.30790598290598292</v>
      </c>
      <c r="R206" s="4">
        <f t="shared" si="23"/>
        <v>1.4588636363636347</v>
      </c>
      <c r="S206" s="4" t="s">
        <v>12833</v>
      </c>
      <c r="T206" s="2">
        <v>0.46</v>
      </c>
      <c r="U206" s="2">
        <v>15.41</v>
      </c>
      <c r="V206" s="2">
        <v>8.17</v>
      </c>
      <c r="W206" s="2">
        <v>-3.27</v>
      </c>
      <c r="X206" s="2">
        <v>1.78</v>
      </c>
      <c r="Y206" s="2">
        <v>3.03</v>
      </c>
      <c r="Z206" s="2">
        <v>3.85</v>
      </c>
    </row>
    <row r="207" spans="1:26" x14ac:dyDescent="0.25">
      <c r="A207" s="1" t="s">
        <v>987</v>
      </c>
      <c r="B207" s="1" t="s">
        <v>988</v>
      </c>
      <c r="C207" s="1" t="s">
        <v>45</v>
      </c>
      <c r="D207" s="1" t="s">
        <v>18</v>
      </c>
      <c r="E207" s="1" t="s">
        <v>780</v>
      </c>
      <c r="F207" s="1" t="s">
        <v>989</v>
      </c>
      <c r="G207" s="1" t="s">
        <v>12480</v>
      </c>
      <c r="H207" s="1" t="s">
        <v>990</v>
      </c>
      <c r="I207" s="2">
        <v>6.17</v>
      </c>
      <c r="J207" s="2">
        <v>-0.26</v>
      </c>
      <c r="K207" s="2">
        <v>0.01</v>
      </c>
      <c r="L207" s="2">
        <v>0.57999999999999996</v>
      </c>
      <c r="M207" s="4">
        <f t="shared" si="18"/>
        <v>617</v>
      </c>
      <c r="N207" s="4">
        <f t="shared" si="19"/>
        <v>10.63793103448276</v>
      </c>
      <c r="O207" s="5">
        <f t="shared" si="20"/>
        <v>-1.0384615384615385</v>
      </c>
      <c r="P207" s="5">
        <f t="shared" si="21"/>
        <v>56.999999999999993</v>
      </c>
      <c r="Q207" s="4">
        <f t="shared" si="22"/>
        <v>-5.9414814814814809</v>
      </c>
      <c r="R207" s="4">
        <f t="shared" si="23"/>
        <v>1.8663036902601335E-3</v>
      </c>
      <c r="S207" s="4">
        <v>22.09</v>
      </c>
      <c r="T207" s="2">
        <v>0.61</v>
      </c>
      <c r="U207" s="2">
        <v>7.99</v>
      </c>
      <c r="V207" s="2">
        <v>3.28</v>
      </c>
      <c r="W207" s="2">
        <v>-4.6399999999999997</v>
      </c>
      <c r="X207" s="2">
        <v>-15.83</v>
      </c>
      <c r="Y207" s="2">
        <v>-0.48</v>
      </c>
      <c r="Z207" s="2">
        <v>5.83</v>
      </c>
    </row>
    <row r="208" spans="1:26" x14ac:dyDescent="0.25">
      <c r="A208" s="1" t="s">
        <v>991</v>
      </c>
      <c r="B208" s="1" t="s">
        <v>992</v>
      </c>
      <c r="C208" s="1" t="s">
        <v>16</v>
      </c>
      <c r="D208" s="1" t="s">
        <v>38</v>
      </c>
      <c r="E208" s="1" t="s">
        <v>510</v>
      </c>
      <c r="F208" s="1" t="s">
        <v>993</v>
      </c>
      <c r="G208" s="1" t="s">
        <v>12480</v>
      </c>
      <c r="H208" s="1" t="s">
        <v>994</v>
      </c>
      <c r="I208" s="2">
        <v>51.18</v>
      </c>
      <c r="J208" s="2">
        <v>9.01</v>
      </c>
      <c r="K208" s="2">
        <v>6.4</v>
      </c>
      <c r="L208" s="2">
        <v>6.06</v>
      </c>
      <c r="M208" s="4">
        <f t="shared" si="18"/>
        <v>7.9968749999999993</v>
      </c>
      <c r="N208" s="4">
        <f t="shared" si="19"/>
        <v>8.4455445544554468</v>
      </c>
      <c r="O208" s="5">
        <f t="shared" si="20"/>
        <v>-0.28967813540510534</v>
      </c>
      <c r="P208" s="5">
        <f t="shared" si="21"/>
        <v>-5.3125000000000089E-2</v>
      </c>
      <c r="Q208" s="4">
        <f t="shared" si="22"/>
        <v>-0.2760607040229886</v>
      </c>
      <c r="R208" s="4">
        <f t="shared" si="23"/>
        <v>-1.5897495631916108</v>
      </c>
      <c r="S208" s="4">
        <v>-2.88</v>
      </c>
      <c r="T208" s="2">
        <v>1.31</v>
      </c>
      <c r="U208" s="2">
        <v>102.49</v>
      </c>
      <c r="V208" s="2">
        <v>44.97</v>
      </c>
      <c r="W208" s="2">
        <v>-2.76</v>
      </c>
      <c r="X208" s="2">
        <v>-8.93</v>
      </c>
      <c r="Y208" s="2">
        <v>7.95</v>
      </c>
      <c r="Z208" s="2">
        <v>4.58</v>
      </c>
    </row>
    <row r="209" spans="1:26" x14ac:dyDescent="0.25">
      <c r="A209" s="1" t="s">
        <v>995</v>
      </c>
      <c r="B209" s="1" t="s">
        <v>996</v>
      </c>
      <c r="C209" s="1" t="s">
        <v>16</v>
      </c>
      <c r="D209" s="1" t="s">
        <v>38</v>
      </c>
      <c r="E209" s="1" t="s">
        <v>101</v>
      </c>
      <c r="F209" s="1" t="s">
        <v>997</v>
      </c>
      <c r="G209" s="1" t="s">
        <v>12480</v>
      </c>
      <c r="H209" s="1" t="s">
        <v>998</v>
      </c>
      <c r="I209" s="2">
        <v>108.85</v>
      </c>
      <c r="J209" s="2">
        <v>4.76</v>
      </c>
      <c r="K209" s="2">
        <v>6.51</v>
      </c>
      <c r="L209" s="2">
        <v>7.85</v>
      </c>
      <c r="M209" s="4">
        <f t="shared" si="18"/>
        <v>16.72043010752688</v>
      </c>
      <c r="N209" s="4">
        <f t="shared" si="19"/>
        <v>13.86624203821656</v>
      </c>
      <c r="O209" s="5">
        <f t="shared" si="20"/>
        <v>0.36764705882352944</v>
      </c>
      <c r="P209" s="5">
        <f t="shared" si="21"/>
        <v>0.20583717357910913</v>
      </c>
      <c r="Q209" s="4">
        <f t="shared" si="22"/>
        <v>0.45479569892473115</v>
      </c>
      <c r="R209" s="4">
        <f t="shared" si="23"/>
        <v>0.673651012453655</v>
      </c>
      <c r="S209" s="4">
        <v>44.19</v>
      </c>
      <c r="T209" s="2">
        <v>1.55</v>
      </c>
      <c r="U209" s="2">
        <v>192.76</v>
      </c>
      <c r="V209" s="2">
        <v>108.85</v>
      </c>
      <c r="W209" s="2">
        <v>-3.98</v>
      </c>
      <c r="X209" s="2">
        <v>-20.69</v>
      </c>
      <c r="Y209" s="2">
        <v>-36.96</v>
      </c>
      <c r="Z209" s="2">
        <v>-32.659999999999997</v>
      </c>
    </row>
    <row r="210" spans="1:26" x14ac:dyDescent="0.25">
      <c r="A210" s="1" t="s">
        <v>999</v>
      </c>
      <c r="B210" s="1" t="s">
        <v>1000</v>
      </c>
      <c r="C210" s="1" t="s">
        <v>45</v>
      </c>
      <c r="D210" s="1" t="s">
        <v>18</v>
      </c>
      <c r="E210" s="1" t="s">
        <v>74</v>
      </c>
      <c r="F210" s="1" t="s">
        <v>1001</v>
      </c>
      <c r="G210" s="1" t="s">
        <v>12480</v>
      </c>
      <c r="H210" s="1" t="s">
        <v>1002</v>
      </c>
      <c r="I210" s="2">
        <v>740.4</v>
      </c>
      <c r="J210" s="2">
        <v>19.57</v>
      </c>
      <c r="K210" s="2">
        <v>24.75</v>
      </c>
      <c r="L210" s="2">
        <v>31.8</v>
      </c>
      <c r="M210" s="4">
        <f t="shared" si="18"/>
        <v>29.915151515151514</v>
      </c>
      <c r="N210" s="4">
        <f t="shared" si="19"/>
        <v>23.283018867924525</v>
      </c>
      <c r="O210" s="5">
        <f t="shared" si="20"/>
        <v>0.26469085334695963</v>
      </c>
      <c r="P210" s="5">
        <f t="shared" si="21"/>
        <v>0.28484848484848491</v>
      </c>
      <c r="Q210" s="4">
        <f t="shared" si="22"/>
        <v>1.1301921141921143</v>
      </c>
      <c r="R210" s="4">
        <f t="shared" si="23"/>
        <v>0.81738257727820118</v>
      </c>
      <c r="S210" s="4">
        <v>88.63</v>
      </c>
      <c r="T210" s="2">
        <v>0.38</v>
      </c>
      <c r="U210" s="2">
        <v>929.61</v>
      </c>
      <c r="V210" s="2">
        <v>532.27</v>
      </c>
      <c r="W210" s="2">
        <v>-2.16</v>
      </c>
      <c r="X210" s="2">
        <v>-10.61</v>
      </c>
      <c r="Y210" s="2">
        <v>-12.99</v>
      </c>
      <c r="Z210" s="2">
        <v>-11.96</v>
      </c>
    </row>
    <row r="211" spans="1:26" x14ac:dyDescent="0.25">
      <c r="A211" s="1" t="s">
        <v>1004</v>
      </c>
      <c r="B211" s="1" t="s">
        <v>1005</v>
      </c>
      <c r="C211" s="1" t="s">
        <v>45</v>
      </c>
      <c r="D211" s="1" t="s">
        <v>67</v>
      </c>
      <c r="E211" s="1" t="s">
        <v>882</v>
      </c>
      <c r="F211" s="1" t="s">
        <v>1006</v>
      </c>
      <c r="G211" s="1" t="s">
        <v>12480</v>
      </c>
      <c r="H211" s="1" t="s">
        <v>1007</v>
      </c>
      <c r="I211" s="2">
        <v>7.37</v>
      </c>
      <c r="J211" s="2">
        <v>0.48</v>
      </c>
      <c r="K211" s="2">
        <v>0.51</v>
      </c>
      <c r="L211" s="2">
        <v>0.56999999999999995</v>
      </c>
      <c r="M211" s="4">
        <f t="shared" si="18"/>
        <v>14.450980392156863</v>
      </c>
      <c r="N211" s="4">
        <f t="shared" si="19"/>
        <v>12.92982456140351</v>
      </c>
      <c r="O211" s="5">
        <f t="shared" si="20"/>
        <v>6.25E-2</v>
      </c>
      <c r="P211" s="5">
        <f t="shared" si="21"/>
        <v>0.11764705882352922</v>
      </c>
      <c r="Q211" s="4">
        <f t="shared" si="22"/>
        <v>2.3121568627450979</v>
      </c>
      <c r="R211" s="4">
        <f t="shared" si="23"/>
        <v>1.0990350877193003</v>
      </c>
      <c r="S211" s="4" t="s">
        <v>12834</v>
      </c>
      <c r="T211" s="2">
        <v>2.54</v>
      </c>
      <c r="U211" s="2">
        <v>12.8</v>
      </c>
      <c r="V211" s="2">
        <v>7.06</v>
      </c>
      <c r="W211" s="2">
        <v>-8.9</v>
      </c>
      <c r="X211" s="2">
        <v>-31.06</v>
      </c>
      <c r="Y211" s="2">
        <v>-34.549999999999997</v>
      </c>
      <c r="Z211" s="2">
        <v>-34.26</v>
      </c>
    </row>
    <row r="212" spans="1:26" x14ac:dyDescent="0.25">
      <c r="A212" s="1" t="s">
        <v>1008</v>
      </c>
      <c r="B212" s="1" t="s">
        <v>1009</v>
      </c>
      <c r="C212" s="1" t="s">
        <v>16</v>
      </c>
      <c r="D212" s="1" t="s">
        <v>38</v>
      </c>
      <c r="E212" s="1" t="s">
        <v>153</v>
      </c>
      <c r="F212" s="1" t="s">
        <v>1010</v>
      </c>
      <c r="G212" s="1" t="s">
        <v>12480</v>
      </c>
      <c r="H212" s="1" t="s">
        <v>1011</v>
      </c>
      <c r="I212" s="2">
        <v>10.47</v>
      </c>
      <c r="J212" s="2">
        <v>1.05</v>
      </c>
      <c r="K212" s="2">
        <v>0.98</v>
      </c>
      <c r="L212" s="2">
        <v>1.05</v>
      </c>
      <c r="M212" s="4">
        <f t="shared" si="18"/>
        <v>10.683673469387756</v>
      </c>
      <c r="N212" s="4">
        <f t="shared" si="19"/>
        <v>9.9714285714285715</v>
      </c>
      <c r="O212" s="5">
        <f t="shared" si="20"/>
        <v>-6.6666666666666763E-2</v>
      </c>
      <c r="P212" s="5">
        <f t="shared" si="21"/>
        <v>7.1428571428571397E-2</v>
      </c>
      <c r="Q212" s="4">
        <f t="shared" si="22"/>
        <v>-1.602551020408161</v>
      </c>
      <c r="R212" s="4">
        <f t="shared" si="23"/>
        <v>1.3960000000000006</v>
      </c>
      <c r="S212" s="4">
        <v>-10.56</v>
      </c>
      <c r="T212" s="2">
        <v>1.52</v>
      </c>
      <c r="U212" s="2">
        <v>11.02</v>
      </c>
      <c r="V212" s="2">
        <v>7.98</v>
      </c>
      <c r="W212" s="2">
        <v>-1.87</v>
      </c>
      <c r="X212" s="2">
        <v>-2.06</v>
      </c>
      <c r="Y212" s="2">
        <v>2.75</v>
      </c>
      <c r="Z212" s="2">
        <v>8.16</v>
      </c>
    </row>
    <row r="213" spans="1:26" x14ac:dyDescent="0.25">
      <c r="A213" s="1" t="s">
        <v>1012</v>
      </c>
      <c r="B213" s="1" t="s">
        <v>1013</v>
      </c>
      <c r="C213" s="1" t="s">
        <v>16</v>
      </c>
      <c r="D213" s="1" t="s">
        <v>88</v>
      </c>
      <c r="E213" s="1" t="s">
        <v>89</v>
      </c>
      <c r="F213" s="1" t="s">
        <v>1014</v>
      </c>
      <c r="G213" s="1" t="s">
        <v>12480</v>
      </c>
      <c r="H213" s="1" t="s">
        <v>1015</v>
      </c>
      <c r="I213" s="2">
        <v>19.32</v>
      </c>
      <c r="J213" s="2">
        <v>0.34</v>
      </c>
      <c r="K213" s="2">
        <v>2.68</v>
      </c>
      <c r="L213" s="2">
        <v>4.08</v>
      </c>
      <c r="M213" s="4">
        <f t="shared" si="18"/>
        <v>7.2089552238805963</v>
      </c>
      <c r="N213" s="4">
        <f t="shared" si="19"/>
        <v>4.7352941176470589</v>
      </c>
      <c r="O213" s="5">
        <f t="shared" si="20"/>
        <v>6.8823529411764701</v>
      </c>
      <c r="P213" s="5">
        <f t="shared" si="21"/>
        <v>0.52238805970149249</v>
      </c>
      <c r="Q213" s="4">
        <f t="shared" si="22"/>
        <v>1.0474550325296594E-2</v>
      </c>
      <c r="R213" s="4">
        <f t="shared" si="23"/>
        <v>9.0647058823529414E-2</v>
      </c>
      <c r="S213" s="4">
        <v>14.06</v>
      </c>
      <c r="T213" s="2">
        <v>-0.74</v>
      </c>
      <c r="U213" s="2">
        <v>22.68</v>
      </c>
      <c r="V213" s="2">
        <v>3.82</v>
      </c>
      <c r="W213" s="2">
        <v>-13.94</v>
      </c>
      <c r="X213" s="2">
        <v>3.37</v>
      </c>
      <c r="Y213" s="2">
        <v>22.67</v>
      </c>
      <c r="Z213" s="2">
        <v>19.04</v>
      </c>
    </row>
    <row r="214" spans="1:26" x14ac:dyDescent="0.25">
      <c r="A214" s="1" t="s">
        <v>1016</v>
      </c>
      <c r="B214" s="1" t="s">
        <v>1017</v>
      </c>
      <c r="C214" s="1" t="s">
        <v>31</v>
      </c>
      <c r="D214" s="1" t="s">
        <v>88</v>
      </c>
      <c r="E214" s="1" t="s">
        <v>504</v>
      </c>
      <c r="F214" s="1" t="s">
        <v>1018</v>
      </c>
      <c r="G214" s="1" t="s">
        <v>12480</v>
      </c>
      <c r="H214" s="1" t="s">
        <v>1019</v>
      </c>
      <c r="I214" s="2">
        <v>61.41</v>
      </c>
      <c r="J214" s="2">
        <v>4.91</v>
      </c>
      <c r="K214" s="2">
        <v>4.0999999999999996</v>
      </c>
      <c r="L214" s="2">
        <v>3.48</v>
      </c>
      <c r="M214" s="4">
        <f t="shared" si="18"/>
        <v>14.978048780487805</v>
      </c>
      <c r="N214" s="4">
        <f t="shared" si="19"/>
        <v>17.646551724137929</v>
      </c>
      <c r="O214" s="5">
        <f t="shared" si="20"/>
        <v>-0.16496945010183306</v>
      </c>
      <c r="P214" s="5">
        <f t="shared" si="21"/>
        <v>-0.15121951219512186</v>
      </c>
      <c r="Q214" s="4">
        <f t="shared" si="22"/>
        <v>-0.90792863595302586</v>
      </c>
      <c r="R214" s="4">
        <f t="shared" si="23"/>
        <v>-1.1669493882091218</v>
      </c>
      <c r="S214" s="4">
        <v>-0.69</v>
      </c>
      <c r="T214" s="2">
        <v>0.87</v>
      </c>
      <c r="U214" s="2">
        <v>91.23</v>
      </c>
      <c r="V214" s="2">
        <v>56.41</v>
      </c>
      <c r="W214" s="2">
        <v>-9.51</v>
      </c>
      <c r="X214" s="2">
        <v>-12.43</v>
      </c>
      <c r="Y214" s="2">
        <v>0.86</v>
      </c>
      <c r="Z214" s="2">
        <v>0.61</v>
      </c>
    </row>
    <row r="215" spans="1:26" x14ac:dyDescent="0.25">
      <c r="A215" s="1" t="s">
        <v>1020</v>
      </c>
      <c r="B215" s="1" t="s">
        <v>1021</v>
      </c>
      <c r="C215" s="1" t="s">
        <v>16</v>
      </c>
      <c r="D215" s="1" t="s">
        <v>32</v>
      </c>
      <c r="E215" s="1" t="s">
        <v>311</v>
      </c>
      <c r="F215" s="1" t="s">
        <v>1022</v>
      </c>
      <c r="G215" s="1" t="s">
        <v>12480</v>
      </c>
      <c r="H215" s="1" t="s">
        <v>1023</v>
      </c>
      <c r="I215" s="2">
        <v>14.07</v>
      </c>
      <c r="J215" s="2">
        <v>0.7</v>
      </c>
      <c r="K215" s="2">
        <v>0.81</v>
      </c>
      <c r="L215" s="2">
        <v>0.96</v>
      </c>
      <c r="M215" s="4">
        <f t="shared" si="18"/>
        <v>17.37037037037037</v>
      </c>
      <c r="N215" s="4">
        <f t="shared" si="19"/>
        <v>14.65625</v>
      </c>
      <c r="O215" s="5">
        <f t="shared" si="20"/>
        <v>0.15714285714285725</v>
      </c>
      <c r="P215" s="5">
        <f t="shared" si="21"/>
        <v>0.18518518518518512</v>
      </c>
      <c r="Q215" s="4">
        <f t="shared" si="22"/>
        <v>1.1053872053872045</v>
      </c>
      <c r="R215" s="4">
        <f t="shared" si="23"/>
        <v>0.79143750000000024</v>
      </c>
      <c r="S215" s="4">
        <v>3.6</v>
      </c>
      <c r="T215" s="2">
        <v>1.65</v>
      </c>
      <c r="U215" s="2">
        <v>19.440000000000001</v>
      </c>
      <c r="V215" s="2">
        <v>8.41</v>
      </c>
      <c r="W215" s="2">
        <v>-7.98</v>
      </c>
      <c r="X215" s="2">
        <v>12.74</v>
      </c>
      <c r="Y215" s="2">
        <v>4.84</v>
      </c>
      <c r="Z215" s="2">
        <v>0.56999999999999995</v>
      </c>
    </row>
    <row r="216" spans="1:26" x14ac:dyDescent="0.25">
      <c r="A216" s="1" t="s">
        <v>1024</v>
      </c>
      <c r="B216" s="1" t="s">
        <v>1025</v>
      </c>
      <c r="C216" s="1" t="s">
        <v>45</v>
      </c>
      <c r="D216" s="1" t="s">
        <v>94</v>
      </c>
      <c r="E216" s="1" t="s">
        <v>1027</v>
      </c>
      <c r="F216" s="1" t="s">
        <v>1026</v>
      </c>
      <c r="G216" s="1" t="s">
        <v>12480</v>
      </c>
      <c r="H216" s="1" t="s">
        <v>1028</v>
      </c>
      <c r="I216" s="2">
        <v>27.24</v>
      </c>
      <c r="J216" s="2">
        <v>2.57</v>
      </c>
      <c r="K216" s="2">
        <v>2.52</v>
      </c>
      <c r="L216" s="2">
        <v>2.59</v>
      </c>
      <c r="M216" s="4">
        <f t="shared" si="18"/>
        <v>10.809523809523808</v>
      </c>
      <c r="N216" s="4">
        <f t="shared" si="19"/>
        <v>10.517374517374517</v>
      </c>
      <c r="O216" s="5">
        <f t="shared" si="20"/>
        <v>-1.9455252918287869E-2</v>
      </c>
      <c r="P216" s="5">
        <f t="shared" si="21"/>
        <v>2.7777777777777679E-2</v>
      </c>
      <c r="Q216" s="4">
        <f t="shared" si="22"/>
        <v>-5.5560952380952573</v>
      </c>
      <c r="R216" s="4">
        <f t="shared" si="23"/>
        <v>3.7862548262548397</v>
      </c>
      <c r="S216" s="4">
        <v>-10.37</v>
      </c>
      <c r="T216" s="2">
        <v>0.3</v>
      </c>
      <c r="U216" s="2" t="s">
        <v>12542</v>
      </c>
      <c r="V216" s="2">
        <v>22.54</v>
      </c>
      <c r="W216" s="2">
        <v>0.96</v>
      </c>
      <c r="X216" s="2">
        <v>11.55</v>
      </c>
      <c r="Y216" s="2">
        <v>15.77</v>
      </c>
      <c r="Z216" s="2">
        <v>17.260000000000002</v>
      </c>
    </row>
    <row r="217" spans="1:26" x14ac:dyDescent="0.25">
      <c r="A217" s="1" t="s">
        <v>1029</v>
      </c>
      <c r="B217" s="1" t="s">
        <v>1030</v>
      </c>
      <c r="C217" s="1" t="s">
        <v>45</v>
      </c>
      <c r="D217" s="1" t="s">
        <v>32</v>
      </c>
      <c r="E217" s="1" t="s">
        <v>57</v>
      </c>
      <c r="F217" s="1" t="s">
        <v>1031</v>
      </c>
      <c r="G217" s="1" t="s">
        <v>12490</v>
      </c>
      <c r="H217" s="1" t="s">
        <v>1032</v>
      </c>
      <c r="I217" s="2">
        <v>117.63</v>
      </c>
      <c r="J217" s="2">
        <v>1.63</v>
      </c>
      <c r="K217" s="2">
        <v>1.78</v>
      </c>
      <c r="L217" s="2">
        <v>2.09</v>
      </c>
      <c r="M217" s="4">
        <f t="shared" si="18"/>
        <v>66.084269662921344</v>
      </c>
      <c r="N217" s="4">
        <f t="shared" si="19"/>
        <v>56.282296650717704</v>
      </c>
      <c r="O217" s="5">
        <f t="shared" si="20"/>
        <v>9.2024539877300748E-2</v>
      </c>
      <c r="P217" s="5">
        <f t="shared" si="21"/>
        <v>0.17415730337078639</v>
      </c>
      <c r="Q217" s="4">
        <f t="shared" si="22"/>
        <v>7.1811573033707763</v>
      </c>
      <c r="R217" s="4">
        <f t="shared" si="23"/>
        <v>3.2316931625250835</v>
      </c>
      <c r="S217" s="4">
        <v>23.94</v>
      </c>
      <c r="T217" s="2">
        <v>4.1100000000000003</v>
      </c>
      <c r="U217" s="2">
        <v>178.62</v>
      </c>
      <c r="V217" s="2">
        <v>85.82</v>
      </c>
      <c r="W217" s="2">
        <v>-5.42</v>
      </c>
      <c r="X217" s="2">
        <v>-5.6</v>
      </c>
      <c r="Y217" s="2">
        <v>-5.42</v>
      </c>
      <c r="Z217" s="2">
        <v>7.61</v>
      </c>
    </row>
    <row r="218" spans="1:26" x14ac:dyDescent="0.25">
      <c r="A218" s="1" t="s">
        <v>1034</v>
      </c>
      <c r="B218" s="1" t="s">
        <v>1035</v>
      </c>
      <c r="C218" s="1" t="s">
        <v>16</v>
      </c>
      <c r="D218" s="1" t="s">
        <v>67</v>
      </c>
      <c r="E218" s="1" t="s">
        <v>1037</v>
      </c>
      <c r="F218" s="1" t="s">
        <v>1036</v>
      </c>
      <c r="G218" s="1" t="s">
        <v>12485</v>
      </c>
      <c r="H218" s="1" t="s">
        <v>1038</v>
      </c>
      <c r="I218" s="2">
        <v>40.32</v>
      </c>
      <c r="J218" s="2">
        <v>1.89</v>
      </c>
      <c r="K218" s="2">
        <v>2.2200000000000002</v>
      </c>
      <c r="L218" s="2">
        <v>2.57</v>
      </c>
      <c r="M218" s="4">
        <f t="shared" si="18"/>
        <v>18.162162162162161</v>
      </c>
      <c r="N218" s="4">
        <f t="shared" si="19"/>
        <v>15.688715953307394</v>
      </c>
      <c r="O218" s="5">
        <f t="shared" si="20"/>
        <v>0.17460317460317487</v>
      </c>
      <c r="P218" s="5">
        <f t="shared" si="21"/>
        <v>0.15765765765765738</v>
      </c>
      <c r="Q218" s="4">
        <f t="shared" si="22"/>
        <v>1.0401965601965586</v>
      </c>
      <c r="R218" s="4">
        <f t="shared" si="23"/>
        <v>0.99511284046692783</v>
      </c>
      <c r="S218" s="4">
        <v>6.35</v>
      </c>
      <c r="T218" s="2">
        <v>1.06</v>
      </c>
      <c r="U218" s="2">
        <v>44.15</v>
      </c>
      <c r="V218" s="2">
        <v>30.39</v>
      </c>
      <c r="W218" s="2">
        <v>-2.2799999999999998</v>
      </c>
      <c r="X218" s="2">
        <v>3.92</v>
      </c>
      <c r="Y218" s="2">
        <v>7.18</v>
      </c>
      <c r="Z218" s="2">
        <v>9.39</v>
      </c>
    </row>
    <row r="219" spans="1:26" x14ac:dyDescent="0.25">
      <c r="A219" s="1" t="s">
        <v>1039</v>
      </c>
      <c r="B219" s="1" t="s">
        <v>1040</v>
      </c>
      <c r="C219" s="1" t="s">
        <v>16</v>
      </c>
      <c r="D219" s="1" t="s">
        <v>94</v>
      </c>
      <c r="E219" s="1" t="s">
        <v>1042</v>
      </c>
      <c r="F219" s="1" t="s">
        <v>1041</v>
      </c>
      <c r="G219" s="1" t="s">
        <v>12480</v>
      </c>
      <c r="H219" s="1" t="s">
        <v>1043</v>
      </c>
      <c r="I219" s="2">
        <v>35.94</v>
      </c>
      <c r="J219" s="2">
        <v>1.9</v>
      </c>
      <c r="K219" s="2">
        <v>2.0099999999999998</v>
      </c>
      <c r="L219" s="2">
        <v>2.25</v>
      </c>
      <c r="M219" s="4">
        <f t="shared" si="18"/>
        <v>17.880597014925375</v>
      </c>
      <c r="N219" s="4">
        <f t="shared" si="19"/>
        <v>15.973333333333333</v>
      </c>
      <c r="O219" s="5">
        <f t="shared" si="20"/>
        <v>5.7894736842105221E-2</v>
      </c>
      <c r="P219" s="5">
        <f t="shared" si="21"/>
        <v>0.11940298507462699</v>
      </c>
      <c r="Q219" s="4">
        <f t="shared" si="22"/>
        <v>3.0884667571234758</v>
      </c>
      <c r="R219" s="4">
        <f t="shared" si="23"/>
        <v>1.3377666666666652</v>
      </c>
      <c r="S219" s="4">
        <v>28.7</v>
      </c>
      <c r="T219" s="2">
        <v>0.87</v>
      </c>
      <c r="U219" s="2">
        <v>37.04</v>
      </c>
      <c r="V219" s="2" t="s">
        <v>12544</v>
      </c>
      <c r="W219" s="2">
        <v>-2.2799999999999998</v>
      </c>
      <c r="X219" s="2">
        <v>11.1</v>
      </c>
      <c r="Y219" s="2">
        <v>37.28</v>
      </c>
      <c r="Z219" s="2">
        <v>38.130000000000003</v>
      </c>
    </row>
    <row r="220" spans="1:26" x14ac:dyDescent="0.25">
      <c r="A220" s="1" t="s">
        <v>1044</v>
      </c>
      <c r="B220" s="1" t="s">
        <v>1045</v>
      </c>
      <c r="C220" s="1" t="s">
        <v>45</v>
      </c>
      <c r="D220" s="1" t="s">
        <v>18</v>
      </c>
      <c r="E220" s="1" t="s">
        <v>74</v>
      </c>
      <c r="F220" s="1" t="s">
        <v>1046</v>
      </c>
      <c r="G220" s="1" t="s">
        <v>12480</v>
      </c>
      <c r="H220" s="1" t="s">
        <v>1047</v>
      </c>
      <c r="I220" s="2">
        <v>24.82</v>
      </c>
      <c r="J220" s="2">
        <v>-0.13</v>
      </c>
      <c r="K220" s="2">
        <v>0.32</v>
      </c>
      <c r="L220" s="2">
        <v>1.19</v>
      </c>
      <c r="M220" s="4">
        <f t="shared" si="18"/>
        <v>77.5625</v>
      </c>
      <c r="N220" s="4">
        <f t="shared" si="19"/>
        <v>20.857142857142858</v>
      </c>
      <c r="O220" s="5">
        <f t="shared" si="20"/>
        <v>-3.4615384615384617</v>
      </c>
      <c r="P220" s="5">
        <f t="shared" si="21"/>
        <v>2.7187499999999996</v>
      </c>
      <c r="Q220" s="4">
        <f t="shared" si="22"/>
        <v>-0.22406944444444443</v>
      </c>
      <c r="R220" s="4">
        <f t="shared" si="23"/>
        <v>7.6715927750410529E-2</v>
      </c>
      <c r="S220" s="4">
        <v>91.34</v>
      </c>
      <c r="T220" s="2">
        <v>1.66</v>
      </c>
      <c r="U220" s="2">
        <v>31.2</v>
      </c>
      <c r="V220" s="2">
        <v>12.59</v>
      </c>
      <c r="W220" s="2">
        <v>0.24</v>
      </c>
      <c r="X220" s="2">
        <v>-7.66</v>
      </c>
      <c r="Y220" s="2">
        <v>-14.27</v>
      </c>
      <c r="Z220" s="2">
        <v>-14.53</v>
      </c>
    </row>
    <row r="221" spans="1:26" x14ac:dyDescent="0.25">
      <c r="A221" s="1" t="s">
        <v>1048</v>
      </c>
      <c r="B221" s="1" t="s">
        <v>1049</v>
      </c>
      <c r="C221" s="1" t="s">
        <v>16</v>
      </c>
      <c r="D221" s="1" t="s">
        <v>38</v>
      </c>
      <c r="E221" s="1" t="s">
        <v>153</v>
      </c>
      <c r="F221" s="1" t="s">
        <v>1050</v>
      </c>
      <c r="G221" s="1" t="s">
        <v>12480</v>
      </c>
      <c r="H221" s="1" t="s">
        <v>1051</v>
      </c>
      <c r="I221" s="2">
        <v>17.27</v>
      </c>
      <c r="J221" s="2">
        <v>3.06</v>
      </c>
      <c r="K221" s="2">
        <v>3.06</v>
      </c>
      <c r="L221" s="2">
        <v>3.2</v>
      </c>
      <c r="M221" s="4">
        <f t="shared" si="18"/>
        <v>5.6437908496732021</v>
      </c>
      <c r="N221" s="4">
        <f t="shared" si="19"/>
        <v>5.3968749999999996</v>
      </c>
      <c r="O221" s="5">
        <f t="shared" si="20"/>
        <v>0</v>
      </c>
      <c r="P221" s="5">
        <f t="shared" si="21"/>
        <v>4.5751633986928164E-2</v>
      </c>
      <c r="Q221" s="4" t="e">
        <f t="shared" si="22"/>
        <v>#DIV/0!</v>
      </c>
      <c r="R221" s="4">
        <f t="shared" si="23"/>
        <v>1.1796026785714269</v>
      </c>
      <c r="S221" s="4">
        <v>45.28</v>
      </c>
      <c r="T221" s="2">
        <v>1.44</v>
      </c>
      <c r="U221" s="2">
        <v>19.12</v>
      </c>
      <c r="V221" s="2">
        <v>13.97</v>
      </c>
      <c r="W221" s="2">
        <v>-3.3</v>
      </c>
      <c r="X221" s="2">
        <v>-1.26</v>
      </c>
      <c r="Y221" s="2">
        <v>1.41</v>
      </c>
      <c r="Z221" s="2">
        <v>-2.37</v>
      </c>
    </row>
    <row r="222" spans="1:26" x14ac:dyDescent="0.25">
      <c r="A222" s="1" t="s">
        <v>1052</v>
      </c>
      <c r="B222" s="1" t="s">
        <v>1053</v>
      </c>
      <c r="C222" s="1" t="s">
        <v>45</v>
      </c>
      <c r="D222" s="1" t="s">
        <v>94</v>
      </c>
      <c r="E222" s="1" t="s">
        <v>1055</v>
      </c>
      <c r="F222" s="1" t="s">
        <v>1054</v>
      </c>
      <c r="G222" s="1" t="s">
        <v>12480</v>
      </c>
      <c r="H222" s="1" t="s">
        <v>1056</v>
      </c>
      <c r="I222" s="2">
        <v>6.73</v>
      </c>
      <c r="J222" s="2">
        <v>0.67</v>
      </c>
      <c r="K222" s="2">
        <v>0.77</v>
      </c>
      <c r="L222" s="2">
        <v>0.98</v>
      </c>
      <c r="M222" s="4">
        <f t="shared" si="18"/>
        <v>8.7402597402597397</v>
      </c>
      <c r="N222" s="4">
        <f t="shared" si="19"/>
        <v>6.8673469387755111</v>
      </c>
      <c r="O222" s="5">
        <f t="shared" si="20"/>
        <v>0.14925373134328357</v>
      </c>
      <c r="P222" s="5">
        <f t="shared" si="21"/>
        <v>0.27272727272727271</v>
      </c>
      <c r="Q222" s="4">
        <f t="shared" si="22"/>
        <v>0.58559740259740256</v>
      </c>
      <c r="R222" s="4">
        <f t="shared" si="23"/>
        <v>0.25180272108843543</v>
      </c>
      <c r="S222" s="4">
        <v>40.22</v>
      </c>
      <c r="T222" s="2">
        <v>1.75</v>
      </c>
      <c r="U222" s="2">
        <v>11.96</v>
      </c>
      <c r="V222" s="2">
        <v>3.98</v>
      </c>
      <c r="W222" s="2">
        <v>-11.1</v>
      </c>
      <c r="X222" s="2">
        <v>-43.54</v>
      </c>
      <c r="Y222" s="2">
        <v>-20.54</v>
      </c>
      <c r="Z222" s="2">
        <v>-27.01</v>
      </c>
    </row>
    <row r="223" spans="1:26" x14ac:dyDescent="0.25">
      <c r="A223" s="1" t="s">
        <v>1057</v>
      </c>
      <c r="B223" s="1" t="s">
        <v>1058</v>
      </c>
      <c r="C223" s="1" t="s">
        <v>16</v>
      </c>
      <c r="D223" s="1" t="s">
        <v>32</v>
      </c>
      <c r="E223" s="1" t="s">
        <v>1060</v>
      </c>
      <c r="F223" s="1" t="s">
        <v>1059</v>
      </c>
      <c r="G223" s="1" t="s">
        <v>12480</v>
      </c>
      <c r="H223" s="1" t="s">
        <v>71</v>
      </c>
      <c r="I223" s="2">
        <v>139.84</v>
      </c>
      <c r="J223" s="2">
        <v>11.02</v>
      </c>
      <c r="K223" s="2">
        <v>13.24</v>
      </c>
      <c r="L223" s="2">
        <v>14.9</v>
      </c>
      <c r="M223" s="4">
        <f t="shared" si="18"/>
        <v>10.561933534743202</v>
      </c>
      <c r="N223" s="4">
        <f t="shared" si="19"/>
        <v>9.385234899328859</v>
      </c>
      <c r="O223" s="5">
        <f t="shared" si="20"/>
        <v>0.20145190562613435</v>
      </c>
      <c r="P223" s="5">
        <f t="shared" si="21"/>
        <v>0.12537764350453173</v>
      </c>
      <c r="Q223" s="4">
        <f t="shared" si="22"/>
        <v>0.52429057456247774</v>
      </c>
      <c r="R223" s="4">
        <f t="shared" si="23"/>
        <v>0.74855728956092826</v>
      </c>
      <c r="S223" s="4">
        <v>10.49</v>
      </c>
      <c r="T223" s="2">
        <v>1.01</v>
      </c>
      <c r="U223" s="2">
        <v>159.66</v>
      </c>
      <c r="V223" s="2">
        <v>90.32</v>
      </c>
      <c r="W223" s="2">
        <v>-6.75</v>
      </c>
      <c r="X223" s="2">
        <v>-11.56</v>
      </c>
      <c r="Y223" s="2">
        <v>23.25</v>
      </c>
      <c r="Z223" s="2">
        <v>26.92</v>
      </c>
    </row>
    <row r="224" spans="1:26" x14ac:dyDescent="0.25">
      <c r="A224" s="1" t="s">
        <v>1062</v>
      </c>
      <c r="B224" s="1" t="s">
        <v>1063</v>
      </c>
      <c r="C224" s="1" t="s">
        <v>45</v>
      </c>
      <c r="D224" s="1" t="s">
        <v>18</v>
      </c>
      <c r="E224" s="1" t="s">
        <v>74</v>
      </c>
      <c r="F224" s="1" t="s">
        <v>1064</v>
      </c>
      <c r="G224" s="1" t="s">
        <v>12485</v>
      </c>
      <c r="H224" s="1" t="s">
        <v>1065</v>
      </c>
      <c r="I224" s="2">
        <v>60.67</v>
      </c>
      <c r="J224" s="2">
        <v>-0.01</v>
      </c>
      <c r="K224" s="2">
        <v>-3.17</v>
      </c>
      <c r="L224" s="2">
        <v>-3.55</v>
      </c>
      <c r="M224" s="4">
        <f t="shared" si="18"/>
        <v>-19.138801261829656</v>
      </c>
      <c r="N224" s="4">
        <f t="shared" si="19"/>
        <v>-17.090140845070422</v>
      </c>
      <c r="O224" s="5">
        <f t="shared" si="20"/>
        <v>316</v>
      </c>
      <c r="P224" s="5">
        <f t="shared" si="21"/>
        <v>0.11987381703470024</v>
      </c>
      <c r="Q224" s="4">
        <f t="shared" si="22"/>
        <v>-6.0565826777941954E-4</v>
      </c>
      <c r="R224" s="4">
        <f t="shared" si="23"/>
        <v>-1.4256775389177176</v>
      </c>
      <c r="S224" s="4">
        <v>23258.15</v>
      </c>
      <c r="T224" s="2">
        <v>1.23</v>
      </c>
      <c r="U224" s="2" t="s">
        <v>12545</v>
      </c>
      <c r="V224" s="2">
        <v>9.99</v>
      </c>
      <c r="W224" s="2">
        <v>-5.69</v>
      </c>
      <c r="X224" s="2">
        <v>-3.15</v>
      </c>
      <c r="Y224" s="2">
        <v>-11.37</v>
      </c>
      <c r="Z224" s="2">
        <v>-8.6199999999999992</v>
      </c>
    </row>
    <row r="225" spans="1:26" x14ac:dyDescent="0.25">
      <c r="A225" s="1" t="s">
        <v>1066</v>
      </c>
      <c r="B225" s="1" t="s">
        <v>1067</v>
      </c>
      <c r="C225" s="1" t="s">
        <v>16</v>
      </c>
      <c r="D225" s="1" t="s">
        <v>38</v>
      </c>
      <c r="E225" s="1" t="s">
        <v>551</v>
      </c>
      <c r="F225" s="1" t="s">
        <v>1068</v>
      </c>
      <c r="G225" s="1" t="s">
        <v>12480</v>
      </c>
      <c r="H225" s="1" t="s">
        <v>1069</v>
      </c>
      <c r="I225" s="2">
        <v>10.94</v>
      </c>
      <c r="J225" s="2"/>
      <c r="K225" s="2">
        <v>0.64</v>
      </c>
      <c r="L225" s="2">
        <v>0.83</v>
      </c>
      <c r="M225" s="4">
        <f t="shared" si="18"/>
        <v>17.09375</v>
      </c>
      <c r="N225" s="4">
        <f t="shared" si="19"/>
        <v>13.180722891566266</v>
      </c>
      <c r="O225" s="5" t="e">
        <f t="shared" si="20"/>
        <v>#DIV/0!</v>
      </c>
      <c r="P225" s="5">
        <f t="shared" si="21"/>
        <v>0.296875</v>
      </c>
      <c r="Q225" s="4" t="e">
        <f t="shared" si="22"/>
        <v>#DIV/0!</v>
      </c>
      <c r="R225" s="4">
        <f t="shared" si="23"/>
        <v>0.44398224476854792</v>
      </c>
      <c r="S225" s="4">
        <v>75.17</v>
      </c>
      <c r="T225" s="2"/>
      <c r="U225" s="2">
        <v>30.05</v>
      </c>
      <c r="V225" s="2">
        <v>9.36</v>
      </c>
      <c r="W225" s="2">
        <v>-7.6</v>
      </c>
      <c r="X225" s="2">
        <v>-3.95</v>
      </c>
      <c r="Y225" s="2">
        <v>-28.92</v>
      </c>
      <c r="Z225" s="2">
        <v>-33.090000000000003</v>
      </c>
    </row>
    <row r="226" spans="1:26" x14ac:dyDescent="0.25">
      <c r="A226" s="1" t="s">
        <v>1070</v>
      </c>
      <c r="B226" s="1" t="s">
        <v>1071</v>
      </c>
      <c r="C226" s="1" t="s">
        <v>16</v>
      </c>
      <c r="D226" s="1" t="s">
        <v>147</v>
      </c>
      <c r="E226" s="1" t="s">
        <v>1073</v>
      </c>
      <c r="F226" s="1" t="s">
        <v>1072</v>
      </c>
      <c r="G226" s="1" t="s">
        <v>12480</v>
      </c>
      <c r="H226" s="1" t="s">
        <v>1074</v>
      </c>
      <c r="I226" s="2">
        <v>34.08</v>
      </c>
      <c r="J226" s="2">
        <v>0.97</v>
      </c>
      <c r="K226" s="2">
        <v>1.1499999999999999</v>
      </c>
      <c r="L226" s="2">
        <v>1.46</v>
      </c>
      <c r="M226" s="4">
        <f t="shared" si="18"/>
        <v>29.634782608695652</v>
      </c>
      <c r="N226" s="4">
        <f t="shared" si="19"/>
        <v>23.342465753424658</v>
      </c>
      <c r="O226" s="5">
        <f t="shared" si="20"/>
        <v>0.18556701030927836</v>
      </c>
      <c r="P226" s="5">
        <f t="shared" si="21"/>
        <v>0.26956521739130435</v>
      </c>
      <c r="Q226" s="4">
        <f t="shared" si="22"/>
        <v>1.5969855072463766</v>
      </c>
      <c r="R226" s="4">
        <f t="shared" si="23"/>
        <v>0.86593018117543097</v>
      </c>
      <c r="S226" s="4">
        <v>26.68</v>
      </c>
      <c r="T226" s="2">
        <v>2.8</v>
      </c>
      <c r="U226" s="2">
        <v>41.96</v>
      </c>
      <c r="V226" s="2">
        <v>20.97</v>
      </c>
      <c r="W226" s="2">
        <v>-10.06</v>
      </c>
      <c r="X226" s="2">
        <v>-13.81</v>
      </c>
      <c r="Y226" s="2">
        <v>-12.71</v>
      </c>
      <c r="Z226" s="2">
        <v>-8.76</v>
      </c>
    </row>
    <row r="227" spans="1:26" x14ac:dyDescent="0.25">
      <c r="A227" s="1" t="s">
        <v>1075</v>
      </c>
      <c r="B227" s="1" t="s">
        <v>1076</v>
      </c>
      <c r="C227" s="1" t="s">
        <v>16</v>
      </c>
      <c r="D227" s="1" t="s">
        <v>38</v>
      </c>
      <c r="E227" s="1" t="s">
        <v>259</v>
      </c>
      <c r="F227" s="1" t="s">
        <v>1077</v>
      </c>
      <c r="G227" s="1" t="s">
        <v>12499</v>
      </c>
      <c r="H227" s="1" t="s">
        <v>1078</v>
      </c>
      <c r="I227" s="2">
        <v>71.72</v>
      </c>
      <c r="J227" s="2"/>
      <c r="K227" s="2"/>
      <c r="L227" s="2"/>
      <c r="M227" s="4" t="e">
        <f t="shared" si="18"/>
        <v>#DIV/0!</v>
      </c>
      <c r="N227" s="4" t="e">
        <f t="shared" si="19"/>
        <v>#DIV/0!</v>
      </c>
      <c r="O227" s="5" t="e">
        <f t="shared" si="20"/>
        <v>#DIV/0!</v>
      </c>
      <c r="P227" s="5" t="e">
        <f t="shared" si="21"/>
        <v>#DIV/0!</v>
      </c>
      <c r="Q227" s="4" t="e">
        <f t="shared" si="22"/>
        <v>#DIV/0!</v>
      </c>
      <c r="R227" s="4" t="e">
        <f t="shared" si="23"/>
        <v>#DIV/0!</v>
      </c>
      <c r="S227" s="4"/>
      <c r="T227" s="2">
        <v>0.65</v>
      </c>
      <c r="U227" s="2">
        <v>81.290000000000006</v>
      </c>
      <c r="V227" s="2">
        <v>24.28</v>
      </c>
      <c r="W227" s="2">
        <v>-11.75</v>
      </c>
      <c r="X227" s="2">
        <v>1.73</v>
      </c>
      <c r="Y227" s="2">
        <v>25.21</v>
      </c>
      <c r="Z227" s="2">
        <v>20.190000000000001</v>
      </c>
    </row>
    <row r="228" spans="1:26" x14ac:dyDescent="0.25">
      <c r="A228" s="1" t="s">
        <v>1081</v>
      </c>
      <c r="B228" s="1" t="s">
        <v>1082</v>
      </c>
      <c r="C228" s="1" t="s">
        <v>31</v>
      </c>
      <c r="D228" s="1" t="s">
        <v>147</v>
      </c>
      <c r="E228" s="1" t="s">
        <v>1084</v>
      </c>
      <c r="F228" s="1" t="s">
        <v>1083</v>
      </c>
      <c r="G228" s="1" t="s">
        <v>12480</v>
      </c>
      <c r="H228" s="1" t="s">
        <v>1085</v>
      </c>
      <c r="I228" s="2">
        <v>7.96</v>
      </c>
      <c r="J228" s="2">
        <v>0.33</v>
      </c>
      <c r="K228" s="2">
        <v>0.38</v>
      </c>
      <c r="L228" s="2">
        <v>0.24</v>
      </c>
      <c r="M228" s="4">
        <f t="shared" si="18"/>
        <v>20.94736842105263</v>
      </c>
      <c r="N228" s="4">
        <f t="shared" si="19"/>
        <v>33.166666666666664</v>
      </c>
      <c r="O228" s="5">
        <f t="shared" si="20"/>
        <v>0.15151515151515138</v>
      </c>
      <c r="P228" s="5">
        <f t="shared" si="21"/>
        <v>-0.36842105263157898</v>
      </c>
      <c r="Q228" s="4">
        <f t="shared" si="22"/>
        <v>1.3825263157894747</v>
      </c>
      <c r="R228" s="4">
        <f t="shared" si="23"/>
        <v>-0.90023809523809506</v>
      </c>
      <c r="S228" s="4">
        <v>1.1100000000000001</v>
      </c>
      <c r="T228" s="2">
        <v>0.82</v>
      </c>
      <c r="U228" s="2">
        <v>10.62</v>
      </c>
      <c r="V228" s="2">
        <v>5.62</v>
      </c>
      <c r="W228" s="2">
        <v>-12.24</v>
      </c>
      <c r="X228" s="2">
        <v>-8.82</v>
      </c>
      <c r="Y228" s="2">
        <v>6.28</v>
      </c>
      <c r="Z228" s="2">
        <v>18.100000000000001</v>
      </c>
    </row>
    <row r="229" spans="1:26" x14ac:dyDescent="0.25">
      <c r="A229" s="1" t="s">
        <v>1086</v>
      </c>
      <c r="B229" s="1" t="s">
        <v>1087</v>
      </c>
      <c r="C229" s="1" t="s">
        <v>16</v>
      </c>
      <c r="D229" s="1" t="s">
        <v>32</v>
      </c>
      <c r="E229" s="1" t="s">
        <v>311</v>
      </c>
      <c r="F229" s="1" t="s">
        <v>1088</v>
      </c>
      <c r="G229" s="1" t="s">
        <v>12493</v>
      </c>
      <c r="H229" s="1" t="s">
        <v>1089</v>
      </c>
      <c r="I229" s="2">
        <v>7.9</v>
      </c>
      <c r="J229" s="2">
        <v>0.27</v>
      </c>
      <c r="K229" s="2">
        <v>0.37</v>
      </c>
      <c r="L229" s="2">
        <v>0.48</v>
      </c>
      <c r="M229" s="4">
        <f t="shared" si="18"/>
        <v>21.351351351351351</v>
      </c>
      <c r="N229" s="4">
        <f t="shared" si="19"/>
        <v>16.458333333333336</v>
      </c>
      <c r="O229" s="5">
        <f t="shared" si="20"/>
        <v>0.37037037037037024</v>
      </c>
      <c r="P229" s="5">
        <f t="shared" si="21"/>
        <v>0.29729729729729737</v>
      </c>
      <c r="Q229" s="4">
        <f t="shared" si="22"/>
        <v>0.5764864864864867</v>
      </c>
      <c r="R229" s="4">
        <f t="shared" si="23"/>
        <v>0.55359848484848484</v>
      </c>
      <c r="S229" s="4">
        <v>9.25</v>
      </c>
      <c r="T229" s="2">
        <v>1.01</v>
      </c>
      <c r="U229" s="2" t="s">
        <v>12517</v>
      </c>
      <c r="V229" s="2">
        <v>6.58</v>
      </c>
      <c r="W229" s="2">
        <v>8.2200000000000006</v>
      </c>
      <c r="X229" s="2">
        <v>-3.89</v>
      </c>
      <c r="Y229" s="2">
        <v>-44.13</v>
      </c>
      <c r="Z229" s="2">
        <v>-42.38</v>
      </c>
    </row>
    <row r="230" spans="1:26" x14ac:dyDescent="0.25">
      <c r="A230" s="1" t="s">
        <v>1090</v>
      </c>
      <c r="B230" s="1" t="s">
        <v>1091</v>
      </c>
      <c r="C230" s="1" t="s">
        <v>16</v>
      </c>
      <c r="D230" s="1" t="s">
        <v>38</v>
      </c>
      <c r="E230" s="1" t="s">
        <v>1093</v>
      </c>
      <c r="F230" s="1" t="s">
        <v>1092</v>
      </c>
      <c r="G230" s="1" t="s">
        <v>12480</v>
      </c>
      <c r="H230" s="1" t="s">
        <v>1094</v>
      </c>
      <c r="I230" s="2">
        <v>25.08</v>
      </c>
      <c r="J230" s="2">
        <v>2.77</v>
      </c>
      <c r="K230" s="2">
        <v>2.97</v>
      </c>
      <c r="L230" s="2">
        <v>3.16</v>
      </c>
      <c r="M230" s="4">
        <f t="shared" si="18"/>
        <v>8.4444444444444429</v>
      </c>
      <c r="N230" s="4">
        <f t="shared" si="19"/>
        <v>7.9367088607594924</v>
      </c>
      <c r="O230" s="5">
        <f t="shared" si="20"/>
        <v>7.2202166064982087E-2</v>
      </c>
      <c r="P230" s="5">
        <f t="shared" si="21"/>
        <v>6.3973063973064015E-2</v>
      </c>
      <c r="Q230" s="4">
        <f t="shared" si="22"/>
        <v>1.169555555555553</v>
      </c>
      <c r="R230" s="4">
        <f t="shared" si="23"/>
        <v>1.2406329113924042</v>
      </c>
      <c r="S230" s="4">
        <v>2.81</v>
      </c>
      <c r="T230" s="2">
        <v>0.8</v>
      </c>
      <c r="U230" s="2">
        <v>29.37</v>
      </c>
      <c r="V230" s="2">
        <v>18.91</v>
      </c>
      <c r="W230" s="2">
        <v>-5.64</v>
      </c>
      <c r="X230" s="2">
        <v>-14.23</v>
      </c>
      <c r="Y230" s="2">
        <v>-6.9</v>
      </c>
      <c r="Z230" s="2">
        <v>-2.64</v>
      </c>
    </row>
    <row r="231" spans="1:26" x14ac:dyDescent="0.25">
      <c r="A231" s="1" t="s">
        <v>1095</v>
      </c>
      <c r="B231" s="1" t="s">
        <v>1096</v>
      </c>
      <c r="C231" s="1" t="s">
        <v>31</v>
      </c>
      <c r="D231" s="1" t="s">
        <v>128</v>
      </c>
      <c r="E231" s="1" t="s">
        <v>556</v>
      </c>
      <c r="F231" s="1" t="s">
        <v>1097</v>
      </c>
      <c r="G231" s="1" t="s">
        <v>12485</v>
      </c>
      <c r="H231" s="1" t="s">
        <v>1098</v>
      </c>
      <c r="I231" s="2">
        <v>25.13</v>
      </c>
      <c r="J231" s="2">
        <v>2.2799999999999998</v>
      </c>
      <c r="K231" s="2">
        <v>2.19</v>
      </c>
      <c r="L231" s="2">
        <v>2.44</v>
      </c>
      <c r="M231" s="4">
        <f t="shared" si="18"/>
        <v>11.474885844748858</v>
      </c>
      <c r="N231" s="4">
        <f t="shared" si="19"/>
        <v>10.299180327868852</v>
      </c>
      <c r="O231" s="5">
        <f t="shared" si="20"/>
        <v>-3.9473684210526216E-2</v>
      </c>
      <c r="P231" s="5">
        <f t="shared" si="21"/>
        <v>0.11415525114155245</v>
      </c>
      <c r="Q231" s="4">
        <f t="shared" si="22"/>
        <v>-2.906971080669718</v>
      </c>
      <c r="R231" s="4">
        <f t="shared" si="23"/>
        <v>0.90220819672131203</v>
      </c>
      <c r="S231" s="4">
        <v>-2.68</v>
      </c>
      <c r="T231" s="2">
        <v>0.93</v>
      </c>
      <c r="U231" s="2">
        <v>31.92</v>
      </c>
      <c r="V231" s="2">
        <v>23.87</v>
      </c>
      <c r="W231" s="2">
        <v>-2.2200000000000002</v>
      </c>
      <c r="X231" s="2">
        <v>-4.2699999999999996</v>
      </c>
      <c r="Y231" s="2">
        <v>-10.06</v>
      </c>
      <c r="Z231" s="2">
        <v>-12.41</v>
      </c>
    </row>
    <row r="232" spans="1:26" x14ac:dyDescent="0.25">
      <c r="A232" s="1" t="s">
        <v>1099</v>
      </c>
      <c r="B232" s="1" t="s">
        <v>1100</v>
      </c>
      <c r="C232" s="1" t="s">
        <v>31</v>
      </c>
      <c r="D232" s="1" t="s">
        <v>147</v>
      </c>
      <c r="E232" s="1" t="s">
        <v>1073</v>
      </c>
      <c r="F232" s="1" t="s">
        <v>1101</v>
      </c>
      <c r="G232" s="1" t="s">
        <v>12480</v>
      </c>
      <c r="H232" s="1" t="s">
        <v>1102</v>
      </c>
      <c r="I232" s="2">
        <v>28.01</v>
      </c>
      <c r="J232" s="2">
        <v>0.93</v>
      </c>
      <c r="K232" s="2">
        <v>1.03</v>
      </c>
      <c r="L232" s="2">
        <v>1.17</v>
      </c>
      <c r="M232" s="4">
        <f t="shared" si="18"/>
        <v>27.194174757281555</v>
      </c>
      <c r="N232" s="4">
        <f t="shared" si="19"/>
        <v>23.940170940170944</v>
      </c>
      <c r="O232" s="5">
        <f t="shared" si="20"/>
        <v>0.10752688172043001</v>
      </c>
      <c r="P232" s="5">
        <f t="shared" si="21"/>
        <v>0.13592233009708732</v>
      </c>
      <c r="Q232" s="4">
        <f t="shared" si="22"/>
        <v>2.5290582524271867</v>
      </c>
      <c r="R232" s="4">
        <f t="shared" si="23"/>
        <v>1.7613125763125774</v>
      </c>
      <c r="S232" s="4">
        <v>20.87</v>
      </c>
      <c r="T232" s="2">
        <v>1.75</v>
      </c>
      <c r="U232" s="2">
        <v>31.95</v>
      </c>
      <c r="V232" s="2">
        <v>17.79</v>
      </c>
      <c r="W232" s="2">
        <v>-8.43</v>
      </c>
      <c r="X232" s="2">
        <v>10.54</v>
      </c>
      <c r="Y232" s="2">
        <v>12.09</v>
      </c>
      <c r="Z232" s="2">
        <v>17.2</v>
      </c>
    </row>
    <row r="233" spans="1:26" x14ac:dyDescent="0.25">
      <c r="A233" s="1" t="s">
        <v>1103</v>
      </c>
      <c r="B233" s="1" t="s">
        <v>1104</v>
      </c>
      <c r="C233" s="1" t="s">
        <v>31</v>
      </c>
      <c r="D233" s="1" t="s">
        <v>305</v>
      </c>
      <c r="E233" s="1" t="s">
        <v>306</v>
      </c>
      <c r="F233" s="1" t="s">
        <v>1105</v>
      </c>
      <c r="G233" s="1" t="s">
        <v>12490</v>
      </c>
      <c r="H233" s="1" t="s">
        <v>1106</v>
      </c>
      <c r="I233" s="2">
        <v>15.12</v>
      </c>
      <c r="J233" s="2">
        <v>0.9</v>
      </c>
      <c r="K233" s="2">
        <v>1.1599999999999999</v>
      </c>
      <c r="L233" s="2">
        <v>1.56</v>
      </c>
      <c r="M233" s="4">
        <f t="shared" si="18"/>
        <v>13.03448275862069</v>
      </c>
      <c r="N233" s="4">
        <f t="shared" si="19"/>
        <v>9.6923076923076916</v>
      </c>
      <c r="O233" s="5">
        <f t="shared" si="20"/>
        <v>0.28888888888888875</v>
      </c>
      <c r="P233" s="5">
        <f t="shared" si="21"/>
        <v>0.3448275862068968</v>
      </c>
      <c r="Q233" s="4">
        <f t="shared" si="22"/>
        <v>0.45119363395225487</v>
      </c>
      <c r="R233" s="4">
        <f t="shared" si="23"/>
        <v>0.28107692307692284</v>
      </c>
      <c r="S233" s="4">
        <v>-5.46</v>
      </c>
      <c r="T233" s="2">
        <v>0.44</v>
      </c>
      <c r="U233" s="2">
        <v>19.5</v>
      </c>
      <c r="V233" s="2">
        <v>8.5399999999999991</v>
      </c>
      <c r="W233" s="2">
        <v>-10.51</v>
      </c>
      <c r="X233" s="2">
        <v>-8.36</v>
      </c>
      <c r="Y233" s="2">
        <v>-14.63</v>
      </c>
      <c r="Z233" s="2">
        <v>-19.010000000000002</v>
      </c>
    </row>
    <row r="234" spans="1:26" x14ac:dyDescent="0.25">
      <c r="A234" s="1" t="s">
        <v>1107</v>
      </c>
      <c r="B234" s="1" t="s">
        <v>1107</v>
      </c>
      <c r="C234" s="1" t="s">
        <v>16</v>
      </c>
      <c r="D234" s="1" t="s">
        <v>32</v>
      </c>
      <c r="E234" s="1" t="s">
        <v>248</v>
      </c>
      <c r="F234" s="1" t="s">
        <v>1108</v>
      </c>
      <c r="G234" s="1" t="s">
        <v>12480</v>
      </c>
      <c r="H234" s="1" t="s">
        <v>1109</v>
      </c>
      <c r="I234" s="2">
        <v>40.33</v>
      </c>
      <c r="J234" s="2">
        <v>4.55</v>
      </c>
      <c r="K234" s="2">
        <v>5.03</v>
      </c>
      <c r="L234" s="2">
        <v>6.16</v>
      </c>
      <c r="M234" s="4">
        <f t="shared" si="18"/>
        <v>8.0178926441351877</v>
      </c>
      <c r="N234" s="4">
        <f t="shared" si="19"/>
        <v>6.5470779220779214</v>
      </c>
      <c r="O234" s="5">
        <f t="shared" si="20"/>
        <v>0.10549450549450556</v>
      </c>
      <c r="P234" s="5">
        <f t="shared" si="21"/>
        <v>0.22465208747514898</v>
      </c>
      <c r="Q234" s="4">
        <f t="shared" si="22"/>
        <v>0.76002940689198084</v>
      </c>
      <c r="R234" s="4">
        <f t="shared" si="23"/>
        <v>0.29143187564647755</v>
      </c>
      <c r="S234" s="4">
        <v>-2.91</v>
      </c>
      <c r="T234" s="2">
        <v>0.88</v>
      </c>
      <c r="U234" s="2">
        <v>71.599999999999994</v>
      </c>
      <c r="V234" s="2">
        <v>40.01</v>
      </c>
      <c r="W234" s="2">
        <v>-1.56</v>
      </c>
      <c r="X234" s="2">
        <v>-19.440000000000001</v>
      </c>
      <c r="Y234" s="2">
        <v>-15.89</v>
      </c>
      <c r="Z234" s="2">
        <v>-16.28</v>
      </c>
    </row>
    <row r="235" spans="1:26" x14ac:dyDescent="0.25">
      <c r="A235" s="1" t="s">
        <v>1110</v>
      </c>
      <c r="B235" s="1" t="s">
        <v>1111</v>
      </c>
      <c r="C235" s="1" t="s">
        <v>16</v>
      </c>
      <c r="D235" s="1" t="s">
        <v>88</v>
      </c>
      <c r="E235" s="1" t="s">
        <v>1113</v>
      </c>
      <c r="F235" s="1" t="s">
        <v>1112</v>
      </c>
      <c r="G235" s="1" t="s">
        <v>12485</v>
      </c>
      <c r="H235" s="1" t="s">
        <v>1114</v>
      </c>
      <c r="I235" s="2">
        <v>54.87</v>
      </c>
      <c r="J235" s="2">
        <v>3.38</v>
      </c>
      <c r="K235" s="2">
        <v>3.83</v>
      </c>
      <c r="L235" s="2">
        <v>4.71</v>
      </c>
      <c r="M235" s="4">
        <f t="shared" si="18"/>
        <v>14.326370757180156</v>
      </c>
      <c r="N235" s="4">
        <f t="shared" si="19"/>
        <v>11.64968152866242</v>
      </c>
      <c r="O235" s="5">
        <f t="shared" si="20"/>
        <v>0.13313609467455634</v>
      </c>
      <c r="P235" s="5">
        <f t="shared" si="21"/>
        <v>0.22976501305483032</v>
      </c>
      <c r="Q235" s="4">
        <f t="shared" si="22"/>
        <v>1.0760696257615305</v>
      </c>
      <c r="R235" s="4">
        <f t="shared" si="23"/>
        <v>0.50702591198610292</v>
      </c>
      <c r="S235" s="4">
        <v>-13.68</v>
      </c>
      <c r="T235" s="2">
        <v>0.42</v>
      </c>
      <c r="U235" s="2">
        <v>64.8</v>
      </c>
      <c r="V235" s="2">
        <v>46.53</v>
      </c>
      <c r="W235" s="2">
        <v>-10.27</v>
      </c>
      <c r="X235" s="2">
        <v>-11.84</v>
      </c>
      <c r="Y235" s="2">
        <v>-8.2899999999999991</v>
      </c>
      <c r="Z235" s="2">
        <v>-6.48</v>
      </c>
    </row>
    <row r="236" spans="1:26" x14ac:dyDescent="0.25">
      <c r="A236" s="1" t="s">
        <v>1115</v>
      </c>
      <c r="B236" s="1" t="s">
        <v>1116</v>
      </c>
      <c r="C236" s="1" t="s">
        <v>1118</v>
      </c>
      <c r="D236" s="1" t="s">
        <v>88</v>
      </c>
      <c r="E236" s="1" t="s">
        <v>440</v>
      </c>
      <c r="F236" s="1" t="s">
        <v>1117</v>
      </c>
      <c r="G236" s="1" t="s">
        <v>12480</v>
      </c>
      <c r="H236" s="1" t="s">
        <v>1119</v>
      </c>
      <c r="I236" s="2">
        <v>7.78</v>
      </c>
      <c r="J236" s="2">
        <v>0.15</v>
      </c>
      <c r="K236" s="2">
        <v>0.28000000000000003</v>
      </c>
      <c r="L236" s="2"/>
      <c r="M236" s="4">
        <f t="shared" si="18"/>
        <v>27.785714285714285</v>
      </c>
      <c r="N236" s="4" t="e">
        <f t="shared" si="19"/>
        <v>#DIV/0!</v>
      </c>
      <c r="O236" s="5">
        <f t="shared" si="20"/>
        <v>0.86666666666666692</v>
      </c>
      <c r="P236" s="5">
        <f t="shared" si="21"/>
        <v>-1</v>
      </c>
      <c r="Q236" s="4">
        <f t="shared" si="22"/>
        <v>0.32060439560439552</v>
      </c>
      <c r="R236" s="4" t="e">
        <f t="shared" si="23"/>
        <v>#DIV/0!</v>
      </c>
      <c r="S236" s="4">
        <v>50.78</v>
      </c>
      <c r="T236" s="2">
        <v>1.57</v>
      </c>
      <c r="U236" s="2">
        <v>11.24</v>
      </c>
      <c r="V236" s="2">
        <v>1.3</v>
      </c>
      <c r="W236" s="2">
        <v>-17.32</v>
      </c>
      <c r="X236" s="2">
        <v>-27.7</v>
      </c>
      <c r="Y236" s="2">
        <v>27.96</v>
      </c>
      <c r="Z236" s="2">
        <v>25.28</v>
      </c>
    </row>
    <row r="237" spans="1:26" x14ac:dyDescent="0.25">
      <c r="A237" s="1" t="s">
        <v>1120</v>
      </c>
      <c r="B237" s="1" t="s">
        <v>1121</v>
      </c>
      <c r="C237" s="1" t="s">
        <v>31</v>
      </c>
      <c r="D237" s="1" t="s">
        <v>32</v>
      </c>
      <c r="E237" s="1" t="s">
        <v>1123</v>
      </c>
      <c r="F237" s="1" t="s">
        <v>1122</v>
      </c>
      <c r="G237" s="1" t="s">
        <v>12480</v>
      </c>
      <c r="H237" s="1" t="s">
        <v>1124</v>
      </c>
      <c r="I237" s="2">
        <v>808.27</v>
      </c>
      <c r="J237" s="2">
        <v>17.02</v>
      </c>
      <c r="K237" s="2">
        <v>19.149999999999999</v>
      </c>
      <c r="L237" s="2">
        <v>25.25</v>
      </c>
      <c r="M237" s="4">
        <f t="shared" si="18"/>
        <v>42.20731070496084</v>
      </c>
      <c r="N237" s="4">
        <f t="shared" si="19"/>
        <v>32.010693069306932</v>
      </c>
      <c r="O237" s="5">
        <f t="shared" si="20"/>
        <v>0.12514688601645108</v>
      </c>
      <c r="P237" s="5">
        <f t="shared" si="21"/>
        <v>0.31853785900783294</v>
      </c>
      <c r="Q237" s="4">
        <f t="shared" si="22"/>
        <v>3.3726217286311471</v>
      </c>
      <c r="R237" s="4">
        <f t="shared" si="23"/>
        <v>1.0049258561921766</v>
      </c>
      <c r="S237" s="4">
        <v>13.09</v>
      </c>
      <c r="T237" s="2">
        <v>1.91</v>
      </c>
      <c r="U237" s="2">
        <v>875.06</v>
      </c>
      <c r="V237" s="2">
        <v>376.61</v>
      </c>
      <c r="W237" s="2">
        <v>-2.76</v>
      </c>
      <c r="X237" s="2">
        <v>-3.12</v>
      </c>
      <c r="Y237" s="2">
        <v>33.96</v>
      </c>
      <c r="Z237" s="2">
        <v>33.950000000000003</v>
      </c>
    </row>
    <row r="238" spans="1:26" x14ac:dyDescent="0.25">
      <c r="A238" s="1" t="s">
        <v>1125</v>
      </c>
      <c r="B238" s="1" t="s">
        <v>1126</v>
      </c>
      <c r="C238" s="1" t="s">
        <v>45</v>
      </c>
      <c r="D238" s="1" t="s">
        <v>32</v>
      </c>
      <c r="E238" s="1" t="s">
        <v>370</v>
      </c>
      <c r="F238" s="1" t="s">
        <v>1127</v>
      </c>
      <c r="G238" s="1" t="s">
        <v>12480</v>
      </c>
      <c r="H238" s="1" t="s">
        <v>1128</v>
      </c>
      <c r="I238" s="2">
        <v>1357.42</v>
      </c>
      <c r="J238" s="2">
        <v>27.95</v>
      </c>
      <c r="K238" s="2" t="s">
        <v>12548</v>
      </c>
      <c r="L238" s="2">
        <v>41.66</v>
      </c>
      <c r="M238" s="4">
        <f t="shared" si="18"/>
        <v>39.924117647058829</v>
      </c>
      <c r="N238" s="4">
        <f t="shared" si="19"/>
        <v>32.583293326932314</v>
      </c>
      <c r="O238" s="5">
        <f t="shared" si="20"/>
        <v>0.21645796064400713</v>
      </c>
      <c r="P238" s="5">
        <f t="shared" si="21"/>
        <v>0.22529411764705864</v>
      </c>
      <c r="Q238" s="4">
        <f t="shared" si="22"/>
        <v>1.8444282450170155</v>
      </c>
      <c r="R238" s="4">
        <f t="shared" si="23"/>
        <v>1.4462558395766314</v>
      </c>
      <c r="S238" s="4">
        <v>20.81</v>
      </c>
      <c r="T238" s="2">
        <v>1.88</v>
      </c>
      <c r="U238" s="2">
        <v>1526.51</v>
      </c>
      <c r="V238" s="2">
        <v>595.37</v>
      </c>
      <c r="W238" s="2">
        <v>-4.6399999999999997</v>
      </c>
      <c r="X238" s="2">
        <v>-5.04</v>
      </c>
      <c r="Y238" s="2">
        <v>24.78</v>
      </c>
      <c r="Z238" s="2">
        <v>26.88</v>
      </c>
    </row>
    <row r="239" spans="1:26" x14ac:dyDescent="0.25">
      <c r="A239" s="1" t="s">
        <v>1130</v>
      </c>
      <c r="B239" s="1" t="s">
        <v>1131</v>
      </c>
      <c r="C239" s="1" t="s">
        <v>45</v>
      </c>
      <c r="D239" s="1" t="s">
        <v>18</v>
      </c>
      <c r="E239" s="1" t="s">
        <v>74</v>
      </c>
      <c r="F239" s="1" t="s">
        <v>1132</v>
      </c>
      <c r="G239" s="1" t="s">
        <v>12480</v>
      </c>
      <c r="H239" s="1" t="s">
        <v>1133</v>
      </c>
      <c r="I239" s="2">
        <v>239.92</v>
      </c>
      <c r="J239" s="2">
        <v>-4.25</v>
      </c>
      <c r="K239" s="2">
        <v>4.6500000000000004</v>
      </c>
      <c r="L239" s="2">
        <v>10.27</v>
      </c>
      <c r="M239" s="4">
        <f t="shared" si="18"/>
        <v>51.595698924731174</v>
      </c>
      <c r="N239" s="4">
        <f t="shared" si="19"/>
        <v>23.361246348588121</v>
      </c>
      <c r="O239" s="5">
        <f t="shared" si="20"/>
        <v>-2.0941176470588236</v>
      </c>
      <c r="P239" s="5">
        <f t="shared" si="21"/>
        <v>1.2086021505376343</v>
      </c>
      <c r="Q239" s="4">
        <f t="shared" si="22"/>
        <v>-0.24638395553944659</v>
      </c>
      <c r="R239" s="4">
        <f t="shared" si="23"/>
        <v>0.19329145110486615</v>
      </c>
      <c r="S239" s="4">
        <v>106.99</v>
      </c>
      <c r="T239" s="2">
        <v>0.43</v>
      </c>
      <c r="U239" s="2">
        <v>242.09</v>
      </c>
      <c r="V239" s="2">
        <v>137.41</v>
      </c>
      <c r="W239" s="2">
        <v>-0.9</v>
      </c>
      <c r="X239" s="2">
        <v>8.06</v>
      </c>
      <c r="Y239" s="2">
        <v>12.51</v>
      </c>
      <c r="Z239" s="2">
        <v>12.51</v>
      </c>
    </row>
    <row r="240" spans="1:26" x14ac:dyDescent="0.25">
      <c r="A240" s="1" t="s">
        <v>1134</v>
      </c>
      <c r="B240" s="1" t="s">
        <v>1135</v>
      </c>
      <c r="C240" s="1" t="s">
        <v>45</v>
      </c>
      <c r="D240" s="1" t="s">
        <v>147</v>
      </c>
      <c r="E240" s="1" t="s">
        <v>1073</v>
      </c>
      <c r="F240" s="1" t="s">
        <v>1136</v>
      </c>
      <c r="G240" s="1" t="s">
        <v>12493</v>
      </c>
      <c r="H240" s="1" t="s">
        <v>810</v>
      </c>
      <c r="I240" s="2">
        <v>59.26</v>
      </c>
      <c r="J240" s="2">
        <v>6.02</v>
      </c>
      <c r="K240" s="2">
        <v>6.42</v>
      </c>
      <c r="L240" s="2">
        <v>6.74</v>
      </c>
      <c r="M240" s="4">
        <f t="shared" si="18"/>
        <v>9.2305295950155752</v>
      </c>
      <c r="N240" s="4">
        <f t="shared" si="19"/>
        <v>8.792284866468842</v>
      </c>
      <c r="O240" s="5">
        <f t="shared" si="20"/>
        <v>6.6445182724252483E-2</v>
      </c>
      <c r="P240" s="5">
        <f t="shared" si="21"/>
        <v>4.9844236760124616E-2</v>
      </c>
      <c r="Q240" s="4">
        <f t="shared" si="22"/>
        <v>1.3891947040498442</v>
      </c>
      <c r="R240" s="4">
        <f t="shared" si="23"/>
        <v>1.7639521513353111</v>
      </c>
      <c r="S240" s="4">
        <v>-3.67</v>
      </c>
      <c r="T240" s="2">
        <v>1.23</v>
      </c>
      <c r="U240" s="2">
        <v>61.19</v>
      </c>
      <c r="V240" s="2">
        <v>34.1</v>
      </c>
      <c r="W240" s="2">
        <v>-1.59</v>
      </c>
      <c r="X240" s="2">
        <v>1.52</v>
      </c>
      <c r="Y240" s="2">
        <v>8.2200000000000006</v>
      </c>
      <c r="Z240" s="2">
        <v>18.61</v>
      </c>
    </row>
    <row r="241" spans="1:26" x14ac:dyDescent="0.25">
      <c r="A241" s="1" t="s">
        <v>1139</v>
      </c>
      <c r="B241" s="1" t="s">
        <v>1140</v>
      </c>
      <c r="C241" s="1" t="s">
        <v>16</v>
      </c>
      <c r="D241" s="1" t="s">
        <v>46</v>
      </c>
      <c r="E241" s="1" t="s">
        <v>1142</v>
      </c>
      <c r="F241" s="1" t="s">
        <v>1141</v>
      </c>
      <c r="G241" s="1" t="s">
        <v>12480</v>
      </c>
      <c r="H241" s="1" t="s">
        <v>12482</v>
      </c>
      <c r="I241" s="2">
        <v>330.17</v>
      </c>
      <c r="J241" s="2">
        <v>19.420000000000002</v>
      </c>
      <c r="K241" s="2">
        <v>21.62</v>
      </c>
      <c r="L241" s="2">
        <v>22.11</v>
      </c>
      <c r="M241" s="4">
        <f t="shared" si="18"/>
        <v>15.271507863089731</v>
      </c>
      <c r="N241" s="4">
        <f t="shared" si="19"/>
        <v>14.93306196291271</v>
      </c>
      <c r="O241" s="5">
        <f t="shared" si="20"/>
        <v>0.11328527291452106</v>
      </c>
      <c r="P241" s="5">
        <f t="shared" si="21"/>
        <v>2.266419981498613E-2</v>
      </c>
      <c r="Q241" s="4">
        <f t="shared" si="22"/>
        <v>1.3480576486418305</v>
      </c>
      <c r="R241" s="4">
        <f t="shared" si="23"/>
        <v>6.5888326456769937</v>
      </c>
      <c r="S241" s="4">
        <v>12.99</v>
      </c>
      <c r="T241" s="2">
        <v>0.53</v>
      </c>
      <c r="U241" s="2">
        <v>381.16</v>
      </c>
      <c r="V241" s="2">
        <v>253.25</v>
      </c>
      <c r="W241" s="2">
        <v>-7.4</v>
      </c>
      <c r="X241" s="2">
        <v>-10.84</v>
      </c>
      <c r="Y241" s="2">
        <v>5.2</v>
      </c>
      <c r="Z241" s="2">
        <v>2.09</v>
      </c>
    </row>
    <row r="242" spans="1:26" x14ac:dyDescent="0.25">
      <c r="A242" s="1" t="s">
        <v>1145</v>
      </c>
      <c r="B242" s="1" t="s">
        <v>1146</v>
      </c>
      <c r="C242" s="1" t="s">
        <v>45</v>
      </c>
      <c r="D242" s="1" t="s">
        <v>25</v>
      </c>
      <c r="E242" s="1" t="s">
        <v>1148</v>
      </c>
      <c r="F242" s="1" t="s">
        <v>1147</v>
      </c>
      <c r="G242" s="1" t="s">
        <v>12480</v>
      </c>
      <c r="H242" s="1" t="s">
        <v>12505</v>
      </c>
      <c r="I242" s="2">
        <v>57.21</v>
      </c>
      <c r="J242" s="2">
        <v>3.33</v>
      </c>
      <c r="K242" s="2">
        <v>3.78</v>
      </c>
      <c r="L242" s="2">
        <v>4.33</v>
      </c>
      <c r="M242" s="4">
        <f t="shared" si="18"/>
        <v>15.134920634920636</v>
      </c>
      <c r="N242" s="4">
        <f t="shared" si="19"/>
        <v>13.212471131639722</v>
      </c>
      <c r="O242" s="5">
        <f t="shared" si="20"/>
        <v>0.13513513513513509</v>
      </c>
      <c r="P242" s="5">
        <f t="shared" si="21"/>
        <v>0.14550264550264558</v>
      </c>
      <c r="Q242" s="4">
        <f t="shared" si="22"/>
        <v>1.1199841269841275</v>
      </c>
      <c r="R242" s="4">
        <f t="shared" si="23"/>
        <v>0.9080571068654204</v>
      </c>
      <c r="S242" s="4">
        <v>8.07</v>
      </c>
      <c r="T242" s="2">
        <v>1.38</v>
      </c>
      <c r="U242" s="2">
        <v>63.93</v>
      </c>
      <c r="V242" s="2">
        <v>30.65</v>
      </c>
      <c r="W242" s="2">
        <v>-10.51</v>
      </c>
      <c r="X242" s="2">
        <v>-0.71</v>
      </c>
      <c r="Y242" s="2">
        <v>23.7</v>
      </c>
      <c r="Z242" s="2">
        <v>32.06</v>
      </c>
    </row>
    <row r="243" spans="1:26" x14ac:dyDescent="0.25">
      <c r="A243" s="1" t="s">
        <v>1151</v>
      </c>
      <c r="B243" s="1" t="s">
        <v>1152</v>
      </c>
      <c r="C243" s="1" t="s">
        <v>45</v>
      </c>
      <c r="D243" s="1" t="s">
        <v>18</v>
      </c>
      <c r="E243" s="1" t="s">
        <v>336</v>
      </c>
      <c r="F243" s="1" t="s">
        <v>1153</v>
      </c>
      <c r="G243" s="1" t="s">
        <v>12480</v>
      </c>
      <c r="H243" s="1" t="s">
        <v>1154</v>
      </c>
      <c r="I243" s="2">
        <v>24.72</v>
      </c>
      <c r="J243" s="2">
        <v>2.2000000000000002</v>
      </c>
      <c r="K243" s="2">
        <v>1.08</v>
      </c>
      <c r="L243" s="2">
        <v>1.41</v>
      </c>
      <c r="M243" s="4">
        <f t="shared" si="18"/>
        <v>22.888888888888886</v>
      </c>
      <c r="N243" s="4">
        <f t="shared" si="19"/>
        <v>17.531914893617021</v>
      </c>
      <c r="O243" s="5">
        <f t="shared" si="20"/>
        <v>-0.50909090909090904</v>
      </c>
      <c r="P243" s="5">
        <f t="shared" si="21"/>
        <v>0.30555555555555536</v>
      </c>
      <c r="Q243" s="4">
        <f t="shared" si="22"/>
        <v>-0.44960317460317456</v>
      </c>
      <c r="R243" s="4">
        <f t="shared" si="23"/>
        <v>0.57377176015473919</v>
      </c>
      <c r="S243" s="4">
        <v>56.39</v>
      </c>
      <c r="T243" s="2">
        <v>0.91</v>
      </c>
      <c r="U243" s="2">
        <v>34.049999999999997</v>
      </c>
      <c r="V243" s="2">
        <v>18.16</v>
      </c>
      <c r="W243" s="2">
        <v>-6.08</v>
      </c>
      <c r="X243" s="2">
        <v>32.97</v>
      </c>
      <c r="Y243" s="2">
        <v>10.85</v>
      </c>
      <c r="Z243" s="2">
        <v>-0.36</v>
      </c>
    </row>
    <row r="244" spans="1:26" x14ac:dyDescent="0.25">
      <c r="A244" s="1" t="s">
        <v>1156</v>
      </c>
      <c r="B244" s="1" t="s">
        <v>1157</v>
      </c>
      <c r="C244" s="1" t="s">
        <v>45</v>
      </c>
      <c r="D244" s="1" t="s">
        <v>32</v>
      </c>
      <c r="E244" s="1" t="s">
        <v>1159</v>
      </c>
      <c r="F244" s="1" t="s">
        <v>1158</v>
      </c>
      <c r="G244" s="1" t="s">
        <v>12480</v>
      </c>
      <c r="H244" s="1" t="s">
        <v>1160</v>
      </c>
      <c r="I244" s="2">
        <v>89.76</v>
      </c>
      <c r="J244" s="2">
        <v>-1.34</v>
      </c>
      <c r="K244" s="2">
        <v>-0.9</v>
      </c>
      <c r="L244" s="2">
        <v>0.13</v>
      </c>
      <c r="M244" s="4">
        <f t="shared" si="18"/>
        <v>-99.733333333333334</v>
      </c>
      <c r="N244" s="4">
        <f t="shared" si="19"/>
        <v>690.46153846153845</v>
      </c>
      <c r="O244" s="5">
        <f t="shared" si="20"/>
        <v>-0.32835820895522394</v>
      </c>
      <c r="P244" s="5">
        <f t="shared" si="21"/>
        <v>-1.1444444444444444</v>
      </c>
      <c r="Q244" s="4">
        <f t="shared" si="22"/>
        <v>3.0373333333333328</v>
      </c>
      <c r="R244" s="4">
        <f t="shared" si="23"/>
        <v>-6.0331590739357726</v>
      </c>
      <c r="S244" s="4">
        <v>1505.21</v>
      </c>
      <c r="T244" s="2">
        <v>2.77</v>
      </c>
      <c r="U244" s="2">
        <v>122.09</v>
      </c>
      <c r="V244" s="2">
        <v>20.07</v>
      </c>
      <c r="W244" s="2">
        <v>3.27</v>
      </c>
      <c r="X244" s="2">
        <v>-12.1</v>
      </c>
      <c r="Y244" s="2">
        <v>32.369999999999997</v>
      </c>
      <c r="Z244" s="2">
        <v>23.58</v>
      </c>
    </row>
    <row r="245" spans="1:26" x14ac:dyDescent="0.25">
      <c r="A245" s="1" t="s">
        <v>1161</v>
      </c>
      <c r="B245" s="1" t="s">
        <v>1162</v>
      </c>
      <c r="C245" s="1" t="s">
        <v>16</v>
      </c>
      <c r="D245" s="1" t="s">
        <v>32</v>
      </c>
      <c r="E245" s="1" t="s">
        <v>57</v>
      </c>
      <c r="F245" s="1" t="s">
        <v>1163</v>
      </c>
      <c r="G245" s="1" t="s">
        <v>12480</v>
      </c>
      <c r="H245" s="1" t="s">
        <v>1164</v>
      </c>
      <c r="I245" s="2">
        <v>21.66</v>
      </c>
      <c r="J245" s="2">
        <v>0.56999999999999995</v>
      </c>
      <c r="K245" s="2">
        <v>0.77</v>
      </c>
      <c r="L245" s="2"/>
      <c r="M245" s="4">
        <f t="shared" si="18"/>
        <v>28.129870129870131</v>
      </c>
      <c r="N245" s="4" t="e">
        <f t="shared" si="19"/>
        <v>#DIV/0!</v>
      </c>
      <c r="O245" s="5">
        <f t="shared" si="20"/>
        <v>0.35087719298245634</v>
      </c>
      <c r="P245" s="5">
        <f t="shared" si="21"/>
        <v>-1</v>
      </c>
      <c r="Q245" s="4">
        <f t="shared" si="22"/>
        <v>0.80170129870129836</v>
      </c>
      <c r="R245" s="4" t="e">
        <f t="shared" si="23"/>
        <v>#DIV/0!</v>
      </c>
      <c r="S245" s="4">
        <v>11.82</v>
      </c>
      <c r="T245" s="2">
        <v>1.42</v>
      </c>
      <c r="U245" s="2">
        <v>25.11</v>
      </c>
      <c r="V245" s="2">
        <v>7.42</v>
      </c>
      <c r="W245" s="2">
        <v>-10.5</v>
      </c>
      <c r="X245" s="2">
        <v>-2.21</v>
      </c>
      <c r="Y245" s="2">
        <v>39.020000000000003</v>
      </c>
      <c r="Z245" s="2">
        <v>34.53</v>
      </c>
    </row>
    <row r="246" spans="1:26" x14ac:dyDescent="0.25">
      <c r="A246" s="1" t="s">
        <v>1165</v>
      </c>
      <c r="B246" s="1" t="s">
        <v>1166</v>
      </c>
      <c r="C246" s="1" t="s">
        <v>45</v>
      </c>
      <c r="D246" s="1" t="s">
        <v>18</v>
      </c>
      <c r="E246" s="1" t="s">
        <v>74</v>
      </c>
      <c r="F246" s="1" t="s">
        <v>1167</v>
      </c>
      <c r="G246" s="1" t="s">
        <v>12480</v>
      </c>
      <c r="H246" s="1" t="s">
        <v>1168</v>
      </c>
      <c r="I246" s="2">
        <v>3.89</v>
      </c>
      <c r="J246" s="2">
        <v>-0.56999999999999995</v>
      </c>
      <c r="K246" s="2">
        <v>-0.56000000000000005</v>
      </c>
      <c r="L246" s="2">
        <v>-0.51</v>
      </c>
      <c r="M246" s="4">
        <f t="shared" si="18"/>
        <v>-6.9464285714285712</v>
      </c>
      <c r="N246" s="4">
        <f t="shared" si="19"/>
        <v>-7.6274509803921573</v>
      </c>
      <c r="O246" s="5">
        <f t="shared" si="20"/>
        <v>-1.754385964912264E-2</v>
      </c>
      <c r="P246" s="5">
        <f t="shared" si="21"/>
        <v>-8.9285714285714302E-2</v>
      </c>
      <c r="Q246" s="4">
        <f t="shared" si="22"/>
        <v>3.9594642857143234</v>
      </c>
      <c r="R246" s="4">
        <f t="shared" si="23"/>
        <v>0.85427450980392139</v>
      </c>
      <c r="S246" s="4">
        <v>1227.5999999999999</v>
      </c>
      <c r="T246" s="2">
        <v>1.61</v>
      </c>
      <c r="U246" s="2">
        <v>6.45</v>
      </c>
      <c r="V246" s="2">
        <v>1.21</v>
      </c>
      <c r="W246" s="2">
        <v>5.71</v>
      </c>
      <c r="X246" s="2">
        <v>-1.1399999999999999</v>
      </c>
      <c r="Y246" s="2">
        <v>-6.04</v>
      </c>
      <c r="Z246" s="2">
        <v>-4.8899999999999997</v>
      </c>
    </row>
    <row r="247" spans="1:26" x14ac:dyDescent="0.25">
      <c r="A247" s="1" t="s">
        <v>1169</v>
      </c>
      <c r="B247" s="1" t="s">
        <v>1170</v>
      </c>
      <c r="C247" s="1" t="s">
        <v>45</v>
      </c>
      <c r="D247" s="1" t="s">
        <v>147</v>
      </c>
      <c r="E247" s="1" t="s">
        <v>148</v>
      </c>
      <c r="F247" s="1" t="s">
        <v>1171</v>
      </c>
      <c r="G247" s="1" t="s">
        <v>12480</v>
      </c>
      <c r="H247" s="1" t="s">
        <v>1172</v>
      </c>
      <c r="I247" s="2">
        <v>36.21</v>
      </c>
      <c r="J247" s="2">
        <v>1.29</v>
      </c>
      <c r="K247" s="2">
        <v>2.0499999999999998</v>
      </c>
      <c r="L247" s="2">
        <v>2.38</v>
      </c>
      <c r="M247" s="4">
        <f t="shared" si="18"/>
        <v>17.663414634146342</v>
      </c>
      <c r="N247" s="4">
        <f t="shared" si="19"/>
        <v>15.214285714285715</v>
      </c>
      <c r="O247" s="5">
        <f t="shared" si="20"/>
        <v>0.58914728682170514</v>
      </c>
      <c r="P247" s="5">
        <f t="shared" si="21"/>
        <v>0.1609756097560977</v>
      </c>
      <c r="Q247" s="4">
        <f t="shared" si="22"/>
        <v>0.29981322207958938</v>
      </c>
      <c r="R247" s="4">
        <f t="shared" si="23"/>
        <v>0.94512987012986938</v>
      </c>
      <c r="S247" s="4">
        <v>51.09</v>
      </c>
      <c r="T247" s="2">
        <v>0.76</v>
      </c>
      <c r="U247" s="2">
        <v>42.9</v>
      </c>
      <c r="V247" s="2">
        <v>22.21</v>
      </c>
      <c r="W247" s="2">
        <v>-6.58</v>
      </c>
      <c r="X247" s="2">
        <v>-7.96</v>
      </c>
      <c r="Y247" s="2">
        <v>-14.68</v>
      </c>
      <c r="Z247" s="2">
        <v>-8.1</v>
      </c>
    </row>
    <row r="248" spans="1:26" x14ac:dyDescent="0.25">
      <c r="A248" s="1" t="s">
        <v>1173</v>
      </c>
      <c r="B248" s="1" t="s">
        <v>1174</v>
      </c>
      <c r="C248" s="1" t="s">
        <v>31</v>
      </c>
      <c r="D248" s="1" t="s">
        <v>305</v>
      </c>
      <c r="E248" s="1" t="s">
        <v>1176</v>
      </c>
      <c r="F248" s="1" t="s">
        <v>1175</v>
      </c>
      <c r="G248" s="1" t="s">
        <v>12490</v>
      </c>
      <c r="H248" s="1" t="s">
        <v>1177</v>
      </c>
      <c r="I248" s="2">
        <v>1.64</v>
      </c>
      <c r="J248" s="2">
        <v>0.1</v>
      </c>
      <c r="K248" s="2">
        <v>0.11</v>
      </c>
      <c r="L248" s="2">
        <v>0.12</v>
      </c>
      <c r="M248" s="4">
        <f t="shared" si="18"/>
        <v>14.909090909090908</v>
      </c>
      <c r="N248" s="4">
        <f t="shared" si="19"/>
        <v>13.666666666666666</v>
      </c>
      <c r="O248" s="5">
        <f t="shared" si="20"/>
        <v>9.9999999999999867E-2</v>
      </c>
      <c r="P248" s="5">
        <f t="shared" si="21"/>
        <v>9.0909090909090828E-2</v>
      </c>
      <c r="Q248" s="4">
        <f t="shared" si="22"/>
        <v>1.490909090909093</v>
      </c>
      <c r="R248" s="4">
        <f t="shared" si="23"/>
        <v>1.5033333333333345</v>
      </c>
      <c r="S248" s="4">
        <v>6.86</v>
      </c>
      <c r="T248" s="2">
        <v>1.21</v>
      </c>
      <c r="U248" s="2">
        <v>3.08</v>
      </c>
      <c r="V248" s="2">
        <v>1.52</v>
      </c>
      <c r="W248" s="2">
        <v>1.86</v>
      </c>
      <c r="X248" s="2">
        <v>1.86</v>
      </c>
      <c r="Y248" s="2" t="s">
        <v>12551</v>
      </c>
      <c r="Z248" s="2">
        <v>-15.03</v>
      </c>
    </row>
    <row r="249" spans="1:26" x14ac:dyDescent="0.25">
      <c r="A249" s="1" t="s">
        <v>1178</v>
      </c>
      <c r="B249" s="1" t="s">
        <v>1179</v>
      </c>
      <c r="C249" s="1" t="s">
        <v>45</v>
      </c>
      <c r="D249" s="1" t="s">
        <v>18</v>
      </c>
      <c r="E249" s="1" t="s">
        <v>594</v>
      </c>
      <c r="F249" s="1" t="s">
        <v>1180</v>
      </c>
      <c r="G249" s="1" t="s">
        <v>12480</v>
      </c>
      <c r="H249" s="1" t="s">
        <v>1181</v>
      </c>
      <c r="I249" s="2">
        <v>12.87</v>
      </c>
      <c r="J249" s="2">
        <v>0.05</v>
      </c>
      <c r="K249" s="2">
        <v>0.16</v>
      </c>
      <c r="L249" s="2">
        <v>0.49</v>
      </c>
      <c r="M249" s="4">
        <f t="shared" si="18"/>
        <v>80.4375</v>
      </c>
      <c r="N249" s="4">
        <f t="shared" si="19"/>
        <v>26.26530612244898</v>
      </c>
      <c r="O249" s="5">
        <f t="shared" si="20"/>
        <v>2.1999999999999997</v>
      </c>
      <c r="P249" s="5">
        <f t="shared" si="21"/>
        <v>2.0625</v>
      </c>
      <c r="Q249" s="4">
        <f t="shared" si="22"/>
        <v>0.36562500000000003</v>
      </c>
      <c r="R249" s="4">
        <f t="shared" si="23"/>
        <v>0.1273469387755102</v>
      </c>
      <c r="S249" s="4">
        <v>24.95</v>
      </c>
      <c r="T249" s="2">
        <v>1.02</v>
      </c>
      <c r="U249" s="2">
        <v>22.68</v>
      </c>
      <c r="V249" s="2">
        <v>9.27</v>
      </c>
      <c r="W249" s="2">
        <v>-4.45</v>
      </c>
      <c r="X249" s="2">
        <v>-4.74</v>
      </c>
      <c r="Y249" s="2">
        <v>-34.700000000000003</v>
      </c>
      <c r="Z249" s="2">
        <v>-38.83</v>
      </c>
    </row>
    <row r="250" spans="1:26" x14ac:dyDescent="0.25">
      <c r="A250" s="1" t="s">
        <v>1182</v>
      </c>
      <c r="B250" s="1" t="s">
        <v>1183</v>
      </c>
      <c r="C250" s="1" t="s">
        <v>16</v>
      </c>
      <c r="D250" s="1" t="s">
        <v>32</v>
      </c>
      <c r="E250" s="1" t="s">
        <v>311</v>
      </c>
      <c r="F250" s="1" t="s">
        <v>1184</v>
      </c>
      <c r="G250" s="1" t="s">
        <v>12480</v>
      </c>
      <c r="H250" s="1" t="s">
        <v>1080</v>
      </c>
      <c r="I250" s="2">
        <v>20.45</v>
      </c>
      <c r="J250" s="2">
        <v>0.9</v>
      </c>
      <c r="K250" s="2">
        <v>1.02</v>
      </c>
      <c r="L250" s="2">
        <v>1.1200000000000001</v>
      </c>
      <c r="M250" s="4">
        <f t="shared" si="18"/>
        <v>20.049019607843135</v>
      </c>
      <c r="N250" s="4">
        <f t="shared" si="19"/>
        <v>18.258928571428569</v>
      </c>
      <c r="O250" s="5">
        <f t="shared" si="20"/>
        <v>0.1333333333333333</v>
      </c>
      <c r="P250" s="5">
        <f t="shared" si="21"/>
        <v>9.8039215686274606E-2</v>
      </c>
      <c r="Q250" s="4">
        <f t="shared" si="22"/>
        <v>1.5036764705882355</v>
      </c>
      <c r="R250" s="4">
        <f t="shared" si="23"/>
        <v>1.8624107142857123</v>
      </c>
      <c r="S250" s="4">
        <v>11.03</v>
      </c>
      <c r="T250" s="2">
        <v>1.22</v>
      </c>
      <c r="U250" s="2">
        <v>20.93</v>
      </c>
      <c r="V250" s="2">
        <v>14.89</v>
      </c>
      <c r="W250" s="2">
        <v>2.97</v>
      </c>
      <c r="X250" s="2">
        <v>-2.2000000000000002</v>
      </c>
      <c r="Y250" s="2">
        <v>14.89</v>
      </c>
      <c r="Z250" s="2">
        <v>15.6</v>
      </c>
    </row>
    <row r="251" spans="1:26" x14ac:dyDescent="0.25">
      <c r="A251" s="1" t="s">
        <v>1185</v>
      </c>
      <c r="B251" s="1" t="s">
        <v>1186</v>
      </c>
      <c r="C251" s="1" t="s">
        <v>31</v>
      </c>
      <c r="D251" s="1" t="s">
        <v>32</v>
      </c>
      <c r="E251" s="1" t="s">
        <v>364</v>
      </c>
      <c r="F251" s="1" t="s">
        <v>12552</v>
      </c>
      <c r="G251" s="1" t="s">
        <v>12490</v>
      </c>
      <c r="H251" s="1" t="s">
        <v>12553</v>
      </c>
      <c r="I251" s="2">
        <v>157.5</v>
      </c>
      <c r="J251" s="2">
        <v>1.43</v>
      </c>
      <c r="K251" s="2">
        <v>2.57</v>
      </c>
      <c r="L251" s="2">
        <v>3.84</v>
      </c>
      <c r="M251" s="4">
        <f t="shared" si="18"/>
        <v>61.284046692607006</v>
      </c>
      <c r="N251" s="4">
        <f t="shared" si="19"/>
        <v>41.015625</v>
      </c>
      <c r="O251" s="5">
        <f t="shared" si="20"/>
        <v>0.79720279720279708</v>
      </c>
      <c r="P251" s="5">
        <f t="shared" si="21"/>
        <v>0.49416342412451364</v>
      </c>
      <c r="Q251" s="4">
        <f t="shared" si="22"/>
        <v>0.76873848044235116</v>
      </c>
      <c r="R251" s="4">
        <f t="shared" si="23"/>
        <v>0.83000123031496065</v>
      </c>
      <c r="S251" s="4">
        <v>51.94</v>
      </c>
      <c r="T251" s="2">
        <v>2.0099999999999998</v>
      </c>
      <c r="U251" s="2">
        <v>190.01</v>
      </c>
      <c r="V251" s="2">
        <v>35.81</v>
      </c>
      <c r="W251" s="2">
        <v>-6.24</v>
      </c>
      <c r="X251" s="2">
        <v>-11.74</v>
      </c>
      <c r="Y251" s="2">
        <v>26.45</v>
      </c>
      <c r="Z251" s="2">
        <v>24.68</v>
      </c>
    </row>
    <row r="252" spans="1:26" x14ac:dyDescent="0.25">
      <c r="A252" s="1" t="s">
        <v>1187</v>
      </c>
      <c r="B252" s="1" t="s">
        <v>1188</v>
      </c>
      <c r="C252" s="1" t="s">
        <v>16</v>
      </c>
      <c r="D252" s="1" t="s">
        <v>32</v>
      </c>
      <c r="E252" s="1" t="s">
        <v>565</v>
      </c>
      <c r="F252" s="1" t="s">
        <v>1189</v>
      </c>
      <c r="G252" s="1" t="s">
        <v>12480</v>
      </c>
      <c r="H252" s="1" t="s">
        <v>1190</v>
      </c>
      <c r="I252" s="2">
        <v>19.61</v>
      </c>
      <c r="J252" s="2">
        <v>1.95</v>
      </c>
      <c r="K252" s="2">
        <v>1.68</v>
      </c>
      <c r="L252" s="2">
        <v>1.6</v>
      </c>
      <c r="M252" s="4">
        <f t="shared" si="18"/>
        <v>11.672619047619047</v>
      </c>
      <c r="N252" s="4">
        <f t="shared" si="19"/>
        <v>12.25625</v>
      </c>
      <c r="O252" s="5">
        <f t="shared" si="20"/>
        <v>-0.13846153846153852</v>
      </c>
      <c r="P252" s="5">
        <f t="shared" si="21"/>
        <v>-4.7619047619047561E-2</v>
      </c>
      <c r="Q252" s="4">
        <f t="shared" si="22"/>
        <v>-0.84302248677248637</v>
      </c>
      <c r="R252" s="4">
        <f t="shared" si="23"/>
        <v>-2.5738125000000034</v>
      </c>
      <c r="S252" s="4">
        <v>-4.33</v>
      </c>
      <c r="T252" s="2">
        <v>0.12</v>
      </c>
      <c r="U252" s="2">
        <v>30.99</v>
      </c>
      <c r="V252" s="2">
        <v>17.96</v>
      </c>
      <c r="W252" s="2">
        <v>2.35</v>
      </c>
      <c r="X252" s="2">
        <v>-6.71</v>
      </c>
      <c r="Y252" s="2">
        <v>-15.84</v>
      </c>
      <c r="Z252" s="2">
        <v>-11.91</v>
      </c>
    </row>
    <row r="253" spans="1:26" x14ac:dyDescent="0.25">
      <c r="A253" s="1" t="s">
        <v>1191</v>
      </c>
      <c r="B253" s="1" t="s">
        <v>1192</v>
      </c>
      <c r="C253" s="1" t="s">
        <v>16</v>
      </c>
      <c r="D253" s="1" t="s">
        <v>204</v>
      </c>
      <c r="E253" s="1" t="s">
        <v>534</v>
      </c>
      <c r="F253" s="1" t="s">
        <v>1193</v>
      </c>
      <c r="G253" s="1" t="s">
        <v>12480</v>
      </c>
      <c r="H253" s="1" t="s">
        <v>1194</v>
      </c>
      <c r="I253" s="2">
        <v>156.69999999999999</v>
      </c>
      <c r="J253" s="2">
        <v>3.24</v>
      </c>
      <c r="K253" s="2">
        <v>4.18</v>
      </c>
      <c r="L253" s="2">
        <v>4.95</v>
      </c>
      <c r="M253" s="4">
        <f t="shared" si="18"/>
        <v>37.488038277511961</v>
      </c>
      <c r="N253" s="4">
        <f t="shared" si="19"/>
        <v>31.656565656565654</v>
      </c>
      <c r="O253" s="5">
        <f t="shared" si="20"/>
        <v>0.29012345679012319</v>
      </c>
      <c r="P253" s="5">
        <f t="shared" si="21"/>
        <v>0.1842105263157896</v>
      </c>
      <c r="Q253" s="4">
        <f t="shared" si="22"/>
        <v>1.2921408938206262</v>
      </c>
      <c r="R253" s="4">
        <f t="shared" si="23"/>
        <v>1.7184992784992772</v>
      </c>
      <c r="S253" s="4">
        <v>5.16</v>
      </c>
      <c r="T253" s="2">
        <v>0.95</v>
      </c>
      <c r="U253" s="2">
        <v>166.42</v>
      </c>
      <c r="V253" s="2">
        <v>41.97</v>
      </c>
      <c r="W253" s="2">
        <v>-5.84</v>
      </c>
      <c r="X253" s="2">
        <v>15.51</v>
      </c>
      <c r="Y253" s="2">
        <v>44.13</v>
      </c>
      <c r="Z253" s="2">
        <v>36.549999999999997</v>
      </c>
    </row>
    <row r="254" spans="1:26" x14ac:dyDescent="0.25">
      <c r="A254" s="1" t="s">
        <v>1196</v>
      </c>
      <c r="B254" s="1" t="s">
        <v>1197</v>
      </c>
      <c r="C254" s="1" t="s">
        <v>16</v>
      </c>
      <c r="D254" s="1" t="s">
        <v>25</v>
      </c>
      <c r="E254" s="1" t="s">
        <v>1199</v>
      </c>
      <c r="F254" s="1" t="s">
        <v>1198</v>
      </c>
      <c r="G254" s="1" t="s">
        <v>12485</v>
      </c>
      <c r="H254" s="1" t="s">
        <v>1200</v>
      </c>
      <c r="I254" s="2">
        <v>61.59</v>
      </c>
      <c r="J254" s="2">
        <v>6.05</v>
      </c>
      <c r="K254" s="2">
        <v>5.17</v>
      </c>
      <c r="L254" s="2">
        <v>5.77</v>
      </c>
      <c r="M254" s="4">
        <f t="shared" si="18"/>
        <v>11.912959381044487</v>
      </c>
      <c r="N254" s="4">
        <f t="shared" si="19"/>
        <v>10.67417677642981</v>
      </c>
      <c r="O254" s="5">
        <f t="shared" si="20"/>
        <v>-0.14545454545454539</v>
      </c>
      <c r="P254" s="5">
        <f t="shared" si="21"/>
        <v>0.11605415860735002</v>
      </c>
      <c r="Q254" s="4">
        <f t="shared" si="22"/>
        <v>-0.81901595744680888</v>
      </c>
      <c r="R254" s="4">
        <f t="shared" si="23"/>
        <v>0.91975823223570263</v>
      </c>
      <c r="S254" s="4">
        <v>-10.98</v>
      </c>
      <c r="T254" s="2">
        <v>1.54</v>
      </c>
      <c r="U254" s="2">
        <v>79.64</v>
      </c>
      <c r="V254" s="2">
        <v>52.02</v>
      </c>
      <c r="W254" s="2">
        <v>-5.84</v>
      </c>
      <c r="X254" s="2">
        <v>-7.43</v>
      </c>
      <c r="Y254" s="2">
        <v>-4.63</v>
      </c>
      <c r="Z254" s="2">
        <v>-2.62</v>
      </c>
    </row>
    <row r="255" spans="1:26" x14ac:dyDescent="0.25">
      <c r="A255" s="1" t="s">
        <v>1201</v>
      </c>
      <c r="B255" s="1" t="s">
        <v>1202</v>
      </c>
      <c r="C255" s="1" t="s">
        <v>31</v>
      </c>
      <c r="D255" s="1" t="s">
        <v>25</v>
      </c>
      <c r="E255" s="1" t="s">
        <v>220</v>
      </c>
      <c r="F255" s="1" t="s">
        <v>1203</v>
      </c>
      <c r="G255" s="1" t="s">
        <v>12480</v>
      </c>
      <c r="H255" s="1" t="s">
        <v>1204</v>
      </c>
      <c r="I255" s="2">
        <v>19.09</v>
      </c>
      <c r="J255" s="2">
        <v>0.55000000000000004</v>
      </c>
      <c r="K255" s="2">
        <v>0.65</v>
      </c>
      <c r="L255" s="2">
        <v>0.74</v>
      </c>
      <c r="M255" s="4">
        <f t="shared" si="18"/>
        <v>29.369230769230768</v>
      </c>
      <c r="N255" s="4">
        <f t="shared" si="19"/>
        <v>25.797297297297298</v>
      </c>
      <c r="O255" s="5">
        <f t="shared" si="20"/>
        <v>0.18181818181818166</v>
      </c>
      <c r="P255" s="5">
        <f t="shared" si="21"/>
        <v>0.13846153846153841</v>
      </c>
      <c r="Q255" s="4">
        <f t="shared" si="22"/>
        <v>1.6153076923076937</v>
      </c>
      <c r="R255" s="4">
        <f t="shared" si="23"/>
        <v>1.8631381381381389</v>
      </c>
      <c r="S255" s="4">
        <v>2.9</v>
      </c>
      <c r="T255" s="2">
        <v>1.41</v>
      </c>
      <c r="U255" s="2">
        <v>21.83</v>
      </c>
      <c r="V255" s="2">
        <v>13.56</v>
      </c>
      <c r="W255" s="2">
        <v>-7.6</v>
      </c>
      <c r="X255" s="2">
        <v>-10.039999999999999</v>
      </c>
      <c r="Y255" s="2">
        <v>6.53</v>
      </c>
      <c r="Z255" s="2">
        <v>6.59</v>
      </c>
    </row>
    <row r="256" spans="1:26" x14ac:dyDescent="0.25">
      <c r="A256" s="1" t="s">
        <v>1205</v>
      </c>
      <c r="B256" s="1" t="s">
        <v>1206</v>
      </c>
      <c r="C256" s="1" t="s">
        <v>16</v>
      </c>
      <c r="D256" s="1" t="s">
        <v>305</v>
      </c>
      <c r="E256" s="1" t="s">
        <v>306</v>
      </c>
      <c r="F256" s="1" t="s">
        <v>1207</v>
      </c>
      <c r="G256" s="1" t="s">
        <v>12480</v>
      </c>
      <c r="H256" s="1" t="s">
        <v>1208</v>
      </c>
      <c r="I256" s="2">
        <v>58.21</v>
      </c>
      <c r="J256" s="2">
        <v>2.73</v>
      </c>
      <c r="K256" s="2">
        <v>2.93</v>
      </c>
      <c r="L256" s="2">
        <v>3.22</v>
      </c>
      <c r="M256" s="4">
        <f t="shared" si="18"/>
        <v>19.866894197952217</v>
      </c>
      <c r="N256" s="4">
        <f t="shared" si="19"/>
        <v>18.077639751552795</v>
      </c>
      <c r="O256" s="5">
        <f t="shared" si="20"/>
        <v>7.3260073260073222E-2</v>
      </c>
      <c r="P256" s="5">
        <f t="shared" si="21"/>
        <v>9.8976109215016983E-2</v>
      </c>
      <c r="Q256" s="4">
        <f t="shared" si="22"/>
        <v>2.7118310580204792</v>
      </c>
      <c r="R256" s="4">
        <f t="shared" si="23"/>
        <v>1.8264649817948184</v>
      </c>
      <c r="S256" s="4">
        <v>5.67</v>
      </c>
      <c r="T256" s="2">
        <v>1.48</v>
      </c>
      <c r="U256" s="2">
        <v>65.569999999999993</v>
      </c>
      <c r="V256" s="2">
        <v>31.66</v>
      </c>
      <c r="W256" s="2">
        <v>-11.23</v>
      </c>
      <c r="X256" s="2">
        <v>-6.26</v>
      </c>
      <c r="Y256" s="2">
        <v>9.44</v>
      </c>
      <c r="Z256" s="2">
        <v>12.14</v>
      </c>
    </row>
    <row r="257" spans="1:26" x14ac:dyDescent="0.25">
      <c r="A257" s="1" t="s">
        <v>1210</v>
      </c>
      <c r="B257" s="1" t="s">
        <v>1211</v>
      </c>
      <c r="C257" s="1" t="s">
        <v>16</v>
      </c>
      <c r="D257" s="1" t="s">
        <v>354</v>
      </c>
      <c r="E257" s="1" t="s">
        <v>1213</v>
      </c>
      <c r="F257" s="1" t="s">
        <v>1212</v>
      </c>
      <c r="G257" s="1" t="s">
        <v>12485</v>
      </c>
      <c r="H257" s="1" t="s">
        <v>1214</v>
      </c>
      <c r="I257" s="2">
        <v>185.24</v>
      </c>
      <c r="J257" s="2">
        <v>7.46</v>
      </c>
      <c r="K257" s="2">
        <v>8.2200000000000006</v>
      </c>
      <c r="L257" s="2">
        <v>8.75</v>
      </c>
      <c r="M257" s="4">
        <f t="shared" si="18"/>
        <v>22.535279805352797</v>
      </c>
      <c r="N257" s="4">
        <f t="shared" si="19"/>
        <v>21.170285714285715</v>
      </c>
      <c r="O257" s="5">
        <f t="shared" si="20"/>
        <v>0.10187667560321723</v>
      </c>
      <c r="P257" s="5">
        <f t="shared" si="21"/>
        <v>6.4476885644768833E-2</v>
      </c>
      <c r="Q257" s="4">
        <f t="shared" si="22"/>
        <v>2.2120156229991021</v>
      </c>
      <c r="R257" s="4">
        <f t="shared" si="23"/>
        <v>3.2833914824797859</v>
      </c>
      <c r="S257" s="4">
        <v>12.91</v>
      </c>
      <c r="T257" s="2">
        <v>0.74</v>
      </c>
      <c r="U257" s="2">
        <v>187.07</v>
      </c>
      <c r="V257" s="2">
        <v>145.06</v>
      </c>
      <c r="W257" s="2">
        <v>-0.98</v>
      </c>
      <c r="X257" s="2">
        <v>8.0399999999999991</v>
      </c>
      <c r="Y257" s="2">
        <v>8.49</v>
      </c>
      <c r="Z257" s="2">
        <v>10.51</v>
      </c>
    </row>
    <row r="258" spans="1:26" x14ac:dyDescent="0.25">
      <c r="A258" s="1" t="s">
        <v>1215</v>
      </c>
      <c r="B258" s="1" t="s">
        <v>1216</v>
      </c>
      <c r="C258" s="1" t="s">
        <v>16</v>
      </c>
      <c r="D258" s="1" t="s">
        <v>25</v>
      </c>
      <c r="E258" s="1" t="s">
        <v>734</v>
      </c>
      <c r="F258" s="1" t="s">
        <v>1217</v>
      </c>
      <c r="G258" s="1" t="s">
        <v>12480</v>
      </c>
      <c r="H258" s="1" t="s">
        <v>1218</v>
      </c>
      <c r="I258" s="2">
        <v>133.75</v>
      </c>
      <c r="J258" s="2">
        <v>5.74</v>
      </c>
      <c r="K258" s="2">
        <v>5.41</v>
      </c>
      <c r="L258" s="2">
        <v>6.24</v>
      </c>
      <c r="M258" s="4">
        <f t="shared" si="18"/>
        <v>24.722735674676525</v>
      </c>
      <c r="N258" s="4">
        <f t="shared" si="19"/>
        <v>21.434294871794872</v>
      </c>
      <c r="O258" s="5">
        <f t="shared" si="20"/>
        <v>-5.7491289198606244E-2</v>
      </c>
      <c r="P258" s="5">
        <f t="shared" si="21"/>
        <v>0.15341959334565614</v>
      </c>
      <c r="Q258" s="4">
        <f t="shared" si="22"/>
        <v>-4.3002576597770705</v>
      </c>
      <c r="R258" s="4">
        <f t="shared" si="23"/>
        <v>1.3971028344145819</v>
      </c>
      <c r="S258" s="4">
        <v>5.42</v>
      </c>
      <c r="T258" s="2">
        <v>0.46</v>
      </c>
      <c r="U258" s="2">
        <v>161.82</v>
      </c>
      <c r="V258" s="2">
        <v>113.12</v>
      </c>
      <c r="W258" s="2">
        <v>-6.25</v>
      </c>
      <c r="X258" s="2">
        <v>-3.41</v>
      </c>
      <c r="Y258" s="2">
        <v>9.34</v>
      </c>
      <c r="Z258" s="2">
        <v>9.67</v>
      </c>
    </row>
    <row r="259" spans="1:26" x14ac:dyDescent="0.25">
      <c r="A259" s="1" t="s">
        <v>1219</v>
      </c>
      <c r="B259" s="1" t="s">
        <v>1220</v>
      </c>
      <c r="C259" s="1" t="s">
        <v>45</v>
      </c>
      <c r="D259" s="1" t="s">
        <v>18</v>
      </c>
      <c r="E259" s="1" t="s">
        <v>19</v>
      </c>
      <c r="F259" s="1" t="s">
        <v>1221</v>
      </c>
      <c r="G259" s="1" t="s">
        <v>12480</v>
      </c>
      <c r="H259" s="1" t="s">
        <v>1222</v>
      </c>
      <c r="I259" s="2">
        <v>29.39</v>
      </c>
      <c r="J259" s="2">
        <v>-0.11</v>
      </c>
      <c r="K259" s="2">
        <v>0.1</v>
      </c>
      <c r="L259" s="2">
        <v>0.35</v>
      </c>
      <c r="M259" s="4">
        <f t="shared" ref="M259:M322" si="24">I259/K259</f>
        <v>293.89999999999998</v>
      </c>
      <c r="N259" s="4">
        <f t="shared" ref="N259:N322" si="25">I259/L259</f>
        <v>83.971428571428575</v>
      </c>
      <c r="O259" s="5">
        <f t="shared" ref="O259:O322" si="26">K259/J259-1</f>
        <v>-1.9090909090909092</v>
      </c>
      <c r="P259" s="5">
        <f t="shared" ref="P259:P322" si="27">L259/K259-1</f>
        <v>2.4999999999999996</v>
      </c>
      <c r="Q259" s="4">
        <f t="shared" ref="Q259:Q322" si="28">M259/(O259*100)</f>
        <v>-1.5394761904761904</v>
      </c>
      <c r="R259" s="4">
        <f t="shared" ref="R259:R322" si="29">N259/(P259*100)</f>
        <v>0.3358857142857144</v>
      </c>
      <c r="S259" s="4">
        <v>14.88</v>
      </c>
      <c r="T259" s="2">
        <v>1.42</v>
      </c>
      <c r="U259" s="2">
        <v>42.4</v>
      </c>
      <c r="V259" s="2">
        <v>29.07</v>
      </c>
      <c r="W259" s="2">
        <v>-4.9800000000000004</v>
      </c>
      <c r="X259" s="2">
        <v>-20.399999999999999</v>
      </c>
      <c r="Y259" s="2">
        <v>-28.39</v>
      </c>
      <c r="Z259" s="2">
        <v>-25.71</v>
      </c>
    </row>
    <row r="260" spans="1:26" x14ac:dyDescent="0.25">
      <c r="A260" s="1" t="s">
        <v>1223</v>
      </c>
      <c r="B260" s="1" t="s">
        <v>1224</v>
      </c>
      <c r="C260" s="1" t="s">
        <v>45</v>
      </c>
      <c r="D260" s="1" t="s">
        <v>204</v>
      </c>
      <c r="E260" s="1" t="s">
        <v>534</v>
      </c>
      <c r="F260" s="1" t="s">
        <v>1225</v>
      </c>
      <c r="G260" s="1" t="s">
        <v>12480</v>
      </c>
      <c r="H260" s="1" t="s">
        <v>1226</v>
      </c>
      <c r="I260" s="2">
        <v>74.34</v>
      </c>
      <c r="J260" s="2">
        <v>2.0099999999999998</v>
      </c>
      <c r="K260" s="2">
        <v>2.62</v>
      </c>
      <c r="L260" s="2">
        <v>3.14</v>
      </c>
      <c r="M260" s="4">
        <f t="shared" si="24"/>
        <v>28.374045801526719</v>
      </c>
      <c r="N260" s="4">
        <f t="shared" si="25"/>
        <v>23.67515923566879</v>
      </c>
      <c r="O260" s="5">
        <f t="shared" si="26"/>
        <v>0.3034825870646769</v>
      </c>
      <c r="P260" s="5">
        <f t="shared" si="27"/>
        <v>0.1984732824427482</v>
      </c>
      <c r="Q260" s="4">
        <f t="shared" si="28"/>
        <v>0.93494806657489593</v>
      </c>
      <c r="R260" s="4">
        <f t="shared" si="29"/>
        <v>1.192863792258696</v>
      </c>
      <c r="S260" s="4">
        <v>8.39</v>
      </c>
      <c r="T260" s="2">
        <v>1.06</v>
      </c>
      <c r="U260" s="2">
        <v>81.349999999999994</v>
      </c>
      <c r="V260" s="2">
        <v>20.03</v>
      </c>
      <c r="W260" s="2">
        <v>-8.6199999999999992</v>
      </c>
      <c r="X260" s="2">
        <v>-4.3499999999999996</v>
      </c>
      <c r="Y260" s="2">
        <v>42.11</v>
      </c>
      <c r="Z260" s="2">
        <v>37.06</v>
      </c>
    </row>
    <row r="261" spans="1:26" x14ac:dyDescent="0.25">
      <c r="A261" s="1" t="s">
        <v>1223</v>
      </c>
      <c r="B261" s="1" t="s">
        <v>1229</v>
      </c>
      <c r="C261" s="1" t="s">
        <v>31</v>
      </c>
      <c r="D261" s="1" t="s">
        <v>204</v>
      </c>
      <c r="E261" s="1" t="s">
        <v>534</v>
      </c>
      <c r="F261" s="1" t="s">
        <v>1230</v>
      </c>
      <c r="G261" s="1" t="s">
        <v>12480</v>
      </c>
      <c r="H261" s="1" t="s">
        <v>1226</v>
      </c>
      <c r="I261" s="2" t="s">
        <v>12557</v>
      </c>
      <c r="J261" s="2">
        <v>2.0099999999999998</v>
      </c>
      <c r="K261" s="2"/>
      <c r="L261" s="2"/>
      <c r="M261" s="4" t="e">
        <f t="shared" si="24"/>
        <v>#DIV/0!</v>
      </c>
      <c r="N261" s="4" t="e">
        <f t="shared" si="25"/>
        <v>#DIV/0!</v>
      </c>
      <c r="O261" s="5">
        <f t="shared" si="26"/>
        <v>-1</v>
      </c>
      <c r="P261" s="5" t="e">
        <f t="shared" si="27"/>
        <v>#DIV/0!</v>
      </c>
      <c r="Q261" s="4" t="e">
        <f t="shared" si="28"/>
        <v>#DIV/0!</v>
      </c>
      <c r="R261" s="4" t="e">
        <f t="shared" si="29"/>
        <v>#DIV/0!</v>
      </c>
      <c r="S261" s="4">
        <v>8.39</v>
      </c>
      <c r="T261" s="2">
        <v>0.94</v>
      </c>
      <c r="U261" s="2" t="s">
        <v>12556</v>
      </c>
      <c r="V261" s="2">
        <v>19.53</v>
      </c>
      <c r="W261" s="2">
        <v>-9.64</v>
      </c>
      <c r="X261" s="2">
        <v>2.4300000000000002</v>
      </c>
      <c r="Y261" s="2">
        <v>37.06</v>
      </c>
      <c r="Z261" s="2">
        <v>38.380000000000003</v>
      </c>
    </row>
    <row r="262" spans="1:26" x14ac:dyDescent="0.25">
      <c r="A262" s="1" t="s">
        <v>1232</v>
      </c>
      <c r="B262" s="1" t="s">
        <v>1233</v>
      </c>
      <c r="C262" s="1" t="s">
        <v>16</v>
      </c>
      <c r="D262" s="1" t="s">
        <v>25</v>
      </c>
      <c r="E262" s="1" t="s">
        <v>220</v>
      </c>
      <c r="F262" s="1" t="s">
        <v>1234</v>
      </c>
      <c r="G262" s="1" t="s">
        <v>12490</v>
      </c>
      <c r="H262" s="1" t="s">
        <v>1235</v>
      </c>
      <c r="I262" s="2">
        <v>30.36</v>
      </c>
      <c r="J262" s="2">
        <v>1.06</v>
      </c>
      <c r="K262" s="2">
        <v>1.29</v>
      </c>
      <c r="L262" s="2">
        <v>1.53</v>
      </c>
      <c r="M262" s="4">
        <f t="shared" si="24"/>
        <v>23.534883720930232</v>
      </c>
      <c r="N262" s="4">
        <f t="shared" si="25"/>
        <v>19.843137254901961</v>
      </c>
      <c r="O262" s="5">
        <f t="shared" si="26"/>
        <v>0.21698113207547176</v>
      </c>
      <c r="P262" s="5">
        <f t="shared" si="27"/>
        <v>0.18604651162790686</v>
      </c>
      <c r="Q262" s="4">
        <f t="shared" si="28"/>
        <v>1.0846511627906972</v>
      </c>
      <c r="R262" s="4">
        <f t="shared" si="29"/>
        <v>1.0665686274509809</v>
      </c>
      <c r="S262" s="4">
        <v>-20.59</v>
      </c>
      <c r="T262" s="2">
        <v>1.1000000000000001</v>
      </c>
      <c r="U262" s="2">
        <v>32.83</v>
      </c>
      <c r="V262" s="2">
        <v>21.07</v>
      </c>
      <c r="W262" s="2">
        <v>-7.52</v>
      </c>
      <c r="X262" s="2">
        <v>1.37</v>
      </c>
      <c r="Y262" s="2">
        <v>13.11</v>
      </c>
      <c r="Z262" s="2">
        <v>10.24</v>
      </c>
    </row>
    <row r="263" spans="1:26" x14ac:dyDescent="0.25">
      <c r="A263" s="1" t="s">
        <v>1236</v>
      </c>
      <c r="B263" s="1" t="s">
        <v>1237</v>
      </c>
      <c r="C263" s="1" t="s">
        <v>16</v>
      </c>
      <c r="D263" s="1" t="s">
        <v>88</v>
      </c>
      <c r="E263" s="1" t="s">
        <v>89</v>
      </c>
      <c r="F263" s="1" t="s">
        <v>1238</v>
      </c>
      <c r="G263" s="1" t="s">
        <v>12480</v>
      </c>
      <c r="H263" s="1" t="s">
        <v>1239</v>
      </c>
      <c r="I263" s="2">
        <v>108.9</v>
      </c>
      <c r="J263" s="2">
        <v>5.37</v>
      </c>
      <c r="K263" s="2">
        <v>9.27</v>
      </c>
      <c r="L263" s="2">
        <v>9.11</v>
      </c>
      <c r="M263" s="4">
        <f t="shared" si="24"/>
        <v>11.747572815533982</v>
      </c>
      <c r="N263" s="4">
        <f t="shared" si="25"/>
        <v>11.953896816684964</v>
      </c>
      <c r="O263" s="5">
        <f t="shared" si="26"/>
        <v>0.72625698324022325</v>
      </c>
      <c r="P263" s="5">
        <f t="shared" si="27"/>
        <v>-1.7259978425027023E-2</v>
      </c>
      <c r="Q263" s="4">
        <f t="shared" si="28"/>
        <v>0.16175504107542948</v>
      </c>
      <c r="R263" s="4">
        <f t="shared" si="29"/>
        <v>-6.9257889681668292</v>
      </c>
      <c r="S263" s="4">
        <v>70.78</v>
      </c>
      <c r="T263" s="2">
        <v>0.55000000000000004</v>
      </c>
      <c r="U263" s="2">
        <v>128.26</v>
      </c>
      <c r="V263" s="2">
        <v>30.64</v>
      </c>
      <c r="W263" s="2">
        <v>-15.09</v>
      </c>
      <c r="X263" s="2">
        <v>1.6</v>
      </c>
      <c r="Y263" s="2">
        <v>29.17</v>
      </c>
      <c r="Z263" s="2">
        <v>27.7</v>
      </c>
    </row>
    <row r="264" spans="1:26" x14ac:dyDescent="0.25">
      <c r="A264" s="1" t="s">
        <v>1241</v>
      </c>
      <c r="B264" s="1" t="s">
        <v>1242</v>
      </c>
      <c r="C264" s="1" t="s">
        <v>16</v>
      </c>
      <c r="D264" s="1" t="s">
        <v>38</v>
      </c>
      <c r="E264" s="1" t="s">
        <v>1244</v>
      </c>
      <c r="F264" s="1" t="s">
        <v>1243</v>
      </c>
      <c r="G264" s="1" t="s">
        <v>12480</v>
      </c>
      <c r="H264" s="1" t="s">
        <v>1245</v>
      </c>
      <c r="I264" s="2">
        <v>35.15</v>
      </c>
      <c r="J264" s="2">
        <v>3.44</v>
      </c>
      <c r="K264" s="2">
        <v>3.77</v>
      </c>
      <c r="L264" s="2">
        <v>4.0599999999999996</v>
      </c>
      <c r="M264" s="4">
        <f t="shared" si="24"/>
        <v>9.3236074270557019</v>
      </c>
      <c r="N264" s="4">
        <f t="shared" si="25"/>
        <v>8.6576354679802954</v>
      </c>
      <c r="O264" s="5">
        <f t="shared" si="26"/>
        <v>9.5930232558139483E-2</v>
      </c>
      <c r="P264" s="5">
        <f t="shared" si="27"/>
        <v>7.6923076923076872E-2</v>
      </c>
      <c r="Q264" s="4">
        <f t="shared" si="28"/>
        <v>0.97191544088095849</v>
      </c>
      <c r="R264" s="4">
        <f t="shared" si="29"/>
        <v>1.1254926108374392</v>
      </c>
      <c r="S264" s="4">
        <v>51.58</v>
      </c>
      <c r="T264" s="2">
        <v>0.82</v>
      </c>
      <c r="U264" s="2">
        <v>41.78</v>
      </c>
      <c r="V264" s="2">
        <v>23.85</v>
      </c>
      <c r="W264" s="2">
        <v>-6.57</v>
      </c>
      <c r="X264" s="2">
        <v>-15.83</v>
      </c>
      <c r="Y264" s="2">
        <v>-4.6100000000000003</v>
      </c>
      <c r="Z264" s="2">
        <v>-0.42</v>
      </c>
    </row>
    <row r="265" spans="1:26" x14ac:dyDescent="0.25">
      <c r="A265" s="1" t="s">
        <v>1247</v>
      </c>
      <c r="B265" s="1" t="s">
        <v>1248</v>
      </c>
      <c r="C265" s="1" t="s">
        <v>45</v>
      </c>
      <c r="D265" s="1" t="s">
        <v>88</v>
      </c>
      <c r="E265" s="1" t="s">
        <v>658</v>
      </c>
      <c r="F265" s="1" t="s">
        <v>1249</v>
      </c>
      <c r="G265" s="1" t="s">
        <v>12480</v>
      </c>
      <c r="H265" s="1" t="s">
        <v>1250</v>
      </c>
      <c r="I265" s="2">
        <v>80.72</v>
      </c>
      <c r="J265" s="2">
        <v>2.63</v>
      </c>
      <c r="K265" s="2">
        <v>11.86</v>
      </c>
      <c r="L265" s="2">
        <v>20.85</v>
      </c>
      <c r="M265" s="4">
        <f t="shared" si="24"/>
        <v>6.8060708263069145</v>
      </c>
      <c r="N265" s="4">
        <f t="shared" si="25"/>
        <v>3.8714628297362106</v>
      </c>
      <c r="O265" s="5">
        <f t="shared" si="26"/>
        <v>3.5095057034220529</v>
      </c>
      <c r="P265" s="5">
        <f t="shared" si="27"/>
        <v>0.75801011804384499</v>
      </c>
      <c r="Q265" s="4">
        <f t="shared" si="28"/>
        <v>1.9393246233138879E-2</v>
      </c>
      <c r="R265" s="4">
        <f t="shared" si="29"/>
        <v>5.1074025762704617E-2</v>
      </c>
      <c r="S265" s="4">
        <v>55.13</v>
      </c>
      <c r="T265" s="2"/>
      <c r="U265" s="2">
        <v>89.74</v>
      </c>
      <c r="V265" s="2">
        <v>23.5</v>
      </c>
      <c r="W265" s="2">
        <v>-8.4</v>
      </c>
      <c r="X265" s="2">
        <v>10.57</v>
      </c>
      <c r="Y265" s="2">
        <v>72.55</v>
      </c>
      <c r="Z265" s="2">
        <v>60.11</v>
      </c>
    </row>
    <row r="266" spans="1:26" x14ac:dyDescent="0.25">
      <c r="A266" s="1" t="s">
        <v>1251</v>
      </c>
      <c r="B266" s="1" t="s">
        <v>1252</v>
      </c>
      <c r="C266" s="1" t="s">
        <v>45</v>
      </c>
      <c r="D266" s="1" t="s">
        <v>18</v>
      </c>
      <c r="E266" s="1" t="s">
        <v>780</v>
      </c>
      <c r="F266" s="1" t="s">
        <v>1253</v>
      </c>
      <c r="G266" s="1" t="s">
        <v>12480</v>
      </c>
      <c r="H266" s="1" t="s">
        <v>1254</v>
      </c>
      <c r="I266" s="2">
        <v>14.37</v>
      </c>
      <c r="J266" s="2">
        <v>0.82</v>
      </c>
      <c r="K266" s="2">
        <v>0.81</v>
      </c>
      <c r="L266" s="2">
        <v>0.8</v>
      </c>
      <c r="M266" s="4">
        <f t="shared" si="24"/>
        <v>17.740740740740737</v>
      </c>
      <c r="N266" s="4">
        <f t="shared" si="25"/>
        <v>17.962499999999999</v>
      </c>
      <c r="O266" s="5">
        <f t="shared" si="26"/>
        <v>-1.2195121951219412E-2</v>
      </c>
      <c r="P266" s="5">
        <f t="shared" si="27"/>
        <v>-1.2345679012345734E-2</v>
      </c>
      <c r="Q266" s="4">
        <f t="shared" si="28"/>
        <v>-14.547407407407524</v>
      </c>
      <c r="R266" s="4">
        <f t="shared" si="29"/>
        <v>-14.549624999999935</v>
      </c>
      <c r="S266" s="4">
        <v>20.38</v>
      </c>
      <c r="T266" s="2">
        <v>1.53</v>
      </c>
      <c r="U266" s="2">
        <v>16.37</v>
      </c>
      <c r="V266" s="2">
        <v>7.2</v>
      </c>
      <c r="W266" s="2">
        <v>1.1299999999999999</v>
      </c>
      <c r="X266" s="2">
        <v>-1.1000000000000001</v>
      </c>
      <c r="Y266" s="2">
        <v>-8.41</v>
      </c>
      <c r="Z266" s="2">
        <v>-9.91</v>
      </c>
    </row>
    <row r="267" spans="1:26" x14ac:dyDescent="0.25">
      <c r="A267" s="1" t="s">
        <v>1255</v>
      </c>
      <c r="B267" s="1" t="s">
        <v>1256</v>
      </c>
      <c r="C267" s="1" t="s">
        <v>45</v>
      </c>
      <c r="D267" s="1" t="s">
        <v>140</v>
      </c>
      <c r="E267" s="1" t="s">
        <v>284</v>
      </c>
      <c r="F267" s="1" t="s">
        <v>1257</v>
      </c>
      <c r="G267" s="1" t="s">
        <v>12480</v>
      </c>
      <c r="H267" s="1" t="s">
        <v>1258</v>
      </c>
      <c r="I267" s="2">
        <v>4.6100000000000003</v>
      </c>
      <c r="J267" s="2">
        <v>-0.46</v>
      </c>
      <c r="K267" s="2">
        <v>-0.47</v>
      </c>
      <c r="L267" s="2">
        <v>-0.44</v>
      </c>
      <c r="M267" s="4">
        <f t="shared" si="24"/>
        <v>-9.8085106382978733</v>
      </c>
      <c r="N267" s="4">
        <f t="shared" si="25"/>
        <v>-10.477272727272728</v>
      </c>
      <c r="O267" s="5">
        <f t="shared" si="26"/>
        <v>2.1739130434782483E-2</v>
      </c>
      <c r="P267" s="5">
        <f t="shared" si="27"/>
        <v>-6.3829787234042534E-2</v>
      </c>
      <c r="Q267" s="4">
        <f t="shared" si="28"/>
        <v>-4.5119148936170479</v>
      </c>
      <c r="R267" s="4">
        <f t="shared" si="29"/>
        <v>1.6414393939393945</v>
      </c>
      <c r="S267" s="4"/>
      <c r="T267" s="2">
        <v>2.4500000000000002</v>
      </c>
      <c r="U267" s="2">
        <v>8.14</v>
      </c>
      <c r="V267" s="2">
        <v>3.77</v>
      </c>
      <c r="W267" s="2">
        <v>-2.95</v>
      </c>
      <c r="X267" s="2">
        <v>4.7699999999999996</v>
      </c>
      <c r="Y267" s="2">
        <v>10.29</v>
      </c>
      <c r="Z267" s="2">
        <v>20.05</v>
      </c>
    </row>
    <row r="268" spans="1:26" x14ac:dyDescent="0.25">
      <c r="A268" s="1" t="s">
        <v>1259</v>
      </c>
      <c r="B268" s="1" t="s">
        <v>1260</v>
      </c>
      <c r="C268" s="1" t="s">
        <v>16</v>
      </c>
      <c r="D268" s="1" t="s">
        <v>354</v>
      </c>
      <c r="E268" s="1" t="s">
        <v>355</v>
      </c>
      <c r="F268" s="1" t="s">
        <v>1261</v>
      </c>
      <c r="G268" s="1" t="s">
        <v>12480</v>
      </c>
      <c r="H268" s="1" t="s">
        <v>1262</v>
      </c>
      <c r="I268" s="2">
        <v>39.67</v>
      </c>
      <c r="J268" s="2">
        <v>2.5499999999999998</v>
      </c>
      <c r="K268" s="2">
        <v>2.68</v>
      </c>
      <c r="L268" s="2">
        <v>2.79</v>
      </c>
      <c r="M268" s="4">
        <f t="shared" si="24"/>
        <v>14.802238805970148</v>
      </c>
      <c r="N268" s="4">
        <f t="shared" si="25"/>
        <v>14.218637992831543</v>
      </c>
      <c r="O268" s="5">
        <f t="shared" si="26"/>
        <v>5.0980392156862786E-2</v>
      </c>
      <c r="P268" s="5">
        <f t="shared" si="27"/>
        <v>4.1044776119402826E-2</v>
      </c>
      <c r="Q268" s="4">
        <f t="shared" si="28"/>
        <v>2.9035160734787575</v>
      </c>
      <c r="R268" s="4">
        <f t="shared" si="29"/>
        <v>3.4641772564353346</v>
      </c>
      <c r="S268" s="4">
        <v>1.34</v>
      </c>
      <c r="T268" s="2">
        <v>0.28000000000000003</v>
      </c>
      <c r="U268" s="2">
        <v>43.08</v>
      </c>
      <c r="V268" s="2">
        <v>35.549999999999997</v>
      </c>
      <c r="W268" s="2">
        <v>-0.63</v>
      </c>
      <c r="X268" s="2">
        <v>-3.22</v>
      </c>
      <c r="Y268" s="2">
        <v>2.27</v>
      </c>
      <c r="Z268" s="2">
        <v>2.93</v>
      </c>
    </row>
    <row r="269" spans="1:26" x14ac:dyDescent="0.25">
      <c r="A269" s="1" t="s">
        <v>1264</v>
      </c>
      <c r="B269" s="1" t="s">
        <v>1265</v>
      </c>
      <c r="C269" s="1" t="s">
        <v>45</v>
      </c>
      <c r="D269" s="1" t="s">
        <v>18</v>
      </c>
      <c r="E269" s="1" t="s">
        <v>336</v>
      </c>
      <c r="F269" s="1" t="s">
        <v>1266</v>
      </c>
      <c r="G269" s="1" t="s">
        <v>12480</v>
      </c>
      <c r="H269" s="1" t="s">
        <v>1267</v>
      </c>
      <c r="I269" s="2">
        <v>7.3</v>
      </c>
      <c r="J269" s="2">
        <v>0.06</v>
      </c>
      <c r="K269" s="2">
        <v>0.57999999999999996</v>
      </c>
      <c r="L269" s="2">
        <v>0.67</v>
      </c>
      <c r="M269" s="4">
        <f t="shared" si="24"/>
        <v>12.586206896551724</v>
      </c>
      <c r="N269" s="4">
        <f t="shared" si="25"/>
        <v>10.895522388059701</v>
      </c>
      <c r="O269" s="5">
        <f t="shared" si="26"/>
        <v>8.6666666666666661</v>
      </c>
      <c r="P269" s="5">
        <f t="shared" si="27"/>
        <v>0.15517241379310365</v>
      </c>
      <c r="Q269" s="4">
        <f t="shared" si="28"/>
        <v>1.4522546419098144E-2</v>
      </c>
      <c r="R269" s="4">
        <f t="shared" si="29"/>
        <v>0.70215588723051314</v>
      </c>
      <c r="S269" s="4">
        <v>6.82</v>
      </c>
      <c r="T269" s="2">
        <v>2.0699999999999998</v>
      </c>
      <c r="U269" s="2">
        <v>10.27</v>
      </c>
      <c r="V269" s="2">
        <v>3.68</v>
      </c>
      <c r="W269" s="2">
        <v>-1.75</v>
      </c>
      <c r="X269" s="2">
        <v>-7.24</v>
      </c>
      <c r="Y269" s="2">
        <v>-17.89</v>
      </c>
      <c r="Z269" s="2">
        <v>-10.65</v>
      </c>
    </row>
    <row r="270" spans="1:26" x14ac:dyDescent="0.25">
      <c r="A270" s="1" t="s">
        <v>1268</v>
      </c>
      <c r="B270" s="1" t="s">
        <v>1269</v>
      </c>
      <c r="C270" s="1" t="s">
        <v>16</v>
      </c>
      <c r="D270" s="1" t="s">
        <v>38</v>
      </c>
      <c r="E270" s="1" t="s">
        <v>101</v>
      </c>
      <c r="F270" s="1" t="s">
        <v>1270</v>
      </c>
      <c r="G270" s="1" t="s">
        <v>12480</v>
      </c>
      <c r="H270" s="1" t="s">
        <v>1271</v>
      </c>
      <c r="I270" s="2">
        <v>3.93</v>
      </c>
      <c r="J270" s="2">
        <v>0.35</v>
      </c>
      <c r="K270" s="2">
        <v>0.48</v>
      </c>
      <c r="L270" s="2">
        <v>0.55000000000000004</v>
      </c>
      <c r="M270" s="4">
        <f t="shared" si="24"/>
        <v>8.1875</v>
      </c>
      <c r="N270" s="4">
        <f t="shared" si="25"/>
        <v>7.1454545454545455</v>
      </c>
      <c r="O270" s="5">
        <f t="shared" si="26"/>
        <v>0.37142857142857144</v>
      </c>
      <c r="P270" s="5">
        <f t="shared" si="27"/>
        <v>0.14583333333333348</v>
      </c>
      <c r="Q270" s="4">
        <f t="shared" si="28"/>
        <v>0.2204326923076923</v>
      </c>
      <c r="R270" s="4">
        <f t="shared" si="29"/>
        <v>0.48997402597402551</v>
      </c>
      <c r="S270" s="4">
        <v>-25.5</v>
      </c>
      <c r="T270" s="2">
        <v>0.66</v>
      </c>
      <c r="U270" s="2">
        <v>5.27</v>
      </c>
      <c r="V270" s="2">
        <v>2.31</v>
      </c>
      <c r="W270" s="2">
        <v>3.97</v>
      </c>
      <c r="X270" s="2" t="s">
        <v>12523</v>
      </c>
      <c r="Y270" s="2">
        <v>-4.84</v>
      </c>
      <c r="Z270" s="2">
        <v>-2.96</v>
      </c>
    </row>
    <row r="271" spans="1:26" x14ac:dyDescent="0.25">
      <c r="A271" s="1" t="s">
        <v>1272</v>
      </c>
      <c r="B271" s="1" t="s">
        <v>1273</v>
      </c>
      <c r="C271" s="1" t="s">
        <v>45</v>
      </c>
      <c r="D271" s="1" t="s">
        <v>204</v>
      </c>
      <c r="E271" s="1" t="s">
        <v>534</v>
      </c>
      <c r="F271" s="1" t="s">
        <v>1274</v>
      </c>
      <c r="G271" s="1" t="s">
        <v>12513</v>
      </c>
      <c r="H271" s="1" t="s">
        <v>1275</v>
      </c>
      <c r="I271" s="2">
        <v>227.29</v>
      </c>
      <c r="J271" s="2">
        <v>3.28</v>
      </c>
      <c r="K271" s="2">
        <v>3.24</v>
      </c>
      <c r="L271" s="2">
        <v>4.4400000000000004</v>
      </c>
      <c r="M271" s="4">
        <f t="shared" si="24"/>
        <v>70.151234567901227</v>
      </c>
      <c r="N271" s="4">
        <f t="shared" si="25"/>
        <v>51.191441441441434</v>
      </c>
      <c r="O271" s="5">
        <f t="shared" si="26"/>
        <v>-1.2195121951219412E-2</v>
      </c>
      <c r="P271" s="5">
        <f t="shared" si="27"/>
        <v>0.37037037037037046</v>
      </c>
      <c r="Q271" s="4">
        <f t="shared" si="28"/>
        <v>-57.524012345679481</v>
      </c>
      <c r="R271" s="4">
        <f t="shared" si="29"/>
        <v>1.3821689189189184</v>
      </c>
      <c r="S271" s="4">
        <v>14.5</v>
      </c>
      <c r="T271" s="2">
        <v>1.26</v>
      </c>
      <c r="U271" s="2">
        <v>409.83</v>
      </c>
      <c r="V271" s="2">
        <v>111.65</v>
      </c>
      <c r="W271" s="2">
        <v>9.11</v>
      </c>
      <c r="X271" s="2">
        <v>-17.149999999999999</v>
      </c>
      <c r="Y271" s="2">
        <v>-3.41</v>
      </c>
      <c r="Z271" s="2">
        <v>-6.04</v>
      </c>
    </row>
    <row r="272" spans="1:26" x14ac:dyDescent="0.25">
      <c r="A272" s="1" t="s">
        <v>1276</v>
      </c>
      <c r="B272" s="1" t="s">
        <v>1277</v>
      </c>
      <c r="C272" s="1" t="s">
        <v>16</v>
      </c>
      <c r="D272" s="1" t="s">
        <v>38</v>
      </c>
      <c r="E272" s="1" t="s">
        <v>765</v>
      </c>
      <c r="F272" s="1" t="s">
        <v>1278</v>
      </c>
      <c r="G272" s="1" t="s">
        <v>12480</v>
      </c>
      <c r="H272" s="1" t="s">
        <v>1279</v>
      </c>
      <c r="I272" s="2">
        <v>176.71</v>
      </c>
      <c r="J272" s="2">
        <v>11.24</v>
      </c>
      <c r="K272" s="2">
        <v>11.41</v>
      </c>
      <c r="L272" s="2">
        <v>11.86</v>
      </c>
      <c r="M272" s="4">
        <f t="shared" si="24"/>
        <v>15.48729184925504</v>
      </c>
      <c r="N272" s="4">
        <f t="shared" si="25"/>
        <v>14.899662731871839</v>
      </c>
      <c r="O272" s="5">
        <f t="shared" si="26"/>
        <v>1.5124555160142439E-2</v>
      </c>
      <c r="P272" s="5">
        <f t="shared" si="27"/>
        <v>3.9439088518843146E-2</v>
      </c>
      <c r="Q272" s="4">
        <f t="shared" si="28"/>
        <v>10.23983296386033</v>
      </c>
      <c r="R272" s="4">
        <f t="shared" si="29"/>
        <v>3.7778922615701682</v>
      </c>
      <c r="S272" s="4">
        <v>4.3600000000000003</v>
      </c>
      <c r="T272" s="2">
        <v>0.75</v>
      </c>
      <c r="U272" s="2">
        <v>218.5</v>
      </c>
      <c r="V272" s="2">
        <v>169.7</v>
      </c>
      <c r="W272" s="2">
        <v>-1.28</v>
      </c>
      <c r="X272" s="2">
        <v>1.87</v>
      </c>
      <c r="Y272" s="2">
        <v>-0.61</v>
      </c>
      <c r="Z272" s="2">
        <v>-2.54</v>
      </c>
    </row>
    <row r="273" spans="1:26" x14ac:dyDescent="0.25">
      <c r="A273" s="1" t="s">
        <v>1281</v>
      </c>
      <c r="B273" s="1" t="s">
        <v>1282</v>
      </c>
      <c r="C273" s="1" t="s">
        <v>45</v>
      </c>
      <c r="D273" s="1" t="s">
        <v>18</v>
      </c>
      <c r="E273" s="1" t="s">
        <v>74</v>
      </c>
      <c r="F273" s="1" t="s">
        <v>1283</v>
      </c>
      <c r="G273" s="1" t="s">
        <v>12480</v>
      </c>
      <c r="H273" s="1" t="s">
        <v>1284</v>
      </c>
      <c r="I273" s="2">
        <v>24.81</v>
      </c>
      <c r="J273" s="2">
        <v>-4.32</v>
      </c>
      <c r="K273" s="2">
        <v>-3.65</v>
      </c>
      <c r="L273" s="2">
        <v>-3.16</v>
      </c>
      <c r="M273" s="4">
        <f t="shared" si="24"/>
        <v>-6.7972602739726025</v>
      </c>
      <c r="N273" s="4">
        <f t="shared" si="25"/>
        <v>-7.8512658227848098</v>
      </c>
      <c r="O273" s="5">
        <f t="shared" si="26"/>
        <v>-0.15509259259259267</v>
      </c>
      <c r="P273" s="5">
        <f t="shared" si="27"/>
        <v>-0.13424657534246565</v>
      </c>
      <c r="Q273" s="4">
        <f t="shared" si="28"/>
        <v>0.43827111020241238</v>
      </c>
      <c r="R273" s="4">
        <f t="shared" si="29"/>
        <v>0.58483918884009345</v>
      </c>
      <c r="S273" s="4"/>
      <c r="T273" s="2">
        <v>0.99</v>
      </c>
      <c r="U273" s="2">
        <v>26.56</v>
      </c>
      <c r="V273" s="2">
        <v>16.3</v>
      </c>
      <c r="W273" s="2">
        <v>7.03</v>
      </c>
      <c r="X273" s="2">
        <v>15.99</v>
      </c>
      <c r="Y273" s="2">
        <v>4.95</v>
      </c>
      <c r="Z273" s="2">
        <v>23.31</v>
      </c>
    </row>
    <row r="274" spans="1:26" x14ac:dyDescent="0.25">
      <c r="A274" s="1" t="s">
        <v>1285</v>
      </c>
      <c r="B274" s="1" t="s">
        <v>1286</v>
      </c>
      <c r="C274" s="1" t="s">
        <v>45</v>
      </c>
      <c r="D274" s="1" t="s">
        <v>32</v>
      </c>
      <c r="E274" s="1" t="s">
        <v>57</v>
      </c>
      <c r="F274" s="1" t="s">
        <v>1287</v>
      </c>
      <c r="G274" s="1" t="s">
        <v>12479</v>
      </c>
      <c r="H274" s="1" t="s">
        <v>1288</v>
      </c>
      <c r="I274" s="2">
        <v>345.75</v>
      </c>
      <c r="J274" s="2">
        <v>6.82</v>
      </c>
      <c r="K274" s="2">
        <v>10.5</v>
      </c>
      <c r="L274" s="2">
        <v>14.71</v>
      </c>
      <c r="M274" s="4">
        <f t="shared" si="24"/>
        <v>32.928571428571431</v>
      </c>
      <c r="N274" s="4">
        <f t="shared" si="25"/>
        <v>23.504418762746429</v>
      </c>
      <c r="O274" s="5">
        <f t="shared" si="26"/>
        <v>0.53958944281524923</v>
      </c>
      <c r="P274" s="5">
        <f t="shared" si="27"/>
        <v>0.40095238095238095</v>
      </c>
      <c r="Q274" s="4">
        <f t="shared" si="28"/>
        <v>0.61025232919254668</v>
      </c>
      <c r="R274" s="4">
        <f t="shared" si="29"/>
        <v>0.58621471973595607</v>
      </c>
      <c r="S274" s="4">
        <v>23.87</v>
      </c>
      <c r="T274" s="2">
        <v>1.22</v>
      </c>
      <c r="U274" s="2">
        <v>412.97</v>
      </c>
      <c r="V274" s="2">
        <v>146.29</v>
      </c>
      <c r="W274" s="2">
        <v>8.4499999999999993</v>
      </c>
      <c r="X274" s="2">
        <v>0.53</v>
      </c>
      <c r="Y274" s="2">
        <v>1.75</v>
      </c>
      <c r="Z274" s="2">
        <v>-0.1</v>
      </c>
    </row>
    <row r="275" spans="1:26" x14ac:dyDescent="0.25">
      <c r="A275" s="1" t="s">
        <v>1289</v>
      </c>
      <c r="B275" s="1" t="s">
        <v>1290</v>
      </c>
      <c r="C275" s="1" t="s">
        <v>16</v>
      </c>
      <c r="D275" s="1" t="s">
        <v>88</v>
      </c>
      <c r="E275" s="1" t="s">
        <v>504</v>
      </c>
      <c r="F275" s="1" t="s">
        <v>1291</v>
      </c>
      <c r="G275" s="1" t="s">
        <v>12480</v>
      </c>
      <c r="H275" s="1" t="s">
        <v>1292</v>
      </c>
      <c r="I275" s="2">
        <v>36.619999999999997</v>
      </c>
      <c r="J275" s="2">
        <v>2.82</v>
      </c>
      <c r="K275" s="2">
        <v>3.06</v>
      </c>
      <c r="L275" s="2">
        <v>3.34</v>
      </c>
      <c r="M275" s="4">
        <f t="shared" si="24"/>
        <v>11.967320261437907</v>
      </c>
      <c r="N275" s="4">
        <f t="shared" si="25"/>
        <v>10.964071856287426</v>
      </c>
      <c r="O275" s="5">
        <f t="shared" si="26"/>
        <v>8.5106382978723527E-2</v>
      </c>
      <c r="P275" s="5">
        <f t="shared" si="27"/>
        <v>9.1503267973856106E-2</v>
      </c>
      <c r="Q275" s="4">
        <f t="shared" si="28"/>
        <v>1.406160130718952</v>
      </c>
      <c r="R275" s="4">
        <f t="shared" si="29"/>
        <v>1.1982164242942701</v>
      </c>
      <c r="S275" s="4">
        <v>0.61</v>
      </c>
      <c r="T275" s="2">
        <v>1.4</v>
      </c>
      <c r="U275" s="2">
        <v>43.28</v>
      </c>
      <c r="V275" s="2">
        <v>27.48</v>
      </c>
      <c r="W275" s="2">
        <v>-10.42</v>
      </c>
      <c r="X275" s="2">
        <v>-6.13</v>
      </c>
      <c r="Y275" s="2">
        <v>20.14</v>
      </c>
      <c r="Z275" s="2">
        <v>17.22</v>
      </c>
    </row>
    <row r="276" spans="1:26" x14ac:dyDescent="0.25">
      <c r="A276" s="1" t="s">
        <v>1293</v>
      </c>
      <c r="B276" s="1" t="s">
        <v>1294</v>
      </c>
      <c r="C276" s="1" t="s">
        <v>45</v>
      </c>
      <c r="D276" s="1" t="s">
        <v>32</v>
      </c>
      <c r="E276" s="1" t="s">
        <v>311</v>
      </c>
      <c r="F276" s="1" t="s">
        <v>12558</v>
      </c>
      <c r="G276" s="1" t="s">
        <v>12480</v>
      </c>
      <c r="H276" s="1" t="s">
        <v>1295</v>
      </c>
      <c r="I276" s="2">
        <v>11.02</v>
      </c>
      <c r="J276" s="2">
        <v>0.35</v>
      </c>
      <c r="K276" s="2">
        <v>0.36</v>
      </c>
      <c r="L276" s="2">
        <v>0.48</v>
      </c>
      <c r="M276" s="4">
        <f t="shared" si="24"/>
        <v>30.611111111111111</v>
      </c>
      <c r="N276" s="4">
        <f t="shared" si="25"/>
        <v>22.958333333333332</v>
      </c>
      <c r="O276" s="5">
        <f t="shared" si="26"/>
        <v>2.8571428571428692E-2</v>
      </c>
      <c r="P276" s="5">
        <f t="shared" si="27"/>
        <v>0.33333333333333326</v>
      </c>
      <c r="Q276" s="4">
        <f t="shared" si="28"/>
        <v>10.713888888888844</v>
      </c>
      <c r="R276" s="4">
        <f t="shared" si="29"/>
        <v>0.68875000000000008</v>
      </c>
      <c r="S276" s="4">
        <v>26.93</v>
      </c>
      <c r="T276" s="2">
        <v>1.1200000000000001</v>
      </c>
      <c r="U276" s="2">
        <v>19.989999999999998</v>
      </c>
      <c r="V276" s="2">
        <v>9.9499999999999993</v>
      </c>
      <c r="W276" s="2">
        <v>4.8499999999999996</v>
      </c>
      <c r="X276" s="2">
        <v>1.29</v>
      </c>
      <c r="Y276" s="2">
        <v>-17.760000000000002</v>
      </c>
      <c r="Z276" s="2">
        <v>-20.66</v>
      </c>
    </row>
    <row r="277" spans="1:26" x14ac:dyDescent="0.25">
      <c r="A277" s="1" t="s">
        <v>1296</v>
      </c>
      <c r="B277" s="1" t="s">
        <v>1297</v>
      </c>
      <c r="C277" s="1" t="s">
        <v>45</v>
      </c>
      <c r="D277" s="1" t="s">
        <v>32</v>
      </c>
      <c r="E277" s="1" t="s">
        <v>1060</v>
      </c>
      <c r="F277" s="1" t="s">
        <v>1298</v>
      </c>
      <c r="G277" s="1" t="s">
        <v>12502</v>
      </c>
      <c r="H277" s="1" t="s">
        <v>1299</v>
      </c>
      <c r="I277" s="2">
        <v>61.55</v>
      </c>
      <c r="J277" s="2">
        <v>3.44</v>
      </c>
      <c r="K277" s="2">
        <v>4.62</v>
      </c>
      <c r="L277" s="2">
        <v>6.53</v>
      </c>
      <c r="M277" s="4">
        <f t="shared" si="24"/>
        <v>13.322510822510822</v>
      </c>
      <c r="N277" s="4">
        <f t="shared" si="25"/>
        <v>9.4257274119448695</v>
      </c>
      <c r="O277" s="5">
        <f t="shared" si="26"/>
        <v>0.34302325581395343</v>
      </c>
      <c r="P277" s="5">
        <f t="shared" si="27"/>
        <v>0.41341991341991347</v>
      </c>
      <c r="Q277" s="4">
        <f t="shared" si="28"/>
        <v>0.3883850612664172</v>
      </c>
      <c r="R277" s="4">
        <f t="shared" si="29"/>
        <v>0.22799403478107483</v>
      </c>
      <c r="S277" s="4">
        <v>-6.55</v>
      </c>
      <c r="T277" s="2">
        <v>0.91</v>
      </c>
      <c r="U277" s="2">
        <v>67.34</v>
      </c>
      <c r="V277" s="2">
        <v>41.51</v>
      </c>
      <c r="W277" s="2">
        <v>-5.28</v>
      </c>
      <c r="X277" s="2">
        <v>-7.23</v>
      </c>
      <c r="Y277" s="2">
        <v>24.95</v>
      </c>
      <c r="Z277" s="2">
        <v>28.02</v>
      </c>
    </row>
    <row r="278" spans="1:26" x14ac:dyDescent="0.25">
      <c r="A278" s="1" t="s">
        <v>1300</v>
      </c>
      <c r="B278" s="1" t="s">
        <v>1301</v>
      </c>
      <c r="C278" s="1" t="s">
        <v>16</v>
      </c>
      <c r="D278" s="1" t="s">
        <v>18</v>
      </c>
      <c r="E278" s="1" t="s">
        <v>624</v>
      </c>
      <c r="F278" s="1" t="s">
        <v>1302</v>
      </c>
      <c r="G278" s="1" t="s">
        <v>12480</v>
      </c>
      <c r="H278" s="1" t="s">
        <v>1303</v>
      </c>
      <c r="I278" s="2">
        <v>8.15</v>
      </c>
      <c r="J278" s="2">
        <v>0.9</v>
      </c>
      <c r="K278" s="2">
        <v>0.8</v>
      </c>
      <c r="L278" s="2">
        <v>0.83</v>
      </c>
      <c r="M278" s="4">
        <f t="shared" si="24"/>
        <v>10.1875</v>
      </c>
      <c r="N278" s="4">
        <f t="shared" si="25"/>
        <v>9.8192771084337362</v>
      </c>
      <c r="O278" s="5">
        <f t="shared" si="26"/>
        <v>-0.11111111111111105</v>
      </c>
      <c r="P278" s="5">
        <f t="shared" si="27"/>
        <v>3.7499999999999867E-2</v>
      </c>
      <c r="Q278" s="4">
        <f t="shared" si="28"/>
        <v>-0.91687500000000044</v>
      </c>
      <c r="R278" s="4">
        <f t="shared" si="29"/>
        <v>2.6184738955823388</v>
      </c>
      <c r="S278" s="4">
        <v>-3.41</v>
      </c>
      <c r="T278" s="2">
        <v>0.97</v>
      </c>
      <c r="U278" s="2">
        <v>17.5</v>
      </c>
      <c r="V278" s="2">
        <v>8.15</v>
      </c>
      <c r="W278" s="2">
        <v>-7.49</v>
      </c>
      <c r="X278" s="2">
        <v>-27.43</v>
      </c>
      <c r="Y278" s="2">
        <v>-27.75</v>
      </c>
      <c r="Z278" s="2">
        <v>-28.88</v>
      </c>
    </row>
    <row r="279" spans="1:26" x14ac:dyDescent="0.25">
      <c r="A279" s="1" t="s">
        <v>1304</v>
      </c>
      <c r="B279" s="1" t="s">
        <v>1305</v>
      </c>
      <c r="C279" s="1" t="s">
        <v>31</v>
      </c>
      <c r="D279" s="1" t="s">
        <v>38</v>
      </c>
      <c r="E279" s="1" t="s">
        <v>39</v>
      </c>
      <c r="F279" s="1" t="s">
        <v>1306</v>
      </c>
      <c r="G279" s="1" t="s">
        <v>12480</v>
      </c>
      <c r="H279" s="1" t="s">
        <v>1307</v>
      </c>
      <c r="I279" s="2">
        <v>16.82</v>
      </c>
      <c r="J279" s="2">
        <v>1.48</v>
      </c>
      <c r="K279" s="2">
        <v>1.68</v>
      </c>
      <c r="L279" s="2">
        <v>1.91</v>
      </c>
      <c r="M279" s="4">
        <f t="shared" si="24"/>
        <v>10.011904761904763</v>
      </c>
      <c r="N279" s="4">
        <f t="shared" si="25"/>
        <v>8.8062827225130889</v>
      </c>
      <c r="O279" s="5">
        <f t="shared" si="26"/>
        <v>0.13513513513513509</v>
      </c>
      <c r="P279" s="5">
        <f t="shared" si="27"/>
        <v>0.13690476190476186</v>
      </c>
      <c r="Q279" s="4">
        <f t="shared" si="28"/>
        <v>0.74088095238095275</v>
      </c>
      <c r="R279" s="4">
        <f t="shared" si="29"/>
        <v>0.6432415206009563</v>
      </c>
      <c r="S279" s="4">
        <v>26.5</v>
      </c>
      <c r="T279" s="2">
        <v>0.89</v>
      </c>
      <c r="U279" s="2" t="s">
        <v>12517</v>
      </c>
      <c r="V279" s="2">
        <v>12.78</v>
      </c>
      <c r="W279" s="2">
        <v>-9.0299999999999994</v>
      </c>
      <c r="X279" s="2">
        <v>-6.3</v>
      </c>
      <c r="Y279" s="2">
        <v>-6.66</v>
      </c>
      <c r="Z279" s="2">
        <v>-10.34</v>
      </c>
    </row>
    <row r="280" spans="1:26" x14ac:dyDescent="0.25">
      <c r="A280" s="1" t="s">
        <v>1308</v>
      </c>
      <c r="B280" s="1" t="s">
        <v>1309</v>
      </c>
      <c r="C280" s="1" t="s">
        <v>16</v>
      </c>
      <c r="D280" s="1" t="s">
        <v>25</v>
      </c>
      <c r="E280" s="1" t="s">
        <v>734</v>
      </c>
      <c r="F280" s="1" t="s">
        <v>1310</v>
      </c>
      <c r="G280" s="1" t="s">
        <v>12480</v>
      </c>
      <c r="H280" s="1" t="s">
        <v>1311</v>
      </c>
      <c r="I280" s="2">
        <v>176.47</v>
      </c>
      <c r="J280" s="2">
        <v>9.5299999999999994</v>
      </c>
      <c r="K280" s="2">
        <v>10.130000000000001</v>
      </c>
      <c r="L280" s="2">
        <v>11.09</v>
      </c>
      <c r="M280" s="4">
        <f t="shared" si="24"/>
        <v>17.420533070088844</v>
      </c>
      <c r="N280" s="4">
        <f t="shared" si="25"/>
        <v>15.91253381424707</v>
      </c>
      <c r="O280" s="5">
        <f t="shared" si="26"/>
        <v>6.295907660020994E-2</v>
      </c>
      <c r="P280" s="5">
        <f t="shared" si="27"/>
        <v>9.4768015794669092E-2</v>
      </c>
      <c r="Q280" s="4">
        <f t="shared" si="28"/>
        <v>2.7669613359657745</v>
      </c>
      <c r="R280" s="4">
        <f t="shared" si="29"/>
        <v>1.6791038285241999</v>
      </c>
      <c r="S280" s="4">
        <v>1.1399999999999999</v>
      </c>
      <c r="T280" s="2">
        <v>0.97</v>
      </c>
      <c r="U280" s="2">
        <v>197.45</v>
      </c>
      <c r="V280" s="2">
        <v>157.49</v>
      </c>
      <c r="W280" s="2">
        <v>-9.49</v>
      </c>
      <c r="X280" s="2">
        <v>-6.86</v>
      </c>
      <c r="Y280" s="2">
        <v>-3.93</v>
      </c>
      <c r="Z280" s="2">
        <v>-2.97</v>
      </c>
    </row>
    <row r="281" spans="1:26" x14ac:dyDescent="0.25">
      <c r="A281" s="1" t="s">
        <v>1312</v>
      </c>
      <c r="B281" s="1" t="s">
        <v>1313</v>
      </c>
      <c r="C281" s="1" t="s">
        <v>16</v>
      </c>
      <c r="D281" s="1" t="s">
        <v>61</v>
      </c>
      <c r="E281" s="1" t="s">
        <v>170</v>
      </c>
      <c r="F281" s="1" t="s">
        <v>1314</v>
      </c>
      <c r="G281" s="1" t="s">
        <v>12480</v>
      </c>
      <c r="H281" s="1" t="s">
        <v>1315</v>
      </c>
      <c r="I281" s="2">
        <v>166.48</v>
      </c>
      <c r="J281" s="2">
        <v>7.41</v>
      </c>
      <c r="K281" s="2">
        <v>8.35</v>
      </c>
      <c r="L281" s="2">
        <v>9.11</v>
      </c>
      <c r="M281" s="4">
        <f t="shared" si="24"/>
        <v>19.937724550898203</v>
      </c>
      <c r="N281" s="4">
        <f t="shared" si="25"/>
        <v>18.274423710208563</v>
      </c>
      <c r="O281" s="5">
        <f t="shared" si="26"/>
        <v>0.12685560053981093</v>
      </c>
      <c r="P281" s="5">
        <f t="shared" si="27"/>
        <v>9.101796407185625E-2</v>
      </c>
      <c r="Q281" s="4">
        <f t="shared" si="28"/>
        <v>1.5716865842782537</v>
      </c>
      <c r="R281" s="4">
        <f t="shared" si="29"/>
        <v>2.0077820786873892</v>
      </c>
      <c r="S281" s="4">
        <v>12.11</v>
      </c>
      <c r="T281" s="2">
        <v>1.33</v>
      </c>
      <c r="U281" s="2">
        <v>203.71</v>
      </c>
      <c r="V281" s="2">
        <v>126.1</v>
      </c>
      <c r="W281" s="2">
        <v>-3.2</v>
      </c>
      <c r="X281" s="2">
        <v>-16.7</v>
      </c>
      <c r="Y281" s="2">
        <v>-9.91</v>
      </c>
      <c r="Z281" s="2">
        <v>-12.88</v>
      </c>
    </row>
    <row r="282" spans="1:26" x14ac:dyDescent="0.25">
      <c r="A282" s="1" t="s">
        <v>1316</v>
      </c>
      <c r="B282" s="1" t="s">
        <v>1317</v>
      </c>
      <c r="C282" s="1" t="s">
        <v>16</v>
      </c>
      <c r="D282" s="1" t="s">
        <v>354</v>
      </c>
      <c r="E282" s="1" t="s">
        <v>1319</v>
      </c>
      <c r="F282" s="1" t="s">
        <v>1318</v>
      </c>
      <c r="G282" s="1" t="s">
        <v>12480</v>
      </c>
      <c r="H282" s="1" t="s">
        <v>1320</v>
      </c>
      <c r="I282" s="2">
        <v>137.72999999999999</v>
      </c>
      <c r="J282" s="2">
        <v>5.64</v>
      </c>
      <c r="K282" s="2">
        <v>6.1</v>
      </c>
      <c r="L282" s="2">
        <v>6.6</v>
      </c>
      <c r="M282" s="4">
        <f t="shared" si="24"/>
        <v>22.578688524590163</v>
      </c>
      <c r="N282" s="4">
        <f t="shared" si="25"/>
        <v>20.868181818181817</v>
      </c>
      <c r="O282" s="5">
        <f t="shared" si="26"/>
        <v>8.1560283687943214E-2</v>
      </c>
      <c r="P282" s="5">
        <f t="shared" si="27"/>
        <v>8.1967213114754189E-2</v>
      </c>
      <c r="Q282" s="4">
        <f t="shared" si="28"/>
        <v>2.7683435495367088</v>
      </c>
      <c r="R282" s="4">
        <f t="shared" si="29"/>
        <v>2.5459181818181791</v>
      </c>
      <c r="S282" s="4">
        <v>9.74</v>
      </c>
      <c r="T282" s="2">
        <v>0.77</v>
      </c>
      <c r="U282" s="2">
        <v>151.96</v>
      </c>
      <c r="V282" s="2">
        <v>122.95</v>
      </c>
      <c r="W282" s="2">
        <v>1.69</v>
      </c>
      <c r="X282" s="2">
        <v>12.02</v>
      </c>
      <c r="Y282" s="2">
        <v>2.68</v>
      </c>
      <c r="Z282" s="2">
        <v>5.54</v>
      </c>
    </row>
    <row r="283" spans="1:26" x14ac:dyDescent="0.25">
      <c r="A283" s="1" t="s">
        <v>1321</v>
      </c>
      <c r="B283" s="1" t="s">
        <v>1322</v>
      </c>
      <c r="C283" s="1" t="s">
        <v>16</v>
      </c>
      <c r="D283" s="1" t="s">
        <v>354</v>
      </c>
      <c r="E283" s="1" t="s">
        <v>1319</v>
      </c>
      <c r="F283" s="1" t="s">
        <v>1323</v>
      </c>
      <c r="G283" s="1" t="s">
        <v>12480</v>
      </c>
      <c r="H283" s="1" t="s">
        <v>1324</v>
      </c>
      <c r="I283" s="2">
        <v>75.67</v>
      </c>
      <c r="J283" s="2">
        <v>3.37</v>
      </c>
      <c r="K283" s="2">
        <v>3.59</v>
      </c>
      <c r="L283" s="2">
        <v>3.75</v>
      </c>
      <c r="M283" s="4">
        <f t="shared" si="24"/>
        <v>21.077994428969362</v>
      </c>
      <c r="N283" s="4">
        <f t="shared" si="25"/>
        <v>20.178666666666668</v>
      </c>
      <c r="O283" s="5">
        <f t="shared" si="26"/>
        <v>6.5281899109792318E-2</v>
      </c>
      <c r="P283" s="5">
        <f t="shared" si="27"/>
        <v>4.4568245125348183E-2</v>
      </c>
      <c r="Q283" s="4">
        <f t="shared" si="28"/>
        <v>3.2287655102557595</v>
      </c>
      <c r="R283" s="4">
        <f t="shared" si="29"/>
        <v>4.527588333333334</v>
      </c>
      <c r="S283" s="4">
        <v>10.52</v>
      </c>
      <c r="T283" s="2">
        <v>0.69</v>
      </c>
      <c r="U283" s="2">
        <v>81.3</v>
      </c>
      <c r="V283" s="2">
        <v>70.099999999999994</v>
      </c>
      <c r="W283" s="2">
        <v>1.18</v>
      </c>
      <c r="X283" s="2">
        <v>7.95</v>
      </c>
      <c r="Y283" s="2">
        <v>2.2999999999999998</v>
      </c>
      <c r="Z283" s="2">
        <v>4.4000000000000004</v>
      </c>
    </row>
    <row r="284" spans="1:26" x14ac:dyDescent="0.25">
      <c r="A284" s="1" t="s">
        <v>1325</v>
      </c>
      <c r="B284" s="1" t="s">
        <v>1326</v>
      </c>
      <c r="C284" s="1" t="s">
        <v>16</v>
      </c>
      <c r="D284" s="1" t="s">
        <v>38</v>
      </c>
      <c r="E284" s="1" t="s">
        <v>52</v>
      </c>
      <c r="F284" s="1" t="s">
        <v>1327</v>
      </c>
      <c r="G284" s="1" t="s">
        <v>12502</v>
      </c>
      <c r="H284" s="1" t="s">
        <v>1328</v>
      </c>
      <c r="I284" s="2">
        <v>85.53</v>
      </c>
      <c r="J284" s="2">
        <v>7.5</v>
      </c>
      <c r="K284" s="2">
        <v>8.52</v>
      </c>
      <c r="L284" s="2">
        <v>10.23</v>
      </c>
      <c r="M284" s="4">
        <f t="shared" si="24"/>
        <v>10.038732394366198</v>
      </c>
      <c r="N284" s="4">
        <f t="shared" si="25"/>
        <v>8.3607038123167161</v>
      </c>
      <c r="O284" s="5">
        <f t="shared" si="26"/>
        <v>0.1359999999999999</v>
      </c>
      <c r="P284" s="5">
        <f t="shared" si="27"/>
        <v>0.20070422535211274</v>
      </c>
      <c r="Q284" s="4">
        <f t="shared" si="28"/>
        <v>0.73814208782104451</v>
      </c>
      <c r="R284" s="4">
        <f t="shared" si="29"/>
        <v>0.41656840047332394</v>
      </c>
      <c r="S284" s="4">
        <v>3.63</v>
      </c>
      <c r="T284" s="2">
        <v>1.27</v>
      </c>
      <c r="U284" s="2">
        <v>101.01</v>
      </c>
      <c r="V284" s="2">
        <v>56.36</v>
      </c>
      <c r="W284" s="2">
        <v>-4.4000000000000004</v>
      </c>
      <c r="X284" s="2">
        <v>-13.73</v>
      </c>
      <c r="Y284" s="2">
        <v>-0.56000000000000005</v>
      </c>
      <c r="Z284" s="2">
        <v>-0.73</v>
      </c>
    </row>
    <row r="285" spans="1:26" x14ac:dyDescent="0.25">
      <c r="A285" s="1" t="s">
        <v>1329</v>
      </c>
      <c r="B285" s="1" t="s">
        <v>1330</v>
      </c>
      <c r="C285" s="1" t="s">
        <v>31</v>
      </c>
      <c r="D285" s="1" t="s">
        <v>38</v>
      </c>
      <c r="E285" s="1" t="s">
        <v>254</v>
      </c>
      <c r="F285" s="1" t="s">
        <v>1331</v>
      </c>
      <c r="G285" s="1" t="s">
        <v>12480</v>
      </c>
      <c r="H285" s="1" t="s">
        <v>1332</v>
      </c>
      <c r="I285" s="2">
        <v>44.22</v>
      </c>
      <c r="J285" s="2">
        <v>4.37</v>
      </c>
      <c r="K285" s="2">
        <v>4.7300000000000004</v>
      </c>
      <c r="L285" s="2">
        <v>5.19</v>
      </c>
      <c r="M285" s="4">
        <f t="shared" si="24"/>
        <v>9.3488372093023244</v>
      </c>
      <c r="N285" s="4">
        <f t="shared" si="25"/>
        <v>8.5202312138728313</v>
      </c>
      <c r="O285" s="5">
        <f t="shared" si="26"/>
        <v>8.2379862700229012E-2</v>
      </c>
      <c r="P285" s="5">
        <f t="shared" si="27"/>
        <v>9.7251585623678638E-2</v>
      </c>
      <c r="Q285" s="4">
        <f t="shared" si="28"/>
        <v>1.1348449612403075</v>
      </c>
      <c r="R285" s="4">
        <f t="shared" si="29"/>
        <v>0.87610203568735867</v>
      </c>
      <c r="S285" s="4">
        <v>8.82</v>
      </c>
      <c r="T285" s="2">
        <v>0.64</v>
      </c>
      <c r="U285" s="2">
        <v>50.7</v>
      </c>
      <c r="V285" s="2">
        <v>38.74</v>
      </c>
      <c r="W285" s="2">
        <v>-6.89</v>
      </c>
      <c r="X285" s="2">
        <v>-6.31</v>
      </c>
      <c r="Y285" s="2">
        <v>-7.7</v>
      </c>
      <c r="Z285" s="2">
        <v>-7.86</v>
      </c>
    </row>
    <row r="286" spans="1:26" x14ac:dyDescent="0.25">
      <c r="A286" s="1" t="s">
        <v>1334</v>
      </c>
      <c r="B286" s="1" t="s">
        <v>1335</v>
      </c>
      <c r="C286" s="1" t="s">
        <v>45</v>
      </c>
      <c r="D286" s="1" t="s">
        <v>18</v>
      </c>
      <c r="E286" s="1" t="s">
        <v>594</v>
      </c>
      <c r="F286" s="1" t="s">
        <v>1336</v>
      </c>
      <c r="G286" s="1" t="s">
        <v>12480</v>
      </c>
      <c r="H286" s="1" t="s">
        <v>1337</v>
      </c>
      <c r="I286" s="2">
        <v>29.28</v>
      </c>
      <c r="J286" s="2">
        <v>0.31</v>
      </c>
      <c r="K286" s="2">
        <v>0.56000000000000005</v>
      </c>
      <c r="L286" s="2">
        <v>0.79</v>
      </c>
      <c r="M286" s="4">
        <f t="shared" si="24"/>
        <v>52.285714285714285</v>
      </c>
      <c r="N286" s="4">
        <f t="shared" si="25"/>
        <v>37.063291139240505</v>
      </c>
      <c r="O286" s="5">
        <f t="shared" si="26"/>
        <v>0.80645161290322598</v>
      </c>
      <c r="P286" s="5">
        <f t="shared" si="27"/>
        <v>0.41071428571428559</v>
      </c>
      <c r="Q286" s="4">
        <f t="shared" si="28"/>
        <v>0.648342857142857</v>
      </c>
      <c r="R286" s="4">
        <f t="shared" si="29"/>
        <v>0.90241056686846477</v>
      </c>
      <c r="S286" s="4">
        <v>20.21</v>
      </c>
      <c r="T286" s="2">
        <v>0.98</v>
      </c>
      <c r="U286" s="2">
        <v>35.380000000000003</v>
      </c>
      <c r="V286" s="2">
        <v>9.2899999999999991</v>
      </c>
      <c r="W286" s="2">
        <v>-4.47</v>
      </c>
      <c r="X286" s="2">
        <v>-13.71</v>
      </c>
      <c r="Y286" s="2">
        <v>-1.68</v>
      </c>
      <c r="Z286" s="2">
        <v>-10.54</v>
      </c>
    </row>
    <row r="287" spans="1:26" x14ac:dyDescent="0.25">
      <c r="A287" s="1" t="s">
        <v>1338</v>
      </c>
      <c r="B287" s="1" t="s">
        <v>1339</v>
      </c>
      <c r="C287" s="1" t="s">
        <v>16</v>
      </c>
      <c r="D287" s="1" t="s">
        <v>354</v>
      </c>
      <c r="E287" s="1" t="s">
        <v>355</v>
      </c>
      <c r="F287" s="1" t="s">
        <v>1340</v>
      </c>
      <c r="G287" s="1" t="s">
        <v>12480</v>
      </c>
      <c r="H287" s="1" t="s">
        <v>1341</v>
      </c>
      <c r="I287" s="2">
        <v>11.59</v>
      </c>
      <c r="J287" s="2">
        <v>0.72</v>
      </c>
      <c r="K287" s="2">
        <v>0.43</v>
      </c>
      <c r="L287" s="2"/>
      <c r="M287" s="4">
        <f t="shared" si="24"/>
        <v>26.953488372093023</v>
      </c>
      <c r="N287" s="4" t="e">
        <f t="shared" si="25"/>
        <v>#DIV/0!</v>
      </c>
      <c r="O287" s="5">
        <f t="shared" si="26"/>
        <v>-0.40277777777777779</v>
      </c>
      <c r="P287" s="5">
        <f t="shared" si="27"/>
        <v>-1</v>
      </c>
      <c r="Q287" s="4">
        <f t="shared" si="28"/>
        <v>-0.66919005613472327</v>
      </c>
      <c r="R287" s="4" t="e">
        <f t="shared" si="29"/>
        <v>#DIV/0!</v>
      </c>
      <c r="S287" s="4">
        <v>-0.78</v>
      </c>
      <c r="T287" s="2">
        <v>0.5</v>
      </c>
      <c r="U287" s="2">
        <v>12.48</v>
      </c>
      <c r="V287" s="2">
        <v>6.66</v>
      </c>
      <c r="W287" s="2">
        <v>-3.58</v>
      </c>
      <c r="X287" s="2">
        <v>2.48</v>
      </c>
      <c r="Y287" s="2">
        <v>-3.58</v>
      </c>
      <c r="Z287" s="2">
        <v>26.53</v>
      </c>
    </row>
    <row r="288" spans="1:26" x14ac:dyDescent="0.25">
      <c r="A288" s="1" t="s">
        <v>1342</v>
      </c>
      <c r="B288" s="1" t="s">
        <v>1343</v>
      </c>
      <c r="C288" s="1" t="s">
        <v>45</v>
      </c>
      <c r="D288" s="1" t="s">
        <v>204</v>
      </c>
      <c r="E288" s="1" t="s">
        <v>534</v>
      </c>
      <c r="F288" s="1" t="s">
        <v>1344</v>
      </c>
      <c r="G288" s="1" t="s">
        <v>12480</v>
      </c>
      <c r="H288" s="1" t="s">
        <v>1345</v>
      </c>
      <c r="I288" s="2">
        <v>559.05999999999995</v>
      </c>
      <c r="J288" s="2">
        <v>6.85</v>
      </c>
      <c r="K288" s="2">
        <v>8.1199999999999992</v>
      </c>
      <c r="L288" s="2">
        <v>10.67</v>
      </c>
      <c r="M288" s="4">
        <f t="shared" si="24"/>
        <v>68.849753694581281</v>
      </c>
      <c r="N288" s="4">
        <f t="shared" si="25"/>
        <v>52.395501405810677</v>
      </c>
      <c r="O288" s="5">
        <f t="shared" si="26"/>
        <v>0.18540145985401457</v>
      </c>
      <c r="P288" s="5">
        <f t="shared" si="27"/>
        <v>0.31403940886699511</v>
      </c>
      <c r="Q288" s="4">
        <f t="shared" si="28"/>
        <v>3.7135497071486756</v>
      </c>
      <c r="R288" s="4">
        <f t="shared" si="29"/>
        <v>1.6684371428046378</v>
      </c>
      <c r="S288" s="4">
        <v>33.47</v>
      </c>
      <c r="T288" s="2">
        <v>1.46</v>
      </c>
      <c r="U288" s="2">
        <v>870.97</v>
      </c>
      <c r="V288" s="2">
        <v>399.65</v>
      </c>
      <c r="W288" s="2">
        <v>-2.27</v>
      </c>
      <c r="X288" s="2">
        <v>28.88</v>
      </c>
      <c r="Y288" s="2">
        <v>1.32</v>
      </c>
      <c r="Z288" s="2">
        <v>-1.56</v>
      </c>
    </row>
    <row r="289" spans="1:26" x14ac:dyDescent="0.25">
      <c r="A289" s="1" t="s">
        <v>1346</v>
      </c>
      <c r="B289" s="1" t="s">
        <v>1347</v>
      </c>
      <c r="C289" s="1" t="s">
        <v>16</v>
      </c>
      <c r="D289" s="1" t="s">
        <v>38</v>
      </c>
      <c r="E289" s="1" t="s">
        <v>52</v>
      </c>
      <c r="F289" s="1" t="s">
        <v>1348</v>
      </c>
      <c r="G289" s="1" t="s">
        <v>12480</v>
      </c>
      <c r="H289" s="1" t="s">
        <v>1349</v>
      </c>
      <c r="I289" s="2">
        <v>305.38</v>
      </c>
      <c r="J289" s="2">
        <v>15.38</v>
      </c>
      <c r="K289" s="2">
        <v>17.5</v>
      </c>
      <c r="L289" s="2">
        <v>20.04</v>
      </c>
      <c r="M289" s="4">
        <f t="shared" si="24"/>
        <v>17.450285714285712</v>
      </c>
      <c r="N289" s="4">
        <f t="shared" si="25"/>
        <v>15.238522954091817</v>
      </c>
      <c r="O289" s="5">
        <f t="shared" si="26"/>
        <v>0.1378413524057216</v>
      </c>
      <c r="P289" s="5">
        <f t="shared" si="27"/>
        <v>0.14514285714285702</v>
      </c>
      <c r="Q289" s="4">
        <f t="shared" si="28"/>
        <v>1.2659688409703516</v>
      </c>
      <c r="R289" s="4">
        <f t="shared" si="29"/>
        <v>1.049898235026012</v>
      </c>
      <c r="S289" s="4">
        <v>9.52</v>
      </c>
      <c r="T289" s="2">
        <v>1.1399999999999999</v>
      </c>
      <c r="U289" s="2">
        <v>384.89</v>
      </c>
      <c r="V289" s="2">
        <v>231.39</v>
      </c>
      <c r="W289" s="2">
        <v>-0.67</v>
      </c>
      <c r="X289" s="2">
        <v>-15.09</v>
      </c>
      <c r="Y289" s="2">
        <v>-20.18</v>
      </c>
      <c r="Z289" s="2">
        <v>-17.45</v>
      </c>
    </row>
    <row r="290" spans="1:26" x14ac:dyDescent="0.25">
      <c r="A290" s="1" t="s">
        <v>1351</v>
      </c>
      <c r="B290" s="1" t="s">
        <v>1352</v>
      </c>
      <c r="C290" s="1" t="s">
        <v>16</v>
      </c>
      <c r="D290" s="1" t="s">
        <v>38</v>
      </c>
      <c r="E290" s="1" t="s">
        <v>194</v>
      </c>
      <c r="F290" s="1" t="s">
        <v>1353</v>
      </c>
      <c r="G290" s="1" t="s">
        <v>12480</v>
      </c>
      <c r="H290" s="1" t="s">
        <v>1354</v>
      </c>
      <c r="I290" s="2">
        <v>101.44</v>
      </c>
      <c r="J290" s="2">
        <v>12.92</v>
      </c>
      <c r="K290" s="2">
        <v>13.23</v>
      </c>
      <c r="L290" s="2">
        <v>14.4</v>
      </c>
      <c r="M290" s="4">
        <f t="shared" si="24"/>
        <v>7.6674225245653815</v>
      </c>
      <c r="N290" s="4">
        <f t="shared" si="25"/>
        <v>7.0444444444444443</v>
      </c>
      <c r="O290" s="5">
        <f t="shared" si="26"/>
        <v>2.3993808049535659E-2</v>
      </c>
      <c r="P290" s="5">
        <f t="shared" si="27"/>
        <v>8.8435374149659962E-2</v>
      </c>
      <c r="Q290" s="4">
        <f t="shared" si="28"/>
        <v>3.1955838392704679</v>
      </c>
      <c r="R290" s="4">
        <f t="shared" si="29"/>
        <v>0.79656410256410159</v>
      </c>
      <c r="S290" s="4">
        <v>10.17</v>
      </c>
      <c r="T290" s="2">
        <v>0.61</v>
      </c>
      <c r="U290" s="2">
        <v>109.18</v>
      </c>
      <c r="V290" s="2">
        <v>87.23</v>
      </c>
      <c r="W290" s="2">
        <v>-5.12</v>
      </c>
      <c r="X290" s="2">
        <v>-1.57</v>
      </c>
      <c r="Y290" s="2">
        <v>-4.72</v>
      </c>
      <c r="Z290" s="2">
        <v>-5.28</v>
      </c>
    </row>
    <row r="291" spans="1:26" x14ac:dyDescent="0.25">
      <c r="A291" s="1" t="s">
        <v>1355</v>
      </c>
      <c r="B291" s="1" t="s">
        <v>1356</v>
      </c>
      <c r="C291" s="1" t="s">
        <v>45</v>
      </c>
      <c r="D291" s="1" t="s">
        <v>18</v>
      </c>
      <c r="E291" s="1" t="s">
        <v>74</v>
      </c>
      <c r="F291" s="1" t="s">
        <v>1357</v>
      </c>
      <c r="G291" s="1" t="s">
        <v>12480</v>
      </c>
      <c r="H291" s="1" t="s">
        <v>1358</v>
      </c>
      <c r="I291" s="2">
        <v>164.49</v>
      </c>
      <c r="J291" s="2">
        <v>-3.68</v>
      </c>
      <c r="K291" s="2">
        <v>-1.29</v>
      </c>
      <c r="L291" s="2">
        <v>5.12</v>
      </c>
      <c r="M291" s="4">
        <f t="shared" si="24"/>
        <v>-127.51162790697674</v>
      </c>
      <c r="N291" s="4">
        <f t="shared" si="25"/>
        <v>32.126953125</v>
      </c>
      <c r="O291" s="5">
        <f t="shared" si="26"/>
        <v>-0.64945652173913038</v>
      </c>
      <c r="P291" s="5">
        <f t="shared" si="27"/>
        <v>-4.9689922480620154</v>
      </c>
      <c r="Q291" s="4">
        <f t="shared" si="28"/>
        <v>1.9633589568940355</v>
      </c>
      <c r="R291" s="4">
        <f t="shared" si="29"/>
        <v>-6.4654866663416535E-2</v>
      </c>
      <c r="S291" s="4">
        <v>65.55</v>
      </c>
      <c r="T291" s="2">
        <v>0.43</v>
      </c>
      <c r="U291" s="2">
        <v>189.1</v>
      </c>
      <c r="V291" s="2">
        <v>95.65</v>
      </c>
      <c r="W291" s="2">
        <v>-1.1399999999999999</v>
      </c>
      <c r="X291" s="2">
        <v>-10.220000000000001</v>
      </c>
      <c r="Y291" s="2">
        <v>12.48</v>
      </c>
      <c r="Z291" s="2">
        <v>-9.94</v>
      </c>
    </row>
    <row r="292" spans="1:26" x14ac:dyDescent="0.25">
      <c r="A292" s="1" t="s">
        <v>1359</v>
      </c>
      <c r="B292" s="1" t="s">
        <v>1360</v>
      </c>
      <c r="C292" s="1" t="s">
        <v>16</v>
      </c>
      <c r="D292" s="1" t="s">
        <v>88</v>
      </c>
      <c r="E292" s="1" t="s">
        <v>1113</v>
      </c>
      <c r="F292" s="1" t="s">
        <v>1361</v>
      </c>
      <c r="G292" s="1" t="s">
        <v>12480</v>
      </c>
      <c r="H292" s="1" t="s">
        <v>1362</v>
      </c>
      <c r="I292" s="2">
        <v>29.29</v>
      </c>
      <c r="J292" s="2">
        <v>2.4900000000000002</v>
      </c>
      <c r="K292" s="2">
        <v>2.63</v>
      </c>
      <c r="L292" s="2">
        <v>2.89</v>
      </c>
      <c r="M292" s="4">
        <f t="shared" si="24"/>
        <v>11.136882129277566</v>
      </c>
      <c r="N292" s="4">
        <f t="shared" si="25"/>
        <v>10.134948096885813</v>
      </c>
      <c r="O292" s="5">
        <f t="shared" si="26"/>
        <v>5.6224899598393385E-2</v>
      </c>
      <c r="P292" s="5">
        <f t="shared" si="27"/>
        <v>9.8859315589353791E-2</v>
      </c>
      <c r="Q292" s="4">
        <f t="shared" si="28"/>
        <v>1.980774035850088</v>
      </c>
      <c r="R292" s="4">
        <f t="shared" si="29"/>
        <v>1.0251889805696015</v>
      </c>
      <c r="S292" s="4">
        <v>-3.01</v>
      </c>
      <c r="T292" s="2">
        <v>1.29</v>
      </c>
      <c r="U292" s="2">
        <v>35.57</v>
      </c>
      <c r="V292" s="2">
        <v>26.39</v>
      </c>
      <c r="W292" s="2">
        <v>-10.130000000000001</v>
      </c>
      <c r="X292" s="2">
        <v>-14.38</v>
      </c>
      <c r="Y292" s="2">
        <v>-5.85</v>
      </c>
      <c r="Z292" s="2">
        <v>-9.35</v>
      </c>
    </row>
    <row r="293" spans="1:26" x14ac:dyDescent="0.25">
      <c r="A293" s="1" t="s">
        <v>1364</v>
      </c>
      <c r="B293" s="1" t="s">
        <v>1365</v>
      </c>
      <c r="C293" s="1" t="s">
        <v>45</v>
      </c>
      <c r="D293" s="1" t="s">
        <v>32</v>
      </c>
      <c r="E293" s="1" t="s">
        <v>57</v>
      </c>
      <c r="F293" s="1" t="s">
        <v>1366</v>
      </c>
      <c r="G293" s="1" t="s">
        <v>12480</v>
      </c>
      <c r="H293" s="1" t="s">
        <v>1367</v>
      </c>
      <c r="I293" s="2">
        <v>38.56</v>
      </c>
      <c r="J293" s="2">
        <v>-0.41</v>
      </c>
      <c r="K293" s="2">
        <v>0.02</v>
      </c>
      <c r="L293" s="2">
        <v>0.55000000000000004</v>
      </c>
      <c r="M293" s="4">
        <f t="shared" si="24"/>
        <v>1928</v>
      </c>
      <c r="N293" s="4">
        <f t="shared" si="25"/>
        <v>70.109090909090909</v>
      </c>
      <c r="O293" s="5">
        <f t="shared" si="26"/>
        <v>-1.0487804878048781</v>
      </c>
      <c r="P293" s="5">
        <f t="shared" si="27"/>
        <v>26.5</v>
      </c>
      <c r="Q293" s="4">
        <f t="shared" si="28"/>
        <v>-18.38325581395349</v>
      </c>
      <c r="R293" s="4">
        <f t="shared" si="29"/>
        <v>2.6456260720411663E-2</v>
      </c>
      <c r="S293" s="4">
        <v>-11.11</v>
      </c>
      <c r="T293" s="2">
        <v>1.75</v>
      </c>
      <c r="U293" s="2">
        <v>46.32</v>
      </c>
      <c r="V293" s="2">
        <v>1.1599999999999999</v>
      </c>
      <c r="W293" s="2">
        <v>-16.75</v>
      </c>
      <c r="X293" s="2">
        <v>38.85</v>
      </c>
      <c r="Y293" s="2">
        <v>160.01</v>
      </c>
      <c r="Z293" s="2">
        <v>135.84</v>
      </c>
    </row>
    <row r="294" spans="1:26" x14ac:dyDescent="0.25">
      <c r="A294" s="1" t="s">
        <v>1369</v>
      </c>
      <c r="B294" s="1" t="s">
        <v>1370</v>
      </c>
      <c r="C294" s="1" t="s">
        <v>16</v>
      </c>
      <c r="D294" s="1" t="s">
        <v>140</v>
      </c>
      <c r="E294" s="1" t="s">
        <v>284</v>
      </c>
      <c r="F294" s="1" t="s">
        <v>1371</v>
      </c>
      <c r="G294" s="1" t="s">
        <v>12497</v>
      </c>
      <c r="H294" s="1" t="s">
        <v>1372</v>
      </c>
      <c r="I294" s="2">
        <v>274.48</v>
      </c>
      <c r="J294" s="2">
        <v>18.010000000000002</v>
      </c>
      <c r="K294" s="2">
        <v>19.75</v>
      </c>
      <c r="L294" s="2">
        <v>21.64</v>
      </c>
      <c r="M294" s="4">
        <f t="shared" si="24"/>
        <v>13.897721518987343</v>
      </c>
      <c r="N294" s="4">
        <f t="shared" si="25"/>
        <v>12.68391866913124</v>
      </c>
      <c r="O294" s="5">
        <f t="shared" si="26"/>
        <v>9.661299278178781E-2</v>
      </c>
      <c r="P294" s="5">
        <f t="shared" si="27"/>
        <v>9.569620253164568E-2</v>
      </c>
      <c r="Q294" s="4">
        <f t="shared" si="28"/>
        <v>1.4384940491779441</v>
      </c>
      <c r="R294" s="4">
        <f t="shared" si="29"/>
        <v>1.3254359455838183</v>
      </c>
      <c r="S294" s="4">
        <v>13.14</v>
      </c>
      <c r="T294" s="2">
        <v>1.5</v>
      </c>
      <c r="U294" s="2">
        <v>376.69</v>
      </c>
      <c r="V294" s="2">
        <v>223.31</v>
      </c>
      <c r="W294" s="2">
        <v>-7.16</v>
      </c>
      <c r="X294" s="2">
        <v>-17.02</v>
      </c>
      <c r="Y294" s="2">
        <v>-23.98</v>
      </c>
      <c r="Z294" s="2">
        <v>-23.76</v>
      </c>
    </row>
    <row r="295" spans="1:26" x14ac:dyDescent="0.25">
      <c r="A295" s="1" t="s">
        <v>1373</v>
      </c>
      <c r="B295" s="1" t="s">
        <v>1374</v>
      </c>
      <c r="C295" s="1" t="s">
        <v>16</v>
      </c>
      <c r="D295" s="1" t="s">
        <v>18</v>
      </c>
      <c r="E295" s="1" t="s">
        <v>74</v>
      </c>
      <c r="F295" s="1" t="s">
        <v>1375</v>
      </c>
      <c r="G295" s="1" t="s">
        <v>12480</v>
      </c>
      <c r="H295" s="1" t="s">
        <v>1376</v>
      </c>
      <c r="I295" s="2">
        <v>194.95</v>
      </c>
      <c r="J295" s="2">
        <v>9.16</v>
      </c>
      <c r="K295" s="2">
        <v>10.31</v>
      </c>
      <c r="L295" s="2">
        <v>11.58</v>
      </c>
      <c r="M295" s="4">
        <f t="shared" si="24"/>
        <v>18.908826382153247</v>
      </c>
      <c r="N295" s="4">
        <f t="shared" si="25"/>
        <v>16.835060449050086</v>
      </c>
      <c r="O295" s="5">
        <f t="shared" si="26"/>
        <v>0.12554585152838427</v>
      </c>
      <c r="P295" s="5">
        <f t="shared" si="27"/>
        <v>0.1231813773035888</v>
      </c>
      <c r="Q295" s="4">
        <f t="shared" si="28"/>
        <v>1.5061291274828152</v>
      </c>
      <c r="R295" s="4">
        <f t="shared" si="29"/>
        <v>1.3666887655882387</v>
      </c>
      <c r="S295" s="4">
        <v>8.6300000000000008</v>
      </c>
      <c r="T295" s="2">
        <v>0.32</v>
      </c>
      <c r="U295" s="2">
        <v>209.48</v>
      </c>
      <c r="V295" s="2">
        <v>129.74</v>
      </c>
      <c r="W295" s="2">
        <v>-4.3099999999999996</v>
      </c>
      <c r="X295" s="2">
        <v>3.69</v>
      </c>
      <c r="Y295" s="2">
        <v>6.46</v>
      </c>
      <c r="Z295" s="2">
        <v>6.03</v>
      </c>
    </row>
    <row r="296" spans="1:26" x14ac:dyDescent="0.25">
      <c r="A296" s="1" t="s">
        <v>1377</v>
      </c>
      <c r="B296" s="1" t="s">
        <v>1378</v>
      </c>
      <c r="C296" s="1" t="s">
        <v>16</v>
      </c>
      <c r="D296" s="1" t="s">
        <v>67</v>
      </c>
      <c r="E296" s="1" t="s">
        <v>68</v>
      </c>
      <c r="F296" s="1" t="s">
        <v>1379</v>
      </c>
      <c r="G296" s="1" t="s">
        <v>12497</v>
      </c>
      <c r="H296" s="1" t="s">
        <v>1380</v>
      </c>
      <c r="I296" s="2">
        <v>3672.6799000000001</v>
      </c>
      <c r="J296" s="2">
        <v>144.87</v>
      </c>
      <c r="K296" s="2">
        <v>149.09</v>
      </c>
      <c r="L296" s="2">
        <v>175.1</v>
      </c>
      <c r="M296" s="4">
        <f t="shared" si="24"/>
        <v>24.633978804748811</v>
      </c>
      <c r="N296" s="4">
        <f t="shared" si="25"/>
        <v>20.974756710451171</v>
      </c>
      <c r="O296" s="5">
        <f t="shared" si="26"/>
        <v>2.9129564437081479E-2</v>
      </c>
      <c r="P296" s="5">
        <f t="shared" si="27"/>
        <v>0.17445838084378562</v>
      </c>
      <c r="Q296" s="4">
        <f t="shared" si="28"/>
        <v>8.4566931503411507</v>
      </c>
      <c r="R296" s="4">
        <f t="shared" si="29"/>
        <v>1.2022785382395869</v>
      </c>
      <c r="S296" s="4">
        <v>2.4300000000000002</v>
      </c>
      <c r="T296" s="2">
        <v>0.41</v>
      </c>
      <c r="U296" s="2">
        <v>4354.54</v>
      </c>
      <c r="V296" s="2">
        <v>3244.92</v>
      </c>
      <c r="W296" s="2">
        <v>-5.4</v>
      </c>
      <c r="X296" s="2">
        <v>1.06</v>
      </c>
      <c r="Y296" s="2">
        <v>5.27</v>
      </c>
      <c r="Z296" s="2">
        <v>8.2899999999999991</v>
      </c>
    </row>
    <row r="297" spans="1:26" x14ac:dyDescent="0.25">
      <c r="A297" s="1" t="s">
        <v>1382</v>
      </c>
      <c r="B297" s="1" t="s">
        <v>1383</v>
      </c>
      <c r="C297" s="1" t="s">
        <v>45</v>
      </c>
      <c r="D297" s="1" t="s">
        <v>18</v>
      </c>
      <c r="E297" s="1" t="s">
        <v>1385</v>
      </c>
      <c r="F297" s="1" t="s">
        <v>1384</v>
      </c>
      <c r="G297" s="1" t="s">
        <v>12485</v>
      </c>
      <c r="H297" s="1" t="s">
        <v>411</v>
      </c>
      <c r="I297" s="2">
        <v>23.13</v>
      </c>
      <c r="J297" s="2">
        <v>0.51</v>
      </c>
      <c r="K297" s="2">
        <v>0.71</v>
      </c>
      <c r="L297" s="2" t="s">
        <v>12493</v>
      </c>
      <c r="M297" s="4">
        <f t="shared" si="24"/>
        <v>32.577464788732392</v>
      </c>
      <c r="N297" s="4">
        <f t="shared" si="25"/>
        <v>23.13</v>
      </c>
      <c r="O297" s="5">
        <f t="shared" si="26"/>
        <v>0.39215686274509798</v>
      </c>
      <c r="P297" s="5">
        <f t="shared" si="27"/>
        <v>0.40845070422535223</v>
      </c>
      <c r="Q297" s="4">
        <f t="shared" si="28"/>
        <v>0.83072535211267606</v>
      </c>
      <c r="R297" s="4">
        <f t="shared" si="29"/>
        <v>0.56628620689655151</v>
      </c>
      <c r="S297" s="4">
        <v>-9.52</v>
      </c>
      <c r="T297" s="2">
        <v>1.39</v>
      </c>
      <c r="U297" s="2">
        <v>43.68</v>
      </c>
      <c r="V297" s="2">
        <v>23.13</v>
      </c>
      <c r="W297" s="2">
        <v>-10.49</v>
      </c>
      <c r="X297" s="2">
        <v>-22.38</v>
      </c>
      <c r="Y297" s="2">
        <v>-34.07</v>
      </c>
      <c r="Z297" s="2">
        <v>-30.46</v>
      </c>
    </row>
    <row r="298" spans="1:26" x14ac:dyDescent="0.25">
      <c r="A298" s="1" t="s">
        <v>1387</v>
      </c>
      <c r="B298" s="1" t="s">
        <v>1387</v>
      </c>
      <c r="C298" s="1" t="s">
        <v>16</v>
      </c>
      <c r="D298" s="1" t="s">
        <v>25</v>
      </c>
      <c r="E298" s="1" t="s">
        <v>106</v>
      </c>
      <c r="F298" s="1" t="s">
        <v>1388</v>
      </c>
      <c r="G298" s="1" t="s">
        <v>12487</v>
      </c>
      <c r="H298" s="1" t="s">
        <v>1389</v>
      </c>
      <c r="I298" s="2">
        <v>125.52</v>
      </c>
      <c r="J298" s="2">
        <v>5.2</v>
      </c>
      <c r="K298" s="2">
        <v>6.82</v>
      </c>
      <c r="L298" s="2">
        <v>7.34</v>
      </c>
      <c r="M298" s="4">
        <f t="shared" si="24"/>
        <v>18.404692082111435</v>
      </c>
      <c r="N298" s="4">
        <f t="shared" si="25"/>
        <v>17.100817438692097</v>
      </c>
      <c r="O298" s="5">
        <f t="shared" si="26"/>
        <v>0.31153846153846154</v>
      </c>
      <c r="P298" s="5">
        <f t="shared" si="27"/>
        <v>7.6246334310850372E-2</v>
      </c>
      <c r="Q298" s="4">
        <f t="shared" si="28"/>
        <v>0.59076789399370033</v>
      </c>
      <c r="R298" s="4">
        <f t="shared" si="29"/>
        <v>2.2428379794592348</v>
      </c>
      <c r="S298" s="4">
        <v>2.61</v>
      </c>
      <c r="T298" s="2">
        <v>1.1100000000000001</v>
      </c>
      <c r="U298" s="2">
        <v>140.24</v>
      </c>
      <c r="V298" s="2">
        <v>75.58</v>
      </c>
      <c r="W298" s="2">
        <v>-6.69</v>
      </c>
      <c r="X298" s="2">
        <v>-5.82</v>
      </c>
      <c r="Y298" s="2">
        <v>16.03</v>
      </c>
      <c r="Z298" s="2">
        <v>17.11</v>
      </c>
    </row>
    <row r="299" spans="1:26" x14ac:dyDescent="0.25">
      <c r="A299" s="1" t="s">
        <v>1390</v>
      </c>
      <c r="B299" s="1" t="s">
        <v>1391</v>
      </c>
      <c r="C299" s="1" t="s">
        <v>16</v>
      </c>
      <c r="D299" s="1" t="s">
        <v>88</v>
      </c>
      <c r="E299" s="1" t="s">
        <v>89</v>
      </c>
      <c r="F299" s="1" t="s">
        <v>1392</v>
      </c>
      <c r="G299" s="1" t="s">
        <v>12480</v>
      </c>
      <c r="H299" s="1" t="s">
        <v>1393</v>
      </c>
      <c r="I299" s="2">
        <v>45.81</v>
      </c>
      <c r="J299" s="2">
        <v>2.42</v>
      </c>
      <c r="K299" s="2">
        <v>3.62</v>
      </c>
      <c r="L299" s="2">
        <v>4.3</v>
      </c>
      <c r="M299" s="4">
        <f t="shared" si="24"/>
        <v>12.654696132596685</v>
      </c>
      <c r="N299" s="4">
        <f t="shared" si="25"/>
        <v>10.653488372093024</v>
      </c>
      <c r="O299" s="5">
        <f t="shared" si="26"/>
        <v>0.49586776859504145</v>
      </c>
      <c r="P299" s="5">
        <f t="shared" si="27"/>
        <v>0.18784530386740328</v>
      </c>
      <c r="Q299" s="4">
        <f t="shared" si="28"/>
        <v>0.2552030386740331</v>
      </c>
      <c r="R299" s="4">
        <f t="shared" si="29"/>
        <v>0.5671415868673052</v>
      </c>
      <c r="S299" s="4">
        <v>31.22</v>
      </c>
      <c r="T299" s="2">
        <v>0.41</v>
      </c>
      <c r="U299" s="2">
        <v>52.98</v>
      </c>
      <c r="V299" s="2">
        <v>17.52</v>
      </c>
      <c r="W299" s="2">
        <v>-9.3800000000000008</v>
      </c>
      <c r="X299" s="2">
        <v>-1.76</v>
      </c>
      <c r="Y299" s="2">
        <v>5.7</v>
      </c>
      <c r="Z299" s="2">
        <v>5.19</v>
      </c>
    </row>
    <row r="300" spans="1:26" x14ac:dyDescent="0.25">
      <c r="A300" s="1" t="s">
        <v>1394</v>
      </c>
      <c r="B300" s="1" t="s">
        <v>1395</v>
      </c>
      <c r="C300" s="1" t="s">
        <v>16</v>
      </c>
      <c r="D300" s="1" t="s">
        <v>204</v>
      </c>
      <c r="E300" s="1" t="s">
        <v>205</v>
      </c>
      <c r="F300" s="1" t="s">
        <v>1396</v>
      </c>
      <c r="G300" s="1" t="s">
        <v>12480</v>
      </c>
      <c r="H300" s="1" t="s">
        <v>1397</v>
      </c>
      <c r="I300" s="2" t="s">
        <v>12561</v>
      </c>
      <c r="J300" s="2">
        <v>-10.64</v>
      </c>
      <c r="K300" s="2">
        <v>0.56999999999999995</v>
      </c>
      <c r="L300" s="2">
        <v>4.3</v>
      </c>
      <c r="M300" s="4">
        <f t="shared" si="24"/>
        <v>394.73684210526318</v>
      </c>
      <c r="N300" s="4">
        <f t="shared" si="25"/>
        <v>52.325581395348841</v>
      </c>
      <c r="O300" s="5">
        <f t="shared" si="26"/>
        <v>-1.0535714285714286</v>
      </c>
      <c r="P300" s="5">
        <f t="shared" si="27"/>
        <v>6.5438596491228074</v>
      </c>
      <c r="Q300" s="4">
        <f t="shared" si="28"/>
        <v>-3.7466547725245318</v>
      </c>
      <c r="R300" s="4">
        <f t="shared" si="29"/>
        <v>7.9961344223455327E-2</v>
      </c>
      <c r="S300" s="4">
        <v>34.5</v>
      </c>
      <c r="T300" s="2">
        <v>1.1399999999999999</v>
      </c>
      <c r="U300" s="2">
        <v>252.15</v>
      </c>
      <c r="V300" s="2">
        <v>136.59</v>
      </c>
      <c r="W300" s="2">
        <v>-2.06</v>
      </c>
      <c r="X300" s="2">
        <v>-8.0500000000000007</v>
      </c>
      <c r="Y300" s="2">
        <v>9.49</v>
      </c>
      <c r="Z300" s="2">
        <v>3.63</v>
      </c>
    </row>
    <row r="301" spans="1:26" x14ac:dyDescent="0.25">
      <c r="A301" s="1" t="s">
        <v>1400</v>
      </c>
      <c r="B301" s="1" t="s">
        <v>1401</v>
      </c>
      <c r="C301" s="1" t="s">
        <v>16</v>
      </c>
      <c r="D301" s="1" t="s">
        <v>67</v>
      </c>
      <c r="E301" s="1" t="s">
        <v>833</v>
      </c>
      <c r="F301" s="1" t="s">
        <v>1402</v>
      </c>
      <c r="G301" s="1" t="s">
        <v>12490</v>
      </c>
      <c r="H301" s="1" t="s">
        <v>1403</v>
      </c>
      <c r="I301" s="2">
        <v>132.63999999999999</v>
      </c>
      <c r="J301" s="2">
        <v>9.01</v>
      </c>
      <c r="K301" s="2">
        <v>5.96</v>
      </c>
      <c r="L301" s="2">
        <v>8.7200000000000006</v>
      </c>
      <c r="M301" s="4">
        <f t="shared" si="24"/>
        <v>22.255033557046978</v>
      </c>
      <c r="N301" s="4">
        <f t="shared" si="25"/>
        <v>15.211009174311924</v>
      </c>
      <c r="O301" s="5">
        <f t="shared" si="26"/>
        <v>-0.33851276359600446</v>
      </c>
      <c r="P301" s="5">
        <f t="shared" si="27"/>
        <v>0.46308724832214776</v>
      </c>
      <c r="Q301" s="4">
        <f t="shared" si="28"/>
        <v>-0.65743558147210901</v>
      </c>
      <c r="R301" s="4">
        <f t="shared" si="29"/>
        <v>0.32846961840180811</v>
      </c>
      <c r="S301" s="4">
        <v>5.33</v>
      </c>
      <c r="T301" s="2">
        <v>0.43</v>
      </c>
      <c r="U301" s="2">
        <v>189.34</v>
      </c>
      <c r="V301" s="2">
        <v>99.37</v>
      </c>
      <c r="W301" s="2">
        <v>-6.96</v>
      </c>
      <c r="X301" s="2">
        <v>-18.63</v>
      </c>
      <c r="Y301" s="2">
        <v>-11.63</v>
      </c>
      <c r="Z301" s="2">
        <v>-9.51</v>
      </c>
    </row>
    <row r="302" spans="1:26" x14ac:dyDescent="0.25">
      <c r="A302" s="1" t="s">
        <v>1405</v>
      </c>
      <c r="B302" s="1" t="s">
        <v>1406</v>
      </c>
      <c r="C302" s="1" t="s">
        <v>16</v>
      </c>
      <c r="D302" s="1" t="s">
        <v>38</v>
      </c>
      <c r="E302" s="1" t="s">
        <v>1408</v>
      </c>
      <c r="F302" s="1" t="s">
        <v>1407</v>
      </c>
      <c r="G302" s="1" t="s">
        <v>12480</v>
      </c>
      <c r="H302" s="1" t="s">
        <v>1409</v>
      </c>
      <c r="I302" s="2">
        <v>47.9</v>
      </c>
      <c r="J302" s="2">
        <v>3.81</v>
      </c>
      <c r="K302" s="2">
        <v>4.32</v>
      </c>
      <c r="L302" s="2">
        <v>4.95</v>
      </c>
      <c r="M302" s="4">
        <f t="shared" si="24"/>
        <v>11.087962962962962</v>
      </c>
      <c r="N302" s="4">
        <f t="shared" si="25"/>
        <v>9.6767676767676765</v>
      </c>
      <c r="O302" s="5">
        <f t="shared" si="26"/>
        <v>0.13385826771653542</v>
      </c>
      <c r="P302" s="5">
        <f t="shared" si="27"/>
        <v>0.14583333333333326</v>
      </c>
      <c r="Q302" s="4">
        <f t="shared" si="28"/>
        <v>0.8283360566448803</v>
      </c>
      <c r="R302" s="4">
        <f t="shared" si="29"/>
        <v>0.66354978354978389</v>
      </c>
      <c r="S302" s="4">
        <v>-0.45</v>
      </c>
      <c r="T302" s="2">
        <v>1.28</v>
      </c>
      <c r="U302" s="2">
        <v>57.25</v>
      </c>
      <c r="V302" s="2">
        <v>34.39</v>
      </c>
      <c r="W302" s="2">
        <v>-3.83</v>
      </c>
      <c r="X302" s="2">
        <v>-15.09</v>
      </c>
      <c r="Y302" s="2">
        <v>-13.43</v>
      </c>
      <c r="Z302" s="2">
        <v>-12.91</v>
      </c>
    </row>
    <row r="303" spans="1:26" x14ac:dyDescent="0.25">
      <c r="A303" s="1" t="s">
        <v>1410</v>
      </c>
      <c r="B303" s="1" t="s">
        <v>1411</v>
      </c>
      <c r="C303" s="1" t="s">
        <v>31</v>
      </c>
      <c r="D303" s="1" t="s">
        <v>38</v>
      </c>
      <c r="E303" s="1" t="s">
        <v>189</v>
      </c>
      <c r="F303" s="1" t="s">
        <v>1412</v>
      </c>
      <c r="G303" s="1" t="s">
        <v>12480</v>
      </c>
      <c r="H303" s="1" t="s">
        <v>1413</v>
      </c>
      <c r="I303" s="2">
        <v>14.37</v>
      </c>
      <c r="J303" s="2">
        <v>2.61</v>
      </c>
      <c r="K303" s="2"/>
      <c r="L303" s="2"/>
      <c r="M303" s="4" t="e">
        <f t="shared" si="24"/>
        <v>#DIV/0!</v>
      </c>
      <c r="N303" s="4" t="e">
        <f t="shared" si="25"/>
        <v>#DIV/0!</v>
      </c>
      <c r="O303" s="5">
        <f t="shared" si="26"/>
        <v>-1</v>
      </c>
      <c r="P303" s="5" t="e">
        <f t="shared" si="27"/>
        <v>#DIV/0!</v>
      </c>
      <c r="Q303" s="4" t="e">
        <f t="shared" si="28"/>
        <v>#DIV/0!</v>
      </c>
      <c r="R303" s="4" t="e">
        <f t="shared" si="29"/>
        <v>#DIV/0!</v>
      </c>
      <c r="S303" s="4">
        <v>2.2999999999999998</v>
      </c>
      <c r="T303" s="2">
        <v>0.13</v>
      </c>
      <c r="U303" s="2">
        <v>15.34</v>
      </c>
      <c r="V303" s="2">
        <v>12.83</v>
      </c>
      <c r="W303" s="2">
        <v>-0.76</v>
      </c>
      <c r="X303" s="2">
        <v>-4.49</v>
      </c>
      <c r="Y303" s="2">
        <v>1.99</v>
      </c>
      <c r="Z303" s="2">
        <v>0.63</v>
      </c>
    </row>
    <row r="304" spans="1:26" x14ac:dyDescent="0.25">
      <c r="A304" s="1" t="s">
        <v>1414</v>
      </c>
      <c r="B304" s="1" t="s">
        <v>1415</v>
      </c>
      <c r="C304" s="1" t="s">
        <v>31</v>
      </c>
      <c r="D304" s="1" t="s">
        <v>204</v>
      </c>
      <c r="E304" s="1" t="s">
        <v>534</v>
      </c>
      <c r="F304" s="1" t="s">
        <v>1416</v>
      </c>
      <c r="G304" s="1" t="s">
        <v>12480</v>
      </c>
      <c r="H304" s="1" t="s">
        <v>1417</v>
      </c>
      <c r="I304" s="2">
        <v>120.87</v>
      </c>
      <c r="J304" s="2">
        <v>3.92</v>
      </c>
      <c r="K304" s="2">
        <v>4.5599999999999996</v>
      </c>
      <c r="L304" s="2">
        <v>5.18</v>
      </c>
      <c r="M304" s="4">
        <f t="shared" si="24"/>
        <v>26.506578947368425</v>
      </c>
      <c r="N304" s="4">
        <f t="shared" si="25"/>
        <v>23.333976833976838</v>
      </c>
      <c r="O304" s="5">
        <f t="shared" si="26"/>
        <v>0.16326530612244894</v>
      </c>
      <c r="P304" s="5">
        <f t="shared" si="27"/>
        <v>0.13596491228070184</v>
      </c>
      <c r="Q304" s="4">
        <f t="shared" si="28"/>
        <v>1.6235279605263164</v>
      </c>
      <c r="R304" s="4">
        <f t="shared" si="29"/>
        <v>1.7161763606924887</v>
      </c>
      <c r="S304" s="4">
        <v>31.21</v>
      </c>
      <c r="T304" s="2">
        <v>-0.06</v>
      </c>
      <c r="U304" s="2">
        <v>122.26</v>
      </c>
      <c r="V304" s="2">
        <v>77.22</v>
      </c>
      <c r="W304" s="2">
        <v>0.85</v>
      </c>
      <c r="X304" s="2">
        <v>13.71</v>
      </c>
      <c r="Y304" s="2">
        <v>34.67</v>
      </c>
      <c r="Z304" s="2">
        <v>30.14</v>
      </c>
    </row>
    <row r="305" spans="1:26" x14ac:dyDescent="0.25">
      <c r="A305" s="1" t="s">
        <v>1419</v>
      </c>
      <c r="B305" s="1" t="s">
        <v>1420</v>
      </c>
      <c r="C305" s="1" t="s">
        <v>16</v>
      </c>
      <c r="D305" s="1" t="s">
        <v>140</v>
      </c>
      <c r="E305" s="1" t="s">
        <v>1421</v>
      </c>
      <c r="F305" s="1" t="s">
        <v>12562</v>
      </c>
      <c r="G305" s="1" t="s">
        <v>12490</v>
      </c>
      <c r="H305" s="1" t="s">
        <v>1422</v>
      </c>
      <c r="I305" s="2">
        <v>81.430000000000007</v>
      </c>
      <c r="J305" s="2">
        <v>6.35</v>
      </c>
      <c r="K305" s="2">
        <v>6.14</v>
      </c>
      <c r="L305" s="2">
        <v>6.2</v>
      </c>
      <c r="M305" s="4">
        <f t="shared" si="24"/>
        <v>13.262214983713356</v>
      </c>
      <c r="N305" s="4">
        <f t="shared" si="25"/>
        <v>13.133870967741936</v>
      </c>
      <c r="O305" s="5">
        <f t="shared" si="26"/>
        <v>-3.3070866141732269E-2</v>
      </c>
      <c r="P305" s="5">
        <f t="shared" si="27"/>
        <v>9.7719869706840434E-3</v>
      </c>
      <c r="Q305" s="4">
        <f t="shared" si="28"/>
        <v>-4.0102411974561836</v>
      </c>
      <c r="R305" s="4">
        <f t="shared" si="29"/>
        <v>13.440327956989242</v>
      </c>
      <c r="S305" s="4">
        <v>12.36</v>
      </c>
      <c r="T305" s="2">
        <v>0.37</v>
      </c>
      <c r="U305" s="2">
        <v>129.69</v>
      </c>
      <c r="V305" s="2">
        <v>74.260000000000005</v>
      </c>
      <c r="W305" s="2">
        <v>4.6500000000000004</v>
      </c>
      <c r="X305" s="2">
        <v>-9.65</v>
      </c>
      <c r="Y305" s="2">
        <v>-11.36</v>
      </c>
      <c r="Z305" s="2">
        <v>-3.47</v>
      </c>
    </row>
    <row r="306" spans="1:26" x14ac:dyDescent="0.25">
      <c r="A306" s="1" t="s">
        <v>1423</v>
      </c>
      <c r="B306" s="1" t="s">
        <v>1424</v>
      </c>
      <c r="C306" s="1" t="s">
        <v>16</v>
      </c>
      <c r="D306" s="1" t="s">
        <v>25</v>
      </c>
      <c r="E306" s="1" t="s">
        <v>729</v>
      </c>
      <c r="F306" s="1" t="s">
        <v>1425</v>
      </c>
      <c r="G306" s="1" t="s">
        <v>12480</v>
      </c>
      <c r="H306" s="1" t="s">
        <v>1426</v>
      </c>
      <c r="I306" s="2">
        <v>62.39</v>
      </c>
      <c r="J306" s="2">
        <v>3.57</v>
      </c>
      <c r="K306" s="2">
        <v>3.96</v>
      </c>
      <c r="L306" s="2">
        <v>4.55</v>
      </c>
      <c r="M306" s="4">
        <f t="shared" si="24"/>
        <v>15.755050505050505</v>
      </c>
      <c r="N306" s="4">
        <f t="shared" si="25"/>
        <v>13.712087912087913</v>
      </c>
      <c r="O306" s="5">
        <f t="shared" si="26"/>
        <v>0.10924369747899165</v>
      </c>
      <c r="P306" s="5">
        <f t="shared" si="27"/>
        <v>0.14898989898989901</v>
      </c>
      <c r="Q306" s="4">
        <f t="shared" si="28"/>
        <v>1.4421930846930839</v>
      </c>
      <c r="R306" s="4">
        <f t="shared" si="29"/>
        <v>0.92033674799776499</v>
      </c>
      <c r="S306" s="4">
        <v>11.58</v>
      </c>
      <c r="T306" s="2">
        <v>1.1000000000000001</v>
      </c>
      <c r="U306" s="2">
        <v>67.760000000000005</v>
      </c>
      <c r="V306" s="2">
        <v>44.94</v>
      </c>
      <c r="W306" s="2">
        <v>-6.07</v>
      </c>
      <c r="X306" s="2">
        <v>-6.39</v>
      </c>
      <c r="Y306" s="2">
        <v>20.96</v>
      </c>
      <c r="Z306" s="2">
        <v>17.78</v>
      </c>
    </row>
    <row r="307" spans="1:26" x14ac:dyDescent="0.25">
      <c r="A307" s="1" t="s">
        <v>1428</v>
      </c>
      <c r="B307" s="1" t="s">
        <v>1429</v>
      </c>
      <c r="C307" s="1" t="s">
        <v>16</v>
      </c>
      <c r="D307" s="1" t="s">
        <v>38</v>
      </c>
      <c r="E307" s="1" t="s">
        <v>52</v>
      </c>
      <c r="F307" s="1" t="s">
        <v>1430</v>
      </c>
      <c r="G307" s="1" t="s">
        <v>12480</v>
      </c>
      <c r="H307" s="1" t="s">
        <v>1431</v>
      </c>
      <c r="I307" s="2">
        <v>45.96</v>
      </c>
      <c r="J307" s="2">
        <v>1.65</v>
      </c>
      <c r="K307" s="2">
        <v>1.89</v>
      </c>
      <c r="L307" s="2">
        <v>2.2400000000000002</v>
      </c>
      <c r="M307" s="4">
        <f t="shared" si="24"/>
        <v>24.31746031746032</v>
      </c>
      <c r="N307" s="4">
        <f t="shared" si="25"/>
        <v>20.517857142857142</v>
      </c>
      <c r="O307" s="5">
        <f t="shared" si="26"/>
        <v>0.1454545454545455</v>
      </c>
      <c r="P307" s="5">
        <f t="shared" si="27"/>
        <v>0.18518518518518534</v>
      </c>
      <c r="Q307" s="4">
        <f t="shared" si="28"/>
        <v>1.6718253968253964</v>
      </c>
      <c r="R307" s="4">
        <f t="shared" si="29"/>
        <v>1.1079642857142848</v>
      </c>
      <c r="S307" s="4">
        <v>21.03</v>
      </c>
      <c r="T307" s="2">
        <v>1.42</v>
      </c>
      <c r="U307" s="2">
        <v>63.19</v>
      </c>
      <c r="V307" s="2">
        <v>42.9</v>
      </c>
      <c r="W307" s="2">
        <v>-2.5</v>
      </c>
      <c r="X307" s="2">
        <v>-10.72</v>
      </c>
      <c r="Y307" s="2">
        <v>-13.63</v>
      </c>
      <c r="Z307" s="2">
        <v>-12.27</v>
      </c>
    </row>
    <row r="308" spans="1:26" x14ac:dyDescent="0.25">
      <c r="A308" s="1" t="s">
        <v>1433</v>
      </c>
      <c r="B308" s="1" t="s">
        <v>1434</v>
      </c>
      <c r="C308" s="1" t="s">
        <v>31</v>
      </c>
      <c r="D308" s="1" t="s">
        <v>305</v>
      </c>
      <c r="E308" s="1" t="s">
        <v>1176</v>
      </c>
      <c r="F308" s="1" t="s">
        <v>1435</v>
      </c>
      <c r="G308" s="1" t="s">
        <v>12480</v>
      </c>
      <c r="H308" s="1" t="s">
        <v>1436</v>
      </c>
      <c r="I308" s="2">
        <v>91.37</v>
      </c>
      <c r="J308" s="2">
        <v>12.6</v>
      </c>
      <c r="K308" s="2"/>
      <c r="L308" s="2"/>
      <c r="M308" s="4" t="e">
        <f t="shared" si="24"/>
        <v>#DIV/0!</v>
      </c>
      <c r="N308" s="4" t="e">
        <f t="shared" si="25"/>
        <v>#DIV/0!</v>
      </c>
      <c r="O308" s="5">
        <f t="shared" si="26"/>
        <v>-1</v>
      </c>
      <c r="P308" s="5" t="e">
        <f t="shared" si="27"/>
        <v>#DIV/0!</v>
      </c>
      <c r="Q308" s="4" t="e">
        <f t="shared" si="28"/>
        <v>#DIV/0!</v>
      </c>
      <c r="R308" s="4" t="e">
        <f t="shared" si="29"/>
        <v>#DIV/0!</v>
      </c>
      <c r="S308" s="4">
        <v>-8.44</v>
      </c>
      <c r="T308" s="2">
        <v>0.61</v>
      </c>
      <c r="U308" s="2">
        <v>112.7</v>
      </c>
      <c r="V308" s="2">
        <v>69.75</v>
      </c>
      <c r="W308" s="2">
        <v>-16.62</v>
      </c>
      <c r="X308" s="2">
        <v>-11.36</v>
      </c>
      <c r="Y308" s="2">
        <v>-16.010000000000002</v>
      </c>
      <c r="Z308" s="2">
        <v>-12.66</v>
      </c>
    </row>
    <row r="309" spans="1:26" x14ac:dyDescent="0.25">
      <c r="A309" s="1" t="s">
        <v>1437</v>
      </c>
      <c r="B309" s="1" t="s">
        <v>1438</v>
      </c>
      <c r="C309" s="1" t="s">
        <v>16</v>
      </c>
      <c r="D309" s="1" t="s">
        <v>38</v>
      </c>
      <c r="E309" s="1" t="s">
        <v>1440</v>
      </c>
      <c r="F309" s="1" t="s">
        <v>1439</v>
      </c>
      <c r="G309" s="1" t="s">
        <v>12480</v>
      </c>
      <c r="H309" s="1" t="s">
        <v>1441</v>
      </c>
      <c r="I309" s="2">
        <v>17.16</v>
      </c>
      <c r="J309" s="2">
        <v>1.35</v>
      </c>
      <c r="K309" s="2">
        <v>1.72</v>
      </c>
      <c r="L309" s="2">
        <v>2.0699999999999998</v>
      </c>
      <c r="M309" s="4">
        <f t="shared" si="24"/>
        <v>9.9767441860465116</v>
      </c>
      <c r="N309" s="4">
        <f t="shared" si="25"/>
        <v>8.2898550724637694</v>
      </c>
      <c r="O309" s="5">
        <f t="shared" si="26"/>
        <v>0.27407407407407391</v>
      </c>
      <c r="P309" s="5">
        <f t="shared" si="27"/>
        <v>0.20348837209302317</v>
      </c>
      <c r="Q309" s="4">
        <f t="shared" si="28"/>
        <v>0.36401634192331889</v>
      </c>
      <c r="R309" s="4">
        <f t="shared" si="29"/>
        <v>0.40738716356107685</v>
      </c>
      <c r="S309" s="4">
        <v>-3.76</v>
      </c>
      <c r="T309" s="2">
        <v>0.72</v>
      </c>
      <c r="U309" s="2">
        <v>21.1</v>
      </c>
      <c r="V309" s="2">
        <v>12.06</v>
      </c>
      <c r="W309" s="2">
        <v>-6.18</v>
      </c>
      <c r="X309" s="2">
        <v>-18.29</v>
      </c>
      <c r="Y309" s="2">
        <v>-12.94</v>
      </c>
      <c r="Z309" s="2">
        <v>-11.04</v>
      </c>
    </row>
    <row r="310" spans="1:26" x14ac:dyDescent="0.25">
      <c r="A310" s="1" t="s">
        <v>1442</v>
      </c>
      <c r="B310" s="1" t="s">
        <v>1443</v>
      </c>
      <c r="C310" s="1" t="s">
        <v>45</v>
      </c>
      <c r="D310" s="1" t="s">
        <v>38</v>
      </c>
      <c r="E310" s="1" t="s">
        <v>1440</v>
      </c>
      <c r="F310" s="1" t="s">
        <v>1444</v>
      </c>
      <c r="G310" s="1" t="s">
        <v>12480</v>
      </c>
      <c r="H310" s="1" t="s">
        <v>1445</v>
      </c>
      <c r="I310" s="2">
        <v>108.71</v>
      </c>
      <c r="J310" s="2">
        <v>7.11</v>
      </c>
      <c r="K310" s="2">
        <v>7.11</v>
      </c>
      <c r="L310" s="2">
        <v>7.3</v>
      </c>
      <c r="M310" s="4">
        <f t="shared" si="24"/>
        <v>15.289732770745427</v>
      </c>
      <c r="N310" s="4">
        <f t="shared" si="25"/>
        <v>14.891780821917807</v>
      </c>
      <c r="O310" s="5">
        <f t="shared" si="26"/>
        <v>0</v>
      </c>
      <c r="P310" s="5">
        <f t="shared" si="27"/>
        <v>2.6722925457102642E-2</v>
      </c>
      <c r="Q310" s="4" t="e">
        <f t="shared" si="28"/>
        <v>#DIV/0!</v>
      </c>
      <c r="R310" s="4">
        <f t="shared" si="29"/>
        <v>5.5726611391492487</v>
      </c>
      <c r="S310" s="4">
        <v>5.69</v>
      </c>
      <c r="T310" s="2">
        <v>0.65</v>
      </c>
      <c r="U310" s="2">
        <v>136.47999999999999</v>
      </c>
      <c r="V310" s="2">
        <v>100.43</v>
      </c>
      <c r="W310" s="2">
        <v>-3.81</v>
      </c>
      <c r="X310" s="2">
        <v>-9.6999999999999993</v>
      </c>
      <c r="Y310" s="2">
        <v>-4.43</v>
      </c>
      <c r="Z310" s="2">
        <v>2.54</v>
      </c>
    </row>
    <row r="311" spans="1:26" x14ac:dyDescent="0.25">
      <c r="A311" s="1" t="s">
        <v>1446</v>
      </c>
      <c r="B311" s="1" t="s">
        <v>1447</v>
      </c>
      <c r="C311" s="1" t="s">
        <v>45</v>
      </c>
      <c r="D311" s="1" t="s">
        <v>38</v>
      </c>
      <c r="E311" s="1" t="s">
        <v>1449</v>
      </c>
      <c r="F311" s="1" t="s">
        <v>1448</v>
      </c>
      <c r="G311" s="1" t="s">
        <v>12480</v>
      </c>
      <c r="H311" s="1" t="s">
        <v>1138</v>
      </c>
      <c r="I311" s="2">
        <v>59.45</v>
      </c>
      <c r="J311" s="2">
        <v>5.7</v>
      </c>
      <c r="K311" s="2">
        <v>5.84</v>
      </c>
      <c r="L311" s="2">
        <v>6.24</v>
      </c>
      <c r="M311" s="4">
        <f t="shared" si="24"/>
        <v>10.179794520547945</v>
      </c>
      <c r="N311" s="4">
        <f t="shared" si="25"/>
        <v>9.5272435897435894</v>
      </c>
      <c r="O311" s="5">
        <f t="shared" si="26"/>
        <v>2.4561403508771784E-2</v>
      </c>
      <c r="P311" s="5">
        <f t="shared" si="27"/>
        <v>6.8493150684931559E-2</v>
      </c>
      <c r="Q311" s="4">
        <f t="shared" si="28"/>
        <v>4.1446306262231163</v>
      </c>
      <c r="R311" s="4">
        <f t="shared" si="29"/>
        <v>1.390977564102563</v>
      </c>
      <c r="S311" s="4">
        <v>5.38</v>
      </c>
      <c r="T311" s="2">
        <v>0.88</v>
      </c>
      <c r="U311" s="2">
        <v>69.400000000000006</v>
      </c>
      <c r="V311" s="2">
        <v>56.51</v>
      </c>
      <c r="W311" s="2">
        <v>-1.51</v>
      </c>
      <c r="X311" s="2">
        <v>-8.7200000000000006</v>
      </c>
      <c r="Y311" s="2">
        <v>-11.16</v>
      </c>
      <c r="Z311" s="2">
        <v>-5.12</v>
      </c>
    </row>
    <row r="312" spans="1:26" x14ac:dyDescent="0.25">
      <c r="A312" s="1" t="s">
        <v>1452</v>
      </c>
      <c r="B312" s="1" t="s">
        <v>1453</v>
      </c>
      <c r="C312" s="1" t="s">
        <v>16</v>
      </c>
      <c r="D312" s="1" t="s">
        <v>38</v>
      </c>
      <c r="E312" s="1" t="s">
        <v>189</v>
      </c>
      <c r="F312" s="1" t="s">
        <v>1454</v>
      </c>
      <c r="G312" s="1" t="s">
        <v>12480</v>
      </c>
      <c r="H312" s="1" t="s">
        <v>1455</v>
      </c>
      <c r="I312" s="2">
        <v>329.6</v>
      </c>
      <c r="J312" s="2">
        <v>24.35</v>
      </c>
      <c r="K312" s="2">
        <v>28.74</v>
      </c>
      <c r="L312" s="2">
        <v>31.95</v>
      </c>
      <c r="M312" s="4">
        <f t="shared" si="24"/>
        <v>11.468336812804456</v>
      </c>
      <c r="N312" s="4">
        <f t="shared" si="25"/>
        <v>10.316118935837247</v>
      </c>
      <c r="O312" s="5">
        <f t="shared" si="26"/>
        <v>0.1802874743326488</v>
      </c>
      <c r="P312" s="5">
        <f t="shared" si="27"/>
        <v>0.11169102296450939</v>
      </c>
      <c r="Q312" s="4">
        <f t="shared" si="28"/>
        <v>0.63611389838676224</v>
      </c>
      <c r="R312" s="4">
        <f t="shared" si="29"/>
        <v>0.92363008790019474</v>
      </c>
      <c r="S312" s="4">
        <v>14.44</v>
      </c>
      <c r="T312" s="2">
        <v>0.87</v>
      </c>
      <c r="U312" s="2">
        <v>375.25</v>
      </c>
      <c r="V312" s="2">
        <v>169.89</v>
      </c>
      <c r="W312" s="2">
        <v>-6.61</v>
      </c>
      <c r="X312" s="2">
        <v>-7.61</v>
      </c>
      <c r="Y312" s="2">
        <v>16.78</v>
      </c>
      <c r="Z312" s="2">
        <v>14.84</v>
      </c>
    </row>
    <row r="313" spans="1:26" x14ac:dyDescent="0.25">
      <c r="A313" s="1" t="s">
        <v>1457</v>
      </c>
      <c r="B313" s="1" t="s">
        <v>1458</v>
      </c>
      <c r="C313" s="1" t="s">
        <v>45</v>
      </c>
      <c r="D313" s="1" t="s">
        <v>147</v>
      </c>
      <c r="E313" s="1" t="s">
        <v>1460</v>
      </c>
      <c r="F313" s="1" t="s">
        <v>1459</v>
      </c>
      <c r="G313" s="1" t="s">
        <v>12480</v>
      </c>
      <c r="H313" s="1" t="s">
        <v>1461</v>
      </c>
      <c r="I313" s="2">
        <v>48.84</v>
      </c>
      <c r="J313" s="2">
        <v>0.01</v>
      </c>
      <c r="K313" s="2">
        <v>0.36</v>
      </c>
      <c r="L313" s="2">
        <v>0.6</v>
      </c>
      <c r="M313" s="4">
        <f t="shared" si="24"/>
        <v>135.66666666666669</v>
      </c>
      <c r="N313" s="4">
        <f t="shared" si="25"/>
        <v>81.400000000000006</v>
      </c>
      <c r="O313" s="5">
        <f t="shared" si="26"/>
        <v>35</v>
      </c>
      <c r="P313" s="5">
        <f t="shared" si="27"/>
        <v>0.66666666666666674</v>
      </c>
      <c r="Q313" s="4">
        <f t="shared" si="28"/>
        <v>3.8761904761904768E-2</v>
      </c>
      <c r="R313" s="4">
        <f t="shared" si="29"/>
        <v>1.2210000000000001</v>
      </c>
      <c r="S313" s="4" t="s">
        <v>12835</v>
      </c>
      <c r="T313" s="2">
        <v>0.55000000000000004</v>
      </c>
      <c r="U313" s="2">
        <v>50.28</v>
      </c>
      <c r="V313" s="2">
        <v>39.85</v>
      </c>
      <c r="W313" s="2">
        <v>0.89</v>
      </c>
      <c r="X313" s="2" t="s">
        <v>12499</v>
      </c>
      <c r="Y313" s="2">
        <v>11.3</v>
      </c>
      <c r="Z313" s="2">
        <v>14.94</v>
      </c>
    </row>
    <row r="314" spans="1:26" x14ac:dyDescent="0.25">
      <c r="A314" s="1" t="s">
        <v>1457</v>
      </c>
      <c r="B314" s="1" t="s">
        <v>1462</v>
      </c>
      <c r="C314" s="1" t="s">
        <v>31</v>
      </c>
      <c r="D314" s="1" t="s">
        <v>147</v>
      </c>
      <c r="E314" s="1" t="s">
        <v>1460</v>
      </c>
      <c r="F314" s="1" t="s">
        <v>1463</v>
      </c>
      <c r="G314" s="1" t="s">
        <v>12480</v>
      </c>
      <c r="H314" s="1" t="s">
        <v>1464</v>
      </c>
      <c r="I314" s="2" t="s">
        <v>12563</v>
      </c>
      <c r="J314" s="2">
        <v>0.01</v>
      </c>
      <c r="K314" s="2"/>
      <c r="L314" s="2"/>
      <c r="M314" s="4" t="e">
        <f t="shared" si="24"/>
        <v>#DIV/0!</v>
      </c>
      <c r="N314" s="4" t="e">
        <f t="shared" si="25"/>
        <v>#DIV/0!</v>
      </c>
      <c r="O314" s="5">
        <f t="shared" si="26"/>
        <v>-1</v>
      </c>
      <c r="P314" s="5" t="e">
        <f t="shared" si="27"/>
        <v>#DIV/0!</v>
      </c>
      <c r="Q314" s="4" t="e">
        <f t="shared" si="28"/>
        <v>#DIV/0!</v>
      </c>
      <c r="R314" s="4" t="e">
        <f t="shared" si="29"/>
        <v>#DIV/0!</v>
      </c>
      <c r="S314" s="4" t="s">
        <v>12835</v>
      </c>
      <c r="T314" s="2">
        <v>0.32</v>
      </c>
      <c r="U314" s="2">
        <v>64.75</v>
      </c>
      <c r="V314" s="2">
        <v>45.04</v>
      </c>
      <c r="W314" s="2" t="s">
        <v>12489</v>
      </c>
      <c r="X314" s="2" t="s">
        <v>12489</v>
      </c>
      <c r="Y314" s="2">
        <v>1.75</v>
      </c>
      <c r="Z314" s="2">
        <v>-0.43</v>
      </c>
    </row>
    <row r="315" spans="1:26" x14ac:dyDescent="0.25">
      <c r="A315" s="1" t="s">
        <v>1457</v>
      </c>
      <c r="B315" s="1" t="s">
        <v>1465</v>
      </c>
      <c r="C315" s="1" t="s">
        <v>45</v>
      </c>
      <c r="D315" s="1" t="s">
        <v>147</v>
      </c>
      <c r="E315" s="1" t="s">
        <v>1460</v>
      </c>
      <c r="F315" s="1" t="s">
        <v>1466</v>
      </c>
      <c r="G315" s="1" t="s">
        <v>12480</v>
      </c>
      <c r="H315" s="1" t="s">
        <v>1467</v>
      </c>
      <c r="I315" s="2">
        <v>43.99</v>
      </c>
      <c r="J315" s="2">
        <v>0.01</v>
      </c>
      <c r="K315" s="2">
        <v>0.09</v>
      </c>
      <c r="L315" s="2">
        <v>0.28000000000000003</v>
      </c>
      <c r="M315" s="4">
        <f t="shared" si="24"/>
        <v>488.77777777777783</v>
      </c>
      <c r="N315" s="4">
        <f t="shared" si="25"/>
        <v>157.10714285714286</v>
      </c>
      <c r="O315" s="5">
        <f t="shared" si="26"/>
        <v>8</v>
      </c>
      <c r="P315" s="5">
        <f t="shared" si="27"/>
        <v>2.1111111111111116</v>
      </c>
      <c r="Q315" s="4">
        <f t="shared" si="28"/>
        <v>0.61097222222222225</v>
      </c>
      <c r="R315" s="4">
        <f t="shared" si="29"/>
        <v>0.74419172932330813</v>
      </c>
      <c r="S315" s="4" t="s">
        <v>12835</v>
      </c>
      <c r="T315" s="2">
        <v>0.55000000000000004</v>
      </c>
      <c r="U315" s="2">
        <v>46.8</v>
      </c>
      <c r="V315" s="2">
        <v>36.119999999999997</v>
      </c>
      <c r="W315" s="2">
        <v>0.55000000000000004</v>
      </c>
      <c r="X315" s="2">
        <v>10.81</v>
      </c>
      <c r="Y315" s="2">
        <v>9.2100000000000009</v>
      </c>
      <c r="Z315" s="2">
        <v>11.51</v>
      </c>
    </row>
    <row r="316" spans="1:26" x14ac:dyDescent="0.25">
      <c r="A316" s="1" t="s">
        <v>1469</v>
      </c>
      <c r="B316" s="1" t="s">
        <v>1470</v>
      </c>
      <c r="C316" s="1" t="s">
        <v>16</v>
      </c>
      <c r="D316" s="1" t="s">
        <v>18</v>
      </c>
      <c r="E316" s="1" t="s">
        <v>19</v>
      </c>
      <c r="F316" s="1" t="s">
        <v>1471</v>
      </c>
      <c r="G316" s="1" t="s">
        <v>12480</v>
      </c>
      <c r="H316" s="1" t="s">
        <v>1472</v>
      </c>
      <c r="I316" s="2">
        <v>17.91</v>
      </c>
      <c r="J316" s="2">
        <v>2.27</v>
      </c>
      <c r="K316" s="2">
        <v>1.94</v>
      </c>
      <c r="L316" s="2">
        <v>2.0499999999999998</v>
      </c>
      <c r="M316" s="4">
        <f t="shared" si="24"/>
        <v>9.2319587628865989</v>
      </c>
      <c r="N316" s="4">
        <f t="shared" si="25"/>
        <v>8.7365853658536601</v>
      </c>
      <c r="O316" s="5">
        <f t="shared" si="26"/>
        <v>-0.14537444933920707</v>
      </c>
      <c r="P316" s="5">
        <f t="shared" si="27"/>
        <v>5.6701030927835072E-2</v>
      </c>
      <c r="Q316" s="4">
        <f t="shared" si="28"/>
        <v>-0.63504686035613866</v>
      </c>
      <c r="R316" s="4">
        <f t="shared" si="29"/>
        <v>1.5408159645232813</v>
      </c>
      <c r="S316" s="4">
        <v>5.72</v>
      </c>
      <c r="T316" s="2">
        <v>0.57999999999999996</v>
      </c>
      <c r="U316" s="2">
        <v>36.57</v>
      </c>
      <c r="V316" s="2">
        <v>17.420000000000002</v>
      </c>
      <c r="W316" s="2">
        <v>-9.0399999999999991</v>
      </c>
      <c r="X316" s="2">
        <v>-17.579999999999998</v>
      </c>
      <c r="Y316" s="2">
        <v>-8.2899999999999991</v>
      </c>
      <c r="Z316" s="2">
        <v>-6.28</v>
      </c>
    </row>
    <row r="317" spans="1:26" x14ac:dyDescent="0.25">
      <c r="A317" s="1" t="s">
        <v>1473</v>
      </c>
      <c r="B317" s="1" t="s">
        <v>1474</v>
      </c>
      <c r="C317" s="1" t="s">
        <v>31</v>
      </c>
      <c r="D317" s="1" t="s">
        <v>18</v>
      </c>
      <c r="E317" s="1" t="s">
        <v>113</v>
      </c>
      <c r="F317" s="1" t="s">
        <v>1475</v>
      </c>
      <c r="G317" s="1" t="s">
        <v>12480</v>
      </c>
      <c r="H317" s="1" t="s">
        <v>12564</v>
      </c>
      <c r="I317" s="2">
        <v>11.04</v>
      </c>
      <c r="J317" s="2">
        <v>1.39</v>
      </c>
      <c r="K317" s="2">
        <v>1.26</v>
      </c>
      <c r="L317" s="2">
        <v>1.37</v>
      </c>
      <c r="M317" s="4">
        <f t="shared" si="24"/>
        <v>8.761904761904761</v>
      </c>
      <c r="N317" s="4">
        <f t="shared" si="25"/>
        <v>8.0583941605839406</v>
      </c>
      <c r="O317" s="5">
        <f t="shared" si="26"/>
        <v>-9.3525179856115082E-2</v>
      </c>
      <c r="P317" s="5">
        <f t="shared" si="27"/>
        <v>8.7301587301587436E-2</v>
      </c>
      <c r="Q317" s="4">
        <f t="shared" si="28"/>
        <v>-0.93684981684981705</v>
      </c>
      <c r="R317" s="4">
        <f t="shared" si="29"/>
        <v>0.92305242203052273</v>
      </c>
      <c r="S317" s="4">
        <v>2.21</v>
      </c>
      <c r="T317" s="2">
        <v>0.69</v>
      </c>
      <c r="U317" s="2">
        <v>14.4</v>
      </c>
      <c r="V317" s="2">
        <v>5.45</v>
      </c>
      <c r="W317" s="2">
        <v>-6.52</v>
      </c>
      <c r="X317" s="2">
        <v>-19.829999999999998</v>
      </c>
      <c r="Y317" s="2">
        <v>4.84</v>
      </c>
      <c r="Z317" s="2">
        <v>2.0299999999999998</v>
      </c>
    </row>
    <row r="318" spans="1:26" x14ac:dyDescent="0.25">
      <c r="A318" s="1" t="s">
        <v>1476</v>
      </c>
      <c r="B318" s="1" t="s">
        <v>1477</v>
      </c>
      <c r="C318" s="1" t="s">
        <v>16</v>
      </c>
      <c r="D318" s="1" t="s">
        <v>32</v>
      </c>
      <c r="E318" s="1" t="s">
        <v>311</v>
      </c>
      <c r="F318" s="1" t="s">
        <v>1478</v>
      </c>
      <c r="G318" s="1" t="s">
        <v>12487</v>
      </c>
      <c r="H318" s="1" t="s">
        <v>1479</v>
      </c>
      <c r="I318" s="2">
        <v>3.48</v>
      </c>
      <c r="J318" s="2">
        <v>0.02</v>
      </c>
      <c r="K318" s="2">
        <v>0.16</v>
      </c>
      <c r="L318" s="2">
        <v>0.19</v>
      </c>
      <c r="M318" s="4">
        <f t="shared" si="24"/>
        <v>21.75</v>
      </c>
      <c r="N318" s="4">
        <f t="shared" si="25"/>
        <v>18.315789473684209</v>
      </c>
      <c r="O318" s="5">
        <f t="shared" si="26"/>
        <v>7</v>
      </c>
      <c r="P318" s="5">
        <f t="shared" si="27"/>
        <v>0.1875</v>
      </c>
      <c r="Q318" s="4">
        <f t="shared" si="28"/>
        <v>3.1071428571428573E-2</v>
      </c>
      <c r="R318" s="4">
        <f t="shared" si="29"/>
        <v>0.97684210526315784</v>
      </c>
      <c r="S318" s="4">
        <v>-37.29</v>
      </c>
      <c r="T318" s="2">
        <v>1.67</v>
      </c>
      <c r="U318" s="2" t="s">
        <v>12508</v>
      </c>
      <c r="V318" s="2">
        <v>2.87</v>
      </c>
      <c r="W318" s="2">
        <v>2.35</v>
      </c>
      <c r="X318" s="2">
        <v>0.28999999999999998</v>
      </c>
      <c r="Y318" s="2">
        <v>-18.12</v>
      </c>
      <c r="Z318" s="2">
        <v>-8.18</v>
      </c>
    </row>
    <row r="319" spans="1:26" x14ac:dyDescent="0.25">
      <c r="A319" s="1" t="s">
        <v>1480</v>
      </c>
      <c r="B319" s="1" t="s">
        <v>1481</v>
      </c>
      <c r="C319" s="1" t="s">
        <v>16</v>
      </c>
      <c r="D319" s="1" t="s">
        <v>32</v>
      </c>
      <c r="E319" s="1" t="s">
        <v>248</v>
      </c>
      <c r="F319" s="1" t="s">
        <v>1482</v>
      </c>
      <c r="G319" s="1" t="s">
        <v>12480</v>
      </c>
      <c r="H319" s="1" t="s">
        <v>1483</v>
      </c>
      <c r="I319" s="2">
        <v>4.2</v>
      </c>
      <c r="J319" s="2">
        <v>-0.82</v>
      </c>
      <c r="K319" s="2">
        <v>-0.3</v>
      </c>
      <c r="L319" s="2">
        <v>-0.19</v>
      </c>
      <c r="M319" s="4">
        <f t="shared" si="24"/>
        <v>-14.000000000000002</v>
      </c>
      <c r="N319" s="4">
        <f t="shared" si="25"/>
        <v>-22.105263157894736</v>
      </c>
      <c r="O319" s="5">
        <f t="shared" si="26"/>
        <v>-0.63414634146341464</v>
      </c>
      <c r="P319" s="5">
        <f t="shared" si="27"/>
        <v>-0.36666666666666659</v>
      </c>
      <c r="Q319" s="4">
        <f t="shared" si="28"/>
        <v>0.2207692307692308</v>
      </c>
      <c r="R319" s="4">
        <f t="shared" si="29"/>
        <v>0.60287081339712933</v>
      </c>
      <c r="S319" s="4">
        <v>-19.32</v>
      </c>
      <c r="T319" s="2">
        <v>3.49</v>
      </c>
      <c r="U319" s="2">
        <v>8.91</v>
      </c>
      <c r="V319" s="2">
        <v>2.39</v>
      </c>
      <c r="W319" s="2">
        <v>2.44</v>
      </c>
      <c r="X319" s="2">
        <v>-13.76</v>
      </c>
      <c r="Y319" s="2">
        <v>-29.65</v>
      </c>
      <c r="Z319" s="2">
        <v>-22.22</v>
      </c>
    </row>
    <row r="320" spans="1:26" x14ac:dyDescent="0.25">
      <c r="A320" s="1" t="s">
        <v>1484</v>
      </c>
      <c r="B320" s="1" t="s">
        <v>1485</v>
      </c>
      <c r="C320" s="1" t="s">
        <v>16</v>
      </c>
      <c r="D320" s="1" t="s">
        <v>38</v>
      </c>
      <c r="E320" s="1" t="s">
        <v>189</v>
      </c>
      <c r="F320" s="1" t="s">
        <v>1486</v>
      </c>
      <c r="G320" s="1" t="s">
        <v>12480</v>
      </c>
      <c r="H320" s="1" t="s">
        <v>1487</v>
      </c>
      <c r="I320" s="2">
        <v>14.17</v>
      </c>
      <c r="J320" s="2" t="s">
        <v>12493</v>
      </c>
      <c r="K320" s="2">
        <v>1.99</v>
      </c>
      <c r="L320" s="2">
        <v>2.84</v>
      </c>
      <c r="M320" s="4">
        <f t="shared" si="24"/>
        <v>7.1206030150753765</v>
      </c>
      <c r="N320" s="4">
        <f t="shared" si="25"/>
        <v>4.98943661971831</v>
      </c>
      <c r="O320" s="5">
        <f t="shared" si="26"/>
        <v>0.99</v>
      </c>
      <c r="P320" s="5">
        <f t="shared" si="27"/>
        <v>0.42713567839195976</v>
      </c>
      <c r="Q320" s="4">
        <f t="shared" si="28"/>
        <v>7.1925282980559363E-2</v>
      </c>
      <c r="R320" s="4">
        <f t="shared" si="29"/>
        <v>0.11681151615575809</v>
      </c>
      <c r="S320" s="4">
        <v>2.25</v>
      </c>
      <c r="T320" s="2">
        <v>1.1000000000000001</v>
      </c>
      <c r="U320" s="2">
        <v>22.35</v>
      </c>
      <c r="V320" s="2">
        <v>7.96</v>
      </c>
      <c r="W320" s="2">
        <v>-3.21</v>
      </c>
      <c r="X320" s="2">
        <v>-22.61</v>
      </c>
      <c r="Y320" s="2">
        <v>-17.23</v>
      </c>
      <c r="Z320" s="2">
        <v>-21.58</v>
      </c>
    </row>
    <row r="321" spans="1:26" x14ac:dyDescent="0.25">
      <c r="A321" s="1" t="s">
        <v>1488</v>
      </c>
      <c r="B321" s="1" t="s">
        <v>1489</v>
      </c>
      <c r="C321" s="1" t="s">
        <v>45</v>
      </c>
      <c r="D321" s="1" t="s">
        <v>18</v>
      </c>
      <c r="E321" s="1" t="s">
        <v>1491</v>
      </c>
      <c r="F321" s="1" t="s">
        <v>1490</v>
      </c>
      <c r="G321" s="1" t="s">
        <v>12480</v>
      </c>
      <c r="H321" s="1" t="s">
        <v>1492</v>
      </c>
      <c r="I321" s="2">
        <v>65.64</v>
      </c>
      <c r="J321" s="2">
        <v>-3.78</v>
      </c>
      <c r="K321" s="2">
        <v>-1.83</v>
      </c>
      <c r="L321" s="2">
        <v>0.79</v>
      </c>
      <c r="M321" s="4">
        <f t="shared" si="24"/>
        <v>-35.868852459016395</v>
      </c>
      <c r="N321" s="4">
        <f t="shared" si="25"/>
        <v>83.088607594936704</v>
      </c>
      <c r="O321" s="5">
        <f t="shared" si="26"/>
        <v>-0.51587301587301582</v>
      </c>
      <c r="P321" s="5">
        <f t="shared" si="27"/>
        <v>-1.4316939890710383</v>
      </c>
      <c r="Q321" s="4">
        <f t="shared" si="28"/>
        <v>0.69530390920554863</v>
      </c>
      <c r="R321" s="4">
        <f t="shared" si="29"/>
        <v>-0.58035172480432884</v>
      </c>
      <c r="S321" s="4">
        <v>126.26</v>
      </c>
      <c r="T321" s="2">
        <v>1.1299999999999999</v>
      </c>
      <c r="U321" s="2">
        <v>79.91</v>
      </c>
      <c r="V321" s="2">
        <v>30.14</v>
      </c>
      <c r="W321" s="2">
        <v>0.21</v>
      </c>
      <c r="X321" s="2">
        <v>-9.1999999999999993</v>
      </c>
      <c r="Y321" s="2">
        <v>-11.9</v>
      </c>
      <c r="Z321" s="2">
        <v>-14.19</v>
      </c>
    </row>
    <row r="322" spans="1:26" x14ac:dyDescent="0.25">
      <c r="A322" s="1" t="s">
        <v>1493</v>
      </c>
      <c r="B322" s="1" t="s">
        <v>1494</v>
      </c>
      <c r="C322" s="1" t="s">
        <v>31</v>
      </c>
      <c r="D322" s="1" t="s">
        <v>38</v>
      </c>
      <c r="E322" s="1" t="s">
        <v>52</v>
      </c>
      <c r="F322" s="1" t="s">
        <v>12565</v>
      </c>
      <c r="G322" s="1" t="s">
        <v>12480</v>
      </c>
      <c r="H322" s="1" t="s">
        <v>12566</v>
      </c>
      <c r="I322" s="2">
        <v>6.78</v>
      </c>
      <c r="J322" s="2">
        <v>0.83</v>
      </c>
      <c r="K322" s="2">
        <v>0.82</v>
      </c>
      <c r="L322" s="2"/>
      <c r="M322" s="4">
        <f t="shared" si="24"/>
        <v>8.2682926829268304</v>
      </c>
      <c r="N322" s="4" t="e">
        <f t="shared" si="25"/>
        <v>#DIV/0!</v>
      </c>
      <c r="O322" s="5">
        <f t="shared" si="26"/>
        <v>-1.2048192771084376E-2</v>
      </c>
      <c r="P322" s="5">
        <f t="shared" si="27"/>
        <v>-1</v>
      </c>
      <c r="Q322" s="4">
        <f t="shared" si="28"/>
        <v>-6.8626829268292475</v>
      </c>
      <c r="R322" s="4" t="e">
        <f t="shared" si="29"/>
        <v>#DIV/0!</v>
      </c>
      <c r="S322" s="4">
        <v>-1.97</v>
      </c>
      <c r="T322" s="2">
        <v>0.35</v>
      </c>
      <c r="U322" s="2">
        <v>8.11</v>
      </c>
      <c r="V322" s="2">
        <v>5.82</v>
      </c>
      <c r="W322" s="2">
        <v>0.59</v>
      </c>
      <c r="X322" s="2">
        <v>-6.61</v>
      </c>
      <c r="Y322" s="2">
        <v>1.5</v>
      </c>
      <c r="Z322" s="2">
        <v>1.04</v>
      </c>
    </row>
    <row r="323" spans="1:26" x14ac:dyDescent="0.25">
      <c r="A323" s="1" t="s">
        <v>1495</v>
      </c>
      <c r="B323" s="1" t="s">
        <v>1496</v>
      </c>
      <c r="C323" s="1" t="s">
        <v>16</v>
      </c>
      <c r="D323" s="1" t="s">
        <v>38</v>
      </c>
      <c r="E323" s="1" t="s">
        <v>1244</v>
      </c>
      <c r="F323" s="1" t="s">
        <v>1497</v>
      </c>
      <c r="G323" s="1" t="s">
        <v>12480</v>
      </c>
      <c r="H323" s="1" t="s">
        <v>1498</v>
      </c>
      <c r="I323" s="2">
        <v>29.12</v>
      </c>
      <c r="J323" s="2">
        <v>1.62</v>
      </c>
      <c r="K323" s="2">
        <v>3.62</v>
      </c>
      <c r="L323" s="2">
        <v>3.91</v>
      </c>
      <c r="M323" s="4">
        <f t="shared" ref="M323:M386" si="30">I323/K323</f>
        <v>8.0441988950276251</v>
      </c>
      <c r="N323" s="4">
        <f t="shared" ref="N323:N386" si="31">I323/L323</f>
        <v>7.4475703324808187</v>
      </c>
      <c r="O323" s="5">
        <f t="shared" ref="O323:O386" si="32">K323/J323-1</f>
        <v>1.2345679012345676</v>
      </c>
      <c r="P323" s="5">
        <f t="shared" ref="P323:P386" si="33">L323/K323-1</f>
        <v>8.0110497237569023E-2</v>
      </c>
      <c r="Q323" s="4">
        <f t="shared" ref="Q323:Q386" si="34">M323/(O323*100)</f>
        <v>6.5158011049723782E-2</v>
      </c>
      <c r="R323" s="4">
        <f t="shared" ref="R323:R386" si="35">N323/(P323*100)</f>
        <v>0.9296622277096751</v>
      </c>
      <c r="S323" s="4">
        <v>26.81</v>
      </c>
      <c r="T323" s="2">
        <v>0.66</v>
      </c>
      <c r="U323" s="2">
        <v>31.78</v>
      </c>
      <c r="V323" s="2">
        <v>22.9</v>
      </c>
      <c r="W323" s="2">
        <v>-3.67</v>
      </c>
      <c r="X323" s="2">
        <v>-7.88</v>
      </c>
      <c r="Y323" s="2">
        <v>6.05</v>
      </c>
      <c r="Z323" s="2">
        <v>10.43</v>
      </c>
    </row>
    <row r="324" spans="1:26" x14ac:dyDescent="0.25">
      <c r="A324" s="1" t="s">
        <v>1500</v>
      </c>
      <c r="B324" s="1" t="s">
        <v>1501</v>
      </c>
      <c r="C324" s="1" t="s">
        <v>16</v>
      </c>
      <c r="D324" s="1" t="s">
        <v>140</v>
      </c>
      <c r="E324" s="1" t="s">
        <v>141</v>
      </c>
      <c r="F324" s="1" t="s">
        <v>1502</v>
      </c>
      <c r="G324" s="1" t="s">
        <v>12480</v>
      </c>
      <c r="H324" s="1" t="s">
        <v>1503</v>
      </c>
      <c r="I324" s="2">
        <v>32.61</v>
      </c>
      <c r="J324" s="2">
        <v>-0.3</v>
      </c>
      <c r="K324" s="2">
        <v>5.5</v>
      </c>
      <c r="L324" s="2">
        <v>6.05</v>
      </c>
      <c r="M324" s="4">
        <f t="shared" si="30"/>
        <v>5.9290909090909087</v>
      </c>
      <c r="N324" s="4">
        <f t="shared" si="31"/>
        <v>5.3900826446280989</v>
      </c>
      <c r="O324" s="5">
        <f t="shared" si="32"/>
        <v>-19.333333333333336</v>
      </c>
      <c r="P324" s="5">
        <f t="shared" si="33"/>
        <v>9.9999999999999867E-2</v>
      </c>
      <c r="Q324" s="4">
        <f t="shared" si="34"/>
        <v>-3.0667711598746077E-3</v>
      </c>
      <c r="R324" s="4">
        <f t="shared" si="35"/>
        <v>0.53900826446281069</v>
      </c>
      <c r="S324" s="4">
        <v>-32.409999999999997</v>
      </c>
      <c r="T324" s="2">
        <v>1.3</v>
      </c>
      <c r="U324" s="2">
        <v>37.17</v>
      </c>
      <c r="V324" s="2">
        <v>18.989999999999998</v>
      </c>
      <c r="W324" s="2">
        <v>-5.89</v>
      </c>
      <c r="X324" s="2">
        <v>-11.43</v>
      </c>
      <c r="Y324" s="2">
        <v>-7.23</v>
      </c>
      <c r="Z324" s="2">
        <v>-7.36</v>
      </c>
    </row>
    <row r="325" spans="1:26" x14ac:dyDescent="0.25">
      <c r="A325" s="1" t="s">
        <v>1505</v>
      </c>
      <c r="B325" s="1" t="s">
        <v>1506</v>
      </c>
      <c r="C325" s="1" t="s">
        <v>16</v>
      </c>
      <c r="D325" s="1" t="s">
        <v>38</v>
      </c>
      <c r="E325" s="1" t="s">
        <v>189</v>
      </c>
      <c r="F325" s="1" t="s">
        <v>1507</v>
      </c>
      <c r="G325" s="1" t="s">
        <v>12480</v>
      </c>
      <c r="H325" s="1" t="s">
        <v>1508</v>
      </c>
      <c r="I325" s="2">
        <v>21.57</v>
      </c>
      <c r="J325" s="2">
        <v>2.0099999999999998</v>
      </c>
      <c r="K325" s="2">
        <v>2.2400000000000002</v>
      </c>
      <c r="L325" s="2">
        <v>2.4700000000000002</v>
      </c>
      <c r="M325" s="4">
        <f t="shared" si="30"/>
        <v>9.6294642857142847</v>
      </c>
      <c r="N325" s="4">
        <f t="shared" si="31"/>
        <v>8.7327935222672064</v>
      </c>
      <c r="O325" s="5">
        <f t="shared" si="32"/>
        <v>0.11442786069651767</v>
      </c>
      <c r="P325" s="5">
        <f t="shared" si="33"/>
        <v>0.1026785714285714</v>
      </c>
      <c r="Q325" s="4">
        <f t="shared" si="34"/>
        <v>0.84153144409937686</v>
      </c>
      <c r="R325" s="4">
        <f t="shared" si="35"/>
        <v>0.85049815173385002</v>
      </c>
      <c r="S325" s="4">
        <v>8.7899999999999991</v>
      </c>
      <c r="T325" s="2">
        <v>0.8</v>
      </c>
      <c r="U325" s="2">
        <v>26.11</v>
      </c>
      <c r="V325" s="2">
        <v>11.9</v>
      </c>
      <c r="W325" s="2">
        <v>-3.01</v>
      </c>
      <c r="X325" s="2">
        <v>-12.25</v>
      </c>
      <c r="Y325" s="2">
        <v>-6.09</v>
      </c>
      <c r="Z325" s="2">
        <v>-7.46</v>
      </c>
    </row>
    <row r="326" spans="1:26" x14ac:dyDescent="0.25">
      <c r="A326" s="1" t="s">
        <v>1509</v>
      </c>
      <c r="B326" s="1" t="s">
        <v>1510</v>
      </c>
      <c r="C326" s="1" t="s">
        <v>16</v>
      </c>
      <c r="D326" s="1" t="s">
        <v>67</v>
      </c>
      <c r="E326" s="1" t="s">
        <v>882</v>
      </c>
      <c r="F326" s="1" t="s">
        <v>1511</v>
      </c>
      <c r="G326" s="1" t="s">
        <v>12493</v>
      </c>
      <c r="H326" s="1" t="s">
        <v>1512</v>
      </c>
      <c r="I326" s="2">
        <v>21.62</v>
      </c>
      <c r="J326" s="2">
        <v>3.21</v>
      </c>
      <c r="K326" s="2">
        <v>2.5299999999999998</v>
      </c>
      <c r="L326" s="2">
        <v>2.9</v>
      </c>
      <c r="M326" s="4">
        <f t="shared" si="30"/>
        <v>8.5454545454545467</v>
      </c>
      <c r="N326" s="4">
        <f t="shared" si="31"/>
        <v>7.4551724137931039</v>
      </c>
      <c r="O326" s="5">
        <f t="shared" si="32"/>
        <v>-0.21183800623052962</v>
      </c>
      <c r="P326" s="5">
        <f t="shared" si="33"/>
        <v>0.14624505928853759</v>
      </c>
      <c r="Q326" s="4">
        <f t="shared" si="34"/>
        <v>-0.40339572192513373</v>
      </c>
      <c r="R326" s="4">
        <f t="shared" si="35"/>
        <v>0.50977260018639314</v>
      </c>
      <c r="S326" s="4">
        <v>-0.22</v>
      </c>
      <c r="T326" s="2">
        <v>1.48</v>
      </c>
      <c r="U326" s="2">
        <v>34.200000000000003</v>
      </c>
      <c r="V326" s="2">
        <v>14.85</v>
      </c>
      <c r="W326" s="2">
        <v>-1.91</v>
      </c>
      <c r="X326" s="2">
        <v>-6.45</v>
      </c>
      <c r="Y326" s="2">
        <v>9.6300000000000008</v>
      </c>
      <c r="Z326" s="2">
        <v>7.67</v>
      </c>
    </row>
    <row r="327" spans="1:26" x14ac:dyDescent="0.25">
      <c r="A327" s="1" t="s">
        <v>1513</v>
      </c>
      <c r="B327" s="1" t="s">
        <v>1514</v>
      </c>
      <c r="C327" s="1" t="s">
        <v>16</v>
      </c>
      <c r="D327" s="1" t="s">
        <v>67</v>
      </c>
      <c r="E327" s="1" t="s">
        <v>1516</v>
      </c>
      <c r="F327" s="1" t="s">
        <v>1515</v>
      </c>
      <c r="G327" s="1" t="s">
        <v>12493</v>
      </c>
      <c r="H327" s="1" t="s">
        <v>1517</v>
      </c>
      <c r="I327" s="2">
        <v>65.959999999999994</v>
      </c>
      <c r="J327" s="2">
        <v>6.43</v>
      </c>
      <c r="K327" s="2">
        <v>6.56</v>
      </c>
      <c r="L327" s="2">
        <v>7.06</v>
      </c>
      <c r="M327" s="4">
        <f t="shared" si="30"/>
        <v>10.054878048780488</v>
      </c>
      <c r="N327" s="4">
        <f t="shared" si="31"/>
        <v>9.3427762039660056</v>
      </c>
      <c r="O327" s="5">
        <f t="shared" si="32"/>
        <v>2.0217729393467998E-2</v>
      </c>
      <c r="P327" s="5">
        <f t="shared" si="33"/>
        <v>7.6219512195121908E-2</v>
      </c>
      <c r="Q327" s="4">
        <f t="shared" si="34"/>
        <v>4.9732973733583785</v>
      </c>
      <c r="R327" s="4">
        <f t="shared" si="35"/>
        <v>1.2257722379603406</v>
      </c>
      <c r="S327" s="4">
        <v>0.39</v>
      </c>
      <c r="T327" s="2">
        <v>1.46</v>
      </c>
      <c r="U327" s="2" t="s">
        <v>12568</v>
      </c>
      <c r="V327" s="2">
        <v>56.17</v>
      </c>
      <c r="W327" s="2">
        <v>7.1</v>
      </c>
      <c r="X327" s="2">
        <v>-1.67</v>
      </c>
      <c r="Y327" s="2">
        <v>-9.51</v>
      </c>
      <c r="Z327" s="2">
        <v>-1.45</v>
      </c>
    </row>
    <row r="328" spans="1:26" x14ac:dyDescent="0.25">
      <c r="A328" s="1" t="s">
        <v>1518</v>
      </c>
      <c r="B328" s="1" t="s">
        <v>1519</v>
      </c>
      <c r="C328" s="1" t="s">
        <v>16</v>
      </c>
      <c r="D328" s="1" t="s">
        <v>147</v>
      </c>
      <c r="E328" s="1" t="s">
        <v>1073</v>
      </c>
      <c r="F328" s="1" t="s">
        <v>1520</v>
      </c>
      <c r="G328" s="1" t="s">
        <v>12480</v>
      </c>
      <c r="H328" s="1" t="s">
        <v>1521</v>
      </c>
      <c r="I328" s="2">
        <v>72.27</v>
      </c>
      <c r="J328" s="2">
        <v>3.27</v>
      </c>
      <c r="K328" s="2">
        <v>4.22</v>
      </c>
      <c r="L328" s="2">
        <v>5.31</v>
      </c>
      <c r="M328" s="4">
        <f t="shared" si="30"/>
        <v>17.125592417061611</v>
      </c>
      <c r="N328" s="4">
        <f t="shared" si="31"/>
        <v>13.610169491525424</v>
      </c>
      <c r="O328" s="5">
        <f t="shared" si="32"/>
        <v>0.29051987767584087</v>
      </c>
      <c r="P328" s="5">
        <f t="shared" si="33"/>
        <v>0.2582938388625593</v>
      </c>
      <c r="Q328" s="4">
        <f t="shared" si="34"/>
        <v>0.5894809179346473</v>
      </c>
      <c r="R328" s="4">
        <f t="shared" si="35"/>
        <v>0.52692582802052546</v>
      </c>
      <c r="S328" s="4">
        <v>2.4</v>
      </c>
      <c r="T328" s="2">
        <v>1.39</v>
      </c>
      <c r="U328" s="2">
        <v>89.22</v>
      </c>
      <c r="V328" s="2">
        <v>41.93</v>
      </c>
      <c r="W328" s="2">
        <v>-9.14</v>
      </c>
      <c r="X328" s="2">
        <v>-17.05</v>
      </c>
      <c r="Y328" s="2">
        <v>-3.07</v>
      </c>
      <c r="Z328" s="2">
        <v>-2.65</v>
      </c>
    </row>
    <row r="329" spans="1:26" x14ac:dyDescent="0.25">
      <c r="A329" s="1" t="s">
        <v>1523</v>
      </c>
      <c r="B329" s="1" t="s">
        <v>1524</v>
      </c>
      <c r="C329" s="1" t="s">
        <v>16</v>
      </c>
      <c r="D329" s="1" t="s">
        <v>38</v>
      </c>
      <c r="E329" s="1" t="s">
        <v>259</v>
      </c>
      <c r="F329" s="1" t="s">
        <v>1525</v>
      </c>
      <c r="G329" s="1" t="s">
        <v>12480</v>
      </c>
      <c r="H329" s="1" t="s">
        <v>1526</v>
      </c>
      <c r="I329" s="2">
        <v>15.15</v>
      </c>
      <c r="J329" s="2"/>
      <c r="K329" s="2"/>
      <c r="L329" s="2"/>
      <c r="M329" s="4" t="e">
        <f t="shared" si="30"/>
        <v>#DIV/0!</v>
      </c>
      <c r="N329" s="4" t="e">
        <f t="shared" si="31"/>
        <v>#DIV/0!</v>
      </c>
      <c r="O329" s="5" t="e">
        <f t="shared" si="32"/>
        <v>#DIV/0!</v>
      </c>
      <c r="P329" s="5" t="e">
        <f t="shared" si="33"/>
        <v>#DIV/0!</v>
      </c>
      <c r="Q329" s="4" t="e">
        <f t="shared" si="34"/>
        <v>#DIV/0!</v>
      </c>
      <c r="R329" s="4" t="e">
        <f t="shared" si="35"/>
        <v>#DIV/0!</v>
      </c>
      <c r="S329" s="4"/>
      <c r="T329" s="2">
        <v>0.76</v>
      </c>
      <c r="U329" s="2">
        <v>15.34</v>
      </c>
      <c r="V329" s="2">
        <v>13.2</v>
      </c>
      <c r="W329" s="2">
        <v>-0.13</v>
      </c>
      <c r="X329" s="2">
        <v>0.87</v>
      </c>
      <c r="Y329" s="2">
        <v>5.57</v>
      </c>
      <c r="Z329" s="2">
        <v>6.99</v>
      </c>
    </row>
    <row r="330" spans="1:26" x14ac:dyDescent="0.25">
      <c r="A330" s="1" t="s">
        <v>1527</v>
      </c>
      <c r="B330" s="1" t="s">
        <v>1528</v>
      </c>
      <c r="C330" s="1" t="s">
        <v>45</v>
      </c>
      <c r="D330" s="1" t="s">
        <v>18</v>
      </c>
      <c r="E330" s="1" t="s">
        <v>74</v>
      </c>
      <c r="F330" s="1" t="s">
        <v>1529</v>
      </c>
      <c r="G330" s="1" t="s">
        <v>12480</v>
      </c>
      <c r="H330" s="1" t="s">
        <v>1530</v>
      </c>
      <c r="I330" s="2">
        <v>19.7</v>
      </c>
      <c r="J330" s="2">
        <v>-4.05</v>
      </c>
      <c r="K330" s="2">
        <v>-3.09</v>
      </c>
      <c r="L330" s="2">
        <v>-3.32</v>
      </c>
      <c r="M330" s="4">
        <f t="shared" si="30"/>
        <v>-6.375404530744337</v>
      </c>
      <c r="N330" s="4">
        <f t="shared" si="31"/>
        <v>-5.9337349397590362</v>
      </c>
      <c r="O330" s="5">
        <f t="shared" si="32"/>
        <v>-0.23703703703703705</v>
      </c>
      <c r="P330" s="5">
        <f t="shared" si="33"/>
        <v>7.4433656957928696E-2</v>
      </c>
      <c r="Q330" s="4">
        <f t="shared" si="34"/>
        <v>0.26896237864077671</v>
      </c>
      <c r="R330" s="4">
        <f t="shared" si="35"/>
        <v>-0.79718438973284556</v>
      </c>
      <c r="S330" s="4"/>
      <c r="T330" s="2">
        <v>-0.78</v>
      </c>
      <c r="U330" s="2">
        <v>19.7</v>
      </c>
      <c r="V330" s="2">
        <v>8.7100000000000009</v>
      </c>
      <c r="W330" s="2">
        <v>11.99</v>
      </c>
      <c r="X330" s="2">
        <v>31.42</v>
      </c>
      <c r="Y330" s="2">
        <v>7.3</v>
      </c>
      <c r="Z330" s="2">
        <v>17.05</v>
      </c>
    </row>
    <row r="331" spans="1:26" x14ac:dyDescent="0.25">
      <c r="A331" s="1" t="s">
        <v>1531</v>
      </c>
      <c r="B331" s="1" t="s">
        <v>1532</v>
      </c>
      <c r="C331" s="1" t="s">
        <v>16</v>
      </c>
      <c r="D331" s="1" t="s">
        <v>61</v>
      </c>
      <c r="E331" s="1" t="s">
        <v>1534</v>
      </c>
      <c r="F331" s="1" t="s">
        <v>1533</v>
      </c>
      <c r="G331" s="1" t="s">
        <v>12480</v>
      </c>
      <c r="H331" s="1" t="s">
        <v>53</v>
      </c>
      <c r="I331" s="2">
        <v>74.489999999999995</v>
      </c>
      <c r="J331" s="2">
        <v>3.69</v>
      </c>
      <c r="K331" s="2">
        <v>4.07</v>
      </c>
      <c r="L331" s="2">
        <v>5.4</v>
      </c>
      <c r="M331" s="4">
        <f t="shared" si="30"/>
        <v>18.302211302211301</v>
      </c>
      <c r="N331" s="4">
        <f t="shared" si="31"/>
        <v>13.794444444444443</v>
      </c>
      <c r="O331" s="5">
        <f t="shared" si="32"/>
        <v>0.10298102981029822</v>
      </c>
      <c r="P331" s="5">
        <f t="shared" si="33"/>
        <v>0.32678132678132688</v>
      </c>
      <c r="Q331" s="4">
        <f t="shared" si="34"/>
        <v>1.7772410448726219</v>
      </c>
      <c r="R331" s="4">
        <f t="shared" si="35"/>
        <v>0.42213074352548025</v>
      </c>
      <c r="S331" s="4">
        <v>-4.75</v>
      </c>
      <c r="T331" s="2">
        <v>1.26</v>
      </c>
      <c r="U331" s="2">
        <v>103.28</v>
      </c>
      <c r="V331" s="2">
        <v>66.069999999999993</v>
      </c>
      <c r="W331" s="2">
        <v>-7.57</v>
      </c>
      <c r="X331" s="2">
        <v>-16.32</v>
      </c>
      <c r="Y331" s="2">
        <v>-1.1200000000000001</v>
      </c>
      <c r="Z331" s="2">
        <v>1.21</v>
      </c>
    </row>
    <row r="332" spans="1:26" x14ac:dyDescent="0.25">
      <c r="A332" s="1" t="s">
        <v>1535</v>
      </c>
      <c r="B332" s="1" t="s">
        <v>1535</v>
      </c>
      <c r="C332" s="1" t="s">
        <v>16</v>
      </c>
      <c r="D332" s="1" t="s">
        <v>354</v>
      </c>
      <c r="E332" s="1" t="s">
        <v>1537</v>
      </c>
      <c r="F332" s="1" t="s">
        <v>1536</v>
      </c>
      <c r="G332" s="1" t="s">
        <v>12480</v>
      </c>
      <c r="H332" s="1" t="s">
        <v>1538</v>
      </c>
      <c r="I332" s="2">
        <v>25.88</v>
      </c>
      <c r="J332" s="2" t="s">
        <v>12487</v>
      </c>
      <c r="K332" s="2">
        <v>1.89</v>
      </c>
      <c r="L332" s="2">
        <v>1.97</v>
      </c>
      <c r="M332" s="4">
        <f t="shared" si="30"/>
        <v>13.693121693121693</v>
      </c>
      <c r="N332" s="4">
        <f t="shared" si="31"/>
        <v>13.137055837563452</v>
      </c>
      <c r="O332" s="5">
        <f t="shared" si="32"/>
        <v>-5.5000000000000049E-2</v>
      </c>
      <c r="P332" s="5">
        <f t="shared" si="33"/>
        <v>4.2328042328042326E-2</v>
      </c>
      <c r="Q332" s="4">
        <f t="shared" si="34"/>
        <v>-2.489658489658487</v>
      </c>
      <c r="R332" s="4">
        <f t="shared" si="35"/>
        <v>3.1036294416243657</v>
      </c>
      <c r="S332" s="4">
        <v>-1.71</v>
      </c>
      <c r="T332" s="2">
        <v>0.6</v>
      </c>
      <c r="U332" s="2">
        <v>26.45</v>
      </c>
      <c r="V332" s="2">
        <v>20.87</v>
      </c>
      <c r="W332" s="2">
        <v>-1.33</v>
      </c>
      <c r="X332" s="2">
        <v>1.01</v>
      </c>
      <c r="Y332" s="2">
        <v>9.61</v>
      </c>
      <c r="Z332" s="2">
        <v>8.65</v>
      </c>
    </row>
    <row r="333" spans="1:26" x14ac:dyDescent="0.25">
      <c r="A333" s="1" t="s">
        <v>1539</v>
      </c>
      <c r="B333" s="1" t="s">
        <v>1540</v>
      </c>
      <c r="C333" s="1" t="s">
        <v>31</v>
      </c>
      <c r="D333" s="1" t="s">
        <v>94</v>
      </c>
      <c r="E333" s="1" t="s">
        <v>1542</v>
      </c>
      <c r="F333" s="1" t="s">
        <v>1541</v>
      </c>
      <c r="G333" s="1" t="s">
        <v>12502</v>
      </c>
      <c r="H333" s="1" t="s">
        <v>1543</v>
      </c>
      <c r="I333" s="2" t="s">
        <v>12571</v>
      </c>
      <c r="J333" s="2">
        <v>2.54</v>
      </c>
      <c r="K333" s="2"/>
      <c r="L333" s="2"/>
      <c r="M333" s="4" t="e">
        <f t="shared" si="30"/>
        <v>#DIV/0!</v>
      </c>
      <c r="N333" s="4" t="e">
        <f t="shared" si="31"/>
        <v>#DIV/0!</v>
      </c>
      <c r="O333" s="5">
        <f t="shared" si="32"/>
        <v>-1</v>
      </c>
      <c r="P333" s="5" t="e">
        <f t="shared" si="33"/>
        <v>#DIV/0!</v>
      </c>
      <c r="Q333" s="4" t="e">
        <f t="shared" si="34"/>
        <v>#DIV/0!</v>
      </c>
      <c r="R333" s="4" t="e">
        <f t="shared" si="35"/>
        <v>#DIV/0!</v>
      </c>
      <c r="S333" s="4">
        <v>13.91</v>
      </c>
      <c r="T333" s="2">
        <v>0.28999999999999998</v>
      </c>
      <c r="U333" s="2">
        <v>17.75</v>
      </c>
      <c r="V333" s="2">
        <v>15.4</v>
      </c>
      <c r="W333" s="2" t="s">
        <v>12489</v>
      </c>
      <c r="X333" s="2" t="s">
        <v>12489</v>
      </c>
      <c r="Y333" s="2">
        <v>2.96</v>
      </c>
      <c r="Z333" s="2">
        <v>2.96</v>
      </c>
    </row>
    <row r="334" spans="1:26" x14ac:dyDescent="0.25">
      <c r="A334" s="1" t="s">
        <v>1544</v>
      </c>
      <c r="B334" s="1" t="s">
        <v>1545</v>
      </c>
      <c r="C334" s="1" t="s">
        <v>31</v>
      </c>
      <c r="D334" s="1" t="s">
        <v>61</v>
      </c>
      <c r="E334" s="1" t="s">
        <v>237</v>
      </c>
      <c r="F334" s="1" t="s">
        <v>1546</v>
      </c>
      <c r="G334" s="1" t="s">
        <v>12490</v>
      </c>
      <c r="H334" s="1" t="s">
        <v>1547</v>
      </c>
      <c r="I334" s="2">
        <v>19.25</v>
      </c>
      <c r="J334" s="2">
        <v>0.63</v>
      </c>
      <c r="K334" s="2">
        <v>0.77</v>
      </c>
      <c r="L334" s="2">
        <v>0.88</v>
      </c>
      <c r="M334" s="4">
        <f t="shared" si="30"/>
        <v>25</v>
      </c>
      <c r="N334" s="4">
        <f t="shared" si="31"/>
        <v>21.875</v>
      </c>
      <c r="O334" s="5">
        <f t="shared" si="32"/>
        <v>0.22222222222222232</v>
      </c>
      <c r="P334" s="5">
        <f t="shared" si="33"/>
        <v>0.14285714285714279</v>
      </c>
      <c r="Q334" s="4">
        <f t="shared" si="34"/>
        <v>1.1249999999999996</v>
      </c>
      <c r="R334" s="4">
        <f t="shared" si="35"/>
        <v>1.5312500000000007</v>
      </c>
      <c r="S334" s="4">
        <v>11.69</v>
      </c>
      <c r="T334" s="2" t="s">
        <v>12487</v>
      </c>
      <c r="U334" s="2">
        <v>21.08</v>
      </c>
      <c r="V334" s="2">
        <v>8.42</v>
      </c>
      <c r="W334" s="2">
        <v>3.66</v>
      </c>
      <c r="X334" s="2">
        <v>-1.77</v>
      </c>
      <c r="Y334" s="2">
        <v>13.54</v>
      </c>
      <c r="Z334" s="2">
        <v>13.57</v>
      </c>
    </row>
    <row r="335" spans="1:26" x14ac:dyDescent="0.25">
      <c r="A335" s="1" t="s">
        <v>1548</v>
      </c>
      <c r="B335" s="1" t="s">
        <v>1549</v>
      </c>
      <c r="C335" s="1" t="s">
        <v>31</v>
      </c>
      <c r="D335" s="1" t="s">
        <v>38</v>
      </c>
      <c r="E335" s="1" t="s">
        <v>189</v>
      </c>
      <c r="F335" s="1" t="s">
        <v>1550</v>
      </c>
      <c r="G335" s="1" t="s">
        <v>12480</v>
      </c>
      <c r="H335" s="1" t="s">
        <v>1551</v>
      </c>
      <c r="I335" s="2">
        <v>20.71</v>
      </c>
      <c r="J335" s="2">
        <v>4.03</v>
      </c>
      <c r="K335" s="2"/>
      <c r="L335" s="2"/>
      <c r="M335" s="4" t="e">
        <f t="shared" si="30"/>
        <v>#DIV/0!</v>
      </c>
      <c r="N335" s="4" t="e">
        <f t="shared" si="31"/>
        <v>#DIV/0!</v>
      </c>
      <c r="O335" s="5">
        <f t="shared" si="32"/>
        <v>-1</v>
      </c>
      <c r="P335" s="5" t="e">
        <f t="shared" si="33"/>
        <v>#DIV/0!</v>
      </c>
      <c r="Q335" s="4" t="e">
        <f t="shared" si="34"/>
        <v>#DIV/0!</v>
      </c>
      <c r="R335" s="4" t="e">
        <f t="shared" si="35"/>
        <v>#DIV/0!</v>
      </c>
      <c r="S335" s="4">
        <v>-3.74</v>
      </c>
      <c r="T335" s="2">
        <v>-0.17</v>
      </c>
      <c r="U335" s="2" t="s">
        <v>12572</v>
      </c>
      <c r="V335" s="2">
        <v>19.7</v>
      </c>
      <c r="W335" s="2" t="s">
        <v>12489</v>
      </c>
      <c r="X335" s="2">
        <v>-3.58</v>
      </c>
      <c r="Y335" s="2">
        <v>-17.16</v>
      </c>
      <c r="Z335" s="2">
        <v>-10.35</v>
      </c>
    </row>
    <row r="336" spans="1:26" x14ac:dyDescent="0.25">
      <c r="A336" s="1" t="s">
        <v>1552</v>
      </c>
      <c r="B336" s="1" t="s">
        <v>1553</v>
      </c>
      <c r="C336" s="1" t="s">
        <v>16</v>
      </c>
      <c r="D336" s="1" t="s">
        <v>140</v>
      </c>
      <c r="E336" s="1" t="s">
        <v>1555</v>
      </c>
      <c r="F336" s="1" t="s">
        <v>1554</v>
      </c>
      <c r="G336" s="1" t="s">
        <v>12480</v>
      </c>
      <c r="H336" s="1" t="s">
        <v>1556</v>
      </c>
      <c r="I336" s="2" t="s">
        <v>12573</v>
      </c>
      <c r="J336" s="2">
        <v>8.0500000000000007</v>
      </c>
      <c r="K336" s="2">
        <v>8.89</v>
      </c>
      <c r="L336" s="2">
        <v>9.83</v>
      </c>
      <c r="M336" s="4">
        <f t="shared" si="30"/>
        <v>12.935883014623171</v>
      </c>
      <c r="N336" s="4">
        <f t="shared" si="31"/>
        <v>11.698880976602238</v>
      </c>
      <c r="O336" s="5">
        <f t="shared" si="32"/>
        <v>0.10434782608695659</v>
      </c>
      <c r="P336" s="5">
        <f t="shared" si="33"/>
        <v>0.10573678290213717</v>
      </c>
      <c r="Q336" s="4">
        <f t="shared" si="34"/>
        <v>1.2396887889013863</v>
      </c>
      <c r="R336" s="4">
        <f t="shared" si="35"/>
        <v>1.1064154455531272</v>
      </c>
      <c r="S336" s="4">
        <v>4.97</v>
      </c>
      <c r="T336" s="2">
        <v>1.0900000000000001</v>
      </c>
      <c r="U336" s="2">
        <v>135.58000000000001</v>
      </c>
      <c r="V336" s="2">
        <v>82.06</v>
      </c>
      <c r="W336" s="2">
        <v>-8.6199999999999992</v>
      </c>
      <c r="X336" s="2">
        <v>-11.79</v>
      </c>
      <c r="Y336" s="2">
        <v>-3.88</v>
      </c>
      <c r="Z336" s="2">
        <v>-1.48</v>
      </c>
    </row>
    <row r="337" spans="1:26" x14ac:dyDescent="0.25">
      <c r="A337" s="1" t="s">
        <v>1557</v>
      </c>
      <c r="B337" s="1" t="s">
        <v>1558</v>
      </c>
      <c r="C337" s="1" t="s">
        <v>45</v>
      </c>
      <c r="D337" s="1" t="s">
        <v>88</v>
      </c>
      <c r="E337" s="1" t="s">
        <v>1113</v>
      </c>
      <c r="F337" s="1" t="s">
        <v>1559</v>
      </c>
      <c r="G337" s="1" t="s">
        <v>12480</v>
      </c>
      <c r="H337" s="1" t="s">
        <v>1560</v>
      </c>
      <c r="I337" s="2">
        <v>172.65</v>
      </c>
      <c r="J337" s="2">
        <v>5.15</v>
      </c>
      <c r="K337" s="2">
        <v>5.47</v>
      </c>
      <c r="L337" s="2">
        <v>5.77</v>
      </c>
      <c r="M337" s="4">
        <f t="shared" si="30"/>
        <v>31.563071297989033</v>
      </c>
      <c r="N337" s="4">
        <f t="shared" si="31"/>
        <v>29.922010398613523</v>
      </c>
      <c r="O337" s="5">
        <f t="shared" si="32"/>
        <v>6.2135922330097015E-2</v>
      </c>
      <c r="P337" s="5">
        <f t="shared" si="33"/>
        <v>5.4844606946983454E-2</v>
      </c>
      <c r="Q337" s="4">
        <f t="shared" si="34"/>
        <v>5.0796817870201156</v>
      </c>
      <c r="R337" s="4">
        <f t="shared" si="35"/>
        <v>5.4557798960138753</v>
      </c>
      <c r="S337" s="4">
        <v>8.75</v>
      </c>
      <c r="T337" s="2">
        <v>0.94</v>
      </c>
      <c r="U337" s="2">
        <v>183.26</v>
      </c>
      <c r="V337" s="2">
        <v>140.30000000000001</v>
      </c>
      <c r="W337" s="2">
        <v>-5.79</v>
      </c>
      <c r="X337" s="2">
        <v>0.21</v>
      </c>
      <c r="Y337" s="2">
        <v>8.7799999999999994</v>
      </c>
      <c r="Z337" s="2">
        <v>12.58</v>
      </c>
    </row>
    <row r="338" spans="1:26" x14ac:dyDescent="0.25">
      <c r="A338" s="1" t="s">
        <v>1561</v>
      </c>
      <c r="B338" s="1" t="s">
        <v>1562</v>
      </c>
      <c r="C338" s="1" t="s">
        <v>45</v>
      </c>
      <c r="D338" s="1" t="s">
        <v>18</v>
      </c>
      <c r="E338" s="1" t="s">
        <v>780</v>
      </c>
      <c r="F338" s="1" t="s">
        <v>1563</v>
      </c>
      <c r="G338" s="1" t="s">
        <v>12480</v>
      </c>
      <c r="H338" s="1" t="s">
        <v>1564</v>
      </c>
      <c r="I338" s="2">
        <v>8.6199999999999992</v>
      </c>
      <c r="J338" s="2">
        <v>1.21</v>
      </c>
      <c r="K338" s="2">
        <v>0.27</v>
      </c>
      <c r="L338" s="2">
        <v>0.57999999999999996</v>
      </c>
      <c r="M338" s="4">
        <f t="shared" si="30"/>
        <v>31.92592592592592</v>
      </c>
      <c r="N338" s="4">
        <f t="shared" si="31"/>
        <v>14.86206896551724</v>
      </c>
      <c r="O338" s="5">
        <f t="shared" si="32"/>
        <v>-0.77685950413223137</v>
      </c>
      <c r="P338" s="5">
        <f t="shared" si="33"/>
        <v>1.1481481481481479</v>
      </c>
      <c r="Q338" s="4">
        <f t="shared" si="34"/>
        <v>-0.41096138691883366</v>
      </c>
      <c r="R338" s="4">
        <f t="shared" si="35"/>
        <v>0.12944382647385985</v>
      </c>
      <c r="S338" s="4">
        <v>94.1</v>
      </c>
      <c r="T338" s="2">
        <v>0.74</v>
      </c>
      <c r="U338" s="2">
        <v>11.19</v>
      </c>
      <c r="V338" s="2">
        <v>6.24</v>
      </c>
      <c r="W338" s="2">
        <v>-0.12</v>
      </c>
      <c r="X338" s="2">
        <v>36.83</v>
      </c>
      <c r="Y338" s="2">
        <v>13.57</v>
      </c>
      <c r="Z338" s="2">
        <v>10.51</v>
      </c>
    </row>
    <row r="339" spans="1:26" x14ac:dyDescent="0.25">
      <c r="A339" s="1" t="s">
        <v>1565</v>
      </c>
      <c r="B339" s="1" t="s">
        <v>1566</v>
      </c>
      <c r="C339" s="1" t="s">
        <v>16</v>
      </c>
      <c r="D339" s="1" t="s">
        <v>38</v>
      </c>
      <c r="E339" s="1" t="s">
        <v>189</v>
      </c>
      <c r="F339" s="1" t="s">
        <v>1567</v>
      </c>
      <c r="G339" s="1" t="s">
        <v>12480</v>
      </c>
      <c r="H339" s="1" t="s">
        <v>1568</v>
      </c>
      <c r="I339" s="2">
        <v>21.96</v>
      </c>
      <c r="J339" s="2">
        <v>2.23</v>
      </c>
      <c r="K339" s="2">
        <v>2.87</v>
      </c>
      <c r="L339" s="2">
        <v>3.39</v>
      </c>
      <c r="M339" s="4">
        <f t="shared" si="30"/>
        <v>7.6515679442508713</v>
      </c>
      <c r="N339" s="4">
        <f t="shared" si="31"/>
        <v>6.4778761061946906</v>
      </c>
      <c r="O339" s="5">
        <f t="shared" si="32"/>
        <v>0.28699551569506743</v>
      </c>
      <c r="P339" s="5">
        <f t="shared" si="33"/>
        <v>0.1811846689895471</v>
      </c>
      <c r="Q339" s="4">
        <f t="shared" si="34"/>
        <v>0.26660932055749115</v>
      </c>
      <c r="R339" s="4">
        <f t="shared" si="35"/>
        <v>0.35752893124574525</v>
      </c>
      <c r="S339" s="4">
        <v>12.23</v>
      </c>
      <c r="T339" s="2">
        <v>0.95</v>
      </c>
      <c r="U339" s="2">
        <v>27.52</v>
      </c>
      <c r="V339" s="2">
        <v>12.69</v>
      </c>
      <c r="W339" s="2">
        <v>-7.38</v>
      </c>
      <c r="X339" s="2">
        <v>-17.78</v>
      </c>
      <c r="Y339" s="2">
        <v>-9.7799999999999994</v>
      </c>
      <c r="Z339" s="2">
        <v>-13.71</v>
      </c>
    </row>
    <row r="340" spans="1:26" x14ac:dyDescent="0.25">
      <c r="A340" s="1" t="s">
        <v>1569</v>
      </c>
      <c r="B340" s="1" t="s">
        <v>1570</v>
      </c>
      <c r="C340" s="1" t="s">
        <v>16</v>
      </c>
      <c r="D340" s="1" t="s">
        <v>32</v>
      </c>
      <c r="E340" s="1" t="s">
        <v>1572</v>
      </c>
      <c r="F340" s="1" t="s">
        <v>1571</v>
      </c>
      <c r="G340" s="1" t="s">
        <v>12480</v>
      </c>
      <c r="H340" s="1" t="s">
        <v>1573</v>
      </c>
      <c r="I340" s="2">
        <v>122.9</v>
      </c>
      <c r="J340" s="2">
        <v>7.54</v>
      </c>
      <c r="K340" s="2">
        <v>8.08</v>
      </c>
      <c r="L340" s="2">
        <v>9.18</v>
      </c>
      <c r="M340" s="4">
        <f t="shared" si="30"/>
        <v>15.21039603960396</v>
      </c>
      <c r="N340" s="4">
        <f t="shared" si="31"/>
        <v>13.387799564270153</v>
      </c>
      <c r="O340" s="5">
        <f t="shared" si="32"/>
        <v>7.1618037135278589E-2</v>
      </c>
      <c r="P340" s="5">
        <f t="shared" si="33"/>
        <v>0.13613861386138604</v>
      </c>
      <c r="Q340" s="4">
        <f t="shared" si="34"/>
        <v>2.123821965529884</v>
      </c>
      <c r="R340" s="4">
        <f t="shared" si="35"/>
        <v>0.98339473163002655</v>
      </c>
      <c r="S340" s="4">
        <v>10.33</v>
      </c>
      <c r="T340" s="2">
        <v>1.18</v>
      </c>
      <c r="U340" s="2">
        <v>150.91</v>
      </c>
      <c r="V340" s="2">
        <v>87.1</v>
      </c>
      <c r="W340" s="2">
        <v>-13.69</v>
      </c>
      <c r="X340" s="2">
        <v>-12.7</v>
      </c>
      <c r="Y340" s="2">
        <v>1.1100000000000001</v>
      </c>
      <c r="Z340" s="2">
        <v>5.45</v>
      </c>
    </row>
    <row r="341" spans="1:26" x14ac:dyDescent="0.25">
      <c r="A341" s="1" t="s">
        <v>1574</v>
      </c>
      <c r="B341" s="1" t="s">
        <v>1575</v>
      </c>
      <c r="C341" s="1" t="s">
        <v>31</v>
      </c>
      <c r="D341" s="1" t="s">
        <v>38</v>
      </c>
      <c r="E341" s="1" t="s">
        <v>52</v>
      </c>
      <c r="F341" s="1" t="s">
        <v>1576</v>
      </c>
      <c r="G341" s="1" t="s">
        <v>12480</v>
      </c>
      <c r="H341" s="1" t="s">
        <v>1577</v>
      </c>
      <c r="I341" s="2">
        <v>146.47</v>
      </c>
      <c r="J341" s="2">
        <v>18.399999999999999</v>
      </c>
      <c r="K341" s="2"/>
      <c r="L341" s="2"/>
      <c r="M341" s="4" t="e">
        <f t="shared" si="30"/>
        <v>#DIV/0!</v>
      </c>
      <c r="N341" s="4" t="e">
        <f t="shared" si="31"/>
        <v>#DIV/0!</v>
      </c>
      <c r="O341" s="5">
        <f t="shared" si="32"/>
        <v>-1</v>
      </c>
      <c r="P341" s="5" t="e">
        <f t="shared" si="33"/>
        <v>#DIV/0!</v>
      </c>
      <c r="Q341" s="4" t="e">
        <f t="shared" si="34"/>
        <v>#DIV/0!</v>
      </c>
      <c r="R341" s="4" t="e">
        <f t="shared" si="35"/>
        <v>#DIV/0!</v>
      </c>
      <c r="S341" s="4">
        <v>24.95</v>
      </c>
      <c r="T341" s="2">
        <v>0.3</v>
      </c>
      <c r="U341" s="2">
        <v>146.47</v>
      </c>
      <c r="V341" s="2">
        <v>55.65</v>
      </c>
      <c r="W341" s="2" t="s">
        <v>12489</v>
      </c>
      <c r="X341" s="2">
        <v>40.24</v>
      </c>
      <c r="Y341" s="2">
        <v>40.24</v>
      </c>
      <c r="Z341" s="2">
        <v>40.24</v>
      </c>
    </row>
    <row r="342" spans="1:26" x14ac:dyDescent="0.25">
      <c r="A342" s="1" t="s">
        <v>1578</v>
      </c>
      <c r="B342" s="1" t="s">
        <v>1579</v>
      </c>
      <c r="C342" s="1" t="s">
        <v>31</v>
      </c>
      <c r="D342" s="1" t="s">
        <v>38</v>
      </c>
      <c r="E342" s="1" t="s">
        <v>189</v>
      </c>
      <c r="F342" s="1" t="s">
        <v>1580</v>
      </c>
      <c r="G342" s="1" t="s">
        <v>12480</v>
      </c>
      <c r="H342" s="1" t="s">
        <v>1581</v>
      </c>
      <c r="I342" s="2">
        <v>4.83</v>
      </c>
      <c r="J342" s="2">
        <v>0.65</v>
      </c>
      <c r="K342" s="2">
        <v>0.8</v>
      </c>
      <c r="L342" s="2">
        <v>1.02</v>
      </c>
      <c r="M342" s="4">
        <f t="shared" si="30"/>
        <v>6.0374999999999996</v>
      </c>
      <c r="N342" s="4">
        <f t="shared" si="31"/>
        <v>4.7352941176470589</v>
      </c>
      <c r="O342" s="5">
        <f t="shared" si="32"/>
        <v>0.23076923076923084</v>
      </c>
      <c r="P342" s="5">
        <f t="shared" si="33"/>
        <v>0.27499999999999991</v>
      </c>
      <c r="Q342" s="4">
        <f t="shared" si="34"/>
        <v>0.26162499999999989</v>
      </c>
      <c r="R342" s="4">
        <f t="shared" si="35"/>
        <v>0.172192513368984</v>
      </c>
      <c r="S342" s="4">
        <v>19.510000000000002</v>
      </c>
      <c r="T342" s="2">
        <v>0.39</v>
      </c>
      <c r="U342" s="2">
        <v>5.44</v>
      </c>
      <c r="V342" s="2">
        <v>3.43</v>
      </c>
      <c r="W342" s="2">
        <v>-7.82</v>
      </c>
      <c r="X342" s="2">
        <v>0.42</v>
      </c>
      <c r="Y342" s="2">
        <v>16.11</v>
      </c>
      <c r="Z342" s="2">
        <v>21.82</v>
      </c>
    </row>
    <row r="343" spans="1:26" x14ac:dyDescent="0.25">
      <c r="A343" s="1" t="s">
        <v>1582</v>
      </c>
      <c r="B343" s="1" t="s">
        <v>1583</v>
      </c>
      <c r="C343" s="1" t="s">
        <v>31</v>
      </c>
      <c r="D343" s="1" t="s">
        <v>204</v>
      </c>
      <c r="E343" s="1" t="s">
        <v>534</v>
      </c>
      <c r="F343" s="1" t="s">
        <v>1584</v>
      </c>
      <c r="G343" s="1" t="s">
        <v>12480</v>
      </c>
      <c r="H343" s="1" t="s">
        <v>1585</v>
      </c>
      <c r="I343" s="2">
        <v>176.13499999999999</v>
      </c>
      <c r="J343" s="2">
        <v>7.72</v>
      </c>
      <c r="K343" s="2">
        <v>8.25</v>
      </c>
      <c r="L343" s="2">
        <v>10.35</v>
      </c>
      <c r="M343" s="4">
        <f t="shared" si="30"/>
        <v>21.349696969696968</v>
      </c>
      <c r="N343" s="4">
        <f t="shared" si="31"/>
        <v>17.017874396135266</v>
      </c>
      <c r="O343" s="5">
        <f t="shared" si="32"/>
        <v>6.8652849740932664E-2</v>
      </c>
      <c r="P343" s="5">
        <f t="shared" si="33"/>
        <v>0.25454545454545441</v>
      </c>
      <c r="Q343" s="4">
        <f t="shared" si="34"/>
        <v>3.1098049170954818</v>
      </c>
      <c r="R343" s="4">
        <f t="shared" si="35"/>
        <v>0.66855935127674304</v>
      </c>
      <c r="S343" s="4">
        <v>10.23</v>
      </c>
      <c r="T343" s="2"/>
      <c r="U343" s="2">
        <v>206.36</v>
      </c>
      <c r="V343" s="2">
        <v>146.02000000000001</v>
      </c>
      <c r="W343" s="2">
        <v>-12.9</v>
      </c>
      <c r="X343" s="2">
        <v>-4.79</v>
      </c>
      <c r="Y343" s="2">
        <v>8.23</v>
      </c>
      <c r="Z343" s="2">
        <v>3.63</v>
      </c>
    </row>
    <row r="344" spans="1:26" x14ac:dyDescent="0.25">
      <c r="A344" s="1" t="s">
        <v>1586</v>
      </c>
      <c r="B344" s="1" t="s">
        <v>1587</v>
      </c>
      <c r="C344" s="1" t="s">
        <v>1589</v>
      </c>
      <c r="D344" s="1" t="s">
        <v>17</v>
      </c>
      <c r="E344" s="1" t="s">
        <v>18</v>
      </c>
      <c r="F344" s="1" t="s">
        <v>1588</v>
      </c>
      <c r="G344" s="1" t="s">
        <v>610</v>
      </c>
      <c r="H344" s="1" t="s">
        <v>12485</v>
      </c>
      <c r="I344" s="2">
        <v>165.15</v>
      </c>
      <c r="J344" s="2" t="s">
        <v>12486</v>
      </c>
      <c r="K344" s="2">
        <v>14.4</v>
      </c>
      <c r="L344" s="2">
        <v>12.54</v>
      </c>
      <c r="M344" s="4">
        <f t="shared" si="30"/>
        <v>11.46875</v>
      </c>
      <c r="N344" s="4">
        <f t="shared" si="31"/>
        <v>13.169856459330145</v>
      </c>
      <c r="O344" s="5">
        <f t="shared" si="32"/>
        <v>-0.99992889204924229</v>
      </c>
      <c r="P344" s="5">
        <f t="shared" si="33"/>
        <v>-0.12916666666666676</v>
      </c>
      <c r="Q344" s="4">
        <f t="shared" si="34"/>
        <v>-0.11469565577304283</v>
      </c>
      <c r="R344" s="4">
        <f t="shared" si="35"/>
        <v>-1.0196017903997523</v>
      </c>
      <c r="S344" s="4">
        <v>13.73</v>
      </c>
      <c r="T344" s="2">
        <v>165.46</v>
      </c>
      <c r="U344" s="2">
        <v>284.74</v>
      </c>
      <c r="V344" s="2">
        <v>232.12</v>
      </c>
      <c r="W344" s="2">
        <v>0.24</v>
      </c>
      <c r="X344" s="2">
        <v>-6.28</v>
      </c>
      <c r="Y344" s="2">
        <v>-20.22</v>
      </c>
      <c r="Z344" s="2">
        <v>-17.309999999999999</v>
      </c>
    </row>
    <row r="345" spans="1:26" x14ac:dyDescent="0.25">
      <c r="A345" s="1" t="s">
        <v>1591</v>
      </c>
      <c r="B345" s="1" t="s">
        <v>1592</v>
      </c>
      <c r="C345" s="1" t="s">
        <v>16</v>
      </c>
      <c r="D345" s="1" t="s">
        <v>94</v>
      </c>
      <c r="E345" s="1" t="s">
        <v>95</v>
      </c>
      <c r="F345" s="1" t="s">
        <v>1593</v>
      </c>
      <c r="G345" s="1" t="s">
        <v>12480</v>
      </c>
      <c r="H345" s="1" t="s">
        <v>1594</v>
      </c>
      <c r="I345" s="2">
        <v>151.32</v>
      </c>
      <c r="J345" s="2">
        <v>0.76</v>
      </c>
      <c r="K345" s="2">
        <v>1.38</v>
      </c>
      <c r="L345" s="2">
        <v>2.88</v>
      </c>
      <c r="M345" s="4">
        <f t="shared" si="30"/>
        <v>109.65217391304348</v>
      </c>
      <c r="N345" s="4">
        <f t="shared" si="31"/>
        <v>52.541666666666664</v>
      </c>
      <c r="O345" s="5">
        <f t="shared" si="32"/>
        <v>0.8157894736842104</v>
      </c>
      <c r="P345" s="5">
        <f t="shared" si="33"/>
        <v>1.0869565217391304</v>
      </c>
      <c r="Q345" s="4">
        <f t="shared" si="34"/>
        <v>1.3441234221598881</v>
      </c>
      <c r="R345" s="4">
        <f t="shared" si="35"/>
        <v>0.48338333333333339</v>
      </c>
      <c r="S345" s="4">
        <v>37.33</v>
      </c>
      <c r="T345" s="2">
        <v>3.11</v>
      </c>
      <c r="U345" s="2">
        <v>174.77</v>
      </c>
      <c r="V345" s="2">
        <v>16.32</v>
      </c>
      <c r="W345" s="2">
        <v>-8.84</v>
      </c>
      <c r="X345" s="2">
        <v>-2.48</v>
      </c>
      <c r="Y345" s="2">
        <v>68.92</v>
      </c>
      <c r="Z345" s="2">
        <v>74.150000000000006</v>
      </c>
    </row>
    <row r="346" spans="1:26" x14ac:dyDescent="0.25">
      <c r="A346" s="1" t="s">
        <v>1595</v>
      </c>
      <c r="B346" s="1" t="s">
        <v>1596</v>
      </c>
      <c r="C346" s="1" t="s">
        <v>45</v>
      </c>
      <c r="D346" s="1" t="s">
        <v>18</v>
      </c>
      <c r="E346" s="1" t="s">
        <v>74</v>
      </c>
      <c r="F346" s="1" t="s">
        <v>1597</v>
      </c>
      <c r="G346" s="1" t="s">
        <v>12480</v>
      </c>
      <c r="H346" s="1" t="s">
        <v>1598</v>
      </c>
      <c r="I346" s="2">
        <v>27.62</v>
      </c>
      <c r="J346" s="2">
        <v>-3.24</v>
      </c>
      <c r="K346" s="2">
        <v>-3.89</v>
      </c>
      <c r="L346" s="2">
        <v>-3.8</v>
      </c>
      <c r="M346" s="4">
        <f t="shared" si="30"/>
        <v>-7.1002570694087401</v>
      </c>
      <c r="N346" s="4">
        <f t="shared" si="31"/>
        <v>-7.2684210526315791</v>
      </c>
      <c r="O346" s="5">
        <f t="shared" si="32"/>
        <v>0.20061728395061729</v>
      </c>
      <c r="P346" s="5">
        <f t="shared" si="33"/>
        <v>-2.3136246786632508E-2</v>
      </c>
      <c r="Q346" s="4">
        <f t="shared" si="34"/>
        <v>-0.35392050622898952</v>
      </c>
      <c r="R346" s="4">
        <f t="shared" si="35"/>
        <v>3.1415730994151887</v>
      </c>
      <c r="S346" s="4">
        <v>120.01</v>
      </c>
      <c r="T346" s="2">
        <v>2.12</v>
      </c>
      <c r="U346" s="2">
        <v>35.409999999999997</v>
      </c>
      <c r="V346" s="2">
        <v>14.54</v>
      </c>
      <c r="W346" s="2">
        <v>-3.73</v>
      </c>
      <c r="X346" s="2">
        <v>1.25</v>
      </c>
      <c r="Y346" s="2">
        <v>2.94</v>
      </c>
      <c r="Z346" s="2">
        <v>-0.36</v>
      </c>
    </row>
    <row r="347" spans="1:26" x14ac:dyDescent="0.25">
      <c r="A347" s="1" t="s">
        <v>1600</v>
      </c>
      <c r="B347" s="1" t="s">
        <v>1601</v>
      </c>
      <c r="C347" s="1" t="s">
        <v>16</v>
      </c>
      <c r="D347" s="1" t="s">
        <v>32</v>
      </c>
      <c r="E347" s="1" t="s">
        <v>565</v>
      </c>
      <c r="F347" s="1" t="s">
        <v>1602</v>
      </c>
      <c r="G347" s="1" t="s">
        <v>12480</v>
      </c>
      <c r="H347" s="1" t="s">
        <v>1603</v>
      </c>
      <c r="I347" s="2">
        <v>16.62</v>
      </c>
      <c r="J347" s="2">
        <v>0.84</v>
      </c>
      <c r="K347" s="2">
        <v>0.87</v>
      </c>
      <c r="L347" s="2">
        <v>1.0900000000000001</v>
      </c>
      <c r="M347" s="4">
        <f t="shared" si="30"/>
        <v>19.103448275862071</v>
      </c>
      <c r="N347" s="4">
        <f t="shared" si="31"/>
        <v>15.247706422018348</v>
      </c>
      <c r="O347" s="5">
        <f t="shared" si="32"/>
        <v>3.5714285714285809E-2</v>
      </c>
      <c r="P347" s="5">
        <f t="shared" si="33"/>
        <v>0.25287356321839094</v>
      </c>
      <c r="Q347" s="4">
        <f t="shared" si="34"/>
        <v>5.3489655172413659</v>
      </c>
      <c r="R347" s="4">
        <f t="shared" si="35"/>
        <v>0.60297748123436157</v>
      </c>
      <c r="S347" s="4">
        <v>16.88</v>
      </c>
      <c r="T347" s="2">
        <v>-0.62</v>
      </c>
      <c r="U347" s="2">
        <v>25.09</v>
      </c>
      <c r="V347" s="2">
        <v>15.6</v>
      </c>
      <c r="W347" s="2">
        <v>-1.25</v>
      </c>
      <c r="X347" s="2">
        <v>-11.08</v>
      </c>
      <c r="Y347" s="2">
        <v>0.12</v>
      </c>
      <c r="Z347" s="2">
        <v>5.46</v>
      </c>
    </row>
    <row r="348" spans="1:26" x14ac:dyDescent="0.25">
      <c r="A348" s="1" t="s">
        <v>1604</v>
      </c>
      <c r="B348" s="1" t="s">
        <v>1605</v>
      </c>
      <c r="C348" s="1" t="s">
        <v>45</v>
      </c>
      <c r="D348" s="1" t="s">
        <v>32</v>
      </c>
      <c r="E348" s="1" t="s">
        <v>1607</v>
      </c>
      <c r="F348" s="1" t="s">
        <v>1606</v>
      </c>
      <c r="G348" s="1" t="s">
        <v>12480</v>
      </c>
      <c r="H348" s="1" t="s">
        <v>12575</v>
      </c>
      <c r="I348" s="2">
        <v>172.9</v>
      </c>
      <c r="J348" s="2">
        <v>6.74</v>
      </c>
      <c r="K348" s="2"/>
      <c r="L348" s="2"/>
      <c r="M348" s="4" t="e">
        <f t="shared" si="30"/>
        <v>#DIV/0!</v>
      </c>
      <c r="N348" s="4" t="e">
        <f t="shared" si="31"/>
        <v>#DIV/0!</v>
      </c>
      <c r="O348" s="5">
        <f t="shared" si="32"/>
        <v>-1</v>
      </c>
      <c r="P348" s="5" t="e">
        <f t="shared" si="33"/>
        <v>#DIV/0!</v>
      </c>
      <c r="Q348" s="4" t="e">
        <f t="shared" si="34"/>
        <v>#DIV/0!</v>
      </c>
      <c r="R348" s="4" t="e">
        <f t="shared" si="35"/>
        <v>#DIV/0!</v>
      </c>
      <c r="S348" s="4">
        <v>26.3</v>
      </c>
      <c r="T348" s="2">
        <v>1.19</v>
      </c>
      <c r="U348" s="2">
        <v>221.15</v>
      </c>
      <c r="V348" s="2">
        <v>59.36</v>
      </c>
      <c r="W348" s="2">
        <v>-15.72</v>
      </c>
      <c r="X348" s="2">
        <v>-18.149999999999999</v>
      </c>
      <c r="Y348" s="2">
        <v>12.9</v>
      </c>
      <c r="Z348" s="2">
        <v>13.9</v>
      </c>
    </row>
    <row r="349" spans="1:26" x14ac:dyDescent="0.25">
      <c r="A349" s="1" t="s">
        <v>1604</v>
      </c>
      <c r="B349" s="1" t="s">
        <v>1608</v>
      </c>
      <c r="C349" s="1" t="s">
        <v>45</v>
      </c>
      <c r="D349" s="1" t="s">
        <v>32</v>
      </c>
      <c r="E349" s="1" t="s">
        <v>1607</v>
      </c>
      <c r="F349" s="1" t="s">
        <v>1609</v>
      </c>
      <c r="G349" s="1" t="s">
        <v>12480</v>
      </c>
      <c r="H349" s="1" t="s">
        <v>12575</v>
      </c>
      <c r="I349" s="2">
        <v>191.81</v>
      </c>
      <c r="J349" s="2">
        <v>7.1</v>
      </c>
      <c r="K349" s="2">
        <v>7.75</v>
      </c>
      <c r="L349" s="2">
        <v>7.52</v>
      </c>
      <c r="M349" s="4">
        <f t="shared" si="30"/>
        <v>24.749677419354839</v>
      </c>
      <c r="N349" s="4">
        <f t="shared" si="31"/>
        <v>25.506648936170215</v>
      </c>
      <c r="O349" s="5">
        <f t="shared" si="32"/>
        <v>9.1549295774647987E-2</v>
      </c>
      <c r="P349" s="5">
        <f t="shared" si="33"/>
        <v>-2.9677419354838808E-2</v>
      </c>
      <c r="Q349" s="4">
        <f t="shared" si="34"/>
        <v>2.7034263027295258</v>
      </c>
      <c r="R349" s="4">
        <f t="shared" si="35"/>
        <v>-8.5946317067529794</v>
      </c>
      <c r="S349" s="4">
        <v>26.3</v>
      </c>
      <c r="T349" s="2">
        <v>1.52</v>
      </c>
      <c r="U349" s="2">
        <v>238.4</v>
      </c>
      <c r="V349" s="2">
        <v>60.82</v>
      </c>
      <c r="W349" s="2">
        <v>-13.77</v>
      </c>
      <c r="X349" s="2">
        <v>-16.36</v>
      </c>
      <c r="Y349" s="2">
        <v>10.68</v>
      </c>
      <c r="Z349" s="2">
        <v>13.08</v>
      </c>
    </row>
    <row r="350" spans="1:26" x14ac:dyDescent="0.25">
      <c r="A350" s="1" t="s">
        <v>1610</v>
      </c>
      <c r="B350" s="1" t="s">
        <v>1611</v>
      </c>
      <c r="C350" s="1" t="s">
        <v>16</v>
      </c>
      <c r="D350" s="1" t="s">
        <v>38</v>
      </c>
      <c r="E350" s="1" t="s">
        <v>101</v>
      </c>
      <c r="F350" s="1" t="s">
        <v>1612</v>
      </c>
      <c r="G350" s="1" t="s">
        <v>12485</v>
      </c>
      <c r="H350" s="1" t="s">
        <v>1613</v>
      </c>
      <c r="I350" s="2">
        <v>25.78</v>
      </c>
      <c r="J350" s="2">
        <v>2.2200000000000002</v>
      </c>
      <c r="K350" s="2">
        <v>2.6</v>
      </c>
      <c r="L350" s="2">
        <v>2.89</v>
      </c>
      <c r="M350" s="4">
        <f t="shared" si="30"/>
        <v>9.9153846153846157</v>
      </c>
      <c r="N350" s="4">
        <f t="shared" si="31"/>
        <v>8.9204152249134943</v>
      </c>
      <c r="O350" s="5">
        <f t="shared" si="32"/>
        <v>0.1711711711711712</v>
      </c>
      <c r="P350" s="5">
        <f t="shared" si="33"/>
        <v>0.11153846153846159</v>
      </c>
      <c r="Q350" s="4">
        <f t="shared" si="34"/>
        <v>0.57926720647773278</v>
      </c>
      <c r="R350" s="4">
        <f t="shared" si="35"/>
        <v>0.79976136499224393</v>
      </c>
      <c r="S350" s="4">
        <v>3.45</v>
      </c>
      <c r="T350" s="2">
        <v>1.46</v>
      </c>
      <c r="U350" s="2">
        <v>28.16</v>
      </c>
      <c r="V350" s="2">
        <v>16.66</v>
      </c>
      <c r="W350" s="2">
        <v>-4.5199999999999996</v>
      </c>
      <c r="X350" s="2">
        <v>-6.86</v>
      </c>
      <c r="Y350" s="2">
        <v>9.14</v>
      </c>
      <c r="Z350" s="2">
        <v>7.91</v>
      </c>
    </row>
    <row r="351" spans="1:26" x14ac:dyDescent="0.25">
      <c r="A351" s="1" t="s">
        <v>1614</v>
      </c>
      <c r="B351" s="1" t="s">
        <v>1615</v>
      </c>
      <c r="C351" s="1" t="s">
        <v>16</v>
      </c>
      <c r="D351" s="1" t="s">
        <v>354</v>
      </c>
      <c r="E351" s="1" t="s">
        <v>355</v>
      </c>
      <c r="F351" s="1" t="s">
        <v>1616</v>
      </c>
      <c r="G351" s="1" t="s">
        <v>12480</v>
      </c>
      <c r="H351" s="1" t="s">
        <v>1617</v>
      </c>
      <c r="I351" s="2">
        <v>30.08</v>
      </c>
      <c r="J351" s="2">
        <v>-0.25</v>
      </c>
      <c r="K351" s="2">
        <v>-0.86</v>
      </c>
      <c r="L351" s="2">
        <v>-0.76</v>
      </c>
      <c r="M351" s="4">
        <f t="shared" si="30"/>
        <v>-34.97674418604651</v>
      </c>
      <c r="N351" s="4">
        <f t="shared" si="31"/>
        <v>-39.578947368421048</v>
      </c>
      <c r="O351" s="5">
        <f t="shared" si="32"/>
        <v>2.44</v>
      </c>
      <c r="P351" s="5">
        <f t="shared" si="33"/>
        <v>-0.11627906976744184</v>
      </c>
      <c r="Q351" s="4">
        <f t="shared" si="34"/>
        <v>-0.14334731223789554</v>
      </c>
      <c r="R351" s="4">
        <f t="shared" si="35"/>
        <v>3.4037894736842103</v>
      </c>
      <c r="S351" s="4">
        <v>9.0399999999999991</v>
      </c>
      <c r="T351" s="2">
        <v>1.1299999999999999</v>
      </c>
      <c r="U351" s="2">
        <v>32.4</v>
      </c>
      <c r="V351" s="2">
        <v>20.16</v>
      </c>
      <c r="W351" s="2">
        <v>-4.99</v>
      </c>
      <c r="X351" s="2">
        <v>-2.72</v>
      </c>
      <c r="Y351" s="2">
        <v>8.75</v>
      </c>
      <c r="Z351" s="2">
        <v>11.53</v>
      </c>
    </row>
    <row r="352" spans="1:26" x14ac:dyDescent="0.25">
      <c r="A352" s="1" t="s">
        <v>1618</v>
      </c>
      <c r="B352" s="1" t="s">
        <v>1619</v>
      </c>
      <c r="C352" s="1" t="s">
        <v>16</v>
      </c>
      <c r="D352" s="1" t="s">
        <v>94</v>
      </c>
      <c r="E352" s="1" t="s">
        <v>95</v>
      </c>
      <c r="F352" s="1" t="s">
        <v>1620</v>
      </c>
      <c r="G352" s="1" t="s">
        <v>12480</v>
      </c>
      <c r="H352" s="1" t="s">
        <v>1621</v>
      </c>
      <c r="I352" s="2">
        <v>40.51</v>
      </c>
      <c r="J352" s="2">
        <v>-0.89</v>
      </c>
      <c r="K352" s="2">
        <v>-0.84</v>
      </c>
      <c r="L352" s="2">
        <v>-0.68</v>
      </c>
      <c r="M352" s="4">
        <f t="shared" si="30"/>
        <v>-48.226190476190474</v>
      </c>
      <c r="N352" s="4">
        <f t="shared" si="31"/>
        <v>-59.573529411764696</v>
      </c>
      <c r="O352" s="5">
        <f t="shared" si="32"/>
        <v>-5.6179775280898903E-2</v>
      </c>
      <c r="P352" s="5">
        <f t="shared" si="33"/>
        <v>-0.19047619047619035</v>
      </c>
      <c r="Q352" s="4">
        <f t="shared" si="34"/>
        <v>8.5842619047619007</v>
      </c>
      <c r="R352" s="4">
        <f t="shared" si="35"/>
        <v>3.1276102941176482</v>
      </c>
      <c r="S352" s="4">
        <v>-36.56</v>
      </c>
      <c r="T352" s="2">
        <v>1.24</v>
      </c>
      <c r="U352" s="2">
        <v>44.43</v>
      </c>
      <c r="V352" s="2">
        <v>24.49</v>
      </c>
      <c r="W352" s="2">
        <v>-6.1</v>
      </c>
      <c r="X352" s="2">
        <v>-5.53</v>
      </c>
      <c r="Y352" s="2">
        <v>4.92</v>
      </c>
      <c r="Z352" s="2">
        <v>5.66</v>
      </c>
    </row>
    <row r="353" spans="1:26" x14ac:dyDescent="0.25">
      <c r="A353" s="1" t="s">
        <v>1622</v>
      </c>
      <c r="B353" s="1" t="s">
        <v>1623</v>
      </c>
      <c r="C353" s="1" t="s">
        <v>16</v>
      </c>
      <c r="D353" s="1" t="s">
        <v>204</v>
      </c>
      <c r="E353" s="1" t="s">
        <v>205</v>
      </c>
      <c r="F353" s="1" t="s">
        <v>1624</v>
      </c>
      <c r="G353" s="1" t="s">
        <v>12480</v>
      </c>
      <c r="H353" s="1" t="s">
        <v>1625</v>
      </c>
      <c r="I353" s="2">
        <v>21.57</v>
      </c>
      <c r="J353" s="2">
        <v>-12.85</v>
      </c>
      <c r="K353" s="2">
        <v>-1.85</v>
      </c>
      <c r="L353" s="2">
        <v>-2.04</v>
      </c>
      <c r="M353" s="4">
        <f t="shared" si="30"/>
        <v>-11.659459459459459</v>
      </c>
      <c r="N353" s="4">
        <f t="shared" si="31"/>
        <v>-10.573529411764707</v>
      </c>
      <c r="O353" s="5">
        <f t="shared" si="32"/>
        <v>-0.85603112840466922</v>
      </c>
      <c r="P353" s="5">
        <f t="shared" si="33"/>
        <v>0.10270270270270276</v>
      </c>
      <c r="Q353" s="4">
        <f t="shared" si="34"/>
        <v>0.1362036855036855</v>
      </c>
      <c r="R353" s="4">
        <f t="shared" si="35"/>
        <v>-1.029527863777089</v>
      </c>
      <c r="S353" s="4">
        <v>135.99</v>
      </c>
      <c r="T353" s="2"/>
      <c r="U353" s="2">
        <v>36.01</v>
      </c>
      <c r="V353" s="2">
        <v>15.8</v>
      </c>
      <c r="W353" s="2">
        <v>8.94</v>
      </c>
      <c r="X353" s="2">
        <v>29.01</v>
      </c>
      <c r="Y353" s="2">
        <v>-27.35</v>
      </c>
      <c r="Z353" s="2">
        <v>-23.54</v>
      </c>
    </row>
    <row r="354" spans="1:26" x14ac:dyDescent="0.25">
      <c r="A354" s="1" t="s">
        <v>1626</v>
      </c>
      <c r="B354" s="1" t="s">
        <v>1627</v>
      </c>
      <c r="C354" s="1" t="s">
        <v>16</v>
      </c>
      <c r="D354" s="1" t="s">
        <v>128</v>
      </c>
      <c r="E354" s="1" t="s">
        <v>129</v>
      </c>
      <c r="F354" s="1" t="s">
        <v>1628</v>
      </c>
      <c r="G354" s="1" t="s">
        <v>12513</v>
      </c>
      <c r="H354" s="1" t="s">
        <v>1629</v>
      </c>
      <c r="I354" s="2">
        <v>25.42</v>
      </c>
      <c r="J354" s="2">
        <v>1.84</v>
      </c>
      <c r="K354" s="2"/>
      <c r="L354" s="2"/>
      <c r="M354" s="4" t="e">
        <f t="shared" si="30"/>
        <v>#DIV/0!</v>
      </c>
      <c r="N354" s="4" t="e">
        <f t="shared" si="31"/>
        <v>#DIV/0!</v>
      </c>
      <c r="O354" s="5">
        <f t="shared" si="32"/>
        <v>-1</v>
      </c>
      <c r="P354" s="5" t="e">
        <f t="shared" si="33"/>
        <v>#DIV/0!</v>
      </c>
      <c r="Q354" s="4" t="e">
        <f t="shared" si="34"/>
        <v>#DIV/0!</v>
      </c>
      <c r="R354" s="4" t="e">
        <f t="shared" si="35"/>
        <v>#DIV/0!</v>
      </c>
      <c r="S354" s="4">
        <v>-4.8600000000000003</v>
      </c>
      <c r="T354" s="2">
        <v>0.36</v>
      </c>
      <c r="U354" s="2">
        <v>37.28</v>
      </c>
      <c r="V354" s="2">
        <v>25.42</v>
      </c>
      <c r="W354" s="2">
        <v>-13.21</v>
      </c>
      <c r="X354" s="2">
        <v>-15.18</v>
      </c>
      <c r="Y354" s="2">
        <v>-15.13</v>
      </c>
      <c r="Z354" s="2">
        <v>-3.38</v>
      </c>
    </row>
    <row r="355" spans="1:26" x14ac:dyDescent="0.25">
      <c r="A355" s="1" t="s">
        <v>1630</v>
      </c>
      <c r="B355" s="1" t="s">
        <v>1631</v>
      </c>
      <c r="C355" s="1" t="s">
        <v>16</v>
      </c>
      <c r="D355" s="1" t="s">
        <v>128</v>
      </c>
      <c r="E355" s="1" t="s">
        <v>129</v>
      </c>
      <c r="F355" s="1" t="s">
        <v>1632</v>
      </c>
      <c r="G355" s="1" t="s">
        <v>12513</v>
      </c>
      <c r="H355" s="1" t="s">
        <v>1629</v>
      </c>
      <c r="I355" s="2">
        <v>24.88</v>
      </c>
      <c r="J355" s="2">
        <v>1.84</v>
      </c>
      <c r="K355" s="2">
        <v>1.72</v>
      </c>
      <c r="L355" s="2">
        <v>1.7</v>
      </c>
      <c r="M355" s="4">
        <f t="shared" si="30"/>
        <v>14.465116279069766</v>
      </c>
      <c r="N355" s="4">
        <f t="shared" si="31"/>
        <v>14.635294117647058</v>
      </c>
      <c r="O355" s="5">
        <f t="shared" si="32"/>
        <v>-6.5217391304347894E-2</v>
      </c>
      <c r="P355" s="5">
        <f t="shared" si="33"/>
        <v>-1.1627906976744207E-2</v>
      </c>
      <c r="Q355" s="4">
        <f t="shared" si="34"/>
        <v>-2.2179844961240285</v>
      </c>
      <c r="R355" s="4">
        <f t="shared" si="35"/>
        <v>-12.586352941176449</v>
      </c>
      <c r="S355" s="4">
        <v>-4.8600000000000003</v>
      </c>
      <c r="T355" s="2">
        <v>0.39</v>
      </c>
      <c r="U355" s="2">
        <v>37.96</v>
      </c>
      <c r="V355" s="2">
        <v>24.88</v>
      </c>
      <c r="W355" s="2">
        <v>-13.76</v>
      </c>
      <c r="X355" s="2">
        <v>-15.6</v>
      </c>
      <c r="Y355" s="2">
        <v>-18.079999999999998</v>
      </c>
      <c r="Z355" s="2">
        <v>-4.53</v>
      </c>
    </row>
    <row r="356" spans="1:26" x14ac:dyDescent="0.25">
      <c r="A356" s="1" t="s">
        <v>1633</v>
      </c>
      <c r="B356" s="1" t="s">
        <v>1634</v>
      </c>
      <c r="C356" s="1" t="s">
        <v>16</v>
      </c>
      <c r="D356" s="1" t="s">
        <v>140</v>
      </c>
      <c r="E356" s="1" t="s">
        <v>141</v>
      </c>
      <c r="F356" s="1" t="s">
        <v>1635</v>
      </c>
      <c r="G356" s="1" t="s">
        <v>12480</v>
      </c>
      <c r="H356" s="1" t="s">
        <v>1636</v>
      </c>
      <c r="I356" s="2">
        <v>77.209999999999994</v>
      </c>
      <c r="J356" s="2">
        <v>4.55</v>
      </c>
      <c r="K356" s="2">
        <v>5.0199999999999996</v>
      </c>
      <c r="L356" s="2">
        <v>5.7</v>
      </c>
      <c r="M356" s="4">
        <f t="shared" si="30"/>
        <v>15.380478087649402</v>
      </c>
      <c r="N356" s="4">
        <f t="shared" si="31"/>
        <v>13.545614035087718</v>
      </c>
      <c r="O356" s="5">
        <f t="shared" si="32"/>
        <v>0.10329670329670315</v>
      </c>
      <c r="P356" s="5">
        <f t="shared" si="33"/>
        <v>0.13545816733067739</v>
      </c>
      <c r="Q356" s="4">
        <f t="shared" si="34"/>
        <v>1.4889611765703168</v>
      </c>
      <c r="R356" s="4">
        <f t="shared" si="35"/>
        <v>0.99998503611971024</v>
      </c>
      <c r="S356" s="4">
        <v>9.2200000000000006</v>
      </c>
      <c r="T356" s="2">
        <v>1.42</v>
      </c>
      <c r="U356" s="2">
        <v>131.5</v>
      </c>
      <c r="V356" s="2">
        <v>66.900000000000006</v>
      </c>
      <c r="W356" s="2">
        <v>3.13</v>
      </c>
      <c r="X356" s="2">
        <v>-7.51</v>
      </c>
      <c r="Y356" s="2">
        <v>-25.85</v>
      </c>
      <c r="Z356" s="2">
        <v>-23.86</v>
      </c>
    </row>
    <row r="357" spans="1:26" x14ac:dyDescent="0.25">
      <c r="A357" s="1" t="s">
        <v>1637</v>
      </c>
      <c r="B357" s="1" t="s">
        <v>1638</v>
      </c>
      <c r="C357" s="1" t="s">
        <v>45</v>
      </c>
      <c r="D357" s="1" t="s">
        <v>38</v>
      </c>
      <c r="E357" s="1" t="s">
        <v>1244</v>
      </c>
      <c r="F357" s="1" t="s">
        <v>1639</v>
      </c>
      <c r="G357" s="1" t="s">
        <v>12480</v>
      </c>
      <c r="H357" s="1" t="s">
        <v>12577</v>
      </c>
      <c r="I357" s="2">
        <v>135.97999999999999</v>
      </c>
      <c r="J357" s="2">
        <v>7.42</v>
      </c>
      <c r="K357" s="2">
        <v>10.35</v>
      </c>
      <c r="L357" s="2">
        <v>10.7</v>
      </c>
      <c r="M357" s="4">
        <f t="shared" si="30"/>
        <v>13.138164251207728</v>
      </c>
      <c r="N357" s="4">
        <f t="shared" si="31"/>
        <v>12.708411214953271</v>
      </c>
      <c r="O357" s="5">
        <f t="shared" si="32"/>
        <v>0.39487870619946097</v>
      </c>
      <c r="P357" s="5">
        <f t="shared" si="33"/>
        <v>3.3816425120772875E-2</v>
      </c>
      <c r="Q357" s="4">
        <f t="shared" si="34"/>
        <v>0.33271392062785438</v>
      </c>
      <c r="R357" s="4">
        <f t="shared" si="35"/>
        <v>3.7580587449933325</v>
      </c>
      <c r="S357" s="4">
        <v>7.9</v>
      </c>
      <c r="T357" s="2">
        <v>0.43</v>
      </c>
      <c r="U357" s="2">
        <v>151.84</v>
      </c>
      <c r="V357" s="2">
        <v>96.02</v>
      </c>
      <c r="W357" s="2">
        <v>-1.64</v>
      </c>
      <c r="X357" s="2">
        <v>-10.45</v>
      </c>
      <c r="Y357" s="2">
        <v>0.35</v>
      </c>
      <c r="Z357" s="2">
        <v>11.62</v>
      </c>
    </row>
    <row r="358" spans="1:26" x14ac:dyDescent="0.25">
      <c r="A358" s="1" t="s">
        <v>1640</v>
      </c>
      <c r="B358" s="1" t="s">
        <v>1641</v>
      </c>
      <c r="C358" s="1" t="s">
        <v>16</v>
      </c>
      <c r="D358" s="1" t="s">
        <v>38</v>
      </c>
      <c r="E358" s="1" t="s">
        <v>52</v>
      </c>
      <c r="F358" s="1" t="s">
        <v>1642</v>
      </c>
      <c r="G358" s="1" t="s">
        <v>12480</v>
      </c>
      <c r="H358" s="1" t="s">
        <v>1643</v>
      </c>
      <c r="I358" s="2">
        <v>72.459999999999994</v>
      </c>
      <c r="J358" s="2">
        <v>12.09</v>
      </c>
      <c r="K358" s="2">
        <v>9.32</v>
      </c>
      <c r="L358" s="2">
        <v>10.52</v>
      </c>
      <c r="M358" s="4">
        <f t="shared" si="30"/>
        <v>7.7746781115879822</v>
      </c>
      <c r="N358" s="4">
        <f t="shared" si="31"/>
        <v>6.8878326996197714</v>
      </c>
      <c r="O358" s="5">
        <f t="shared" si="32"/>
        <v>-0.22911497105045486</v>
      </c>
      <c r="P358" s="5">
        <f t="shared" si="33"/>
        <v>0.12875536480686689</v>
      </c>
      <c r="Q358" s="4">
        <f t="shared" si="34"/>
        <v>-0.33933522876930949</v>
      </c>
      <c r="R358" s="4">
        <f t="shared" si="35"/>
        <v>0.53495500633713589</v>
      </c>
      <c r="S358" s="4">
        <v>-2.06</v>
      </c>
      <c r="T358" s="2">
        <v>1.2</v>
      </c>
      <c r="U358" s="2">
        <v>81.25</v>
      </c>
      <c r="V358" s="2">
        <v>41.88</v>
      </c>
      <c r="W358" s="2">
        <v>0.65</v>
      </c>
      <c r="X358" s="2">
        <v>-6.98</v>
      </c>
      <c r="Y358" s="2">
        <v>-2.54</v>
      </c>
      <c r="Z358" s="2">
        <v>-2.12</v>
      </c>
    </row>
    <row r="359" spans="1:26" x14ac:dyDescent="0.25">
      <c r="A359" s="1" t="s">
        <v>1644</v>
      </c>
      <c r="B359" s="1" t="s">
        <v>1645</v>
      </c>
      <c r="C359" s="1" t="s">
        <v>16</v>
      </c>
      <c r="D359" s="1" t="s">
        <v>88</v>
      </c>
      <c r="E359" s="1" t="s">
        <v>846</v>
      </c>
      <c r="F359" s="1" t="s">
        <v>1646</v>
      </c>
      <c r="G359" s="1" t="s">
        <v>12480</v>
      </c>
      <c r="H359" s="1" t="s">
        <v>1647</v>
      </c>
      <c r="I359" s="2">
        <v>118.79</v>
      </c>
      <c r="J359" s="2">
        <v>7.57</v>
      </c>
      <c r="K359" s="2">
        <v>8.1</v>
      </c>
      <c r="L359" s="2">
        <v>10.75</v>
      </c>
      <c r="M359" s="4">
        <f t="shared" si="30"/>
        <v>14.665432098765434</v>
      </c>
      <c r="N359" s="4">
        <f t="shared" si="31"/>
        <v>11.050232558139536</v>
      </c>
      <c r="O359" s="5">
        <f t="shared" si="32"/>
        <v>7.0013210039630014E-2</v>
      </c>
      <c r="P359" s="5">
        <f t="shared" si="33"/>
        <v>0.32716049382716061</v>
      </c>
      <c r="Q359" s="4">
        <f t="shared" si="34"/>
        <v>2.0946664337293304</v>
      </c>
      <c r="R359" s="4">
        <f t="shared" si="35"/>
        <v>0.33776182536200072</v>
      </c>
      <c r="S359" s="4">
        <v>32.43</v>
      </c>
      <c r="T359" s="2">
        <v>0.75</v>
      </c>
      <c r="U359" s="2">
        <v>123.49</v>
      </c>
      <c r="V359" s="2">
        <v>69.510000000000005</v>
      </c>
      <c r="W359" s="2">
        <v>-1.51</v>
      </c>
      <c r="X359" s="2">
        <v>0.12</v>
      </c>
      <c r="Y359" s="2">
        <v>28.3</v>
      </c>
      <c r="Z359" s="2">
        <v>33.35</v>
      </c>
    </row>
    <row r="360" spans="1:26" x14ac:dyDescent="0.25">
      <c r="A360" s="1" t="s">
        <v>1648</v>
      </c>
      <c r="B360" s="1" t="s">
        <v>1649</v>
      </c>
      <c r="C360" s="1" t="s">
        <v>45</v>
      </c>
      <c r="D360" s="1" t="s">
        <v>38</v>
      </c>
      <c r="E360" s="1" t="s">
        <v>1408</v>
      </c>
      <c r="F360" s="1" t="s">
        <v>1650</v>
      </c>
      <c r="G360" s="1" t="s">
        <v>12480</v>
      </c>
      <c r="H360" s="1" t="s">
        <v>1651</v>
      </c>
      <c r="I360" s="2">
        <v>9.5</v>
      </c>
      <c r="J360" s="2">
        <v>1.18</v>
      </c>
      <c r="K360" s="2">
        <v>1.4</v>
      </c>
      <c r="L360" s="2">
        <v>1.59</v>
      </c>
      <c r="M360" s="4">
        <f t="shared" si="30"/>
        <v>6.7857142857142865</v>
      </c>
      <c r="N360" s="4">
        <f t="shared" si="31"/>
        <v>5.9748427672955975</v>
      </c>
      <c r="O360" s="5">
        <f t="shared" si="32"/>
        <v>0.18644067796610164</v>
      </c>
      <c r="P360" s="5">
        <f t="shared" si="33"/>
        <v>0.1357142857142859</v>
      </c>
      <c r="Q360" s="4">
        <f t="shared" si="34"/>
        <v>0.3639610389610391</v>
      </c>
      <c r="R360" s="4">
        <f t="shared" si="35"/>
        <v>0.44025157232704337</v>
      </c>
      <c r="S360" s="4">
        <v>29.99</v>
      </c>
      <c r="T360" s="2">
        <v>1.01</v>
      </c>
      <c r="U360" s="2">
        <v>10.85</v>
      </c>
      <c r="V360" s="2">
        <v>7.5</v>
      </c>
      <c r="W360" s="2">
        <v>-3.36</v>
      </c>
      <c r="X360" s="2">
        <v>0.85</v>
      </c>
      <c r="Y360" s="2">
        <v>6.62</v>
      </c>
      <c r="Z360" s="2">
        <v>6.38</v>
      </c>
    </row>
    <row r="361" spans="1:26" x14ac:dyDescent="0.25">
      <c r="A361" s="1" t="s">
        <v>1652</v>
      </c>
      <c r="B361" s="1" t="s">
        <v>1653</v>
      </c>
      <c r="C361" s="1" t="s">
        <v>16</v>
      </c>
      <c r="D361" s="1" t="s">
        <v>128</v>
      </c>
      <c r="E361" s="1" t="s">
        <v>210</v>
      </c>
      <c r="F361" s="1" t="s">
        <v>1654</v>
      </c>
      <c r="G361" s="1" t="s">
        <v>12480</v>
      </c>
      <c r="H361" s="1" t="s">
        <v>1655</v>
      </c>
      <c r="I361" s="2">
        <v>164.3</v>
      </c>
      <c r="J361" s="2">
        <v>1.44</v>
      </c>
      <c r="K361" s="2">
        <v>3.87</v>
      </c>
      <c r="L361" s="2">
        <v>5.32</v>
      </c>
      <c r="M361" s="4">
        <f t="shared" si="30"/>
        <v>42.454780361757109</v>
      </c>
      <c r="N361" s="4">
        <f t="shared" si="31"/>
        <v>30.883458646616543</v>
      </c>
      <c r="O361" s="5">
        <f t="shared" si="32"/>
        <v>1.6875</v>
      </c>
      <c r="P361" s="5">
        <f t="shared" si="33"/>
        <v>0.3746770025839794</v>
      </c>
      <c r="Q361" s="4">
        <f t="shared" si="34"/>
        <v>0.25158388362522732</v>
      </c>
      <c r="R361" s="4">
        <f t="shared" si="35"/>
        <v>0.8242688618096965</v>
      </c>
      <c r="S361" s="4">
        <v>4.22</v>
      </c>
      <c r="T361" s="2">
        <v>0.68</v>
      </c>
      <c r="U361" s="2">
        <v>182.26</v>
      </c>
      <c r="V361" s="2">
        <v>137.02000000000001</v>
      </c>
      <c r="W361" s="2">
        <v>-6.06</v>
      </c>
      <c r="X361" s="2">
        <v>-7.69</v>
      </c>
      <c r="Y361" s="2">
        <v>0.98</v>
      </c>
      <c r="Z361" s="2">
        <v>3.14</v>
      </c>
    </row>
    <row r="362" spans="1:26" x14ac:dyDescent="0.25">
      <c r="A362" s="1" t="s">
        <v>1656</v>
      </c>
      <c r="B362" s="1" t="s">
        <v>1657</v>
      </c>
      <c r="C362" s="1" t="s">
        <v>16</v>
      </c>
      <c r="D362" s="1" t="s">
        <v>67</v>
      </c>
      <c r="E362" s="1" t="s">
        <v>1037</v>
      </c>
      <c r="F362" s="1" t="s">
        <v>1658</v>
      </c>
      <c r="G362" s="1" t="s">
        <v>12480</v>
      </c>
      <c r="H362" s="1" t="s">
        <v>12546</v>
      </c>
      <c r="I362" s="2">
        <v>1663.51</v>
      </c>
      <c r="J362" s="2">
        <v>57.66</v>
      </c>
      <c r="K362" s="2"/>
      <c r="L362" s="2"/>
      <c r="M362" s="4" t="e">
        <f t="shared" si="30"/>
        <v>#DIV/0!</v>
      </c>
      <c r="N362" s="4" t="e">
        <f t="shared" si="31"/>
        <v>#DIV/0!</v>
      </c>
      <c r="O362" s="5">
        <f t="shared" si="32"/>
        <v>-1</v>
      </c>
      <c r="P362" s="5" t="e">
        <f t="shared" si="33"/>
        <v>#DIV/0!</v>
      </c>
      <c r="Q362" s="4" t="e">
        <f t="shared" si="34"/>
        <v>#DIV/0!</v>
      </c>
      <c r="R362" s="4" t="e">
        <f t="shared" si="35"/>
        <v>#DIV/0!</v>
      </c>
      <c r="S362" s="4">
        <v>9.15</v>
      </c>
      <c r="T362" s="2">
        <v>0.69</v>
      </c>
      <c r="U362" s="2">
        <v>2462.9899999999998</v>
      </c>
      <c r="V362" s="2">
        <v>1000.02</v>
      </c>
      <c r="W362" s="2">
        <v>-8.39</v>
      </c>
      <c r="X362" s="2">
        <v>-20.95</v>
      </c>
      <c r="Y362" s="2">
        <v>3.8</v>
      </c>
      <c r="Z362" s="2">
        <v>-4.4000000000000004</v>
      </c>
    </row>
    <row r="363" spans="1:26" x14ac:dyDescent="0.25">
      <c r="A363" s="1" t="s">
        <v>1659</v>
      </c>
      <c r="B363" s="1" t="s">
        <v>1660</v>
      </c>
      <c r="C363" s="1" t="s">
        <v>16</v>
      </c>
      <c r="D363" s="1" t="s">
        <v>18</v>
      </c>
      <c r="E363" s="1" t="s">
        <v>1491</v>
      </c>
      <c r="F363" s="1" t="s">
        <v>1661</v>
      </c>
      <c r="G363" s="1" t="s">
        <v>12480</v>
      </c>
      <c r="H363" s="1" t="s">
        <v>1662</v>
      </c>
      <c r="I363" s="2">
        <v>5.35</v>
      </c>
      <c r="J363" s="2">
        <v>3.73</v>
      </c>
      <c r="K363" s="2">
        <v>4.1500000000000004</v>
      </c>
      <c r="L363" s="2">
        <v>3.82</v>
      </c>
      <c r="M363" s="4">
        <f t="shared" si="30"/>
        <v>1.2891566265060239</v>
      </c>
      <c r="N363" s="4">
        <f t="shared" si="31"/>
        <v>1.4005235602094241</v>
      </c>
      <c r="O363" s="5">
        <f t="shared" si="32"/>
        <v>0.11260053619302957</v>
      </c>
      <c r="P363" s="5">
        <f t="shared" si="33"/>
        <v>-7.9518072289156749E-2</v>
      </c>
      <c r="Q363" s="4">
        <f t="shared" si="34"/>
        <v>0.11448938611589204</v>
      </c>
      <c r="R363" s="4">
        <f t="shared" si="35"/>
        <v>-0.1761264477233061</v>
      </c>
      <c r="S363" s="4">
        <v>6.66</v>
      </c>
      <c r="T363" s="2">
        <v>0.37</v>
      </c>
      <c r="U363" s="2">
        <v>8.34</v>
      </c>
      <c r="V363" s="2">
        <v>4.32</v>
      </c>
      <c r="W363" s="2">
        <v>-10.08</v>
      </c>
      <c r="X363" s="2">
        <v>-10.54</v>
      </c>
      <c r="Y363" s="2">
        <v>-22.58</v>
      </c>
      <c r="Z363" s="2">
        <v>-23.02</v>
      </c>
    </row>
    <row r="364" spans="1:26" x14ac:dyDescent="0.25">
      <c r="A364" s="1" t="s">
        <v>1663</v>
      </c>
      <c r="B364" s="1" t="s">
        <v>1664</v>
      </c>
      <c r="C364" s="1" t="s">
        <v>16</v>
      </c>
      <c r="D364" s="1" t="s">
        <v>32</v>
      </c>
      <c r="E364" s="1" t="s">
        <v>1666</v>
      </c>
      <c r="F364" s="1" t="s">
        <v>1665</v>
      </c>
      <c r="G364" s="1" t="s">
        <v>12480</v>
      </c>
      <c r="H364" s="1" t="s">
        <v>1667</v>
      </c>
      <c r="I364" s="2">
        <v>53.94</v>
      </c>
      <c r="J364" s="2">
        <v>2.4</v>
      </c>
      <c r="K364" s="2"/>
      <c r="L364" s="2"/>
      <c r="M364" s="4" t="e">
        <f t="shared" si="30"/>
        <v>#DIV/0!</v>
      </c>
      <c r="N364" s="4" t="e">
        <f t="shared" si="31"/>
        <v>#DIV/0!</v>
      </c>
      <c r="O364" s="5">
        <f t="shared" si="32"/>
        <v>-1</v>
      </c>
      <c r="P364" s="5" t="e">
        <f t="shared" si="33"/>
        <v>#DIV/0!</v>
      </c>
      <c r="Q364" s="4" t="e">
        <f t="shared" si="34"/>
        <v>#DIV/0!</v>
      </c>
      <c r="R364" s="4" t="e">
        <f t="shared" si="35"/>
        <v>#DIV/0!</v>
      </c>
      <c r="S364" s="4">
        <v>0.11</v>
      </c>
      <c r="T364" s="2">
        <v>0.99</v>
      </c>
      <c r="U364" s="2">
        <v>60.36</v>
      </c>
      <c r="V364" s="2">
        <v>32.53</v>
      </c>
      <c r="W364" s="2">
        <v>-7.48</v>
      </c>
      <c r="X364" s="2">
        <v>-8.2799999999999994</v>
      </c>
      <c r="Y364" s="2">
        <v>14.28</v>
      </c>
      <c r="Z364" s="2">
        <v>26.15</v>
      </c>
    </row>
    <row r="365" spans="1:26" x14ac:dyDescent="0.25">
      <c r="A365" s="1" t="s">
        <v>1668</v>
      </c>
      <c r="B365" s="1" t="s">
        <v>1669</v>
      </c>
      <c r="C365" s="1" t="s">
        <v>45</v>
      </c>
      <c r="D365" s="1" t="s">
        <v>38</v>
      </c>
      <c r="E365" s="1" t="s">
        <v>39</v>
      </c>
      <c r="F365" s="1" t="s">
        <v>1670</v>
      </c>
      <c r="G365" s="1" t="s">
        <v>12480</v>
      </c>
      <c r="H365" s="1" t="s">
        <v>1671</v>
      </c>
      <c r="I365" s="2">
        <v>60.38</v>
      </c>
      <c r="J365" s="2">
        <v>16.07</v>
      </c>
      <c r="K365" s="2">
        <v>20.399999999999999</v>
      </c>
      <c r="L365" s="2">
        <v>21.61</v>
      </c>
      <c r="M365" s="4">
        <f t="shared" si="30"/>
        <v>2.9598039215686276</v>
      </c>
      <c r="N365" s="4">
        <f t="shared" si="31"/>
        <v>2.7940768162887553</v>
      </c>
      <c r="O365" s="5">
        <f t="shared" si="32"/>
        <v>0.26944617299315476</v>
      </c>
      <c r="P365" s="5">
        <f t="shared" si="33"/>
        <v>5.931372549019609E-2</v>
      </c>
      <c r="Q365" s="4">
        <f t="shared" si="34"/>
        <v>0.1098476882669928</v>
      </c>
      <c r="R365" s="4">
        <f t="shared" si="35"/>
        <v>0.47106749629992228</v>
      </c>
      <c r="S365" s="4">
        <v>43.23</v>
      </c>
      <c r="T365" s="2">
        <v>0.96</v>
      </c>
      <c r="U365" s="2">
        <v>66.010000000000005</v>
      </c>
      <c r="V365" s="2">
        <v>43.36</v>
      </c>
      <c r="W365" s="2">
        <v>0.8</v>
      </c>
      <c r="X365" s="2">
        <v>-5.21</v>
      </c>
      <c r="Y365" s="2">
        <v>-7.61</v>
      </c>
      <c r="Z365" s="2">
        <v>-6.81</v>
      </c>
    </row>
    <row r="366" spans="1:26" x14ac:dyDescent="0.25">
      <c r="A366" s="1" t="s">
        <v>1672</v>
      </c>
      <c r="B366" s="1" t="s">
        <v>1673</v>
      </c>
      <c r="C366" s="1" t="s">
        <v>31</v>
      </c>
      <c r="D366" s="1" t="s">
        <v>38</v>
      </c>
      <c r="E366" s="1" t="s">
        <v>189</v>
      </c>
      <c r="F366" s="1" t="s">
        <v>1674</v>
      </c>
      <c r="G366" s="1" t="s">
        <v>12480</v>
      </c>
      <c r="H366" s="1" t="s">
        <v>1675</v>
      </c>
      <c r="I366" s="2">
        <v>106.27500000000001</v>
      </c>
      <c r="J366" s="2">
        <v>9.27</v>
      </c>
      <c r="K366" s="2"/>
      <c r="L366" s="2"/>
      <c r="M366" s="4" t="e">
        <f t="shared" si="30"/>
        <v>#DIV/0!</v>
      </c>
      <c r="N366" s="4" t="e">
        <f t="shared" si="31"/>
        <v>#DIV/0!</v>
      </c>
      <c r="O366" s="5">
        <f t="shared" si="32"/>
        <v>-1</v>
      </c>
      <c r="P366" s="5" t="e">
        <f t="shared" si="33"/>
        <v>#DIV/0!</v>
      </c>
      <c r="Q366" s="4" t="e">
        <f t="shared" si="34"/>
        <v>#DIV/0!</v>
      </c>
      <c r="R366" s="4" t="e">
        <f t="shared" si="35"/>
        <v>#DIV/0!</v>
      </c>
      <c r="S366" s="4">
        <v>10.79</v>
      </c>
      <c r="T366" s="2">
        <v>-0.16</v>
      </c>
      <c r="U366" s="2">
        <v>114.59</v>
      </c>
      <c r="V366" s="2">
        <v>72.180000000000007</v>
      </c>
      <c r="W366" s="2">
        <v>-3.16</v>
      </c>
      <c r="X366" s="2">
        <v>-3.39</v>
      </c>
      <c r="Y366" s="2">
        <v>8.16</v>
      </c>
      <c r="Z366" s="2">
        <v>4.54</v>
      </c>
    </row>
    <row r="367" spans="1:26" x14ac:dyDescent="0.25">
      <c r="A367" s="1" t="s">
        <v>1676</v>
      </c>
      <c r="B367" s="1" t="s">
        <v>1677</v>
      </c>
      <c r="C367" s="1" t="s">
        <v>16</v>
      </c>
      <c r="D367" s="1" t="s">
        <v>88</v>
      </c>
      <c r="E367" s="1" t="s">
        <v>658</v>
      </c>
      <c r="F367" s="1" t="s">
        <v>1678</v>
      </c>
      <c r="G367" s="1" t="s">
        <v>12502</v>
      </c>
      <c r="H367" s="1" t="s">
        <v>12579</v>
      </c>
      <c r="I367" s="2">
        <v>72.89</v>
      </c>
      <c r="J367" s="2">
        <v>3.64</v>
      </c>
      <c r="K367" s="2">
        <v>4.93</v>
      </c>
      <c r="L367" s="2">
        <v>5.08</v>
      </c>
      <c r="M367" s="4">
        <f t="shared" si="30"/>
        <v>14.784989858012171</v>
      </c>
      <c r="N367" s="4">
        <f t="shared" si="31"/>
        <v>14.348425196850394</v>
      </c>
      <c r="O367" s="5">
        <f t="shared" si="32"/>
        <v>0.35439560439560425</v>
      </c>
      <c r="P367" s="5">
        <f t="shared" si="33"/>
        <v>3.0425963488843966E-2</v>
      </c>
      <c r="Q367" s="4">
        <f t="shared" si="34"/>
        <v>0.41718886110980097</v>
      </c>
      <c r="R367" s="4">
        <f t="shared" si="35"/>
        <v>4.715849081364806</v>
      </c>
      <c r="S367" s="4">
        <v>-7.9</v>
      </c>
      <c r="T367" s="2">
        <v>0.64</v>
      </c>
      <c r="U367" s="2">
        <v>83.01</v>
      </c>
      <c r="V367" s="2">
        <v>40.22</v>
      </c>
      <c r="W367" s="2">
        <v>-12.19</v>
      </c>
      <c r="X367" s="2">
        <v>1.7</v>
      </c>
      <c r="Y367" s="2">
        <v>23.15</v>
      </c>
      <c r="Z367" s="2">
        <v>20.74</v>
      </c>
    </row>
    <row r="368" spans="1:26" x14ac:dyDescent="0.25">
      <c r="A368" s="1" t="s">
        <v>1680</v>
      </c>
      <c r="B368" s="1" t="s">
        <v>1681</v>
      </c>
      <c r="C368" s="1" t="s">
        <v>16</v>
      </c>
      <c r="D368" s="1" t="s">
        <v>18</v>
      </c>
      <c r="E368" s="1" t="s">
        <v>74</v>
      </c>
      <c r="F368" s="1" t="s">
        <v>1682</v>
      </c>
      <c r="G368" s="1" t="s">
        <v>12480</v>
      </c>
      <c r="H368" s="1" t="s">
        <v>1683</v>
      </c>
      <c r="I368" s="2">
        <v>10.210000000000001</v>
      </c>
      <c r="J368" s="2">
        <v>-6.86</v>
      </c>
      <c r="K368" s="2">
        <v>-3.16</v>
      </c>
      <c r="L368" s="2">
        <v>-2.3199999999999998</v>
      </c>
      <c r="M368" s="4">
        <f t="shared" si="30"/>
        <v>-3.2310126582278484</v>
      </c>
      <c r="N368" s="4">
        <f t="shared" si="31"/>
        <v>-4.4008620689655178</v>
      </c>
      <c r="O368" s="5">
        <f t="shared" si="32"/>
        <v>-0.53935860058309038</v>
      </c>
      <c r="P368" s="5">
        <f t="shared" si="33"/>
        <v>-0.26582278481012667</v>
      </c>
      <c r="Q368" s="4">
        <f t="shared" si="34"/>
        <v>5.990472117687308E-2</v>
      </c>
      <c r="R368" s="4">
        <f t="shared" si="35"/>
        <v>0.16555623973727421</v>
      </c>
      <c r="S368" s="4"/>
      <c r="T368" s="2">
        <v>1.1499999999999999</v>
      </c>
      <c r="U368" s="2">
        <v>31.04</v>
      </c>
      <c r="V368" s="2">
        <v>7.79</v>
      </c>
      <c r="W368" s="2">
        <v>-13.55</v>
      </c>
      <c r="X368" s="2">
        <v>-20.11</v>
      </c>
      <c r="Y368" s="2">
        <v>-9.49</v>
      </c>
      <c r="Z368" s="2">
        <v>-9.57</v>
      </c>
    </row>
    <row r="369" spans="1:26" x14ac:dyDescent="0.25">
      <c r="A369" s="1" t="s">
        <v>1684</v>
      </c>
      <c r="B369" s="1" t="s">
        <v>1685</v>
      </c>
      <c r="C369" s="1" t="s">
        <v>45</v>
      </c>
      <c r="D369" s="1" t="s">
        <v>32</v>
      </c>
      <c r="E369" s="1" t="s">
        <v>565</v>
      </c>
      <c r="F369" s="1" t="s">
        <v>1686</v>
      </c>
      <c r="G369" s="1" t="s">
        <v>12480</v>
      </c>
      <c r="H369" s="1" t="s">
        <v>1687</v>
      </c>
      <c r="I369" s="2">
        <v>122.48</v>
      </c>
      <c r="J369" s="2">
        <v>7.64</v>
      </c>
      <c r="K369" s="2">
        <v>9.9</v>
      </c>
      <c r="L369" s="2">
        <v>11.77</v>
      </c>
      <c r="M369" s="4">
        <f t="shared" si="30"/>
        <v>12.371717171717172</v>
      </c>
      <c r="N369" s="4">
        <f t="shared" si="31"/>
        <v>10.406117247238743</v>
      </c>
      <c r="O369" s="5">
        <f t="shared" si="32"/>
        <v>0.2958115183246075</v>
      </c>
      <c r="P369" s="5">
        <f t="shared" si="33"/>
        <v>0.18888888888888888</v>
      </c>
      <c r="Q369" s="4">
        <f t="shared" si="34"/>
        <v>0.41822973093769528</v>
      </c>
      <c r="R369" s="4">
        <f t="shared" si="35"/>
        <v>0.55091208955969817</v>
      </c>
      <c r="S369" s="4">
        <v>1.21</v>
      </c>
      <c r="T369" s="2">
        <v>0.32</v>
      </c>
      <c r="U369" s="2">
        <v>162.52000000000001</v>
      </c>
      <c r="V369" s="2">
        <v>76.86</v>
      </c>
      <c r="W369" s="2">
        <v>-0.87</v>
      </c>
      <c r="X369" s="2">
        <v>-16.66</v>
      </c>
      <c r="Y369" s="2">
        <v>3.07</v>
      </c>
      <c r="Z369" s="2">
        <v>-6.26</v>
      </c>
    </row>
    <row r="370" spans="1:26" x14ac:dyDescent="0.25">
      <c r="A370" s="1" t="s">
        <v>1688</v>
      </c>
      <c r="B370" s="1" t="s">
        <v>1689</v>
      </c>
      <c r="C370" s="1" t="s">
        <v>45</v>
      </c>
      <c r="D370" s="1" t="s">
        <v>18</v>
      </c>
      <c r="E370" s="1" t="s">
        <v>74</v>
      </c>
      <c r="F370" s="1" t="s">
        <v>1690</v>
      </c>
      <c r="G370" s="1" t="s">
        <v>12480</v>
      </c>
      <c r="H370" s="1" t="s">
        <v>1691</v>
      </c>
      <c r="I370" s="2">
        <v>188.24</v>
      </c>
      <c r="J370" s="2">
        <v>15.28</v>
      </c>
      <c r="K370" s="2">
        <v>15.75</v>
      </c>
      <c r="L370" s="2">
        <v>16.02</v>
      </c>
      <c r="M370" s="4">
        <f t="shared" si="30"/>
        <v>11.951746031746032</v>
      </c>
      <c r="N370" s="4">
        <f t="shared" si="31"/>
        <v>11.750312109862673</v>
      </c>
      <c r="O370" s="5">
        <f t="shared" si="32"/>
        <v>3.0759162303664933E-2</v>
      </c>
      <c r="P370" s="5">
        <f t="shared" si="33"/>
        <v>1.7142857142857126E-2</v>
      </c>
      <c r="Q370" s="4">
        <f t="shared" si="34"/>
        <v>3.8855889226612614</v>
      </c>
      <c r="R370" s="4">
        <f t="shared" si="35"/>
        <v>6.854348730753232</v>
      </c>
      <c r="S370" s="4">
        <v>2.2200000000000002</v>
      </c>
      <c r="T370" s="2">
        <v>0.15</v>
      </c>
      <c r="U370" s="2">
        <v>201.18</v>
      </c>
      <c r="V370" s="2">
        <v>113.38</v>
      </c>
      <c r="W370" s="2">
        <v>0.1</v>
      </c>
      <c r="X370" s="2">
        <v>-2.87</v>
      </c>
      <c r="Y370" s="2">
        <v>7.11</v>
      </c>
      <c r="Z370" s="2">
        <v>6.96</v>
      </c>
    </row>
    <row r="371" spans="1:26" x14ac:dyDescent="0.25">
      <c r="A371" s="1" t="s">
        <v>1692</v>
      </c>
      <c r="B371" s="1" t="s">
        <v>1693</v>
      </c>
      <c r="C371" s="1" t="s">
        <v>45</v>
      </c>
      <c r="D371" s="1" t="s">
        <v>147</v>
      </c>
      <c r="E371" s="1" t="s">
        <v>1695</v>
      </c>
      <c r="F371" s="1" t="s">
        <v>1694</v>
      </c>
      <c r="G371" s="1" t="s">
        <v>12480</v>
      </c>
      <c r="H371" s="1" t="s">
        <v>1696</v>
      </c>
      <c r="I371" s="2">
        <v>26.16</v>
      </c>
      <c r="J371" s="2">
        <v>0.84</v>
      </c>
      <c r="K371" s="2">
        <v>1.18</v>
      </c>
      <c r="L371" s="2">
        <v>1.55</v>
      </c>
      <c r="M371" s="4">
        <f t="shared" si="30"/>
        <v>22.16949152542373</v>
      </c>
      <c r="N371" s="4">
        <f t="shared" si="31"/>
        <v>16.877419354838711</v>
      </c>
      <c r="O371" s="5">
        <f t="shared" si="32"/>
        <v>0.40476190476190466</v>
      </c>
      <c r="P371" s="5">
        <f t="shared" si="33"/>
        <v>0.31355932203389836</v>
      </c>
      <c r="Q371" s="4">
        <f t="shared" si="34"/>
        <v>0.54771684945164523</v>
      </c>
      <c r="R371" s="4">
        <f t="shared" si="35"/>
        <v>0.53825283347863995</v>
      </c>
      <c r="S371" s="4">
        <v>18.059999999999999</v>
      </c>
      <c r="T371" s="2">
        <v>0.75</v>
      </c>
      <c r="U371" s="2">
        <v>35.92</v>
      </c>
      <c r="V371" s="2">
        <v>14.88</v>
      </c>
      <c r="W371" s="2">
        <v>-3.93</v>
      </c>
      <c r="X371" s="2">
        <v>-14.98</v>
      </c>
      <c r="Y371" s="2">
        <v>6.69</v>
      </c>
      <c r="Z371" s="2">
        <v>6.38</v>
      </c>
    </row>
    <row r="372" spans="1:26" x14ac:dyDescent="0.25">
      <c r="A372" s="1" t="s">
        <v>1698</v>
      </c>
      <c r="B372" s="1" t="s">
        <v>1699</v>
      </c>
      <c r="C372" s="1" t="s">
        <v>16</v>
      </c>
      <c r="D372" s="1" t="s">
        <v>32</v>
      </c>
      <c r="E372" s="1" t="s">
        <v>311</v>
      </c>
      <c r="F372" s="1" t="s">
        <v>1700</v>
      </c>
      <c r="G372" s="1" t="s">
        <v>12502</v>
      </c>
      <c r="H372" s="1" t="s">
        <v>1701</v>
      </c>
      <c r="I372" s="2">
        <v>44.47</v>
      </c>
      <c r="J372" s="2">
        <v>2.21</v>
      </c>
      <c r="K372" s="2">
        <v>2.34</v>
      </c>
      <c r="L372" s="2">
        <v>2.68</v>
      </c>
      <c r="M372" s="4">
        <f t="shared" si="30"/>
        <v>19.004273504273506</v>
      </c>
      <c r="N372" s="4">
        <f t="shared" si="31"/>
        <v>16.593283582089551</v>
      </c>
      <c r="O372" s="5">
        <f t="shared" si="32"/>
        <v>5.8823529411764719E-2</v>
      </c>
      <c r="P372" s="5">
        <f t="shared" si="33"/>
        <v>0.14529914529914545</v>
      </c>
      <c r="Q372" s="4">
        <f t="shared" si="34"/>
        <v>3.2307264957264952</v>
      </c>
      <c r="R372" s="4">
        <f t="shared" si="35"/>
        <v>1.1420083406496915</v>
      </c>
      <c r="S372" s="4">
        <v>13.36</v>
      </c>
      <c r="T372" s="2">
        <v>1.25</v>
      </c>
      <c r="U372" s="2">
        <v>56.31</v>
      </c>
      <c r="V372" s="2">
        <v>35.68</v>
      </c>
      <c r="W372" s="2">
        <v>0.63</v>
      </c>
      <c r="X372" s="2">
        <v>-12.39</v>
      </c>
      <c r="Y372" s="2">
        <v>-17.91</v>
      </c>
      <c r="Z372" s="2">
        <v>-18.46</v>
      </c>
    </row>
    <row r="373" spans="1:26" x14ac:dyDescent="0.25">
      <c r="A373" s="1" t="s">
        <v>1704</v>
      </c>
      <c r="B373" s="1" t="s">
        <v>1705</v>
      </c>
      <c r="C373" s="1" t="s">
        <v>16</v>
      </c>
      <c r="D373" s="1" t="s">
        <v>18</v>
      </c>
      <c r="E373" s="1" t="s">
        <v>19</v>
      </c>
      <c r="F373" s="1" t="s">
        <v>1706</v>
      </c>
      <c r="G373" s="1" t="s">
        <v>12480</v>
      </c>
      <c r="H373" s="1" t="s">
        <v>1707</v>
      </c>
      <c r="I373" s="2">
        <v>271.44</v>
      </c>
      <c r="J373" s="2">
        <v>9.92</v>
      </c>
      <c r="K373" s="2">
        <v>10.32</v>
      </c>
      <c r="L373" s="2">
        <v>9.3000000000000007</v>
      </c>
      <c r="M373" s="4">
        <f t="shared" si="30"/>
        <v>26.302325581395348</v>
      </c>
      <c r="N373" s="4">
        <f t="shared" si="31"/>
        <v>29.187096774193545</v>
      </c>
      <c r="O373" s="5">
        <f t="shared" si="32"/>
        <v>4.0322580645161255E-2</v>
      </c>
      <c r="P373" s="5">
        <f t="shared" si="33"/>
        <v>-9.8837209302325535E-2</v>
      </c>
      <c r="Q373" s="4">
        <f t="shared" si="34"/>
        <v>6.5229767441860522</v>
      </c>
      <c r="R373" s="4">
        <f t="shared" si="35"/>
        <v>-2.9530474383301719</v>
      </c>
      <c r="S373" s="4">
        <v>0.65</v>
      </c>
      <c r="T373" s="2">
        <v>1.18</v>
      </c>
      <c r="U373" s="2">
        <v>339.75</v>
      </c>
      <c r="V373" s="2">
        <v>216.56</v>
      </c>
      <c r="W373" s="2">
        <v>-2.92</v>
      </c>
      <c r="X373" s="2">
        <v>-7.96</v>
      </c>
      <c r="Y373" s="2">
        <v>-11.85</v>
      </c>
      <c r="Z373" s="2">
        <v>-10.41</v>
      </c>
    </row>
    <row r="374" spans="1:26" x14ac:dyDescent="0.25">
      <c r="A374" s="1" t="s">
        <v>1704</v>
      </c>
      <c r="B374" s="1" t="s">
        <v>1708</v>
      </c>
      <c r="C374" s="1" t="s">
        <v>16</v>
      </c>
      <c r="D374" s="1" t="s">
        <v>18</v>
      </c>
      <c r="E374" s="1" t="s">
        <v>74</v>
      </c>
      <c r="F374" s="1" t="s">
        <v>1709</v>
      </c>
      <c r="G374" s="1" t="s">
        <v>12480</v>
      </c>
      <c r="H374" s="1" t="s">
        <v>1707</v>
      </c>
      <c r="I374" s="2">
        <v>268.495</v>
      </c>
      <c r="J374" s="2">
        <v>9.92</v>
      </c>
      <c r="K374" s="2"/>
      <c r="L374" s="2"/>
      <c r="M374" s="4" t="e">
        <f t="shared" si="30"/>
        <v>#DIV/0!</v>
      </c>
      <c r="N374" s="4" t="e">
        <f t="shared" si="31"/>
        <v>#DIV/0!</v>
      </c>
      <c r="O374" s="5">
        <f t="shared" si="32"/>
        <v>-1</v>
      </c>
      <c r="P374" s="5" t="e">
        <f t="shared" si="33"/>
        <v>#DIV/0!</v>
      </c>
      <c r="Q374" s="4" t="e">
        <f t="shared" si="34"/>
        <v>#DIV/0!</v>
      </c>
      <c r="R374" s="4" t="e">
        <f t="shared" si="35"/>
        <v>#DIV/0!</v>
      </c>
      <c r="S374" s="4">
        <v>0.65</v>
      </c>
      <c r="T374" s="2">
        <v>1.02</v>
      </c>
      <c r="U374" s="2">
        <v>321.12</v>
      </c>
      <c r="V374" s="2">
        <v>225.29</v>
      </c>
      <c r="W374" s="2">
        <v>-0.15</v>
      </c>
      <c r="X374" s="2" t="s">
        <v>12580</v>
      </c>
      <c r="Y374" s="2">
        <v>-13.58</v>
      </c>
      <c r="Z374" s="2">
        <v>-13.58</v>
      </c>
    </row>
    <row r="375" spans="1:26" x14ac:dyDescent="0.25">
      <c r="A375" s="1" t="s">
        <v>1710</v>
      </c>
      <c r="B375" s="1" t="s">
        <v>1711</v>
      </c>
      <c r="C375" s="1" t="s">
        <v>31</v>
      </c>
      <c r="D375" s="1" t="s">
        <v>18</v>
      </c>
      <c r="E375" s="1" t="s">
        <v>74</v>
      </c>
      <c r="F375" s="1" t="s">
        <v>1712</v>
      </c>
      <c r="G375" s="1" t="s">
        <v>12480</v>
      </c>
      <c r="H375" s="1" t="s">
        <v>12581</v>
      </c>
      <c r="I375" s="2">
        <v>41.32</v>
      </c>
      <c r="J375" s="2">
        <v>1.72</v>
      </c>
      <c r="K375" s="2"/>
      <c r="L375" s="2"/>
      <c r="M375" s="4" t="e">
        <f t="shared" si="30"/>
        <v>#DIV/0!</v>
      </c>
      <c r="N375" s="4" t="e">
        <f t="shared" si="31"/>
        <v>#DIV/0!</v>
      </c>
      <c r="O375" s="5">
        <f t="shared" si="32"/>
        <v>-1</v>
      </c>
      <c r="P375" s="5" t="e">
        <f t="shared" si="33"/>
        <v>#DIV/0!</v>
      </c>
      <c r="Q375" s="4" t="e">
        <f t="shared" si="34"/>
        <v>#DIV/0!</v>
      </c>
      <c r="R375" s="4" t="e">
        <f t="shared" si="35"/>
        <v>#DIV/0!</v>
      </c>
      <c r="S375" s="4">
        <v>17.23</v>
      </c>
      <c r="T375" s="2">
        <v>0.36</v>
      </c>
      <c r="U375" s="2">
        <v>41.32</v>
      </c>
      <c r="V375" s="2">
        <v>25.8</v>
      </c>
      <c r="W375" s="2">
        <v>11.68</v>
      </c>
      <c r="X375" s="2">
        <v>11.68</v>
      </c>
      <c r="Y375" s="2">
        <v>17.22</v>
      </c>
      <c r="Z375" s="2">
        <v>17.22</v>
      </c>
    </row>
    <row r="376" spans="1:26" x14ac:dyDescent="0.25">
      <c r="A376" s="1" t="s">
        <v>1713</v>
      </c>
      <c r="B376" s="1" t="s">
        <v>1714</v>
      </c>
      <c r="C376" s="1" t="s">
        <v>16</v>
      </c>
      <c r="D376" s="1" t="s">
        <v>38</v>
      </c>
      <c r="E376" s="1" t="s">
        <v>510</v>
      </c>
      <c r="F376" s="1" t="s">
        <v>1715</v>
      </c>
      <c r="G376" s="1" t="s">
        <v>12480</v>
      </c>
      <c r="H376" s="1" t="s">
        <v>1716</v>
      </c>
      <c r="I376" s="2">
        <v>36.89</v>
      </c>
      <c r="J376" s="2">
        <v>3.32</v>
      </c>
      <c r="K376" s="2">
        <v>3.69</v>
      </c>
      <c r="L376" s="2">
        <v>4.1500000000000004</v>
      </c>
      <c r="M376" s="4">
        <f t="shared" si="30"/>
        <v>9.9972899728997291</v>
      </c>
      <c r="N376" s="4">
        <f t="shared" si="31"/>
        <v>8.8891566265060238</v>
      </c>
      <c r="O376" s="5">
        <f t="shared" si="32"/>
        <v>0.11144578313253017</v>
      </c>
      <c r="P376" s="5">
        <f t="shared" si="33"/>
        <v>0.12466124661246614</v>
      </c>
      <c r="Q376" s="4">
        <f t="shared" si="34"/>
        <v>0.89705412729802936</v>
      </c>
      <c r="R376" s="4">
        <f t="shared" si="35"/>
        <v>0.71306495547407012</v>
      </c>
      <c r="S376" s="4">
        <v>9.8000000000000007</v>
      </c>
      <c r="T376" s="2">
        <v>1.1000000000000001</v>
      </c>
      <c r="U376" s="2">
        <v>40.08</v>
      </c>
      <c r="V376" s="2">
        <v>26.99</v>
      </c>
      <c r="W376" s="2">
        <v>-7.03</v>
      </c>
      <c r="X376" s="2">
        <v>-3.88</v>
      </c>
      <c r="Y376" s="2">
        <v>8.2100000000000009</v>
      </c>
      <c r="Z376" s="2">
        <v>6.19</v>
      </c>
    </row>
    <row r="377" spans="1:26" x14ac:dyDescent="0.25">
      <c r="A377" s="1" t="s">
        <v>1717</v>
      </c>
      <c r="B377" s="1" t="s">
        <v>1718</v>
      </c>
      <c r="C377" s="1" t="s">
        <v>16</v>
      </c>
      <c r="D377" s="1" t="s">
        <v>354</v>
      </c>
      <c r="E377" s="1" t="s">
        <v>1213</v>
      </c>
      <c r="F377" s="1" t="s">
        <v>1719</v>
      </c>
      <c r="G377" s="1" t="s">
        <v>12480</v>
      </c>
      <c r="H377" s="1" t="s">
        <v>1599</v>
      </c>
      <c r="I377" s="2">
        <v>46.21</v>
      </c>
      <c r="J377" s="2"/>
      <c r="K377" s="2">
        <v>10.71</v>
      </c>
      <c r="L377" s="2">
        <v>11.47</v>
      </c>
      <c r="M377" s="4">
        <f t="shared" si="30"/>
        <v>4.314659197012138</v>
      </c>
      <c r="N377" s="4">
        <f t="shared" si="31"/>
        <v>4.0287707061900608</v>
      </c>
      <c r="O377" s="5" t="e">
        <f t="shared" si="32"/>
        <v>#DIV/0!</v>
      </c>
      <c r="P377" s="5">
        <f t="shared" si="33"/>
        <v>7.096171802054152E-2</v>
      </c>
      <c r="Q377" s="4" t="e">
        <f t="shared" si="34"/>
        <v>#DIV/0!</v>
      </c>
      <c r="R377" s="4">
        <f t="shared" si="35"/>
        <v>0.56773860872757331</v>
      </c>
      <c r="S377" s="4">
        <v>0.05</v>
      </c>
      <c r="T377" s="2">
        <v>1.36</v>
      </c>
      <c r="U377" s="2" t="s">
        <v>12582</v>
      </c>
      <c r="V377" s="2">
        <v>32.729999999999997</v>
      </c>
      <c r="W377" s="2">
        <v>-6.97</v>
      </c>
      <c r="X377" s="2">
        <v>-7.39</v>
      </c>
      <c r="Y377" s="2">
        <v>2.0499999999999998</v>
      </c>
      <c r="Z377" s="2">
        <v>1.78</v>
      </c>
    </row>
    <row r="378" spans="1:26" x14ac:dyDescent="0.25">
      <c r="A378" s="1" t="s">
        <v>1720</v>
      </c>
      <c r="B378" s="1" t="s">
        <v>1721</v>
      </c>
      <c r="C378" s="1" t="s">
        <v>31</v>
      </c>
      <c r="D378" s="1" t="s">
        <v>94</v>
      </c>
      <c r="E378" s="1" t="s">
        <v>409</v>
      </c>
      <c r="F378" s="1" t="s">
        <v>1722</v>
      </c>
      <c r="G378" s="1" t="s">
        <v>12480</v>
      </c>
      <c r="H378" s="1" t="s">
        <v>1723</v>
      </c>
      <c r="I378" s="2">
        <v>5.0999999999999996</v>
      </c>
      <c r="J378" s="2">
        <v>0.17</v>
      </c>
      <c r="K378" s="2"/>
      <c r="L378" s="2"/>
      <c r="M378" s="4" t="e">
        <f t="shared" si="30"/>
        <v>#DIV/0!</v>
      </c>
      <c r="N378" s="4" t="e">
        <f t="shared" si="31"/>
        <v>#DIV/0!</v>
      </c>
      <c r="O378" s="5">
        <f t="shared" si="32"/>
        <v>-1</v>
      </c>
      <c r="P378" s="5" t="e">
        <f t="shared" si="33"/>
        <v>#DIV/0!</v>
      </c>
      <c r="Q378" s="4" t="e">
        <f t="shared" si="34"/>
        <v>#DIV/0!</v>
      </c>
      <c r="R378" s="4" t="e">
        <f t="shared" si="35"/>
        <v>#DIV/0!</v>
      </c>
      <c r="S378" s="4">
        <v>18.61</v>
      </c>
      <c r="T378" s="2">
        <v>0.44</v>
      </c>
      <c r="U378" s="2">
        <v>5.79</v>
      </c>
      <c r="V378" s="2">
        <v>3.42</v>
      </c>
      <c r="W378" s="2">
        <v>2.82</v>
      </c>
      <c r="X378" s="2">
        <v>-2.4900000000000002</v>
      </c>
      <c r="Y378" s="2">
        <v>-5.38</v>
      </c>
      <c r="Z378" s="2">
        <v>-6.27</v>
      </c>
    </row>
    <row r="379" spans="1:26" x14ac:dyDescent="0.25">
      <c r="A379" s="1" t="s">
        <v>1724</v>
      </c>
      <c r="B379" s="1" t="s">
        <v>1725</v>
      </c>
      <c r="C379" s="1" t="s">
        <v>16</v>
      </c>
      <c r="D379" s="1" t="s">
        <v>147</v>
      </c>
      <c r="E379" s="1" t="s">
        <v>279</v>
      </c>
      <c r="F379" s="1" t="s">
        <v>1726</v>
      </c>
      <c r="G379" s="1" t="s">
        <v>12485</v>
      </c>
      <c r="H379" s="1" t="s">
        <v>1727</v>
      </c>
      <c r="I379" s="2">
        <v>37.86</v>
      </c>
      <c r="J379" s="2">
        <v>2.04</v>
      </c>
      <c r="K379" s="2">
        <v>2.41</v>
      </c>
      <c r="L379" s="2">
        <v>2.86</v>
      </c>
      <c r="M379" s="4">
        <f t="shared" si="30"/>
        <v>15.70954356846473</v>
      </c>
      <c r="N379" s="4">
        <f t="shared" si="31"/>
        <v>13.237762237762238</v>
      </c>
      <c r="O379" s="5">
        <f t="shared" si="32"/>
        <v>0.18137254901960786</v>
      </c>
      <c r="P379" s="5">
        <f t="shared" si="33"/>
        <v>0.18672199170124459</v>
      </c>
      <c r="Q379" s="4">
        <f t="shared" si="34"/>
        <v>0.86614780755859577</v>
      </c>
      <c r="R379" s="4">
        <f t="shared" si="35"/>
        <v>0.70895571095571186</v>
      </c>
      <c r="S379" s="4">
        <v>18.45</v>
      </c>
      <c r="T379" s="2">
        <v>1.06</v>
      </c>
      <c r="U379" s="2">
        <v>57.7</v>
      </c>
      <c r="V379" s="2">
        <v>37.15</v>
      </c>
      <c r="W379" s="2">
        <v>-10.96</v>
      </c>
      <c r="X379" s="2">
        <v>-1.99</v>
      </c>
      <c r="Y379" s="2">
        <v>-17.21</v>
      </c>
      <c r="Z379" s="2">
        <v>-7.43</v>
      </c>
    </row>
    <row r="380" spans="1:26" x14ac:dyDescent="0.25">
      <c r="A380" s="1" t="s">
        <v>1728</v>
      </c>
      <c r="B380" s="1" t="s">
        <v>1729</v>
      </c>
      <c r="C380" s="1" t="s">
        <v>45</v>
      </c>
      <c r="D380" s="1" t="s">
        <v>140</v>
      </c>
      <c r="E380" s="1" t="s">
        <v>284</v>
      </c>
      <c r="F380" s="1" t="s">
        <v>1730</v>
      </c>
      <c r="G380" s="1" t="s">
        <v>12480</v>
      </c>
      <c r="H380" s="1" t="s">
        <v>1731</v>
      </c>
      <c r="I380" s="2">
        <v>2.11</v>
      </c>
      <c r="J380" s="2">
        <v>-0.14000000000000001</v>
      </c>
      <c r="K380" s="2">
        <v>-0.36</v>
      </c>
      <c r="L380" s="2">
        <v>-0.28000000000000003</v>
      </c>
      <c r="M380" s="4">
        <f t="shared" si="30"/>
        <v>-5.8611111111111107</v>
      </c>
      <c r="N380" s="4">
        <f t="shared" si="31"/>
        <v>-7.5357142857142847</v>
      </c>
      <c r="O380" s="5">
        <f t="shared" si="32"/>
        <v>1.5714285714285712</v>
      </c>
      <c r="P380" s="5">
        <f t="shared" si="33"/>
        <v>-0.2222222222222221</v>
      </c>
      <c r="Q380" s="4">
        <f t="shared" si="34"/>
        <v>-3.7297979797979802E-2</v>
      </c>
      <c r="R380" s="4">
        <f t="shared" si="35"/>
        <v>0.339107142857143</v>
      </c>
      <c r="S380" s="4">
        <v>31.78</v>
      </c>
      <c r="T380" s="2">
        <v>3.81</v>
      </c>
      <c r="U380" s="2">
        <v>6.47</v>
      </c>
      <c r="V380" s="2">
        <v>0.68</v>
      </c>
      <c r="W380" s="2">
        <v>-1.86</v>
      </c>
      <c r="X380" s="2">
        <v>-6.64</v>
      </c>
      <c r="Y380" s="2">
        <v>-16.600000000000001</v>
      </c>
      <c r="Z380" s="2">
        <v>-10.210000000000001</v>
      </c>
    </row>
    <row r="381" spans="1:26" x14ac:dyDescent="0.25">
      <c r="A381" s="1" t="s">
        <v>1732</v>
      </c>
      <c r="B381" s="1" t="s">
        <v>1733</v>
      </c>
      <c r="C381" s="1" t="s">
        <v>16</v>
      </c>
      <c r="D381" s="1" t="s">
        <v>128</v>
      </c>
      <c r="E381" s="1" t="s">
        <v>210</v>
      </c>
      <c r="F381" s="1" t="s">
        <v>1734</v>
      </c>
      <c r="G381" s="1" t="s">
        <v>12493</v>
      </c>
      <c r="H381" s="1" t="s">
        <v>1735</v>
      </c>
      <c r="I381" s="2">
        <v>95.49</v>
      </c>
      <c r="J381" s="2">
        <v>4.4000000000000004</v>
      </c>
      <c r="K381" s="2">
        <v>4.55</v>
      </c>
      <c r="L381" s="2">
        <v>4.87</v>
      </c>
      <c r="M381" s="4">
        <f t="shared" si="30"/>
        <v>20.986813186813187</v>
      </c>
      <c r="N381" s="4">
        <f t="shared" si="31"/>
        <v>19.607802874743324</v>
      </c>
      <c r="O381" s="5">
        <f t="shared" si="32"/>
        <v>3.409090909090895E-2</v>
      </c>
      <c r="P381" s="5">
        <f t="shared" si="33"/>
        <v>7.0329670329670302E-2</v>
      </c>
      <c r="Q381" s="4">
        <f t="shared" si="34"/>
        <v>6.1561318681318937</v>
      </c>
      <c r="R381" s="4">
        <f t="shared" si="35"/>
        <v>2.7879844712525674</v>
      </c>
      <c r="S381" s="4">
        <v>4.66</v>
      </c>
      <c r="T381" s="2">
        <v>0.36</v>
      </c>
      <c r="U381" s="2">
        <v>119.94</v>
      </c>
      <c r="V381" s="2">
        <v>87.97</v>
      </c>
      <c r="W381" s="2">
        <v>-4.25</v>
      </c>
      <c r="X381" s="2">
        <v>-4.78</v>
      </c>
      <c r="Y381" s="2">
        <v>4.43</v>
      </c>
      <c r="Z381" s="2">
        <v>6.06</v>
      </c>
    </row>
    <row r="382" spans="1:26" x14ac:dyDescent="0.25">
      <c r="A382" s="1" t="s">
        <v>1736</v>
      </c>
      <c r="B382" s="1" t="s">
        <v>1737</v>
      </c>
      <c r="C382" s="1" t="s">
        <v>16</v>
      </c>
      <c r="D382" s="1" t="s">
        <v>38</v>
      </c>
      <c r="E382" s="1" t="s">
        <v>1739</v>
      </c>
      <c r="F382" s="1" t="s">
        <v>1738</v>
      </c>
      <c r="G382" s="1" t="s">
        <v>12480</v>
      </c>
      <c r="H382" s="1" t="s">
        <v>1740</v>
      </c>
      <c r="I382" s="2">
        <v>115.1</v>
      </c>
      <c r="J382" s="2">
        <v>7.5</v>
      </c>
      <c r="K382" s="2">
        <v>8.32</v>
      </c>
      <c r="L382" s="2">
        <v>9.36</v>
      </c>
      <c r="M382" s="4">
        <f t="shared" si="30"/>
        <v>13.834134615384615</v>
      </c>
      <c r="N382" s="4">
        <f t="shared" si="31"/>
        <v>12.297008547008547</v>
      </c>
      <c r="O382" s="5">
        <f t="shared" si="32"/>
        <v>0.10933333333333328</v>
      </c>
      <c r="P382" s="5">
        <f t="shared" si="33"/>
        <v>0.125</v>
      </c>
      <c r="Q382" s="4">
        <f t="shared" si="34"/>
        <v>1.2653171904315204</v>
      </c>
      <c r="R382" s="4">
        <f t="shared" si="35"/>
        <v>0.98376068376068371</v>
      </c>
      <c r="S382" s="4">
        <v>2.12</v>
      </c>
      <c r="T382" s="2">
        <v>1.1000000000000001</v>
      </c>
      <c r="U382" s="2">
        <v>127.61</v>
      </c>
      <c r="V382" s="2">
        <v>73.31</v>
      </c>
      <c r="W382" s="2">
        <v>-3.66</v>
      </c>
      <c r="X382" s="2">
        <v>-9.8000000000000007</v>
      </c>
      <c r="Y382" s="2">
        <v>-1.59</v>
      </c>
      <c r="Z382" s="2">
        <v>-0.85</v>
      </c>
    </row>
    <row r="383" spans="1:26" x14ac:dyDescent="0.25">
      <c r="A383" s="1" t="s">
        <v>1741</v>
      </c>
      <c r="B383" s="1" t="s">
        <v>1742</v>
      </c>
      <c r="C383" s="1" t="s">
        <v>16</v>
      </c>
      <c r="D383" s="1" t="s">
        <v>18</v>
      </c>
      <c r="E383" s="1" t="s">
        <v>1744</v>
      </c>
      <c r="F383" s="1" t="s">
        <v>1743</v>
      </c>
      <c r="G383" s="1" t="s">
        <v>12480</v>
      </c>
      <c r="H383" s="1" t="s">
        <v>1745</v>
      </c>
      <c r="I383" s="2">
        <v>14.45</v>
      </c>
      <c r="J383" s="2">
        <v>-1.1200000000000001</v>
      </c>
      <c r="K383" s="2">
        <v>-0.04</v>
      </c>
      <c r="L383" s="2">
        <v>0.2</v>
      </c>
      <c r="M383" s="4">
        <f t="shared" si="30"/>
        <v>-361.25</v>
      </c>
      <c r="N383" s="4">
        <f t="shared" si="31"/>
        <v>72.249999999999986</v>
      </c>
      <c r="O383" s="5">
        <f t="shared" si="32"/>
        <v>-0.9642857142857143</v>
      </c>
      <c r="P383" s="5">
        <f t="shared" si="33"/>
        <v>-6</v>
      </c>
      <c r="Q383" s="4">
        <f t="shared" si="34"/>
        <v>3.746296296296296</v>
      </c>
      <c r="R383" s="4">
        <f t="shared" si="35"/>
        <v>-0.12041666666666664</v>
      </c>
      <c r="S383" s="4">
        <v>2.19</v>
      </c>
      <c r="T383" s="2">
        <v>0.68</v>
      </c>
      <c r="U383" s="2">
        <v>16.77</v>
      </c>
      <c r="V383" s="2">
        <v>5.13</v>
      </c>
      <c r="W383" s="2">
        <v>-4.49</v>
      </c>
      <c r="X383" s="2">
        <v>-11.24</v>
      </c>
      <c r="Y383" s="2">
        <v>40.29</v>
      </c>
      <c r="Z383" s="2">
        <v>33.92</v>
      </c>
    </row>
    <row r="384" spans="1:26" x14ac:dyDescent="0.25">
      <c r="A384" s="1" t="s">
        <v>1747</v>
      </c>
      <c r="B384" s="1" t="s">
        <v>1748</v>
      </c>
      <c r="C384" s="1" t="s">
        <v>16</v>
      </c>
      <c r="D384" s="1" t="s">
        <v>67</v>
      </c>
      <c r="E384" s="1" t="s">
        <v>381</v>
      </c>
      <c r="F384" s="1" t="s">
        <v>1749</v>
      </c>
      <c r="G384" s="1" t="s">
        <v>12493</v>
      </c>
      <c r="H384" s="1" t="s">
        <v>464</v>
      </c>
      <c r="I384" s="2">
        <v>50.16</v>
      </c>
      <c r="J384" s="2">
        <v>3.89</v>
      </c>
      <c r="K384" s="2"/>
      <c r="L384" s="2"/>
      <c r="M384" s="4" t="e">
        <f t="shared" si="30"/>
        <v>#DIV/0!</v>
      </c>
      <c r="N384" s="4" t="e">
        <f t="shared" si="31"/>
        <v>#DIV/0!</v>
      </c>
      <c r="O384" s="5">
        <f t="shared" si="32"/>
        <v>-1</v>
      </c>
      <c r="P384" s="5" t="e">
        <f t="shared" si="33"/>
        <v>#DIV/0!</v>
      </c>
      <c r="Q384" s="4" t="e">
        <f t="shared" si="34"/>
        <v>#DIV/0!</v>
      </c>
      <c r="R384" s="4" t="e">
        <f t="shared" si="35"/>
        <v>#DIV/0!</v>
      </c>
      <c r="S384" s="4">
        <v>-3.44</v>
      </c>
      <c r="T384" s="2">
        <v>1.17</v>
      </c>
      <c r="U384" s="2">
        <v>61.58</v>
      </c>
      <c r="V384" s="2">
        <v>33.770000000000003</v>
      </c>
      <c r="W384" s="2">
        <v>-3.98</v>
      </c>
      <c r="X384" s="2">
        <v>-4.13</v>
      </c>
      <c r="Y384" s="2">
        <v>-12.15</v>
      </c>
      <c r="Z384" s="2">
        <v>-6.1</v>
      </c>
    </row>
    <row r="385" spans="1:26" x14ac:dyDescent="0.25">
      <c r="A385" s="1" t="s">
        <v>1750</v>
      </c>
      <c r="B385" s="1" t="s">
        <v>1751</v>
      </c>
      <c r="C385" s="1" t="s">
        <v>31</v>
      </c>
      <c r="D385" s="1" t="s">
        <v>38</v>
      </c>
      <c r="E385" s="1" t="s">
        <v>189</v>
      </c>
      <c r="F385" s="1" t="s">
        <v>12583</v>
      </c>
      <c r="G385" s="1" t="s">
        <v>12480</v>
      </c>
      <c r="H385" s="1" t="s">
        <v>1752</v>
      </c>
      <c r="I385" s="2">
        <v>1.7252000000000001</v>
      </c>
      <c r="J385" s="2">
        <v>0.16</v>
      </c>
      <c r="K385" s="2">
        <v>0.21</v>
      </c>
      <c r="L385" s="2"/>
      <c r="M385" s="4">
        <f t="shared" si="30"/>
        <v>8.2152380952380959</v>
      </c>
      <c r="N385" s="4" t="e">
        <f t="shared" si="31"/>
        <v>#DIV/0!</v>
      </c>
      <c r="O385" s="5">
        <f t="shared" si="32"/>
        <v>0.3125</v>
      </c>
      <c r="P385" s="5">
        <f t="shared" si="33"/>
        <v>-1</v>
      </c>
      <c r="Q385" s="4">
        <f t="shared" si="34"/>
        <v>0.26288761904761909</v>
      </c>
      <c r="R385" s="4" t="e">
        <f t="shared" si="35"/>
        <v>#DIV/0!</v>
      </c>
      <c r="S385" s="4">
        <v>-12.56</v>
      </c>
      <c r="T385" s="2">
        <v>0.08</v>
      </c>
      <c r="U385" s="2">
        <v>1.99</v>
      </c>
      <c r="V385" s="2">
        <v>1.25</v>
      </c>
      <c r="W385" s="2" t="s">
        <v>12489</v>
      </c>
      <c r="X385" s="2">
        <v>-6.75</v>
      </c>
      <c r="Y385" s="2">
        <v>-0.28000000000000003</v>
      </c>
      <c r="Z385" s="2">
        <v>-7.12</v>
      </c>
    </row>
    <row r="386" spans="1:26" x14ac:dyDescent="0.25">
      <c r="A386" s="1" t="s">
        <v>1753</v>
      </c>
      <c r="B386" s="1" t="s">
        <v>1754</v>
      </c>
      <c r="C386" s="1" t="s">
        <v>31</v>
      </c>
      <c r="D386" s="1" t="s">
        <v>38</v>
      </c>
      <c r="E386" s="1" t="s">
        <v>1755</v>
      </c>
      <c r="F386" s="1" t="s">
        <v>12584</v>
      </c>
      <c r="G386" s="1" t="s">
        <v>12513</v>
      </c>
      <c r="H386" s="1" t="s">
        <v>1756</v>
      </c>
      <c r="I386" s="2">
        <v>10.58</v>
      </c>
      <c r="J386" s="2">
        <v>0.95</v>
      </c>
      <c r="K386" s="2">
        <v>0.89</v>
      </c>
      <c r="L386" s="2">
        <v>0.94</v>
      </c>
      <c r="M386" s="4">
        <f t="shared" si="30"/>
        <v>11.887640449438202</v>
      </c>
      <c r="N386" s="4">
        <f t="shared" si="31"/>
        <v>11.25531914893617</v>
      </c>
      <c r="O386" s="5">
        <f t="shared" si="32"/>
        <v>-6.315789473684208E-2</v>
      </c>
      <c r="P386" s="5">
        <f t="shared" si="33"/>
        <v>5.6179775280898792E-2</v>
      </c>
      <c r="Q386" s="4">
        <f t="shared" si="34"/>
        <v>-1.8822097378277161</v>
      </c>
      <c r="R386" s="4">
        <f t="shared" si="35"/>
        <v>2.0034468085106414</v>
      </c>
      <c r="S386" s="4">
        <v>2.77</v>
      </c>
      <c r="T386" s="2">
        <v>1.1499999999999999</v>
      </c>
      <c r="U386" s="2">
        <v>12.28</v>
      </c>
      <c r="V386" s="2">
        <v>9.1300000000000008</v>
      </c>
      <c r="W386" s="2">
        <v>-8.9499999999999993</v>
      </c>
      <c r="X386" s="2">
        <v>-7.05</v>
      </c>
      <c r="Y386" s="2">
        <v>4.4400000000000004</v>
      </c>
      <c r="Z386" s="2">
        <v>-3.11</v>
      </c>
    </row>
    <row r="387" spans="1:26" x14ac:dyDescent="0.25">
      <c r="A387" s="1" t="s">
        <v>1757</v>
      </c>
      <c r="B387" s="1" t="s">
        <v>1758</v>
      </c>
      <c r="C387" s="1" t="s">
        <v>16</v>
      </c>
      <c r="D387" s="1" t="s">
        <v>354</v>
      </c>
      <c r="E387" s="1" t="s">
        <v>355</v>
      </c>
      <c r="F387" s="1" t="s">
        <v>1759</v>
      </c>
      <c r="G387" s="1" t="s">
        <v>12480</v>
      </c>
      <c r="H387" s="1" t="s">
        <v>1760</v>
      </c>
      <c r="I387" s="2">
        <v>72.55</v>
      </c>
      <c r="J387" s="2">
        <v>4.0999999999999996</v>
      </c>
      <c r="K387" s="2">
        <v>4.3</v>
      </c>
      <c r="L387" s="2">
        <v>4.5199999999999996</v>
      </c>
      <c r="M387" s="4">
        <f t="shared" ref="M387:M450" si="36">I387/K387</f>
        <v>16.872093023255815</v>
      </c>
      <c r="N387" s="4">
        <f t="shared" ref="N387:N450" si="37">I387/L387</f>
        <v>16.050884955752213</v>
      </c>
      <c r="O387" s="5">
        <f t="shared" ref="O387:O450" si="38">K387/J387-1</f>
        <v>4.8780487804878092E-2</v>
      </c>
      <c r="P387" s="5">
        <f t="shared" ref="P387:P450" si="39">L387/K387-1</f>
        <v>5.1162790697674376E-2</v>
      </c>
      <c r="Q387" s="4">
        <f t="shared" ref="Q387:Q450" si="40">M387/(O387*100)</f>
        <v>3.4587790697674388</v>
      </c>
      <c r="R387" s="4">
        <f t="shared" ref="R387:R450" si="41">N387/(P387*100)</f>
        <v>3.1372184231697533</v>
      </c>
      <c r="S387" s="4">
        <v>8.57</v>
      </c>
      <c r="T387" s="2">
        <v>0.75</v>
      </c>
      <c r="U387" s="2">
        <v>75.760000000000005</v>
      </c>
      <c r="V387" s="2">
        <v>55.66</v>
      </c>
      <c r="W387" s="2">
        <v>-1.28</v>
      </c>
      <c r="X387" s="2">
        <v>1.5</v>
      </c>
      <c r="Y387" s="2">
        <v>0.67</v>
      </c>
      <c r="Z387" s="2">
        <v>4.51</v>
      </c>
    </row>
    <row r="388" spans="1:26" x14ac:dyDescent="0.25">
      <c r="A388" s="1" t="s">
        <v>1761</v>
      </c>
      <c r="B388" s="1" t="s">
        <v>1762</v>
      </c>
      <c r="C388" s="1" t="s">
        <v>31</v>
      </c>
      <c r="D388" s="1" t="s">
        <v>38</v>
      </c>
      <c r="E388" s="1" t="s">
        <v>189</v>
      </c>
      <c r="F388" s="1" t="s">
        <v>1763</v>
      </c>
      <c r="G388" s="1" t="s">
        <v>12480</v>
      </c>
      <c r="H388" s="1" t="s">
        <v>1764</v>
      </c>
      <c r="I388" s="2">
        <v>123.483</v>
      </c>
      <c r="J388" s="2">
        <v>10.77</v>
      </c>
      <c r="K388" s="2"/>
      <c r="L388" s="2"/>
      <c r="M388" s="4" t="e">
        <f t="shared" si="36"/>
        <v>#DIV/0!</v>
      </c>
      <c r="N388" s="4" t="e">
        <f t="shared" si="37"/>
        <v>#DIV/0!</v>
      </c>
      <c r="O388" s="5">
        <f t="shared" si="38"/>
        <v>-1</v>
      </c>
      <c r="P388" s="5" t="e">
        <f t="shared" si="39"/>
        <v>#DIV/0!</v>
      </c>
      <c r="Q388" s="4" t="e">
        <f t="shared" si="40"/>
        <v>#DIV/0!</v>
      </c>
      <c r="R388" s="4" t="e">
        <f t="shared" si="41"/>
        <v>#DIV/0!</v>
      </c>
      <c r="S388" s="4">
        <v>14.73</v>
      </c>
      <c r="T388" s="2">
        <v>1.19</v>
      </c>
      <c r="U388" s="2">
        <v>141.5</v>
      </c>
      <c r="V388" s="2">
        <v>64.2</v>
      </c>
      <c r="W388" s="2">
        <v>-4.42</v>
      </c>
      <c r="X388" s="2">
        <v>-5.82</v>
      </c>
      <c r="Y388" s="2">
        <v>2.17</v>
      </c>
      <c r="Z388" s="2">
        <v>4.6500000000000004</v>
      </c>
    </row>
    <row r="389" spans="1:26" x14ac:dyDescent="0.25">
      <c r="A389" s="1" t="s">
        <v>1765</v>
      </c>
      <c r="B389" s="1" t="s">
        <v>1766</v>
      </c>
      <c r="C389" s="1" t="s">
        <v>45</v>
      </c>
      <c r="D389" s="1" t="s">
        <v>67</v>
      </c>
      <c r="E389" s="1" t="s">
        <v>833</v>
      </c>
      <c r="F389" s="1" t="s">
        <v>1767</v>
      </c>
      <c r="G389" s="1" t="s">
        <v>12480</v>
      </c>
      <c r="H389" s="1" t="s">
        <v>1768</v>
      </c>
      <c r="I389" s="2">
        <v>4440.6899000000003</v>
      </c>
      <c r="J389" s="2">
        <v>228.06</v>
      </c>
      <c r="K389" s="2">
        <v>266.26</v>
      </c>
      <c r="L389" s="2">
        <v>312.29000000000002</v>
      </c>
      <c r="M389" s="4">
        <f t="shared" si="36"/>
        <v>16.678021107188464</v>
      </c>
      <c r="N389" s="4">
        <f t="shared" si="37"/>
        <v>14.219763360978577</v>
      </c>
      <c r="O389" s="5">
        <f t="shared" si="38"/>
        <v>0.16749978075944916</v>
      </c>
      <c r="P389" s="5">
        <f t="shared" si="39"/>
        <v>0.17287613610756414</v>
      </c>
      <c r="Q389" s="4">
        <f t="shared" si="40"/>
        <v>0.99570405594382283</v>
      </c>
      <c r="R389" s="4">
        <f t="shared" si="41"/>
        <v>0.82254055887337696</v>
      </c>
      <c r="S389" s="4">
        <v>13.39</v>
      </c>
      <c r="T389" s="2">
        <v>1.21</v>
      </c>
      <c r="U389" s="2">
        <v>5815.92</v>
      </c>
      <c r="V389" s="2">
        <v>3870.83</v>
      </c>
      <c r="W389" s="2">
        <v>6.24</v>
      </c>
      <c r="X389" s="2">
        <v>4.8099999999999996</v>
      </c>
      <c r="Y389" s="2">
        <v>-18.63</v>
      </c>
      <c r="Z389" s="2">
        <v>-17.079999999999998</v>
      </c>
    </row>
    <row r="390" spans="1:26" x14ac:dyDescent="0.25">
      <c r="A390" s="1" t="s">
        <v>1769</v>
      </c>
      <c r="B390" s="1" t="s">
        <v>1770</v>
      </c>
      <c r="C390" s="1" t="s">
        <v>45</v>
      </c>
      <c r="D390" s="1" t="s">
        <v>94</v>
      </c>
      <c r="E390" s="1" t="s">
        <v>1042</v>
      </c>
      <c r="F390" s="1" t="s">
        <v>1771</v>
      </c>
      <c r="G390" s="1" t="s">
        <v>12480</v>
      </c>
      <c r="H390" s="1" t="s">
        <v>1772</v>
      </c>
      <c r="I390" s="2">
        <v>60.1</v>
      </c>
      <c r="J390" s="2">
        <v>2.6</v>
      </c>
      <c r="K390" s="2">
        <v>2.62</v>
      </c>
      <c r="L390" s="2">
        <v>3.01</v>
      </c>
      <c r="M390" s="4">
        <f t="shared" si="36"/>
        <v>22.938931297709924</v>
      </c>
      <c r="N390" s="4">
        <f t="shared" si="37"/>
        <v>19.966777408637874</v>
      </c>
      <c r="O390" s="5">
        <f t="shared" si="38"/>
        <v>7.692307692307665E-3</v>
      </c>
      <c r="P390" s="5">
        <f t="shared" si="39"/>
        <v>0.14885496183206093</v>
      </c>
      <c r="Q390" s="4">
        <f t="shared" si="40"/>
        <v>29.820610687023009</v>
      </c>
      <c r="R390" s="4">
        <f t="shared" si="41"/>
        <v>1.3413578669392634</v>
      </c>
      <c r="S390" s="4">
        <v>-0.34</v>
      </c>
      <c r="T390" s="2">
        <v>0.83</v>
      </c>
      <c r="U390" s="2">
        <v>65.260000000000005</v>
      </c>
      <c r="V390" s="2" t="s">
        <v>12585</v>
      </c>
      <c r="W390" s="2">
        <v>-7.3</v>
      </c>
      <c r="X390" s="2">
        <v>0.92</v>
      </c>
      <c r="Y390" s="2">
        <v>28.17</v>
      </c>
      <c r="Z390" s="2">
        <v>31.97</v>
      </c>
    </row>
    <row r="391" spans="1:26" x14ac:dyDescent="0.25">
      <c r="A391" s="1" t="s">
        <v>1773</v>
      </c>
      <c r="B391" s="1" t="s">
        <v>1774</v>
      </c>
      <c r="C391" s="1" t="s">
        <v>16</v>
      </c>
      <c r="D391" s="1" t="s">
        <v>38</v>
      </c>
      <c r="E391" s="1" t="s">
        <v>1739</v>
      </c>
      <c r="F391" s="1" t="s">
        <v>1775</v>
      </c>
      <c r="G391" s="1" t="s">
        <v>12480</v>
      </c>
      <c r="H391" s="1" t="s">
        <v>1776</v>
      </c>
      <c r="I391" s="2">
        <v>44.97</v>
      </c>
      <c r="J391" s="2">
        <v>3.57</v>
      </c>
      <c r="K391" s="2">
        <v>4.01</v>
      </c>
      <c r="L391" s="2">
        <v>4.43</v>
      </c>
      <c r="M391" s="4">
        <f t="shared" si="36"/>
        <v>11.214463840399002</v>
      </c>
      <c r="N391" s="4">
        <f t="shared" si="37"/>
        <v>10.151241534988714</v>
      </c>
      <c r="O391" s="5">
        <f t="shared" si="38"/>
        <v>0.12324929971988796</v>
      </c>
      <c r="P391" s="5">
        <f t="shared" si="39"/>
        <v>0.10473815461346625</v>
      </c>
      <c r="Q391" s="4">
        <f t="shared" si="40"/>
        <v>0.90990081614146445</v>
      </c>
      <c r="R391" s="4">
        <f t="shared" si="41"/>
        <v>0.96920187036439942</v>
      </c>
      <c r="S391" s="4">
        <v>-6.22</v>
      </c>
      <c r="T391" s="2">
        <v>1.29</v>
      </c>
      <c r="U391" s="2">
        <v>50.93</v>
      </c>
      <c r="V391" s="2">
        <v>29.48</v>
      </c>
      <c r="W391" s="2">
        <v>-4.79</v>
      </c>
      <c r="X391" s="2">
        <v>-11.13</v>
      </c>
      <c r="Y391" s="2">
        <v>-1.98</v>
      </c>
      <c r="Z391" s="2">
        <v>0.9</v>
      </c>
    </row>
    <row r="392" spans="1:26" x14ac:dyDescent="0.25">
      <c r="A392" s="1" t="s">
        <v>1778</v>
      </c>
      <c r="B392" s="1" t="s">
        <v>1779</v>
      </c>
      <c r="C392" s="1" t="s">
        <v>16</v>
      </c>
      <c r="D392" s="1" t="s">
        <v>94</v>
      </c>
      <c r="E392" s="1" t="s">
        <v>95</v>
      </c>
      <c r="F392" s="1" t="s">
        <v>1780</v>
      </c>
      <c r="G392" s="1" t="s">
        <v>12480</v>
      </c>
      <c r="H392" s="1" t="s">
        <v>1781</v>
      </c>
      <c r="I392" s="2">
        <v>30.5</v>
      </c>
      <c r="J392" s="2">
        <v>1.4</v>
      </c>
      <c r="K392" s="2">
        <v>2.13</v>
      </c>
      <c r="L392" s="2">
        <v>2.36</v>
      </c>
      <c r="M392" s="4">
        <f t="shared" si="36"/>
        <v>14.31924882629108</v>
      </c>
      <c r="N392" s="4">
        <f t="shared" si="37"/>
        <v>12.923728813559324</v>
      </c>
      <c r="O392" s="5">
        <f t="shared" si="38"/>
        <v>0.52142857142857135</v>
      </c>
      <c r="P392" s="5">
        <f t="shared" si="39"/>
        <v>0.107981220657277</v>
      </c>
      <c r="Q392" s="4">
        <f t="shared" si="40"/>
        <v>0.27461573091517144</v>
      </c>
      <c r="R392" s="4">
        <f t="shared" si="41"/>
        <v>1.196849668386146</v>
      </c>
      <c r="S392" s="4">
        <v>73.64</v>
      </c>
      <c r="T392" s="2">
        <v>1.54</v>
      </c>
      <c r="U392" s="2">
        <v>31.5</v>
      </c>
      <c r="V392" s="2">
        <v>15.9</v>
      </c>
      <c r="W392" s="2">
        <v>-2.46</v>
      </c>
      <c r="X392" s="2">
        <v>0.2</v>
      </c>
      <c r="Y392" s="2">
        <v>14.32</v>
      </c>
      <c r="Z392" s="2">
        <v>12.34</v>
      </c>
    </row>
    <row r="393" spans="1:26" x14ac:dyDescent="0.25">
      <c r="A393" s="1" t="s">
        <v>1782</v>
      </c>
      <c r="B393" s="1" t="s">
        <v>1783</v>
      </c>
      <c r="C393" s="1" t="s">
        <v>45</v>
      </c>
      <c r="D393" s="1" t="s">
        <v>32</v>
      </c>
      <c r="E393" s="1" t="s">
        <v>311</v>
      </c>
      <c r="F393" s="1" t="s">
        <v>1784</v>
      </c>
      <c r="G393" s="1" t="s">
        <v>12480</v>
      </c>
      <c r="H393" s="1" t="s">
        <v>1785</v>
      </c>
      <c r="I393" s="2">
        <v>37.14</v>
      </c>
      <c r="J393" s="2">
        <v>2.13</v>
      </c>
      <c r="K393" s="2">
        <v>2.38</v>
      </c>
      <c r="L393" s="2">
        <v>2.73</v>
      </c>
      <c r="M393" s="4">
        <f t="shared" si="36"/>
        <v>15.605042016806724</v>
      </c>
      <c r="N393" s="4">
        <f t="shared" si="37"/>
        <v>13.604395604395604</v>
      </c>
      <c r="O393" s="5">
        <f t="shared" si="38"/>
        <v>0.11737089201877926</v>
      </c>
      <c r="P393" s="5">
        <f t="shared" si="39"/>
        <v>0.14705882352941191</v>
      </c>
      <c r="Q393" s="4">
        <f t="shared" si="40"/>
        <v>1.3295495798319339</v>
      </c>
      <c r="R393" s="4">
        <f t="shared" si="41"/>
        <v>0.92509890109890014</v>
      </c>
      <c r="S393" s="4">
        <v>7.21</v>
      </c>
      <c r="T393" s="2">
        <v>0.9</v>
      </c>
      <c r="U393" s="2">
        <v>58.83</v>
      </c>
      <c r="V393" s="2">
        <v>32.520000000000003</v>
      </c>
      <c r="W393" s="2">
        <v>3.14</v>
      </c>
      <c r="X393" s="2">
        <v>-13.67</v>
      </c>
      <c r="Y393" s="2">
        <v>-34.99</v>
      </c>
      <c r="Z393" s="2">
        <v>-32.83</v>
      </c>
    </row>
    <row r="394" spans="1:26" x14ac:dyDescent="0.25">
      <c r="A394" s="1" t="s">
        <v>1786</v>
      </c>
      <c r="B394" s="1" t="s">
        <v>1787</v>
      </c>
      <c r="C394" s="1" t="s">
        <v>45</v>
      </c>
      <c r="D394" s="1" t="s">
        <v>305</v>
      </c>
      <c r="E394" s="1" t="s">
        <v>349</v>
      </c>
      <c r="F394" s="1" t="s">
        <v>1788</v>
      </c>
      <c r="G394" s="1" t="s">
        <v>12485</v>
      </c>
      <c r="H394" s="1" t="s">
        <v>1789</v>
      </c>
      <c r="I394" s="2">
        <v>53.06</v>
      </c>
      <c r="J394" s="2">
        <v>4.38</v>
      </c>
      <c r="K394" s="2">
        <v>4.55</v>
      </c>
      <c r="L394" s="2">
        <v>4.99</v>
      </c>
      <c r="M394" s="4">
        <f t="shared" si="36"/>
        <v>11.661538461538463</v>
      </c>
      <c r="N394" s="4">
        <f t="shared" si="37"/>
        <v>10.633266533066132</v>
      </c>
      <c r="O394" s="5">
        <f t="shared" si="38"/>
        <v>3.8812785388127935E-2</v>
      </c>
      <c r="P394" s="5">
        <f t="shared" si="39"/>
        <v>9.6703296703296804E-2</v>
      </c>
      <c r="Q394" s="4">
        <f t="shared" si="40"/>
        <v>3.0045610859728447</v>
      </c>
      <c r="R394" s="4">
        <f t="shared" si="41"/>
        <v>1.0995764255784284</v>
      </c>
      <c r="S394" s="4">
        <v>9.8699999999999992</v>
      </c>
      <c r="T394" s="2">
        <v>1.4</v>
      </c>
      <c r="U394" s="2">
        <v>62.33</v>
      </c>
      <c r="V394" s="2">
        <v>31.28</v>
      </c>
      <c r="W394" s="2">
        <v>-7.91</v>
      </c>
      <c r="X394" s="2">
        <v>-7.46</v>
      </c>
      <c r="Y394" s="2">
        <v>4.0199999999999996</v>
      </c>
      <c r="Z394" s="2">
        <v>12.89</v>
      </c>
    </row>
    <row r="395" spans="1:26" x14ac:dyDescent="0.25">
      <c r="A395" s="1" t="s">
        <v>1790</v>
      </c>
      <c r="B395" s="1" t="s">
        <v>1791</v>
      </c>
      <c r="C395" s="1" t="s">
        <v>16</v>
      </c>
      <c r="D395" s="1" t="s">
        <v>18</v>
      </c>
      <c r="E395" s="1" t="s">
        <v>624</v>
      </c>
      <c r="F395" s="1" t="s">
        <v>1792</v>
      </c>
      <c r="G395" s="1" t="s">
        <v>12480</v>
      </c>
      <c r="H395" s="1" t="s">
        <v>1793</v>
      </c>
      <c r="I395" s="2">
        <v>17.22</v>
      </c>
      <c r="J395" s="2">
        <v>0.43</v>
      </c>
      <c r="K395" s="2">
        <v>0.77</v>
      </c>
      <c r="L395" s="2">
        <v>1.02</v>
      </c>
      <c r="M395" s="4">
        <f t="shared" si="36"/>
        <v>22.363636363636363</v>
      </c>
      <c r="N395" s="4">
        <f t="shared" si="37"/>
        <v>16.882352941176467</v>
      </c>
      <c r="O395" s="5">
        <f t="shared" si="38"/>
        <v>0.79069767441860472</v>
      </c>
      <c r="P395" s="5">
        <f t="shared" si="39"/>
        <v>0.32467532467532467</v>
      </c>
      <c r="Q395" s="4">
        <f t="shared" si="40"/>
        <v>0.28283422459893043</v>
      </c>
      <c r="R395" s="4">
        <f t="shared" si="41"/>
        <v>0.51997647058823526</v>
      </c>
      <c r="S395" s="4">
        <v>6.47</v>
      </c>
      <c r="T395" s="2">
        <v>0.57999999999999996</v>
      </c>
      <c r="U395" s="2">
        <v>18.600000000000001</v>
      </c>
      <c r="V395" s="2">
        <v>10.9</v>
      </c>
      <c r="W395" s="2">
        <v>-6.46</v>
      </c>
      <c r="X395" s="2">
        <v>1.83</v>
      </c>
      <c r="Y395" s="2">
        <v>0.76</v>
      </c>
      <c r="Z395" s="2">
        <v>0.82</v>
      </c>
    </row>
    <row r="396" spans="1:26" x14ac:dyDescent="0.25">
      <c r="A396" s="1" t="s">
        <v>1794</v>
      </c>
      <c r="B396" s="1" t="s">
        <v>1795</v>
      </c>
      <c r="C396" s="1" t="s">
        <v>16</v>
      </c>
      <c r="D396" s="1" t="s">
        <v>61</v>
      </c>
      <c r="E396" s="1" t="s">
        <v>170</v>
      </c>
      <c r="F396" s="1" t="s">
        <v>1796</v>
      </c>
      <c r="G396" s="1" t="s">
        <v>12480</v>
      </c>
      <c r="H396" s="1" t="s">
        <v>1797</v>
      </c>
      <c r="I396" s="2">
        <v>386.89</v>
      </c>
      <c r="J396" s="2">
        <v>19.77</v>
      </c>
      <c r="K396" s="2">
        <v>18.57</v>
      </c>
      <c r="L396" s="2">
        <v>20.55</v>
      </c>
      <c r="M396" s="4">
        <f t="shared" si="36"/>
        <v>20.834141087775983</v>
      </c>
      <c r="N396" s="4">
        <f t="shared" si="37"/>
        <v>18.82676399026764</v>
      </c>
      <c r="O396" s="5">
        <f t="shared" si="38"/>
        <v>-6.0698027314112224E-2</v>
      </c>
      <c r="P396" s="5">
        <f t="shared" si="39"/>
        <v>0.10662358642972536</v>
      </c>
      <c r="Q396" s="4">
        <f t="shared" si="40"/>
        <v>-3.4324247442110969</v>
      </c>
      <c r="R396" s="4">
        <f t="shared" si="41"/>
        <v>1.7657222590872228</v>
      </c>
      <c r="S396" s="4">
        <v>1.49</v>
      </c>
      <c r="T396" s="2">
        <v>1.72</v>
      </c>
      <c r="U396" s="2">
        <v>550.9</v>
      </c>
      <c r="V396" s="2">
        <v>275.93</v>
      </c>
      <c r="W396" s="2">
        <v>-11.86</v>
      </c>
      <c r="X396" s="2">
        <v>-25.94</v>
      </c>
      <c r="Y396" s="2">
        <v>-9.73</v>
      </c>
      <c r="Z396" s="2">
        <v>-7.26</v>
      </c>
    </row>
    <row r="397" spans="1:26" x14ac:dyDescent="0.25">
      <c r="A397" s="1" t="s">
        <v>1798</v>
      </c>
      <c r="B397" s="1" t="s">
        <v>1799</v>
      </c>
      <c r="C397" s="1" t="s">
        <v>16</v>
      </c>
      <c r="D397" s="1" t="s">
        <v>67</v>
      </c>
      <c r="E397" s="1" t="s">
        <v>1801</v>
      </c>
      <c r="F397" s="1" t="s">
        <v>1800</v>
      </c>
      <c r="G397" s="1" t="s">
        <v>12480</v>
      </c>
      <c r="H397" s="1" t="s">
        <v>1802</v>
      </c>
      <c r="I397" s="2">
        <v>94.95</v>
      </c>
      <c r="J397" s="2">
        <v>6.89</v>
      </c>
      <c r="K397" s="2">
        <v>5.85</v>
      </c>
      <c r="L397" s="2">
        <v>7.33</v>
      </c>
      <c r="M397" s="4">
        <f t="shared" si="36"/>
        <v>16.230769230769234</v>
      </c>
      <c r="N397" s="4">
        <f t="shared" si="37"/>
        <v>12.953615279672579</v>
      </c>
      <c r="O397" s="5">
        <f t="shared" si="38"/>
        <v>-0.15094339622641506</v>
      </c>
      <c r="P397" s="5">
        <f t="shared" si="39"/>
        <v>0.25299145299145298</v>
      </c>
      <c r="Q397" s="4">
        <f t="shared" si="40"/>
        <v>-1.0752884615384619</v>
      </c>
      <c r="R397" s="4">
        <f t="shared" si="41"/>
        <v>0.51201790125732838</v>
      </c>
      <c r="S397" s="4">
        <v>-7.38</v>
      </c>
      <c r="T397" s="2">
        <v>1.56</v>
      </c>
      <c r="U397" s="2">
        <v>149.21</v>
      </c>
      <c r="V397" s="2">
        <v>93.12</v>
      </c>
      <c r="W397" s="2">
        <v>-4.49</v>
      </c>
      <c r="X397" s="2">
        <v>-23.61</v>
      </c>
      <c r="Y397" s="2">
        <v>-9.2799999999999994</v>
      </c>
      <c r="Z397" s="2">
        <v>-7.72</v>
      </c>
    </row>
    <row r="398" spans="1:26" x14ac:dyDescent="0.25">
      <c r="A398" s="1" t="s">
        <v>1803</v>
      </c>
      <c r="B398" s="1" t="s">
        <v>1804</v>
      </c>
      <c r="C398" s="1" t="s">
        <v>31</v>
      </c>
      <c r="D398" s="1" t="s">
        <v>38</v>
      </c>
      <c r="E398" s="1" t="s">
        <v>1806</v>
      </c>
      <c r="F398" s="1" t="s">
        <v>1805</v>
      </c>
      <c r="G398" s="1" t="s">
        <v>12480</v>
      </c>
      <c r="H398" s="1" t="s">
        <v>1807</v>
      </c>
      <c r="I398" s="2">
        <v>19.315000000000001</v>
      </c>
      <c r="J398" s="2">
        <v>1.0900000000000001</v>
      </c>
      <c r="K398" s="2"/>
      <c r="L398" s="2"/>
      <c r="M398" s="4" t="e">
        <f t="shared" si="36"/>
        <v>#DIV/0!</v>
      </c>
      <c r="N398" s="4" t="e">
        <f t="shared" si="37"/>
        <v>#DIV/0!</v>
      </c>
      <c r="O398" s="5">
        <f t="shared" si="38"/>
        <v>-1</v>
      </c>
      <c r="P398" s="5" t="e">
        <f t="shared" si="39"/>
        <v>#DIV/0!</v>
      </c>
      <c r="Q398" s="4" t="e">
        <f t="shared" si="40"/>
        <v>#DIV/0!</v>
      </c>
      <c r="R398" s="4" t="e">
        <f t="shared" si="41"/>
        <v>#DIV/0!</v>
      </c>
      <c r="S398" s="4">
        <v>7.27</v>
      </c>
      <c r="T398" s="2">
        <v>0.63</v>
      </c>
      <c r="U398" s="2">
        <v>21.81</v>
      </c>
      <c r="V398" s="2">
        <v>10.73</v>
      </c>
      <c r="W398" s="2">
        <v>-6.76</v>
      </c>
      <c r="X398" s="2">
        <v>-5.18</v>
      </c>
      <c r="Y398" s="2">
        <v>-0.48</v>
      </c>
      <c r="Z398" s="2">
        <v>-1.98</v>
      </c>
    </row>
    <row r="399" spans="1:26" x14ac:dyDescent="0.25">
      <c r="A399" s="1" t="s">
        <v>1808</v>
      </c>
      <c r="B399" s="1" t="s">
        <v>1809</v>
      </c>
      <c r="C399" s="1" t="s">
        <v>16</v>
      </c>
      <c r="D399" s="1" t="s">
        <v>38</v>
      </c>
      <c r="E399" s="1" t="s">
        <v>101</v>
      </c>
      <c r="F399" s="1" t="s">
        <v>1810</v>
      </c>
      <c r="G399" s="1" t="s">
        <v>12480</v>
      </c>
      <c r="H399" s="1" t="s">
        <v>1811</v>
      </c>
      <c r="I399" s="2">
        <v>957.67</v>
      </c>
      <c r="J399" s="2">
        <v>48.09</v>
      </c>
      <c r="K399" s="2">
        <v>53.64</v>
      </c>
      <c r="L399" s="2">
        <v>61.9</v>
      </c>
      <c r="M399" s="4">
        <f t="shared" si="36"/>
        <v>17.85365398956003</v>
      </c>
      <c r="N399" s="4">
        <f t="shared" si="37"/>
        <v>15.47124394184168</v>
      </c>
      <c r="O399" s="5">
        <f t="shared" si="38"/>
        <v>0.11540860885839055</v>
      </c>
      <c r="P399" s="5">
        <f t="shared" si="39"/>
        <v>0.15398956002982844</v>
      </c>
      <c r="Q399" s="4">
        <f t="shared" si="40"/>
        <v>1.5469949916359307</v>
      </c>
      <c r="R399" s="4">
        <f t="shared" si="41"/>
        <v>1.0046943402426003</v>
      </c>
      <c r="S399" s="4">
        <v>18.670000000000002</v>
      </c>
      <c r="T399" s="2">
        <v>1.48</v>
      </c>
      <c r="U399" s="2">
        <v>1202.5899999999999</v>
      </c>
      <c r="V399" s="2">
        <v>815.72</v>
      </c>
      <c r="W399" s="2">
        <v>-10.36</v>
      </c>
      <c r="X399" s="2">
        <v>-11.32</v>
      </c>
      <c r="Y399" s="2">
        <v>-11.5</v>
      </c>
      <c r="Z399" s="2">
        <v>-10.53</v>
      </c>
    </row>
    <row r="400" spans="1:26" x14ac:dyDescent="0.25">
      <c r="A400" s="1" t="s">
        <v>1812</v>
      </c>
      <c r="B400" s="1" t="s">
        <v>1813</v>
      </c>
      <c r="C400" s="1" t="s">
        <v>45</v>
      </c>
      <c r="D400" s="1" t="s">
        <v>32</v>
      </c>
      <c r="E400" s="1" t="s">
        <v>215</v>
      </c>
      <c r="F400" s="1" t="s">
        <v>1814</v>
      </c>
      <c r="G400" s="1" t="s">
        <v>12480</v>
      </c>
      <c r="H400" s="1" t="s">
        <v>1815</v>
      </c>
      <c r="I400" s="2">
        <v>47.16</v>
      </c>
      <c r="J400" s="2">
        <v>4.45</v>
      </c>
      <c r="K400" s="2">
        <v>5.19</v>
      </c>
      <c r="L400" s="2">
        <v>5.76</v>
      </c>
      <c r="M400" s="4">
        <f t="shared" si="36"/>
        <v>9.0867052023121371</v>
      </c>
      <c r="N400" s="4">
        <f t="shared" si="37"/>
        <v>8.1875</v>
      </c>
      <c r="O400" s="5">
        <f t="shared" si="38"/>
        <v>0.16629213483146077</v>
      </c>
      <c r="P400" s="5">
        <f t="shared" si="39"/>
        <v>0.10982658959537561</v>
      </c>
      <c r="Q400" s="4">
        <f t="shared" si="40"/>
        <v>0.5464302452741755</v>
      </c>
      <c r="R400" s="4">
        <f t="shared" si="41"/>
        <v>0.74549342105263228</v>
      </c>
      <c r="S400" s="4">
        <v>-2.35</v>
      </c>
      <c r="T400" s="2">
        <v>1.1100000000000001</v>
      </c>
      <c r="U400" s="2">
        <v>71.61</v>
      </c>
      <c r="V400" s="2">
        <v>46.27</v>
      </c>
      <c r="W400" s="2">
        <v>-3.68</v>
      </c>
      <c r="X400" s="2">
        <v>-2.2599999999999998</v>
      </c>
      <c r="Y400" s="2">
        <v>-23.62</v>
      </c>
      <c r="Z400" s="2">
        <v>-25.52</v>
      </c>
    </row>
    <row r="401" spans="1:26" x14ac:dyDescent="0.25">
      <c r="A401" s="1" t="s">
        <v>1817</v>
      </c>
      <c r="B401" s="1" t="s">
        <v>1818</v>
      </c>
      <c r="C401" s="1" t="s">
        <v>45</v>
      </c>
      <c r="D401" s="1" t="s">
        <v>18</v>
      </c>
      <c r="E401" s="1" t="s">
        <v>19</v>
      </c>
      <c r="F401" s="1" t="s">
        <v>1819</v>
      </c>
      <c r="G401" s="1" t="s">
        <v>12480</v>
      </c>
      <c r="H401" s="1" t="s">
        <v>1820</v>
      </c>
      <c r="I401" s="2">
        <v>72.11</v>
      </c>
      <c r="J401" s="2">
        <v>0.14000000000000001</v>
      </c>
      <c r="K401" s="2">
        <v>0.33</v>
      </c>
      <c r="L401" s="2">
        <v>0.54</v>
      </c>
      <c r="M401" s="4">
        <f t="shared" si="36"/>
        <v>218.5151515151515</v>
      </c>
      <c r="N401" s="4">
        <f t="shared" si="37"/>
        <v>133.53703703703704</v>
      </c>
      <c r="O401" s="5">
        <f t="shared" si="38"/>
        <v>1.3571428571428572</v>
      </c>
      <c r="P401" s="5">
        <f t="shared" si="39"/>
        <v>0.63636363636363646</v>
      </c>
      <c r="Q401" s="4">
        <f t="shared" si="40"/>
        <v>1.6101116427432214</v>
      </c>
      <c r="R401" s="4">
        <f t="shared" si="41"/>
        <v>2.0984391534391529</v>
      </c>
      <c r="S401" s="4">
        <v>99.97</v>
      </c>
      <c r="T401" s="2"/>
      <c r="U401" s="2">
        <v>130.18</v>
      </c>
      <c r="V401" s="2">
        <v>70.010000000000005</v>
      </c>
      <c r="W401" s="2">
        <v>-8.32</v>
      </c>
      <c r="X401" s="2">
        <v>-21.97</v>
      </c>
      <c r="Y401" s="2">
        <v>-25.38</v>
      </c>
      <c r="Z401" s="2">
        <v>-11.89</v>
      </c>
    </row>
    <row r="402" spans="1:26" x14ac:dyDescent="0.25">
      <c r="A402" s="1" t="s">
        <v>1821</v>
      </c>
      <c r="B402" s="1" t="s">
        <v>1822</v>
      </c>
      <c r="C402" s="1" t="s">
        <v>16</v>
      </c>
      <c r="D402" s="1" t="s">
        <v>32</v>
      </c>
      <c r="E402" s="1" t="s">
        <v>311</v>
      </c>
      <c r="F402" s="1" t="s">
        <v>1823</v>
      </c>
      <c r="G402" s="1" t="s">
        <v>12480</v>
      </c>
      <c r="H402" s="1" t="s">
        <v>1824</v>
      </c>
      <c r="I402" s="2">
        <v>36.06</v>
      </c>
      <c r="J402" s="2">
        <v>0.14000000000000001</v>
      </c>
      <c r="K402" s="2">
        <v>0.82</v>
      </c>
      <c r="L402" s="2">
        <v>1.4</v>
      </c>
      <c r="M402" s="4">
        <f t="shared" si="36"/>
        <v>43.975609756097569</v>
      </c>
      <c r="N402" s="4">
        <f t="shared" si="37"/>
        <v>25.75714285714286</v>
      </c>
      <c r="O402" s="5">
        <f t="shared" si="38"/>
        <v>4.8571428571428559</v>
      </c>
      <c r="P402" s="5">
        <f t="shared" si="39"/>
        <v>0.70731707317073167</v>
      </c>
      <c r="Q402" s="4">
        <f t="shared" si="40"/>
        <v>9.0538020086083248E-2</v>
      </c>
      <c r="R402" s="4">
        <f t="shared" si="41"/>
        <v>0.36415270935960592</v>
      </c>
      <c r="S402" s="4">
        <v>-99.88</v>
      </c>
      <c r="T402" s="2"/>
      <c r="U402" s="2">
        <v>74.63</v>
      </c>
      <c r="V402" s="2">
        <v>24.9</v>
      </c>
      <c r="W402" s="2">
        <v>6.65</v>
      </c>
      <c r="X402" s="2">
        <v>12.51</v>
      </c>
      <c r="Y402" s="2">
        <v>-15.01</v>
      </c>
      <c r="Z402" s="2">
        <v>-4.78</v>
      </c>
    </row>
    <row r="403" spans="1:26" x14ac:dyDescent="0.25">
      <c r="A403" s="1" t="s">
        <v>1825</v>
      </c>
      <c r="B403" s="1" t="s">
        <v>1826</v>
      </c>
      <c r="C403" s="1" t="s">
        <v>45</v>
      </c>
      <c r="D403" s="1" t="s">
        <v>18</v>
      </c>
      <c r="E403" s="1" t="s">
        <v>74</v>
      </c>
      <c r="F403" s="1" t="s">
        <v>1827</v>
      </c>
      <c r="G403" s="1" t="s">
        <v>12480</v>
      </c>
      <c r="H403" s="1" t="s">
        <v>786</v>
      </c>
      <c r="I403" s="2">
        <v>179.12</v>
      </c>
      <c r="J403" s="2">
        <v>-1.1499999999999999</v>
      </c>
      <c r="K403" s="2">
        <v>-2.16</v>
      </c>
      <c r="L403" s="2">
        <v>-0.23</v>
      </c>
      <c r="M403" s="4">
        <f t="shared" si="36"/>
        <v>-82.925925925925924</v>
      </c>
      <c r="N403" s="4">
        <f t="shared" si="37"/>
        <v>-778.78260869565213</v>
      </c>
      <c r="O403" s="5">
        <f t="shared" si="38"/>
        <v>0.87826086956521765</v>
      </c>
      <c r="P403" s="5">
        <f t="shared" si="39"/>
        <v>-0.89351851851851849</v>
      </c>
      <c r="Q403" s="4">
        <f t="shared" si="40"/>
        <v>-0.9442060872753939</v>
      </c>
      <c r="R403" s="4">
        <f t="shared" si="41"/>
        <v>8.7159089885109253</v>
      </c>
      <c r="S403" s="4"/>
      <c r="T403" s="2">
        <v>-1.46</v>
      </c>
      <c r="U403" s="2">
        <v>190.3</v>
      </c>
      <c r="V403" s="2">
        <v>54.1</v>
      </c>
      <c r="W403" s="2">
        <v>0.87</v>
      </c>
      <c r="X403" s="2">
        <v>-2.13</v>
      </c>
      <c r="Y403" s="2">
        <v>25.67</v>
      </c>
      <c r="Z403" s="2">
        <v>11.98</v>
      </c>
    </row>
    <row r="404" spans="1:26" x14ac:dyDescent="0.25">
      <c r="A404" s="1" t="s">
        <v>1828</v>
      </c>
      <c r="B404" s="1" t="s">
        <v>1829</v>
      </c>
      <c r="C404" s="1" t="s">
        <v>31</v>
      </c>
      <c r="D404" s="1" t="s">
        <v>61</v>
      </c>
      <c r="E404" s="1" t="s">
        <v>170</v>
      </c>
      <c r="F404" s="1" t="s">
        <v>1830</v>
      </c>
      <c r="G404" s="1" t="s">
        <v>12496</v>
      </c>
      <c r="H404" s="1" t="s">
        <v>1831</v>
      </c>
      <c r="I404" s="2">
        <v>31.39</v>
      </c>
      <c r="J404" s="2">
        <v>2.29</v>
      </c>
      <c r="K404" s="2">
        <v>2.4700000000000002</v>
      </c>
      <c r="L404" s="2">
        <v>3.01</v>
      </c>
      <c r="M404" s="4">
        <f t="shared" si="36"/>
        <v>12.708502024291498</v>
      </c>
      <c r="N404" s="4">
        <f t="shared" si="37"/>
        <v>10.428571428571429</v>
      </c>
      <c r="O404" s="5">
        <f t="shared" si="38"/>
        <v>7.8602620087336206E-2</v>
      </c>
      <c r="P404" s="5">
        <f t="shared" si="39"/>
        <v>0.21862348178137636</v>
      </c>
      <c r="Q404" s="4">
        <f t="shared" si="40"/>
        <v>1.6168038686459747</v>
      </c>
      <c r="R404" s="4">
        <f t="shared" si="41"/>
        <v>0.47701058201058233</v>
      </c>
      <c r="S404" s="4">
        <v>20.64</v>
      </c>
      <c r="T404" s="2">
        <v>0.14000000000000001</v>
      </c>
      <c r="U404" s="2">
        <v>31.39</v>
      </c>
      <c r="V404" s="2">
        <v>31.39</v>
      </c>
      <c r="W404" s="2" t="s">
        <v>12489</v>
      </c>
      <c r="X404" s="2" t="s">
        <v>12489</v>
      </c>
      <c r="Y404" s="2" t="s">
        <v>12489</v>
      </c>
      <c r="Z404" s="2" t="s">
        <v>12489</v>
      </c>
    </row>
    <row r="405" spans="1:26" x14ac:dyDescent="0.25">
      <c r="A405" s="1" t="s">
        <v>1832</v>
      </c>
      <c r="B405" s="1" t="s">
        <v>1833</v>
      </c>
      <c r="C405" s="1" t="s">
        <v>16</v>
      </c>
      <c r="D405" s="1" t="s">
        <v>38</v>
      </c>
      <c r="E405" s="1" t="s">
        <v>189</v>
      </c>
      <c r="F405" s="1" t="s">
        <v>1834</v>
      </c>
      <c r="G405" s="1" t="s">
        <v>12480</v>
      </c>
      <c r="H405" s="1" t="s">
        <v>1835</v>
      </c>
      <c r="I405" s="2">
        <v>47.79</v>
      </c>
      <c r="J405" s="2">
        <v>6.11</v>
      </c>
      <c r="K405" s="2"/>
      <c r="L405" s="2"/>
      <c r="M405" s="4" t="e">
        <f t="shared" si="36"/>
        <v>#DIV/0!</v>
      </c>
      <c r="N405" s="4" t="e">
        <f t="shared" si="37"/>
        <v>#DIV/0!</v>
      </c>
      <c r="O405" s="5">
        <f t="shared" si="38"/>
        <v>-1</v>
      </c>
      <c r="P405" s="5" t="e">
        <f t="shared" si="39"/>
        <v>#DIV/0!</v>
      </c>
      <c r="Q405" s="4" t="e">
        <f t="shared" si="40"/>
        <v>#DIV/0!</v>
      </c>
      <c r="R405" s="4" t="e">
        <f t="shared" si="41"/>
        <v>#DIV/0!</v>
      </c>
      <c r="S405" s="4">
        <v>0.89</v>
      </c>
      <c r="T405" s="2">
        <v>0.83</v>
      </c>
      <c r="U405" s="2">
        <v>51.17</v>
      </c>
      <c r="V405" s="2">
        <v>32.94</v>
      </c>
      <c r="W405" s="2">
        <v>-4.9000000000000004</v>
      </c>
      <c r="X405" s="2">
        <v>-2.91</v>
      </c>
      <c r="Y405" s="2">
        <v>5.45</v>
      </c>
      <c r="Z405" s="2">
        <v>7.15</v>
      </c>
    </row>
    <row r="406" spans="1:26" x14ac:dyDescent="0.25">
      <c r="A406" s="1" t="s">
        <v>1837</v>
      </c>
      <c r="B406" s="1" t="s">
        <v>1838</v>
      </c>
      <c r="C406" s="1" t="s">
        <v>16</v>
      </c>
      <c r="D406" s="1" t="s">
        <v>38</v>
      </c>
      <c r="E406" s="1" t="s">
        <v>189</v>
      </c>
      <c r="F406" s="1" t="s">
        <v>1839</v>
      </c>
      <c r="G406" s="1" t="s">
        <v>12480</v>
      </c>
      <c r="H406" s="1" t="s">
        <v>1840</v>
      </c>
      <c r="I406" s="2">
        <v>71.23</v>
      </c>
      <c r="J406" s="2">
        <v>4.43</v>
      </c>
      <c r="K406" s="2">
        <v>7.28</v>
      </c>
      <c r="L406" s="2">
        <v>10.37</v>
      </c>
      <c r="M406" s="4">
        <f t="shared" si="36"/>
        <v>9.7843406593406588</v>
      </c>
      <c r="N406" s="4">
        <f t="shared" si="37"/>
        <v>6.8688524590163942</v>
      </c>
      <c r="O406" s="5">
        <f t="shared" si="38"/>
        <v>0.64334085778781058</v>
      </c>
      <c r="P406" s="5">
        <f t="shared" si="39"/>
        <v>0.42445054945054927</v>
      </c>
      <c r="Q406" s="4">
        <f t="shared" si="40"/>
        <v>0.15208641796799685</v>
      </c>
      <c r="R406" s="4">
        <f t="shared" si="41"/>
        <v>0.16182927476258696</v>
      </c>
      <c r="S406" s="4">
        <v>5.01</v>
      </c>
      <c r="T406" s="2">
        <v>1.51</v>
      </c>
      <c r="U406" s="2">
        <v>104.7</v>
      </c>
      <c r="V406" s="2">
        <v>39.270000000000003</v>
      </c>
      <c r="W406" s="2">
        <v>-7.2</v>
      </c>
      <c r="X406" s="2">
        <v>-23.69</v>
      </c>
      <c r="Y406" s="2">
        <v>-19.38</v>
      </c>
      <c r="Z406" s="2" t="s">
        <v>12587</v>
      </c>
    </row>
    <row r="407" spans="1:26" x14ac:dyDescent="0.25">
      <c r="A407" s="1" t="s">
        <v>1841</v>
      </c>
      <c r="B407" s="1" t="s">
        <v>1842</v>
      </c>
      <c r="C407" s="1" t="s">
        <v>16</v>
      </c>
      <c r="D407" s="1" t="s">
        <v>32</v>
      </c>
      <c r="E407" s="1" t="s">
        <v>1844</v>
      </c>
      <c r="F407" s="1" t="s">
        <v>1843</v>
      </c>
      <c r="G407" s="1" t="s">
        <v>12480</v>
      </c>
      <c r="H407" s="1" t="s">
        <v>1845</v>
      </c>
      <c r="I407" s="2">
        <v>149.54</v>
      </c>
      <c r="J407" s="2">
        <v>4.79</v>
      </c>
      <c r="K407" s="2">
        <v>5.03</v>
      </c>
      <c r="L407" s="2">
        <v>5.52</v>
      </c>
      <c r="M407" s="4">
        <f t="shared" si="36"/>
        <v>29.729622266401588</v>
      </c>
      <c r="N407" s="4">
        <f t="shared" si="37"/>
        <v>27.090579710144929</v>
      </c>
      <c r="O407" s="5">
        <f t="shared" si="38"/>
        <v>5.0104384133611735E-2</v>
      </c>
      <c r="P407" s="5">
        <f t="shared" si="39"/>
        <v>9.7415506958250297E-2</v>
      </c>
      <c r="Q407" s="4">
        <f t="shared" si="40"/>
        <v>5.9335371106693113</v>
      </c>
      <c r="R407" s="4">
        <f t="shared" si="41"/>
        <v>2.780930937592434</v>
      </c>
      <c r="S407" s="4">
        <v>10.9</v>
      </c>
      <c r="T407" s="2">
        <v>0.87</v>
      </c>
      <c r="U407" s="2">
        <v>254.17</v>
      </c>
      <c r="V407" s="2">
        <v>144.41999999999999</v>
      </c>
      <c r="W407" s="2">
        <v>-1.75</v>
      </c>
      <c r="X407" s="2">
        <v>-0.69</v>
      </c>
      <c r="Y407" s="2">
        <v>-18.52</v>
      </c>
      <c r="Z407" s="2">
        <v>-14.26</v>
      </c>
    </row>
    <row r="408" spans="1:26" x14ac:dyDescent="0.25">
      <c r="A408" s="1" t="s">
        <v>1846</v>
      </c>
      <c r="B408" s="1" t="s">
        <v>1847</v>
      </c>
      <c r="C408" s="1" t="s">
        <v>1118</v>
      </c>
      <c r="D408" s="1" t="s">
        <v>140</v>
      </c>
      <c r="E408" s="1" t="s">
        <v>284</v>
      </c>
      <c r="F408" s="1" t="s">
        <v>1848</v>
      </c>
      <c r="G408" s="1" t="s">
        <v>12497</v>
      </c>
      <c r="H408" s="1" t="s">
        <v>1849</v>
      </c>
      <c r="I408" s="2">
        <v>20.7</v>
      </c>
      <c r="J408" s="2">
        <v>-12.58</v>
      </c>
      <c r="K408" s="2">
        <v>-15.81</v>
      </c>
      <c r="L408" s="2">
        <v>0.4</v>
      </c>
      <c r="M408" s="4">
        <f t="shared" si="36"/>
        <v>-1.3092979127134723</v>
      </c>
      <c r="N408" s="4">
        <f t="shared" si="37"/>
        <v>51.749999999999993</v>
      </c>
      <c r="O408" s="5">
        <f t="shared" si="38"/>
        <v>0.2567567567567568</v>
      </c>
      <c r="P408" s="5">
        <f t="shared" si="39"/>
        <v>-1.0253004427577483</v>
      </c>
      <c r="Q408" s="4">
        <f t="shared" si="40"/>
        <v>-5.0993708179366805E-2</v>
      </c>
      <c r="R408" s="4">
        <f t="shared" si="41"/>
        <v>-0.50473010487353476</v>
      </c>
      <c r="S408" s="4">
        <v>84.14</v>
      </c>
      <c r="T408" s="2"/>
      <c r="U408" s="2" t="s">
        <v>12588</v>
      </c>
      <c r="V408" s="2">
        <v>4.26</v>
      </c>
      <c r="W408" s="2">
        <v>1.47</v>
      </c>
      <c r="X408" s="2">
        <v>-3.5</v>
      </c>
      <c r="Y408" s="2">
        <v>-33.119999999999997</v>
      </c>
      <c r="Z408" s="2">
        <v>-23.76</v>
      </c>
    </row>
    <row r="409" spans="1:26" x14ac:dyDescent="0.25">
      <c r="A409" s="1" t="s">
        <v>1850</v>
      </c>
      <c r="B409" s="1" t="s">
        <v>1851</v>
      </c>
      <c r="C409" s="1" t="s">
        <v>16</v>
      </c>
      <c r="D409" s="1" t="s">
        <v>38</v>
      </c>
      <c r="E409" s="1" t="s">
        <v>189</v>
      </c>
      <c r="F409" s="1" t="s">
        <v>1852</v>
      </c>
      <c r="G409" s="1" t="s">
        <v>12479</v>
      </c>
      <c r="H409" s="1" t="s">
        <v>1853</v>
      </c>
      <c r="I409" s="2">
        <v>141.97999999999999</v>
      </c>
      <c r="J409" s="2">
        <v>8.68</v>
      </c>
      <c r="K409" s="2">
        <v>10.26</v>
      </c>
      <c r="L409" s="2">
        <v>11.86</v>
      </c>
      <c r="M409" s="4">
        <f t="shared" si="36"/>
        <v>13.838206627680311</v>
      </c>
      <c r="N409" s="4">
        <f t="shared" si="37"/>
        <v>11.971332209106238</v>
      </c>
      <c r="O409" s="5">
        <f t="shared" si="38"/>
        <v>0.18202764976958519</v>
      </c>
      <c r="P409" s="5">
        <f t="shared" si="39"/>
        <v>0.15594541910331383</v>
      </c>
      <c r="Q409" s="4">
        <f t="shared" si="40"/>
        <v>0.76022552865990589</v>
      </c>
      <c r="R409" s="4">
        <f t="shared" si="41"/>
        <v>0.76766167790893758</v>
      </c>
      <c r="S409" s="4">
        <v>-4.05</v>
      </c>
      <c r="T409" s="2">
        <v>0.92</v>
      </c>
      <c r="U409" s="2">
        <v>148.85</v>
      </c>
      <c r="V409" s="2">
        <v>87.54</v>
      </c>
      <c r="W409" s="2">
        <v>-2.41</v>
      </c>
      <c r="X409" s="2">
        <v>-1.9</v>
      </c>
      <c r="Y409" s="2">
        <v>7.5</v>
      </c>
      <c r="Z409" s="2">
        <v>9.39</v>
      </c>
    </row>
    <row r="410" spans="1:26" x14ac:dyDescent="0.25">
      <c r="A410" s="1" t="s">
        <v>1854</v>
      </c>
      <c r="B410" s="1" t="s">
        <v>1855</v>
      </c>
      <c r="C410" s="1" t="s">
        <v>45</v>
      </c>
      <c r="D410" s="1" t="s">
        <v>18</v>
      </c>
      <c r="E410" s="1" t="s">
        <v>74</v>
      </c>
      <c r="F410" s="1" t="s">
        <v>1856</v>
      </c>
      <c r="G410" s="1" t="s">
        <v>12480</v>
      </c>
      <c r="H410" s="1" t="s">
        <v>1857</v>
      </c>
      <c r="I410" s="2">
        <v>60.88</v>
      </c>
      <c r="J410" s="2">
        <v>3.15</v>
      </c>
      <c r="K410" s="2">
        <v>5.19</v>
      </c>
      <c r="L410" s="2">
        <v>5.9</v>
      </c>
      <c r="M410" s="4">
        <f t="shared" si="36"/>
        <v>11.730250481695569</v>
      </c>
      <c r="N410" s="4">
        <f t="shared" si="37"/>
        <v>10.31864406779661</v>
      </c>
      <c r="O410" s="5">
        <f t="shared" si="38"/>
        <v>0.64761904761904776</v>
      </c>
      <c r="P410" s="5">
        <f t="shared" si="39"/>
        <v>0.1368015414258188</v>
      </c>
      <c r="Q410" s="4">
        <f t="shared" si="40"/>
        <v>0.18112886773206391</v>
      </c>
      <c r="R410" s="4">
        <f t="shared" si="41"/>
        <v>0.75427834805442873</v>
      </c>
      <c r="S410" s="4">
        <v>12.87</v>
      </c>
      <c r="T410" s="2">
        <v>0.25</v>
      </c>
      <c r="U410" s="2">
        <v>72.83</v>
      </c>
      <c r="V410" s="2">
        <v>51.46</v>
      </c>
      <c r="W410" s="2">
        <v>1.91</v>
      </c>
      <c r="X410" s="2">
        <v>5.31</v>
      </c>
      <c r="Y410" s="2">
        <v>16.809999999999999</v>
      </c>
      <c r="Z410" s="2">
        <v>2.44</v>
      </c>
    </row>
    <row r="411" spans="1:26" x14ac:dyDescent="0.25">
      <c r="A411" s="1" t="s">
        <v>1859</v>
      </c>
      <c r="B411" s="1" t="s">
        <v>1860</v>
      </c>
      <c r="C411" s="1" t="s">
        <v>31</v>
      </c>
      <c r="D411" s="1" t="s">
        <v>147</v>
      </c>
      <c r="E411" s="1" t="s">
        <v>1084</v>
      </c>
      <c r="F411" s="1" t="s">
        <v>1861</v>
      </c>
      <c r="G411" s="1" t="s">
        <v>12490</v>
      </c>
      <c r="H411" s="1" t="s">
        <v>1862</v>
      </c>
      <c r="I411" s="2">
        <v>9.4499999999999993</v>
      </c>
      <c r="J411" s="2">
        <v>1.71</v>
      </c>
      <c r="K411" s="2" t="s">
        <v>12493</v>
      </c>
      <c r="L411" s="2">
        <v>1.1000000000000001</v>
      </c>
      <c r="M411" s="4">
        <f t="shared" si="36"/>
        <v>9.4499999999999993</v>
      </c>
      <c r="N411" s="4">
        <f t="shared" si="37"/>
        <v>8.5909090909090899</v>
      </c>
      <c r="O411" s="5">
        <f t="shared" si="38"/>
        <v>-0.41520467836257313</v>
      </c>
      <c r="P411" s="5">
        <f t="shared" si="39"/>
        <v>0.10000000000000009</v>
      </c>
      <c r="Q411" s="4">
        <f t="shared" si="40"/>
        <v>-0.22759859154929576</v>
      </c>
      <c r="R411" s="4">
        <f t="shared" si="41"/>
        <v>0.85909090909090824</v>
      </c>
      <c r="S411" s="4">
        <v>3.1</v>
      </c>
      <c r="T411" s="2">
        <v>0.96</v>
      </c>
      <c r="U411" s="2">
        <v>18.46</v>
      </c>
      <c r="V411" s="2">
        <v>8.17</v>
      </c>
      <c r="W411" s="2">
        <v>-6.53</v>
      </c>
      <c r="X411" s="2">
        <v>1.07</v>
      </c>
      <c r="Y411" s="2">
        <v>8.75</v>
      </c>
      <c r="Z411" s="2">
        <v>4.6500000000000004</v>
      </c>
    </row>
    <row r="412" spans="1:26" x14ac:dyDescent="0.25">
      <c r="A412" s="1" t="s">
        <v>1863</v>
      </c>
      <c r="B412" s="1" t="s">
        <v>1864</v>
      </c>
      <c r="C412" s="1" t="s">
        <v>31</v>
      </c>
      <c r="D412" s="1" t="s">
        <v>18</v>
      </c>
      <c r="E412" s="1" t="s">
        <v>624</v>
      </c>
      <c r="F412" s="1" t="s">
        <v>1865</v>
      </c>
      <c r="G412" s="1" t="s">
        <v>12480</v>
      </c>
      <c r="H412" s="1" t="s">
        <v>1866</v>
      </c>
      <c r="I412" s="2">
        <v>120.19</v>
      </c>
      <c r="J412" s="2">
        <v>5.25</v>
      </c>
      <c r="K412" s="2"/>
      <c r="L412" s="2"/>
      <c r="M412" s="4" t="e">
        <f t="shared" si="36"/>
        <v>#DIV/0!</v>
      </c>
      <c r="N412" s="4" t="e">
        <f t="shared" si="37"/>
        <v>#DIV/0!</v>
      </c>
      <c r="O412" s="5">
        <f t="shared" si="38"/>
        <v>-1</v>
      </c>
      <c r="P412" s="5" t="e">
        <f t="shared" si="39"/>
        <v>#DIV/0!</v>
      </c>
      <c r="Q412" s="4" t="e">
        <f t="shared" si="40"/>
        <v>#DIV/0!</v>
      </c>
      <c r="R412" s="4" t="e">
        <f t="shared" si="41"/>
        <v>#DIV/0!</v>
      </c>
      <c r="S412" s="4">
        <v>6.88</v>
      </c>
      <c r="T412" s="2">
        <v>0.91</v>
      </c>
      <c r="U412" s="2" t="s">
        <v>12589</v>
      </c>
      <c r="V412" s="2">
        <v>109.61</v>
      </c>
      <c r="W412" s="2" t="s">
        <v>12489</v>
      </c>
      <c r="X412" s="2">
        <v>6.77</v>
      </c>
      <c r="Y412" s="2">
        <v>-4.04</v>
      </c>
      <c r="Z412" s="2">
        <v>-7.01</v>
      </c>
    </row>
    <row r="413" spans="1:26" x14ac:dyDescent="0.25">
      <c r="A413" s="1" t="s">
        <v>1867</v>
      </c>
      <c r="B413" s="1" t="s">
        <v>1868</v>
      </c>
      <c r="C413" s="1" t="s">
        <v>16</v>
      </c>
      <c r="D413" s="1" t="s">
        <v>18</v>
      </c>
      <c r="E413" s="1" t="s">
        <v>74</v>
      </c>
      <c r="F413" s="1" t="s">
        <v>1869</v>
      </c>
      <c r="G413" s="1" t="s">
        <v>12480</v>
      </c>
      <c r="H413" s="1" t="s">
        <v>1870</v>
      </c>
      <c r="I413" s="2">
        <v>60.63</v>
      </c>
      <c r="J413" s="2">
        <v>6.15</v>
      </c>
      <c r="K413" s="2">
        <v>6.26</v>
      </c>
      <c r="L413" s="2">
        <v>6.09</v>
      </c>
      <c r="M413" s="4">
        <f t="shared" si="36"/>
        <v>9.6853035143769972</v>
      </c>
      <c r="N413" s="4">
        <f t="shared" si="37"/>
        <v>9.9556650246305427</v>
      </c>
      <c r="O413" s="5">
        <f t="shared" si="38"/>
        <v>1.788617886178856E-2</v>
      </c>
      <c r="P413" s="5">
        <f t="shared" si="39"/>
        <v>-2.7156549520766737E-2</v>
      </c>
      <c r="Q413" s="4">
        <f t="shared" si="40"/>
        <v>5.4149651466744295</v>
      </c>
      <c r="R413" s="4">
        <f t="shared" si="41"/>
        <v>-3.6660272384816048</v>
      </c>
      <c r="S413" s="4">
        <v>-0.22</v>
      </c>
      <c r="T413" s="2">
        <v>0.26</v>
      </c>
      <c r="U413" s="2">
        <v>63.11</v>
      </c>
      <c r="V413" s="2">
        <v>42.6</v>
      </c>
      <c r="W413" s="2">
        <v>-2.74</v>
      </c>
      <c r="X413" s="2">
        <v>-0.23</v>
      </c>
      <c r="Y413" s="2">
        <v>11.68</v>
      </c>
      <c r="Z413" s="2">
        <v>12.4</v>
      </c>
    </row>
    <row r="414" spans="1:26" x14ac:dyDescent="0.25">
      <c r="A414" s="1" t="s">
        <v>1871</v>
      </c>
      <c r="B414" s="1" t="s">
        <v>1872</v>
      </c>
      <c r="C414" s="1" t="s">
        <v>16</v>
      </c>
      <c r="D414" s="1" t="s">
        <v>38</v>
      </c>
      <c r="E414" s="1" t="s">
        <v>1806</v>
      </c>
      <c r="F414" s="1" t="s">
        <v>1873</v>
      </c>
      <c r="G414" s="1" t="s">
        <v>12480</v>
      </c>
      <c r="H414" s="1" t="s">
        <v>1874</v>
      </c>
      <c r="I414" s="2">
        <v>41.08</v>
      </c>
      <c r="J414" s="2">
        <v>2.54</v>
      </c>
      <c r="K414" s="2">
        <v>2.96</v>
      </c>
      <c r="L414" s="2">
        <v>3.8</v>
      </c>
      <c r="M414" s="4">
        <f t="shared" si="36"/>
        <v>13.878378378378377</v>
      </c>
      <c r="N414" s="4">
        <f t="shared" si="37"/>
        <v>10.810526315789474</v>
      </c>
      <c r="O414" s="5">
        <f t="shared" si="38"/>
        <v>0.16535433070866135</v>
      </c>
      <c r="P414" s="5">
        <f t="shared" si="39"/>
        <v>0.28378378378378377</v>
      </c>
      <c r="Q414" s="4">
        <f t="shared" si="40"/>
        <v>0.8393114543114546</v>
      </c>
      <c r="R414" s="4">
        <f t="shared" si="41"/>
        <v>0.3809423558897243</v>
      </c>
      <c r="S414" s="4">
        <v>-12.68</v>
      </c>
      <c r="T414" s="2">
        <v>1.58</v>
      </c>
      <c r="U414" s="2">
        <v>49.17</v>
      </c>
      <c r="V414" s="2">
        <v>29.79</v>
      </c>
      <c r="W414" s="2">
        <v>-6.55</v>
      </c>
      <c r="X414" s="2">
        <v>-12.35</v>
      </c>
      <c r="Y414" s="2">
        <v>-9.34</v>
      </c>
      <c r="Z414" s="2">
        <v>-10.48</v>
      </c>
    </row>
    <row r="415" spans="1:26" x14ac:dyDescent="0.25">
      <c r="A415" s="1" t="s">
        <v>1875</v>
      </c>
      <c r="B415" s="1" t="s">
        <v>1876</v>
      </c>
      <c r="C415" s="1" t="s">
        <v>16</v>
      </c>
      <c r="D415" s="1" t="s">
        <v>38</v>
      </c>
      <c r="E415" s="1" t="s">
        <v>765</v>
      </c>
      <c r="F415" s="1" t="s">
        <v>1877</v>
      </c>
      <c r="G415" s="1" t="s">
        <v>12480</v>
      </c>
      <c r="H415" s="1" t="s">
        <v>1878</v>
      </c>
      <c r="I415" s="2">
        <v>19.27</v>
      </c>
      <c r="J415" s="2">
        <v>1.49</v>
      </c>
      <c r="K415" s="2">
        <v>1.55</v>
      </c>
      <c r="L415" s="2">
        <v>1.63</v>
      </c>
      <c r="M415" s="4">
        <f t="shared" si="36"/>
        <v>12.432258064516128</v>
      </c>
      <c r="N415" s="4">
        <f t="shared" si="37"/>
        <v>11.822085889570552</v>
      </c>
      <c r="O415" s="5">
        <f t="shared" si="38"/>
        <v>4.0268456375838868E-2</v>
      </c>
      <c r="P415" s="5">
        <f t="shared" si="39"/>
        <v>5.1612903225806361E-2</v>
      </c>
      <c r="Q415" s="4">
        <f t="shared" si="40"/>
        <v>3.0873440860215098</v>
      </c>
      <c r="R415" s="4">
        <f t="shared" si="41"/>
        <v>2.2905291411042983</v>
      </c>
      <c r="S415" s="4">
        <v>5.17</v>
      </c>
      <c r="T415" s="2">
        <v>0.99</v>
      </c>
      <c r="U415" s="2">
        <v>19.850000000000001</v>
      </c>
      <c r="V415" s="2">
        <v>14.72</v>
      </c>
      <c r="W415" s="2">
        <v>-0.26</v>
      </c>
      <c r="X415" s="2">
        <v>-0.41</v>
      </c>
      <c r="Y415" s="2">
        <v>8.02</v>
      </c>
      <c r="Z415" s="2">
        <v>10.94</v>
      </c>
    </row>
    <row r="416" spans="1:26" x14ac:dyDescent="0.25">
      <c r="A416" s="1" t="s">
        <v>1879</v>
      </c>
      <c r="B416" s="1" t="s">
        <v>1880</v>
      </c>
      <c r="C416" s="1" t="s">
        <v>31</v>
      </c>
      <c r="D416" s="1" t="s">
        <v>38</v>
      </c>
      <c r="E416" s="1" t="s">
        <v>189</v>
      </c>
      <c r="F416" s="1" t="s">
        <v>1881</v>
      </c>
      <c r="G416" s="1" t="s">
        <v>12480</v>
      </c>
      <c r="H416" s="1" t="s">
        <v>1882</v>
      </c>
      <c r="I416" s="2">
        <v>50.75</v>
      </c>
      <c r="J416" s="2">
        <v>5.82</v>
      </c>
      <c r="K416" s="2">
        <v>6.94</v>
      </c>
      <c r="L416" s="2">
        <v>7.73</v>
      </c>
      <c r="M416" s="4">
        <f t="shared" si="36"/>
        <v>7.3126801152737748</v>
      </c>
      <c r="N416" s="4">
        <f t="shared" si="37"/>
        <v>6.5653298835705041</v>
      </c>
      <c r="O416" s="5">
        <f t="shared" si="38"/>
        <v>0.19243986254295531</v>
      </c>
      <c r="P416" s="5">
        <f t="shared" si="39"/>
        <v>0.11383285302593671</v>
      </c>
      <c r="Q416" s="4">
        <f t="shared" si="40"/>
        <v>0.37999819884726227</v>
      </c>
      <c r="R416" s="4">
        <f t="shared" si="41"/>
        <v>0.57675176445543364</v>
      </c>
      <c r="S416" s="4">
        <v>9.64</v>
      </c>
      <c r="T416" s="2">
        <v>0.69</v>
      </c>
      <c r="U416" s="2">
        <v>57.23</v>
      </c>
      <c r="V416" s="2">
        <v>35.340000000000003</v>
      </c>
      <c r="W416" s="2">
        <v>-6.21</v>
      </c>
      <c r="X416" s="2">
        <v>-9.99</v>
      </c>
      <c r="Y416" s="2">
        <v>8.86</v>
      </c>
      <c r="Z416" s="2">
        <v>7.07</v>
      </c>
    </row>
    <row r="417" spans="1:26" x14ac:dyDescent="0.25">
      <c r="A417" s="1" t="s">
        <v>1883</v>
      </c>
      <c r="B417" s="1" t="s">
        <v>1884</v>
      </c>
      <c r="C417" s="1" t="s">
        <v>16</v>
      </c>
      <c r="D417" s="1" t="s">
        <v>38</v>
      </c>
      <c r="E417" s="1" t="s">
        <v>189</v>
      </c>
      <c r="F417" s="1" t="s">
        <v>1885</v>
      </c>
      <c r="G417" s="1" t="s">
        <v>12479</v>
      </c>
      <c r="H417" s="1" t="s">
        <v>1886</v>
      </c>
      <c r="I417" s="2">
        <v>70.87</v>
      </c>
      <c r="J417" s="2">
        <v>5.0599999999999996</v>
      </c>
      <c r="K417" s="2">
        <v>6.04</v>
      </c>
      <c r="L417" s="2">
        <v>6.78</v>
      </c>
      <c r="M417" s="4">
        <f t="shared" si="36"/>
        <v>11.733443708609272</v>
      </c>
      <c r="N417" s="4">
        <f t="shared" si="37"/>
        <v>10.452802359882007</v>
      </c>
      <c r="O417" s="5">
        <f t="shared" si="38"/>
        <v>0.19367588932806323</v>
      </c>
      <c r="P417" s="5">
        <f t="shared" si="39"/>
        <v>0.1225165562913908</v>
      </c>
      <c r="Q417" s="4">
        <f t="shared" si="40"/>
        <v>0.6058288282200297</v>
      </c>
      <c r="R417" s="4">
        <f t="shared" si="41"/>
        <v>0.85317467910388223</v>
      </c>
      <c r="S417" s="4">
        <v>-5.72</v>
      </c>
      <c r="T417" s="2">
        <v>1.1000000000000001</v>
      </c>
      <c r="U417" s="2">
        <v>77.78</v>
      </c>
      <c r="V417" s="2">
        <v>44.56</v>
      </c>
      <c r="W417" s="2">
        <v>-6.21</v>
      </c>
      <c r="X417" s="2">
        <v>-8.7100000000000009</v>
      </c>
      <c r="Y417" s="2">
        <v>-2.93</v>
      </c>
      <c r="Z417" s="2">
        <v>-3.83</v>
      </c>
    </row>
    <row r="418" spans="1:26" x14ac:dyDescent="0.25">
      <c r="A418" s="1" t="s">
        <v>1887</v>
      </c>
      <c r="B418" s="1" t="s">
        <v>1888</v>
      </c>
      <c r="C418" s="1" t="s">
        <v>16</v>
      </c>
      <c r="D418" s="1" t="s">
        <v>38</v>
      </c>
      <c r="E418" s="1" t="s">
        <v>52</v>
      </c>
      <c r="F418" s="1" t="s">
        <v>1889</v>
      </c>
      <c r="G418" s="1" t="s">
        <v>12480</v>
      </c>
      <c r="H418" s="1" t="s">
        <v>1890</v>
      </c>
      <c r="I418" s="2">
        <v>42.01</v>
      </c>
      <c r="J418" s="2">
        <v>0.24</v>
      </c>
      <c r="K418" s="2"/>
      <c r="L418" s="2"/>
      <c r="M418" s="4" t="e">
        <f t="shared" si="36"/>
        <v>#DIV/0!</v>
      </c>
      <c r="N418" s="4" t="e">
        <f t="shared" si="37"/>
        <v>#DIV/0!</v>
      </c>
      <c r="O418" s="5">
        <f t="shared" si="38"/>
        <v>-1</v>
      </c>
      <c r="P418" s="5" t="e">
        <f t="shared" si="39"/>
        <v>#DIV/0!</v>
      </c>
      <c r="Q418" s="4" t="e">
        <f t="shared" si="40"/>
        <v>#DIV/0!</v>
      </c>
      <c r="R418" s="4" t="e">
        <f t="shared" si="41"/>
        <v>#DIV/0!</v>
      </c>
      <c r="S418" s="4">
        <v>-17.5</v>
      </c>
      <c r="T418" s="2">
        <v>1.57</v>
      </c>
      <c r="U418" s="2">
        <v>49.6</v>
      </c>
      <c r="V418" s="2">
        <v>29.8</v>
      </c>
      <c r="W418" s="2">
        <v>-6.46</v>
      </c>
      <c r="X418" s="2">
        <v>-10.41</v>
      </c>
      <c r="Y418" s="2">
        <v>-7.34</v>
      </c>
      <c r="Z418" s="2">
        <v>-8.57</v>
      </c>
    </row>
    <row r="419" spans="1:26" x14ac:dyDescent="0.25">
      <c r="A419" s="1" t="s">
        <v>1891</v>
      </c>
      <c r="B419" s="1" t="s">
        <v>1892</v>
      </c>
      <c r="C419" s="1" t="s">
        <v>31</v>
      </c>
      <c r="D419" s="1" t="s">
        <v>88</v>
      </c>
      <c r="E419" s="1" t="s">
        <v>504</v>
      </c>
      <c r="F419" s="1" t="s">
        <v>1893</v>
      </c>
      <c r="G419" s="1" t="s">
        <v>12480</v>
      </c>
      <c r="H419" s="1" t="s">
        <v>1894</v>
      </c>
      <c r="I419" s="2">
        <v>10.46</v>
      </c>
      <c r="J419" s="2">
        <v>0.8</v>
      </c>
      <c r="K419" s="2">
        <v>0.7</v>
      </c>
      <c r="L419" s="2">
        <v>0.77</v>
      </c>
      <c r="M419" s="4">
        <f t="shared" si="36"/>
        <v>14.942857142857145</v>
      </c>
      <c r="N419" s="4">
        <f t="shared" si="37"/>
        <v>13.584415584415586</v>
      </c>
      <c r="O419" s="5">
        <f t="shared" si="38"/>
        <v>-0.12500000000000011</v>
      </c>
      <c r="P419" s="5">
        <f t="shared" si="39"/>
        <v>0.10000000000000009</v>
      </c>
      <c r="Q419" s="4">
        <f t="shared" si="40"/>
        <v>-1.1954285714285706</v>
      </c>
      <c r="R419" s="4">
        <f t="shared" si="41"/>
        <v>1.3584415584415575</v>
      </c>
      <c r="S419" s="4">
        <v>-3.44</v>
      </c>
      <c r="T419" s="2">
        <v>0.75</v>
      </c>
      <c r="U419" s="2">
        <v>14.54</v>
      </c>
      <c r="V419" s="2">
        <v>10.39</v>
      </c>
      <c r="W419" s="2">
        <v>-12.18</v>
      </c>
      <c r="X419" s="2">
        <v>-20.52</v>
      </c>
      <c r="Y419" s="2">
        <v>-10.14</v>
      </c>
      <c r="Z419" s="2">
        <v>-9.67</v>
      </c>
    </row>
    <row r="420" spans="1:26" x14ac:dyDescent="0.25">
      <c r="A420" s="1" t="s">
        <v>1895</v>
      </c>
      <c r="B420" s="1" t="s">
        <v>1896</v>
      </c>
      <c r="C420" s="1" t="s">
        <v>45</v>
      </c>
      <c r="D420" s="1" t="s">
        <v>18</v>
      </c>
      <c r="E420" s="1" t="s">
        <v>74</v>
      </c>
      <c r="F420" s="1" t="s">
        <v>1897</v>
      </c>
      <c r="G420" s="1" t="s">
        <v>12480</v>
      </c>
      <c r="H420" s="1" t="s">
        <v>1898</v>
      </c>
      <c r="I420" s="2">
        <v>102.16</v>
      </c>
      <c r="J420" s="2" t="s">
        <v>12590</v>
      </c>
      <c r="K420" s="2">
        <v>-2.35</v>
      </c>
      <c r="L420" s="2">
        <v>-2.4900000000000002</v>
      </c>
      <c r="M420" s="4">
        <f t="shared" si="36"/>
        <v>-43.472340425531911</v>
      </c>
      <c r="N420" s="4">
        <f t="shared" si="37"/>
        <v>-41.028112449799195</v>
      </c>
      <c r="O420" s="5">
        <f t="shared" si="38"/>
        <v>-0.21666666666666667</v>
      </c>
      <c r="P420" s="5">
        <f t="shared" si="39"/>
        <v>5.9574468085106469E-2</v>
      </c>
      <c r="Q420" s="4">
        <f t="shared" si="40"/>
        <v>2.0064157119476267</v>
      </c>
      <c r="R420" s="4">
        <f t="shared" si="41"/>
        <v>-6.8868617326448547</v>
      </c>
      <c r="S420" s="4">
        <v>-27.96</v>
      </c>
      <c r="T420" s="2">
        <v>1.51</v>
      </c>
      <c r="U420" s="2">
        <v>120.54</v>
      </c>
      <c r="V420" s="2">
        <v>86.65</v>
      </c>
      <c r="W420" s="2">
        <v>-4.95</v>
      </c>
      <c r="X420" s="2">
        <v>-7.41</v>
      </c>
      <c r="Y420" s="2">
        <v>8.9</v>
      </c>
      <c r="Z420" s="2">
        <v>7.31</v>
      </c>
    </row>
    <row r="421" spans="1:26" x14ac:dyDescent="0.25">
      <c r="A421" s="1" t="s">
        <v>1899</v>
      </c>
      <c r="B421" s="1" t="s">
        <v>1900</v>
      </c>
      <c r="C421" s="1" t="s">
        <v>16</v>
      </c>
      <c r="D421" s="1" t="s">
        <v>147</v>
      </c>
      <c r="E421" s="1" t="s">
        <v>1902</v>
      </c>
      <c r="F421" s="1" t="s">
        <v>1901</v>
      </c>
      <c r="G421" s="1" t="s">
        <v>12480</v>
      </c>
      <c r="H421" s="1" t="s">
        <v>1903</v>
      </c>
      <c r="I421" s="2">
        <v>18.149999999999999</v>
      </c>
      <c r="J421" s="2"/>
      <c r="K421" s="2">
        <v>0.96</v>
      </c>
      <c r="L421" s="2">
        <v>1.1000000000000001</v>
      </c>
      <c r="M421" s="4">
        <f t="shared" si="36"/>
        <v>18.90625</v>
      </c>
      <c r="N421" s="4">
        <f t="shared" si="37"/>
        <v>16.499999999999996</v>
      </c>
      <c r="O421" s="5" t="e">
        <f t="shared" si="38"/>
        <v>#DIV/0!</v>
      </c>
      <c r="P421" s="5">
        <f t="shared" si="39"/>
        <v>0.14583333333333348</v>
      </c>
      <c r="Q421" s="4" t="e">
        <f t="shared" si="40"/>
        <v>#DIV/0!</v>
      </c>
      <c r="R421" s="4">
        <f t="shared" si="41"/>
        <v>1.1314285714285701</v>
      </c>
      <c r="S421" s="4"/>
      <c r="T421" s="2"/>
      <c r="U421" s="2">
        <v>22.53</v>
      </c>
      <c r="V421" s="2">
        <v>16.47</v>
      </c>
      <c r="W421" s="2">
        <v>-13.9</v>
      </c>
      <c r="X421" s="2">
        <v>3.54</v>
      </c>
      <c r="Y421" s="2"/>
      <c r="Z421" s="2"/>
    </row>
    <row r="422" spans="1:26" x14ac:dyDescent="0.25">
      <c r="A422" s="1" t="s">
        <v>1906</v>
      </c>
      <c r="B422" s="1" t="s">
        <v>1907</v>
      </c>
      <c r="C422" s="1" t="s">
        <v>16</v>
      </c>
      <c r="D422" s="1" t="s">
        <v>38</v>
      </c>
      <c r="E422" s="1" t="s">
        <v>1909</v>
      </c>
      <c r="F422" s="1" t="s">
        <v>1908</v>
      </c>
      <c r="G422" s="1" t="s">
        <v>12480</v>
      </c>
      <c r="H422" s="1" t="s">
        <v>431</v>
      </c>
      <c r="I422" s="2">
        <v>74.290000000000006</v>
      </c>
      <c r="J422" s="2">
        <v>4.63</v>
      </c>
      <c r="K422" s="2">
        <v>5.89</v>
      </c>
      <c r="L422" s="2">
        <v>6.47</v>
      </c>
      <c r="M422" s="4">
        <f t="shared" si="36"/>
        <v>12.612903225806454</v>
      </c>
      <c r="N422" s="4">
        <f t="shared" si="37"/>
        <v>11.482225656877899</v>
      </c>
      <c r="O422" s="5">
        <f t="shared" si="38"/>
        <v>0.27213822894168471</v>
      </c>
      <c r="P422" s="5">
        <f t="shared" si="39"/>
        <v>9.8471986417657087E-2</v>
      </c>
      <c r="Q422" s="4">
        <f t="shared" si="40"/>
        <v>0.46347414234511003</v>
      </c>
      <c r="R422" s="4">
        <f t="shared" si="41"/>
        <v>1.1660398123967379</v>
      </c>
      <c r="S422" s="4">
        <v>2.96</v>
      </c>
      <c r="T422" s="2">
        <v>0.73</v>
      </c>
      <c r="U422" s="2">
        <v>80.069999999999993</v>
      </c>
      <c r="V422" s="2">
        <v>59.82</v>
      </c>
      <c r="W422" s="2">
        <v>-4.93</v>
      </c>
      <c r="X422" s="2">
        <v>-6.1</v>
      </c>
      <c r="Y422" s="2">
        <v>6.69</v>
      </c>
      <c r="Z422" s="2">
        <v>8.66</v>
      </c>
    </row>
    <row r="423" spans="1:26" x14ac:dyDescent="0.25">
      <c r="A423" s="1" t="s">
        <v>1911</v>
      </c>
      <c r="B423" s="1" t="s">
        <v>1912</v>
      </c>
      <c r="C423" s="1" t="s">
        <v>31</v>
      </c>
      <c r="D423" s="1" t="s">
        <v>46</v>
      </c>
      <c r="E423" s="1" t="s">
        <v>683</v>
      </c>
      <c r="F423" s="1" t="s">
        <v>1913</v>
      </c>
      <c r="G423" s="1" t="s">
        <v>12480</v>
      </c>
      <c r="H423" s="1" t="s">
        <v>1914</v>
      </c>
      <c r="I423" s="2">
        <v>5.16</v>
      </c>
      <c r="J423" s="2">
        <v>0.05</v>
      </c>
      <c r="K423" s="2"/>
      <c r="L423" s="2"/>
      <c r="M423" s="4" t="e">
        <f t="shared" si="36"/>
        <v>#DIV/0!</v>
      </c>
      <c r="N423" s="4" t="e">
        <f t="shared" si="37"/>
        <v>#DIV/0!</v>
      </c>
      <c r="O423" s="5">
        <f t="shared" si="38"/>
        <v>-1</v>
      </c>
      <c r="P423" s="5" t="e">
        <f t="shared" si="39"/>
        <v>#DIV/0!</v>
      </c>
      <c r="Q423" s="4" t="e">
        <f t="shared" si="40"/>
        <v>#DIV/0!</v>
      </c>
      <c r="R423" s="4" t="e">
        <f t="shared" si="41"/>
        <v>#DIV/0!</v>
      </c>
      <c r="S423" s="4">
        <v>-77.12</v>
      </c>
      <c r="T423" s="2">
        <v>0.67</v>
      </c>
      <c r="U423" s="2">
        <v>6.53</v>
      </c>
      <c r="V423" s="2">
        <v>5.08</v>
      </c>
      <c r="W423" s="2">
        <v>-7.86</v>
      </c>
      <c r="X423" s="2">
        <v>-8.51</v>
      </c>
      <c r="Y423" s="2">
        <v>-3.55</v>
      </c>
      <c r="Z423" s="2">
        <v>-6.61</v>
      </c>
    </row>
    <row r="424" spans="1:26" x14ac:dyDescent="0.25">
      <c r="A424" s="1" t="s">
        <v>1915</v>
      </c>
      <c r="B424" s="1" t="s">
        <v>1916</v>
      </c>
      <c r="C424" s="1" t="s">
        <v>45</v>
      </c>
      <c r="D424" s="1" t="s">
        <v>38</v>
      </c>
      <c r="E424" s="1" t="s">
        <v>1440</v>
      </c>
      <c r="F424" s="1" t="s">
        <v>1917</v>
      </c>
      <c r="G424" s="1" t="s">
        <v>12480</v>
      </c>
      <c r="H424" s="1" t="s">
        <v>1918</v>
      </c>
      <c r="I424" s="2">
        <v>125.32</v>
      </c>
      <c r="J424" s="2">
        <v>8.76</v>
      </c>
      <c r="K424" s="2">
        <v>9.7799999999999994</v>
      </c>
      <c r="L424" s="2">
        <v>10.49</v>
      </c>
      <c r="M424" s="4">
        <f t="shared" si="36"/>
        <v>12.813905930470348</v>
      </c>
      <c r="N424" s="4">
        <f t="shared" si="37"/>
        <v>11.946615824594851</v>
      </c>
      <c r="O424" s="5">
        <f t="shared" si="38"/>
        <v>0.11643835616438358</v>
      </c>
      <c r="P424" s="5">
        <f t="shared" si="39"/>
        <v>7.2597137014315027E-2</v>
      </c>
      <c r="Q424" s="4">
        <f t="shared" si="40"/>
        <v>1.1004883916756885</v>
      </c>
      <c r="R424" s="4">
        <f t="shared" si="41"/>
        <v>1.6456042642892603</v>
      </c>
      <c r="S424" s="4">
        <v>-2.78</v>
      </c>
      <c r="T424" s="2">
        <v>0.88</v>
      </c>
      <c r="U424" s="2">
        <v>136.57</v>
      </c>
      <c r="V424" s="2">
        <v>87.86</v>
      </c>
      <c r="W424" s="2">
        <v>-2.4700000000000002</v>
      </c>
      <c r="X424" s="2">
        <v>-8.11</v>
      </c>
      <c r="Y424" s="2">
        <v>5.0199999999999996</v>
      </c>
      <c r="Z424" s="2">
        <v>5.79</v>
      </c>
    </row>
    <row r="425" spans="1:26" x14ac:dyDescent="0.25">
      <c r="A425" s="1" t="s">
        <v>1919</v>
      </c>
      <c r="B425" s="1" t="s">
        <v>1920</v>
      </c>
      <c r="C425" s="1" t="s">
        <v>16</v>
      </c>
      <c r="D425" s="1" t="s">
        <v>67</v>
      </c>
      <c r="E425" s="1" t="s">
        <v>381</v>
      </c>
      <c r="F425" s="1" t="s">
        <v>1921</v>
      </c>
      <c r="G425" s="1" t="s">
        <v>12490</v>
      </c>
      <c r="H425" s="1" t="s">
        <v>136</v>
      </c>
      <c r="I425" s="2">
        <v>173.87</v>
      </c>
      <c r="J425" s="2">
        <v>5.82</v>
      </c>
      <c r="K425" s="2">
        <v>7.33</v>
      </c>
      <c r="L425" s="2">
        <v>8.5500000000000007</v>
      </c>
      <c r="M425" s="4">
        <f t="shared" si="36"/>
        <v>23.720327421555254</v>
      </c>
      <c r="N425" s="4">
        <f t="shared" si="37"/>
        <v>20.335672514619883</v>
      </c>
      <c r="O425" s="5">
        <f t="shared" si="38"/>
        <v>0.25945017182130581</v>
      </c>
      <c r="P425" s="5">
        <f t="shared" si="39"/>
        <v>0.16643929058663032</v>
      </c>
      <c r="Q425" s="4">
        <f t="shared" si="40"/>
        <v>0.91425367942683178</v>
      </c>
      <c r="R425" s="4">
        <f t="shared" si="41"/>
        <v>1.2218072092800303</v>
      </c>
      <c r="S425" s="4">
        <v>14.64</v>
      </c>
      <c r="T425" s="2">
        <v>1.66</v>
      </c>
      <c r="U425" s="2">
        <v>207.98</v>
      </c>
      <c r="V425" s="2">
        <v>89.13</v>
      </c>
      <c r="W425" s="2">
        <v>-6.21</v>
      </c>
      <c r="X425" s="2">
        <v>-14.61</v>
      </c>
      <c r="Y425" s="2">
        <v>-15.3</v>
      </c>
      <c r="Z425" s="2">
        <v>-1.47</v>
      </c>
    </row>
    <row r="426" spans="1:26" x14ac:dyDescent="0.25">
      <c r="A426" s="1" t="s">
        <v>1922</v>
      </c>
      <c r="B426" s="1" t="s">
        <v>1923</v>
      </c>
      <c r="C426" s="1" t="s">
        <v>16</v>
      </c>
      <c r="D426" s="1" t="s">
        <v>94</v>
      </c>
      <c r="E426" s="1" t="s">
        <v>1925</v>
      </c>
      <c r="F426" s="1" t="s">
        <v>1924</v>
      </c>
      <c r="G426" s="1" t="s">
        <v>12480</v>
      </c>
      <c r="H426" s="1" t="s">
        <v>1926</v>
      </c>
      <c r="I426" s="2">
        <v>5.57</v>
      </c>
      <c r="J426" s="2">
        <v>0.17</v>
      </c>
      <c r="K426" s="2"/>
      <c r="L426" s="2"/>
      <c r="M426" s="4" t="e">
        <f t="shared" si="36"/>
        <v>#DIV/0!</v>
      </c>
      <c r="N426" s="4" t="e">
        <f t="shared" si="37"/>
        <v>#DIV/0!</v>
      </c>
      <c r="O426" s="5">
        <f t="shared" si="38"/>
        <v>-1</v>
      </c>
      <c r="P426" s="5" t="e">
        <f t="shared" si="39"/>
        <v>#DIV/0!</v>
      </c>
      <c r="Q426" s="4" t="e">
        <f t="shared" si="40"/>
        <v>#DIV/0!</v>
      </c>
      <c r="R426" s="4" t="e">
        <f t="shared" si="41"/>
        <v>#DIV/0!</v>
      </c>
      <c r="S426" s="4">
        <v>1.01</v>
      </c>
      <c r="T426" s="2" t="s">
        <v>12493</v>
      </c>
      <c r="U426" s="2">
        <v>6.13</v>
      </c>
      <c r="V426" s="2">
        <v>1.61</v>
      </c>
      <c r="W426" s="2">
        <v>-9.14</v>
      </c>
      <c r="X426" s="2">
        <v>-0.89</v>
      </c>
      <c r="Y426" s="2">
        <v>40.659999999999997</v>
      </c>
      <c r="Z426" s="2">
        <v>38.21</v>
      </c>
    </row>
    <row r="427" spans="1:26" x14ac:dyDescent="0.25">
      <c r="A427" s="1" t="s">
        <v>1928</v>
      </c>
      <c r="B427" s="1" t="s">
        <v>1929</v>
      </c>
      <c r="C427" s="1" t="s">
        <v>31</v>
      </c>
      <c r="D427" s="1" t="s">
        <v>147</v>
      </c>
      <c r="E427" s="1" t="s">
        <v>1931</v>
      </c>
      <c r="F427" s="1" t="s">
        <v>1930</v>
      </c>
      <c r="G427" s="1" t="s">
        <v>12480</v>
      </c>
      <c r="H427" s="1" t="s">
        <v>1932</v>
      </c>
      <c r="I427" s="2">
        <v>8.3550000000000004</v>
      </c>
      <c r="J427" s="2">
        <v>0.67</v>
      </c>
      <c r="K427" s="2">
        <v>0.62</v>
      </c>
      <c r="L427" s="2">
        <v>0.71</v>
      </c>
      <c r="M427" s="4">
        <f t="shared" si="36"/>
        <v>13.475806451612904</v>
      </c>
      <c r="N427" s="4">
        <f t="shared" si="37"/>
        <v>11.767605633802818</v>
      </c>
      <c r="O427" s="5">
        <f t="shared" si="38"/>
        <v>-7.4626865671641895E-2</v>
      </c>
      <c r="P427" s="5">
        <f t="shared" si="39"/>
        <v>0.14516129032258052</v>
      </c>
      <c r="Q427" s="4">
        <f t="shared" si="40"/>
        <v>-1.8057580645161266</v>
      </c>
      <c r="R427" s="4">
        <f t="shared" si="41"/>
        <v>0.81065727699530599</v>
      </c>
      <c r="S427" s="4">
        <v>2.63</v>
      </c>
      <c r="T427" s="2">
        <v>0.62</v>
      </c>
      <c r="U427" s="2">
        <v>10.08</v>
      </c>
      <c r="V427" s="2">
        <v>6.92</v>
      </c>
      <c r="W427" s="2">
        <v>-4.0199999999999996</v>
      </c>
      <c r="X427" s="2">
        <v>-2.0499999999999998</v>
      </c>
      <c r="Y427" s="2">
        <v>-1.36</v>
      </c>
      <c r="Z427" s="2">
        <v>3.79</v>
      </c>
    </row>
    <row r="428" spans="1:26" x14ac:dyDescent="0.25">
      <c r="A428" s="1" t="s">
        <v>1933</v>
      </c>
      <c r="B428" s="1" t="s">
        <v>1934</v>
      </c>
      <c r="C428" s="1" t="s">
        <v>31</v>
      </c>
      <c r="D428" s="1" t="s">
        <v>25</v>
      </c>
      <c r="E428" s="1" t="s">
        <v>325</v>
      </c>
      <c r="F428" s="1" t="s">
        <v>1935</v>
      </c>
      <c r="G428" s="1" t="s">
        <v>12480</v>
      </c>
      <c r="H428" s="1" t="s">
        <v>1936</v>
      </c>
      <c r="I428" s="2">
        <v>51.05</v>
      </c>
      <c r="J428" s="2">
        <v>3.37</v>
      </c>
      <c r="K428" s="2"/>
      <c r="L428" s="2"/>
      <c r="M428" s="4" t="e">
        <f t="shared" si="36"/>
        <v>#DIV/0!</v>
      </c>
      <c r="N428" s="4" t="e">
        <f t="shared" si="37"/>
        <v>#DIV/0!</v>
      </c>
      <c r="O428" s="5">
        <f t="shared" si="38"/>
        <v>-1</v>
      </c>
      <c r="P428" s="5" t="e">
        <f t="shared" si="39"/>
        <v>#DIV/0!</v>
      </c>
      <c r="Q428" s="4" t="e">
        <f t="shared" si="40"/>
        <v>#DIV/0!</v>
      </c>
      <c r="R428" s="4" t="e">
        <f t="shared" si="41"/>
        <v>#DIV/0!</v>
      </c>
      <c r="S428" s="4">
        <v>4.75</v>
      </c>
      <c r="T428" s="2">
        <v>0.42</v>
      </c>
      <c r="U428" s="2">
        <v>51.05</v>
      </c>
      <c r="V428" s="2">
        <v>33.799999999999997</v>
      </c>
      <c r="W428" s="2" t="s">
        <v>12489</v>
      </c>
      <c r="X428" s="2" t="s">
        <v>12489</v>
      </c>
      <c r="Y428" s="2">
        <v>5.27</v>
      </c>
      <c r="Z428" s="2">
        <v>5.27</v>
      </c>
    </row>
    <row r="429" spans="1:26" x14ac:dyDescent="0.25">
      <c r="A429" s="1" t="s">
        <v>1938</v>
      </c>
      <c r="B429" s="1" t="s">
        <v>1939</v>
      </c>
      <c r="C429" s="1" t="s">
        <v>31</v>
      </c>
      <c r="D429" s="1" t="s">
        <v>38</v>
      </c>
      <c r="E429" s="1" t="s">
        <v>765</v>
      </c>
      <c r="F429" s="1" t="s">
        <v>1940</v>
      </c>
      <c r="G429" s="1" t="s">
        <v>12480</v>
      </c>
      <c r="H429" s="1" t="s">
        <v>1941</v>
      </c>
      <c r="I429" s="2">
        <v>46.95</v>
      </c>
      <c r="J429" s="2">
        <v>3.33</v>
      </c>
      <c r="K429" s="2"/>
      <c r="L429" s="2"/>
      <c r="M429" s="4" t="e">
        <f t="shared" si="36"/>
        <v>#DIV/0!</v>
      </c>
      <c r="N429" s="4" t="e">
        <f t="shared" si="37"/>
        <v>#DIV/0!</v>
      </c>
      <c r="O429" s="5">
        <f t="shared" si="38"/>
        <v>-1</v>
      </c>
      <c r="P429" s="5" t="e">
        <f t="shared" si="39"/>
        <v>#DIV/0!</v>
      </c>
      <c r="Q429" s="4" t="e">
        <f t="shared" si="40"/>
        <v>#DIV/0!</v>
      </c>
      <c r="R429" s="4" t="e">
        <f t="shared" si="41"/>
        <v>#DIV/0!</v>
      </c>
      <c r="S429" s="4">
        <v>3.8</v>
      </c>
      <c r="T429" s="2">
        <v>0.94</v>
      </c>
      <c r="U429" s="2">
        <v>53.25</v>
      </c>
      <c r="V429" s="2">
        <v>42.2</v>
      </c>
      <c r="W429" s="2">
        <v>-3.33</v>
      </c>
      <c r="X429" s="2">
        <v>-7.03</v>
      </c>
      <c r="Y429" s="2">
        <v>5.51</v>
      </c>
      <c r="Z429" s="2">
        <v>-0.2</v>
      </c>
    </row>
    <row r="430" spans="1:26" x14ac:dyDescent="0.25">
      <c r="A430" s="1" t="s">
        <v>1942</v>
      </c>
      <c r="B430" s="1" t="s">
        <v>1943</v>
      </c>
      <c r="C430" s="1" t="s">
        <v>16</v>
      </c>
      <c r="D430" s="1" t="s">
        <v>32</v>
      </c>
      <c r="E430" s="1" t="s">
        <v>311</v>
      </c>
      <c r="F430" s="1" t="s">
        <v>1944</v>
      </c>
      <c r="G430" s="1" t="s">
        <v>12493</v>
      </c>
      <c r="H430" s="1" t="s">
        <v>1945</v>
      </c>
      <c r="I430" s="2">
        <v>25.44</v>
      </c>
      <c r="J430" s="2">
        <v>1.44</v>
      </c>
      <c r="K430" s="2">
        <v>1.49</v>
      </c>
      <c r="L430" s="2">
        <v>1.71</v>
      </c>
      <c r="M430" s="4">
        <f t="shared" si="36"/>
        <v>17.073825503355707</v>
      </c>
      <c r="N430" s="4">
        <f t="shared" si="37"/>
        <v>14.877192982456142</v>
      </c>
      <c r="O430" s="5">
        <f t="shared" si="38"/>
        <v>3.4722222222222321E-2</v>
      </c>
      <c r="P430" s="5">
        <f t="shared" si="39"/>
        <v>0.1476510067114094</v>
      </c>
      <c r="Q430" s="4">
        <f t="shared" si="40"/>
        <v>4.9172617449664298</v>
      </c>
      <c r="R430" s="4">
        <f t="shared" si="41"/>
        <v>1.0075917065390749</v>
      </c>
      <c r="S430" s="4">
        <v>7.99</v>
      </c>
      <c r="T430" s="2">
        <v>0.8</v>
      </c>
      <c r="U430" s="2">
        <v>38.549999999999997</v>
      </c>
      <c r="V430" s="2">
        <v>21.82</v>
      </c>
      <c r="W430" s="2">
        <v>7.89</v>
      </c>
      <c r="X430" s="2">
        <v>3.75</v>
      </c>
      <c r="Y430" s="2">
        <v>-14.37</v>
      </c>
      <c r="Z430" s="2">
        <v>-14.95</v>
      </c>
    </row>
    <row r="431" spans="1:26" x14ac:dyDescent="0.25">
      <c r="A431" s="1" t="s">
        <v>1946</v>
      </c>
      <c r="B431" s="1" t="s">
        <v>1946</v>
      </c>
      <c r="C431" s="1" t="s">
        <v>16</v>
      </c>
      <c r="D431" s="1" t="s">
        <v>94</v>
      </c>
      <c r="E431" s="1" t="s">
        <v>1948</v>
      </c>
      <c r="F431" s="1" t="s">
        <v>1947</v>
      </c>
      <c r="G431" s="1" t="s">
        <v>12480</v>
      </c>
      <c r="H431" s="1" t="s">
        <v>1949</v>
      </c>
      <c r="I431" s="2">
        <v>40.65</v>
      </c>
      <c r="J431" s="2">
        <v>2.88</v>
      </c>
      <c r="K431" s="2">
        <v>2.66</v>
      </c>
      <c r="L431" s="2">
        <v>2.97</v>
      </c>
      <c r="M431" s="4">
        <f t="shared" si="36"/>
        <v>15.281954887218044</v>
      </c>
      <c r="N431" s="4">
        <f t="shared" si="37"/>
        <v>13.686868686868685</v>
      </c>
      <c r="O431" s="5">
        <f t="shared" si="38"/>
        <v>-7.638888888888884E-2</v>
      </c>
      <c r="P431" s="5">
        <f t="shared" si="39"/>
        <v>0.11654135338345872</v>
      </c>
      <c r="Q431" s="4">
        <f t="shared" si="40"/>
        <v>-2.0005468215994542</v>
      </c>
      <c r="R431" s="4">
        <f t="shared" si="41"/>
        <v>1.1744216357119575</v>
      </c>
      <c r="S431" s="4">
        <v>-1.07</v>
      </c>
      <c r="T431" s="2">
        <v>0.31</v>
      </c>
      <c r="U431" s="2">
        <v>40.65</v>
      </c>
      <c r="V431" s="2">
        <v>26.11</v>
      </c>
      <c r="W431" s="2">
        <v>2.99</v>
      </c>
      <c r="X431" s="2">
        <v>3.65</v>
      </c>
      <c r="Y431" s="2">
        <v>15.32</v>
      </c>
      <c r="Z431" s="2">
        <v>17.05</v>
      </c>
    </row>
    <row r="432" spans="1:26" x14ac:dyDescent="0.25">
      <c r="A432" s="1" t="s">
        <v>1950</v>
      </c>
      <c r="B432" s="1" t="s">
        <v>1951</v>
      </c>
      <c r="C432" s="1" t="s">
        <v>31</v>
      </c>
      <c r="D432" s="1" t="s">
        <v>38</v>
      </c>
      <c r="E432" s="1" t="s">
        <v>189</v>
      </c>
      <c r="F432" s="1" t="s">
        <v>1952</v>
      </c>
      <c r="G432" s="1" t="s">
        <v>12480</v>
      </c>
      <c r="H432" s="1" t="s">
        <v>1953</v>
      </c>
      <c r="I432" s="2">
        <v>9.34</v>
      </c>
      <c r="J432" s="2"/>
      <c r="K432" s="2">
        <v>0.81</v>
      </c>
      <c r="L432" s="2">
        <v>1.05</v>
      </c>
      <c r="M432" s="4">
        <f t="shared" si="36"/>
        <v>11.530864197530864</v>
      </c>
      <c r="N432" s="4">
        <f t="shared" si="37"/>
        <v>8.8952380952380956</v>
      </c>
      <c r="O432" s="5" t="e">
        <f t="shared" si="38"/>
        <v>#DIV/0!</v>
      </c>
      <c r="P432" s="5">
        <f t="shared" si="39"/>
        <v>0.29629629629629628</v>
      </c>
      <c r="Q432" s="4" t="e">
        <f t="shared" si="40"/>
        <v>#DIV/0!</v>
      </c>
      <c r="R432" s="4">
        <f t="shared" si="41"/>
        <v>0.30021428571428577</v>
      </c>
      <c r="S432" s="4">
        <v>2.83</v>
      </c>
      <c r="T432" s="2">
        <v>0.27</v>
      </c>
      <c r="U432" s="2">
        <v>11.93</v>
      </c>
      <c r="V432" s="2">
        <v>5.52</v>
      </c>
      <c r="W432" s="2">
        <v>-6.6</v>
      </c>
      <c r="X432" s="2">
        <v>-8.74</v>
      </c>
      <c r="Y432" s="2">
        <v>-7.52</v>
      </c>
      <c r="Z432" s="2">
        <v>-11.89</v>
      </c>
    </row>
    <row r="433" spans="1:26" x14ac:dyDescent="0.25">
      <c r="A433" s="1" t="s">
        <v>1954</v>
      </c>
      <c r="B433" s="1" t="s">
        <v>1955</v>
      </c>
      <c r="C433" s="1" t="s">
        <v>45</v>
      </c>
      <c r="D433" s="1" t="s">
        <v>38</v>
      </c>
      <c r="E433" s="1" t="s">
        <v>119</v>
      </c>
      <c r="F433" s="1" t="s">
        <v>1956</v>
      </c>
      <c r="G433" s="1" t="s">
        <v>12480</v>
      </c>
      <c r="H433" s="1" t="s">
        <v>1957</v>
      </c>
      <c r="I433" s="2">
        <v>129.69999999999999</v>
      </c>
      <c r="J433" s="2">
        <v>12.15</v>
      </c>
      <c r="K433" s="2">
        <v>14.31</v>
      </c>
      <c r="L433" s="2">
        <v>15.69</v>
      </c>
      <c r="M433" s="4">
        <f t="shared" si="36"/>
        <v>9.063591893780572</v>
      </c>
      <c r="N433" s="4">
        <f t="shared" si="37"/>
        <v>8.2664117272147859</v>
      </c>
      <c r="O433" s="5">
        <f t="shared" si="38"/>
        <v>0.17777777777777781</v>
      </c>
      <c r="P433" s="5">
        <f t="shared" si="39"/>
        <v>9.6436058700209548E-2</v>
      </c>
      <c r="Q433" s="4">
        <f t="shared" si="40"/>
        <v>0.50982704402515699</v>
      </c>
      <c r="R433" s="4">
        <f t="shared" si="41"/>
        <v>0.85719095519162092</v>
      </c>
      <c r="S433" s="4">
        <v>2.5099999999999998</v>
      </c>
      <c r="T433" s="2">
        <v>0.61</v>
      </c>
      <c r="U433" s="2">
        <v>147.56</v>
      </c>
      <c r="V433" s="2">
        <v>81.63</v>
      </c>
      <c r="W433" s="2">
        <v>-6.07</v>
      </c>
      <c r="X433" s="2">
        <v>-11.95</v>
      </c>
      <c r="Y433" s="2">
        <v>5.81</v>
      </c>
      <c r="Z433" s="2">
        <v>4.16</v>
      </c>
    </row>
    <row r="434" spans="1:26" x14ac:dyDescent="0.25">
      <c r="A434" s="1" t="s">
        <v>1958</v>
      </c>
      <c r="B434" s="1" t="s">
        <v>1959</v>
      </c>
      <c r="C434" s="1" t="s">
        <v>16</v>
      </c>
      <c r="D434" s="1" t="s">
        <v>32</v>
      </c>
      <c r="E434" s="1" t="s">
        <v>311</v>
      </c>
      <c r="F434" s="1" t="s">
        <v>1960</v>
      </c>
      <c r="G434" s="1" t="s">
        <v>12502</v>
      </c>
      <c r="H434" s="1" t="s">
        <v>1961</v>
      </c>
      <c r="I434" s="2">
        <v>189.01</v>
      </c>
      <c r="J434" s="2">
        <v>8.5500000000000007</v>
      </c>
      <c r="K434" s="2">
        <v>9.4600000000000009</v>
      </c>
      <c r="L434" s="2">
        <v>10.38</v>
      </c>
      <c r="M434" s="4">
        <f t="shared" si="36"/>
        <v>19.979915433403804</v>
      </c>
      <c r="N434" s="4">
        <f t="shared" si="37"/>
        <v>18.209055876685934</v>
      </c>
      <c r="O434" s="5">
        <f t="shared" si="38"/>
        <v>0.10643274853801166</v>
      </c>
      <c r="P434" s="5">
        <f t="shared" si="39"/>
        <v>9.7251585623678638E-2</v>
      </c>
      <c r="Q434" s="4">
        <f t="shared" si="40"/>
        <v>1.8772338126989294</v>
      </c>
      <c r="R434" s="4">
        <f t="shared" si="41"/>
        <v>1.8723659629722713</v>
      </c>
      <c r="S434" s="4">
        <v>5.88</v>
      </c>
      <c r="T434" s="2">
        <v>0.98</v>
      </c>
      <c r="U434" s="2">
        <v>266.89</v>
      </c>
      <c r="V434" s="2">
        <v>167.55</v>
      </c>
      <c r="W434" s="2">
        <v>1.35</v>
      </c>
      <c r="X434" s="2">
        <v>4.4000000000000004</v>
      </c>
      <c r="Y434" s="2">
        <v>-17.55</v>
      </c>
      <c r="Z434" s="2">
        <v>-15.31</v>
      </c>
    </row>
    <row r="435" spans="1:26" x14ac:dyDescent="0.25">
      <c r="A435" s="1" t="s">
        <v>1962</v>
      </c>
      <c r="B435" s="1" t="s">
        <v>1963</v>
      </c>
      <c r="C435" s="1" t="s">
        <v>45</v>
      </c>
      <c r="D435" s="1" t="s">
        <v>32</v>
      </c>
      <c r="E435" s="1" t="s">
        <v>248</v>
      </c>
      <c r="F435" s="1" t="s">
        <v>1964</v>
      </c>
      <c r="G435" s="1" t="s">
        <v>12480</v>
      </c>
      <c r="H435" s="1" t="s">
        <v>1965</v>
      </c>
      <c r="I435" s="2">
        <v>24.59</v>
      </c>
      <c r="J435" s="2"/>
      <c r="K435" s="2"/>
      <c r="L435" s="2"/>
      <c r="M435" s="4" t="e">
        <f t="shared" si="36"/>
        <v>#DIV/0!</v>
      </c>
      <c r="N435" s="4" t="e">
        <f t="shared" si="37"/>
        <v>#DIV/0!</v>
      </c>
      <c r="O435" s="5" t="e">
        <f t="shared" si="38"/>
        <v>#DIV/0!</v>
      </c>
      <c r="P435" s="5" t="e">
        <f t="shared" si="39"/>
        <v>#DIV/0!</v>
      </c>
      <c r="Q435" s="4" t="e">
        <f t="shared" si="40"/>
        <v>#DIV/0!</v>
      </c>
      <c r="R435" s="4" t="e">
        <f t="shared" si="41"/>
        <v>#DIV/0!</v>
      </c>
      <c r="S435" s="4"/>
      <c r="T435" s="2"/>
      <c r="U435" s="2">
        <v>44.53</v>
      </c>
      <c r="V435" s="2">
        <v>13.8</v>
      </c>
      <c r="W435" s="2">
        <v>50.31</v>
      </c>
      <c r="X435" s="2"/>
      <c r="Y435" s="2"/>
      <c r="Z435" s="2"/>
    </row>
    <row r="436" spans="1:26" x14ac:dyDescent="0.25">
      <c r="A436" s="1" t="s">
        <v>1967</v>
      </c>
      <c r="B436" s="1" t="s">
        <v>1968</v>
      </c>
      <c r="C436" s="1" t="s">
        <v>16</v>
      </c>
      <c r="D436" s="1" t="s">
        <v>128</v>
      </c>
      <c r="E436" s="1" t="s">
        <v>556</v>
      </c>
      <c r="F436" s="1" t="s">
        <v>1969</v>
      </c>
      <c r="G436" s="1" t="s">
        <v>12485</v>
      </c>
      <c r="H436" s="1" t="s">
        <v>1970</v>
      </c>
      <c r="I436" s="2">
        <v>16.46</v>
      </c>
      <c r="J436" s="2">
        <v>2.17</v>
      </c>
      <c r="K436" s="2">
        <v>1.89</v>
      </c>
      <c r="L436" s="2">
        <v>2.14</v>
      </c>
      <c r="M436" s="4">
        <f t="shared" si="36"/>
        <v>8.7089947089947106</v>
      </c>
      <c r="N436" s="4">
        <f t="shared" si="37"/>
        <v>7.6915887850467293</v>
      </c>
      <c r="O436" s="5">
        <f t="shared" si="38"/>
        <v>-0.12903225806451613</v>
      </c>
      <c r="P436" s="5">
        <f t="shared" si="39"/>
        <v>0.13227513227513232</v>
      </c>
      <c r="Q436" s="4">
        <f t="shared" si="40"/>
        <v>-0.67494708994709007</v>
      </c>
      <c r="R436" s="4">
        <f t="shared" si="41"/>
        <v>0.58148411214953255</v>
      </c>
      <c r="S436" s="4">
        <v>16.05</v>
      </c>
      <c r="T436" s="2">
        <v>0.69</v>
      </c>
      <c r="U436" s="2">
        <v>78.92</v>
      </c>
      <c r="V436" s="2">
        <v>16.46</v>
      </c>
      <c r="W436" s="2">
        <v>-9.31</v>
      </c>
      <c r="X436" s="2">
        <v>-12.31</v>
      </c>
      <c r="Y436" s="2">
        <v>-49.79</v>
      </c>
      <c r="Z436" s="2">
        <v>-38.42</v>
      </c>
    </row>
    <row r="437" spans="1:26" x14ac:dyDescent="0.25">
      <c r="A437" s="1" t="s">
        <v>1971</v>
      </c>
      <c r="B437" s="1" t="s">
        <v>1972</v>
      </c>
      <c r="C437" s="1" t="s">
        <v>16</v>
      </c>
      <c r="D437" s="1" t="s">
        <v>25</v>
      </c>
      <c r="E437" s="1" t="s">
        <v>331</v>
      </c>
      <c r="F437" s="1" t="s">
        <v>1973</v>
      </c>
      <c r="G437" s="1" t="s">
        <v>12496</v>
      </c>
      <c r="H437" s="1" t="s">
        <v>1974</v>
      </c>
      <c r="I437" s="2">
        <v>87.44</v>
      </c>
      <c r="J437" s="2">
        <v>4.5999999999999996</v>
      </c>
      <c r="K437" s="2">
        <v>5.05</v>
      </c>
      <c r="L437" s="2"/>
      <c r="M437" s="4">
        <f t="shared" si="36"/>
        <v>17.314851485148516</v>
      </c>
      <c r="N437" s="4" t="e">
        <f t="shared" si="37"/>
        <v>#DIV/0!</v>
      </c>
      <c r="O437" s="5">
        <f t="shared" si="38"/>
        <v>9.7826086956521729E-2</v>
      </c>
      <c r="P437" s="5">
        <f t="shared" si="39"/>
        <v>-1</v>
      </c>
      <c r="Q437" s="4">
        <f t="shared" si="40"/>
        <v>1.7699625962596264</v>
      </c>
      <c r="R437" s="4" t="e">
        <f t="shared" si="41"/>
        <v>#DIV/0!</v>
      </c>
      <c r="S437" s="4">
        <v>12.84</v>
      </c>
      <c r="T437" s="2">
        <v>0.6</v>
      </c>
      <c r="U437" s="2">
        <v>96.33</v>
      </c>
      <c r="V437" s="2">
        <v>64.319999999999993</v>
      </c>
      <c r="W437" s="2">
        <v>-5.26</v>
      </c>
      <c r="X437" s="2">
        <v>-5.82</v>
      </c>
      <c r="Y437" s="2">
        <v>8.11</v>
      </c>
      <c r="Z437" s="2">
        <v>11.57</v>
      </c>
    </row>
    <row r="438" spans="1:26" x14ac:dyDescent="0.25">
      <c r="A438" s="1" t="s">
        <v>1976</v>
      </c>
      <c r="B438" s="1" t="s">
        <v>1977</v>
      </c>
      <c r="C438" s="1" t="s">
        <v>31</v>
      </c>
      <c r="D438" s="1" t="s">
        <v>305</v>
      </c>
      <c r="E438" s="1" t="s">
        <v>1176</v>
      </c>
      <c r="F438" s="1" t="s">
        <v>1978</v>
      </c>
      <c r="G438" s="1" t="s">
        <v>12480</v>
      </c>
      <c r="H438" s="1" t="s">
        <v>1979</v>
      </c>
      <c r="I438" s="2">
        <v>10.82</v>
      </c>
      <c r="J438" s="2">
        <v>0.8</v>
      </c>
      <c r="K438" s="2">
        <v>0.93</v>
      </c>
      <c r="L438" s="2">
        <v>1.08</v>
      </c>
      <c r="M438" s="4">
        <f t="shared" si="36"/>
        <v>11.634408602150538</v>
      </c>
      <c r="N438" s="4">
        <f t="shared" si="37"/>
        <v>10.018518518518517</v>
      </c>
      <c r="O438" s="5">
        <f t="shared" si="38"/>
        <v>0.16250000000000009</v>
      </c>
      <c r="P438" s="5">
        <f t="shared" si="39"/>
        <v>0.16129032258064524</v>
      </c>
      <c r="Q438" s="4">
        <f t="shared" si="40"/>
        <v>0.7159636062861866</v>
      </c>
      <c r="R438" s="4">
        <f t="shared" si="41"/>
        <v>0.62114814814814778</v>
      </c>
      <c r="S438" s="4">
        <v>1.1200000000000001</v>
      </c>
      <c r="T438" s="2">
        <v>0.52</v>
      </c>
      <c r="U438" s="2">
        <v>12.55</v>
      </c>
      <c r="V438" s="2">
        <v>9.02</v>
      </c>
      <c r="W438" s="2">
        <v>-6.96</v>
      </c>
      <c r="X438" s="2">
        <v>-10.87</v>
      </c>
      <c r="Y438" s="2">
        <v>-8.5</v>
      </c>
      <c r="Z438" s="2">
        <v>-3.44</v>
      </c>
    </row>
    <row r="439" spans="1:26" x14ac:dyDescent="0.25">
      <c r="A439" s="1" t="s">
        <v>1980</v>
      </c>
      <c r="B439" s="1" t="s">
        <v>1981</v>
      </c>
      <c r="C439" s="1" t="s">
        <v>16</v>
      </c>
      <c r="D439" s="1" t="s">
        <v>38</v>
      </c>
      <c r="E439" s="1" t="s">
        <v>194</v>
      </c>
      <c r="F439" s="1" t="s">
        <v>1982</v>
      </c>
      <c r="G439" s="1" t="s">
        <v>12480</v>
      </c>
      <c r="H439" s="1" t="s">
        <v>12507</v>
      </c>
      <c r="I439" s="2" t="s">
        <v>12594</v>
      </c>
      <c r="J439" s="2">
        <v>30931.21</v>
      </c>
      <c r="K439" s="2"/>
      <c r="L439" s="2"/>
      <c r="M439" s="4" t="e">
        <f t="shared" si="36"/>
        <v>#DIV/0!</v>
      </c>
      <c r="N439" s="4" t="e">
        <f t="shared" si="37"/>
        <v>#DIV/0!</v>
      </c>
      <c r="O439" s="5">
        <f t="shared" si="38"/>
        <v>-1</v>
      </c>
      <c r="P439" s="5" t="e">
        <f t="shared" si="39"/>
        <v>#DIV/0!</v>
      </c>
      <c r="Q439" s="4" t="e">
        <f t="shared" si="40"/>
        <v>#DIV/0!</v>
      </c>
      <c r="R439" s="4" t="e">
        <f t="shared" si="41"/>
        <v>#DIV/0!</v>
      </c>
      <c r="S439" s="4" t="s">
        <v>12489</v>
      </c>
      <c r="T439" s="2">
        <v>0.69</v>
      </c>
      <c r="U439" s="2" t="s">
        <v>12592</v>
      </c>
      <c r="V439" s="2" t="s">
        <v>12593</v>
      </c>
      <c r="W439" s="2">
        <v>3.5</v>
      </c>
      <c r="X439" s="2">
        <v>-0.35</v>
      </c>
      <c r="Y439" s="2">
        <v>-1.81</v>
      </c>
      <c r="Z439" s="2">
        <v>-1.27</v>
      </c>
    </row>
    <row r="440" spans="1:26" x14ac:dyDescent="0.25">
      <c r="A440" s="1" t="s">
        <v>1980</v>
      </c>
      <c r="B440" s="1" t="s">
        <v>1983</v>
      </c>
      <c r="C440" s="1" t="s">
        <v>16</v>
      </c>
      <c r="D440" s="1" t="s">
        <v>38</v>
      </c>
      <c r="E440" s="1" t="s">
        <v>194</v>
      </c>
      <c r="F440" s="1" t="s">
        <v>12595</v>
      </c>
      <c r="G440" s="1" t="s">
        <v>12480</v>
      </c>
      <c r="H440" s="1" t="s">
        <v>1984</v>
      </c>
      <c r="I440" s="2">
        <v>497.2</v>
      </c>
      <c r="J440" s="2">
        <v>20.62</v>
      </c>
      <c r="K440" s="2">
        <v>21.04</v>
      </c>
      <c r="L440" s="2">
        <v>23.2</v>
      </c>
      <c r="M440" s="4">
        <f t="shared" si="36"/>
        <v>23.631178707224336</v>
      </c>
      <c r="N440" s="4">
        <f t="shared" si="37"/>
        <v>21.431034482758619</v>
      </c>
      <c r="O440" s="5">
        <f t="shared" si="38"/>
        <v>2.0368574199805867E-2</v>
      </c>
      <c r="P440" s="5">
        <f t="shared" si="39"/>
        <v>0.10266159695817501</v>
      </c>
      <c r="Q440" s="4">
        <f t="shared" si="40"/>
        <v>11.60178345102308</v>
      </c>
      <c r="R440" s="4">
        <f t="shared" si="41"/>
        <v>2.0875415070242638</v>
      </c>
      <c r="S440" s="4" t="s">
        <v>12489</v>
      </c>
      <c r="T440" s="2">
        <v>0.71</v>
      </c>
      <c r="U440" s="2">
        <v>539.79999999999995</v>
      </c>
      <c r="V440" s="2">
        <v>459.11</v>
      </c>
      <c r="W440" s="2">
        <v>3.55</v>
      </c>
      <c r="X440" s="2">
        <v>-0.18</v>
      </c>
      <c r="Y440" s="2">
        <v>-1.81</v>
      </c>
      <c r="Z440" s="2">
        <v>-1.08</v>
      </c>
    </row>
    <row r="441" spans="1:26" x14ac:dyDescent="0.25">
      <c r="A441" s="1" t="s">
        <v>1985</v>
      </c>
      <c r="B441" s="1" t="s">
        <v>1986</v>
      </c>
      <c r="C441" s="1" t="s">
        <v>45</v>
      </c>
      <c r="D441" s="1" t="s">
        <v>32</v>
      </c>
      <c r="E441" s="1" t="s">
        <v>1988</v>
      </c>
      <c r="F441" s="1" t="s">
        <v>1987</v>
      </c>
      <c r="G441" s="1" t="s">
        <v>12480</v>
      </c>
      <c r="H441" s="1" t="s">
        <v>1989</v>
      </c>
      <c r="I441" s="2">
        <v>37.200000000000003</v>
      </c>
      <c r="J441" s="2">
        <v>1.83</v>
      </c>
      <c r="K441" s="2">
        <v>2.11</v>
      </c>
      <c r="L441" s="2">
        <v>2.39</v>
      </c>
      <c r="M441" s="4">
        <f t="shared" si="36"/>
        <v>17.630331753554504</v>
      </c>
      <c r="N441" s="4">
        <f t="shared" si="37"/>
        <v>15.564853556485357</v>
      </c>
      <c r="O441" s="5">
        <f t="shared" si="38"/>
        <v>0.15300546448087426</v>
      </c>
      <c r="P441" s="5">
        <f t="shared" si="39"/>
        <v>0.13270142180094791</v>
      </c>
      <c r="Q441" s="4">
        <f t="shared" si="40"/>
        <v>1.1522681110358839</v>
      </c>
      <c r="R441" s="4">
        <f t="shared" si="41"/>
        <v>1.1729228930065747</v>
      </c>
      <c r="S441" s="4">
        <v>2.08</v>
      </c>
      <c r="T441" s="2">
        <v>1.19</v>
      </c>
      <c r="U441" s="2">
        <v>54.46</v>
      </c>
      <c r="V441" s="2">
        <v>29.35</v>
      </c>
      <c r="W441" s="2">
        <v>-6.56</v>
      </c>
      <c r="X441" s="2">
        <v>-11.64</v>
      </c>
      <c r="Y441" s="2">
        <v>-18.55</v>
      </c>
      <c r="Z441" s="2">
        <v>-21.04</v>
      </c>
    </row>
    <row r="442" spans="1:26" x14ac:dyDescent="0.25">
      <c r="A442" s="1" t="s">
        <v>1990</v>
      </c>
      <c r="B442" s="1" t="s">
        <v>1991</v>
      </c>
      <c r="C442" s="1" t="s">
        <v>16</v>
      </c>
      <c r="D442" s="1" t="s">
        <v>38</v>
      </c>
      <c r="E442" s="1" t="s">
        <v>551</v>
      </c>
      <c r="F442" s="1" t="s">
        <v>1992</v>
      </c>
      <c r="G442" s="1" t="s">
        <v>12480</v>
      </c>
      <c r="H442" s="1" t="s">
        <v>372</v>
      </c>
      <c r="I442" s="2">
        <v>71.040000000000006</v>
      </c>
      <c r="J442" s="2">
        <v>4.26</v>
      </c>
      <c r="K442" s="2">
        <v>4.5599999999999996</v>
      </c>
      <c r="L442" s="2" t="s">
        <v>12508</v>
      </c>
      <c r="M442" s="4">
        <f t="shared" si="36"/>
        <v>15.578947368421055</v>
      </c>
      <c r="N442" s="4">
        <f t="shared" si="37"/>
        <v>14.208000000000002</v>
      </c>
      <c r="O442" s="5">
        <f t="shared" si="38"/>
        <v>7.0422535211267512E-2</v>
      </c>
      <c r="P442" s="5">
        <f t="shared" si="39"/>
        <v>9.6491228070175517E-2</v>
      </c>
      <c r="Q442" s="4">
        <f t="shared" si="40"/>
        <v>2.212210526315793</v>
      </c>
      <c r="R442" s="4">
        <f t="shared" si="41"/>
        <v>1.4724654545454536</v>
      </c>
      <c r="S442" s="4">
        <v>22.83</v>
      </c>
      <c r="T442" s="2">
        <v>0.79</v>
      </c>
      <c r="U442" s="2">
        <v>124.43</v>
      </c>
      <c r="V442" s="2">
        <v>67.02</v>
      </c>
      <c r="W442" s="2">
        <v>-1.82</v>
      </c>
      <c r="X442" s="2">
        <v>3.45</v>
      </c>
      <c r="Y442" s="2">
        <v>-13.71</v>
      </c>
      <c r="Z442" s="2">
        <v>-10.87</v>
      </c>
    </row>
    <row r="443" spans="1:26" x14ac:dyDescent="0.25">
      <c r="A443" s="1" t="s">
        <v>1993</v>
      </c>
      <c r="B443" s="1" t="s">
        <v>1994</v>
      </c>
      <c r="C443" s="1" t="s">
        <v>16</v>
      </c>
      <c r="D443" s="1" t="s">
        <v>67</v>
      </c>
      <c r="E443" s="1" t="s">
        <v>1037</v>
      </c>
      <c r="F443" s="1" t="s">
        <v>1995</v>
      </c>
      <c r="G443" s="1" t="s">
        <v>12480</v>
      </c>
      <c r="H443" s="1" t="s">
        <v>1996</v>
      </c>
      <c r="I443" s="2">
        <v>52.45</v>
      </c>
      <c r="J443" s="2">
        <v>0.76</v>
      </c>
      <c r="K443" s="2">
        <v>0.91</v>
      </c>
      <c r="L443" s="2">
        <v>1.18</v>
      </c>
      <c r="M443" s="4">
        <f t="shared" si="36"/>
        <v>57.637362637362635</v>
      </c>
      <c r="N443" s="4">
        <f t="shared" si="37"/>
        <v>44.449152542372886</v>
      </c>
      <c r="O443" s="5">
        <f t="shared" si="38"/>
        <v>0.19736842105263164</v>
      </c>
      <c r="P443" s="5">
        <f t="shared" si="39"/>
        <v>0.29670329670329654</v>
      </c>
      <c r="Q443" s="4">
        <f t="shared" si="40"/>
        <v>2.9202930402930392</v>
      </c>
      <c r="R443" s="4">
        <f t="shared" si="41"/>
        <v>1.4981010671688648</v>
      </c>
      <c r="S443" s="4">
        <v>27.88</v>
      </c>
      <c r="T443" s="2">
        <v>2.54</v>
      </c>
      <c r="U443" s="2">
        <v>74.239999999999995</v>
      </c>
      <c r="V443" s="2">
        <v>47.28</v>
      </c>
      <c r="W443" s="2">
        <v>-1.48</v>
      </c>
      <c r="X443" s="2">
        <v>-7.74</v>
      </c>
      <c r="Y443" s="2">
        <v>-13.44</v>
      </c>
      <c r="Z443" s="2">
        <v>-14.33</v>
      </c>
    </row>
    <row r="444" spans="1:26" x14ac:dyDescent="0.25">
      <c r="A444" s="1" t="s">
        <v>1997</v>
      </c>
      <c r="B444" s="1" t="s">
        <v>1998</v>
      </c>
      <c r="C444" s="1" t="s">
        <v>16</v>
      </c>
      <c r="D444" s="1" t="s">
        <v>147</v>
      </c>
      <c r="E444" s="1" t="s">
        <v>2000</v>
      </c>
      <c r="F444" s="1" t="s">
        <v>1999</v>
      </c>
      <c r="G444" s="1" t="s">
        <v>12480</v>
      </c>
      <c r="H444" s="1" t="s">
        <v>2001</v>
      </c>
      <c r="I444" s="2">
        <v>13.29</v>
      </c>
      <c r="J444" s="2">
        <v>0.91</v>
      </c>
      <c r="K444" s="2">
        <v>1.03</v>
      </c>
      <c r="L444" s="2">
        <v>0.74</v>
      </c>
      <c r="M444" s="4">
        <f t="shared" si="36"/>
        <v>12.902912621359222</v>
      </c>
      <c r="N444" s="4">
        <f t="shared" si="37"/>
        <v>17.95945945945946</v>
      </c>
      <c r="O444" s="5">
        <f t="shared" si="38"/>
        <v>0.13186813186813184</v>
      </c>
      <c r="P444" s="5">
        <f t="shared" si="39"/>
        <v>-0.28155339805825241</v>
      </c>
      <c r="Q444" s="4">
        <f t="shared" si="40"/>
        <v>0.97847087378640785</v>
      </c>
      <c r="R444" s="4">
        <f t="shared" si="41"/>
        <v>-0.63787045666356013</v>
      </c>
      <c r="S444" s="4">
        <v>-0.04</v>
      </c>
      <c r="T444" s="2">
        <v>1.07</v>
      </c>
      <c r="U444" s="2">
        <v>18.309999999999999</v>
      </c>
      <c r="V444" s="2">
        <v>13.05</v>
      </c>
      <c r="W444" s="2">
        <v>-1.04</v>
      </c>
      <c r="X444" s="2">
        <v>-6.87</v>
      </c>
      <c r="Y444" s="2">
        <v>-16.989999999999998</v>
      </c>
      <c r="Z444" s="2">
        <v>-14.15</v>
      </c>
    </row>
    <row r="445" spans="1:26" x14ac:dyDescent="0.25">
      <c r="A445" s="1" t="s">
        <v>2002</v>
      </c>
      <c r="B445" s="1" t="s">
        <v>2003</v>
      </c>
      <c r="C445" s="1" t="s">
        <v>31</v>
      </c>
      <c r="D445" s="1" t="s">
        <v>32</v>
      </c>
      <c r="E445" s="1" t="s">
        <v>1607</v>
      </c>
      <c r="F445" s="1" t="s">
        <v>2004</v>
      </c>
      <c r="G445" s="1" t="s">
        <v>12490</v>
      </c>
      <c r="H445" s="1" t="s">
        <v>2005</v>
      </c>
      <c r="I445" s="2">
        <v>38.375</v>
      </c>
      <c r="J445" s="2">
        <v>2.81</v>
      </c>
      <c r="K445" s="2"/>
      <c r="L445" s="2"/>
      <c r="M445" s="4" t="e">
        <f t="shared" si="36"/>
        <v>#DIV/0!</v>
      </c>
      <c r="N445" s="4" t="e">
        <f t="shared" si="37"/>
        <v>#DIV/0!</v>
      </c>
      <c r="O445" s="5">
        <f t="shared" si="38"/>
        <v>-1</v>
      </c>
      <c r="P445" s="5" t="e">
        <f t="shared" si="39"/>
        <v>#DIV/0!</v>
      </c>
      <c r="Q445" s="4" t="e">
        <f t="shared" si="40"/>
        <v>#DIV/0!</v>
      </c>
      <c r="R445" s="4" t="e">
        <f t="shared" si="41"/>
        <v>#DIV/0!</v>
      </c>
      <c r="S445" s="4">
        <v>0.98</v>
      </c>
      <c r="T445" s="2">
        <v>0.05</v>
      </c>
      <c r="U445" s="2">
        <v>43.89</v>
      </c>
      <c r="V445" s="2">
        <v>28.75</v>
      </c>
      <c r="W445" s="2">
        <v>-5.83</v>
      </c>
      <c r="X445" s="2">
        <v>-4.6399999999999997</v>
      </c>
      <c r="Y445" s="2">
        <v>-0.56000000000000005</v>
      </c>
      <c r="Z445" s="2">
        <v>-4.0599999999999996</v>
      </c>
    </row>
    <row r="446" spans="1:26" x14ac:dyDescent="0.25">
      <c r="A446" s="1" t="s">
        <v>2006</v>
      </c>
      <c r="B446" s="1" t="s">
        <v>2007</v>
      </c>
      <c r="C446" s="1" t="s">
        <v>16</v>
      </c>
      <c r="D446" s="1" t="s">
        <v>38</v>
      </c>
      <c r="E446" s="1" t="s">
        <v>83</v>
      </c>
      <c r="F446" s="1" t="s">
        <v>2008</v>
      </c>
      <c r="G446" s="1" t="s">
        <v>12480</v>
      </c>
      <c r="H446" s="1" t="s">
        <v>2009</v>
      </c>
      <c r="I446" s="2">
        <v>29.93</v>
      </c>
      <c r="J446" s="2">
        <v>2.25</v>
      </c>
      <c r="K446" s="2">
        <v>2.35</v>
      </c>
      <c r="L446" s="2">
        <v>2.4700000000000002</v>
      </c>
      <c r="M446" s="4">
        <f t="shared" si="36"/>
        <v>12.736170212765957</v>
      </c>
      <c r="N446" s="4">
        <f t="shared" si="37"/>
        <v>12.11740890688259</v>
      </c>
      <c r="O446" s="5">
        <f t="shared" si="38"/>
        <v>4.4444444444444509E-2</v>
      </c>
      <c r="P446" s="5">
        <f t="shared" si="39"/>
        <v>5.1063829787234116E-2</v>
      </c>
      <c r="Q446" s="4">
        <f t="shared" si="40"/>
        <v>2.8656382978723363</v>
      </c>
      <c r="R446" s="4">
        <f t="shared" si="41"/>
        <v>2.3729925775978371</v>
      </c>
      <c r="S446" s="4">
        <v>6.73</v>
      </c>
      <c r="T446" s="2">
        <v>1.06</v>
      </c>
      <c r="U446" s="2">
        <v>30.64</v>
      </c>
      <c r="V446" s="2">
        <v>23.06</v>
      </c>
      <c r="W446" s="2">
        <v>-2.29</v>
      </c>
      <c r="X446" s="2">
        <v>6.36</v>
      </c>
      <c r="Y446" s="2">
        <v>14.81</v>
      </c>
      <c r="Z446" s="2">
        <v>14.15</v>
      </c>
    </row>
    <row r="447" spans="1:26" x14ac:dyDescent="0.25">
      <c r="A447" s="1" t="s">
        <v>2010</v>
      </c>
      <c r="B447" s="1" t="s">
        <v>2011</v>
      </c>
      <c r="C447" s="1" t="s">
        <v>45</v>
      </c>
      <c r="D447" s="1" t="s">
        <v>32</v>
      </c>
      <c r="E447" s="1" t="s">
        <v>311</v>
      </c>
      <c r="F447" s="1" t="s">
        <v>2012</v>
      </c>
      <c r="G447" s="1" t="s">
        <v>12493</v>
      </c>
      <c r="H447" s="1" t="s">
        <v>2013</v>
      </c>
      <c r="I447" s="2">
        <v>20.015000000000001</v>
      </c>
      <c r="J447" s="2">
        <v>0.17</v>
      </c>
      <c r="K447" s="2">
        <v>0.66</v>
      </c>
      <c r="L447" s="2">
        <v>0.98</v>
      </c>
      <c r="M447" s="4">
        <f t="shared" si="36"/>
        <v>30.325757575757574</v>
      </c>
      <c r="N447" s="4">
        <f t="shared" si="37"/>
        <v>20.423469387755102</v>
      </c>
      <c r="O447" s="5">
        <f t="shared" si="38"/>
        <v>2.8823529411764706</v>
      </c>
      <c r="P447" s="5">
        <f t="shared" si="39"/>
        <v>0.48484848484848486</v>
      </c>
      <c r="Q447" s="4">
        <f t="shared" si="40"/>
        <v>0.10521181199752627</v>
      </c>
      <c r="R447" s="4">
        <f t="shared" si="41"/>
        <v>0.42123405612244896</v>
      </c>
      <c r="S447" s="4">
        <v>25.78</v>
      </c>
      <c r="T447" s="2">
        <v>1.08</v>
      </c>
      <c r="U447" s="2">
        <v>39.14</v>
      </c>
      <c r="V447" s="2">
        <v>15.79</v>
      </c>
      <c r="W447" s="2">
        <v>7.46</v>
      </c>
      <c r="X447" s="2">
        <v>10.52</v>
      </c>
      <c r="Y447" s="2">
        <v>-39.57</v>
      </c>
      <c r="Z447" s="2">
        <v>-41.63</v>
      </c>
    </row>
    <row r="448" spans="1:26" x14ac:dyDescent="0.25">
      <c r="A448" s="1" t="s">
        <v>2014</v>
      </c>
      <c r="B448" s="1" t="s">
        <v>2015</v>
      </c>
      <c r="C448" s="1" t="s">
        <v>16</v>
      </c>
      <c r="D448" s="1" t="s">
        <v>38</v>
      </c>
      <c r="E448" s="1" t="s">
        <v>189</v>
      </c>
      <c r="F448" s="1" t="s">
        <v>2016</v>
      </c>
      <c r="G448" s="1" t="s">
        <v>12480</v>
      </c>
      <c r="H448" s="1" t="s">
        <v>2017</v>
      </c>
      <c r="I448" s="2">
        <v>6.09</v>
      </c>
      <c r="J448" s="2">
        <v>0.6</v>
      </c>
      <c r="K448" s="2">
        <v>0.87</v>
      </c>
      <c r="L448" s="2">
        <v>0.94</v>
      </c>
      <c r="M448" s="4">
        <f t="shared" si="36"/>
        <v>7</v>
      </c>
      <c r="N448" s="4">
        <f t="shared" si="37"/>
        <v>6.4787234042553195</v>
      </c>
      <c r="O448" s="5">
        <f t="shared" si="38"/>
        <v>0.44999999999999996</v>
      </c>
      <c r="P448" s="5">
        <f t="shared" si="39"/>
        <v>8.0459770114942541E-2</v>
      </c>
      <c r="Q448" s="4">
        <f t="shared" si="40"/>
        <v>0.15555555555555559</v>
      </c>
      <c r="R448" s="4">
        <f t="shared" si="41"/>
        <v>0.80521276595744662</v>
      </c>
      <c r="S448" s="4">
        <v>67.14</v>
      </c>
      <c r="T448" s="2">
        <v>0.6</v>
      </c>
      <c r="U448" s="2">
        <v>7.2</v>
      </c>
      <c r="V448" s="2">
        <v>4.32</v>
      </c>
      <c r="W448" s="2">
        <v>-5.43</v>
      </c>
      <c r="X448" s="2">
        <v>-11.48</v>
      </c>
      <c r="Y448" s="2" t="s">
        <v>12489</v>
      </c>
      <c r="Z448" s="2">
        <v>-0.33</v>
      </c>
    </row>
    <row r="449" spans="1:26" x14ac:dyDescent="0.25">
      <c r="A449" s="1" t="s">
        <v>2018</v>
      </c>
      <c r="B449" s="1" t="s">
        <v>2019</v>
      </c>
      <c r="C449" s="1" t="s">
        <v>16</v>
      </c>
      <c r="D449" s="1" t="s">
        <v>94</v>
      </c>
      <c r="E449" s="1" t="s">
        <v>2021</v>
      </c>
      <c r="F449" s="1" t="s">
        <v>2020</v>
      </c>
      <c r="G449" s="1" t="s">
        <v>12480</v>
      </c>
      <c r="H449" s="1" t="s">
        <v>2022</v>
      </c>
      <c r="I449" s="2">
        <v>15.29</v>
      </c>
      <c r="J449" s="2">
        <v>1.54</v>
      </c>
      <c r="K449" s="2">
        <v>1.1200000000000001</v>
      </c>
      <c r="L449" s="2">
        <v>1.28</v>
      </c>
      <c r="M449" s="4">
        <f t="shared" si="36"/>
        <v>13.651785714285712</v>
      </c>
      <c r="N449" s="4">
        <f t="shared" si="37"/>
        <v>11.945312499999998</v>
      </c>
      <c r="O449" s="5">
        <f t="shared" si="38"/>
        <v>-0.27272727272727271</v>
      </c>
      <c r="P449" s="5">
        <f t="shared" si="39"/>
        <v>0.14285714285714279</v>
      </c>
      <c r="Q449" s="4">
        <f t="shared" si="40"/>
        <v>-0.5005654761904762</v>
      </c>
      <c r="R449" s="4">
        <f t="shared" si="41"/>
        <v>0.83617187500000023</v>
      </c>
      <c r="S449" s="4">
        <v>8.35</v>
      </c>
      <c r="T449" s="2">
        <v>0.17</v>
      </c>
      <c r="U449" s="2">
        <v>15.44</v>
      </c>
      <c r="V449" s="2">
        <v>11.92</v>
      </c>
      <c r="W449" s="2">
        <v>0.39</v>
      </c>
      <c r="X449" s="2">
        <v>1.06</v>
      </c>
      <c r="Y449" s="2">
        <v>8.44</v>
      </c>
      <c r="Z449" s="2">
        <v>15.05</v>
      </c>
    </row>
    <row r="450" spans="1:26" x14ac:dyDescent="0.25">
      <c r="A450" s="1" t="s">
        <v>2023</v>
      </c>
      <c r="B450" s="1" t="s">
        <v>2024</v>
      </c>
      <c r="C450" s="1" t="s">
        <v>16</v>
      </c>
      <c r="D450" s="1" t="s">
        <v>18</v>
      </c>
      <c r="E450" s="1" t="s">
        <v>19</v>
      </c>
      <c r="F450" s="1" t="s">
        <v>2025</v>
      </c>
      <c r="G450" s="1" t="s">
        <v>12480</v>
      </c>
      <c r="H450" s="1" t="s">
        <v>2026</v>
      </c>
      <c r="I450" s="2">
        <v>71.900000000000006</v>
      </c>
      <c r="J450" s="2">
        <v>3.06</v>
      </c>
      <c r="K450" s="2">
        <v>3.46</v>
      </c>
      <c r="L450" s="2">
        <v>3.91</v>
      </c>
      <c r="M450" s="4">
        <f t="shared" si="36"/>
        <v>20.78034682080925</v>
      </c>
      <c r="N450" s="4">
        <f t="shared" si="37"/>
        <v>18.388746803069054</v>
      </c>
      <c r="O450" s="5">
        <f t="shared" si="38"/>
        <v>0.13071895424836599</v>
      </c>
      <c r="P450" s="5">
        <f t="shared" si="39"/>
        <v>0.13005780346820806</v>
      </c>
      <c r="Q450" s="4">
        <f t="shared" si="40"/>
        <v>1.5896965317919078</v>
      </c>
      <c r="R450" s="4">
        <f t="shared" si="41"/>
        <v>1.4138903097470876</v>
      </c>
      <c r="S450" s="4">
        <v>19.87</v>
      </c>
      <c r="T450" s="2">
        <v>0.69</v>
      </c>
      <c r="U450" s="2">
        <v>108.14</v>
      </c>
      <c r="V450" s="2">
        <v>71.349999999999994</v>
      </c>
      <c r="W450" s="2">
        <v>-5.67</v>
      </c>
      <c r="X450" s="2" t="s">
        <v>12590</v>
      </c>
      <c r="Y450" s="2">
        <v>-22.01</v>
      </c>
      <c r="Z450" s="2">
        <v>-24.59</v>
      </c>
    </row>
    <row r="451" spans="1:26" x14ac:dyDescent="0.25">
      <c r="A451" s="1" t="s">
        <v>2027</v>
      </c>
      <c r="B451" s="1" t="s">
        <v>2028</v>
      </c>
      <c r="C451" s="1" t="s">
        <v>45</v>
      </c>
      <c r="D451" s="1" t="s">
        <v>32</v>
      </c>
      <c r="E451" s="1" t="s">
        <v>311</v>
      </c>
      <c r="F451" s="1" t="s">
        <v>2029</v>
      </c>
      <c r="G451" s="1" t="s">
        <v>12480</v>
      </c>
      <c r="H451" s="1" t="s">
        <v>2030</v>
      </c>
      <c r="I451" s="2">
        <v>40.22</v>
      </c>
      <c r="J451" s="2">
        <v>1.21</v>
      </c>
      <c r="K451" s="2">
        <v>1.42</v>
      </c>
      <c r="L451" s="2">
        <v>1.59</v>
      </c>
      <c r="M451" s="4">
        <f t="shared" ref="M451:M514" si="42">I451/K451</f>
        <v>28.323943661971832</v>
      </c>
      <c r="N451" s="4">
        <f t="shared" ref="N451:N514" si="43">I451/L451</f>
        <v>25.295597484276726</v>
      </c>
      <c r="O451" s="5">
        <f t="shared" ref="O451:O514" si="44">K451/J451-1</f>
        <v>0.17355371900826433</v>
      </c>
      <c r="P451" s="5">
        <f t="shared" ref="P451:P514" si="45">L451/K451-1</f>
        <v>0.11971830985915499</v>
      </c>
      <c r="Q451" s="4">
        <f t="shared" ref="Q451:Q514" si="46">M451/(O451*100)</f>
        <v>1.6319986586183781</v>
      </c>
      <c r="R451" s="4">
        <f t="shared" ref="R451:R514" si="47">N451/(P451*100)</f>
        <v>2.112926378098408</v>
      </c>
      <c r="S451" s="4">
        <v>10.99</v>
      </c>
      <c r="T451" s="2">
        <v>1.18</v>
      </c>
      <c r="U451" s="2">
        <v>58.72</v>
      </c>
      <c r="V451" s="2">
        <v>31.79</v>
      </c>
      <c r="W451" s="2">
        <v>5.48</v>
      </c>
      <c r="X451" s="2">
        <v>16.78</v>
      </c>
      <c r="Y451" s="2">
        <v>-7.0000000000000007E-2</v>
      </c>
      <c r="Z451" s="2">
        <v>5.38</v>
      </c>
    </row>
    <row r="452" spans="1:26" x14ac:dyDescent="0.25">
      <c r="A452" s="1" t="s">
        <v>2032</v>
      </c>
      <c r="B452" s="1" t="s">
        <v>2033</v>
      </c>
      <c r="C452" s="1" t="s">
        <v>31</v>
      </c>
      <c r="D452" s="1" t="s">
        <v>61</v>
      </c>
      <c r="E452" s="1" t="s">
        <v>170</v>
      </c>
      <c r="F452" s="1" t="s">
        <v>2034</v>
      </c>
      <c r="G452" s="1" t="s">
        <v>12502</v>
      </c>
      <c r="H452" s="1" t="s">
        <v>2035</v>
      </c>
      <c r="I452" s="2">
        <v>8.16</v>
      </c>
      <c r="J452" s="2">
        <v>0.65</v>
      </c>
      <c r="K452" s="2">
        <v>0.84</v>
      </c>
      <c r="L452" s="2">
        <v>0.9</v>
      </c>
      <c r="M452" s="4">
        <f t="shared" si="42"/>
        <v>9.7142857142857153</v>
      </c>
      <c r="N452" s="4">
        <f t="shared" si="43"/>
        <v>9.0666666666666664</v>
      </c>
      <c r="O452" s="5">
        <f t="shared" si="44"/>
        <v>0.29230769230769216</v>
      </c>
      <c r="P452" s="5">
        <f t="shared" si="45"/>
        <v>7.1428571428571397E-2</v>
      </c>
      <c r="Q452" s="4">
        <f t="shared" si="46"/>
        <v>0.33233082706766937</v>
      </c>
      <c r="R452" s="4">
        <f t="shared" si="47"/>
        <v>1.2693333333333339</v>
      </c>
      <c r="S452" s="4">
        <v>37.5</v>
      </c>
      <c r="T452" s="2">
        <v>1.23</v>
      </c>
      <c r="U452" s="2">
        <v>13.18</v>
      </c>
      <c r="V452" s="2">
        <v>8.16</v>
      </c>
      <c r="W452" s="2">
        <v>-13.65</v>
      </c>
      <c r="X452" s="2">
        <v>-22.36</v>
      </c>
      <c r="Y452" s="2">
        <v>-16.05</v>
      </c>
      <c r="Z452" s="2">
        <v>-22.51</v>
      </c>
    </row>
    <row r="453" spans="1:26" x14ac:dyDescent="0.25">
      <c r="A453" s="1" t="s">
        <v>2036</v>
      </c>
      <c r="B453" s="1" t="s">
        <v>2037</v>
      </c>
      <c r="C453" s="1" t="s">
        <v>45</v>
      </c>
      <c r="D453" s="1" t="s">
        <v>140</v>
      </c>
      <c r="E453" s="1" t="s">
        <v>284</v>
      </c>
      <c r="F453" s="1" t="s">
        <v>2038</v>
      </c>
      <c r="G453" s="1" t="s">
        <v>12480</v>
      </c>
      <c r="H453" s="1" t="s">
        <v>2039</v>
      </c>
      <c r="I453" s="2">
        <v>7.42</v>
      </c>
      <c r="J453" s="2">
        <v>-1.43</v>
      </c>
      <c r="K453" s="2">
        <v>-0.8</v>
      </c>
      <c r="L453" s="2">
        <v>-0.46</v>
      </c>
      <c r="M453" s="4">
        <f t="shared" si="42"/>
        <v>-9.2749999999999986</v>
      </c>
      <c r="N453" s="4">
        <f t="shared" si="43"/>
        <v>-16.130434782608695</v>
      </c>
      <c r="O453" s="5">
        <f t="shared" si="44"/>
        <v>-0.44055944055944052</v>
      </c>
      <c r="P453" s="5">
        <f t="shared" si="45"/>
        <v>-0.42500000000000004</v>
      </c>
      <c r="Q453" s="4">
        <f t="shared" si="46"/>
        <v>0.21052777777777776</v>
      </c>
      <c r="R453" s="4">
        <f t="shared" si="47"/>
        <v>0.37953964194373396</v>
      </c>
      <c r="S453" s="4">
        <v>77.33</v>
      </c>
      <c r="T453" s="2">
        <v>2.4</v>
      </c>
      <c r="U453" s="2">
        <v>25.9</v>
      </c>
      <c r="V453" s="2">
        <v>7.2</v>
      </c>
      <c r="W453" s="2">
        <v>-4.5</v>
      </c>
      <c r="X453" s="2">
        <v>-44.08</v>
      </c>
      <c r="Y453" s="2">
        <v>-24.67</v>
      </c>
      <c r="Z453" s="2">
        <v>-33.81</v>
      </c>
    </row>
    <row r="454" spans="1:26" x14ac:dyDescent="0.25">
      <c r="A454" s="1" t="s">
        <v>2040</v>
      </c>
      <c r="B454" s="1" t="s">
        <v>2041</v>
      </c>
      <c r="C454" s="1" t="s">
        <v>16</v>
      </c>
      <c r="D454" s="1" t="s">
        <v>94</v>
      </c>
      <c r="E454" s="1" t="s">
        <v>409</v>
      </c>
      <c r="F454" s="1" t="s">
        <v>2042</v>
      </c>
      <c r="G454" s="1" t="s">
        <v>12480</v>
      </c>
      <c r="H454" s="1" t="s">
        <v>2043</v>
      </c>
      <c r="I454" s="2">
        <v>3.96</v>
      </c>
      <c r="J454" s="2">
        <v>-0.37</v>
      </c>
      <c r="K454" s="2">
        <v>0.06</v>
      </c>
      <c r="L454" s="2">
        <v>0.03</v>
      </c>
      <c r="M454" s="4">
        <f t="shared" si="42"/>
        <v>66</v>
      </c>
      <c r="N454" s="4">
        <f t="shared" si="43"/>
        <v>132</v>
      </c>
      <c r="O454" s="5">
        <f t="shared" si="44"/>
        <v>-1.1621621621621623</v>
      </c>
      <c r="P454" s="5">
        <f t="shared" si="45"/>
        <v>-0.5</v>
      </c>
      <c r="Q454" s="4">
        <f t="shared" si="46"/>
        <v>-0.567906976744186</v>
      </c>
      <c r="R454" s="4">
        <f t="shared" si="47"/>
        <v>-2.64</v>
      </c>
      <c r="S454" s="4">
        <v>-16.760000000000002</v>
      </c>
      <c r="T454" s="2">
        <v>0.42</v>
      </c>
      <c r="U454" s="2">
        <v>3.98</v>
      </c>
      <c r="V454" s="2">
        <v>1.48</v>
      </c>
      <c r="W454" s="2">
        <v>2.59</v>
      </c>
      <c r="X454" s="2">
        <v>10.31</v>
      </c>
      <c r="Y454" s="2">
        <v>27.74</v>
      </c>
      <c r="Z454" s="2">
        <v>22.6</v>
      </c>
    </row>
    <row r="455" spans="1:26" x14ac:dyDescent="0.25">
      <c r="A455" s="1" t="s">
        <v>2044</v>
      </c>
      <c r="B455" s="1" t="s">
        <v>2045</v>
      </c>
      <c r="C455" s="1" t="s">
        <v>1118</v>
      </c>
      <c r="D455" s="1" t="s">
        <v>88</v>
      </c>
      <c r="E455" s="1" t="s">
        <v>89</v>
      </c>
      <c r="F455" s="1" t="s">
        <v>2046</v>
      </c>
      <c r="G455" s="1" t="s">
        <v>12480</v>
      </c>
      <c r="H455" s="1" t="s">
        <v>2047</v>
      </c>
      <c r="I455" s="2">
        <v>5.27</v>
      </c>
      <c r="J455" s="2">
        <v>0.46</v>
      </c>
      <c r="K455" s="2">
        <v>0.72</v>
      </c>
      <c r="L455" s="2">
        <v>1.1599999999999999</v>
      </c>
      <c r="M455" s="4">
        <f t="shared" si="42"/>
        <v>7.3194444444444438</v>
      </c>
      <c r="N455" s="4">
        <f t="shared" si="43"/>
        <v>4.5431034482758621</v>
      </c>
      <c r="O455" s="5">
        <f t="shared" si="44"/>
        <v>0.56521739130434767</v>
      </c>
      <c r="P455" s="5">
        <f t="shared" si="45"/>
        <v>0.61111111111111116</v>
      </c>
      <c r="Q455" s="4">
        <f t="shared" si="46"/>
        <v>0.12949786324786328</v>
      </c>
      <c r="R455" s="4">
        <f t="shared" si="47"/>
        <v>7.4341692789968647E-2</v>
      </c>
      <c r="S455" s="4">
        <v>60.95</v>
      </c>
      <c r="T455" s="2">
        <v>0.55000000000000004</v>
      </c>
      <c r="U455" s="2">
        <v>6.21</v>
      </c>
      <c r="V455" s="2">
        <v>2.6</v>
      </c>
      <c r="W455" s="2">
        <v>-12.31</v>
      </c>
      <c r="X455" s="2">
        <v>-3.13</v>
      </c>
      <c r="Y455" s="2">
        <v>14.07</v>
      </c>
      <c r="Z455" s="2">
        <v>16.850000000000001</v>
      </c>
    </row>
    <row r="456" spans="1:26" x14ac:dyDescent="0.25">
      <c r="A456" s="1" t="s">
        <v>2048</v>
      </c>
      <c r="B456" s="1" t="s">
        <v>2049</v>
      </c>
      <c r="C456" s="1" t="s">
        <v>16</v>
      </c>
      <c r="D456" s="1" t="s">
        <v>38</v>
      </c>
      <c r="E456" s="1" t="s">
        <v>52</v>
      </c>
      <c r="F456" s="1" t="s">
        <v>2050</v>
      </c>
      <c r="G456" s="1" t="s">
        <v>12480</v>
      </c>
      <c r="H456" s="1" t="s">
        <v>2051</v>
      </c>
      <c r="I456" s="2">
        <v>10.89</v>
      </c>
      <c r="J456" s="2"/>
      <c r="K456" s="2">
        <v>0.08</v>
      </c>
      <c r="L456" s="2">
        <v>0.41</v>
      </c>
      <c r="M456" s="4">
        <f t="shared" si="42"/>
        <v>136.125</v>
      </c>
      <c r="N456" s="4">
        <f t="shared" si="43"/>
        <v>26.560975609756099</v>
      </c>
      <c r="O456" s="5" t="e">
        <f t="shared" si="44"/>
        <v>#DIV/0!</v>
      </c>
      <c r="P456" s="5">
        <f t="shared" si="45"/>
        <v>4.125</v>
      </c>
      <c r="Q456" s="4" t="e">
        <f t="shared" si="46"/>
        <v>#DIV/0!</v>
      </c>
      <c r="R456" s="4">
        <f t="shared" si="47"/>
        <v>6.4390243902439026E-2</v>
      </c>
      <c r="S456" s="4"/>
      <c r="T456" s="2"/>
      <c r="U456" s="2">
        <v>18.489999999999998</v>
      </c>
      <c r="V456" s="2">
        <v>9.52</v>
      </c>
      <c r="W456" s="2">
        <v>5.01</v>
      </c>
      <c r="X456" s="2">
        <v>-5.55</v>
      </c>
      <c r="Y456" s="2"/>
      <c r="Z456" s="2"/>
    </row>
    <row r="457" spans="1:26" x14ac:dyDescent="0.25">
      <c r="A457" s="1" t="s">
        <v>2052</v>
      </c>
      <c r="B457" s="1" t="s">
        <v>2053</v>
      </c>
      <c r="C457" s="1" t="s">
        <v>16</v>
      </c>
      <c r="D457" s="1" t="s">
        <v>128</v>
      </c>
      <c r="E457" s="1" t="s">
        <v>2055</v>
      </c>
      <c r="F457" s="1" t="s">
        <v>2054</v>
      </c>
      <c r="G457" s="1" t="s">
        <v>12480</v>
      </c>
      <c r="H457" s="1" t="s">
        <v>2056</v>
      </c>
      <c r="I457" s="2">
        <v>58.33</v>
      </c>
      <c r="J457" s="2">
        <v>4.6399999999999997</v>
      </c>
      <c r="K457" s="2">
        <v>4.8899999999999997</v>
      </c>
      <c r="L457" s="2">
        <v>5.32</v>
      </c>
      <c r="M457" s="4">
        <f t="shared" si="42"/>
        <v>11.928425357873211</v>
      </c>
      <c r="N457" s="4">
        <f t="shared" si="43"/>
        <v>10.964285714285714</v>
      </c>
      <c r="O457" s="5">
        <f t="shared" si="44"/>
        <v>5.3879310344827624E-2</v>
      </c>
      <c r="P457" s="5">
        <f t="shared" si="45"/>
        <v>8.7934560327198596E-2</v>
      </c>
      <c r="Q457" s="4">
        <f t="shared" si="46"/>
        <v>2.2139157464212662</v>
      </c>
      <c r="R457" s="4">
        <f t="shared" si="47"/>
        <v>1.2468687707641162</v>
      </c>
      <c r="S457" s="4">
        <v>2.15</v>
      </c>
      <c r="T457" s="2">
        <v>0.31</v>
      </c>
      <c r="U457" s="2">
        <v>63.03</v>
      </c>
      <c r="V457" s="2">
        <v>39.43</v>
      </c>
      <c r="W457" s="2">
        <v>-6.1</v>
      </c>
      <c r="X457" s="2">
        <v>-4.6100000000000003</v>
      </c>
      <c r="Y457" s="2">
        <v>1.02</v>
      </c>
      <c r="Z457" s="2">
        <v>3.02</v>
      </c>
    </row>
    <row r="458" spans="1:26" x14ac:dyDescent="0.25">
      <c r="A458" s="1" t="s">
        <v>2058</v>
      </c>
      <c r="B458" s="1" t="s">
        <v>2059</v>
      </c>
      <c r="C458" s="1" t="s">
        <v>31</v>
      </c>
      <c r="D458" s="1" t="s">
        <v>38</v>
      </c>
      <c r="E458" s="1" t="s">
        <v>1806</v>
      </c>
      <c r="F458" s="1" t="s">
        <v>2060</v>
      </c>
      <c r="G458" s="1" t="s">
        <v>12490</v>
      </c>
      <c r="H458" s="1" t="s">
        <v>2061</v>
      </c>
      <c r="I458" s="2">
        <v>4.9400000000000004</v>
      </c>
      <c r="J458" s="2">
        <v>0.36</v>
      </c>
      <c r="K458" s="2">
        <v>0.38</v>
      </c>
      <c r="L458" s="2">
        <v>0.41</v>
      </c>
      <c r="M458" s="4">
        <f t="shared" si="42"/>
        <v>13</v>
      </c>
      <c r="N458" s="4">
        <f t="shared" si="43"/>
        <v>12.04878048780488</v>
      </c>
      <c r="O458" s="5">
        <f t="shared" si="44"/>
        <v>5.555555555555558E-2</v>
      </c>
      <c r="P458" s="5">
        <f t="shared" si="45"/>
        <v>7.8947368421052655E-2</v>
      </c>
      <c r="Q458" s="4">
        <f t="shared" si="46"/>
        <v>2.339999999999999</v>
      </c>
      <c r="R458" s="4">
        <f t="shared" si="47"/>
        <v>1.5261788617886176</v>
      </c>
      <c r="S458" s="4">
        <v>-20.9</v>
      </c>
      <c r="T458" s="2">
        <v>1.1599999999999999</v>
      </c>
      <c r="U458" s="2">
        <v>5.73</v>
      </c>
      <c r="V458" s="2">
        <v>4.3</v>
      </c>
      <c r="W458" s="2">
        <v>-7.32</v>
      </c>
      <c r="X458" s="2">
        <v>-10.83</v>
      </c>
      <c r="Y458" s="2">
        <v>-2.95</v>
      </c>
      <c r="Z458" s="2">
        <v>-9.36</v>
      </c>
    </row>
    <row r="459" spans="1:26" x14ac:dyDescent="0.25">
      <c r="A459" s="1" t="s">
        <v>2062</v>
      </c>
      <c r="B459" s="1" t="s">
        <v>2063</v>
      </c>
      <c r="C459" s="1" t="s">
        <v>31</v>
      </c>
      <c r="D459" s="1" t="s">
        <v>128</v>
      </c>
      <c r="E459" s="1" t="s">
        <v>210</v>
      </c>
      <c r="F459" s="1" t="s">
        <v>2064</v>
      </c>
      <c r="G459" s="1" t="s">
        <v>12480</v>
      </c>
      <c r="H459" s="1" t="s">
        <v>2065</v>
      </c>
      <c r="I459" s="2">
        <v>1.59</v>
      </c>
      <c r="J459" s="2">
        <v>0.11</v>
      </c>
      <c r="K459" s="2"/>
      <c r="L459" s="2"/>
      <c r="M459" s="4" t="e">
        <f t="shared" si="42"/>
        <v>#DIV/0!</v>
      </c>
      <c r="N459" s="4" t="e">
        <f t="shared" si="43"/>
        <v>#DIV/0!</v>
      </c>
      <c r="O459" s="5">
        <f t="shared" si="44"/>
        <v>-1</v>
      </c>
      <c r="P459" s="5" t="e">
        <f t="shared" si="45"/>
        <v>#DIV/0!</v>
      </c>
      <c r="Q459" s="4" t="e">
        <f t="shared" si="46"/>
        <v>#DIV/0!</v>
      </c>
      <c r="R459" s="4" t="e">
        <f t="shared" si="47"/>
        <v>#DIV/0!</v>
      </c>
      <c r="S459" s="4">
        <v>-7.86</v>
      </c>
      <c r="T459" s="2">
        <v>0.34</v>
      </c>
      <c r="U459" s="2">
        <v>1.92</v>
      </c>
      <c r="V459" s="2">
        <v>1.26</v>
      </c>
      <c r="W459" s="2" t="s">
        <v>12489</v>
      </c>
      <c r="X459" s="2" t="s">
        <v>12489</v>
      </c>
      <c r="Y459" s="2" t="s">
        <v>12502</v>
      </c>
      <c r="Z459" s="2">
        <v>1.27</v>
      </c>
    </row>
    <row r="460" spans="1:26" x14ac:dyDescent="0.25">
      <c r="A460" s="1" t="s">
        <v>2066</v>
      </c>
      <c r="B460" s="1" t="s">
        <v>2067</v>
      </c>
      <c r="C460" s="1" t="s">
        <v>45</v>
      </c>
      <c r="D460" s="1" t="s">
        <v>18</v>
      </c>
      <c r="E460" s="1" t="s">
        <v>624</v>
      </c>
      <c r="F460" s="1" t="s">
        <v>2068</v>
      </c>
      <c r="G460" s="1" t="s">
        <v>12480</v>
      </c>
      <c r="H460" s="1" t="s">
        <v>2069</v>
      </c>
      <c r="I460" s="2">
        <v>42.23</v>
      </c>
      <c r="J460" s="2" t="s">
        <v>12493</v>
      </c>
      <c r="K460" s="2">
        <v>1.61</v>
      </c>
      <c r="L460" s="2">
        <v>1.92</v>
      </c>
      <c r="M460" s="4">
        <f t="shared" si="42"/>
        <v>26.229813664596271</v>
      </c>
      <c r="N460" s="4">
        <f t="shared" si="43"/>
        <v>21.994791666666664</v>
      </c>
      <c r="O460" s="5">
        <f t="shared" si="44"/>
        <v>0.6100000000000001</v>
      </c>
      <c r="P460" s="5">
        <f t="shared" si="45"/>
        <v>0.19254658385093149</v>
      </c>
      <c r="Q460" s="4">
        <f t="shared" si="46"/>
        <v>0.42999694532125032</v>
      </c>
      <c r="R460" s="4">
        <f t="shared" si="47"/>
        <v>1.1423101478494635</v>
      </c>
      <c r="S460" s="4">
        <v>14.59</v>
      </c>
      <c r="T460" s="2">
        <v>2.31</v>
      </c>
      <c r="U460" s="2">
        <v>42.23</v>
      </c>
      <c r="V460" s="2">
        <v>15.62</v>
      </c>
      <c r="W460" s="2">
        <v>1.56</v>
      </c>
      <c r="X460" s="2">
        <v>6.21</v>
      </c>
      <c r="Y460" s="2">
        <v>17.440000000000001</v>
      </c>
      <c r="Z460" s="2">
        <v>12.76</v>
      </c>
    </row>
    <row r="461" spans="1:26" x14ac:dyDescent="0.25">
      <c r="A461" s="1" t="s">
        <v>2070</v>
      </c>
      <c r="B461" s="1" t="s">
        <v>2071</v>
      </c>
      <c r="C461" s="1" t="s">
        <v>16</v>
      </c>
      <c r="D461" s="1" t="s">
        <v>94</v>
      </c>
      <c r="E461" s="1" t="s">
        <v>1027</v>
      </c>
      <c r="F461" s="1" t="s">
        <v>2072</v>
      </c>
      <c r="G461" s="1" t="s">
        <v>12480</v>
      </c>
      <c r="H461" s="1" t="s">
        <v>2073</v>
      </c>
      <c r="I461" s="2">
        <v>33.28</v>
      </c>
      <c r="J461" s="2">
        <v>-0.43</v>
      </c>
      <c r="K461" s="2">
        <v>3.03</v>
      </c>
      <c r="L461" s="2">
        <v>4.2</v>
      </c>
      <c r="M461" s="4">
        <f t="shared" si="42"/>
        <v>10.983498349834985</v>
      </c>
      <c r="N461" s="4">
        <f t="shared" si="43"/>
        <v>7.9238095238095241</v>
      </c>
      <c r="O461" s="5">
        <f t="shared" si="44"/>
        <v>-8.0465116279069768</v>
      </c>
      <c r="P461" s="5">
        <f t="shared" si="45"/>
        <v>0.38613861386138626</v>
      </c>
      <c r="Q461" s="4">
        <f t="shared" si="46"/>
        <v>-1.3650012400083941E-2</v>
      </c>
      <c r="R461" s="4">
        <f t="shared" si="47"/>
        <v>0.20520634920634917</v>
      </c>
      <c r="S461" s="4">
        <v>-8.86</v>
      </c>
      <c r="T461" s="2">
        <v>0.54</v>
      </c>
      <c r="U461" s="2">
        <v>38.83</v>
      </c>
      <c r="V461" s="2">
        <v>10.31</v>
      </c>
      <c r="W461" s="2">
        <v>-1.04</v>
      </c>
      <c r="X461" s="2">
        <v>-12.03</v>
      </c>
      <c r="Y461" s="2">
        <v>18.22</v>
      </c>
      <c r="Z461" s="2">
        <v>12.05</v>
      </c>
    </row>
    <row r="462" spans="1:26" x14ac:dyDescent="0.25">
      <c r="A462" s="1" t="s">
        <v>2074</v>
      </c>
      <c r="B462" s="1" t="s">
        <v>2075</v>
      </c>
      <c r="C462" s="1" t="s">
        <v>16</v>
      </c>
      <c r="D462" s="1" t="s">
        <v>128</v>
      </c>
      <c r="E462" s="1" t="s">
        <v>129</v>
      </c>
      <c r="F462" s="1" t="s">
        <v>2076</v>
      </c>
      <c r="G462" s="1" t="s">
        <v>12480</v>
      </c>
      <c r="H462" s="1" t="s">
        <v>2077</v>
      </c>
      <c r="I462" s="2">
        <v>73.16</v>
      </c>
      <c r="J462" s="2">
        <v>3.73</v>
      </c>
      <c r="K462" s="2">
        <v>4.22</v>
      </c>
      <c r="L462" s="2">
        <v>4.8099999999999996</v>
      </c>
      <c r="M462" s="4">
        <f t="shared" si="42"/>
        <v>17.33649289099526</v>
      </c>
      <c r="N462" s="4">
        <f t="shared" si="43"/>
        <v>15.20997920997921</v>
      </c>
      <c r="O462" s="5">
        <f t="shared" si="44"/>
        <v>0.13136729222520094</v>
      </c>
      <c r="P462" s="5">
        <f t="shared" si="45"/>
        <v>0.13981042654028442</v>
      </c>
      <c r="Q462" s="4">
        <f t="shared" si="46"/>
        <v>1.3196962955798446</v>
      </c>
      <c r="R462" s="4">
        <f t="shared" si="47"/>
        <v>1.0879002079002074</v>
      </c>
      <c r="S462" s="4">
        <v>-0.75</v>
      </c>
      <c r="T462" s="2">
        <v>0.54</v>
      </c>
      <c r="U462" s="2">
        <v>80.95</v>
      </c>
      <c r="V462" s="2">
        <v>57.1</v>
      </c>
      <c r="W462" s="2">
        <v>-7.05</v>
      </c>
      <c r="X462" s="2">
        <v>-3.79</v>
      </c>
      <c r="Y462" s="2">
        <v>12.59</v>
      </c>
      <c r="Z462" s="2">
        <v>14.24</v>
      </c>
    </row>
    <row r="463" spans="1:26" x14ac:dyDescent="0.25">
      <c r="A463" s="1" t="s">
        <v>2078</v>
      </c>
      <c r="B463" s="1" t="s">
        <v>2079</v>
      </c>
      <c r="C463" s="1" t="s">
        <v>45</v>
      </c>
      <c r="D463" s="1" t="s">
        <v>38</v>
      </c>
      <c r="E463" s="1" t="s">
        <v>52</v>
      </c>
      <c r="F463" s="1" t="s">
        <v>2080</v>
      </c>
      <c r="G463" s="1" t="s">
        <v>12480</v>
      </c>
      <c r="H463" s="1" t="s">
        <v>2081</v>
      </c>
      <c r="I463" s="2">
        <v>5.49</v>
      </c>
      <c r="J463" s="2">
        <v>-1.08</v>
      </c>
      <c r="K463" s="2">
        <v>0.18</v>
      </c>
      <c r="L463" s="2"/>
      <c r="M463" s="4">
        <f t="shared" si="42"/>
        <v>30.500000000000004</v>
      </c>
      <c r="N463" s="4" t="e">
        <f t="shared" si="43"/>
        <v>#DIV/0!</v>
      </c>
      <c r="O463" s="5">
        <f t="shared" si="44"/>
        <v>-1.1666666666666667</v>
      </c>
      <c r="P463" s="5">
        <f t="shared" si="45"/>
        <v>-1</v>
      </c>
      <c r="Q463" s="4">
        <f t="shared" si="46"/>
        <v>-0.26142857142857145</v>
      </c>
      <c r="R463" s="4" t="e">
        <f t="shared" si="47"/>
        <v>#DIV/0!</v>
      </c>
      <c r="S463" s="4">
        <v>46.32</v>
      </c>
      <c r="T463" s="2">
        <v>-0.04</v>
      </c>
      <c r="U463" s="2">
        <v>62.9</v>
      </c>
      <c r="V463" s="2">
        <v>5.45</v>
      </c>
      <c r="W463" s="2">
        <v>-9.11</v>
      </c>
      <c r="X463" s="2">
        <v>-19.149999999999999</v>
      </c>
      <c r="Y463" s="2">
        <v>-36.31</v>
      </c>
      <c r="Z463" s="2">
        <v>-29.34</v>
      </c>
    </row>
    <row r="464" spans="1:26" x14ac:dyDescent="0.25">
      <c r="A464" s="1" t="s">
        <v>2082</v>
      </c>
      <c r="B464" s="1" t="s">
        <v>2083</v>
      </c>
      <c r="C464" s="1" t="s">
        <v>16</v>
      </c>
      <c r="D464" s="1" t="s">
        <v>38</v>
      </c>
      <c r="E464" s="1" t="s">
        <v>52</v>
      </c>
      <c r="F464" s="1" t="s">
        <v>2084</v>
      </c>
      <c r="G464" s="1" t="s">
        <v>12480</v>
      </c>
      <c r="H464" s="1" t="s">
        <v>2085</v>
      </c>
      <c r="I464" s="2">
        <v>8.27</v>
      </c>
      <c r="J464" s="2">
        <v>0.28000000000000003</v>
      </c>
      <c r="K464" s="2">
        <v>1.04</v>
      </c>
      <c r="L464" s="2">
        <v>1.31</v>
      </c>
      <c r="M464" s="4">
        <f t="shared" si="42"/>
        <v>7.9519230769230766</v>
      </c>
      <c r="N464" s="4">
        <f t="shared" si="43"/>
        <v>6.3129770992366403</v>
      </c>
      <c r="O464" s="5">
        <f t="shared" si="44"/>
        <v>2.714285714285714</v>
      </c>
      <c r="P464" s="5">
        <f t="shared" si="45"/>
        <v>0.25961538461538458</v>
      </c>
      <c r="Q464" s="4">
        <f t="shared" si="46"/>
        <v>2.9296558704453444E-2</v>
      </c>
      <c r="R464" s="4">
        <f t="shared" si="47"/>
        <v>0.24316652530392988</v>
      </c>
      <c r="S464" s="4">
        <v>-24.31</v>
      </c>
      <c r="T464" s="2">
        <v>0.66</v>
      </c>
      <c r="U464" s="2">
        <v>14.84</v>
      </c>
      <c r="V464" s="2">
        <v>7.77</v>
      </c>
      <c r="W464" s="2">
        <v>-5.27</v>
      </c>
      <c r="X464" s="2">
        <v>-7.8</v>
      </c>
      <c r="Y464" s="2">
        <v>-8.2100000000000009</v>
      </c>
      <c r="Z464" s="2">
        <v>-7.29</v>
      </c>
    </row>
    <row r="465" spans="1:26" x14ac:dyDescent="0.25">
      <c r="A465" s="1" t="s">
        <v>2086</v>
      </c>
      <c r="B465" s="1" t="s">
        <v>2087</v>
      </c>
      <c r="C465" s="1" t="s">
        <v>31</v>
      </c>
      <c r="D465" s="1" t="s">
        <v>67</v>
      </c>
      <c r="E465" s="1" t="s">
        <v>381</v>
      </c>
      <c r="F465" s="1" t="s">
        <v>2088</v>
      </c>
      <c r="G465" s="1" t="s">
        <v>12490</v>
      </c>
      <c r="H465" s="1" t="s">
        <v>2089</v>
      </c>
      <c r="I465" s="2">
        <v>14.63</v>
      </c>
      <c r="J465" s="2">
        <v>0.19</v>
      </c>
      <c r="K465" s="2">
        <v>0.28000000000000003</v>
      </c>
      <c r="L465" s="2">
        <v>0.46</v>
      </c>
      <c r="M465" s="4">
        <f t="shared" si="42"/>
        <v>52.25</v>
      </c>
      <c r="N465" s="4">
        <f t="shared" si="43"/>
        <v>31.804347826086957</v>
      </c>
      <c r="O465" s="5">
        <f t="shared" si="44"/>
        <v>0.47368421052631593</v>
      </c>
      <c r="P465" s="5">
        <f t="shared" si="45"/>
        <v>0.64285714285714279</v>
      </c>
      <c r="Q465" s="4">
        <f t="shared" si="46"/>
        <v>1.1030555555555552</v>
      </c>
      <c r="R465" s="4">
        <f t="shared" si="47"/>
        <v>0.49473429951690828</v>
      </c>
      <c r="S465" s="4">
        <v>-15.85</v>
      </c>
      <c r="T465" s="2">
        <v>1.1200000000000001</v>
      </c>
      <c r="U465" s="2">
        <v>18.5</v>
      </c>
      <c r="V465" s="2">
        <v>8.11</v>
      </c>
      <c r="W465" s="2">
        <v>-1.46</v>
      </c>
      <c r="X465" s="2">
        <v>-8.73</v>
      </c>
      <c r="Y465" s="2">
        <v>-16.64</v>
      </c>
      <c r="Z465" s="2">
        <v>-14.14</v>
      </c>
    </row>
    <row r="466" spans="1:26" x14ac:dyDescent="0.25">
      <c r="A466" s="1" t="s">
        <v>2091</v>
      </c>
      <c r="B466" s="1" t="s">
        <v>2092</v>
      </c>
      <c r="C466" s="1" t="s">
        <v>16</v>
      </c>
      <c r="D466" s="1" t="s">
        <v>67</v>
      </c>
      <c r="E466" s="1" t="s">
        <v>2094</v>
      </c>
      <c r="F466" s="1" t="s">
        <v>2093</v>
      </c>
      <c r="G466" s="1" t="s">
        <v>12493</v>
      </c>
      <c r="H466" s="1" t="s">
        <v>2095</v>
      </c>
      <c r="I466" s="2">
        <v>301.52</v>
      </c>
      <c r="J466" s="2">
        <v>9.76</v>
      </c>
      <c r="K466" s="2">
        <v>11.17</v>
      </c>
      <c r="L466" s="2">
        <v>13.09</v>
      </c>
      <c r="M466" s="4">
        <f t="shared" si="42"/>
        <v>26.993733213965978</v>
      </c>
      <c r="N466" s="4">
        <f t="shared" si="43"/>
        <v>23.034377387318564</v>
      </c>
      <c r="O466" s="5">
        <f t="shared" si="44"/>
        <v>0.14446721311475419</v>
      </c>
      <c r="P466" s="5">
        <f t="shared" si="45"/>
        <v>0.17188898836168298</v>
      </c>
      <c r="Q466" s="4">
        <f t="shared" si="46"/>
        <v>1.8685023841723958</v>
      </c>
      <c r="R466" s="4">
        <f t="shared" si="47"/>
        <v>1.3400728927934817</v>
      </c>
      <c r="S466" s="4">
        <v>8.76</v>
      </c>
      <c r="T466" s="2">
        <v>1.73</v>
      </c>
      <c r="U466" s="2">
        <v>321.47000000000003</v>
      </c>
      <c r="V466" s="2">
        <v>215.78</v>
      </c>
      <c r="W466" s="2">
        <v>-0.86</v>
      </c>
      <c r="X466" s="2">
        <v>-5.33</v>
      </c>
      <c r="Y466" s="2">
        <v>11.91</v>
      </c>
      <c r="Z466" s="2">
        <v>4.3899999999999997</v>
      </c>
    </row>
    <row r="467" spans="1:26" x14ac:dyDescent="0.25">
      <c r="A467" s="1" t="s">
        <v>2096</v>
      </c>
      <c r="B467" s="1" t="s">
        <v>2097</v>
      </c>
      <c r="C467" s="1" t="s">
        <v>45</v>
      </c>
      <c r="D467" s="1" t="s">
        <v>38</v>
      </c>
      <c r="E467" s="1" t="s">
        <v>1093</v>
      </c>
      <c r="F467" s="1" t="s">
        <v>2098</v>
      </c>
      <c r="G467" s="1" t="s">
        <v>12480</v>
      </c>
      <c r="H467" s="1" t="s">
        <v>2099</v>
      </c>
      <c r="I467" s="2">
        <v>25.04</v>
      </c>
      <c r="J467" s="2">
        <v>2.5299999999999998</v>
      </c>
      <c r="K467" s="2">
        <v>2.52</v>
      </c>
      <c r="L467" s="2">
        <v>2.7</v>
      </c>
      <c r="M467" s="4">
        <f t="shared" si="42"/>
        <v>9.9365079365079367</v>
      </c>
      <c r="N467" s="4">
        <f t="shared" si="43"/>
        <v>9.2740740740740737</v>
      </c>
      <c r="O467" s="5">
        <f t="shared" si="44"/>
        <v>-3.9525691699603405E-3</v>
      </c>
      <c r="P467" s="5">
        <f t="shared" si="45"/>
        <v>7.1428571428571397E-2</v>
      </c>
      <c r="Q467" s="4">
        <f t="shared" si="46"/>
        <v>-25.13936507936593</v>
      </c>
      <c r="R467" s="4">
        <f t="shared" si="47"/>
        <v>1.2983703703703708</v>
      </c>
      <c r="S467" s="4">
        <v>57.36</v>
      </c>
      <c r="T467" s="2">
        <v>0.76</v>
      </c>
      <c r="U467" s="2">
        <v>27.41</v>
      </c>
      <c r="V467" s="2">
        <v>19.2</v>
      </c>
      <c r="W467" s="2">
        <v>-2.4900000000000002</v>
      </c>
      <c r="X467" s="2">
        <v>-8.65</v>
      </c>
      <c r="Y467" s="2">
        <v>-0.79</v>
      </c>
      <c r="Z467" s="2">
        <v>5.25</v>
      </c>
    </row>
    <row r="468" spans="1:26" x14ac:dyDescent="0.25">
      <c r="A468" s="1" t="s">
        <v>2100</v>
      </c>
      <c r="B468" s="1" t="s">
        <v>2101</v>
      </c>
      <c r="C468" s="1" t="s">
        <v>16</v>
      </c>
      <c r="D468" s="1" t="s">
        <v>88</v>
      </c>
      <c r="E468" s="1" t="s">
        <v>846</v>
      </c>
      <c r="F468" s="1" t="s">
        <v>2102</v>
      </c>
      <c r="G468" s="1" t="s">
        <v>12485</v>
      </c>
      <c r="H468" s="1" t="s">
        <v>2103</v>
      </c>
      <c r="I468" s="2">
        <v>12.48</v>
      </c>
      <c r="J468" s="2">
        <v>0.76</v>
      </c>
      <c r="K468" s="2">
        <v>0.68</v>
      </c>
      <c r="L468" s="2">
        <v>0.76</v>
      </c>
      <c r="M468" s="4">
        <f t="shared" si="42"/>
        <v>18.352941176470587</v>
      </c>
      <c r="N468" s="4">
        <f t="shared" si="43"/>
        <v>16.421052631578949</v>
      </c>
      <c r="O468" s="5">
        <f t="shared" si="44"/>
        <v>-0.10526315789473684</v>
      </c>
      <c r="P468" s="5">
        <f t="shared" si="45"/>
        <v>0.11764705882352944</v>
      </c>
      <c r="Q468" s="4">
        <f t="shared" si="46"/>
        <v>-1.743529411764706</v>
      </c>
      <c r="R468" s="4">
        <f t="shared" si="47"/>
        <v>1.3957894736842102</v>
      </c>
      <c r="S468" s="4">
        <v>-3.41</v>
      </c>
      <c r="T468" s="2">
        <v>1.26</v>
      </c>
      <c r="U468" s="2">
        <v>16.940000000000001</v>
      </c>
      <c r="V468" s="2">
        <v>11.74</v>
      </c>
      <c r="W468" s="2">
        <v>-9.0399999999999991</v>
      </c>
      <c r="X468" s="2">
        <v>-7.21</v>
      </c>
      <c r="Y468" s="2">
        <v>-2.65</v>
      </c>
      <c r="Z468" s="2">
        <v>-1.5</v>
      </c>
    </row>
    <row r="469" spans="1:26" x14ac:dyDescent="0.25">
      <c r="A469" s="1" t="s">
        <v>2104</v>
      </c>
      <c r="B469" s="1" t="s">
        <v>2105</v>
      </c>
      <c r="C469" s="1" t="s">
        <v>16</v>
      </c>
      <c r="D469" s="1" t="s">
        <v>88</v>
      </c>
      <c r="E469" s="1" t="s">
        <v>440</v>
      </c>
      <c r="F469" s="1" t="s">
        <v>2106</v>
      </c>
      <c r="G469" s="1" t="s">
        <v>12480</v>
      </c>
      <c r="H469" s="1" t="s">
        <v>2107</v>
      </c>
      <c r="I469" s="2">
        <v>37.51</v>
      </c>
      <c r="J469" s="2">
        <v>3.3</v>
      </c>
      <c r="K469" s="2">
        <v>3.88</v>
      </c>
      <c r="L469" s="2">
        <v>2.96</v>
      </c>
      <c r="M469" s="4">
        <f t="shared" si="42"/>
        <v>9.6675257731958766</v>
      </c>
      <c r="N469" s="4">
        <f t="shared" si="43"/>
        <v>12.672297297297296</v>
      </c>
      <c r="O469" s="5">
        <f t="shared" si="44"/>
        <v>0.17575757575757578</v>
      </c>
      <c r="P469" s="5">
        <f t="shared" si="45"/>
        <v>-0.2371134020618556</v>
      </c>
      <c r="Q469" s="4">
        <f t="shared" si="46"/>
        <v>0.55004888019907572</v>
      </c>
      <c r="R469" s="4">
        <f t="shared" si="47"/>
        <v>-0.53444036427732089</v>
      </c>
      <c r="S469" s="4">
        <v>49.98</v>
      </c>
      <c r="T469" s="2">
        <v>0.26</v>
      </c>
      <c r="U469" s="2">
        <v>43.67</v>
      </c>
      <c r="V469" s="2">
        <v>12.94</v>
      </c>
      <c r="W469" s="2">
        <v>-12.4</v>
      </c>
      <c r="X469" s="2">
        <v>-4.12</v>
      </c>
      <c r="Y469" s="2">
        <v>35.369999999999997</v>
      </c>
      <c r="Z469" s="2">
        <v>34.78</v>
      </c>
    </row>
    <row r="470" spans="1:26" x14ac:dyDescent="0.25">
      <c r="A470" s="1" t="s">
        <v>2108</v>
      </c>
      <c r="B470" s="1" t="s">
        <v>2109</v>
      </c>
      <c r="C470" s="1" t="s">
        <v>31</v>
      </c>
      <c r="D470" s="1" t="s">
        <v>18</v>
      </c>
      <c r="E470" s="1" t="s">
        <v>74</v>
      </c>
      <c r="F470" s="1" t="s">
        <v>2110</v>
      </c>
      <c r="G470" s="1" t="s">
        <v>12480</v>
      </c>
      <c r="H470" s="1" t="s">
        <v>2111</v>
      </c>
      <c r="I470" s="2">
        <v>9.3774999999999995</v>
      </c>
      <c r="J470" s="2">
        <v>0.61</v>
      </c>
      <c r="K470" s="2"/>
      <c r="L470" s="2"/>
      <c r="M470" s="4" t="e">
        <f t="shared" si="42"/>
        <v>#DIV/0!</v>
      </c>
      <c r="N470" s="4" t="e">
        <f t="shared" si="43"/>
        <v>#DIV/0!</v>
      </c>
      <c r="O470" s="5">
        <f t="shared" si="44"/>
        <v>-1</v>
      </c>
      <c r="P470" s="5" t="e">
        <f t="shared" si="45"/>
        <v>#DIV/0!</v>
      </c>
      <c r="Q470" s="4" t="e">
        <f t="shared" si="46"/>
        <v>#DIV/0!</v>
      </c>
      <c r="R470" s="4" t="e">
        <f t="shared" si="47"/>
        <v>#DIV/0!</v>
      </c>
      <c r="S470" s="4">
        <v>-19.11</v>
      </c>
      <c r="T470" s="2">
        <v>1.34</v>
      </c>
      <c r="U470" s="2">
        <v>12.6</v>
      </c>
      <c r="V470" s="2">
        <v>6.84</v>
      </c>
      <c r="W470" s="2">
        <v>-6.46</v>
      </c>
      <c r="X470" s="2" t="s">
        <v>12599</v>
      </c>
      <c r="Y470" s="2">
        <v>-3.92</v>
      </c>
      <c r="Z470" s="2">
        <v>-5.53</v>
      </c>
    </row>
    <row r="471" spans="1:26" x14ac:dyDescent="0.25">
      <c r="A471" s="1" t="s">
        <v>2112</v>
      </c>
      <c r="B471" s="1" t="s">
        <v>2113</v>
      </c>
      <c r="C471" s="1" t="s">
        <v>31</v>
      </c>
      <c r="D471" s="1" t="s">
        <v>140</v>
      </c>
      <c r="E471" s="1" t="s">
        <v>1421</v>
      </c>
      <c r="F471" s="1" t="s">
        <v>2114</v>
      </c>
      <c r="G471" s="1" t="s">
        <v>12480</v>
      </c>
      <c r="H471" s="1" t="s">
        <v>2115</v>
      </c>
      <c r="I471" s="2">
        <v>33.49</v>
      </c>
      <c r="J471" s="2">
        <v>1.61</v>
      </c>
      <c r="K471" s="2"/>
      <c r="L471" s="2"/>
      <c r="M471" s="4" t="e">
        <f t="shared" si="42"/>
        <v>#DIV/0!</v>
      </c>
      <c r="N471" s="4" t="e">
        <f t="shared" si="43"/>
        <v>#DIV/0!</v>
      </c>
      <c r="O471" s="5">
        <f t="shared" si="44"/>
        <v>-1</v>
      </c>
      <c r="P471" s="5" t="e">
        <f t="shared" si="45"/>
        <v>#DIV/0!</v>
      </c>
      <c r="Q471" s="4" t="e">
        <f t="shared" si="46"/>
        <v>#DIV/0!</v>
      </c>
      <c r="R471" s="4" t="e">
        <f t="shared" si="47"/>
        <v>#DIV/0!</v>
      </c>
      <c r="S471" s="4">
        <v>8.3000000000000007</v>
      </c>
      <c r="T471" s="2">
        <v>0.7</v>
      </c>
      <c r="U471" s="2">
        <v>34.15</v>
      </c>
      <c r="V471" s="2">
        <v>29.27</v>
      </c>
      <c r="W471" s="2" t="s">
        <v>12489</v>
      </c>
      <c r="X471" s="2">
        <v>1.07</v>
      </c>
      <c r="Y471" s="2">
        <v>8.6300000000000008</v>
      </c>
      <c r="Z471" s="2">
        <v>7.86</v>
      </c>
    </row>
    <row r="472" spans="1:26" x14ac:dyDescent="0.25">
      <c r="A472" s="1" t="s">
        <v>2116</v>
      </c>
      <c r="B472" s="1" t="s">
        <v>2117</v>
      </c>
      <c r="C472" s="1" t="s">
        <v>16</v>
      </c>
      <c r="D472" s="1" t="s">
        <v>32</v>
      </c>
      <c r="E472" s="1" t="s">
        <v>2119</v>
      </c>
      <c r="F472" s="1" t="s">
        <v>2118</v>
      </c>
      <c r="G472" s="1" t="s">
        <v>12480</v>
      </c>
      <c r="H472" s="1" t="s">
        <v>2120</v>
      </c>
      <c r="I472" s="2">
        <v>13.49</v>
      </c>
      <c r="J472" s="2">
        <v>-0.44</v>
      </c>
      <c r="K472" s="2">
        <v>0.1</v>
      </c>
      <c r="L472" s="2">
        <v>0.22</v>
      </c>
      <c r="M472" s="4">
        <f t="shared" si="42"/>
        <v>134.9</v>
      </c>
      <c r="N472" s="4">
        <f t="shared" si="43"/>
        <v>61.31818181818182</v>
      </c>
      <c r="O472" s="5">
        <f t="shared" si="44"/>
        <v>-1.2272727272727273</v>
      </c>
      <c r="P472" s="5">
        <f t="shared" si="45"/>
        <v>1.1999999999999997</v>
      </c>
      <c r="Q472" s="4">
        <f t="shared" si="46"/>
        <v>-1.0991851851851853</v>
      </c>
      <c r="R472" s="4">
        <f t="shared" si="47"/>
        <v>0.5109848484848486</v>
      </c>
      <c r="S472" s="4">
        <v>-18.07</v>
      </c>
      <c r="T472" s="2">
        <v>1.54</v>
      </c>
      <c r="U472" s="2">
        <v>13.49</v>
      </c>
      <c r="V472" s="2">
        <v>0.26</v>
      </c>
      <c r="W472" s="2">
        <v>49.89</v>
      </c>
      <c r="X472" s="2">
        <v>41.7</v>
      </c>
      <c r="Y472" s="2">
        <v>143.94</v>
      </c>
      <c r="Z472" s="2">
        <v>112.78</v>
      </c>
    </row>
    <row r="473" spans="1:26" x14ac:dyDescent="0.25">
      <c r="A473" s="1" t="s">
        <v>2122</v>
      </c>
      <c r="B473" s="1" t="s">
        <v>2123</v>
      </c>
      <c r="C473" s="1" t="s">
        <v>16</v>
      </c>
      <c r="D473" s="1" t="s">
        <v>305</v>
      </c>
      <c r="E473" s="1" t="s">
        <v>306</v>
      </c>
      <c r="F473" s="1" t="s">
        <v>2124</v>
      </c>
      <c r="G473" s="1" t="s">
        <v>12480</v>
      </c>
      <c r="H473" s="1" t="s">
        <v>2125</v>
      </c>
      <c r="I473" s="2">
        <v>53.25</v>
      </c>
      <c r="J473" s="2">
        <v>4.91</v>
      </c>
      <c r="K473" s="2">
        <v>5.16</v>
      </c>
      <c r="L473" s="2">
        <v>5.76</v>
      </c>
      <c r="M473" s="4">
        <f t="shared" si="42"/>
        <v>10.319767441860465</v>
      </c>
      <c r="N473" s="4">
        <f t="shared" si="43"/>
        <v>9.2447916666666679</v>
      </c>
      <c r="O473" s="5">
        <f t="shared" si="44"/>
        <v>5.0916496945010215E-2</v>
      </c>
      <c r="P473" s="5">
        <f t="shared" si="45"/>
        <v>0.11627906976744184</v>
      </c>
      <c r="Q473" s="4">
        <f t="shared" si="46"/>
        <v>2.0268023255813943</v>
      </c>
      <c r="R473" s="4">
        <f t="shared" si="47"/>
        <v>0.79505208333333344</v>
      </c>
      <c r="S473" s="4">
        <v>1.63</v>
      </c>
      <c r="T473" s="2">
        <v>1.04</v>
      </c>
      <c r="U473" s="2">
        <v>66.55</v>
      </c>
      <c r="V473" s="2">
        <v>24.84</v>
      </c>
      <c r="W473" s="2">
        <v>-4.88</v>
      </c>
      <c r="X473" s="2">
        <v>0.97</v>
      </c>
      <c r="Y473" s="2">
        <v>18.7</v>
      </c>
      <c r="Z473" s="2">
        <v>18.18</v>
      </c>
    </row>
    <row r="474" spans="1:26" x14ac:dyDescent="0.25">
      <c r="A474" s="1" t="s">
        <v>2126</v>
      </c>
      <c r="B474" s="1" t="s">
        <v>2127</v>
      </c>
      <c r="C474" s="1" t="s">
        <v>45</v>
      </c>
      <c r="D474" s="1" t="s">
        <v>38</v>
      </c>
      <c r="E474" s="1" t="s">
        <v>39</v>
      </c>
      <c r="F474" s="1" t="s">
        <v>2128</v>
      </c>
      <c r="G474" s="1" t="s">
        <v>12480</v>
      </c>
      <c r="H474" s="1" t="s">
        <v>2129</v>
      </c>
      <c r="I474" s="2">
        <v>20.010000000000002</v>
      </c>
      <c r="J474" s="2">
        <v>1.67</v>
      </c>
      <c r="K474" s="2">
        <v>1.99</v>
      </c>
      <c r="L474" s="2">
        <v>2.5099999999999998</v>
      </c>
      <c r="M474" s="4">
        <f t="shared" si="42"/>
        <v>10.055276381909549</v>
      </c>
      <c r="N474" s="4">
        <f t="shared" si="43"/>
        <v>7.9721115537848615</v>
      </c>
      <c r="O474" s="5">
        <f t="shared" si="44"/>
        <v>0.19161676646706582</v>
      </c>
      <c r="P474" s="5">
        <f t="shared" si="45"/>
        <v>0.26130653266331638</v>
      </c>
      <c r="Q474" s="4">
        <f t="shared" si="46"/>
        <v>0.52475973618090466</v>
      </c>
      <c r="R474" s="4">
        <f t="shared" si="47"/>
        <v>0.30508657676984396</v>
      </c>
      <c r="S474" s="4" t="s">
        <v>12836</v>
      </c>
      <c r="T474" s="2">
        <v>1.3</v>
      </c>
      <c r="U474" s="2">
        <v>46.41</v>
      </c>
      <c r="V474" s="2">
        <v>16.5</v>
      </c>
      <c r="W474" s="2">
        <v>-13.71</v>
      </c>
      <c r="X474" s="2">
        <v>13.11</v>
      </c>
      <c r="Y474" s="2">
        <v>-15.46</v>
      </c>
      <c r="Z474" s="2">
        <v>-16.73</v>
      </c>
    </row>
    <row r="475" spans="1:26" x14ac:dyDescent="0.25">
      <c r="A475" s="1" t="s">
        <v>2130</v>
      </c>
      <c r="B475" s="1" t="s">
        <v>2131</v>
      </c>
      <c r="C475" s="1" t="s">
        <v>16</v>
      </c>
      <c r="D475" s="1" t="s">
        <v>46</v>
      </c>
      <c r="E475" s="1" t="s">
        <v>770</v>
      </c>
      <c r="F475" s="1" t="s">
        <v>2132</v>
      </c>
      <c r="G475" s="1" t="s">
        <v>12480</v>
      </c>
      <c r="H475" s="1" t="s">
        <v>2133</v>
      </c>
      <c r="I475" s="2">
        <v>16.940000000000001</v>
      </c>
      <c r="J475" s="2">
        <v>1.6</v>
      </c>
      <c r="K475" s="2"/>
      <c r="L475" s="2"/>
      <c r="M475" s="4" t="e">
        <f t="shared" si="42"/>
        <v>#DIV/0!</v>
      </c>
      <c r="N475" s="4" t="e">
        <f t="shared" si="43"/>
        <v>#DIV/0!</v>
      </c>
      <c r="O475" s="5">
        <f t="shared" si="44"/>
        <v>-1</v>
      </c>
      <c r="P475" s="5" t="e">
        <f t="shared" si="45"/>
        <v>#DIV/0!</v>
      </c>
      <c r="Q475" s="4" t="e">
        <f t="shared" si="46"/>
        <v>#DIV/0!</v>
      </c>
      <c r="R475" s="4" t="e">
        <f t="shared" si="47"/>
        <v>#DIV/0!</v>
      </c>
      <c r="S475" s="4">
        <v>0.52</v>
      </c>
      <c r="T475" s="2"/>
      <c r="U475" s="2">
        <v>18.73</v>
      </c>
      <c r="V475" s="2">
        <v>10.28</v>
      </c>
      <c r="W475" s="2">
        <v>-9.56</v>
      </c>
      <c r="X475" s="2">
        <v>2.73</v>
      </c>
      <c r="Y475" s="2">
        <v>39.880000000000003</v>
      </c>
      <c r="Z475" s="2">
        <v>29.31</v>
      </c>
    </row>
    <row r="476" spans="1:26" x14ac:dyDescent="0.25">
      <c r="A476" s="1" t="s">
        <v>2134</v>
      </c>
      <c r="B476" s="1" t="s">
        <v>2135</v>
      </c>
      <c r="C476" s="1" t="s">
        <v>16</v>
      </c>
      <c r="D476" s="1" t="s">
        <v>38</v>
      </c>
      <c r="E476" s="1" t="s">
        <v>259</v>
      </c>
      <c r="F476" s="1" t="s">
        <v>2136</v>
      </c>
      <c r="G476" s="1" t="s">
        <v>12480</v>
      </c>
      <c r="H476" s="1" t="s">
        <v>2137</v>
      </c>
      <c r="I476" s="2">
        <v>22.41</v>
      </c>
      <c r="J476" s="2"/>
      <c r="K476" s="2"/>
      <c r="L476" s="2"/>
      <c r="M476" s="4" t="e">
        <f t="shared" si="42"/>
        <v>#DIV/0!</v>
      </c>
      <c r="N476" s="4" t="e">
        <f t="shared" si="43"/>
        <v>#DIV/0!</v>
      </c>
      <c r="O476" s="5" t="e">
        <f t="shared" si="44"/>
        <v>#DIV/0!</v>
      </c>
      <c r="P476" s="5" t="e">
        <f t="shared" si="45"/>
        <v>#DIV/0!</v>
      </c>
      <c r="Q476" s="4" t="e">
        <f t="shared" si="46"/>
        <v>#DIV/0!</v>
      </c>
      <c r="R476" s="4" t="e">
        <f t="shared" si="47"/>
        <v>#DIV/0!</v>
      </c>
      <c r="S476" s="4"/>
      <c r="T476" s="2">
        <v>0.42</v>
      </c>
      <c r="U476" s="2">
        <v>23.5</v>
      </c>
      <c r="V476" s="2">
        <v>21.72</v>
      </c>
      <c r="W476" s="2">
        <v>-1.36</v>
      </c>
      <c r="X476" s="2">
        <v>-1.84</v>
      </c>
      <c r="Y476" s="2">
        <v>-0.8</v>
      </c>
      <c r="Z476" s="2">
        <v>-0.53</v>
      </c>
    </row>
    <row r="477" spans="1:26" x14ac:dyDescent="0.25">
      <c r="A477" s="1" t="s">
        <v>2138</v>
      </c>
      <c r="B477" s="1" t="s">
        <v>2139</v>
      </c>
      <c r="C477" s="1" t="s">
        <v>16</v>
      </c>
      <c r="D477" s="1" t="s">
        <v>204</v>
      </c>
      <c r="E477" s="1" t="s">
        <v>534</v>
      </c>
      <c r="F477" s="1" t="s">
        <v>2140</v>
      </c>
      <c r="G477" s="1" t="s">
        <v>12480</v>
      </c>
      <c r="H477" s="1" t="s">
        <v>2141</v>
      </c>
      <c r="I477" s="2">
        <v>200.39</v>
      </c>
      <c r="J477" s="2">
        <v>4.01</v>
      </c>
      <c r="K477" s="2">
        <v>4.47</v>
      </c>
      <c r="L477" s="2">
        <v>5.05</v>
      </c>
      <c r="M477" s="4">
        <f t="shared" si="42"/>
        <v>44.829977628635348</v>
      </c>
      <c r="N477" s="4">
        <f t="shared" si="43"/>
        <v>39.681188118811882</v>
      </c>
      <c r="O477" s="5">
        <f t="shared" si="44"/>
        <v>0.11471321695760595</v>
      </c>
      <c r="P477" s="5">
        <f t="shared" si="45"/>
        <v>0.12975391498881428</v>
      </c>
      <c r="Q477" s="4">
        <f t="shared" si="46"/>
        <v>3.9080045715397351</v>
      </c>
      <c r="R477" s="4">
        <f t="shared" si="47"/>
        <v>3.058188118811882</v>
      </c>
      <c r="S477" s="4">
        <v>18.3</v>
      </c>
      <c r="T477" s="2">
        <v>0.83</v>
      </c>
      <c r="U477" s="2">
        <v>217.89</v>
      </c>
      <c r="V477" s="2">
        <v>89.24</v>
      </c>
      <c r="W477" s="2">
        <v>-7.43</v>
      </c>
      <c r="X477" s="2">
        <v>-1.29</v>
      </c>
      <c r="Y477" s="2">
        <v>14.92</v>
      </c>
      <c r="Z477" s="2">
        <v>15.94</v>
      </c>
    </row>
    <row r="478" spans="1:26" x14ac:dyDescent="0.25">
      <c r="A478" s="1" t="s">
        <v>2142</v>
      </c>
      <c r="B478" s="1" t="s">
        <v>2143</v>
      </c>
      <c r="C478" s="1" t="s">
        <v>16</v>
      </c>
      <c r="D478" s="1" t="s">
        <v>38</v>
      </c>
      <c r="E478" s="1" t="s">
        <v>52</v>
      </c>
      <c r="F478" s="1" t="s">
        <v>2144</v>
      </c>
      <c r="G478" s="1" t="s">
        <v>12480</v>
      </c>
      <c r="H478" s="1" t="s">
        <v>2145</v>
      </c>
      <c r="I478" s="2">
        <v>110.65</v>
      </c>
      <c r="J478" s="2">
        <v>5.57</v>
      </c>
      <c r="K478" s="2">
        <v>6.35</v>
      </c>
      <c r="L478" s="2">
        <v>8.0500000000000007</v>
      </c>
      <c r="M478" s="4">
        <f t="shared" si="42"/>
        <v>17.425196850393704</v>
      </c>
      <c r="N478" s="4">
        <f t="shared" si="43"/>
        <v>13.745341614906831</v>
      </c>
      <c r="O478" s="5">
        <f t="shared" si="44"/>
        <v>0.1400359066427288</v>
      </c>
      <c r="P478" s="5">
        <f t="shared" si="45"/>
        <v>0.26771653543307106</v>
      </c>
      <c r="Q478" s="4">
        <f t="shared" si="46"/>
        <v>1.2443377750858076</v>
      </c>
      <c r="R478" s="4">
        <f t="shared" si="47"/>
        <v>0.51342893679210777</v>
      </c>
      <c r="S478" s="4">
        <v>9.2200000000000006</v>
      </c>
      <c r="T478" s="2">
        <v>1.79</v>
      </c>
      <c r="U478" s="2">
        <v>188.68</v>
      </c>
      <c r="V478" s="2">
        <v>110.4</v>
      </c>
      <c r="W478" s="2">
        <v>-4.0599999999999996</v>
      </c>
      <c r="X478" s="2">
        <v>-15.8</v>
      </c>
      <c r="Y478" s="2">
        <v>-26.4</v>
      </c>
      <c r="Z478" s="2">
        <v>-28.22</v>
      </c>
    </row>
    <row r="479" spans="1:26" x14ac:dyDescent="0.25">
      <c r="A479" s="1" t="s">
        <v>2146</v>
      </c>
      <c r="B479" s="1" t="s">
        <v>2147</v>
      </c>
      <c r="C479" s="1" t="s">
        <v>31</v>
      </c>
      <c r="D479" s="1" t="s">
        <v>25</v>
      </c>
      <c r="E479" s="1" t="s">
        <v>734</v>
      </c>
      <c r="F479" s="1" t="s">
        <v>2148</v>
      </c>
      <c r="G479" s="1" t="s">
        <v>12502</v>
      </c>
      <c r="H479" s="1" t="s">
        <v>2149</v>
      </c>
      <c r="I479" s="2">
        <v>33.369999999999997</v>
      </c>
      <c r="J479" s="2">
        <v>1.27</v>
      </c>
      <c r="K479" s="2">
        <v>1.42</v>
      </c>
      <c r="L479" s="2">
        <v>1.54</v>
      </c>
      <c r="M479" s="4">
        <f t="shared" si="42"/>
        <v>23.5</v>
      </c>
      <c r="N479" s="4">
        <f t="shared" si="43"/>
        <v>21.668831168831165</v>
      </c>
      <c r="O479" s="5">
        <f t="shared" si="44"/>
        <v>0.11811023622047245</v>
      </c>
      <c r="P479" s="5">
        <f t="shared" si="45"/>
        <v>8.4507042253521236E-2</v>
      </c>
      <c r="Q479" s="4">
        <f t="shared" si="46"/>
        <v>1.9896666666666667</v>
      </c>
      <c r="R479" s="4">
        <f t="shared" si="47"/>
        <v>2.5641450216450181</v>
      </c>
      <c r="S479" s="4">
        <v>1.9</v>
      </c>
      <c r="T479" s="2">
        <v>0.78</v>
      </c>
      <c r="U479" s="2">
        <v>35.85</v>
      </c>
      <c r="V479" s="2">
        <v>23.78</v>
      </c>
      <c r="W479" s="2">
        <v>-6.92</v>
      </c>
      <c r="X479" s="2">
        <v>1.0900000000000001</v>
      </c>
      <c r="Y479" s="2">
        <v>10.75</v>
      </c>
      <c r="Z479" s="2">
        <v>9.23</v>
      </c>
    </row>
    <row r="480" spans="1:26" x14ac:dyDescent="0.25">
      <c r="A480" s="1" t="s">
        <v>2151</v>
      </c>
      <c r="B480" s="1" t="s">
        <v>2152</v>
      </c>
      <c r="C480" s="1" t="s">
        <v>16</v>
      </c>
      <c r="D480" s="1" t="s">
        <v>38</v>
      </c>
      <c r="E480" s="1" t="s">
        <v>153</v>
      </c>
      <c r="F480" s="1" t="s">
        <v>2153</v>
      </c>
      <c r="G480" s="1" t="s">
        <v>12480</v>
      </c>
      <c r="H480" s="1" t="s">
        <v>2154</v>
      </c>
      <c r="I480" s="2">
        <v>19.239999999999998</v>
      </c>
      <c r="J480" s="2">
        <v>1.1100000000000001</v>
      </c>
      <c r="K480" s="2">
        <v>1.76</v>
      </c>
      <c r="L480" s="2">
        <v>1.99</v>
      </c>
      <c r="M480" s="4">
        <f t="shared" si="42"/>
        <v>10.931818181818182</v>
      </c>
      <c r="N480" s="4">
        <f t="shared" si="43"/>
        <v>9.6683417085427124</v>
      </c>
      <c r="O480" s="5">
        <f t="shared" si="44"/>
        <v>0.58558558558558538</v>
      </c>
      <c r="P480" s="5">
        <f t="shared" si="45"/>
        <v>0.13068181818181812</v>
      </c>
      <c r="Q480" s="4">
        <f t="shared" si="46"/>
        <v>0.18668181818181825</v>
      </c>
      <c r="R480" s="4">
        <f t="shared" si="47"/>
        <v>0.73983832204500788</v>
      </c>
      <c r="S480" s="4">
        <v>-23.33</v>
      </c>
      <c r="T480" s="2">
        <v>1.06</v>
      </c>
      <c r="U480" s="2">
        <v>21.07</v>
      </c>
      <c r="V480" s="2">
        <v>17.170000000000002</v>
      </c>
      <c r="W480" s="2">
        <v>-2.09</v>
      </c>
      <c r="X480" s="2">
        <v>-1.38</v>
      </c>
      <c r="Y480" s="2">
        <v>-6.74</v>
      </c>
      <c r="Z480" s="2">
        <v>0.57999999999999996</v>
      </c>
    </row>
    <row r="481" spans="1:26" x14ac:dyDescent="0.25">
      <c r="A481" s="1" t="s">
        <v>2155</v>
      </c>
      <c r="B481" s="1" t="s">
        <v>2155</v>
      </c>
      <c r="C481" s="1" t="s">
        <v>16</v>
      </c>
      <c r="D481" s="1" t="s">
        <v>38</v>
      </c>
      <c r="E481" s="1" t="s">
        <v>510</v>
      </c>
      <c r="F481" s="1" t="s">
        <v>2156</v>
      </c>
      <c r="G481" s="1" t="s">
        <v>12480</v>
      </c>
      <c r="H481" s="1" t="s">
        <v>2157</v>
      </c>
      <c r="I481" s="2">
        <v>52.48</v>
      </c>
      <c r="J481" s="2">
        <v>6.85</v>
      </c>
      <c r="K481" s="2">
        <v>6.99</v>
      </c>
      <c r="L481" s="2">
        <v>7.2</v>
      </c>
      <c r="M481" s="4">
        <f t="shared" si="42"/>
        <v>7.5078683834048636</v>
      </c>
      <c r="N481" s="4">
        <f t="shared" si="43"/>
        <v>7.2888888888888879</v>
      </c>
      <c r="O481" s="5">
        <f t="shared" si="44"/>
        <v>2.0437956204379715E-2</v>
      </c>
      <c r="P481" s="5">
        <f t="shared" si="45"/>
        <v>3.0042918454935563E-2</v>
      </c>
      <c r="Q481" s="4">
        <f t="shared" si="46"/>
        <v>3.6734927447373522</v>
      </c>
      <c r="R481" s="4">
        <f t="shared" si="47"/>
        <v>2.4261587301587344</v>
      </c>
      <c r="S481" s="4" t="s">
        <v>12837</v>
      </c>
      <c r="T481" s="2">
        <v>1.01</v>
      </c>
      <c r="U481" s="2">
        <v>78.930000000000007</v>
      </c>
      <c r="V481" s="2">
        <v>52.48</v>
      </c>
      <c r="W481" s="2">
        <v>-6.69</v>
      </c>
      <c r="X481" s="2">
        <v>-19.27</v>
      </c>
      <c r="Y481" s="2">
        <v>-26.72</v>
      </c>
      <c r="Z481" s="2">
        <v>-22.23</v>
      </c>
    </row>
    <row r="482" spans="1:26" x14ac:dyDescent="0.25">
      <c r="A482" s="1" t="s">
        <v>2158</v>
      </c>
      <c r="B482" s="1" t="s">
        <v>2159</v>
      </c>
      <c r="C482" s="1" t="s">
        <v>16</v>
      </c>
      <c r="D482" s="1" t="s">
        <v>38</v>
      </c>
      <c r="E482" s="1" t="s">
        <v>712</v>
      </c>
      <c r="F482" s="1" t="s">
        <v>2160</v>
      </c>
      <c r="G482" s="1" t="s">
        <v>12480</v>
      </c>
      <c r="H482" s="1" t="s">
        <v>2161</v>
      </c>
      <c r="I482" s="2">
        <v>24.08</v>
      </c>
      <c r="J482" s="2">
        <v>3.23</v>
      </c>
      <c r="K482" s="2">
        <v>2.92</v>
      </c>
      <c r="L482" s="2">
        <v>2.77</v>
      </c>
      <c r="M482" s="4">
        <f t="shared" si="42"/>
        <v>8.2465753424657535</v>
      </c>
      <c r="N482" s="4">
        <f t="shared" si="43"/>
        <v>8.6931407942238259</v>
      </c>
      <c r="O482" s="5">
        <f t="shared" si="44"/>
        <v>-9.5975232198142413E-2</v>
      </c>
      <c r="P482" s="5">
        <f t="shared" si="45"/>
        <v>-5.1369863013698613E-2</v>
      </c>
      <c r="Q482" s="4">
        <f t="shared" si="46"/>
        <v>-0.85923994697304462</v>
      </c>
      <c r="R482" s="4">
        <f t="shared" si="47"/>
        <v>-1.6922647412755722</v>
      </c>
      <c r="S482" s="4">
        <v>6.93</v>
      </c>
      <c r="T482" s="2">
        <v>0.43</v>
      </c>
      <c r="U482" s="2">
        <v>33.53</v>
      </c>
      <c r="V482" s="2">
        <v>23.57</v>
      </c>
      <c r="W482" s="2">
        <v>-0.45</v>
      </c>
      <c r="X482" s="2">
        <v>-4.4400000000000004</v>
      </c>
      <c r="Y482" s="2">
        <v>-14.34</v>
      </c>
      <c r="Z482" s="2">
        <v>-8.5500000000000007</v>
      </c>
    </row>
    <row r="483" spans="1:26" x14ac:dyDescent="0.25">
      <c r="A483" s="1" t="s">
        <v>2162</v>
      </c>
      <c r="B483" s="1" t="s">
        <v>2163</v>
      </c>
      <c r="C483" s="1" t="s">
        <v>16</v>
      </c>
      <c r="D483" s="1" t="s">
        <v>38</v>
      </c>
      <c r="E483" s="1" t="s">
        <v>1244</v>
      </c>
      <c r="F483" s="1" t="s">
        <v>2164</v>
      </c>
      <c r="G483" s="1" t="s">
        <v>12480</v>
      </c>
      <c r="H483" s="1" t="s">
        <v>2165</v>
      </c>
      <c r="I483" s="2">
        <v>30.95</v>
      </c>
      <c r="J483" s="2" t="s">
        <v>12490</v>
      </c>
      <c r="K483" s="2">
        <v>3.09</v>
      </c>
      <c r="L483" s="2">
        <v>3.18</v>
      </c>
      <c r="M483" s="4">
        <f t="shared" si="42"/>
        <v>10.016181229773464</v>
      </c>
      <c r="N483" s="4">
        <f t="shared" si="43"/>
        <v>9.7327044025157221</v>
      </c>
      <c r="O483" s="5">
        <f t="shared" si="44"/>
        <v>3.0000000000000027E-2</v>
      </c>
      <c r="P483" s="5">
        <f t="shared" si="45"/>
        <v>2.9126213592233219E-2</v>
      </c>
      <c r="Q483" s="4">
        <f t="shared" si="46"/>
        <v>3.3387270765911516</v>
      </c>
      <c r="R483" s="4">
        <f t="shared" si="47"/>
        <v>3.3415618448637074</v>
      </c>
      <c r="S483" s="4">
        <v>1.34</v>
      </c>
      <c r="T483" s="2">
        <v>0.84</v>
      </c>
      <c r="U483" s="2">
        <v>33.520000000000003</v>
      </c>
      <c r="V483" s="2">
        <v>23.25</v>
      </c>
      <c r="W483" s="2">
        <v>-2.4300000000000002</v>
      </c>
      <c r="X483" s="2">
        <v>-7.67</v>
      </c>
      <c r="Y483" s="2">
        <v>0.57999999999999996</v>
      </c>
      <c r="Z483" s="2">
        <v>6.18</v>
      </c>
    </row>
    <row r="484" spans="1:26" x14ac:dyDescent="0.25">
      <c r="A484" s="1" t="s">
        <v>2166</v>
      </c>
      <c r="B484" s="1" t="s">
        <v>2167</v>
      </c>
      <c r="C484" s="1" t="s">
        <v>16</v>
      </c>
      <c r="D484" s="1" t="s">
        <v>147</v>
      </c>
      <c r="E484" s="1" t="s">
        <v>2000</v>
      </c>
      <c r="F484" s="1" t="s">
        <v>2168</v>
      </c>
      <c r="G484" s="1" t="s">
        <v>12480</v>
      </c>
      <c r="H484" s="1" t="s">
        <v>2169</v>
      </c>
      <c r="I484" s="2">
        <v>80.5</v>
      </c>
      <c r="J484" s="2">
        <v>7.4</v>
      </c>
      <c r="K484" s="2">
        <v>7.56</v>
      </c>
      <c r="L484" s="2">
        <v>8.1</v>
      </c>
      <c r="M484" s="4">
        <f t="shared" si="42"/>
        <v>10.648148148148149</v>
      </c>
      <c r="N484" s="4">
        <f t="shared" si="43"/>
        <v>9.9382716049382722</v>
      </c>
      <c r="O484" s="5">
        <f t="shared" si="44"/>
        <v>2.1621621621621623E-2</v>
      </c>
      <c r="P484" s="5">
        <f t="shared" si="45"/>
        <v>7.1428571428571397E-2</v>
      </c>
      <c r="Q484" s="4">
        <f t="shared" si="46"/>
        <v>4.9247685185185182</v>
      </c>
      <c r="R484" s="4">
        <f t="shared" si="47"/>
        <v>1.3913580246913588</v>
      </c>
      <c r="S484" s="4">
        <v>4.12</v>
      </c>
      <c r="T484" s="2">
        <v>1.2</v>
      </c>
      <c r="U484" s="2">
        <v>89.56</v>
      </c>
      <c r="V484" s="2">
        <v>60.8</v>
      </c>
      <c r="W484" s="2">
        <v>-2.41</v>
      </c>
      <c r="X484" s="2">
        <v>-2.79</v>
      </c>
      <c r="Y484" s="2">
        <v>-5.42</v>
      </c>
      <c r="Z484" s="2">
        <v>-5.56</v>
      </c>
    </row>
    <row r="485" spans="1:26" x14ac:dyDescent="0.25">
      <c r="A485" s="1" t="s">
        <v>2170</v>
      </c>
      <c r="B485" s="1" t="s">
        <v>2171</v>
      </c>
      <c r="C485" s="1" t="s">
        <v>31</v>
      </c>
      <c r="D485" s="1" t="s">
        <v>25</v>
      </c>
      <c r="E485" s="1" t="s">
        <v>2173</v>
      </c>
      <c r="F485" s="1" t="s">
        <v>2172</v>
      </c>
      <c r="G485" s="1" t="s">
        <v>12480</v>
      </c>
      <c r="H485" s="1" t="s">
        <v>2174</v>
      </c>
      <c r="I485" s="2">
        <v>10.050000000000001</v>
      </c>
      <c r="J485" s="2">
        <v>0.62</v>
      </c>
      <c r="K485" s="2"/>
      <c r="L485" s="2"/>
      <c r="M485" s="4" t="e">
        <f t="shared" si="42"/>
        <v>#DIV/0!</v>
      </c>
      <c r="N485" s="4" t="e">
        <f t="shared" si="43"/>
        <v>#DIV/0!</v>
      </c>
      <c r="O485" s="5">
        <f t="shared" si="44"/>
        <v>-1</v>
      </c>
      <c r="P485" s="5" t="e">
        <f t="shared" si="45"/>
        <v>#DIV/0!</v>
      </c>
      <c r="Q485" s="4" t="e">
        <f t="shared" si="46"/>
        <v>#DIV/0!</v>
      </c>
      <c r="R485" s="4" t="e">
        <f t="shared" si="47"/>
        <v>#DIV/0!</v>
      </c>
      <c r="S485" s="4">
        <v>-3.05</v>
      </c>
      <c r="T485" s="2">
        <v>0.45</v>
      </c>
      <c r="U485" s="2">
        <v>10.050000000000001</v>
      </c>
      <c r="V485" s="2">
        <v>6.84</v>
      </c>
      <c r="W485" s="2" t="s">
        <v>12489</v>
      </c>
      <c r="X485" s="2" t="s">
        <v>12489</v>
      </c>
      <c r="Y485" s="2">
        <v>16.86</v>
      </c>
      <c r="Z485" s="2">
        <v>16.86</v>
      </c>
    </row>
    <row r="486" spans="1:26" x14ac:dyDescent="0.25">
      <c r="A486" s="1" t="s">
        <v>2175</v>
      </c>
      <c r="B486" s="1" t="s">
        <v>2176</v>
      </c>
      <c r="C486" s="1" t="s">
        <v>45</v>
      </c>
      <c r="D486" s="1" t="s">
        <v>32</v>
      </c>
      <c r="E486" s="1" t="s">
        <v>311</v>
      </c>
      <c r="F486" s="1" t="s">
        <v>2177</v>
      </c>
      <c r="G486" s="1" t="s">
        <v>12480</v>
      </c>
      <c r="H486" s="1" t="s">
        <v>2178</v>
      </c>
      <c r="I486" s="2">
        <v>15.07</v>
      </c>
      <c r="J486" s="2">
        <v>0.82</v>
      </c>
      <c r="K486" s="2"/>
      <c r="L486" s="2"/>
      <c r="M486" s="4" t="e">
        <f t="shared" si="42"/>
        <v>#DIV/0!</v>
      </c>
      <c r="N486" s="4" t="e">
        <f t="shared" si="43"/>
        <v>#DIV/0!</v>
      </c>
      <c r="O486" s="5">
        <f t="shared" si="44"/>
        <v>-1</v>
      </c>
      <c r="P486" s="5" t="e">
        <f t="shared" si="45"/>
        <v>#DIV/0!</v>
      </c>
      <c r="Q486" s="4" t="e">
        <f t="shared" si="46"/>
        <v>#DIV/0!</v>
      </c>
      <c r="R486" s="4" t="e">
        <f t="shared" si="47"/>
        <v>#DIV/0!</v>
      </c>
      <c r="S486" s="4">
        <v>20.21</v>
      </c>
      <c r="T486" s="2">
        <v>0.45</v>
      </c>
      <c r="U486" s="2">
        <v>24.91</v>
      </c>
      <c r="V486" s="2">
        <v>13.62</v>
      </c>
      <c r="W486" s="2">
        <v>-6.86</v>
      </c>
      <c r="X486" s="2">
        <v>-16.97</v>
      </c>
      <c r="Y486" s="2">
        <v>-24.76</v>
      </c>
      <c r="Z486" s="2">
        <v>-26.06</v>
      </c>
    </row>
    <row r="487" spans="1:26" x14ac:dyDescent="0.25">
      <c r="A487" s="1" t="s">
        <v>2179</v>
      </c>
      <c r="B487" s="1" t="s">
        <v>2180</v>
      </c>
      <c r="C487" s="1" t="s">
        <v>31</v>
      </c>
      <c r="D487" s="1" t="s">
        <v>128</v>
      </c>
      <c r="E487" s="1" t="s">
        <v>556</v>
      </c>
      <c r="F487" s="1" t="s">
        <v>2181</v>
      </c>
      <c r="G487" s="1" t="s">
        <v>12480</v>
      </c>
      <c r="H487" s="1" t="s">
        <v>2182</v>
      </c>
      <c r="I487" s="2">
        <v>15.08</v>
      </c>
      <c r="J487" s="2">
        <v>1.18</v>
      </c>
      <c r="K487" s="2">
        <v>1.21</v>
      </c>
      <c r="L487" s="2">
        <v>1.25</v>
      </c>
      <c r="M487" s="4">
        <f t="shared" si="42"/>
        <v>12.462809917355372</v>
      </c>
      <c r="N487" s="4">
        <f t="shared" si="43"/>
        <v>12.064</v>
      </c>
      <c r="O487" s="5">
        <f t="shared" si="44"/>
        <v>2.5423728813559254E-2</v>
      </c>
      <c r="P487" s="5">
        <f t="shared" si="45"/>
        <v>3.3057851239669533E-2</v>
      </c>
      <c r="Q487" s="4">
        <f t="shared" si="46"/>
        <v>4.9020385674931264</v>
      </c>
      <c r="R487" s="4">
        <f t="shared" si="47"/>
        <v>3.6493599999999877</v>
      </c>
      <c r="S487" s="4">
        <v>3.78</v>
      </c>
      <c r="T487" s="2">
        <v>0.89</v>
      </c>
      <c r="U487" s="2">
        <v>20.350000000000001</v>
      </c>
      <c r="V487" s="2">
        <v>13.36</v>
      </c>
      <c r="W487" s="2">
        <v>0.4</v>
      </c>
      <c r="X487" s="2">
        <v>2.94</v>
      </c>
      <c r="Y487" s="2">
        <v>2.79</v>
      </c>
      <c r="Z487" s="2">
        <v>7.71</v>
      </c>
    </row>
    <row r="488" spans="1:26" x14ac:dyDescent="0.25">
      <c r="A488" s="1" t="s">
        <v>2183</v>
      </c>
      <c r="B488" s="1" t="s">
        <v>2184</v>
      </c>
      <c r="C488" s="1" t="s">
        <v>31</v>
      </c>
      <c r="D488" s="1" t="s">
        <v>61</v>
      </c>
      <c r="E488" s="1" t="s">
        <v>2186</v>
      </c>
      <c r="F488" s="1" t="s">
        <v>2185</v>
      </c>
      <c r="G488" s="1" t="s">
        <v>12480</v>
      </c>
      <c r="H488" s="1" t="s">
        <v>2187</v>
      </c>
      <c r="I488" s="2" t="s">
        <v>12601</v>
      </c>
      <c r="J488" s="2"/>
      <c r="K488" s="2"/>
      <c r="L488" s="2"/>
      <c r="M488" s="4" t="e">
        <f t="shared" si="42"/>
        <v>#DIV/0!</v>
      </c>
      <c r="N488" s="4" t="e">
        <f t="shared" si="43"/>
        <v>#DIV/0!</v>
      </c>
      <c r="O488" s="5" t="e">
        <f t="shared" si="44"/>
        <v>#DIV/0!</v>
      </c>
      <c r="P488" s="5" t="e">
        <f t="shared" si="45"/>
        <v>#DIV/0!</v>
      </c>
      <c r="Q488" s="4" t="e">
        <f t="shared" si="46"/>
        <v>#DIV/0!</v>
      </c>
      <c r="R488" s="4" t="e">
        <f t="shared" si="47"/>
        <v>#DIV/0!</v>
      </c>
      <c r="S488" s="4"/>
      <c r="T488" s="2">
        <v>0.62</v>
      </c>
      <c r="U488" s="2">
        <v>63.8</v>
      </c>
      <c r="V488" s="2">
        <v>44.09</v>
      </c>
      <c r="W488" s="2">
        <v>-5.26</v>
      </c>
      <c r="X488" s="2" t="s">
        <v>12494</v>
      </c>
      <c r="Y488" s="2" t="s">
        <v>12522</v>
      </c>
      <c r="Z488" s="2">
        <v>-11.62</v>
      </c>
    </row>
    <row r="489" spans="1:26" x14ac:dyDescent="0.25">
      <c r="A489" s="1" t="s">
        <v>2188</v>
      </c>
      <c r="B489" s="1" t="s">
        <v>2189</v>
      </c>
      <c r="C489" s="1" t="s">
        <v>16</v>
      </c>
      <c r="D489" s="1" t="s">
        <v>38</v>
      </c>
      <c r="E489" s="1" t="s">
        <v>1408</v>
      </c>
      <c r="F489" s="1" t="s">
        <v>2190</v>
      </c>
      <c r="G489" s="1" t="s">
        <v>12480</v>
      </c>
      <c r="H489" s="1" t="s">
        <v>2191</v>
      </c>
      <c r="I489" s="2">
        <v>106.59</v>
      </c>
      <c r="J489" s="2">
        <v>7.97</v>
      </c>
      <c r="K489" s="2">
        <v>10.19</v>
      </c>
      <c r="L489" s="2">
        <v>12.07</v>
      </c>
      <c r="M489" s="4">
        <f t="shared" si="42"/>
        <v>10.460255152109912</v>
      </c>
      <c r="N489" s="4">
        <f t="shared" si="43"/>
        <v>8.830985915492958</v>
      </c>
      <c r="O489" s="5">
        <f t="shared" si="44"/>
        <v>0.27854454203262224</v>
      </c>
      <c r="P489" s="5">
        <f t="shared" si="45"/>
        <v>0.18449460255152128</v>
      </c>
      <c r="Q489" s="4">
        <f t="shared" si="46"/>
        <v>0.37553258361403613</v>
      </c>
      <c r="R489" s="4">
        <f t="shared" si="47"/>
        <v>0.47865822595145291</v>
      </c>
      <c r="S489" s="4">
        <v>-1.44</v>
      </c>
      <c r="T489" s="2">
        <v>1.17</v>
      </c>
      <c r="U489" s="2">
        <v>123.77</v>
      </c>
      <c r="V489" s="2">
        <v>58.13</v>
      </c>
      <c r="W489" s="2">
        <v>-4.3600000000000003</v>
      </c>
      <c r="X489" s="2">
        <v>-13.88</v>
      </c>
      <c r="Y489" s="2">
        <v>-5.51</v>
      </c>
      <c r="Z489" s="2">
        <v>-8.66</v>
      </c>
    </row>
    <row r="490" spans="1:26" x14ac:dyDescent="0.25">
      <c r="A490" s="1" t="s">
        <v>2192</v>
      </c>
      <c r="B490" s="1" t="s">
        <v>2193</v>
      </c>
      <c r="C490" s="1" t="s">
        <v>31</v>
      </c>
      <c r="D490" s="1" t="s">
        <v>128</v>
      </c>
      <c r="E490" s="1" t="s">
        <v>129</v>
      </c>
      <c r="F490" s="1" t="s">
        <v>2194</v>
      </c>
      <c r="G490" s="1" t="s">
        <v>12480</v>
      </c>
      <c r="H490" s="1" t="s">
        <v>2195</v>
      </c>
      <c r="I490" s="2">
        <v>27.95</v>
      </c>
      <c r="J490" s="2">
        <v>1.74</v>
      </c>
      <c r="K490" s="2">
        <v>2.0499999999999998</v>
      </c>
      <c r="L490" s="2">
        <v>2.27</v>
      </c>
      <c r="M490" s="4">
        <f t="shared" si="42"/>
        <v>13.634146341463415</v>
      </c>
      <c r="N490" s="4">
        <f t="shared" si="43"/>
        <v>12.312775330396475</v>
      </c>
      <c r="O490" s="5">
        <f t="shared" si="44"/>
        <v>0.17816091954022983</v>
      </c>
      <c r="P490" s="5">
        <f t="shared" si="45"/>
        <v>0.1073170731707318</v>
      </c>
      <c r="Q490" s="4">
        <f t="shared" si="46"/>
        <v>0.76527143981117252</v>
      </c>
      <c r="R490" s="4">
        <f t="shared" si="47"/>
        <v>1.1473267921505796</v>
      </c>
      <c r="S490" s="4">
        <v>23.99</v>
      </c>
      <c r="T490" s="2">
        <v>0.38</v>
      </c>
      <c r="U490" s="2">
        <v>32.14</v>
      </c>
      <c r="V490" s="2">
        <v>23.27</v>
      </c>
      <c r="W490" s="2">
        <v>-7.63</v>
      </c>
      <c r="X490" s="2">
        <v>-9.7200000000000006</v>
      </c>
      <c r="Y490" s="2">
        <v>7.01</v>
      </c>
      <c r="Z490" s="2">
        <v>7.05</v>
      </c>
    </row>
    <row r="491" spans="1:26" x14ac:dyDescent="0.25">
      <c r="A491" s="1" t="s">
        <v>2197</v>
      </c>
      <c r="B491" s="1" t="s">
        <v>2198</v>
      </c>
      <c r="C491" s="1" t="s">
        <v>45</v>
      </c>
      <c r="D491" s="1" t="s">
        <v>38</v>
      </c>
      <c r="E491" s="1" t="s">
        <v>653</v>
      </c>
      <c r="F491" s="1" t="s">
        <v>2199</v>
      </c>
      <c r="G491" s="1" t="s">
        <v>12480</v>
      </c>
      <c r="H491" s="1" t="s">
        <v>12578</v>
      </c>
      <c r="I491" s="2">
        <v>501.53</v>
      </c>
      <c r="J491" s="2">
        <v>39.54</v>
      </c>
      <c r="K491" s="2">
        <v>46.5</v>
      </c>
      <c r="L491" s="2">
        <v>52.5</v>
      </c>
      <c r="M491" s="4">
        <f t="shared" si="42"/>
        <v>10.785591397849462</v>
      </c>
      <c r="N491" s="4">
        <f t="shared" si="43"/>
        <v>9.5529523809523802</v>
      </c>
      <c r="O491" s="5">
        <f t="shared" si="44"/>
        <v>0.17602427921092567</v>
      </c>
      <c r="P491" s="5">
        <f t="shared" si="45"/>
        <v>0.12903225806451624</v>
      </c>
      <c r="Q491" s="4">
        <f t="shared" si="46"/>
        <v>0.6127331664812754</v>
      </c>
      <c r="R491" s="4">
        <f t="shared" si="47"/>
        <v>0.74035380952380891</v>
      </c>
      <c r="S491" s="4">
        <v>7.16</v>
      </c>
      <c r="T491" s="2">
        <v>1.29</v>
      </c>
      <c r="U491" s="2">
        <v>543.74</v>
      </c>
      <c r="V491" s="2">
        <v>411.04</v>
      </c>
      <c r="W491" s="2">
        <v>4.0199999999999996</v>
      </c>
      <c r="X491" s="2">
        <v>-0.41</v>
      </c>
      <c r="Y491" s="2">
        <v>8.08</v>
      </c>
      <c r="Z491" s="2">
        <v>13.1</v>
      </c>
    </row>
    <row r="492" spans="1:26" x14ac:dyDescent="0.25">
      <c r="A492" s="1" t="s">
        <v>2200</v>
      </c>
      <c r="B492" s="1" t="s">
        <v>2201</v>
      </c>
      <c r="C492" s="1" t="s">
        <v>16</v>
      </c>
      <c r="D492" s="1" t="s">
        <v>32</v>
      </c>
      <c r="E492" s="1" t="s">
        <v>2203</v>
      </c>
      <c r="F492" s="1" t="s">
        <v>2202</v>
      </c>
      <c r="G492" s="1" t="s">
        <v>12502</v>
      </c>
      <c r="H492" s="1" t="s">
        <v>12540</v>
      </c>
      <c r="I492" s="2">
        <v>633.21</v>
      </c>
      <c r="J492" s="2">
        <v>26.48</v>
      </c>
      <c r="K492" s="2">
        <v>28.49</v>
      </c>
      <c r="L492" s="2">
        <v>31.6</v>
      </c>
      <c r="M492" s="4">
        <f t="shared" si="42"/>
        <v>22.225693225693227</v>
      </c>
      <c r="N492" s="4">
        <f t="shared" si="43"/>
        <v>20.038291139240506</v>
      </c>
      <c r="O492" s="5">
        <f t="shared" si="44"/>
        <v>7.590634441087607E-2</v>
      </c>
      <c r="P492" s="5">
        <f t="shared" si="45"/>
        <v>0.10916110916110933</v>
      </c>
      <c r="Q492" s="4">
        <f t="shared" si="46"/>
        <v>2.9280415752057571</v>
      </c>
      <c r="R492" s="4">
        <f t="shared" si="47"/>
        <v>1.8356621046847625</v>
      </c>
      <c r="S492" s="4">
        <v>12.64</v>
      </c>
      <c r="T492" s="2">
        <v>0.6</v>
      </c>
      <c r="U492" s="2">
        <v>662.19</v>
      </c>
      <c r="V492" s="2">
        <v>358.96</v>
      </c>
      <c r="W492" s="2">
        <v>1.32</v>
      </c>
      <c r="X492" s="2">
        <v>-0.64</v>
      </c>
      <c r="Y492" s="2">
        <v>11.6</v>
      </c>
      <c r="Z492" s="2">
        <v>18.84</v>
      </c>
    </row>
    <row r="493" spans="1:26" x14ac:dyDescent="0.25">
      <c r="A493" s="1" t="s">
        <v>2204</v>
      </c>
      <c r="B493" s="1" t="s">
        <v>2204</v>
      </c>
      <c r="C493" s="1" t="s">
        <v>16</v>
      </c>
      <c r="D493" s="1" t="s">
        <v>204</v>
      </c>
      <c r="E493" s="1" t="s">
        <v>534</v>
      </c>
      <c r="F493" s="1" t="s">
        <v>2205</v>
      </c>
      <c r="G493" s="1" t="s">
        <v>12490</v>
      </c>
      <c r="H493" s="1" t="s">
        <v>2206</v>
      </c>
      <c r="I493" s="2">
        <v>29.06</v>
      </c>
      <c r="J493" s="2">
        <v>0.84</v>
      </c>
      <c r="K493" s="2">
        <v>0.87</v>
      </c>
      <c r="L493" s="2">
        <v>0.94</v>
      </c>
      <c r="M493" s="4">
        <f t="shared" si="42"/>
        <v>33.402298850574709</v>
      </c>
      <c r="N493" s="4">
        <f t="shared" si="43"/>
        <v>30.914893617021278</v>
      </c>
      <c r="O493" s="5">
        <f t="shared" si="44"/>
        <v>3.5714285714285809E-2</v>
      </c>
      <c r="P493" s="5">
        <f t="shared" si="45"/>
        <v>8.0459770114942541E-2</v>
      </c>
      <c r="Q493" s="4">
        <f t="shared" si="46"/>
        <v>9.3526436781608933</v>
      </c>
      <c r="R493" s="4">
        <f t="shared" si="47"/>
        <v>3.8422796352583579</v>
      </c>
      <c r="S493" s="4">
        <v>3.3</v>
      </c>
      <c r="T493" s="2">
        <v>1.1100000000000001</v>
      </c>
      <c r="U493" s="2">
        <v>34.049999999999997</v>
      </c>
      <c r="V493" s="2">
        <v>21.06</v>
      </c>
      <c r="W493" s="2">
        <v>-2.97</v>
      </c>
      <c r="X493" s="2">
        <v>-9.41</v>
      </c>
      <c r="Y493" s="2">
        <v>-0.68</v>
      </c>
      <c r="Z493" s="2">
        <v>-4.47</v>
      </c>
    </row>
    <row r="494" spans="1:26" x14ac:dyDescent="0.25">
      <c r="A494" s="1" t="s">
        <v>2207</v>
      </c>
      <c r="B494" s="1" t="s">
        <v>2208</v>
      </c>
      <c r="C494" s="1" t="s">
        <v>16</v>
      </c>
      <c r="D494" s="1" t="s">
        <v>128</v>
      </c>
      <c r="E494" s="1" t="s">
        <v>556</v>
      </c>
      <c r="F494" s="1" t="s">
        <v>2209</v>
      </c>
      <c r="G494" s="1" t="s">
        <v>12508</v>
      </c>
      <c r="H494" s="1" t="s">
        <v>2210</v>
      </c>
      <c r="I494" s="2">
        <v>18.66</v>
      </c>
      <c r="J494" s="2">
        <v>2.2999999999999998</v>
      </c>
      <c r="K494" s="2">
        <v>1.73</v>
      </c>
      <c r="L494" s="2">
        <v>1.8</v>
      </c>
      <c r="M494" s="4">
        <f t="shared" si="42"/>
        <v>10.786127167630058</v>
      </c>
      <c r="N494" s="4">
        <f t="shared" si="43"/>
        <v>10.366666666666667</v>
      </c>
      <c r="O494" s="5">
        <f t="shared" si="44"/>
        <v>-0.24782608695652164</v>
      </c>
      <c r="P494" s="5">
        <f t="shared" si="45"/>
        <v>4.0462427745664886E-2</v>
      </c>
      <c r="Q494" s="4">
        <f t="shared" si="46"/>
        <v>-0.4352296927289323</v>
      </c>
      <c r="R494" s="4">
        <f t="shared" si="47"/>
        <v>2.5620476190476098</v>
      </c>
      <c r="S494" s="4">
        <v>-3.64</v>
      </c>
      <c r="T494" s="2">
        <v>-0.02</v>
      </c>
      <c r="U494" s="2">
        <v>27.62</v>
      </c>
      <c r="V494" s="2">
        <v>16.079999999999998</v>
      </c>
      <c r="W494" s="2">
        <v>-2.71</v>
      </c>
      <c r="X494" s="2">
        <v>-2.71</v>
      </c>
      <c r="Y494" s="2">
        <v>4.01</v>
      </c>
      <c r="Z494" s="2">
        <v>7.8</v>
      </c>
    </row>
    <row r="495" spans="1:26" x14ac:dyDescent="0.25">
      <c r="A495" s="1" t="s">
        <v>2211</v>
      </c>
      <c r="B495" s="1" t="s">
        <v>2212</v>
      </c>
      <c r="C495" s="1" t="s">
        <v>16</v>
      </c>
      <c r="D495" s="1" t="s">
        <v>18</v>
      </c>
      <c r="E495" s="1" t="s">
        <v>610</v>
      </c>
      <c r="F495" s="1" t="s">
        <v>2213</v>
      </c>
      <c r="G495" s="1" t="s">
        <v>12502</v>
      </c>
      <c r="H495" s="1" t="s">
        <v>2214</v>
      </c>
      <c r="I495" s="2">
        <v>222.28</v>
      </c>
      <c r="J495" s="2">
        <v>8.24</v>
      </c>
      <c r="K495" s="2">
        <v>10.31</v>
      </c>
      <c r="L495" s="2">
        <v>11.4</v>
      </c>
      <c r="M495" s="4">
        <f t="shared" si="42"/>
        <v>21.559650824442286</v>
      </c>
      <c r="N495" s="4">
        <f t="shared" si="43"/>
        <v>19.498245614035088</v>
      </c>
      <c r="O495" s="5">
        <f t="shared" si="44"/>
        <v>0.25121359223300965</v>
      </c>
      <c r="P495" s="5">
        <f t="shared" si="45"/>
        <v>0.10572259941804063</v>
      </c>
      <c r="Q495" s="4">
        <f t="shared" si="46"/>
        <v>0.85821991687635024</v>
      </c>
      <c r="R495" s="4">
        <f t="shared" si="47"/>
        <v>1.8442835989055226</v>
      </c>
      <c r="S495" s="4">
        <v>-1.87</v>
      </c>
      <c r="T495" s="2">
        <v>0.65</v>
      </c>
      <c r="U495" s="2">
        <v>229.88</v>
      </c>
      <c r="V495" s="2">
        <v>123.93</v>
      </c>
      <c r="W495" s="2">
        <v>-3.31</v>
      </c>
      <c r="X495" s="2">
        <v>-1.54</v>
      </c>
      <c r="Y495" s="2">
        <v>11.16</v>
      </c>
      <c r="Z495" s="2">
        <v>8.17</v>
      </c>
    </row>
    <row r="496" spans="1:26" x14ac:dyDescent="0.25">
      <c r="A496" s="1" t="s">
        <v>2215</v>
      </c>
      <c r="B496" s="1" t="s">
        <v>2216</v>
      </c>
      <c r="C496" s="1" t="s">
        <v>45</v>
      </c>
      <c r="D496" s="1" t="s">
        <v>18</v>
      </c>
      <c r="E496" s="1" t="s">
        <v>624</v>
      </c>
      <c r="F496" s="1" t="s">
        <v>2217</v>
      </c>
      <c r="G496" s="1" t="s">
        <v>12480</v>
      </c>
      <c r="H496" s="1" t="s">
        <v>2218</v>
      </c>
      <c r="I496" s="2" t="s">
        <v>12517</v>
      </c>
      <c r="J496" s="2">
        <v>-0.33</v>
      </c>
      <c r="K496" s="2">
        <v>0.15</v>
      </c>
      <c r="L496" s="2">
        <v>0.44</v>
      </c>
      <c r="M496" s="4">
        <f t="shared" si="42"/>
        <v>126.66666666666667</v>
      </c>
      <c r="N496" s="4">
        <f t="shared" si="43"/>
        <v>43.18181818181818</v>
      </c>
      <c r="O496" s="5">
        <f t="shared" si="44"/>
        <v>-1.4545454545454546</v>
      </c>
      <c r="P496" s="5">
        <f t="shared" si="45"/>
        <v>1.9333333333333336</v>
      </c>
      <c r="Q496" s="4">
        <f t="shared" si="46"/>
        <v>-0.87083333333333324</v>
      </c>
      <c r="R496" s="4">
        <f t="shared" si="47"/>
        <v>0.22335423197492157</v>
      </c>
      <c r="S496" s="4">
        <v>96.97</v>
      </c>
      <c r="T496" s="2"/>
      <c r="U496" s="2">
        <v>39.299999999999997</v>
      </c>
      <c r="V496" s="2">
        <v>17.64</v>
      </c>
      <c r="W496" s="2">
        <v>-8.0299999999999994</v>
      </c>
      <c r="X496" s="2">
        <v>-14.84</v>
      </c>
      <c r="Y496" s="2">
        <v>-28.84</v>
      </c>
      <c r="Z496" s="2">
        <v>-29.58</v>
      </c>
    </row>
    <row r="497" spans="1:26" x14ac:dyDescent="0.25">
      <c r="A497" s="1" t="s">
        <v>2219</v>
      </c>
      <c r="B497" s="1" t="s">
        <v>2220</v>
      </c>
      <c r="C497" s="1" t="s">
        <v>31</v>
      </c>
      <c r="D497" s="1" t="s">
        <v>38</v>
      </c>
      <c r="E497" s="1" t="s">
        <v>189</v>
      </c>
      <c r="F497" s="1" t="s">
        <v>2221</v>
      </c>
      <c r="G497" s="1" t="s">
        <v>12480</v>
      </c>
      <c r="H497" s="1" t="s">
        <v>2222</v>
      </c>
      <c r="I497" s="2">
        <v>3.93</v>
      </c>
      <c r="J497" s="2">
        <v>0.31</v>
      </c>
      <c r="K497" s="2">
        <v>0.33</v>
      </c>
      <c r="L497" s="2">
        <v>0.39</v>
      </c>
      <c r="M497" s="4">
        <f t="shared" si="42"/>
        <v>11.909090909090908</v>
      </c>
      <c r="N497" s="4">
        <f t="shared" si="43"/>
        <v>10.076923076923077</v>
      </c>
      <c r="O497" s="5">
        <f t="shared" si="44"/>
        <v>6.4516129032258229E-2</v>
      </c>
      <c r="P497" s="5">
        <f t="shared" si="45"/>
        <v>0.18181818181818188</v>
      </c>
      <c r="Q497" s="4">
        <f t="shared" si="46"/>
        <v>1.8459090909090861</v>
      </c>
      <c r="R497" s="4">
        <f t="shared" si="47"/>
        <v>0.55423076923076908</v>
      </c>
      <c r="S497" s="4">
        <v>20.170000000000002</v>
      </c>
      <c r="T497" s="2">
        <v>0.28999999999999998</v>
      </c>
      <c r="U497" s="2">
        <v>4.46</v>
      </c>
      <c r="V497" s="2">
        <v>2.1800000000000002</v>
      </c>
      <c r="W497" s="2">
        <v>-1.01</v>
      </c>
      <c r="X497" s="2">
        <v>-9.34</v>
      </c>
      <c r="Y497" s="2">
        <v>-0.25</v>
      </c>
      <c r="Z497" s="2">
        <v>-2.96</v>
      </c>
    </row>
    <row r="498" spans="1:26" x14ac:dyDescent="0.25">
      <c r="A498" s="1" t="s">
        <v>2223</v>
      </c>
      <c r="B498" s="1" t="s">
        <v>2224</v>
      </c>
      <c r="C498" s="1" t="s">
        <v>45</v>
      </c>
      <c r="D498" s="1" t="s">
        <v>67</v>
      </c>
      <c r="E498" s="1" t="s">
        <v>1037</v>
      </c>
      <c r="F498" s="1" t="s">
        <v>2225</v>
      </c>
      <c r="G498" s="1" t="s">
        <v>12480</v>
      </c>
      <c r="H498" s="1" t="s">
        <v>2226</v>
      </c>
      <c r="I498" s="2">
        <v>62.99</v>
      </c>
      <c r="J498" s="2">
        <v>3.77</v>
      </c>
      <c r="K498" s="2">
        <v>4.01</v>
      </c>
      <c r="L498" s="2">
        <v>4.3899999999999997</v>
      </c>
      <c r="M498" s="4">
        <f t="shared" si="42"/>
        <v>15.708229426433917</v>
      </c>
      <c r="N498" s="4">
        <f t="shared" si="43"/>
        <v>14.34851936218679</v>
      </c>
      <c r="O498" s="5">
        <f t="shared" si="44"/>
        <v>6.3660477453580944E-2</v>
      </c>
      <c r="P498" s="5">
        <f t="shared" si="45"/>
        <v>9.4763092269326554E-2</v>
      </c>
      <c r="Q498" s="4">
        <f t="shared" si="46"/>
        <v>2.4675010390689929</v>
      </c>
      <c r="R498" s="4">
        <f t="shared" si="47"/>
        <v>1.5141463853255026</v>
      </c>
      <c r="S498" s="4">
        <v>4.75</v>
      </c>
      <c r="T498" s="2">
        <v>0.97</v>
      </c>
      <c r="U498" s="2">
        <v>68.510000000000005</v>
      </c>
      <c r="V498" s="2">
        <v>43.14</v>
      </c>
      <c r="W498" s="2">
        <v>0.06</v>
      </c>
      <c r="X498" s="2">
        <v>-0.79</v>
      </c>
      <c r="Y498" s="2">
        <v>25.34</v>
      </c>
      <c r="Z498" s="2">
        <v>24.78</v>
      </c>
    </row>
    <row r="499" spans="1:26" x14ac:dyDescent="0.25">
      <c r="A499" s="1" t="s">
        <v>2227</v>
      </c>
      <c r="B499" s="1" t="s">
        <v>2228</v>
      </c>
      <c r="C499" s="1" t="s">
        <v>45</v>
      </c>
      <c r="D499" s="1" t="s">
        <v>88</v>
      </c>
      <c r="E499" s="1" t="s">
        <v>846</v>
      </c>
      <c r="F499" s="1" t="s">
        <v>2229</v>
      </c>
      <c r="G499" s="1" t="s">
        <v>12508</v>
      </c>
      <c r="H499" s="1" t="s">
        <v>2230</v>
      </c>
      <c r="I499" s="2">
        <v>87.8</v>
      </c>
      <c r="J499" s="2">
        <v>24.95</v>
      </c>
      <c r="K499" s="2"/>
      <c r="L499" s="2"/>
      <c r="M499" s="4" t="e">
        <f t="shared" si="42"/>
        <v>#DIV/0!</v>
      </c>
      <c r="N499" s="4" t="e">
        <f t="shared" si="43"/>
        <v>#DIV/0!</v>
      </c>
      <c r="O499" s="5">
        <f t="shared" si="44"/>
        <v>-1</v>
      </c>
      <c r="P499" s="5" t="e">
        <f t="shared" si="45"/>
        <v>#DIV/0!</v>
      </c>
      <c r="Q499" s="4" t="e">
        <f t="shared" si="46"/>
        <v>#DIV/0!</v>
      </c>
      <c r="R499" s="4" t="e">
        <f t="shared" si="47"/>
        <v>#DIV/0!</v>
      </c>
      <c r="S499" s="4">
        <v>83.19</v>
      </c>
      <c r="T499" s="2">
        <v>0.26</v>
      </c>
      <c r="U499" s="2">
        <v>119.16</v>
      </c>
      <c r="V499" s="2">
        <v>72.44</v>
      </c>
      <c r="W499" s="2">
        <v>0.34</v>
      </c>
      <c r="X499" s="2">
        <v>6.44</v>
      </c>
      <c r="Y499" s="2">
        <v>-0.25</v>
      </c>
      <c r="Z499" s="2">
        <v>10.34</v>
      </c>
    </row>
    <row r="500" spans="1:26" x14ac:dyDescent="0.25">
      <c r="A500" s="1" t="s">
        <v>2233</v>
      </c>
      <c r="B500" s="1" t="s">
        <v>2234</v>
      </c>
      <c r="C500" s="1" t="s">
        <v>16</v>
      </c>
      <c r="D500" s="1" t="s">
        <v>32</v>
      </c>
      <c r="E500" s="1" t="s">
        <v>311</v>
      </c>
      <c r="F500" s="1" t="s">
        <v>2235</v>
      </c>
      <c r="G500" s="1" t="s">
        <v>12480</v>
      </c>
      <c r="H500" s="1" t="s">
        <v>861</v>
      </c>
      <c r="I500" s="2">
        <v>50.95</v>
      </c>
      <c r="J500" s="2">
        <v>1.35</v>
      </c>
      <c r="K500" s="2">
        <v>1.91</v>
      </c>
      <c r="L500" s="2">
        <v>2.72</v>
      </c>
      <c r="M500" s="4">
        <f t="shared" si="42"/>
        <v>26.67539267015707</v>
      </c>
      <c r="N500" s="4">
        <f t="shared" si="43"/>
        <v>18.731617647058822</v>
      </c>
      <c r="O500" s="5">
        <f t="shared" si="44"/>
        <v>0.41481481481481475</v>
      </c>
      <c r="P500" s="5">
        <f t="shared" si="45"/>
        <v>0.42408376963350802</v>
      </c>
      <c r="Q500" s="4">
        <f t="shared" si="46"/>
        <v>0.64306750186985806</v>
      </c>
      <c r="R500" s="4">
        <f t="shared" si="47"/>
        <v>0.44169616920842392</v>
      </c>
      <c r="S500" s="4">
        <v>20.260000000000002</v>
      </c>
      <c r="T500" s="2">
        <v>1.49</v>
      </c>
      <c r="U500" s="2">
        <v>68.42</v>
      </c>
      <c r="V500" s="2">
        <v>29.4</v>
      </c>
      <c r="W500" s="2">
        <v>-4.09</v>
      </c>
      <c r="X500" s="2">
        <v>-8.31</v>
      </c>
      <c r="Y500" s="2">
        <v>-5.63</v>
      </c>
      <c r="Z500" s="2">
        <v>-3.74</v>
      </c>
    </row>
    <row r="501" spans="1:26" x14ac:dyDescent="0.25">
      <c r="A501" s="1" t="s">
        <v>2236</v>
      </c>
      <c r="B501" s="1" t="s">
        <v>2237</v>
      </c>
      <c r="C501" s="1" t="s">
        <v>16</v>
      </c>
      <c r="D501" s="1" t="s">
        <v>147</v>
      </c>
      <c r="E501" s="1" t="s">
        <v>1073</v>
      </c>
      <c r="F501" s="1" t="s">
        <v>2238</v>
      </c>
      <c r="G501" s="1" t="s">
        <v>12480</v>
      </c>
      <c r="H501" s="1" t="s">
        <v>2239</v>
      </c>
      <c r="I501" s="2">
        <v>13.34</v>
      </c>
      <c r="J501" s="2">
        <v>0.21</v>
      </c>
      <c r="K501" s="2">
        <v>0.4</v>
      </c>
      <c r="L501" s="2">
        <v>0.51</v>
      </c>
      <c r="M501" s="4">
        <f t="shared" si="42"/>
        <v>33.349999999999994</v>
      </c>
      <c r="N501" s="4">
        <f t="shared" si="43"/>
        <v>26.156862745098039</v>
      </c>
      <c r="O501" s="5">
        <f t="shared" si="44"/>
        <v>0.90476190476190488</v>
      </c>
      <c r="P501" s="5">
        <f t="shared" si="45"/>
        <v>0.27499999999999991</v>
      </c>
      <c r="Q501" s="4">
        <f t="shared" si="46"/>
        <v>0.36860526315789466</v>
      </c>
      <c r="R501" s="4">
        <f t="shared" si="47"/>
        <v>0.95115864527629257</v>
      </c>
      <c r="S501" s="4">
        <v>-51.4</v>
      </c>
      <c r="T501" s="2">
        <v>0.96</v>
      </c>
      <c r="U501" s="2">
        <v>15.81</v>
      </c>
      <c r="V501" s="2">
        <v>5.57</v>
      </c>
      <c r="W501" s="2">
        <v>-6.06</v>
      </c>
      <c r="X501" s="2">
        <v>-10.59</v>
      </c>
      <c r="Y501" s="2">
        <v>15.7</v>
      </c>
      <c r="Z501" s="2">
        <v>14.31</v>
      </c>
    </row>
    <row r="502" spans="1:26" x14ac:dyDescent="0.25">
      <c r="A502" s="1" t="s">
        <v>2240</v>
      </c>
      <c r="B502" s="1" t="s">
        <v>2241</v>
      </c>
      <c r="C502" s="1" t="s">
        <v>45</v>
      </c>
      <c r="D502" s="1" t="s">
        <v>32</v>
      </c>
      <c r="E502" s="1" t="s">
        <v>364</v>
      </c>
      <c r="F502" s="1" t="s">
        <v>2242</v>
      </c>
      <c r="G502" s="1" t="s">
        <v>12480</v>
      </c>
      <c r="H502" s="1" t="s">
        <v>2165</v>
      </c>
      <c r="I502" s="2">
        <v>155.24</v>
      </c>
      <c r="J502" s="2">
        <v>3.26</v>
      </c>
      <c r="K502" s="2">
        <v>3.47</v>
      </c>
      <c r="L502" s="2">
        <v>4.22</v>
      </c>
      <c r="M502" s="4">
        <f t="shared" si="42"/>
        <v>44.737752161383284</v>
      </c>
      <c r="N502" s="4">
        <f t="shared" si="43"/>
        <v>36.786729857819907</v>
      </c>
      <c r="O502" s="5">
        <f t="shared" si="44"/>
        <v>6.4417177914110502E-2</v>
      </c>
      <c r="P502" s="5">
        <f t="shared" si="45"/>
        <v>0.21613832853025916</v>
      </c>
      <c r="Q502" s="4">
        <f t="shared" si="46"/>
        <v>6.9450034307671116</v>
      </c>
      <c r="R502" s="4">
        <f t="shared" si="47"/>
        <v>1.7019993680884693</v>
      </c>
      <c r="S502" s="4">
        <v>15.57</v>
      </c>
      <c r="T502" s="2">
        <v>1.53</v>
      </c>
      <c r="U502" s="2">
        <v>171.47</v>
      </c>
      <c r="V502" s="2">
        <v>50.56</v>
      </c>
      <c r="W502" s="2">
        <v>-9.4700000000000006</v>
      </c>
      <c r="X502" s="2">
        <v>3.19</v>
      </c>
      <c r="Y502" s="2">
        <v>41.97</v>
      </c>
      <c r="Z502" s="2">
        <v>45.98</v>
      </c>
    </row>
    <row r="503" spans="1:26" x14ac:dyDescent="0.25">
      <c r="A503" s="1" t="s">
        <v>2243</v>
      </c>
      <c r="B503" s="1" t="s">
        <v>2244</v>
      </c>
      <c r="C503" s="1" t="s">
        <v>45</v>
      </c>
      <c r="D503" s="1" t="s">
        <v>18</v>
      </c>
      <c r="E503" s="1" t="s">
        <v>19</v>
      </c>
      <c r="F503" s="1" t="s">
        <v>2245</v>
      </c>
      <c r="G503" s="1" t="s">
        <v>12480</v>
      </c>
      <c r="H503" s="1" t="s">
        <v>2246</v>
      </c>
      <c r="I503" s="2">
        <v>30.63</v>
      </c>
      <c r="J503" s="2">
        <v>-1.1499999999999999</v>
      </c>
      <c r="K503" s="2">
        <v>0.62</v>
      </c>
      <c r="L503" s="2">
        <v>-0.25</v>
      </c>
      <c r="M503" s="4">
        <f t="shared" si="42"/>
        <v>49.403225806451609</v>
      </c>
      <c r="N503" s="4">
        <f t="shared" si="43"/>
        <v>-122.52</v>
      </c>
      <c r="O503" s="5">
        <f t="shared" si="44"/>
        <v>-1.5391304347826087</v>
      </c>
      <c r="P503" s="5">
        <f t="shared" si="45"/>
        <v>-1.403225806451613</v>
      </c>
      <c r="Q503" s="4">
        <f t="shared" si="46"/>
        <v>-0.32098141060688895</v>
      </c>
      <c r="R503" s="4">
        <f t="shared" si="47"/>
        <v>0.87313103448275853</v>
      </c>
      <c r="S503" s="4">
        <v>-11.55</v>
      </c>
      <c r="T503" s="2">
        <v>0.37</v>
      </c>
      <c r="U503" s="2">
        <v>30.63</v>
      </c>
      <c r="V503" s="2">
        <v>4.5999999999999996</v>
      </c>
      <c r="W503" s="2">
        <v>14.04</v>
      </c>
      <c r="X503" s="2">
        <v>21.6</v>
      </c>
      <c r="Y503" s="2">
        <v>15.37</v>
      </c>
      <c r="Z503" s="2">
        <v>6.13</v>
      </c>
    </row>
    <row r="504" spans="1:26" x14ac:dyDescent="0.25">
      <c r="A504" s="1" t="s">
        <v>2247</v>
      </c>
      <c r="B504" s="1" t="s">
        <v>2248</v>
      </c>
      <c r="C504" s="1" t="s">
        <v>45</v>
      </c>
      <c r="D504" s="1" t="s">
        <v>46</v>
      </c>
      <c r="E504" s="1" t="s">
        <v>1142</v>
      </c>
      <c r="F504" s="1" t="s">
        <v>2249</v>
      </c>
      <c r="G504" s="1" t="s">
        <v>12480</v>
      </c>
      <c r="H504" s="1" t="s">
        <v>2250</v>
      </c>
      <c r="I504" s="2">
        <v>95.89</v>
      </c>
      <c r="J504" s="2">
        <v>-10.53</v>
      </c>
      <c r="K504" s="2">
        <v>4.91</v>
      </c>
      <c r="L504" s="2">
        <v>8.86</v>
      </c>
      <c r="M504" s="4">
        <f t="shared" si="42"/>
        <v>19.529531568228105</v>
      </c>
      <c r="N504" s="4">
        <f t="shared" si="43"/>
        <v>10.822799097065463</v>
      </c>
      <c r="O504" s="5">
        <f t="shared" si="44"/>
        <v>-1.466286799620133</v>
      </c>
      <c r="P504" s="5">
        <f t="shared" si="45"/>
        <v>0.80448065173116068</v>
      </c>
      <c r="Q504" s="4">
        <f t="shared" si="46"/>
        <v>-0.13319039340248828</v>
      </c>
      <c r="R504" s="4">
        <f t="shared" si="47"/>
        <v>0.13453150270023151</v>
      </c>
      <c r="S504" s="4">
        <v>-1.1599999999999999</v>
      </c>
      <c r="T504" s="2">
        <v>2.3199999999999998</v>
      </c>
      <c r="U504" s="2">
        <v>207.55</v>
      </c>
      <c r="V504" s="2">
        <v>55.49</v>
      </c>
      <c r="W504" s="2">
        <v>0.19</v>
      </c>
      <c r="X504" s="2">
        <v>-19.23</v>
      </c>
      <c r="Y504" s="2">
        <v>-25.44</v>
      </c>
      <c r="Z504" s="2">
        <v>-25.27</v>
      </c>
    </row>
    <row r="505" spans="1:26" x14ac:dyDescent="0.25">
      <c r="A505" s="1" t="s">
        <v>2251</v>
      </c>
      <c r="B505" s="1" t="s">
        <v>2252</v>
      </c>
      <c r="C505" s="1" t="s">
        <v>45</v>
      </c>
      <c r="D505" s="1" t="s">
        <v>67</v>
      </c>
      <c r="E505" s="1" t="s">
        <v>833</v>
      </c>
      <c r="F505" s="1" t="s">
        <v>2253</v>
      </c>
      <c r="G505" s="1" t="s">
        <v>12480</v>
      </c>
      <c r="H505" s="1" t="s">
        <v>2254</v>
      </c>
      <c r="I505" s="2">
        <v>33.85</v>
      </c>
      <c r="J505" s="2">
        <v>2.2799999999999998</v>
      </c>
      <c r="K505" s="2">
        <v>2.48</v>
      </c>
      <c r="L505" s="2">
        <v>3.47</v>
      </c>
      <c r="M505" s="4">
        <f t="shared" si="42"/>
        <v>13.649193548387098</v>
      </c>
      <c r="N505" s="4">
        <f t="shared" si="43"/>
        <v>9.7550432276657055</v>
      </c>
      <c r="O505" s="5">
        <f t="shared" si="44"/>
        <v>8.7719298245614086E-2</v>
      </c>
      <c r="P505" s="5">
        <f t="shared" si="45"/>
        <v>0.39919354838709675</v>
      </c>
      <c r="Q505" s="4">
        <f t="shared" si="46"/>
        <v>1.5560080645161285</v>
      </c>
      <c r="R505" s="4">
        <f t="shared" si="47"/>
        <v>0.24436875964253488</v>
      </c>
      <c r="S505" s="4">
        <v>1.41</v>
      </c>
      <c r="T505" s="2">
        <v>1.37</v>
      </c>
      <c r="U505" s="2">
        <v>39.03</v>
      </c>
      <c r="V505" s="2">
        <v>25.19</v>
      </c>
      <c r="W505" s="2">
        <v>8.11</v>
      </c>
      <c r="X505" s="2">
        <v>18.73</v>
      </c>
      <c r="Y505" s="2">
        <v>-12.22</v>
      </c>
      <c r="Z505" s="2">
        <v>-11.73</v>
      </c>
    </row>
    <row r="506" spans="1:26" x14ac:dyDescent="0.25">
      <c r="A506" s="1" t="s">
        <v>2255</v>
      </c>
      <c r="B506" s="1" t="s">
        <v>2256</v>
      </c>
      <c r="C506" s="1" t="s">
        <v>16</v>
      </c>
      <c r="D506" s="1" t="s">
        <v>61</v>
      </c>
      <c r="E506" s="1" t="s">
        <v>62</v>
      </c>
      <c r="F506" s="1" t="s">
        <v>2257</v>
      </c>
      <c r="G506" s="1" t="s">
        <v>12480</v>
      </c>
      <c r="H506" s="1" t="s">
        <v>2258</v>
      </c>
      <c r="I506" s="2">
        <v>58.72</v>
      </c>
      <c r="J506" s="2">
        <v>2.59</v>
      </c>
      <c r="K506" s="2">
        <v>2.74</v>
      </c>
      <c r="L506" s="2">
        <v>3.11</v>
      </c>
      <c r="M506" s="4">
        <f t="shared" si="42"/>
        <v>21.430656934306569</v>
      </c>
      <c r="N506" s="4">
        <f t="shared" si="43"/>
        <v>18.881028938906752</v>
      </c>
      <c r="O506" s="5">
        <f t="shared" si="44"/>
        <v>5.7915057915058021E-2</v>
      </c>
      <c r="P506" s="5">
        <f t="shared" si="45"/>
        <v>0.13503649635036474</v>
      </c>
      <c r="Q506" s="4">
        <f t="shared" si="46"/>
        <v>3.7003600973235939</v>
      </c>
      <c r="R506" s="4">
        <f t="shared" si="47"/>
        <v>1.3982167376379617</v>
      </c>
      <c r="S506" s="4">
        <v>-3.29</v>
      </c>
      <c r="T506" s="2">
        <v>1.32</v>
      </c>
      <c r="U506" s="2">
        <v>80.73</v>
      </c>
      <c r="V506" s="2">
        <v>50.36</v>
      </c>
      <c r="W506" s="2">
        <v>-8.02</v>
      </c>
      <c r="X506" s="2">
        <v>-10.1</v>
      </c>
      <c r="Y506" s="2">
        <v>11.68</v>
      </c>
      <c r="Z506" s="2">
        <v>11.13</v>
      </c>
    </row>
    <row r="507" spans="1:26" x14ac:dyDescent="0.25">
      <c r="A507" s="1" t="s">
        <v>2259</v>
      </c>
      <c r="B507" s="1" t="s">
        <v>2260</v>
      </c>
      <c r="C507" s="1" t="s">
        <v>45</v>
      </c>
      <c r="D507" s="1" t="s">
        <v>67</v>
      </c>
      <c r="E507" s="1" t="s">
        <v>833</v>
      </c>
      <c r="F507" s="1" t="s">
        <v>2261</v>
      </c>
      <c r="G507" s="1" t="s">
        <v>12480</v>
      </c>
      <c r="H507" s="1" t="s">
        <v>2262</v>
      </c>
      <c r="I507" s="2">
        <v>38.85</v>
      </c>
      <c r="J507" s="2">
        <v>1.83</v>
      </c>
      <c r="K507" s="2">
        <v>2.42</v>
      </c>
      <c r="L507" s="2">
        <v>2.92</v>
      </c>
      <c r="M507" s="4">
        <f t="shared" si="42"/>
        <v>16.053719008264466</v>
      </c>
      <c r="N507" s="4">
        <f t="shared" si="43"/>
        <v>13.304794520547945</v>
      </c>
      <c r="O507" s="5">
        <f t="shared" si="44"/>
        <v>0.32240437158469937</v>
      </c>
      <c r="P507" s="5">
        <f t="shared" si="45"/>
        <v>0.20661157024793386</v>
      </c>
      <c r="Q507" s="4">
        <f t="shared" si="46"/>
        <v>0.497937386188542</v>
      </c>
      <c r="R507" s="4">
        <f t="shared" si="47"/>
        <v>0.64395205479452067</v>
      </c>
      <c r="S507" s="4">
        <v>10.78</v>
      </c>
      <c r="T507" s="2">
        <v>0.98</v>
      </c>
      <c r="U507" s="2">
        <v>51.77</v>
      </c>
      <c r="V507" s="2">
        <v>32.93</v>
      </c>
      <c r="W507" s="2">
        <v>2.67</v>
      </c>
      <c r="X507" s="2">
        <v>10.53</v>
      </c>
      <c r="Y507" s="2">
        <v>-14.43</v>
      </c>
      <c r="Z507" s="2">
        <v>-13.63</v>
      </c>
    </row>
    <row r="508" spans="1:26" x14ac:dyDescent="0.25">
      <c r="A508" s="1" t="s">
        <v>2263</v>
      </c>
      <c r="B508" s="1" t="s">
        <v>2264</v>
      </c>
      <c r="C508" s="1" t="s">
        <v>45</v>
      </c>
      <c r="D508" s="1" t="s">
        <v>38</v>
      </c>
      <c r="E508" s="1" t="s">
        <v>1244</v>
      </c>
      <c r="F508" s="1" t="s">
        <v>2265</v>
      </c>
      <c r="G508" s="1" t="s">
        <v>12485</v>
      </c>
      <c r="H508" s="1" t="s">
        <v>2266</v>
      </c>
      <c r="I508" s="2">
        <v>90.07</v>
      </c>
      <c r="J508" s="2">
        <v>7.87</v>
      </c>
      <c r="K508" s="2">
        <v>8.6999999999999993</v>
      </c>
      <c r="L508" s="2">
        <v>9.6</v>
      </c>
      <c r="M508" s="4">
        <f t="shared" si="42"/>
        <v>10.352873563218392</v>
      </c>
      <c r="N508" s="4">
        <f t="shared" si="43"/>
        <v>9.3822916666666671</v>
      </c>
      <c r="O508" s="5">
        <f t="shared" si="44"/>
        <v>0.10546378653113075</v>
      </c>
      <c r="P508" s="5">
        <f t="shared" si="45"/>
        <v>0.10344827586206895</v>
      </c>
      <c r="Q508" s="4">
        <f t="shared" si="46"/>
        <v>0.98165198725938363</v>
      </c>
      <c r="R508" s="4">
        <f t="shared" si="47"/>
        <v>0.90695486111111134</v>
      </c>
      <c r="S508" s="4" t="s">
        <v>12838</v>
      </c>
      <c r="T508" s="2">
        <v>0.74</v>
      </c>
      <c r="U508" s="2">
        <v>95.71</v>
      </c>
      <c r="V508" s="2">
        <v>66.47</v>
      </c>
      <c r="W508" s="2" t="s">
        <v>12602</v>
      </c>
      <c r="X508" s="2">
        <v>-4.1100000000000003</v>
      </c>
      <c r="Y508" s="2">
        <v>22.33</v>
      </c>
      <c r="Z508" s="2">
        <v>26.86</v>
      </c>
    </row>
    <row r="509" spans="1:26" x14ac:dyDescent="0.25">
      <c r="A509" s="1" t="s">
        <v>2267</v>
      </c>
      <c r="B509" s="1" t="s">
        <v>2268</v>
      </c>
      <c r="C509" s="1" t="s">
        <v>45</v>
      </c>
      <c r="D509" s="1" t="s">
        <v>67</v>
      </c>
      <c r="E509" s="1" t="s">
        <v>2270</v>
      </c>
      <c r="F509" s="1" t="s">
        <v>2269</v>
      </c>
      <c r="G509" s="1" t="s">
        <v>12513</v>
      </c>
      <c r="H509" s="1" t="s">
        <v>2271</v>
      </c>
      <c r="I509" s="2">
        <v>664.54</v>
      </c>
      <c r="J509" s="2">
        <v>14.64</v>
      </c>
      <c r="K509" s="2">
        <v>17.46</v>
      </c>
      <c r="L509" s="2">
        <v>19.329999999999998</v>
      </c>
      <c r="M509" s="4">
        <f t="shared" si="42"/>
        <v>38.06071019473081</v>
      </c>
      <c r="N509" s="4">
        <f t="shared" si="43"/>
        <v>34.378685980341437</v>
      </c>
      <c r="O509" s="5">
        <f t="shared" si="44"/>
        <v>0.19262295081967218</v>
      </c>
      <c r="P509" s="5">
        <f t="shared" si="45"/>
        <v>0.10710194730813272</v>
      </c>
      <c r="Q509" s="4">
        <f t="shared" si="46"/>
        <v>1.9759177207477268</v>
      </c>
      <c r="R509" s="4">
        <f t="shared" si="47"/>
        <v>3.209902979768783</v>
      </c>
      <c r="S509" s="4">
        <v>7.25</v>
      </c>
      <c r="T509" s="2">
        <v>0.65</v>
      </c>
      <c r="U509" s="2">
        <v>687.01</v>
      </c>
      <c r="V509" s="2">
        <v>378.71</v>
      </c>
      <c r="W509" s="2">
        <v>-3.27</v>
      </c>
      <c r="X509" s="2">
        <v>0.85</v>
      </c>
      <c r="Y509" s="2">
        <v>21.51</v>
      </c>
      <c r="Z509" s="2">
        <v>20.23</v>
      </c>
    </row>
    <row r="510" spans="1:26" x14ac:dyDescent="0.25">
      <c r="A510" s="1" t="s">
        <v>2272</v>
      </c>
      <c r="B510" s="1" t="s">
        <v>2273</v>
      </c>
      <c r="C510" s="1" t="s">
        <v>16</v>
      </c>
      <c r="D510" s="1" t="s">
        <v>25</v>
      </c>
      <c r="E510" s="1" t="s">
        <v>1148</v>
      </c>
      <c r="F510" s="1" t="s">
        <v>2274</v>
      </c>
      <c r="G510" s="1" t="s">
        <v>12480</v>
      </c>
      <c r="H510" s="1" t="s">
        <v>2275</v>
      </c>
      <c r="I510" s="2">
        <v>704.82</v>
      </c>
      <c r="J510" s="2">
        <v>19.059999999999999</v>
      </c>
      <c r="K510" s="2">
        <v>22.66</v>
      </c>
      <c r="L510" s="2">
        <v>27.55</v>
      </c>
      <c r="M510" s="4">
        <f t="shared" si="42"/>
        <v>31.104148278905562</v>
      </c>
      <c r="N510" s="4">
        <f t="shared" si="43"/>
        <v>25.583303085299455</v>
      </c>
      <c r="O510" s="5">
        <f t="shared" si="44"/>
        <v>0.1888772298006296</v>
      </c>
      <c r="P510" s="5">
        <f t="shared" si="45"/>
        <v>0.21579876434245371</v>
      </c>
      <c r="Q510" s="4">
        <f t="shared" si="46"/>
        <v>1.6467918505442776</v>
      </c>
      <c r="R510" s="4">
        <f t="shared" si="47"/>
        <v>1.1855166623985389</v>
      </c>
      <c r="S510" s="4">
        <v>4.29</v>
      </c>
      <c r="T510" s="2">
        <v>1.54</v>
      </c>
      <c r="U510" s="2" t="s">
        <v>12603</v>
      </c>
      <c r="V510" s="2">
        <v>273.94</v>
      </c>
      <c r="W510" s="2">
        <v>-6.31</v>
      </c>
      <c r="X510" s="2">
        <v>-5.03</v>
      </c>
      <c r="Y510" s="2">
        <v>19.510000000000002</v>
      </c>
      <c r="Z510" s="2">
        <v>23.03</v>
      </c>
    </row>
    <row r="511" spans="1:26" x14ac:dyDescent="0.25">
      <c r="A511" s="1" t="s">
        <v>2276</v>
      </c>
      <c r="B511" s="1" t="s">
        <v>2277</v>
      </c>
      <c r="C511" s="1" t="s">
        <v>45</v>
      </c>
      <c r="D511" s="1" t="s">
        <v>38</v>
      </c>
      <c r="E511" s="1" t="s">
        <v>1909</v>
      </c>
      <c r="F511" s="1" t="s">
        <v>2278</v>
      </c>
      <c r="G511" s="1" t="s">
        <v>12480</v>
      </c>
      <c r="H511" s="1" t="s">
        <v>2279</v>
      </c>
      <c r="I511" s="2">
        <v>47.72</v>
      </c>
      <c r="J511" s="2">
        <v>4.54</v>
      </c>
      <c r="K511" s="2">
        <v>5.1100000000000003</v>
      </c>
      <c r="L511" s="2">
        <v>5.49</v>
      </c>
      <c r="M511" s="4">
        <f t="shared" si="42"/>
        <v>9.3385518590998036</v>
      </c>
      <c r="N511" s="4">
        <f t="shared" si="43"/>
        <v>8.6921675774134783</v>
      </c>
      <c r="O511" s="5">
        <f t="shared" si="44"/>
        <v>0.12555066079295152</v>
      </c>
      <c r="P511" s="5">
        <f t="shared" si="45"/>
        <v>7.4363992172211235E-2</v>
      </c>
      <c r="Q511" s="4">
        <f t="shared" si="46"/>
        <v>0.7438074638651424</v>
      </c>
      <c r="R511" s="4">
        <f t="shared" si="47"/>
        <v>1.1688677979100774</v>
      </c>
      <c r="S511" s="4">
        <v>-0.43</v>
      </c>
      <c r="T511" s="2">
        <v>0.86</v>
      </c>
      <c r="U511" s="2">
        <v>54.22</v>
      </c>
      <c r="V511" s="2">
        <v>37.32</v>
      </c>
      <c r="W511" s="2">
        <v>-4.9400000000000004</v>
      </c>
      <c r="X511" s="2">
        <v>-11.99</v>
      </c>
      <c r="Y511" s="2">
        <v>-5.36</v>
      </c>
      <c r="Z511" s="2">
        <v>-1.38</v>
      </c>
    </row>
    <row r="512" spans="1:26" x14ac:dyDescent="0.25">
      <c r="A512" s="1" t="s">
        <v>2280</v>
      </c>
      <c r="B512" s="1" t="s">
        <v>2281</v>
      </c>
      <c r="C512" s="1" t="s">
        <v>16</v>
      </c>
      <c r="D512" s="1" t="s">
        <v>67</v>
      </c>
      <c r="E512" s="1" t="s">
        <v>1037</v>
      </c>
      <c r="F512" s="1" t="s">
        <v>2282</v>
      </c>
      <c r="G512" s="1" t="s">
        <v>12480</v>
      </c>
      <c r="H512" s="1" t="s">
        <v>2283</v>
      </c>
      <c r="I512" s="2">
        <v>81.81</v>
      </c>
      <c r="J512" s="2">
        <v>0.54</v>
      </c>
      <c r="K512" s="2">
        <v>0.49</v>
      </c>
      <c r="L512" s="2">
        <v>0.66</v>
      </c>
      <c r="M512" s="4">
        <f t="shared" si="42"/>
        <v>166.9591836734694</v>
      </c>
      <c r="N512" s="4">
        <f t="shared" si="43"/>
        <v>123.95454545454545</v>
      </c>
      <c r="O512" s="5">
        <f t="shared" si="44"/>
        <v>-9.2592592592592671E-2</v>
      </c>
      <c r="P512" s="5">
        <f t="shared" si="45"/>
        <v>0.34693877551020424</v>
      </c>
      <c r="Q512" s="4">
        <f t="shared" si="46"/>
        <v>-18.03159183673468</v>
      </c>
      <c r="R512" s="4">
        <f t="shared" si="47"/>
        <v>3.5728074866310147</v>
      </c>
      <c r="S512" s="4">
        <v>22.41</v>
      </c>
      <c r="T512" s="2">
        <v>2.16</v>
      </c>
      <c r="U512" s="2">
        <v>99.7</v>
      </c>
      <c r="V512" s="2">
        <v>43.59</v>
      </c>
      <c r="W512" s="2">
        <v>4.2300000000000004</v>
      </c>
      <c r="X512" s="2">
        <v>12.87</v>
      </c>
      <c r="Y512" s="2">
        <v>57.57</v>
      </c>
      <c r="Z512" s="2">
        <v>39.39</v>
      </c>
    </row>
    <row r="513" spans="1:26" x14ac:dyDescent="0.25">
      <c r="A513" s="1" t="s">
        <v>2284</v>
      </c>
      <c r="B513" s="1" t="s">
        <v>2285</v>
      </c>
      <c r="C513" s="1" t="s">
        <v>16</v>
      </c>
      <c r="D513" s="1" t="s">
        <v>38</v>
      </c>
      <c r="E513" s="1" t="s">
        <v>194</v>
      </c>
      <c r="F513" s="1" t="s">
        <v>2286</v>
      </c>
      <c r="G513" s="1" t="s">
        <v>12480</v>
      </c>
      <c r="H513" s="1" t="s">
        <v>2287</v>
      </c>
      <c r="I513" s="2">
        <v>324.39999999999998</v>
      </c>
      <c r="J513" s="2">
        <v>24.79</v>
      </c>
      <c r="K513" s="2">
        <v>26.4</v>
      </c>
      <c r="L513" s="2">
        <v>28.1</v>
      </c>
      <c r="M513" s="4">
        <f t="shared" si="42"/>
        <v>12.287878787878787</v>
      </c>
      <c r="N513" s="4">
        <f t="shared" si="43"/>
        <v>11.544483985765122</v>
      </c>
      <c r="O513" s="5">
        <f t="shared" si="44"/>
        <v>6.4945542557482749E-2</v>
      </c>
      <c r="P513" s="5">
        <f t="shared" si="45"/>
        <v>6.4393939393939448E-2</v>
      </c>
      <c r="Q513" s="4">
        <f t="shared" si="46"/>
        <v>1.8920280444193518</v>
      </c>
      <c r="R513" s="4">
        <f t="shared" si="47"/>
        <v>1.7927904542599939</v>
      </c>
      <c r="S513" s="4">
        <v>6.54</v>
      </c>
      <c r="T513" s="2">
        <v>0.46</v>
      </c>
      <c r="U513" s="2">
        <v>342.76</v>
      </c>
      <c r="V513" s="2">
        <v>265.99</v>
      </c>
      <c r="W513" s="2">
        <v>-5.36</v>
      </c>
      <c r="X513" s="2">
        <v>-0.54</v>
      </c>
      <c r="Y513" s="2">
        <v>3.77</v>
      </c>
      <c r="Z513" s="2">
        <v>3.93</v>
      </c>
    </row>
    <row r="514" spans="1:26" x14ac:dyDescent="0.25">
      <c r="A514" s="1" t="s">
        <v>2288</v>
      </c>
      <c r="B514" s="1" t="s">
        <v>2289</v>
      </c>
      <c r="C514" s="1" t="s">
        <v>45</v>
      </c>
      <c r="D514" s="1" t="s">
        <v>38</v>
      </c>
      <c r="E514" s="1" t="s">
        <v>1244</v>
      </c>
      <c r="F514" s="1" t="s">
        <v>2290</v>
      </c>
      <c r="G514" s="1" t="s">
        <v>12480</v>
      </c>
      <c r="H514" s="1" t="s">
        <v>2291</v>
      </c>
      <c r="I514" s="2">
        <v>24.24</v>
      </c>
      <c r="J514" s="2">
        <v>1.81</v>
      </c>
      <c r="K514" s="2">
        <v>1.9</v>
      </c>
      <c r="L514" s="2">
        <v>1.97</v>
      </c>
      <c r="M514" s="4">
        <f t="shared" si="42"/>
        <v>12.757894736842106</v>
      </c>
      <c r="N514" s="4">
        <f t="shared" si="43"/>
        <v>12.30456852791878</v>
      </c>
      <c r="O514" s="5">
        <f t="shared" si="44"/>
        <v>4.9723756906077332E-2</v>
      </c>
      <c r="P514" s="5">
        <f t="shared" si="45"/>
        <v>3.6842105263158009E-2</v>
      </c>
      <c r="Q514" s="4">
        <f t="shared" si="46"/>
        <v>2.565754385964913</v>
      </c>
      <c r="R514" s="4">
        <f t="shared" si="47"/>
        <v>3.3398114575779445</v>
      </c>
      <c r="S514" s="4"/>
      <c r="T514" s="2"/>
      <c r="U514" s="2">
        <v>25.19</v>
      </c>
      <c r="V514" s="2">
        <v>22.85</v>
      </c>
      <c r="W514" s="2">
        <v>-0.56999999999999995</v>
      </c>
      <c r="X514" s="2">
        <v>-1.06</v>
      </c>
      <c r="Y514" s="2">
        <v>6.08</v>
      </c>
      <c r="Z514" s="2">
        <v>0.5</v>
      </c>
    </row>
    <row r="515" spans="1:26" x14ac:dyDescent="0.25">
      <c r="A515" s="1" t="s">
        <v>2292</v>
      </c>
      <c r="B515" s="1" t="s">
        <v>2293</v>
      </c>
      <c r="C515" s="1" t="s">
        <v>16</v>
      </c>
      <c r="D515" s="1" t="s">
        <v>38</v>
      </c>
      <c r="E515" s="1" t="s">
        <v>83</v>
      </c>
      <c r="F515" s="1" t="s">
        <v>2294</v>
      </c>
      <c r="G515" s="1" t="s">
        <v>12480</v>
      </c>
      <c r="H515" s="1" t="s">
        <v>2295</v>
      </c>
      <c r="I515" s="2">
        <v>38.21</v>
      </c>
      <c r="J515" s="2">
        <v>7.21</v>
      </c>
      <c r="K515" s="2"/>
      <c r="L515" s="2"/>
      <c r="M515" s="4" t="e">
        <f t="shared" ref="M515:M578" si="48">I515/K515</f>
        <v>#DIV/0!</v>
      </c>
      <c r="N515" s="4" t="e">
        <f t="shared" ref="N515:N578" si="49">I515/L515</f>
        <v>#DIV/0!</v>
      </c>
      <c r="O515" s="5">
        <f t="shared" ref="O515:O578" si="50">K515/J515-1</f>
        <v>-1</v>
      </c>
      <c r="P515" s="5" t="e">
        <f t="shared" ref="P515:P578" si="51">L515/K515-1</f>
        <v>#DIV/0!</v>
      </c>
      <c r="Q515" s="4" t="e">
        <f t="shared" ref="Q515:Q578" si="52">M515/(O515*100)</f>
        <v>#DIV/0!</v>
      </c>
      <c r="R515" s="4" t="e">
        <f t="shared" ref="R515:R578" si="53">N515/(P515*100)</f>
        <v>#DIV/0!</v>
      </c>
      <c r="S515" s="4">
        <v>12.18</v>
      </c>
      <c r="T515" s="2">
        <v>1.45</v>
      </c>
      <c r="U515" s="2">
        <v>38.22</v>
      </c>
      <c r="V515" s="2">
        <v>22.42</v>
      </c>
      <c r="W515" s="2">
        <v>0.76</v>
      </c>
      <c r="X515" s="2">
        <v>5.03</v>
      </c>
      <c r="Y515" s="2">
        <v>1.97</v>
      </c>
      <c r="Z515" s="2">
        <v>3.27</v>
      </c>
    </row>
    <row r="516" spans="1:26" x14ac:dyDescent="0.25">
      <c r="A516" s="1" t="s">
        <v>2296</v>
      </c>
      <c r="B516" s="1" t="s">
        <v>2297</v>
      </c>
      <c r="C516" s="1" t="s">
        <v>31</v>
      </c>
      <c r="D516" s="1" t="s">
        <v>88</v>
      </c>
      <c r="E516" s="1" t="s">
        <v>2299</v>
      </c>
      <c r="F516" s="1" t="s">
        <v>2298</v>
      </c>
      <c r="G516" s="1" t="s">
        <v>12480</v>
      </c>
      <c r="H516" s="1" t="s">
        <v>2300</v>
      </c>
      <c r="I516" s="2">
        <v>11.19</v>
      </c>
      <c r="J516" s="2">
        <v>1.6</v>
      </c>
      <c r="K516" s="2"/>
      <c r="L516" s="2"/>
      <c r="M516" s="4" t="e">
        <f t="shared" si="48"/>
        <v>#DIV/0!</v>
      </c>
      <c r="N516" s="4" t="e">
        <f t="shared" si="49"/>
        <v>#DIV/0!</v>
      </c>
      <c r="O516" s="5">
        <f t="shared" si="50"/>
        <v>-1</v>
      </c>
      <c r="P516" s="5" t="e">
        <f t="shared" si="51"/>
        <v>#DIV/0!</v>
      </c>
      <c r="Q516" s="4" t="e">
        <f t="shared" si="52"/>
        <v>#DIV/0!</v>
      </c>
      <c r="R516" s="4" t="e">
        <f t="shared" si="53"/>
        <v>#DIV/0!</v>
      </c>
      <c r="S516" s="4">
        <v>-9.58</v>
      </c>
      <c r="T516" s="2">
        <v>0.51</v>
      </c>
      <c r="U516" s="2">
        <v>11.19</v>
      </c>
      <c r="V516" s="2">
        <v>11.19</v>
      </c>
      <c r="W516" s="2" t="s">
        <v>12489</v>
      </c>
      <c r="X516" s="2" t="s">
        <v>12489</v>
      </c>
      <c r="Y516" s="2" t="s">
        <v>12489</v>
      </c>
      <c r="Z516" s="2" t="s">
        <v>12489</v>
      </c>
    </row>
    <row r="517" spans="1:26" x14ac:dyDescent="0.25">
      <c r="A517" s="1" t="s">
        <v>2301</v>
      </c>
      <c r="B517" s="1" t="s">
        <v>2302</v>
      </c>
      <c r="C517" s="1" t="s">
        <v>1118</v>
      </c>
      <c r="D517" s="1" t="s">
        <v>38</v>
      </c>
      <c r="E517" s="1" t="s">
        <v>2304</v>
      </c>
      <c r="F517" s="1" t="s">
        <v>2303</v>
      </c>
      <c r="G517" s="1" t="s">
        <v>12480</v>
      </c>
      <c r="H517" s="1" t="s">
        <v>2305</v>
      </c>
      <c r="I517" s="2">
        <v>299.2</v>
      </c>
      <c r="J517" s="2">
        <v>10.67</v>
      </c>
      <c r="K517" s="2">
        <v>11.35</v>
      </c>
      <c r="L517" s="2">
        <v>12.21</v>
      </c>
      <c r="M517" s="4">
        <f t="shared" si="48"/>
        <v>26.36123348017621</v>
      </c>
      <c r="N517" s="4">
        <f t="shared" si="49"/>
        <v>24.504504504504503</v>
      </c>
      <c r="O517" s="5">
        <f t="shared" si="50"/>
        <v>6.3730084348641025E-2</v>
      </c>
      <c r="P517" s="5">
        <f t="shared" si="51"/>
        <v>7.577092511013217E-2</v>
      </c>
      <c r="Q517" s="4">
        <f t="shared" si="52"/>
        <v>4.1363876651982396</v>
      </c>
      <c r="R517" s="4">
        <f t="shared" si="53"/>
        <v>3.2340247223968146</v>
      </c>
      <c r="S517" s="4">
        <v>15.13</v>
      </c>
      <c r="T517" s="2">
        <v>0.33</v>
      </c>
      <c r="U517" s="2">
        <v>304.43</v>
      </c>
      <c r="V517" s="2">
        <v>205.81</v>
      </c>
      <c r="W517" s="2">
        <v>0.56999999999999995</v>
      </c>
      <c r="X517" s="2">
        <v>6.52</v>
      </c>
      <c r="Y517" s="2">
        <v>21.26</v>
      </c>
      <c r="Z517" s="2">
        <v>19.2</v>
      </c>
    </row>
    <row r="518" spans="1:26" x14ac:dyDescent="0.25">
      <c r="A518" s="1" t="s">
        <v>2307</v>
      </c>
      <c r="B518" s="1" t="s">
        <v>2308</v>
      </c>
      <c r="C518" s="1" t="s">
        <v>16</v>
      </c>
      <c r="D518" s="1" t="s">
        <v>38</v>
      </c>
      <c r="E518" s="1" t="s">
        <v>1806</v>
      </c>
      <c r="F518" s="1" t="s">
        <v>2309</v>
      </c>
      <c r="G518" s="1" t="s">
        <v>12480</v>
      </c>
      <c r="H518" s="1" t="s">
        <v>2310</v>
      </c>
      <c r="I518" s="2">
        <v>136.94</v>
      </c>
      <c r="J518" s="2">
        <v>6.38</v>
      </c>
      <c r="K518" s="2">
        <v>7.36</v>
      </c>
      <c r="L518" s="2">
        <v>8.5500000000000007</v>
      </c>
      <c r="M518" s="4">
        <f t="shared" si="48"/>
        <v>18.605978260869563</v>
      </c>
      <c r="N518" s="4">
        <f t="shared" si="49"/>
        <v>16.016374269005848</v>
      </c>
      <c r="O518" s="5">
        <f t="shared" si="50"/>
        <v>0.15360501567398122</v>
      </c>
      <c r="P518" s="5">
        <f t="shared" si="51"/>
        <v>0.16168478260869579</v>
      </c>
      <c r="Q518" s="4">
        <f t="shared" si="52"/>
        <v>1.2112871561668144</v>
      </c>
      <c r="R518" s="4">
        <f t="shared" si="53"/>
        <v>0.99059255983094918</v>
      </c>
      <c r="S518" s="4">
        <v>13.37</v>
      </c>
      <c r="T518" s="2">
        <v>1.33</v>
      </c>
      <c r="U518" s="2">
        <v>171.61</v>
      </c>
      <c r="V518" s="2">
        <v>113.94</v>
      </c>
      <c r="W518" s="2">
        <v>-5.54</v>
      </c>
      <c r="X518" s="2">
        <v>-19.91</v>
      </c>
      <c r="Y518" s="2">
        <v>-13.8</v>
      </c>
      <c r="Z518" s="2">
        <v>-14.83</v>
      </c>
    </row>
    <row r="519" spans="1:26" x14ac:dyDescent="0.25">
      <c r="A519" s="1" t="s">
        <v>2311</v>
      </c>
      <c r="B519" s="1" t="s">
        <v>2312</v>
      </c>
      <c r="C519" s="1" t="s">
        <v>45</v>
      </c>
      <c r="D519" s="1" t="s">
        <v>38</v>
      </c>
      <c r="E519" s="1" t="s">
        <v>1093</v>
      </c>
      <c r="F519" s="1" t="s">
        <v>2313</v>
      </c>
      <c r="G519" s="1" t="s">
        <v>12480</v>
      </c>
      <c r="H519" s="1" t="s">
        <v>2314</v>
      </c>
      <c r="I519" s="2">
        <v>49.6</v>
      </c>
      <c r="J519" s="2">
        <v>4.04</v>
      </c>
      <c r="K519" s="2">
        <v>4.09</v>
      </c>
      <c r="L519" s="2">
        <v>4.4400000000000004</v>
      </c>
      <c r="M519" s="4">
        <f t="shared" si="48"/>
        <v>12.127139364303179</v>
      </c>
      <c r="N519" s="4">
        <f t="shared" si="49"/>
        <v>11.171171171171171</v>
      </c>
      <c r="O519" s="5">
        <f t="shared" si="50"/>
        <v>1.2376237623762387E-2</v>
      </c>
      <c r="P519" s="5">
        <f t="shared" si="51"/>
        <v>8.5574572127139481E-2</v>
      </c>
      <c r="Q519" s="4">
        <f t="shared" si="52"/>
        <v>9.7987286063569599</v>
      </c>
      <c r="R519" s="4">
        <f t="shared" si="53"/>
        <v>1.3054311454311434</v>
      </c>
      <c r="S519" s="4">
        <v>2.44</v>
      </c>
      <c r="T519" s="2">
        <v>0.61</v>
      </c>
      <c r="U519" s="2">
        <v>66.11</v>
      </c>
      <c r="V519" s="2">
        <v>49.6</v>
      </c>
      <c r="W519" s="2">
        <v>-4.1399999999999997</v>
      </c>
      <c r="X519" s="2">
        <v>-10.19</v>
      </c>
      <c r="Y519" s="2">
        <v>-7.36</v>
      </c>
      <c r="Z519" s="2">
        <v>-5.24</v>
      </c>
    </row>
    <row r="520" spans="1:26" x14ac:dyDescent="0.25">
      <c r="A520" s="1" t="s">
        <v>2315</v>
      </c>
      <c r="B520" s="1" t="s">
        <v>2316</v>
      </c>
      <c r="C520" s="1" t="s">
        <v>16</v>
      </c>
      <c r="D520" s="1" t="s">
        <v>88</v>
      </c>
      <c r="E520" s="1" t="s">
        <v>504</v>
      </c>
      <c r="F520" s="1" t="s">
        <v>2317</v>
      </c>
      <c r="G520" s="1" t="s">
        <v>12485</v>
      </c>
      <c r="H520" s="1" t="s">
        <v>2318</v>
      </c>
      <c r="I520" s="2">
        <v>69.78</v>
      </c>
      <c r="J520" s="2">
        <v>7.25</v>
      </c>
      <c r="K520" s="2">
        <v>6.27</v>
      </c>
      <c r="L520" s="2">
        <v>6.87</v>
      </c>
      <c r="M520" s="4">
        <f t="shared" si="48"/>
        <v>11.129186602870814</v>
      </c>
      <c r="N520" s="4">
        <f t="shared" si="49"/>
        <v>10.157205240174672</v>
      </c>
      <c r="O520" s="5">
        <f t="shared" si="50"/>
        <v>-0.13517241379310352</v>
      </c>
      <c r="P520" s="5">
        <f t="shared" si="51"/>
        <v>9.5693779904306275E-2</v>
      </c>
      <c r="Q520" s="4">
        <f t="shared" si="52"/>
        <v>-0.82333268235523827</v>
      </c>
      <c r="R520" s="4">
        <f t="shared" si="53"/>
        <v>1.0614279475982527</v>
      </c>
      <c r="S520" s="4">
        <v>-7.04</v>
      </c>
      <c r="T520" s="2">
        <v>0.86</v>
      </c>
      <c r="U520" s="2">
        <v>86.53</v>
      </c>
      <c r="V520" s="2">
        <v>58.71</v>
      </c>
      <c r="W520" s="2">
        <v>-8.5</v>
      </c>
      <c r="X520" s="2">
        <v>-6.45</v>
      </c>
      <c r="Y520" s="2">
        <v>1.57</v>
      </c>
      <c r="Z520" s="2">
        <v>5.28</v>
      </c>
    </row>
    <row r="521" spans="1:26" x14ac:dyDescent="0.25">
      <c r="A521" s="1" t="s">
        <v>2319</v>
      </c>
      <c r="B521" s="1" t="s">
        <v>2320</v>
      </c>
      <c r="C521" s="1" t="s">
        <v>16</v>
      </c>
      <c r="D521" s="1" t="s">
        <v>38</v>
      </c>
      <c r="E521" s="1" t="s">
        <v>52</v>
      </c>
      <c r="F521" s="1" t="s">
        <v>2321</v>
      </c>
      <c r="G521" s="1" t="s">
        <v>12480</v>
      </c>
      <c r="H521" s="1" t="s">
        <v>2322</v>
      </c>
      <c r="I521" s="2">
        <v>58.3</v>
      </c>
      <c r="J521" s="2">
        <v>4.04</v>
      </c>
      <c r="K521" s="2">
        <v>4.66</v>
      </c>
      <c r="L521" s="2">
        <v>5.26</v>
      </c>
      <c r="M521" s="4">
        <f t="shared" si="48"/>
        <v>12.510729613733904</v>
      </c>
      <c r="N521" s="4">
        <f t="shared" si="49"/>
        <v>11.083650190114069</v>
      </c>
      <c r="O521" s="5">
        <f t="shared" si="50"/>
        <v>0.15346534653465338</v>
      </c>
      <c r="P521" s="5">
        <f t="shared" si="51"/>
        <v>0.12875536480686689</v>
      </c>
      <c r="Q521" s="4">
        <f t="shared" si="52"/>
        <v>0.81521528450782266</v>
      </c>
      <c r="R521" s="4">
        <f t="shared" si="53"/>
        <v>0.86083016476552643</v>
      </c>
      <c r="S521" s="4" t="s">
        <v>12839</v>
      </c>
      <c r="T521" s="2">
        <v>0.8</v>
      </c>
      <c r="U521" s="2">
        <v>66.77</v>
      </c>
      <c r="V521" s="2">
        <v>50.88</v>
      </c>
      <c r="W521" s="2">
        <v>-4.3899999999999997</v>
      </c>
      <c r="X521" s="2">
        <v>-12.69</v>
      </c>
      <c r="Y521" s="2">
        <v>-3.12</v>
      </c>
      <c r="Z521" s="2">
        <v>1.5</v>
      </c>
    </row>
    <row r="522" spans="1:26" x14ac:dyDescent="0.25">
      <c r="A522" s="1" t="s">
        <v>2323</v>
      </c>
      <c r="B522" s="1" t="s">
        <v>2324</v>
      </c>
      <c r="C522" s="1" t="s">
        <v>16</v>
      </c>
      <c r="D522" s="1" t="s">
        <v>140</v>
      </c>
      <c r="E522" s="1" t="s">
        <v>1421</v>
      </c>
      <c r="F522" s="1" t="s">
        <v>2325</v>
      </c>
      <c r="G522" s="1" t="s">
        <v>12480</v>
      </c>
      <c r="H522" s="1" t="s">
        <v>2326</v>
      </c>
      <c r="I522" s="2">
        <v>27.54</v>
      </c>
      <c r="J522" s="2">
        <v>3.61</v>
      </c>
      <c r="K522" s="2">
        <v>3.78</v>
      </c>
      <c r="L522" s="2">
        <v>4.32</v>
      </c>
      <c r="M522" s="4">
        <f t="shared" si="48"/>
        <v>7.2857142857142856</v>
      </c>
      <c r="N522" s="4">
        <f t="shared" si="49"/>
        <v>6.3749999999999991</v>
      </c>
      <c r="O522" s="5">
        <f t="shared" si="50"/>
        <v>4.7091412742382266E-2</v>
      </c>
      <c r="P522" s="5">
        <f t="shared" si="51"/>
        <v>0.14285714285714302</v>
      </c>
      <c r="Q522" s="4">
        <f t="shared" si="52"/>
        <v>1.5471428571428574</v>
      </c>
      <c r="R522" s="4">
        <f t="shared" si="53"/>
        <v>0.44624999999999942</v>
      </c>
      <c r="S522" s="4">
        <v>52.08</v>
      </c>
      <c r="T522" s="2">
        <v>0.94</v>
      </c>
      <c r="U522" s="2">
        <v>79.64</v>
      </c>
      <c r="V522" s="2">
        <v>27.28</v>
      </c>
      <c r="W522" s="2">
        <v>-4.38</v>
      </c>
      <c r="X522" s="2">
        <v>-19.690000000000001</v>
      </c>
      <c r="Y522" s="2">
        <v>-48.41</v>
      </c>
      <c r="Z522" s="2">
        <v>-45.41</v>
      </c>
    </row>
    <row r="523" spans="1:26" x14ac:dyDescent="0.25">
      <c r="A523" s="1" t="s">
        <v>2328</v>
      </c>
      <c r="B523" s="1" t="s">
        <v>2329</v>
      </c>
      <c r="C523" s="1" t="s">
        <v>16</v>
      </c>
      <c r="D523" s="1" t="s">
        <v>88</v>
      </c>
      <c r="E523" s="1" t="s">
        <v>504</v>
      </c>
      <c r="F523" s="1" t="s">
        <v>2330</v>
      </c>
      <c r="G523" s="1" t="s">
        <v>12480</v>
      </c>
      <c r="H523" s="1" t="s">
        <v>2331</v>
      </c>
      <c r="I523" s="2">
        <v>17.420000000000002</v>
      </c>
      <c r="J523" s="2">
        <v>0.95</v>
      </c>
      <c r="K523" s="2">
        <v>1.31</v>
      </c>
      <c r="L523" s="2">
        <v>2.2799999999999998</v>
      </c>
      <c r="M523" s="4">
        <f t="shared" si="48"/>
        <v>13.297709923664122</v>
      </c>
      <c r="N523" s="4">
        <f t="shared" si="49"/>
        <v>7.6403508771929838</v>
      </c>
      <c r="O523" s="5">
        <f t="shared" si="50"/>
        <v>0.3789473684210527</v>
      </c>
      <c r="P523" s="5">
        <f t="shared" si="51"/>
        <v>0.74045801526717536</v>
      </c>
      <c r="Q523" s="4">
        <f t="shared" si="52"/>
        <v>0.35091178965224762</v>
      </c>
      <c r="R523" s="4">
        <f t="shared" si="53"/>
        <v>0.10318412009404961</v>
      </c>
      <c r="S523" s="4">
        <v>0.45</v>
      </c>
      <c r="T523" s="2">
        <v>1.6</v>
      </c>
      <c r="U523" s="2">
        <v>21.15</v>
      </c>
      <c r="V523" s="2">
        <v>9.4</v>
      </c>
      <c r="W523" s="2">
        <v>-3.17</v>
      </c>
      <c r="X523" s="2">
        <v>-7.98</v>
      </c>
      <c r="Y523" s="2">
        <v>47.88</v>
      </c>
      <c r="Z523" s="2">
        <v>47.75</v>
      </c>
    </row>
    <row r="524" spans="1:26" x14ac:dyDescent="0.25">
      <c r="A524" s="1" t="s">
        <v>2332</v>
      </c>
      <c r="B524" s="1" t="s">
        <v>2333</v>
      </c>
      <c r="C524" s="1" t="s">
        <v>45</v>
      </c>
      <c r="D524" s="1" t="s">
        <v>38</v>
      </c>
      <c r="E524" s="1" t="s">
        <v>1909</v>
      </c>
      <c r="F524" s="1" t="s">
        <v>2334</v>
      </c>
      <c r="G524" s="1" t="s">
        <v>12480</v>
      </c>
      <c r="H524" s="1" t="s">
        <v>109</v>
      </c>
      <c r="I524" s="2">
        <v>76.7</v>
      </c>
      <c r="J524" s="2">
        <v>3.11</v>
      </c>
      <c r="K524" s="2">
        <v>5.47</v>
      </c>
      <c r="L524" s="2">
        <v>7.85</v>
      </c>
      <c r="M524" s="4">
        <f t="shared" si="48"/>
        <v>14.021937842778794</v>
      </c>
      <c r="N524" s="4">
        <f t="shared" si="49"/>
        <v>9.7707006369426761</v>
      </c>
      <c r="O524" s="5">
        <f t="shared" si="50"/>
        <v>0.7588424437299035</v>
      </c>
      <c r="P524" s="5">
        <f t="shared" si="51"/>
        <v>0.43510054844606949</v>
      </c>
      <c r="Q524" s="4">
        <f t="shared" si="52"/>
        <v>0.18478062157221206</v>
      </c>
      <c r="R524" s="4">
        <f t="shared" si="53"/>
        <v>0.22456190119359848</v>
      </c>
      <c r="S524" s="4">
        <v>-5.99</v>
      </c>
      <c r="T524" s="2">
        <v>0.86</v>
      </c>
      <c r="U524" s="2">
        <v>118.97</v>
      </c>
      <c r="V524" s="2">
        <v>74.19</v>
      </c>
      <c r="W524" s="2">
        <v>2.54</v>
      </c>
      <c r="X524" s="2">
        <v>-12.15</v>
      </c>
      <c r="Y524" s="2">
        <v>-33.61</v>
      </c>
      <c r="Z524" s="2">
        <v>-33.07</v>
      </c>
    </row>
    <row r="525" spans="1:26" x14ac:dyDescent="0.25">
      <c r="A525" s="1" t="s">
        <v>2335</v>
      </c>
      <c r="B525" s="1" t="s">
        <v>2336</v>
      </c>
      <c r="C525" s="1" t="s">
        <v>45</v>
      </c>
      <c r="D525" s="1" t="s">
        <v>32</v>
      </c>
      <c r="E525" s="1" t="s">
        <v>311</v>
      </c>
      <c r="F525" s="1" t="s">
        <v>2337</v>
      </c>
      <c r="G525" s="1" t="s">
        <v>12480</v>
      </c>
      <c r="H525" s="1" t="s">
        <v>2338</v>
      </c>
      <c r="I525" s="2">
        <v>5.94</v>
      </c>
      <c r="J525" s="2">
        <v>0.36</v>
      </c>
      <c r="K525" s="2">
        <v>0.43</v>
      </c>
      <c r="L525" s="2">
        <v>0.49</v>
      </c>
      <c r="M525" s="4">
        <f t="shared" si="48"/>
        <v>13.813953488372094</v>
      </c>
      <c r="N525" s="4">
        <f t="shared" si="49"/>
        <v>12.122448979591837</v>
      </c>
      <c r="O525" s="5">
        <f t="shared" si="50"/>
        <v>0.19444444444444442</v>
      </c>
      <c r="P525" s="5">
        <f t="shared" si="51"/>
        <v>0.13953488372093026</v>
      </c>
      <c r="Q525" s="4">
        <f t="shared" si="52"/>
        <v>0.71043189368770776</v>
      </c>
      <c r="R525" s="4">
        <f t="shared" si="53"/>
        <v>0.8687755102040815</v>
      </c>
      <c r="S525" s="4">
        <v>11.88</v>
      </c>
      <c r="T525" s="2">
        <v>0.73</v>
      </c>
      <c r="U525" s="2">
        <v>10.029999999999999</v>
      </c>
      <c r="V525" s="2">
        <v>4.87</v>
      </c>
      <c r="W525" s="2">
        <v>6.64</v>
      </c>
      <c r="X525" s="2">
        <v>6.45</v>
      </c>
      <c r="Y525" s="2">
        <v>-21.43</v>
      </c>
      <c r="Z525" s="2">
        <v>-25.28</v>
      </c>
    </row>
    <row r="526" spans="1:26" x14ac:dyDescent="0.25">
      <c r="A526" s="1" t="s">
        <v>2339</v>
      </c>
      <c r="B526" s="1" t="s">
        <v>2340</v>
      </c>
      <c r="C526" s="1" t="s">
        <v>31</v>
      </c>
      <c r="D526" s="1" t="s">
        <v>25</v>
      </c>
      <c r="E526" s="1" t="s">
        <v>2342</v>
      </c>
      <c r="F526" s="1" t="s">
        <v>2341</v>
      </c>
      <c r="G526" s="1" t="s">
        <v>12480</v>
      </c>
      <c r="H526" s="1" t="s">
        <v>2343</v>
      </c>
      <c r="I526" s="2">
        <v>63.97</v>
      </c>
      <c r="J526" s="2">
        <v>3.31</v>
      </c>
      <c r="K526" s="2"/>
      <c r="L526" s="2"/>
      <c r="M526" s="4" t="e">
        <f t="shared" si="48"/>
        <v>#DIV/0!</v>
      </c>
      <c r="N526" s="4" t="e">
        <f t="shared" si="49"/>
        <v>#DIV/0!</v>
      </c>
      <c r="O526" s="5">
        <f t="shared" si="50"/>
        <v>-1</v>
      </c>
      <c r="P526" s="5" t="e">
        <f t="shared" si="51"/>
        <v>#DIV/0!</v>
      </c>
      <c r="Q526" s="4" t="e">
        <f t="shared" si="52"/>
        <v>#DIV/0!</v>
      </c>
      <c r="R526" s="4" t="e">
        <f t="shared" si="53"/>
        <v>#DIV/0!</v>
      </c>
      <c r="S526" s="4"/>
      <c r="T526" s="2"/>
      <c r="U526" s="2">
        <v>68.64</v>
      </c>
      <c r="V526" s="2">
        <v>58.81</v>
      </c>
      <c r="W526" s="2">
        <v>-6.78</v>
      </c>
      <c r="X526" s="2">
        <v>1.81</v>
      </c>
      <c r="Y526" s="2">
        <v>4.6500000000000004</v>
      </c>
      <c r="Z526" s="2">
        <v>1.64</v>
      </c>
    </row>
    <row r="527" spans="1:26" x14ac:dyDescent="0.25">
      <c r="A527" s="1" t="s">
        <v>2344</v>
      </c>
      <c r="B527" s="1" t="s">
        <v>2345</v>
      </c>
      <c r="C527" s="1" t="s">
        <v>45</v>
      </c>
      <c r="D527" s="1" t="s">
        <v>46</v>
      </c>
      <c r="E527" s="1" t="s">
        <v>770</v>
      </c>
      <c r="F527" s="1" t="s">
        <v>2346</v>
      </c>
      <c r="G527" s="1" t="s">
        <v>12480</v>
      </c>
      <c r="H527" s="1" t="s">
        <v>2347</v>
      </c>
      <c r="I527" s="2">
        <v>21.36</v>
      </c>
      <c r="J527" s="2">
        <v>1.92</v>
      </c>
      <c r="K527" s="2">
        <v>2.17</v>
      </c>
      <c r="L527" s="2">
        <v>3.59</v>
      </c>
      <c r="M527" s="4">
        <f t="shared" si="48"/>
        <v>9.8433179723502313</v>
      </c>
      <c r="N527" s="4">
        <f t="shared" si="49"/>
        <v>5.9498607242339832</v>
      </c>
      <c r="O527" s="5">
        <f t="shared" si="50"/>
        <v>0.13020833333333326</v>
      </c>
      <c r="P527" s="5">
        <f t="shared" si="51"/>
        <v>0.65437788018433185</v>
      </c>
      <c r="Q527" s="4">
        <f t="shared" si="52"/>
        <v>0.7559668202764982</v>
      </c>
      <c r="R527" s="4">
        <f t="shared" si="53"/>
        <v>9.0923927968927773E-2</v>
      </c>
      <c r="S527" s="4">
        <v>6.31</v>
      </c>
      <c r="T527" s="2">
        <v>0.66</v>
      </c>
      <c r="U527" s="2">
        <v>24.75</v>
      </c>
      <c r="V527" s="2">
        <v>16.510000000000002</v>
      </c>
      <c r="W527" s="2">
        <v>-7.73</v>
      </c>
      <c r="X527" s="2">
        <v>2.69</v>
      </c>
      <c r="Y527" s="2">
        <v>3.09</v>
      </c>
      <c r="Z527" s="2">
        <v>2.35</v>
      </c>
    </row>
    <row r="528" spans="1:26" x14ac:dyDescent="0.25">
      <c r="A528" s="1" t="s">
        <v>2348</v>
      </c>
      <c r="B528" s="1" t="s">
        <v>2349</v>
      </c>
      <c r="C528" s="1" t="s">
        <v>45</v>
      </c>
      <c r="D528" s="1" t="s">
        <v>128</v>
      </c>
      <c r="E528" s="1" t="s">
        <v>2351</v>
      </c>
      <c r="F528" s="1" t="s">
        <v>2350</v>
      </c>
      <c r="G528" s="1" t="s">
        <v>12480</v>
      </c>
      <c r="H528" s="1" t="s">
        <v>2352</v>
      </c>
      <c r="I528" s="2">
        <v>101.6</v>
      </c>
      <c r="J528" s="2">
        <v>4.6500000000000004</v>
      </c>
      <c r="K528" s="2">
        <v>5.04</v>
      </c>
      <c r="L528" s="2">
        <v>5.57</v>
      </c>
      <c r="M528" s="4">
        <f t="shared" si="48"/>
        <v>20.158730158730158</v>
      </c>
      <c r="N528" s="4">
        <f t="shared" si="49"/>
        <v>18.240574506283661</v>
      </c>
      <c r="O528" s="5">
        <f t="shared" si="50"/>
        <v>8.3870967741935365E-2</v>
      </c>
      <c r="P528" s="5">
        <f t="shared" si="51"/>
        <v>0.10515873015873023</v>
      </c>
      <c r="Q528" s="4">
        <f t="shared" si="52"/>
        <v>2.4035409035409065</v>
      </c>
      <c r="R528" s="4">
        <f t="shared" si="53"/>
        <v>1.7345753870126337</v>
      </c>
      <c r="S528" s="4">
        <v>6.89</v>
      </c>
      <c r="T528" s="2">
        <v>0.5</v>
      </c>
      <c r="U528" s="2">
        <v>110.43</v>
      </c>
      <c r="V528" s="2">
        <v>80.95</v>
      </c>
      <c r="W528" s="2">
        <v>-6.04</v>
      </c>
      <c r="X528" s="2">
        <v>5.12</v>
      </c>
      <c r="Y528" s="2">
        <v>10.51</v>
      </c>
      <c r="Z528" s="2">
        <v>12.02</v>
      </c>
    </row>
    <row r="529" spans="1:26" x14ac:dyDescent="0.25">
      <c r="A529" s="1" t="s">
        <v>2353</v>
      </c>
      <c r="B529" s="1" t="s">
        <v>2354</v>
      </c>
      <c r="C529" s="1" t="s">
        <v>31</v>
      </c>
      <c r="D529" s="1" t="s">
        <v>128</v>
      </c>
      <c r="E529" s="1" t="s">
        <v>2351</v>
      </c>
      <c r="F529" s="1" t="s">
        <v>2355</v>
      </c>
      <c r="G529" s="1" t="s">
        <v>12480</v>
      </c>
      <c r="H529" s="1" t="s">
        <v>2356</v>
      </c>
      <c r="I529" s="2">
        <v>60.908000000000001</v>
      </c>
      <c r="J529" s="2">
        <v>3.08</v>
      </c>
      <c r="K529" s="2">
        <v>3.49</v>
      </c>
      <c r="L529" s="2">
        <v>3.9</v>
      </c>
      <c r="M529" s="4">
        <f t="shared" si="48"/>
        <v>17.452148997134671</v>
      </c>
      <c r="N529" s="4">
        <f t="shared" si="49"/>
        <v>15.617435897435898</v>
      </c>
      <c r="O529" s="5">
        <f t="shared" si="50"/>
        <v>0.13311688311688319</v>
      </c>
      <c r="P529" s="5">
        <f t="shared" si="51"/>
        <v>0.11747851002865328</v>
      </c>
      <c r="Q529" s="4">
        <f t="shared" si="52"/>
        <v>1.3110394856384089</v>
      </c>
      <c r="R529" s="4">
        <f t="shared" si="53"/>
        <v>1.3293866166353974</v>
      </c>
      <c r="S529" s="4">
        <v>12.78</v>
      </c>
      <c r="T529" s="2">
        <v>0.56999999999999995</v>
      </c>
      <c r="U529" s="2">
        <v>65.48</v>
      </c>
      <c r="V529" s="2">
        <v>42.46</v>
      </c>
      <c r="W529" s="2">
        <v>-4.38</v>
      </c>
      <c r="X529" s="2">
        <v>4.08</v>
      </c>
      <c r="Y529" s="2">
        <v>21.74</v>
      </c>
      <c r="Z529" s="2">
        <v>18.13</v>
      </c>
    </row>
    <row r="530" spans="1:26" x14ac:dyDescent="0.25">
      <c r="A530" s="1" t="s">
        <v>2357</v>
      </c>
      <c r="B530" s="1" t="s">
        <v>2358</v>
      </c>
      <c r="C530" s="1" t="s">
        <v>16</v>
      </c>
      <c r="D530" s="1" t="s">
        <v>38</v>
      </c>
      <c r="E530" s="1" t="s">
        <v>510</v>
      </c>
      <c r="F530" s="1" t="s">
        <v>2359</v>
      </c>
      <c r="G530" s="1" t="s">
        <v>12480</v>
      </c>
      <c r="H530" s="1" t="s">
        <v>2360</v>
      </c>
      <c r="I530" s="2">
        <v>89.73</v>
      </c>
      <c r="J530" s="2">
        <v>4.3600000000000003</v>
      </c>
      <c r="K530" s="2">
        <v>4.47</v>
      </c>
      <c r="L530" s="2">
        <v>5.08</v>
      </c>
      <c r="M530" s="4">
        <f t="shared" si="48"/>
        <v>20.073825503355707</v>
      </c>
      <c r="N530" s="4">
        <f t="shared" si="49"/>
        <v>17.663385826771655</v>
      </c>
      <c r="O530" s="5">
        <f t="shared" si="50"/>
        <v>2.5229357798165042E-2</v>
      </c>
      <c r="P530" s="5">
        <f t="shared" si="51"/>
        <v>0.13646532438478753</v>
      </c>
      <c r="Q530" s="4">
        <f t="shared" si="52"/>
        <v>7.9565344722392011</v>
      </c>
      <c r="R530" s="4">
        <f t="shared" si="53"/>
        <v>1.29434974828966</v>
      </c>
      <c r="S530" s="4">
        <v>-35.08</v>
      </c>
      <c r="T530" s="2">
        <v>0.96</v>
      </c>
      <c r="U530" s="2">
        <v>113.91</v>
      </c>
      <c r="V530" s="2">
        <v>78.37</v>
      </c>
      <c r="W530" s="2">
        <v>0.22</v>
      </c>
      <c r="X530" s="2" t="s">
        <v>12497</v>
      </c>
      <c r="Y530" s="2">
        <v>0.27</v>
      </c>
      <c r="Z530" s="2">
        <v>0.97</v>
      </c>
    </row>
    <row r="531" spans="1:26" x14ac:dyDescent="0.25">
      <c r="A531" s="1" t="s">
        <v>2361</v>
      </c>
      <c r="B531" s="1" t="s">
        <v>2362</v>
      </c>
      <c r="C531" s="1" t="s">
        <v>16</v>
      </c>
      <c r="D531" s="1" t="s">
        <v>94</v>
      </c>
      <c r="E531" s="1" t="s">
        <v>95</v>
      </c>
      <c r="F531" s="1" t="s">
        <v>2363</v>
      </c>
      <c r="G531" s="1" t="s">
        <v>12480</v>
      </c>
      <c r="H531" s="1" t="s">
        <v>2364</v>
      </c>
      <c r="I531" s="2">
        <v>116.14</v>
      </c>
      <c r="J531" s="2">
        <v>1.03</v>
      </c>
      <c r="K531" s="2">
        <v>1.57</v>
      </c>
      <c r="L531" s="2">
        <v>1.78</v>
      </c>
      <c r="M531" s="4">
        <f t="shared" si="48"/>
        <v>73.974522292993626</v>
      </c>
      <c r="N531" s="4">
        <f t="shared" si="49"/>
        <v>65.247191011235955</v>
      </c>
      <c r="O531" s="5">
        <f t="shared" si="50"/>
        <v>0.52427184466019416</v>
      </c>
      <c r="P531" s="5">
        <f t="shared" si="51"/>
        <v>0.13375796178343946</v>
      </c>
      <c r="Q531" s="4">
        <f t="shared" si="52"/>
        <v>1.4109955178108042</v>
      </c>
      <c r="R531" s="4">
        <f t="shared" si="53"/>
        <v>4.8780042803638315</v>
      </c>
      <c r="S531" s="4">
        <v>8.8699999999999992</v>
      </c>
      <c r="T531" s="2">
        <v>0.98</v>
      </c>
      <c r="U531" s="2">
        <v>134.09</v>
      </c>
      <c r="V531" s="2">
        <v>36.68</v>
      </c>
      <c r="W531" s="2">
        <v>-7.63</v>
      </c>
      <c r="X531" s="2">
        <v>-3.76</v>
      </c>
      <c r="Y531" s="2">
        <v>29.36</v>
      </c>
      <c r="Z531" s="2">
        <v>26.94</v>
      </c>
    </row>
    <row r="532" spans="1:26" x14ac:dyDescent="0.25">
      <c r="A532" s="1" t="s">
        <v>2365</v>
      </c>
      <c r="B532" s="1" t="s">
        <v>2366</v>
      </c>
      <c r="C532" s="1" t="s">
        <v>16</v>
      </c>
      <c r="D532" s="1" t="s">
        <v>25</v>
      </c>
      <c r="E532" s="1" t="s">
        <v>729</v>
      </c>
      <c r="F532" s="1" t="s">
        <v>2367</v>
      </c>
      <c r="G532" s="1" t="s">
        <v>12480</v>
      </c>
      <c r="H532" s="1" t="s">
        <v>2368</v>
      </c>
      <c r="I532" s="2">
        <v>105.12</v>
      </c>
      <c r="J532" s="2">
        <v>7.79</v>
      </c>
      <c r="K532" s="2">
        <v>8.11</v>
      </c>
      <c r="L532" s="2">
        <v>8.92</v>
      </c>
      <c r="M532" s="4">
        <f t="shared" si="48"/>
        <v>12.961775585696673</v>
      </c>
      <c r="N532" s="4">
        <f t="shared" si="49"/>
        <v>11.784753363228701</v>
      </c>
      <c r="O532" s="5">
        <f t="shared" si="50"/>
        <v>4.1078305519897329E-2</v>
      </c>
      <c r="P532" s="5">
        <f t="shared" si="51"/>
        <v>9.9876695437731255E-2</v>
      </c>
      <c r="Q532" s="4">
        <f t="shared" si="52"/>
        <v>3.1553822441430319</v>
      </c>
      <c r="R532" s="4">
        <f t="shared" si="53"/>
        <v>1.1799302441454902</v>
      </c>
      <c r="S532" s="4">
        <v>4.78</v>
      </c>
      <c r="T532" s="2">
        <v>0.7</v>
      </c>
      <c r="U532" s="2">
        <v>116.11</v>
      </c>
      <c r="V532" s="2">
        <v>78.47</v>
      </c>
      <c r="W532" s="2">
        <v>-9.4700000000000006</v>
      </c>
      <c r="X532" s="2">
        <v>-4.6900000000000004</v>
      </c>
      <c r="Y532" s="2">
        <v>3.82</v>
      </c>
      <c r="Z532" s="2">
        <v>2.09</v>
      </c>
    </row>
    <row r="533" spans="1:26" x14ac:dyDescent="0.25">
      <c r="A533" s="1" t="s">
        <v>2370</v>
      </c>
      <c r="B533" s="1" t="s">
        <v>2371</v>
      </c>
      <c r="C533" s="1" t="s">
        <v>16</v>
      </c>
      <c r="D533" s="1" t="s">
        <v>147</v>
      </c>
      <c r="E533" s="1" t="s">
        <v>148</v>
      </c>
      <c r="F533" s="1" t="s">
        <v>2372</v>
      </c>
      <c r="G533" s="1" t="s">
        <v>12499</v>
      </c>
      <c r="H533" s="1" t="s">
        <v>12605</v>
      </c>
      <c r="I533" s="2">
        <v>26.39</v>
      </c>
      <c r="J533" s="2">
        <v>2.25</v>
      </c>
      <c r="K533" s="2">
        <v>2.52</v>
      </c>
      <c r="L533" s="2">
        <v>2.77</v>
      </c>
      <c r="M533" s="4">
        <f t="shared" si="48"/>
        <v>10.472222222222223</v>
      </c>
      <c r="N533" s="4">
        <f t="shared" si="49"/>
        <v>9.5270758122743686</v>
      </c>
      <c r="O533" s="5">
        <f t="shared" si="50"/>
        <v>0.12000000000000011</v>
      </c>
      <c r="P533" s="5">
        <f t="shared" si="51"/>
        <v>9.9206349206349298E-2</v>
      </c>
      <c r="Q533" s="4">
        <f t="shared" si="52"/>
        <v>0.87268518518518445</v>
      </c>
      <c r="R533" s="4">
        <f t="shared" si="53"/>
        <v>0.96032924187725544</v>
      </c>
      <c r="S533" s="4">
        <v>6.4</v>
      </c>
      <c r="T533" s="2">
        <v>2.42</v>
      </c>
      <c r="U533" s="2">
        <v>33.99</v>
      </c>
      <c r="V533" s="2">
        <v>16.43</v>
      </c>
      <c r="W533" s="2">
        <v>-9.44</v>
      </c>
      <c r="X533" s="2">
        <v>-19.57</v>
      </c>
      <c r="Y533" s="2">
        <v>-7.73</v>
      </c>
      <c r="Z533" s="2">
        <v>-13.59</v>
      </c>
    </row>
    <row r="534" spans="1:26" x14ac:dyDescent="0.25">
      <c r="A534" s="1" t="s">
        <v>2373</v>
      </c>
      <c r="B534" s="1" t="s">
        <v>2374</v>
      </c>
      <c r="C534" s="1" t="s">
        <v>16</v>
      </c>
      <c r="D534" s="1" t="s">
        <v>140</v>
      </c>
      <c r="E534" s="1" t="s">
        <v>2376</v>
      </c>
      <c r="F534" s="1" t="s">
        <v>2375</v>
      </c>
      <c r="G534" s="1" t="s">
        <v>12480</v>
      </c>
      <c r="H534" s="1" t="s">
        <v>2377</v>
      </c>
      <c r="I534" s="2">
        <v>2.37</v>
      </c>
      <c r="J534" s="2">
        <v>0.04</v>
      </c>
      <c r="K534" s="2">
        <v>-0.04</v>
      </c>
      <c r="L534" s="2" t="s">
        <v>12489</v>
      </c>
      <c r="M534" s="4">
        <f t="shared" si="48"/>
        <v>-59.25</v>
      </c>
      <c r="N534" s="4" t="e">
        <f t="shared" si="49"/>
        <v>#DIV/0!</v>
      </c>
      <c r="O534" s="5">
        <f t="shared" si="50"/>
        <v>-2</v>
      </c>
      <c r="P534" s="5">
        <f t="shared" si="51"/>
        <v>-1</v>
      </c>
      <c r="Q534" s="4">
        <f t="shared" si="52"/>
        <v>0.29625000000000001</v>
      </c>
      <c r="R534" s="4" t="e">
        <f t="shared" si="53"/>
        <v>#DIV/0!</v>
      </c>
      <c r="S534" s="4">
        <v>6.57</v>
      </c>
      <c r="T534" s="2">
        <v>2.2999999999999998</v>
      </c>
      <c r="U534" s="2">
        <v>2.41</v>
      </c>
      <c r="V534" s="2">
        <v>0.85</v>
      </c>
      <c r="W534" s="2">
        <v>-0.84</v>
      </c>
      <c r="X534" s="2">
        <v>8.2200000000000006</v>
      </c>
      <c r="Y534" s="2">
        <v>18.5</v>
      </c>
      <c r="Z534" s="2">
        <v>7.24</v>
      </c>
    </row>
    <row r="535" spans="1:26" x14ac:dyDescent="0.25">
      <c r="A535" s="1" t="s">
        <v>2378</v>
      </c>
      <c r="B535" s="1" t="s">
        <v>2379</v>
      </c>
      <c r="C535" s="1" t="s">
        <v>31</v>
      </c>
      <c r="D535" s="1" t="s">
        <v>147</v>
      </c>
      <c r="E535" s="1" t="s">
        <v>2000</v>
      </c>
      <c r="F535" s="1" t="s">
        <v>2380</v>
      </c>
      <c r="G535" s="1" t="s">
        <v>12490</v>
      </c>
      <c r="H535" s="1" t="s">
        <v>2381</v>
      </c>
      <c r="I535" s="2">
        <v>10.85</v>
      </c>
      <c r="J535" s="2">
        <v>0.38</v>
      </c>
      <c r="K535" s="2">
        <v>0.41</v>
      </c>
      <c r="L535" s="2">
        <v>0.47</v>
      </c>
      <c r="M535" s="4">
        <f t="shared" si="48"/>
        <v>26.463414634146343</v>
      </c>
      <c r="N535" s="4">
        <f t="shared" si="49"/>
        <v>23.085106382978722</v>
      </c>
      <c r="O535" s="5">
        <f t="shared" si="50"/>
        <v>7.8947368421052655E-2</v>
      </c>
      <c r="P535" s="5">
        <f t="shared" si="51"/>
        <v>0.14634146341463405</v>
      </c>
      <c r="Q535" s="4">
        <f t="shared" si="52"/>
        <v>3.3520325203252024</v>
      </c>
      <c r="R535" s="4">
        <f t="shared" si="53"/>
        <v>1.5774822695035469</v>
      </c>
      <c r="S535" s="4">
        <v>5.5</v>
      </c>
      <c r="T535" s="2">
        <v>0.73</v>
      </c>
      <c r="U535" s="2">
        <v>17.100000000000001</v>
      </c>
      <c r="V535" s="2">
        <v>9.82</v>
      </c>
      <c r="W535" s="2">
        <v>-4.99</v>
      </c>
      <c r="X535" s="2">
        <v>8.18</v>
      </c>
      <c r="Y535" s="2">
        <v>-5.57</v>
      </c>
      <c r="Z535" s="2">
        <v>-5.98</v>
      </c>
    </row>
    <row r="536" spans="1:26" x14ac:dyDescent="0.25">
      <c r="A536" s="1" t="s">
        <v>2382</v>
      </c>
      <c r="B536" s="1" t="s">
        <v>2383</v>
      </c>
      <c r="C536" s="1" t="s">
        <v>45</v>
      </c>
      <c r="D536" s="1" t="s">
        <v>32</v>
      </c>
      <c r="E536" s="1" t="s">
        <v>264</v>
      </c>
      <c r="F536" s="1" t="s">
        <v>2384</v>
      </c>
      <c r="G536" s="1" t="s">
        <v>12480</v>
      </c>
      <c r="H536" s="1" t="s">
        <v>2385</v>
      </c>
      <c r="I536" s="2">
        <v>22.5</v>
      </c>
      <c r="J536" s="2">
        <v>-3.8</v>
      </c>
      <c r="K536" s="2">
        <v>-3.74</v>
      </c>
      <c r="L536" s="2">
        <v>-2.57</v>
      </c>
      <c r="M536" s="4">
        <f t="shared" si="48"/>
        <v>-6.0160427807486627</v>
      </c>
      <c r="N536" s="4">
        <f t="shared" si="49"/>
        <v>-8.7548638132295729</v>
      </c>
      <c r="O536" s="5">
        <f t="shared" si="50"/>
        <v>-1.5789473684210464E-2</v>
      </c>
      <c r="P536" s="5">
        <f t="shared" si="51"/>
        <v>-0.31283422459893051</v>
      </c>
      <c r="Q536" s="4">
        <f t="shared" si="52"/>
        <v>3.8101604278075012</v>
      </c>
      <c r="R536" s="4">
        <f t="shared" si="53"/>
        <v>0.27985633043998803</v>
      </c>
      <c r="S536" s="4">
        <v>-5.82</v>
      </c>
      <c r="T536" s="2">
        <v>0.84</v>
      </c>
      <c r="U536" s="2">
        <v>71.59</v>
      </c>
      <c r="V536" s="2">
        <v>16.68</v>
      </c>
      <c r="W536" s="2">
        <v>1.4</v>
      </c>
      <c r="X536" s="2">
        <v>-10.25</v>
      </c>
      <c r="Y536" s="2">
        <v>-1.49</v>
      </c>
      <c r="Z536" s="2">
        <v>4.3600000000000003</v>
      </c>
    </row>
    <row r="537" spans="1:26" x14ac:dyDescent="0.25">
      <c r="A537" s="1" t="s">
        <v>2386</v>
      </c>
      <c r="B537" s="1" t="s">
        <v>2387</v>
      </c>
      <c r="C537" s="1" t="s">
        <v>31</v>
      </c>
      <c r="D537" s="1" t="s">
        <v>94</v>
      </c>
      <c r="E537" s="1" t="s">
        <v>1027</v>
      </c>
      <c r="F537" s="1" t="s">
        <v>2388</v>
      </c>
      <c r="G537" s="1" t="s">
        <v>12480</v>
      </c>
      <c r="H537" s="1" t="s">
        <v>2389</v>
      </c>
      <c r="I537" s="2">
        <v>30.824999999999999</v>
      </c>
      <c r="J537" s="2">
        <v>4.3</v>
      </c>
      <c r="K537" s="2"/>
      <c r="L537" s="2"/>
      <c r="M537" s="4" t="e">
        <f t="shared" si="48"/>
        <v>#DIV/0!</v>
      </c>
      <c r="N537" s="4" t="e">
        <f t="shared" si="49"/>
        <v>#DIV/0!</v>
      </c>
      <c r="O537" s="5">
        <f t="shared" si="50"/>
        <v>-1</v>
      </c>
      <c r="P537" s="5" t="e">
        <f t="shared" si="51"/>
        <v>#DIV/0!</v>
      </c>
      <c r="Q537" s="4" t="e">
        <f t="shared" si="52"/>
        <v>#DIV/0!</v>
      </c>
      <c r="R537" s="4" t="e">
        <f t="shared" si="53"/>
        <v>#DIV/0!</v>
      </c>
      <c r="S537" s="4">
        <v>-3.51</v>
      </c>
      <c r="T537" s="2">
        <v>-0.17</v>
      </c>
      <c r="U537" s="2">
        <v>30.83</v>
      </c>
      <c r="V537" s="2">
        <v>18.64</v>
      </c>
      <c r="W537" s="2" t="s">
        <v>12489</v>
      </c>
      <c r="X537" s="2" t="s">
        <v>12489</v>
      </c>
      <c r="Y537" s="2">
        <v>12.09</v>
      </c>
      <c r="Z537" s="2">
        <v>12.09</v>
      </c>
    </row>
    <row r="538" spans="1:26" x14ac:dyDescent="0.25">
      <c r="A538" s="1" t="s">
        <v>2391</v>
      </c>
      <c r="B538" s="1" t="s">
        <v>2392</v>
      </c>
      <c r="C538" s="1" t="s">
        <v>16</v>
      </c>
      <c r="D538" s="1" t="s">
        <v>61</v>
      </c>
      <c r="E538" s="1" t="s">
        <v>2394</v>
      </c>
      <c r="F538" s="1" t="s">
        <v>2393</v>
      </c>
      <c r="G538" s="1" t="s">
        <v>12480</v>
      </c>
      <c r="H538" s="1" t="s">
        <v>12607</v>
      </c>
      <c r="I538" s="2">
        <v>59.98</v>
      </c>
      <c r="J538" s="2">
        <v>5.99</v>
      </c>
      <c r="K538" s="2">
        <v>4.6399999999999997</v>
      </c>
      <c r="L538" s="2">
        <v>7.57</v>
      </c>
      <c r="M538" s="4">
        <f t="shared" si="48"/>
        <v>12.926724137931036</v>
      </c>
      <c r="N538" s="4">
        <f t="shared" si="49"/>
        <v>7.9233817701453093</v>
      </c>
      <c r="O538" s="5">
        <f t="shared" si="50"/>
        <v>-0.22537562604340577</v>
      </c>
      <c r="P538" s="5">
        <f t="shared" si="51"/>
        <v>0.63146551724137945</v>
      </c>
      <c r="Q538" s="4">
        <f t="shared" si="52"/>
        <v>-0.57356353767560642</v>
      </c>
      <c r="R538" s="4">
        <f t="shared" si="53"/>
        <v>0.12547607990946835</v>
      </c>
      <c r="S538" s="4">
        <v>-6.38</v>
      </c>
      <c r="T538" s="2">
        <v>1.54</v>
      </c>
      <c r="U538" s="2">
        <v>74.84</v>
      </c>
      <c r="V538" s="2">
        <v>51.04</v>
      </c>
      <c r="W538" s="2">
        <v>-9.11</v>
      </c>
      <c r="X538" s="2">
        <v>-14.11</v>
      </c>
      <c r="Y538" s="2">
        <v>-4.58</v>
      </c>
      <c r="Z538" s="2">
        <v>1.06</v>
      </c>
    </row>
    <row r="539" spans="1:26" x14ac:dyDescent="0.25">
      <c r="A539" s="1" t="s">
        <v>2395</v>
      </c>
      <c r="B539" s="1" t="s">
        <v>2396</v>
      </c>
      <c r="C539" s="1" t="s">
        <v>16</v>
      </c>
      <c r="D539" s="1" t="s">
        <v>128</v>
      </c>
      <c r="E539" s="1" t="s">
        <v>129</v>
      </c>
      <c r="F539" s="1" t="s">
        <v>2397</v>
      </c>
      <c r="G539" s="1" t="s">
        <v>12480</v>
      </c>
      <c r="H539" s="1" t="s">
        <v>2398</v>
      </c>
      <c r="I539" s="2">
        <v>11.88</v>
      </c>
      <c r="J539" s="2">
        <v>0.67</v>
      </c>
      <c r="K539" s="2">
        <v>0.79</v>
      </c>
      <c r="L539" s="2">
        <v>0.89</v>
      </c>
      <c r="M539" s="4">
        <f t="shared" si="48"/>
        <v>15.037974683544304</v>
      </c>
      <c r="N539" s="4">
        <f t="shared" si="49"/>
        <v>13.348314606741575</v>
      </c>
      <c r="O539" s="5">
        <f t="shared" si="50"/>
        <v>0.17910447761194037</v>
      </c>
      <c r="P539" s="5">
        <f t="shared" si="51"/>
        <v>0.12658227848101267</v>
      </c>
      <c r="Q539" s="4">
        <f t="shared" si="52"/>
        <v>0.83962025316455668</v>
      </c>
      <c r="R539" s="4">
        <f t="shared" si="53"/>
        <v>1.0545168539325844</v>
      </c>
      <c r="S539" s="4">
        <v>-0.61</v>
      </c>
      <c r="T539" s="2">
        <v>0.5</v>
      </c>
      <c r="U539" s="2">
        <v>15.62</v>
      </c>
      <c r="V539" s="2">
        <v>11.53</v>
      </c>
      <c r="W539" s="2">
        <v>-8.69</v>
      </c>
      <c r="X539" s="2">
        <v>-19.73</v>
      </c>
      <c r="Y539" s="2">
        <v>-9.17</v>
      </c>
      <c r="Z539" s="2">
        <v>-6.9</v>
      </c>
    </row>
    <row r="540" spans="1:26" x14ac:dyDescent="0.25">
      <c r="A540" s="1" t="s">
        <v>2399</v>
      </c>
      <c r="B540" s="1" t="s">
        <v>2400</v>
      </c>
      <c r="C540" s="1" t="s">
        <v>16</v>
      </c>
      <c r="D540" s="1" t="s">
        <v>88</v>
      </c>
      <c r="E540" s="1" t="s">
        <v>2402</v>
      </c>
      <c r="F540" s="1" t="s">
        <v>2401</v>
      </c>
      <c r="G540" s="1" t="s">
        <v>12480</v>
      </c>
      <c r="H540" s="1" t="s">
        <v>2403</v>
      </c>
      <c r="I540" s="2">
        <v>22.7</v>
      </c>
      <c r="J540" s="2">
        <v>0.8</v>
      </c>
      <c r="K540" s="2">
        <v>1.95</v>
      </c>
      <c r="L540" s="2">
        <v>1.83</v>
      </c>
      <c r="M540" s="4">
        <f t="shared" si="48"/>
        <v>11.641025641025641</v>
      </c>
      <c r="N540" s="4">
        <f t="shared" si="49"/>
        <v>12.404371584699453</v>
      </c>
      <c r="O540" s="5">
        <f t="shared" si="50"/>
        <v>1.4375</v>
      </c>
      <c r="P540" s="5">
        <f t="shared" si="51"/>
        <v>-6.1538461538461431E-2</v>
      </c>
      <c r="Q540" s="4">
        <f t="shared" si="52"/>
        <v>8.0981047937569675E-2</v>
      </c>
      <c r="R540" s="4">
        <f t="shared" si="53"/>
        <v>-2.0157103825136646</v>
      </c>
      <c r="S540" s="4">
        <v>96.41</v>
      </c>
      <c r="T540" s="2">
        <v>1.1599999999999999</v>
      </c>
      <c r="U540" s="2">
        <v>27.15</v>
      </c>
      <c r="V540" s="2">
        <v>4.8099999999999996</v>
      </c>
      <c r="W540" s="2">
        <v>-15.74</v>
      </c>
      <c r="X540" s="2">
        <v>-1.43</v>
      </c>
      <c r="Y540" s="2">
        <v>34.24</v>
      </c>
      <c r="Z540" s="2">
        <v>27.31</v>
      </c>
    </row>
    <row r="541" spans="1:26" x14ac:dyDescent="0.25">
      <c r="A541" s="1" t="s">
        <v>2404</v>
      </c>
      <c r="B541" s="1" t="s">
        <v>2405</v>
      </c>
      <c r="C541" s="1" t="s">
        <v>31</v>
      </c>
      <c r="D541" s="1" t="s">
        <v>38</v>
      </c>
      <c r="E541" s="1" t="s">
        <v>1806</v>
      </c>
      <c r="F541" s="1" t="s">
        <v>2406</v>
      </c>
      <c r="G541" s="1" t="s">
        <v>12480</v>
      </c>
      <c r="H541" s="1" t="s">
        <v>2407</v>
      </c>
      <c r="I541" s="2">
        <v>6.93</v>
      </c>
      <c r="J541" s="2">
        <v>0.53</v>
      </c>
      <c r="K541" s="2">
        <v>0.17</v>
      </c>
      <c r="L541" s="2">
        <v>0.21</v>
      </c>
      <c r="M541" s="4">
        <f t="shared" si="48"/>
        <v>40.764705882352935</v>
      </c>
      <c r="N541" s="4">
        <f t="shared" si="49"/>
        <v>33</v>
      </c>
      <c r="O541" s="5">
        <f t="shared" si="50"/>
        <v>-0.679245283018868</v>
      </c>
      <c r="P541" s="5">
        <f t="shared" si="51"/>
        <v>0.23529411764705865</v>
      </c>
      <c r="Q541" s="4">
        <f t="shared" si="52"/>
        <v>-0.60014705882352926</v>
      </c>
      <c r="R541" s="4">
        <f t="shared" si="53"/>
        <v>1.402500000000001</v>
      </c>
      <c r="S541" s="4">
        <v>12.17</v>
      </c>
      <c r="T541" s="2">
        <v>0.23</v>
      </c>
      <c r="U541" s="2">
        <v>8.1999999999999993</v>
      </c>
      <c r="V541" s="2">
        <v>3.26</v>
      </c>
      <c r="W541" s="2">
        <v>-7.2</v>
      </c>
      <c r="X541" s="2">
        <v>-10.119999999999999</v>
      </c>
      <c r="Y541" s="2">
        <v>23.53</v>
      </c>
      <c r="Z541" s="2">
        <v>15.89</v>
      </c>
    </row>
    <row r="542" spans="1:26" x14ac:dyDescent="0.25">
      <c r="A542" s="1" t="s">
        <v>2408</v>
      </c>
      <c r="B542" s="1" t="s">
        <v>2409</v>
      </c>
      <c r="C542" s="1" t="s">
        <v>16</v>
      </c>
      <c r="D542" s="1" t="s">
        <v>46</v>
      </c>
      <c r="E542" s="1" t="s">
        <v>770</v>
      </c>
      <c r="F542" s="1" t="s">
        <v>2410</v>
      </c>
      <c r="G542" s="1" t="s">
        <v>12480</v>
      </c>
      <c r="H542" s="1" t="s">
        <v>2411</v>
      </c>
      <c r="I542" s="2">
        <v>24.57</v>
      </c>
      <c r="J542" s="2">
        <v>0.82</v>
      </c>
      <c r="K542" s="2"/>
      <c r="L542" s="2"/>
      <c r="M542" s="4" t="e">
        <f t="shared" si="48"/>
        <v>#DIV/0!</v>
      </c>
      <c r="N542" s="4" t="e">
        <f t="shared" si="49"/>
        <v>#DIV/0!</v>
      </c>
      <c r="O542" s="5">
        <f t="shared" si="50"/>
        <v>-1</v>
      </c>
      <c r="P542" s="5" t="e">
        <f t="shared" si="51"/>
        <v>#DIV/0!</v>
      </c>
      <c r="Q542" s="4" t="e">
        <f t="shared" si="52"/>
        <v>#DIV/0!</v>
      </c>
      <c r="R542" s="4" t="e">
        <f t="shared" si="53"/>
        <v>#DIV/0!</v>
      </c>
      <c r="S542" s="4">
        <v>128.99</v>
      </c>
      <c r="T542" s="2">
        <v>0.13</v>
      </c>
      <c r="U542" s="2">
        <v>26.64</v>
      </c>
      <c r="V542" s="2">
        <v>15.92</v>
      </c>
      <c r="W542" s="2">
        <v>-6.61</v>
      </c>
      <c r="X542" s="2">
        <v>-4.25</v>
      </c>
      <c r="Y542" s="2">
        <v>34.93</v>
      </c>
      <c r="Z542" s="2">
        <v>32.17</v>
      </c>
    </row>
    <row r="543" spans="1:26" x14ac:dyDescent="0.25">
      <c r="A543" s="1" t="s">
        <v>2413</v>
      </c>
      <c r="B543" s="1" t="s">
        <v>2414</v>
      </c>
      <c r="C543" s="1" t="s">
        <v>2416</v>
      </c>
      <c r="D543" s="1" t="s">
        <v>24</v>
      </c>
      <c r="E543" s="1" t="s">
        <v>2417</v>
      </c>
      <c r="F543" s="1" t="s">
        <v>2415</v>
      </c>
      <c r="G543" s="1" t="s">
        <v>2418</v>
      </c>
      <c r="H543" s="1" t="s">
        <v>12480</v>
      </c>
      <c r="I543" s="2">
        <v>102.83</v>
      </c>
      <c r="J543" s="2" t="s">
        <v>12481</v>
      </c>
      <c r="K543" s="2">
        <v>9.85</v>
      </c>
      <c r="L543" s="2"/>
      <c r="M543" s="4">
        <f t="shared" si="48"/>
        <v>10.439593908629442</v>
      </c>
      <c r="N543" s="4" t="e">
        <f t="shared" si="49"/>
        <v>#DIV/0!</v>
      </c>
      <c r="O543" s="5">
        <f t="shared" si="50"/>
        <v>-0.99995136090700798</v>
      </c>
      <c r="P543" s="5">
        <f t="shared" si="51"/>
        <v>-1</v>
      </c>
      <c r="Q543" s="4">
        <f t="shared" si="52"/>
        <v>-0.10440101705707153</v>
      </c>
      <c r="R543" s="4" t="e">
        <f t="shared" si="53"/>
        <v>#DIV/0!</v>
      </c>
      <c r="S543" s="4"/>
      <c r="T543" s="2">
        <v>140.41</v>
      </c>
      <c r="U543" s="2">
        <v>53.42</v>
      </c>
      <c r="V543" s="2">
        <v>143.52000000000001</v>
      </c>
      <c r="W543" s="2"/>
      <c r="X543" s="2">
        <v>0.61</v>
      </c>
      <c r="Y543" s="2">
        <v>6.13</v>
      </c>
      <c r="Z543" s="2">
        <v>14.31</v>
      </c>
    </row>
    <row r="544" spans="1:26" x14ac:dyDescent="0.25">
      <c r="A544" s="1" t="s">
        <v>2419</v>
      </c>
      <c r="B544" s="1" t="s">
        <v>2420</v>
      </c>
      <c r="C544" s="1" t="s">
        <v>45</v>
      </c>
      <c r="D544" s="1" t="s">
        <v>61</v>
      </c>
      <c r="E544" s="1" t="s">
        <v>237</v>
      </c>
      <c r="F544" s="1" t="s">
        <v>2421</v>
      </c>
      <c r="G544" s="1" t="s">
        <v>12480</v>
      </c>
      <c r="H544" s="1" t="s">
        <v>2422</v>
      </c>
      <c r="I544" s="2">
        <v>29.32</v>
      </c>
      <c r="J544" s="2"/>
      <c r="K544" s="2">
        <v>1.64</v>
      </c>
      <c r="L544" s="2">
        <v>1.88</v>
      </c>
      <c r="M544" s="4">
        <f t="shared" si="48"/>
        <v>17.878048780487806</v>
      </c>
      <c r="N544" s="4">
        <f t="shared" si="49"/>
        <v>15.595744680851064</v>
      </c>
      <c r="O544" s="5" t="e">
        <f t="shared" si="50"/>
        <v>#DIV/0!</v>
      </c>
      <c r="P544" s="5">
        <f t="shared" si="51"/>
        <v>0.14634146341463405</v>
      </c>
      <c r="Q544" s="4" t="e">
        <f t="shared" si="52"/>
        <v>#DIV/0!</v>
      </c>
      <c r="R544" s="4">
        <f t="shared" si="53"/>
        <v>1.0657092198581566</v>
      </c>
      <c r="S544" s="4"/>
      <c r="T544" s="2"/>
      <c r="U544" s="2">
        <v>34.69</v>
      </c>
      <c r="V544" s="2">
        <v>22.03</v>
      </c>
      <c r="W544" s="2">
        <v>-9.23</v>
      </c>
      <c r="X544" s="2">
        <v>11.1</v>
      </c>
      <c r="Y544" s="2">
        <v>3.86</v>
      </c>
      <c r="Z544" s="2">
        <v>21.26</v>
      </c>
    </row>
    <row r="545" spans="1:26" x14ac:dyDescent="0.25">
      <c r="A545" s="1" t="s">
        <v>2424</v>
      </c>
      <c r="B545" s="1" t="s">
        <v>2425</v>
      </c>
      <c r="C545" s="1" t="s">
        <v>45</v>
      </c>
      <c r="D545" s="1" t="s">
        <v>32</v>
      </c>
      <c r="E545" s="1" t="s">
        <v>215</v>
      </c>
      <c r="F545" s="1" t="s">
        <v>2426</v>
      </c>
      <c r="G545" s="1" t="s">
        <v>12480</v>
      </c>
      <c r="H545" s="1" t="s">
        <v>2427</v>
      </c>
      <c r="I545" s="2">
        <v>298.05</v>
      </c>
      <c r="J545" s="2">
        <v>7.14</v>
      </c>
      <c r="K545" s="2">
        <v>8.1</v>
      </c>
      <c r="L545" s="2">
        <v>9.15</v>
      </c>
      <c r="M545" s="4">
        <f t="shared" si="48"/>
        <v>36.796296296296298</v>
      </c>
      <c r="N545" s="4">
        <f t="shared" si="49"/>
        <v>32.57377049180328</v>
      </c>
      <c r="O545" s="5">
        <f t="shared" si="50"/>
        <v>0.13445378151260501</v>
      </c>
      <c r="P545" s="5">
        <f t="shared" si="51"/>
        <v>0.12962962962962976</v>
      </c>
      <c r="Q545" s="4">
        <f t="shared" si="52"/>
        <v>2.7367245370370377</v>
      </c>
      <c r="R545" s="4">
        <f t="shared" si="53"/>
        <v>2.5128337236533933</v>
      </c>
      <c r="S545" s="4">
        <v>14.12</v>
      </c>
      <c r="T545" s="2" t="s">
        <v>12493</v>
      </c>
      <c r="U545" s="2">
        <v>373.37</v>
      </c>
      <c r="V545" s="2">
        <v>231.64</v>
      </c>
      <c r="W545" s="2">
        <v>-1.75</v>
      </c>
      <c r="X545" s="2">
        <v>2.42</v>
      </c>
      <c r="Y545" s="2">
        <v>-6.4</v>
      </c>
      <c r="Z545" s="2">
        <v>-4.6500000000000004</v>
      </c>
    </row>
    <row r="546" spans="1:26" x14ac:dyDescent="0.25">
      <c r="A546" s="1" t="s">
        <v>2428</v>
      </c>
      <c r="B546" s="1" t="s">
        <v>2429</v>
      </c>
      <c r="C546" s="1" t="s">
        <v>16</v>
      </c>
      <c r="D546" s="1" t="s">
        <v>38</v>
      </c>
      <c r="E546" s="1" t="s">
        <v>510</v>
      </c>
      <c r="F546" s="1" t="s">
        <v>2430</v>
      </c>
      <c r="G546" s="1" t="s">
        <v>12480</v>
      </c>
      <c r="H546" s="1" t="s">
        <v>2431</v>
      </c>
      <c r="I546" s="2">
        <v>32.409999999999997</v>
      </c>
      <c r="J546" s="2">
        <v>2.72</v>
      </c>
      <c r="K546" s="2">
        <v>2.77</v>
      </c>
      <c r="L546" s="2">
        <v>2.86</v>
      </c>
      <c r="M546" s="4">
        <f t="shared" si="48"/>
        <v>11.700361010830324</v>
      </c>
      <c r="N546" s="4">
        <f t="shared" si="49"/>
        <v>11.332167832167832</v>
      </c>
      <c r="O546" s="5">
        <f t="shared" si="50"/>
        <v>1.8382352941176405E-2</v>
      </c>
      <c r="P546" s="5">
        <f t="shared" si="51"/>
        <v>3.2490974729241895E-2</v>
      </c>
      <c r="Q546" s="4">
        <f t="shared" si="52"/>
        <v>6.3649963898917186</v>
      </c>
      <c r="R546" s="4">
        <f t="shared" si="53"/>
        <v>3.4877894327894308</v>
      </c>
      <c r="S546" s="4">
        <v>1.41</v>
      </c>
      <c r="T546" s="2">
        <v>0.86</v>
      </c>
      <c r="U546" s="2">
        <v>32.64</v>
      </c>
      <c r="V546" s="2">
        <v>24.71</v>
      </c>
      <c r="W546" s="2">
        <v>0.97</v>
      </c>
      <c r="X546" s="2">
        <v>1.69</v>
      </c>
      <c r="Y546" s="2">
        <v>10.130000000000001</v>
      </c>
      <c r="Z546" s="2">
        <v>16.579999999999998</v>
      </c>
    </row>
    <row r="547" spans="1:26" x14ac:dyDescent="0.25">
      <c r="A547" s="1" t="s">
        <v>2432</v>
      </c>
      <c r="B547" s="1" t="s">
        <v>2433</v>
      </c>
      <c r="C547" s="1" t="s">
        <v>16</v>
      </c>
      <c r="D547" s="1" t="s">
        <v>25</v>
      </c>
      <c r="E547" s="1" t="s">
        <v>331</v>
      </c>
      <c r="F547" s="1" t="s">
        <v>2434</v>
      </c>
      <c r="G547" s="1" t="s">
        <v>12480</v>
      </c>
      <c r="H547" s="1" t="s">
        <v>1927</v>
      </c>
      <c r="I547" s="2" t="s">
        <v>12608</v>
      </c>
      <c r="J547" s="2">
        <v>0.9</v>
      </c>
      <c r="K547" s="2">
        <v>1.33</v>
      </c>
      <c r="L547" s="2">
        <v>1.61</v>
      </c>
      <c r="M547" s="4">
        <f t="shared" si="48"/>
        <v>33.082706766917291</v>
      </c>
      <c r="N547" s="4">
        <f t="shared" si="49"/>
        <v>27.329192546583851</v>
      </c>
      <c r="O547" s="5">
        <f t="shared" si="50"/>
        <v>0.47777777777777786</v>
      </c>
      <c r="P547" s="5">
        <f t="shared" si="51"/>
        <v>0.21052631578947367</v>
      </c>
      <c r="Q547" s="4">
        <f t="shared" si="52"/>
        <v>0.69242874628431528</v>
      </c>
      <c r="R547" s="4">
        <f t="shared" si="53"/>
        <v>1.298136645962733</v>
      </c>
      <c r="S547" s="4">
        <v>17.62</v>
      </c>
      <c r="T547" s="2">
        <v>1.34</v>
      </c>
      <c r="U547" s="2">
        <v>46.07</v>
      </c>
      <c r="V547" s="2">
        <v>28.17</v>
      </c>
      <c r="W547" s="2">
        <v>-4.49</v>
      </c>
      <c r="X547" s="2">
        <v>3.65</v>
      </c>
      <c r="Y547" s="2">
        <v>5.26</v>
      </c>
      <c r="Z547" s="2">
        <v>7.74</v>
      </c>
    </row>
    <row r="548" spans="1:26" x14ac:dyDescent="0.25">
      <c r="A548" s="1" t="s">
        <v>2435</v>
      </c>
      <c r="B548" s="1" t="s">
        <v>2435</v>
      </c>
      <c r="C548" s="1" t="s">
        <v>45</v>
      </c>
      <c r="D548" s="1" t="s">
        <v>32</v>
      </c>
      <c r="E548" s="1" t="s">
        <v>248</v>
      </c>
      <c r="F548" s="1" t="s">
        <v>2436</v>
      </c>
      <c r="G548" s="1" t="s">
        <v>12480</v>
      </c>
      <c r="H548" s="1" t="s">
        <v>2412</v>
      </c>
      <c r="I548" s="2">
        <v>120.74</v>
      </c>
      <c r="J548" s="2">
        <v>10.02</v>
      </c>
      <c r="K548" s="2">
        <v>10.46</v>
      </c>
      <c r="L548" s="2">
        <v>11.24</v>
      </c>
      <c r="M548" s="4">
        <f t="shared" si="48"/>
        <v>11.543021032504779</v>
      </c>
      <c r="N548" s="4">
        <f t="shared" si="49"/>
        <v>10.741992882562277</v>
      </c>
      <c r="O548" s="5">
        <f t="shared" si="50"/>
        <v>4.3912175648702645E-2</v>
      </c>
      <c r="P548" s="5">
        <f t="shared" si="51"/>
        <v>7.4569789674952203E-2</v>
      </c>
      <c r="Q548" s="4">
        <f t="shared" si="52"/>
        <v>2.6286606987658581</v>
      </c>
      <c r="R548" s="4">
        <f t="shared" si="53"/>
        <v>1.4405287891230951</v>
      </c>
      <c r="S548" s="4">
        <v>6.79</v>
      </c>
      <c r="T548" s="2">
        <v>1.06</v>
      </c>
      <c r="U548" s="2">
        <v>190.68</v>
      </c>
      <c r="V548" s="2">
        <v>120.74</v>
      </c>
      <c r="W548" s="2">
        <v>-3.23</v>
      </c>
      <c r="X548" s="2">
        <v>-15.83</v>
      </c>
      <c r="Y548" s="2">
        <v>-16.66</v>
      </c>
      <c r="Z548" s="2">
        <v>-11.35</v>
      </c>
    </row>
    <row r="549" spans="1:26" x14ac:dyDescent="0.25">
      <c r="A549" s="1" t="s">
        <v>2437</v>
      </c>
      <c r="B549" s="1" t="s">
        <v>2438</v>
      </c>
      <c r="C549" s="1" t="s">
        <v>16</v>
      </c>
      <c r="D549" s="1" t="s">
        <v>88</v>
      </c>
      <c r="E549" s="1" t="s">
        <v>1113</v>
      </c>
      <c r="F549" s="1" t="s">
        <v>2439</v>
      </c>
      <c r="G549" s="1" t="s">
        <v>12480</v>
      </c>
      <c r="H549" s="1" t="s">
        <v>2440</v>
      </c>
      <c r="I549" s="2">
        <v>51.45</v>
      </c>
      <c r="J549" s="2">
        <v>3.98</v>
      </c>
      <c r="K549" s="2">
        <v>4.8099999999999996</v>
      </c>
      <c r="L549" s="2">
        <v>6.33</v>
      </c>
      <c r="M549" s="4">
        <f t="shared" si="48"/>
        <v>10.696465696465697</v>
      </c>
      <c r="N549" s="4">
        <f t="shared" si="49"/>
        <v>8.1279620853080576</v>
      </c>
      <c r="O549" s="5">
        <f t="shared" si="50"/>
        <v>0.20854271356783904</v>
      </c>
      <c r="P549" s="5">
        <f t="shared" si="51"/>
        <v>0.31600831600831603</v>
      </c>
      <c r="Q549" s="4">
        <f t="shared" si="52"/>
        <v>0.51291486110763262</v>
      </c>
      <c r="R549" s="4">
        <f t="shared" si="53"/>
        <v>0.25720722125218259</v>
      </c>
      <c r="S549" s="4">
        <v>-7.16</v>
      </c>
      <c r="T549" s="2">
        <v>1.07</v>
      </c>
      <c r="U549" s="2">
        <v>62.39</v>
      </c>
      <c r="V549" s="2">
        <v>35.53</v>
      </c>
      <c r="W549" s="2">
        <v>3.46</v>
      </c>
      <c r="X549" s="2">
        <v>-6.51</v>
      </c>
      <c r="Y549" s="2">
        <v>21.09</v>
      </c>
      <c r="Z549" s="2">
        <v>21.69</v>
      </c>
    </row>
    <row r="550" spans="1:26" x14ac:dyDescent="0.25">
      <c r="A550" s="1" t="s">
        <v>2441</v>
      </c>
      <c r="B550" s="1" t="s">
        <v>2442</v>
      </c>
      <c r="C550" s="1" t="s">
        <v>45</v>
      </c>
      <c r="D550" s="1" t="s">
        <v>25</v>
      </c>
      <c r="E550" s="1" t="s">
        <v>2444</v>
      </c>
      <c r="F550" s="1" t="s">
        <v>2443</v>
      </c>
      <c r="G550" s="1" t="s">
        <v>12480</v>
      </c>
      <c r="H550" s="1" t="s">
        <v>1667</v>
      </c>
      <c r="I550" s="2">
        <v>51.38</v>
      </c>
      <c r="J550" s="2">
        <v>0.89</v>
      </c>
      <c r="K550" s="2">
        <v>1.51</v>
      </c>
      <c r="L550" s="2">
        <v>1.97</v>
      </c>
      <c r="M550" s="4">
        <f t="shared" si="48"/>
        <v>34.026490066225165</v>
      </c>
      <c r="N550" s="4">
        <f t="shared" si="49"/>
        <v>26.081218274111677</v>
      </c>
      <c r="O550" s="5">
        <f t="shared" si="50"/>
        <v>0.69662921348314599</v>
      </c>
      <c r="P550" s="5">
        <f t="shared" si="51"/>
        <v>0.30463576158940397</v>
      </c>
      <c r="Q550" s="4">
        <f t="shared" si="52"/>
        <v>0.48844477675710324</v>
      </c>
      <c r="R550" s="4">
        <f t="shared" si="53"/>
        <v>0.85614433899801368</v>
      </c>
      <c r="S550" s="4">
        <v>38.79</v>
      </c>
      <c r="T550" s="2">
        <v>1.39</v>
      </c>
      <c r="U550" s="2">
        <v>79.14</v>
      </c>
      <c r="V550" s="2">
        <v>17.97</v>
      </c>
      <c r="W550" s="2">
        <v>-11.12</v>
      </c>
      <c r="X550" s="2">
        <v>-30.36</v>
      </c>
      <c r="Y550" s="2">
        <v>-16.059999999999999</v>
      </c>
      <c r="Z550" s="2">
        <v>-14.15</v>
      </c>
    </row>
    <row r="551" spans="1:26" x14ac:dyDescent="0.25">
      <c r="A551" s="1" t="s">
        <v>2446</v>
      </c>
      <c r="B551" s="1" t="s">
        <v>2447</v>
      </c>
      <c r="C551" s="1" t="s">
        <v>45</v>
      </c>
      <c r="D551" s="1" t="s">
        <v>94</v>
      </c>
      <c r="E551" s="1" t="s">
        <v>95</v>
      </c>
      <c r="F551" s="1" t="s">
        <v>2448</v>
      </c>
      <c r="G551" s="1" t="s">
        <v>12480</v>
      </c>
      <c r="H551" s="1" t="s">
        <v>2449</v>
      </c>
      <c r="I551" s="2">
        <v>322.99</v>
      </c>
      <c r="J551" s="2">
        <v>9.39</v>
      </c>
      <c r="K551" s="2">
        <v>11.63</v>
      </c>
      <c r="L551" s="2">
        <v>12.96</v>
      </c>
      <c r="M551" s="4">
        <f t="shared" si="48"/>
        <v>27.772141014617368</v>
      </c>
      <c r="N551" s="4">
        <f t="shared" si="49"/>
        <v>24.922067901234566</v>
      </c>
      <c r="O551" s="5">
        <f t="shared" si="50"/>
        <v>0.23855165069222584</v>
      </c>
      <c r="P551" s="5">
        <f t="shared" si="51"/>
        <v>0.11435941530524496</v>
      </c>
      <c r="Q551" s="4">
        <f t="shared" si="52"/>
        <v>1.1641982327109688</v>
      </c>
      <c r="R551" s="4">
        <f t="shared" si="53"/>
        <v>2.1792755615891601</v>
      </c>
      <c r="S551" s="4">
        <v>8.34</v>
      </c>
      <c r="T551" s="2">
        <v>1.0900000000000001</v>
      </c>
      <c r="U551" s="2">
        <v>403.95</v>
      </c>
      <c r="V551" s="2">
        <v>170.96</v>
      </c>
      <c r="W551" s="2">
        <v>-1.27</v>
      </c>
      <c r="X551" s="2">
        <v>18.68</v>
      </c>
      <c r="Y551" s="2">
        <v>-9.56</v>
      </c>
      <c r="Z551" s="2">
        <v>-8.57</v>
      </c>
    </row>
    <row r="552" spans="1:26" x14ac:dyDescent="0.25">
      <c r="A552" s="1" t="s">
        <v>2451</v>
      </c>
      <c r="B552" s="1" t="s">
        <v>2452</v>
      </c>
      <c r="C552" s="1" t="s">
        <v>45</v>
      </c>
      <c r="D552" s="1" t="s">
        <v>18</v>
      </c>
      <c r="E552" s="1" t="s">
        <v>74</v>
      </c>
      <c r="F552" s="1" t="s">
        <v>2453</v>
      </c>
      <c r="G552" s="1" t="s">
        <v>12480</v>
      </c>
      <c r="H552" s="1" t="s">
        <v>1816</v>
      </c>
      <c r="I552" s="2">
        <v>113.45</v>
      </c>
      <c r="J552" s="2">
        <v>-2.83</v>
      </c>
      <c r="K552" s="2">
        <v>-4.05</v>
      </c>
      <c r="L552" s="2" t="s">
        <v>12609</v>
      </c>
      <c r="M552" s="4">
        <f t="shared" si="48"/>
        <v>-28.012345679012348</v>
      </c>
      <c r="N552" s="4">
        <f t="shared" si="49"/>
        <v>-113.45</v>
      </c>
      <c r="O552" s="5">
        <f t="shared" si="50"/>
        <v>0.43109540636042398</v>
      </c>
      <c r="P552" s="5">
        <f t="shared" si="51"/>
        <v>-0.75308641975308643</v>
      </c>
      <c r="Q552" s="4">
        <f t="shared" si="52"/>
        <v>-0.64979457599676194</v>
      </c>
      <c r="R552" s="4">
        <f t="shared" si="53"/>
        <v>1.5064672131147541</v>
      </c>
      <c r="S552" s="4"/>
      <c r="T552" s="2">
        <v>0.38</v>
      </c>
      <c r="U552" s="2">
        <v>117.25</v>
      </c>
      <c r="V552" s="2">
        <v>8.2100000000000009</v>
      </c>
      <c r="W552" s="2">
        <v>4.76</v>
      </c>
      <c r="X552" s="2">
        <v>5.14</v>
      </c>
      <c r="Y552" s="2">
        <v>11.03</v>
      </c>
      <c r="Z552" s="2">
        <v>13.75</v>
      </c>
    </row>
    <row r="553" spans="1:26" x14ac:dyDescent="0.25">
      <c r="A553" s="1" t="s">
        <v>2454</v>
      </c>
      <c r="B553" s="1" t="s">
        <v>2455</v>
      </c>
      <c r="C553" s="1" t="s">
        <v>45</v>
      </c>
      <c r="D553" s="1" t="s">
        <v>128</v>
      </c>
      <c r="E553" s="1" t="s">
        <v>556</v>
      </c>
      <c r="F553" s="1" t="s">
        <v>2456</v>
      </c>
      <c r="G553" s="1" t="s">
        <v>12480</v>
      </c>
      <c r="H553" s="1" t="s">
        <v>2457</v>
      </c>
      <c r="I553" s="2">
        <v>43.31</v>
      </c>
      <c r="J553" s="2">
        <v>1.34</v>
      </c>
      <c r="K553" s="2">
        <v>1.56</v>
      </c>
      <c r="L553" s="2">
        <v>1.99</v>
      </c>
      <c r="M553" s="4">
        <f t="shared" si="48"/>
        <v>27.762820512820515</v>
      </c>
      <c r="N553" s="4">
        <f t="shared" si="49"/>
        <v>21.763819095477388</v>
      </c>
      <c r="O553" s="5">
        <f t="shared" si="50"/>
        <v>0.16417910447761197</v>
      </c>
      <c r="P553" s="5">
        <f t="shared" si="51"/>
        <v>0.27564102564102555</v>
      </c>
      <c r="Q553" s="4">
        <f t="shared" si="52"/>
        <v>1.6910081585081582</v>
      </c>
      <c r="R553" s="4">
        <f t="shared" si="53"/>
        <v>0.78957111137080782</v>
      </c>
      <c r="S553" s="4">
        <v>85.54</v>
      </c>
      <c r="T553" s="2">
        <v>0.89</v>
      </c>
      <c r="U553" s="2">
        <v>64.86</v>
      </c>
      <c r="V553" s="2">
        <v>25.42</v>
      </c>
      <c r="W553" s="2">
        <v>-12.06</v>
      </c>
      <c r="X553" s="2">
        <v>-9.39</v>
      </c>
      <c r="Y553" s="2">
        <v>-1.1299999999999999</v>
      </c>
      <c r="Z553" s="2">
        <v>-5.31</v>
      </c>
    </row>
    <row r="554" spans="1:26" x14ac:dyDescent="0.25">
      <c r="A554" s="1" t="s">
        <v>2458</v>
      </c>
      <c r="B554" s="1" t="s">
        <v>2459</v>
      </c>
      <c r="C554" s="1" t="s">
        <v>45</v>
      </c>
      <c r="D554" s="1" t="s">
        <v>147</v>
      </c>
      <c r="E554" s="1" t="s">
        <v>1084</v>
      </c>
      <c r="F554" s="1" t="s">
        <v>2460</v>
      </c>
      <c r="G554" s="1" t="s">
        <v>12485</v>
      </c>
      <c r="H554" s="1" t="s">
        <v>2461</v>
      </c>
      <c r="I554" s="2">
        <v>36.9</v>
      </c>
      <c r="J554" s="2">
        <v>2.73</v>
      </c>
      <c r="K554" s="2">
        <v>2.83</v>
      </c>
      <c r="L554" s="2">
        <v>2.93</v>
      </c>
      <c r="M554" s="4">
        <f t="shared" si="48"/>
        <v>13.038869257950529</v>
      </c>
      <c r="N554" s="4">
        <f t="shared" si="49"/>
        <v>12.593856655290102</v>
      </c>
      <c r="O554" s="5">
        <f t="shared" si="50"/>
        <v>3.6630036630036722E-2</v>
      </c>
      <c r="P554" s="5">
        <f t="shared" si="51"/>
        <v>3.5335689045936425E-2</v>
      </c>
      <c r="Q554" s="4">
        <f t="shared" si="52"/>
        <v>3.5596113074204854</v>
      </c>
      <c r="R554" s="4">
        <f t="shared" si="53"/>
        <v>3.5640614334470957</v>
      </c>
      <c r="S554" s="4">
        <v>-2.23</v>
      </c>
      <c r="T554" s="2">
        <v>0.69</v>
      </c>
      <c r="U554" s="2">
        <v>41.07</v>
      </c>
      <c r="V554" s="2">
        <v>28.98</v>
      </c>
      <c r="W554" s="2">
        <v>-5.17</v>
      </c>
      <c r="X554" s="2">
        <v>-1.63</v>
      </c>
      <c r="Y554" s="2">
        <v>9.3000000000000007</v>
      </c>
      <c r="Z554" s="2">
        <v>14.77</v>
      </c>
    </row>
    <row r="555" spans="1:26" x14ac:dyDescent="0.25">
      <c r="A555" s="1" t="s">
        <v>2458</v>
      </c>
      <c r="B555" s="1" t="s">
        <v>2462</v>
      </c>
      <c r="C555" s="1" t="s">
        <v>45</v>
      </c>
      <c r="D555" s="1" t="s">
        <v>147</v>
      </c>
      <c r="E555" s="1" t="s">
        <v>1084</v>
      </c>
      <c r="F555" s="1" t="s">
        <v>2463</v>
      </c>
      <c r="G555" s="1" t="s">
        <v>12485</v>
      </c>
      <c r="H555" s="1" t="s">
        <v>2461</v>
      </c>
      <c r="I555" s="2">
        <v>32.28</v>
      </c>
      <c r="J555" s="2">
        <v>2.73</v>
      </c>
      <c r="K555" s="2">
        <v>2.83</v>
      </c>
      <c r="L555" s="2">
        <v>2.93</v>
      </c>
      <c r="M555" s="4">
        <f t="shared" si="48"/>
        <v>11.406360424028268</v>
      </c>
      <c r="N555" s="4">
        <f t="shared" si="49"/>
        <v>11.017064846416382</v>
      </c>
      <c r="O555" s="5">
        <f t="shared" si="50"/>
        <v>3.6630036630036722E-2</v>
      </c>
      <c r="P555" s="5">
        <f t="shared" si="51"/>
        <v>3.5335689045936425E-2</v>
      </c>
      <c r="Q555" s="4">
        <f t="shared" si="52"/>
        <v>3.1139363957597093</v>
      </c>
      <c r="R555" s="4">
        <f t="shared" si="53"/>
        <v>3.1178293515358333</v>
      </c>
      <c r="S555" s="4">
        <v>-2.23</v>
      </c>
      <c r="T555" s="2">
        <v>0.64</v>
      </c>
      <c r="U555" s="2">
        <v>37.270000000000003</v>
      </c>
      <c r="V555" s="2">
        <v>26.27</v>
      </c>
      <c r="W555" s="2">
        <v>-5.31</v>
      </c>
      <c r="X555" s="2">
        <v>-3.5</v>
      </c>
      <c r="Y555" s="2">
        <v>5.56</v>
      </c>
      <c r="Z555" s="2">
        <v>10.59</v>
      </c>
    </row>
    <row r="556" spans="1:26" x14ac:dyDescent="0.25">
      <c r="A556" s="1" t="s">
        <v>2464</v>
      </c>
      <c r="B556" s="1" t="s">
        <v>2465</v>
      </c>
      <c r="C556" s="1" t="s">
        <v>45</v>
      </c>
      <c r="D556" s="1" t="s">
        <v>25</v>
      </c>
      <c r="E556" s="1" t="s">
        <v>2467</v>
      </c>
      <c r="F556" s="1" t="s">
        <v>2466</v>
      </c>
      <c r="G556" s="1" t="s">
        <v>12480</v>
      </c>
      <c r="H556" s="1" t="s">
        <v>2468</v>
      </c>
      <c r="I556" s="2">
        <v>54.45</v>
      </c>
      <c r="J556" s="2">
        <v>0.42</v>
      </c>
      <c r="K556" s="2">
        <v>6.72</v>
      </c>
      <c r="L556" s="2" t="s">
        <v>12496</v>
      </c>
      <c r="M556" s="4">
        <f t="shared" si="48"/>
        <v>8.102678571428573</v>
      </c>
      <c r="N556" s="4">
        <f t="shared" si="49"/>
        <v>7.7785714285714294</v>
      </c>
      <c r="O556" s="5">
        <f t="shared" si="50"/>
        <v>15</v>
      </c>
      <c r="P556" s="5">
        <f t="shared" si="51"/>
        <v>4.1666666666666741E-2</v>
      </c>
      <c r="Q556" s="4">
        <f t="shared" si="52"/>
        <v>5.4017857142857149E-3</v>
      </c>
      <c r="R556" s="4">
        <f t="shared" si="53"/>
        <v>1.8668571428571397</v>
      </c>
      <c r="S556" s="4">
        <v>13.85</v>
      </c>
      <c r="T556" s="2">
        <v>2.17</v>
      </c>
      <c r="U556" s="2">
        <v>54.45</v>
      </c>
      <c r="V556" s="2">
        <v>13.7</v>
      </c>
      <c r="W556" s="2">
        <v>6.03</v>
      </c>
      <c r="X556" s="2">
        <v>0.17</v>
      </c>
      <c r="Y556" s="2">
        <v>73.459999999999994</v>
      </c>
      <c r="Z556" s="2">
        <v>38.97</v>
      </c>
    </row>
    <row r="557" spans="1:26" x14ac:dyDescent="0.25">
      <c r="A557" s="1" t="s">
        <v>2469</v>
      </c>
      <c r="B557" s="1" t="s">
        <v>2470</v>
      </c>
      <c r="C557" s="1" t="s">
        <v>16</v>
      </c>
      <c r="D557" s="1" t="s">
        <v>94</v>
      </c>
      <c r="E557" s="1" t="s">
        <v>95</v>
      </c>
      <c r="F557" s="1" t="s">
        <v>2471</v>
      </c>
      <c r="G557" s="1" t="s">
        <v>12480</v>
      </c>
      <c r="H557" s="1" t="s">
        <v>2472</v>
      </c>
      <c r="I557" s="2">
        <v>14.34</v>
      </c>
      <c r="J557" s="2">
        <v>0.88</v>
      </c>
      <c r="K557" s="2">
        <v>2.04</v>
      </c>
      <c r="L557" s="2">
        <v>1.65</v>
      </c>
      <c r="M557" s="4">
        <f t="shared" si="48"/>
        <v>7.0294117647058822</v>
      </c>
      <c r="N557" s="4">
        <f t="shared" si="49"/>
        <v>8.6909090909090914</v>
      </c>
      <c r="O557" s="5">
        <f t="shared" si="50"/>
        <v>1.3181818181818183</v>
      </c>
      <c r="P557" s="5">
        <f t="shared" si="51"/>
        <v>-0.19117647058823539</v>
      </c>
      <c r="Q557" s="4">
        <f t="shared" si="52"/>
        <v>5.3326572008113582E-2</v>
      </c>
      <c r="R557" s="4">
        <f t="shared" si="53"/>
        <v>-0.45460139860139837</v>
      </c>
      <c r="S557" s="4">
        <v>-3.47</v>
      </c>
      <c r="T557" s="2">
        <v>1.05</v>
      </c>
      <c r="U557" s="2">
        <v>17.95</v>
      </c>
      <c r="V557" s="2">
        <v>7.68</v>
      </c>
      <c r="W557" s="2">
        <v>-6.58</v>
      </c>
      <c r="X557" s="2">
        <v>-8.6</v>
      </c>
      <c r="Y557" s="2">
        <v>-12.93</v>
      </c>
      <c r="Z557" s="2">
        <v>-18.059999999999999</v>
      </c>
    </row>
    <row r="558" spans="1:26" x14ac:dyDescent="0.25">
      <c r="A558" s="1" t="s">
        <v>2473</v>
      </c>
      <c r="B558" s="1" t="s">
        <v>2474</v>
      </c>
      <c r="C558" s="1" t="s">
        <v>45</v>
      </c>
      <c r="D558" s="1" t="s">
        <v>18</v>
      </c>
      <c r="E558" s="1" t="s">
        <v>74</v>
      </c>
      <c r="F558" s="1" t="s">
        <v>2475</v>
      </c>
      <c r="G558" s="1" t="s">
        <v>12480</v>
      </c>
      <c r="H558" s="1" t="s">
        <v>2476</v>
      </c>
      <c r="I558" s="2">
        <v>7.04</v>
      </c>
      <c r="J558" s="2">
        <v>0.44</v>
      </c>
      <c r="K558" s="2">
        <v>0.46</v>
      </c>
      <c r="L558" s="2">
        <v>0.51</v>
      </c>
      <c r="M558" s="4">
        <f t="shared" si="48"/>
        <v>15.304347826086955</v>
      </c>
      <c r="N558" s="4">
        <f t="shared" si="49"/>
        <v>13.803921568627452</v>
      </c>
      <c r="O558" s="5">
        <f t="shared" si="50"/>
        <v>4.5454545454545414E-2</v>
      </c>
      <c r="P558" s="5">
        <f t="shared" si="51"/>
        <v>0.10869565217391308</v>
      </c>
      <c r="Q558" s="4">
        <f t="shared" si="52"/>
        <v>3.3669565217391333</v>
      </c>
      <c r="R558" s="4">
        <f t="shared" si="53"/>
        <v>1.2699607843137251</v>
      </c>
      <c r="S558" s="4">
        <v>8.75</v>
      </c>
      <c r="T558" s="2">
        <v>1.5</v>
      </c>
      <c r="U558" s="2">
        <v>14.47</v>
      </c>
      <c r="V558" s="2">
        <v>6.46</v>
      </c>
      <c r="W558" s="2">
        <v>-0.14000000000000001</v>
      </c>
      <c r="X558" s="2">
        <v>-1.81</v>
      </c>
      <c r="Y558" s="2">
        <v>-19.45</v>
      </c>
      <c r="Z558" s="2">
        <v>-20.09</v>
      </c>
    </row>
    <row r="559" spans="1:26" x14ac:dyDescent="0.25">
      <c r="A559" s="1" t="s">
        <v>2477</v>
      </c>
      <c r="B559" s="1" t="s">
        <v>2478</v>
      </c>
      <c r="C559" s="1" t="s">
        <v>1118</v>
      </c>
      <c r="D559" s="1" t="s">
        <v>38</v>
      </c>
      <c r="E559" s="1" t="s">
        <v>259</v>
      </c>
      <c r="F559" s="1" t="s">
        <v>2479</v>
      </c>
      <c r="G559" s="1" t="s">
        <v>12480</v>
      </c>
      <c r="H559" s="1" t="s">
        <v>2480</v>
      </c>
      <c r="I559" s="2">
        <v>50.756500000000003</v>
      </c>
      <c r="J559" s="2"/>
      <c r="K559" s="2"/>
      <c r="L559" s="2"/>
      <c r="M559" s="4" t="e">
        <f t="shared" si="48"/>
        <v>#DIV/0!</v>
      </c>
      <c r="N559" s="4" t="e">
        <f t="shared" si="49"/>
        <v>#DIV/0!</v>
      </c>
      <c r="O559" s="5" t="e">
        <f t="shared" si="50"/>
        <v>#DIV/0!</v>
      </c>
      <c r="P559" s="5" t="e">
        <f t="shared" si="51"/>
        <v>#DIV/0!</v>
      </c>
      <c r="Q559" s="4" t="e">
        <f t="shared" si="52"/>
        <v>#DIV/0!</v>
      </c>
      <c r="R559" s="4" t="e">
        <f t="shared" si="53"/>
        <v>#DIV/0!</v>
      </c>
      <c r="S559" s="4"/>
      <c r="T559" s="2">
        <v>0.81</v>
      </c>
      <c r="U559" s="2">
        <v>52.85</v>
      </c>
      <c r="V559" s="2">
        <v>40.74</v>
      </c>
      <c r="W559" s="2">
        <v>-3.96</v>
      </c>
      <c r="X559" s="2">
        <v>-2.65</v>
      </c>
      <c r="Y559" s="2">
        <v>0.28999999999999998</v>
      </c>
      <c r="Z559" s="2">
        <v>0.09</v>
      </c>
    </row>
    <row r="560" spans="1:26" x14ac:dyDescent="0.25">
      <c r="A560" s="1" t="s">
        <v>2481</v>
      </c>
      <c r="B560" s="1" t="s">
        <v>2482</v>
      </c>
      <c r="C560" s="1" t="s">
        <v>16</v>
      </c>
      <c r="D560" s="1" t="s">
        <v>88</v>
      </c>
      <c r="E560" s="1" t="s">
        <v>2299</v>
      </c>
      <c r="F560" s="1" t="s">
        <v>2483</v>
      </c>
      <c r="G560" s="1" t="s">
        <v>12480</v>
      </c>
      <c r="H560" s="1" t="s">
        <v>2484</v>
      </c>
      <c r="I560" s="2">
        <v>111.04</v>
      </c>
      <c r="J560" s="2">
        <v>9.3699999999999992</v>
      </c>
      <c r="K560" s="2">
        <v>8.66</v>
      </c>
      <c r="L560" s="2">
        <v>6.5</v>
      </c>
      <c r="M560" s="4">
        <f t="shared" si="48"/>
        <v>12.822170900692841</v>
      </c>
      <c r="N560" s="4">
        <f t="shared" si="49"/>
        <v>17.083076923076923</v>
      </c>
      <c r="O560" s="5">
        <f t="shared" si="50"/>
        <v>-7.577374599786546E-2</v>
      </c>
      <c r="P560" s="5">
        <f t="shared" si="51"/>
        <v>-0.24942263279445731</v>
      </c>
      <c r="Q560" s="4">
        <f t="shared" si="52"/>
        <v>-1.692165370978761</v>
      </c>
      <c r="R560" s="4">
        <f t="shared" si="53"/>
        <v>-0.68490484330484314</v>
      </c>
      <c r="S560" s="4">
        <v>19.34</v>
      </c>
      <c r="T560" s="2">
        <v>0.68</v>
      </c>
      <c r="U560" s="2">
        <v>115.78</v>
      </c>
      <c r="V560" s="2">
        <v>68.47</v>
      </c>
      <c r="W560" s="2">
        <v>6.46</v>
      </c>
      <c r="X560" s="2">
        <v>16.96</v>
      </c>
      <c r="Y560" s="2" t="s">
        <v>12610</v>
      </c>
      <c r="Z560" s="2">
        <v>43.57</v>
      </c>
    </row>
    <row r="561" spans="1:26" x14ac:dyDescent="0.25">
      <c r="A561" s="1" t="s">
        <v>2486</v>
      </c>
      <c r="B561" s="1" t="s">
        <v>2487</v>
      </c>
      <c r="C561" s="1" t="s">
        <v>16</v>
      </c>
      <c r="D561" s="1" t="s">
        <v>38</v>
      </c>
      <c r="E561" s="1" t="s">
        <v>1244</v>
      </c>
      <c r="F561" s="1" t="s">
        <v>2488</v>
      </c>
      <c r="G561" s="1" t="s">
        <v>12480</v>
      </c>
      <c r="H561" s="1" t="s">
        <v>2489</v>
      </c>
      <c r="I561" s="2">
        <v>58.31</v>
      </c>
      <c r="J561" s="2">
        <v>3.86</v>
      </c>
      <c r="K561" s="2">
        <v>5.08</v>
      </c>
      <c r="L561" s="2">
        <v>6.19</v>
      </c>
      <c r="M561" s="4">
        <f t="shared" si="48"/>
        <v>11.478346456692913</v>
      </c>
      <c r="N561" s="4">
        <f t="shared" si="49"/>
        <v>9.4200323101777066</v>
      </c>
      <c r="O561" s="5">
        <f t="shared" si="50"/>
        <v>0.31606217616580312</v>
      </c>
      <c r="P561" s="5">
        <f t="shared" si="51"/>
        <v>0.21850393700787407</v>
      </c>
      <c r="Q561" s="4">
        <f t="shared" si="52"/>
        <v>0.36316735510520198</v>
      </c>
      <c r="R561" s="4">
        <f t="shared" si="53"/>
        <v>0.43111499221353816</v>
      </c>
      <c r="S561" s="4">
        <v>-2.4700000000000002</v>
      </c>
      <c r="T561" s="2">
        <v>0.7</v>
      </c>
      <c r="U561" s="2">
        <v>68.12</v>
      </c>
      <c r="V561" s="2">
        <v>34.270000000000003</v>
      </c>
      <c r="W561" s="2">
        <v>-4.55</v>
      </c>
      <c r="X561" s="2">
        <v>-13.87</v>
      </c>
      <c r="Y561" s="2">
        <v>-0.22</v>
      </c>
      <c r="Z561" s="2">
        <v>-0.17</v>
      </c>
    </row>
    <row r="562" spans="1:26" x14ac:dyDescent="0.25">
      <c r="A562" s="1" t="s">
        <v>2491</v>
      </c>
      <c r="B562" s="1" t="s">
        <v>2492</v>
      </c>
      <c r="C562" s="1" t="s">
        <v>45</v>
      </c>
      <c r="D562" s="1" t="s">
        <v>32</v>
      </c>
      <c r="E562" s="1" t="s">
        <v>311</v>
      </c>
      <c r="F562" s="1" t="s">
        <v>2493</v>
      </c>
      <c r="G562" s="1" t="s">
        <v>12480</v>
      </c>
      <c r="H562" s="1" t="s">
        <v>2494</v>
      </c>
      <c r="I562" s="2">
        <v>30.75</v>
      </c>
      <c r="J562" s="2">
        <v>0.42</v>
      </c>
      <c r="K562" s="2">
        <v>0.51</v>
      </c>
      <c r="L562" s="2">
        <v>0.66</v>
      </c>
      <c r="M562" s="4">
        <f t="shared" si="48"/>
        <v>60.294117647058819</v>
      </c>
      <c r="N562" s="4">
        <f t="shared" si="49"/>
        <v>46.590909090909086</v>
      </c>
      <c r="O562" s="5">
        <f t="shared" si="50"/>
        <v>0.21428571428571441</v>
      </c>
      <c r="P562" s="5">
        <f t="shared" si="51"/>
        <v>0.29411764705882359</v>
      </c>
      <c r="Q562" s="4">
        <f t="shared" si="52"/>
        <v>2.8137254901960764</v>
      </c>
      <c r="R562" s="4">
        <f t="shared" si="53"/>
        <v>1.5840909090909085</v>
      </c>
      <c r="S562" s="4">
        <v>21.08</v>
      </c>
      <c r="T562" s="2">
        <v>0.95</v>
      </c>
      <c r="U562" s="2">
        <v>30.79</v>
      </c>
      <c r="V562" s="2">
        <v>15.91</v>
      </c>
      <c r="W562" s="2">
        <v>0.16</v>
      </c>
      <c r="X562" s="2">
        <v>0.56000000000000005</v>
      </c>
      <c r="Y562" s="2">
        <v>2.2599999999999998</v>
      </c>
      <c r="Z562" s="2">
        <v>1.69</v>
      </c>
    </row>
    <row r="563" spans="1:26" x14ac:dyDescent="0.25">
      <c r="A563" s="1" t="s">
        <v>2495</v>
      </c>
      <c r="B563" s="1" t="s">
        <v>2496</v>
      </c>
      <c r="C563" s="1" t="s">
        <v>16</v>
      </c>
      <c r="D563" s="1" t="s">
        <v>38</v>
      </c>
      <c r="E563" s="1" t="s">
        <v>1440</v>
      </c>
      <c r="F563" s="1" t="s">
        <v>2497</v>
      </c>
      <c r="G563" s="1" t="s">
        <v>12480</v>
      </c>
      <c r="H563" s="1" t="s">
        <v>2498</v>
      </c>
      <c r="I563" s="2">
        <v>134.46</v>
      </c>
      <c r="J563" s="2">
        <v>9.93</v>
      </c>
      <c r="K563" s="2">
        <v>10.199999999999999</v>
      </c>
      <c r="L563" s="2">
        <v>10.56</v>
      </c>
      <c r="M563" s="4">
        <f t="shared" si="48"/>
        <v>13.182352941176472</v>
      </c>
      <c r="N563" s="4">
        <f t="shared" si="49"/>
        <v>12.732954545454545</v>
      </c>
      <c r="O563" s="5">
        <f t="shared" si="50"/>
        <v>2.7190332326283873E-2</v>
      </c>
      <c r="P563" s="5">
        <f t="shared" si="51"/>
        <v>3.529411764705892E-2</v>
      </c>
      <c r="Q563" s="4">
        <f t="shared" si="52"/>
        <v>4.848176470588256</v>
      </c>
      <c r="R563" s="4">
        <f t="shared" si="53"/>
        <v>3.6076704545454445</v>
      </c>
      <c r="S563" s="4">
        <v>2.46</v>
      </c>
      <c r="T563" s="2">
        <v>0.63</v>
      </c>
      <c r="U563" s="2">
        <v>147.1</v>
      </c>
      <c r="V563" s="2">
        <v>105.8</v>
      </c>
      <c r="W563" s="2">
        <v>-4.0999999999999996</v>
      </c>
      <c r="X563" s="2">
        <v>-8.59</v>
      </c>
      <c r="Y563" s="2">
        <v>3.89</v>
      </c>
      <c r="Z563" s="2">
        <v>6.18</v>
      </c>
    </row>
    <row r="564" spans="1:26" x14ac:dyDescent="0.25">
      <c r="A564" s="1" t="s">
        <v>2499</v>
      </c>
      <c r="B564" s="1" t="s">
        <v>2500</v>
      </c>
      <c r="C564" s="1" t="s">
        <v>45</v>
      </c>
      <c r="D564" s="1" t="s">
        <v>38</v>
      </c>
      <c r="E564" s="1" t="s">
        <v>101</v>
      </c>
      <c r="F564" s="1" t="s">
        <v>2501</v>
      </c>
      <c r="G564" s="1" t="s">
        <v>12480</v>
      </c>
      <c r="H564" s="1" t="s">
        <v>2502</v>
      </c>
      <c r="I564" s="2">
        <v>48.82</v>
      </c>
      <c r="J564" s="2">
        <v>4.0199999999999996</v>
      </c>
      <c r="K564" s="2">
        <v>4.63</v>
      </c>
      <c r="L564" s="2">
        <v>5.46</v>
      </c>
      <c r="M564" s="4">
        <f t="shared" si="48"/>
        <v>10.54427645788337</v>
      </c>
      <c r="N564" s="4">
        <f t="shared" si="49"/>
        <v>8.9413919413919416</v>
      </c>
      <c r="O564" s="5">
        <f t="shared" si="50"/>
        <v>0.15174129353233834</v>
      </c>
      <c r="P564" s="5">
        <f t="shared" si="51"/>
        <v>0.17926565874730027</v>
      </c>
      <c r="Q564" s="4">
        <f t="shared" si="52"/>
        <v>0.69488510427362526</v>
      </c>
      <c r="R564" s="4">
        <f t="shared" si="53"/>
        <v>0.4987788516704178</v>
      </c>
      <c r="S564" s="4">
        <v>-11.91</v>
      </c>
      <c r="T564" s="2">
        <v>2.0699999999999998</v>
      </c>
      <c r="U564" s="2">
        <v>69.349999999999994</v>
      </c>
      <c r="V564" s="2">
        <v>34.78</v>
      </c>
      <c r="W564" s="2">
        <v>-6.85</v>
      </c>
      <c r="X564" s="2">
        <v>-17.55</v>
      </c>
      <c r="Y564" s="2">
        <v>-15.54</v>
      </c>
      <c r="Z564" s="2">
        <v>-17.41</v>
      </c>
    </row>
    <row r="565" spans="1:26" x14ac:dyDescent="0.25">
      <c r="A565" s="1" t="s">
        <v>2503</v>
      </c>
      <c r="B565" s="1" t="s">
        <v>2504</v>
      </c>
      <c r="C565" s="1" t="s">
        <v>16</v>
      </c>
      <c r="D565" s="1" t="s">
        <v>88</v>
      </c>
      <c r="E565" s="1" t="s">
        <v>89</v>
      </c>
      <c r="F565" s="1" t="s">
        <v>2505</v>
      </c>
      <c r="G565" s="1" t="s">
        <v>12480</v>
      </c>
      <c r="H565" s="1" t="s">
        <v>2506</v>
      </c>
      <c r="I565" s="2">
        <v>18.93</v>
      </c>
      <c r="J565" s="2">
        <v>1.1100000000000001</v>
      </c>
      <c r="K565" s="2">
        <v>1.73</v>
      </c>
      <c r="L565" s="2">
        <v>1.98</v>
      </c>
      <c r="M565" s="4">
        <f t="shared" si="48"/>
        <v>10.942196531791907</v>
      </c>
      <c r="N565" s="4">
        <f t="shared" si="49"/>
        <v>9.5606060606060606</v>
      </c>
      <c r="O565" s="5">
        <f t="shared" si="50"/>
        <v>0.5585585585585584</v>
      </c>
      <c r="P565" s="5">
        <f t="shared" si="51"/>
        <v>0.1445086705202312</v>
      </c>
      <c r="Q565" s="4">
        <f t="shared" si="52"/>
        <v>0.19590061532724226</v>
      </c>
      <c r="R565" s="4">
        <f t="shared" si="53"/>
        <v>0.6615939393939394</v>
      </c>
      <c r="S565" s="4">
        <v>14.01</v>
      </c>
      <c r="T565" s="2">
        <v>0.83</v>
      </c>
      <c r="U565" s="2">
        <v>21.03</v>
      </c>
      <c r="V565" s="2">
        <v>5.5</v>
      </c>
      <c r="W565" s="2">
        <v>-8.33</v>
      </c>
      <c r="X565" s="2">
        <v>1.83</v>
      </c>
      <c r="Y565" s="2">
        <v>33.4</v>
      </c>
      <c r="Z565" s="2">
        <v>31.73</v>
      </c>
    </row>
    <row r="566" spans="1:26" x14ac:dyDescent="0.25">
      <c r="A566" s="1" t="s">
        <v>2508</v>
      </c>
      <c r="B566" s="1" t="s">
        <v>2509</v>
      </c>
      <c r="C566" s="1" t="s">
        <v>31</v>
      </c>
      <c r="D566" s="1" t="s">
        <v>140</v>
      </c>
      <c r="E566" s="1" t="s">
        <v>499</v>
      </c>
      <c r="F566" s="1" t="s">
        <v>2510</v>
      </c>
      <c r="G566" s="1" t="s">
        <v>12480</v>
      </c>
      <c r="H566" s="1" t="s">
        <v>2511</v>
      </c>
      <c r="I566" s="2">
        <v>25.48</v>
      </c>
      <c r="J566" s="2">
        <v>2.83</v>
      </c>
      <c r="K566" s="2">
        <v>3.18</v>
      </c>
      <c r="L566" s="2">
        <v>3.38</v>
      </c>
      <c r="M566" s="4">
        <f t="shared" si="48"/>
        <v>8.0125786163522008</v>
      </c>
      <c r="N566" s="4">
        <f t="shared" si="49"/>
        <v>7.5384615384615392</v>
      </c>
      <c r="O566" s="5">
        <f t="shared" si="50"/>
        <v>0.12367491166077738</v>
      </c>
      <c r="P566" s="5">
        <f t="shared" si="51"/>
        <v>6.2893081761006275E-2</v>
      </c>
      <c r="Q566" s="4">
        <f t="shared" si="52"/>
        <v>0.64787421383647803</v>
      </c>
      <c r="R566" s="4">
        <f t="shared" si="53"/>
        <v>1.1986153846153851</v>
      </c>
      <c r="S566" s="4">
        <v>6.27</v>
      </c>
      <c r="T566" s="2">
        <v>1.17</v>
      </c>
      <c r="U566" s="2">
        <v>35.81</v>
      </c>
      <c r="V566" s="2">
        <v>23.33</v>
      </c>
      <c r="W566" s="2">
        <v>5.12</v>
      </c>
      <c r="X566" s="2">
        <v>-5.7</v>
      </c>
      <c r="Y566" s="2">
        <v>-27.12</v>
      </c>
      <c r="Z566" s="2">
        <v>-23.48</v>
      </c>
    </row>
    <row r="567" spans="1:26" x14ac:dyDescent="0.25">
      <c r="A567" s="1" t="s">
        <v>2512</v>
      </c>
      <c r="B567" s="1" t="s">
        <v>2513</v>
      </c>
      <c r="C567" s="1" t="s">
        <v>45</v>
      </c>
      <c r="D567" s="1" t="s">
        <v>32</v>
      </c>
      <c r="E567" s="1" t="s">
        <v>748</v>
      </c>
      <c r="F567" s="1" t="s">
        <v>2514</v>
      </c>
      <c r="G567" s="1" t="s">
        <v>12480</v>
      </c>
      <c r="H567" s="1" t="s">
        <v>2515</v>
      </c>
      <c r="I567" s="2">
        <v>50.82</v>
      </c>
      <c r="J567" s="2">
        <v>1.02</v>
      </c>
      <c r="K567" s="2">
        <v>1.26</v>
      </c>
      <c r="L567" s="2">
        <v>1.5</v>
      </c>
      <c r="M567" s="4">
        <f t="shared" si="48"/>
        <v>40.333333333333336</v>
      </c>
      <c r="N567" s="4">
        <f t="shared" si="49"/>
        <v>33.880000000000003</v>
      </c>
      <c r="O567" s="5">
        <f t="shared" si="50"/>
        <v>0.23529411764705888</v>
      </c>
      <c r="P567" s="5">
        <f t="shared" si="51"/>
        <v>0.19047619047619047</v>
      </c>
      <c r="Q567" s="4">
        <f t="shared" si="52"/>
        <v>1.7141666666666664</v>
      </c>
      <c r="R567" s="4">
        <f t="shared" si="53"/>
        <v>1.7787000000000002</v>
      </c>
      <c r="S567" s="4">
        <v>8.73</v>
      </c>
      <c r="T567" s="2">
        <v>1.46</v>
      </c>
      <c r="U567" s="2">
        <v>58.79</v>
      </c>
      <c r="V567" s="2">
        <v>23.27</v>
      </c>
      <c r="W567" s="2">
        <v>-5.59</v>
      </c>
      <c r="X567" s="2">
        <v>16.239999999999998</v>
      </c>
      <c r="Y567" s="2">
        <v>46.03</v>
      </c>
      <c r="Z567" s="2">
        <v>41.24</v>
      </c>
    </row>
    <row r="568" spans="1:26" x14ac:dyDescent="0.25">
      <c r="A568" s="1" t="s">
        <v>2516</v>
      </c>
      <c r="B568" s="1" t="s">
        <v>2517</v>
      </c>
      <c r="C568" s="1" t="s">
        <v>45</v>
      </c>
      <c r="D568" s="1" t="s">
        <v>18</v>
      </c>
      <c r="E568" s="1" t="s">
        <v>74</v>
      </c>
      <c r="F568" s="1" t="s">
        <v>2518</v>
      </c>
      <c r="G568" s="1" t="s">
        <v>12480</v>
      </c>
      <c r="H568" s="1" t="s">
        <v>2519</v>
      </c>
      <c r="I568" s="2">
        <v>61.29</v>
      </c>
      <c r="J568" s="2">
        <v>-2.08</v>
      </c>
      <c r="K568" s="2">
        <v>-2.57</v>
      </c>
      <c r="L568" s="2">
        <v>-1.83</v>
      </c>
      <c r="M568" s="4">
        <f t="shared" si="48"/>
        <v>-23.848249027237355</v>
      </c>
      <c r="N568" s="4">
        <f t="shared" si="49"/>
        <v>-33.491803278688522</v>
      </c>
      <c r="O568" s="5">
        <f t="shared" si="50"/>
        <v>0.23557692307692291</v>
      </c>
      <c r="P568" s="5">
        <f t="shared" si="51"/>
        <v>-0.28793774319066145</v>
      </c>
      <c r="Q568" s="4">
        <f t="shared" si="52"/>
        <v>-1.0123338362582395</v>
      </c>
      <c r="R568" s="4">
        <f t="shared" si="53"/>
        <v>1.1631612760301284</v>
      </c>
      <c r="S568" s="4">
        <v>254.7</v>
      </c>
      <c r="T568" s="2">
        <v>1.18</v>
      </c>
      <c r="U568" s="2">
        <v>61.88</v>
      </c>
      <c r="V568" s="2">
        <v>15.59</v>
      </c>
      <c r="W568" s="2">
        <v>6.11</v>
      </c>
      <c r="X568" s="2">
        <v>19.989999999999998</v>
      </c>
      <c r="Y568" s="2">
        <v>54.19</v>
      </c>
      <c r="Z568" s="2">
        <v>47.62</v>
      </c>
    </row>
    <row r="569" spans="1:26" x14ac:dyDescent="0.25">
      <c r="A569" s="1" t="s">
        <v>2520</v>
      </c>
      <c r="B569" s="1" t="s">
        <v>2521</v>
      </c>
      <c r="C569" s="1" t="s">
        <v>45</v>
      </c>
      <c r="D569" s="1" t="s">
        <v>128</v>
      </c>
      <c r="E569" s="1" t="s">
        <v>2351</v>
      </c>
      <c r="F569" s="1" t="s">
        <v>2522</v>
      </c>
      <c r="G569" s="1" t="s">
        <v>12480</v>
      </c>
      <c r="H569" s="1" t="s">
        <v>2523</v>
      </c>
      <c r="I569" s="2">
        <v>10.65</v>
      </c>
      <c r="J569" s="2"/>
      <c r="K569" s="2">
        <v>1.51</v>
      </c>
      <c r="L569" s="2">
        <v>1.83</v>
      </c>
      <c r="M569" s="4">
        <f t="shared" si="48"/>
        <v>7.0529801324503314</v>
      </c>
      <c r="N569" s="4">
        <f t="shared" si="49"/>
        <v>5.8196721311475406</v>
      </c>
      <c r="O569" s="5" t="e">
        <f t="shared" si="50"/>
        <v>#DIV/0!</v>
      </c>
      <c r="P569" s="5">
        <f t="shared" si="51"/>
        <v>0.21192052980132448</v>
      </c>
      <c r="Q569" s="4" t="e">
        <f t="shared" si="52"/>
        <v>#DIV/0!</v>
      </c>
      <c r="R569" s="4">
        <f t="shared" si="53"/>
        <v>0.2746157786885246</v>
      </c>
      <c r="S569" s="4"/>
      <c r="T569" s="2"/>
      <c r="U569" s="2">
        <v>35.69</v>
      </c>
      <c r="V569" s="2">
        <v>10.199999999999999</v>
      </c>
      <c r="W569" s="2">
        <v>-3.53</v>
      </c>
      <c r="X569" s="2">
        <v>-0.37</v>
      </c>
      <c r="Y569" s="2">
        <v>-24.89</v>
      </c>
      <c r="Z569" s="2">
        <v>-8.43</v>
      </c>
    </row>
    <row r="570" spans="1:26" x14ac:dyDescent="0.25">
      <c r="A570" s="1" t="s">
        <v>2524</v>
      </c>
      <c r="B570" s="1" t="s">
        <v>2525</v>
      </c>
      <c r="C570" s="1" t="s">
        <v>31</v>
      </c>
      <c r="D570" s="1" t="s">
        <v>38</v>
      </c>
      <c r="E570" s="1" t="s">
        <v>189</v>
      </c>
      <c r="F570" s="1" t="s">
        <v>2526</v>
      </c>
      <c r="G570" s="1" t="s">
        <v>12490</v>
      </c>
      <c r="H570" s="1" t="s">
        <v>2527</v>
      </c>
      <c r="I570" s="2" t="s">
        <v>12611</v>
      </c>
      <c r="J570" s="2">
        <v>3.45</v>
      </c>
      <c r="K570" s="2"/>
      <c r="L570" s="2"/>
      <c r="M570" s="4" t="e">
        <f t="shared" si="48"/>
        <v>#DIV/0!</v>
      </c>
      <c r="N570" s="4" t="e">
        <f t="shared" si="49"/>
        <v>#DIV/0!</v>
      </c>
      <c r="O570" s="5">
        <f t="shared" si="50"/>
        <v>-1</v>
      </c>
      <c r="P570" s="5" t="e">
        <f t="shared" si="51"/>
        <v>#DIV/0!</v>
      </c>
      <c r="Q570" s="4" t="e">
        <f t="shared" si="52"/>
        <v>#DIV/0!</v>
      </c>
      <c r="R570" s="4" t="e">
        <f t="shared" si="53"/>
        <v>#DIV/0!</v>
      </c>
      <c r="S570" s="4">
        <v>10.49</v>
      </c>
      <c r="T570" s="2">
        <v>0.14000000000000001</v>
      </c>
      <c r="U570" s="2">
        <v>56.17</v>
      </c>
      <c r="V570" s="2">
        <v>37.68</v>
      </c>
      <c r="W570" s="2" t="s">
        <v>12489</v>
      </c>
      <c r="X570" s="2" t="s">
        <v>12489</v>
      </c>
      <c r="Y570" s="2">
        <v>7.75</v>
      </c>
      <c r="Z570" s="2" t="s">
        <v>12489</v>
      </c>
    </row>
    <row r="571" spans="1:26" x14ac:dyDescent="0.25">
      <c r="A571" s="1" t="s">
        <v>2528</v>
      </c>
      <c r="B571" s="1" t="s">
        <v>2529</v>
      </c>
      <c r="C571" s="1" t="s">
        <v>45</v>
      </c>
      <c r="D571" s="1" t="s">
        <v>38</v>
      </c>
      <c r="E571" s="1" t="s">
        <v>119</v>
      </c>
      <c r="F571" s="1" t="s">
        <v>2530</v>
      </c>
      <c r="G571" s="1" t="s">
        <v>12480</v>
      </c>
      <c r="H571" s="1" t="s">
        <v>387</v>
      </c>
      <c r="I571" s="2">
        <v>117.16</v>
      </c>
      <c r="J571" s="2">
        <v>8.93</v>
      </c>
      <c r="K571" s="2">
        <v>8.82</v>
      </c>
      <c r="L571" s="2">
        <v>9.1300000000000008</v>
      </c>
      <c r="M571" s="4">
        <f t="shared" si="48"/>
        <v>13.28344671201814</v>
      </c>
      <c r="N571" s="4">
        <f t="shared" si="49"/>
        <v>12.832420591456735</v>
      </c>
      <c r="O571" s="5">
        <f t="shared" si="50"/>
        <v>-1.2318029115341522E-2</v>
      </c>
      <c r="P571" s="5">
        <f t="shared" si="51"/>
        <v>3.5147392290249435E-2</v>
      </c>
      <c r="Q571" s="4">
        <f t="shared" si="52"/>
        <v>-10.783743558029292</v>
      </c>
      <c r="R571" s="4">
        <f t="shared" si="53"/>
        <v>3.6510306327951096</v>
      </c>
      <c r="S571" s="4">
        <v>5.0599999999999996</v>
      </c>
      <c r="T571" s="2">
        <v>0.51</v>
      </c>
      <c r="U571" s="2">
        <v>133.58000000000001</v>
      </c>
      <c r="V571" s="2">
        <v>108.93</v>
      </c>
      <c r="W571" s="2">
        <v>-3.14</v>
      </c>
      <c r="X571" s="2">
        <v>-8.27</v>
      </c>
      <c r="Y571" s="2">
        <v>-7.08</v>
      </c>
      <c r="Z571" s="2">
        <v>-1.71</v>
      </c>
    </row>
    <row r="572" spans="1:26" x14ac:dyDescent="0.25">
      <c r="A572" s="1" t="s">
        <v>2531</v>
      </c>
      <c r="B572" s="1" t="s">
        <v>2532</v>
      </c>
      <c r="C572" s="1" t="s">
        <v>16</v>
      </c>
      <c r="D572" s="1" t="s">
        <v>128</v>
      </c>
      <c r="E572" s="1" t="s">
        <v>210</v>
      </c>
      <c r="F572" s="1" t="s">
        <v>2533</v>
      </c>
      <c r="G572" s="1" t="s">
        <v>12480</v>
      </c>
      <c r="H572" s="1" t="s">
        <v>2534</v>
      </c>
      <c r="I572" s="2">
        <v>102.25</v>
      </c>
      <c r="J572" s="2">
        <v>3.53</v>
      </c>
      <c r="K572" s="2">
        <v>3.8</v>
      </c>
      <c r="L572" s="2">
        <v>4.0599999999999996</v>
      </c>
      <c r="M572" s="4">
        <f t="shared" si="48"/>
        <v>26.907894736842106</v>
      </c>
      <c r="N572" s="4">
        <f t="shared" si="49"/>
        <v>25.184729064039413</v>
      </c>
      <c r="O572" s="5">
        <f t="shared" si="50"/>
        <v>7.6487252124645799E-2</v>
      </c>
      <c r="P572" s="5">
        <f t="shared" si="51"/>
        <v>6.8421052631578938E-2</v>
      </c>
      <c r="Q572" s="4">
        <f t="shared" si="52"/>
        <v>3.5179580896686202</v>
      </c>
      <c r="R572" s="4">
        <f t="shared" si="53"/>
        <v>3.6808450170519147</v>
      </c>
      <c r="S572" s="4">
        <v>1.57</v>
      </c>
      <c r="T572" s="2">
        <v>0.45</v>
      </c>
      <c r="U572" s="2">
        <v>113.2</v>
      </c>
      <c r="V572" s="2">
        <v>81.599999999999994</v>
      </c>
      <c r="W572" s="2">
        <v>-1.64</v>
      </c>
      <c r="X572" s="2">
        <v>3.89</v>
      </c>
      <c r="Y572" s="2">
        <v>20.28</v>
      </c>
      <c r="Z572" s="2">
        <v>21.94</v>
      </c>
    </row>
    <row r="573" spans="1:26" x14ac:dyDescent="0.25">
      <c r="A573" s="1" t="s">
        <v>2535</v>
      </c>
      <c r="B573" s="1" t="s">
        <v>2536</v>
      </c>
      <c r="C573" s="1" t="s">
        <v>45</v>
      </c>
      <c r="D573" s="1" t="s">
        <v>147</v>
      </c>
      <c r="E573" s="1" t="s">
        <v>2000</v>
      </c>
      <c r="F573" s="1" t="s">
        <v>2537</v>
      </c>
      <c r="G573" s="1" t="s">
        <v>12480</v>
      </c>
      <c r="H573" s="1" t="s">
        <v>2538</v>
      </c>
      <c r="I573" s="2">
        <v>85.1</v>
      </c>
      <c r="J573" s="2">
        <v>6.13</v>
      </c>
      <c r="K573" s="2">
        <v>6.83</v>
      </c>
      <c r="L573" s="2">
        <v>7.61</v>
      </c>
      <c r="M573" s="4">
        <f t="shared" si="48"/>
        <v>12.459736456808198</v>
      </c>
      <c r="N573" s="4">
        <f t="shared" si="49"/>
        <v>11.182654402102495</v>
      </c>
      <c r="O573" s="5">
        <f t="shared" si="50"/>
        <v>0.11419249592169667</v>
      </c>
      <c r="P573" s="5">
        <f t="shared" si="51"/>
        <v>0.11420204978038062</v>
      </c>
      <c r="Q573" s="4">
        <f t="shared" si="52"/>
        <v>1.0911169211462026</v>
      </c>
      <c r="R573" s="4">
        <f t="shared" si="53"/>
        <v>0.97919909700461638</v>
      </c>
      <c r="S573" s="4">
        <v>7.01</v>
      </c>
      <c r="T573" s="2">
        <v>0.65</v>
      </c>
      <c r="U573" s="2">
        <v>117.59</v>
      </c>
      <c r="V573" s="2">
        <v>83.83</v>
      </c>
      <c r="W573" s="2">
        <v>-9.26</v>
      </c>
      <c r="X573" s="2">
        <v>-9.6999999999999993</v>
      </c>
      <c r="Y573" s="2">
        <v>-27.63</v>
      </c>
      <c r="Z573" s="2">
        <v>-25.21</v>
      </c>
    </row>
    <row r="574" spans="1:26" x14ac:dyDescent="0.25">
      <c r="A574" s="1" t="s">
        <v>2539</v>
      </c>
      <c r="B574" s="1" t="s">
        <v>2540</v>
      </c>
      <c r="C574" s="1" t="s">
        <v>31</v>
      </c>
      <c r="D574" s="1" t="s">
        <v>67</v>
      </c>
      <c r="E574" s="1" t="s">
        <v>381</v>
      </c>
      <c r="F574" s="1" t="s">
        <v>2541</v>
      </c>
      <c r="G574" s="1" t="s">
        <v>12480</v>
      </c>
      <c r="H574" s="1" t="s">
        <v>2542</v>
      </c>
      <c r="I574" s="2">
        <v>143.72999999999999</v>
      </c>
      <c r="J574" s="2">
        <v>7.1</v>
      </c>
      <c r="K574" s="2"/>
      <c r="L574" s="2"/>
      <c r="M574" s="4" t="e">
        <f t="shared" si="48"/>
        <v>#DIV/0!</v>
      </c>
      <c r="N574" s="4" t="e">
        <f t="shared" si="49"/>
        <v>#DIV/0!</v>
      </c>
      <c r="O574" s="5">
        <f t="shared" si="50"/>
        <v>-1</v>
      </c>
      <c r="P574" s="5" t="e">
        <f t="shared" si="51"/>
        <v>#DIV/0!</v>
      </c>
      <c r="Q574" s="4" t="e">
        <f t="shared" si="52"/>
        <v>#DIV/0!</v>
      </c>
      <c r="R574" s="4" t="e">
        <f t="shared" si="53"/>
        <v>#DIV/0!</v>
      </c>
      <c r="S574" s="4">
        <v>-0.26</v>
      </c>
      <c r="T574" s="2">
        <v>1.1000000000000001</v>
      </c>
      <c r="U574" s="2">
        <v>179.98</v>
      </c>
      <c r="V574" s="2">
        <v>119.55</v>
      </c>
      <c r="W574" s="2">
        <v>-3.31</v>
      </c>
      <c r="X574" s="2">
        <v>0.25</v>
      </c>
      <c r="Y574" s="2">
        <v>-16.010000000000002</v>
      </c>
      <c r="Z574" s="2">
        <v>-17.78</v>
      </c>
    </row>
    <row r="575" spans="1:26" x14ac:dyDescent="0.25">
      <c r="A575" s="1" t="s">
        <v>2543</v>
      </c>
      <c r="B575" s="1" t="s">
        <v>2544</v>
      </c>
      <c r="C575" s="1" t="s">
        <v>16</v>
      </c>
      <c r="D575" s="1" t="s">
        <v>18</v>
      </c>
      <c r="E575" s="1" t="s">
        <v>336</v>
      </c>
      <c r="F575" s="1" t="s">
        <v>2545</v>
      </c>
      <c r="G575" s="1" t="s">
        <v>12480</v>
      </c>
      <c r="H575" s="1" t="s">
        <v>2546</v>
      </c>
      <c r="I575" s="2">
        <v>403.47</v>
      </c>
      <c r="J575" s="2">
        <v>21.55</v>
      </c>
      <c r="K575" s="2">
        <v>23.74</v>
      </c>
      <c r="L575" s="2">
        <v>26.99</v>
      </c>
      <c r="M575" s="4">
        <f t="shared" si="48"/>
        <v>16.995366470092673</v>
      </c>
      <c r="N575" s="4">
        <f t="shared" si="49"/>
        <v>14.948869951834014</v>
      </c>
      <c r="O575" s="5">
        <f t="shared" si="50"/>
        <v>0.10162412993039438</v>
      </c>
      <c r="P575" s="5">
        <f t="shared" si="51"/>
        <v>0.13689974726200504</v>
      </c>
      <c r="Q575" s="4">
        <f t="shared" si="52"/>
        <v>1.6723751024223619</v>
      </c>
      <c r="R575" s="4">
        <f t="shared" si="53"/>
        <v>1.0919574543278141</v>
      </c>
      <c r="S575" s="4">
        <v>4.0599999999999996</v>
      </c>
      <c r="T575" s="2">
        <v>0.46</v>
      </c>
      <c r="U575" s="2">
        <v>619.21</v>
      </c>
      <c r="V575" s="2">
        <v>396.63</v>
      </c>
      <c r="W575" s="2">
        <v>-4.25</v>
      </c>
      <c r="X575" s="2">
        <v>-9.9700000000000006</v>
      </c>
      <c r="Y575" s="2">
        <v>-6.27</v>
      </c>
      <c r="Z575" s="2">
        <v>-5.7</v>
      </c>
    </row>
    <row r="576" spans="1:26" x14ac:dyDescent="0.25">
      <c r="A576" s="1" t="s">
        <v>2547</v>
      </c>
      <c r="B576" s="1" t="s">
        <v>2548</v>
      </c>
      <c r="C576" s="1" t="s">
        <v>45</v>
      </c>
      <c r="D576" s="1" t="s">
        <v>128</v>
      </c>
      <c r="E576" s="1" t="s">
        <v>556</v>
      </c>
      <c r="F576" s="1" t="s">
        <v>2549</v>
      </c>
      <c r="G576" s="1" t="s">
        <v>12480</v>
      </c>
      <c r="H576" s="1" t="s">
        <v>2550</v>
      </c>
      <c r="I576" s="2">
        <v>63.5</v>
      </c>
      <c r="J576" s="2">
        <v>1.9</v>
      </c>
      <c r="K576" s="2">
        <v>2.17</v>
      </c>
      <c r="L576" s="2">
        <v>2.52</v>
      </c>
      <c r="M576" s="4">
        <f t="shared" si="48"/>
        <v>29.262672811059907</v>
      </c>
      <c r="N576" s="4">
        <f t="shared" si="49"/>
        <v>25.198412698412699</v>
      </c>
      <c r="O576" s="5">
        <f t="shared" si="50"/>
        <v>0.14210526315789473</v>
      </c>
      <c r="P576" s="5">
        <f t="shared" si="51"/>
        <v>0.16129032258064524</v>
      </c>
      <c r="Q576" s="4">
        <f t="shared" si="52"/>
        <v>2.0592251237412529</v>
      </c>
      <c r="R576" s="4">
        <f t="shared" si="53"/>
        <v>1.5623015873015866</v>
      </c>
      <c r="S576" s="4">
        <v>9.36</v>
      </c>
      <c r="T576" s="2">
        <v>1.26</v>
      </c>
      <c r="U576" s="2">
        <v>72.430000000000007</v>
      </c>
      <c r="V576" s="2">
        <v>49.08</v>
      </c>
      <c r="W576" s="2">
        <v>-3.52</v>
      </c>
      <c r="X576" s="2">
        <v>-5.07</v>
      </c>
      <c r="Y576" s="2">
        <v>0.33</v>
      </c>
      <c r="Z576" s="2">
        <v>1.88</v>
      </c>
    </row>
    <row r="577" spans="1:26" x14ac:dyDescent="0.25">
      <c r="A577" s="1" t="s">
        <v>2551</v>
      </c>
      <c r="B577" s="1" t="s">
        <v>2552</v>
      </c>
      <c r="C577" s="1" t="s">
        <v>31</v>
      </c>
      <c r="D577" s="1" t="s">
        <v>18</v>
      </c>
      <c r="E577" s="1" t="s">
        <v>624</v>
      </c>
      <c r="F577" s="1" t="s">
        <v>2553</v>
      </c>
      <c r="G577" s="1" t="s">
        <v>12502</v>
      </c>
      <c r="H577" s="1" t="s">
        <v>2554</v>
      </c>
      <c r="I577" s="2">
        <v>64.19</v>
      </c>
      <c r="J577" s="2">
        <v>1.94</v>
      </c>
      <c r="K577" s="2"/>
      <c r="L577" s="2"/>
      <c r="M577" s="4" t="e">
        <f t="shared" si="48"/>
        <v>#DIV/0!</v>
      </c>
      <c r="N577" s="4" t="e">
        <f t="shared" si="49"/>
        <v>#DIV/0!</v>
      </c>
      <c r="O577" s="5">
        <f t="shared" si="50"/>
        <v>-1</v>
      </c>
      <c r="P577" s="5" t="e">
        <f t="shared" si="51"/>
        <v>#DIV/0!</v>
      </c>
      <c r="Q577" s="4" t="e">
        <f t="shared" si="52"/>
        <v>#DIV/0!</v>
      </c>
      <c r="R577" s="4" t="e">
        <f t="shared" si="53"/>
        <v>#DIV/0!</v>
      </c>
      <c r="S577" s="4">
        <v>2.4900000000000002</v>
      </c>
      <c r="T577" s="2">
        <v>1.06</v>
      </c>
      <c r="U577" s="2">
        <v>104.05</v>
      </c>
      <c r="V577" s="2">
        <v>62.3</v>
      </c>
      <c r="W577" s="2">
        <v>-6.97</v>
      </c>
      <c r="X577" s="2">
        <v>-28.62</v>
      </c>
      <c r="Y577" s="2">
        <v>-27.12</v>
      </c>
      <c r="Z577" s="2">
        <v>-25.73</v>
      </c>
    </row>
    <row r="578" spans="1:26" x14ac:dyDescent="0.25">
      <c r="A578" s="1" t="s">
        <v>2555</v>
      </c>
      <c r="B578" s="1" t="s">
        <v>2556</v>
      </c>
      <c r="C578" s="1" t="s">
        <v>31</v>
      </c>
      <c r="D578" s="1" t="s">
        <v>140</v>
      </c>
      <c r="E578" s="1" t="s">
        <v>2558</v>
      </c>
      <c r="F578" s="1" t="s">
        <v>2557</v>
      </c>
      <c r="G578" s="1" t="s">
        <v>12480</v>
      </c>
      <c r="H578" s="1" t="s">
        <v>2559</v>
      </c>
      <c r="I578" s="2">
        <v>0.63500000000000001</v>
      </c>
      <c r="J578" s="2">
        <v>7.0000000000000007E-2</v>
      </c>
      <c r="K578" s="2"/>
      <c r="L578" s="2"/>
      <c r="M578" s="4" t="e">
        <f t="shared" si="48"/>
        <v>#DIV/0!</v>
      </c>
      <c r="N578" s="4" t="e">
        <f t="shared" si="49"/>
        <v>#DIV/0!</v>
      </c>
      <c r="O578" s="5">
        <f t="shared" si="50"/>
        <v>-1</v>
      </c>
      <c r="P578" s="5" t="e">
        <f t="shared" si="51"/>
        <v>#DIV/0!</v>
      </c>
      <c r="Q578" s="4" t="e">
        <f t="shared" si="52"/>
        <v>#DIV/0!</v>
      </c>
      <c r="R578" s="4" t="e">
        <f t="shared" si="53"/>
        <v>#DIV/0!</v>
      </c>
      <c r="S578" s="4">
        <v>-5.39</v>
      </c>
      <c r="T578" s="2">
        <v>0.17</v>
      </c>
      <c r="U578" s="2">
        <v>0.67</v>
      </c>
      <c r="V578" s="2">
        <v>0.45</v>
      </c>
      <c r="W578" s="2" t="s">
        <v>12489</v>
      </c>
      <c r="X578" s="2" t="s">
        <v>12489</v>
      </c>
      <c r="Y578" s="2">
        <v>-4.7</v>
      </c>
      <c r="Z578" s="2">
        <v>-4.7</v>
      </c>
    </row>
    <row r="579" spans="1:26" x14ac:dyDescent="0.25">
      <c r="A579" s="1" t="s">
        <v>2560</v>
      </c>
      <c r="B579" s="1" t="s">
        <v>2561</v>
      </c>
      <c r="C579" s="1" t="s">
        <v>31</v>
      </c>
      <c r="D579" s="1" t="s">
        <v>18</v>
      </c>
      <c r="E579" s="1" t="s">
        <v>780</v>
      </c>
      <c r="F579" s="1" t="s">
        <v>2562</v>
      </c>
      <c r="G579" s="1" t="s">
        <v>12480</v>
      </c>
      <c r="H579" s="1" t="s">
        <v>2563</v>
      </c>
      <c r="I579" s="2">
        <v>30.51</v>
      </c>
      <c r="J579" s="2">
        <v>0.88</v>
      </c>
      <c r="K579" s="2"/>
      <c r="L579" s="2"/>
      <c r="M579" s="4" t="e">
        <f t="shared" ref="M579:M642" si="54">I579/K579</f>
        <v>#DIV/0!</v>
      </c>
      <c r="N579" s="4" t="e">
        <f t="shared" ref="N579:N642" si="55">I579/L579</f>
        <v>#DIV/0!</v>
      </c>
      <c r="O579" s="5">
        <f t="shared" ref="O579:O642" si="56">K579/J579-1</f>
        <v>-1</v>
      </c>
      <c r="P579" s="5" t="e">
        <f t="shared" ref="P579:P642" si="57">L579/K579-1</f>
        <v>#DIV/0!</v>
      </c>
      <c r="Q579" s="4" t="e">
        <f t="shared" ref="Q579:Q642" si="58">M579/(O579*100)</f>
        <v>#DIV/0!</v>
      </c>
      <c r="R579" s="4" t="e">
        <f t="shared" ref="R579:R642" si="59">N579/(P579*100)</f>
        <v>#DIV/0!</v>
      </c>
      <c r="S579" s="4">
        <v>8.68</v>
      </c>
      <c r="T579" s="2">
        <v>0.6</v>
      </c>
      <c r="U579" s="2">
        <v>33.61</v>
      </c>
      <c r="V579" s="2">
        <v>20.05</v>
      </c>
      <c r="W579" s="2">
        <v>-5.16</v>
      </c>
      <c r="X579" s="2">
        <v>3.67</v>
      </c>
      <c r="Y579" s="2">
        <v>11.47</v>
      </c>
      <c r="Z579" s="2">
        <v>16.14</v>
      </c>
    </row>
    <row r="580" spans="1:26" x14ac:dyDescent="0.25">
      <c r="A580" s="1" t="s">
        <v>2564</v>
      </c>
      <c r="B580" s="1" t="s">
        <v>2565</v>
      </c>
      <c r="C580" s="1" t="s">
        <v>16</v>
      </c>
      <c r="D580" s="1" t="s">
        <v>147</v>
      </c>
      <c r="E580" s="1" t="s">
        <v>180</v>
      </c>
      <c r="F580" s="1" t="s">
        <v>2566</v>
      </c>
      <c r="G580" s="1" t="s">
        <v>12480</v>
      </c>
      <c r="H580" s="1" t="s">
        <v>2567</v>
      </c>
      <c r="I580" s="2">
        <v>98.12</v>
      </c>
      <c r="J580" s="2">
        <v>6.94</v>
      </c>
      <c r="K580" s="2">
        <v>7.33</v>
      </c>
      <c r="L580" s="2">
        <v>7.84</v>
      </c>
      <c r="M580" s="4">
        <f t="shared" si="54"/>
        <v>13.386084583901773</v>
      </c>
      <c r="N580" s="4">
        <f t="shared" si="55"/>
        <v>12.51530612244898</v>
      </c>
      <c r="O580" s="5">
        <f t="shared" si="56"/>
        <v>5.6195965417867422E-2</v>
      </c>
      <c r="P580" s="5">
        <f t="shared" si="57"/>
        <v>6.9577080491132204E-2</v>
      </c>
      <c r="Q580" s="4">
        <f t="shared" si="58"/>
        <v>2.3820365900584188</v>
      </c>
      <c r="R580" s="4">
        <f t="shared" si="59"/>
        <v>1.7987685074029645</v>
      </c>
      <c r="S580" s="4">
        <v>0.75</v>
      </c>
      <c r="T580" s="2">
        <v>0.75</v>
      </c>
      <c r="U580" s="2">
        <v>145.12</v>
      </c>
      <c r="V580" s="2">
        <v>84.4</v>
      </c>
      <c r="W580" s="2">
        <v>-5.79</v>
      </c>
      <c r="X580" s="2">
        <v>-8.94</v>
      </c>
      <c r="Y580" s="2">
        <v>8.0500000000000007</v>
      </c>
      <c r="Z580" s="2" t="s">
        <v>12490</v>
      </c>
    </row>
    <row r="581" spans="1:26" x14ac:dyDescent="0.25">
      <c r="A581" s="1" t="s">
        <v>2568</v>
      </c>
      <c r="B581" s="1" t="s">
        <v>2569</v>
      </c>
      <c r="C581" s="1" t="s">
        <v>45</v>
      </c>
      <c r="D581" s="1" t="s">
        <v>32</v>
      </c>
      <c r="E581" s="1" t="s">
        <v>2571</v>
      </c>
      <c r="F581" s="1" t="s">
        <v>2570</v>
      </c>
      <c r="G581" s="1" t="s">
        <v>12480</v>
      </c>
      <c r="H581" s="1" t="s">
        <v>2572</v>
      </c>
      <c r="I581" s="2">
        <v>160.85</v>
      </c>
      <c r="J581" s="2">
        <v>11.89</v>
      </c>
      <c r="K581" s="2">
        <v>10.42</v>
      </c>
      <c r="L581" s="2">
        <v>11.49</v>
      </c>
      <c r="M581" s="4">
        <f t="shared" si="54"/>
        <v>15.436660268714011</v>
      </c>
      <c r="N581" s="4">
        <f t="shared" si="55"/>
        <v>13.999129677980852</v>
      </c>
      <c r="O581" s="5">
        <f t="shared" si="56"/>
        <v>-0.12363330529857031</v>
      </c>
      <c r="P581" s="5">
        <f t="shared" si="57"/>
        <v>0.10268714011516322</v>
      </c>
      <c r="Q581" s="4">
        <f t="shared" si="58"/>
        <v>-1.2485842897619692</v>
      </c>
      <c r="R581" s="4">
        <f t="shared" si="59"/>
        <v>1.3632797312575735</v>
      </c>
      <c r="S581" s="4">
        <v>6.25</v>
      </c>
      <c r="T581" s="2">
        <v>0.63</v>
      </c>
      <c r="U581" s="2">
        <v>233.47</v>
      </c>
      <c r="V581" s="2">
        <v>152.07</v>
      </c>
      <c r="W581" s="2">
        <v>3.79</v>
      </c>
      <c r="X581" s="2">
        <v>-11.27</v>
      </c>
      <c r="Y581" s="2">
        <v>-14.12</v>
      </c>
      <c r="Z581" s="2">
        <v>-13.32</v>
      </c>
    </row>
    <row r="582" spans="1:26" x14ac:dyDescent="0.25">
      <c r="A582" s="1" t="s">
        <v>2573</v>
      </c>
      <c r="B582" s="1" t="s">
        <v>2574</v>
      </c>
      <c r="C582" s="1" t="s">
        <v>45</v>
      </c>
      <c r="D582" s="1" t="s">
        <v>94</v>
      </c>
      <c r="E582" s="1" t="s">
        <v>894</v>
      </c>
      <c r="F582" s="1" t="s">
        <v>2575</v>
      </c>
      <c r="G582" s="1" t="s">
        <v>12480</v>
      </c>
      <c r="H582" s="1" t="s">
        <v>2576</v>
      </c>
      <c r="I582" s="2">
        <v>123.22</v>
      </c>
      <c r="J582" s="2">
        <v>9.5299999999999994</v>
      </c>
      <c r="K582" s="2">
        <v>4.79</v>
      </c>
      <c r="L582" s="2">
        <v>8.74</v>
      </c>
      <c r="M582" s="4">
        <f t="shared" si="54"/>
        <v>25.724425887265134</v>
      </c>
      <c r="N582" s="4">
        <f t="shared" si="55"/>
        <v>14.098398169336384</v>
      </c>
      <c r="O582" s="5">
        <f t="shared" si="56"/>
        <v>-0.49737670514165788</v>
      </c>
      <c r="P582" s="5">
        <f t="shared" si="57"/>
        <v>0.82463465553235915</v>
      </c>
      <c r="Q582" s="4">
        <f t="shared" si="58"/>
        <v>-0.51720206477982444</v>
      </c>
      <c r="R582" s="4">
        <f t="shared" si="59"/>
        <v>0.17096538539524372</v>
      </c>
      <c r="S582" s="4">
        <v>-7.12</v>
      </c>
      <c r="T582" s="2">
        <v>0.84</v>
      </c>
      <c r="U582" s="2">
        <v>123.22</v>
      </c>
      <c r="V582" s="2">
        <v>82.03</v>
      </c>
      <c r="W582" s="2">
        <v>8.74</v>
      </c>
      <c r="X582" s="2">
        <v>20.399999999999999</v>
      </c>
      <c r="Y582" s="2">
        <v>29.39</v>
      </c>
      <c r="Z582" s="2">
        <v>32.92</v>
      </c>
    </row>
    <row r="583" spans="1:26" x14ac:dyDescent="0.25">
      <c r="A583" s="1" t="s">
        <v>2577</v>
      </c>
      <c r="B583" s="1" t="s">
        <v>2578</v>
      </c>
      <c r="C583" s="1" t="s">
        <v>45</v>
      </c>
      <c r="D583" s="1" t="s">
        <v>46</v>
      </c>
      <c r="E583" s="1" t="s">
        <v>1142</v>
      </c>
      <c r="F583" s="1" t="s">
        <v>2579</v>
      </c>
      <c r="G583" s="1" t="s">
        <v>12480</v>
      </c>
      <c r="H583" s="1" t="s">
        <v>2580</v>
      </c>
      <c r="I583" s="2">
        <v>181.94</v>
      </c>
      <c r="J583" s="2">
        <v>5.09</v>
      </c>
      <c r="K583" s="2">
        <v>5.9</v>
      </c>
      <c r="L583" s="2">
        <v>6.84</v>
      </c>
      <c r="M583" s="4">
        <f t="shared" si="54"/>
        <v>30.837288135593219</v>
      </c>
      <c r="N583" s="4">
        <f t="shared" si="55"/>
        <v>26.599415204678362</v>
      </c>
      <c r="O583" s="5">
        <f t="shared" si="56"/>
        <v>0.15913555992141459</v>
      </c>
      <c r="P583" s="5">
        <f t="shared" si="57"/>
        <v>0.15932203389830502</v>
      </c>
      <c r="Q583" s="4">
        <f t="shared" si="58"/>
        <v>1.9377999581502399</v>
      </c>
      <c r="R583" s="4">
        <f t="shared" si="59"/>
        <v>1.669537762846834</v>
      </c>
      <c r="S583" s="4">
        <v>-8.42</v>
      </c>
      <c r="T583" s="2">
        <v>0.9</v>
      </c>
      <c r="U583" s="2">
        <v>200.59</v>
      </c>
      <c r="V583" s="2">
        <v>86.96</v>
      </c>
      <c r="W583" s="2">
        <v>-2.83</v>
      </c>
      <c r="X583" s="2">
        <v>-9.17</v>
      </c>
      <c r="Y583" s="2">
        <v>15.44</v>
      </c>
      <c r="Z583" s="2">
        <v>13.18</v>
      </c>
    </row>
    <row r="584" spans="1:26" x14ac:dyDescent="0.25">
      <c r="A584" s="1" t="s">
        <v>2582</v>
      </c>
      <c r="B584" s="1" t="s">
        <v>2583</v>
      </c>
      <c r="C584" s="1" t="s">
        <v>16</v>
      </c>
      <c r="D584" s="1" t="s">
        <v>354</v>
      </c>
      <c r="E584" s="1" t="s">
        <v>1537</v>
      </c>
      <c r="F584" s="1" t="s">
        <v>2584</v>
      </c>
      <c r="G584" s="1" t="s">
        <v>12480</v>
      </c>
      <c r="H584" s="1" t="s">
        <v>2585</v>
      </c>
      <c r="I584" s="2">
        <v>43.16</v>
      </c>
      <c r="J584" s="2">
        <v>1.6</v>
      </c>
      <c r="K584" s="2">
        <v>1.68</v>
      </c>
      <c r="L584" s="2"/>
      <c r="M584" s="4">
        <f t="shared" si="54"/>
        <v>25.69047619047619</v>
      </c>
      <c r="N584" s="4" t="e">
        <f t="shared" si="55"/>
        <v>#DIV/0!</v>
      </c>
      <c r="O584" s="5">
        <f t="shared" si="56"/>
        <v>4.9999999999999822E-2</v>
      </c>
      <c r="P584" s="5">
        <f t="shared" si="57"/>
        <v>-1</v>
      </c>
      <c r="Q584" s="4">
        <f t="shared" si="58"/>
        <v>5.1380952380952563</v>
      </c>
      <c r="R584" s="4" t="e">
        <f t="shared" si="59"/>
        <v>#DIV/0!</v>
      </c>
      <c r="S584" s="4">
        <v>5.89</v>
      </c>
      <c r="T584" s="2">
        <v>0.28999999999999998</v>
      </c>
      <c r="U584" s="2">
        <v>46.95</v>
      </c>
      <c r="V584" s="2">
        <v>37.72</v>
      </c>
      <c r="W584" s="2">
        <v>-1.19</v>
      </c>
      <c r="X584" s="2">
        <v>3.25</v>
      </c>
      <c r="Y584" s="2" t="s">
        <v>12513</v>
      </c>
      <c r="Z584" s="2">
        <v>3.48</v>
      </c>
    </row>
    <row r="585" spans="1:26" x14ac:dyDescent="0.25">
      <c r="A585" s="1" t="s">
        <v>2587</v>
      </c>
      <c r="B585" s="1" t="s">
        <v>2588</v>
      </c>
      <c r="C585" s="1" t="s">
        <v>45</v>
      </c>
      <c r="D585" s="1" t="s">
        <v>147</v>
      </c>
      <c r="E585" s="1" t="s">
        <v>2590</v>
      </c>
      <c r="F585" s="1" t="s">
        <v>2589</v>
      </c>
      <c r="G585" s="1" t="s">
        <v>12480</v>
      </c>
      <c r="H585" s="1" t="s">
        <v>2591</v>
      </c>
      <c r="I585" s="2">
        <v>222.81</v>
      </c>
      <c r="J585" s="2">
        <v>36.21</v>
      </c>
      <c r="K585" s="2">
        <v>43.77</v>
      </c>
      <c r="L585" s="2">
        <v>48.65</v>
      </c>
      <c r="M585" s="4">
        <f t="shared" si="54"/>
        <v>5.0904729266620974</v>
      </c>
      <c r="N585" s="4">
        <f t="shared" si="55"/>
        <v>4.5798561151079138</v>
      </c>
      <c r="O585" s="5">
        <f t="shared" si="56"/>
        <v>0.20878210439105227</v>
      </c>
      <c r="P585" s="5">
        <f t="shared" si="57"/>
        <v>0.11149188942197852</v>
      </c>
      <c r="Q585" s="4">
        <f t="shared" si="58"/>
        <v>0.24381749295560115</v>
      </c>
      <c r="R585" s="4">
        <f t="shared" si="59"/>
        <v>0.41077930770137988</v>
      </c>
      <c r="S585" s="4">
        <v>-0.56000000000000005</v>
      </c>
      <c r="T585" s="2">
        <v>1.02</v>
      </c>
      <c r="U585" s="2">
        <v>427.25</v>
      </c>
      <c r="V585" s="2">
        <v>182.81</v>
      </c>
      <c r="W585" s="2">
        <v>-4.29</v>
      </c>
      <c r="X585" s="2">
        <v>-6.48</v>
      </c>
      <c r="Y585" s="2">
        <v>6.34</v>
      </c>
      <c r="Z585" s="2">
        <v>6.74</v>
      </c>
    </row>
    <row r="586" spans="1:26" x14ac:dyDescent="0.25">
      <c r="A586" s="1" t="s">
        <v>2592</v>
      </c>
      <c r="B586" s="1" t="s">
        <v>2593</v>
      </c>
      <c r="C586" s="1" t="s">
        <v>16</v>
      </c>
      <c r="D586" s="1" t="s">
        <v>67</v>
      </c>
      <c r="E586" s="1" t="s">
        <v>833</v>
      </c>
      <c r="F586" s="1" t="s">
        <v>2594</v>
      </c>
      <c r="G586" s="1" t="s">
        <v>12493</v>
      </c>
      <c r="H586" s="1" t="s">
        <v>12612</v>
      </c>
      <c r="I586" s="2">
        <v>26.15</v>
      </c>
      <c r="J586" s="2">
        <v>1.04</v>
      </c>
      <c r="K586" s="2">
        <v>1.57</v>
      </c>
      <c r="L586" s="2">
        <v>1.92</v>
      </c>
      <c r="M586" s="4">
        <f t="shared" si="54"/>
        <v>16.65605095541401</v>
      </c>
      <c r="N586" s="4">
        <f t="shared" si="55"/>
        <v>13.619791666666666</v>
      </c>
      <c r="O586" s="5">
        <f t="shared" si="56"/>
        <v>0.50961538461538458</v>
      </c>
      <c r="P586" s="5">
        <f t="shared" si="57"/>
        <v>0.22292993630573243</v>
      </c>
      <c r="Q586" s="4">
        <f t="shared" si="58"/>
        <v>0.32683571686095414</v>
      </c>
      <c r="R586" s="4">
        <f t="shared" si="59"/>
        <v>0.61094494047619063</v>
      </c>
      <c r="S586" s="4">
        <v>6.4</v>
      </c>
      <c r="T586" s="2">
        <v>1.6</v>
      </c>
      <c r="U586" s="2">
        <v>48.21</v>
      </c>
      <c r="V586" s="2">
        <v>23.8</v>
      </c>
      <c r="W586" s="2">
        <v>-3.4</v>
      </c>
      <c r="X586" s="2">
        <v>-4.53</v>
      </c>
      <c r="Y586" s="2">
        <v>-21.09</v>
      </c>
      <c r="Z586" s="2">
        <v>-20.88</v>
      </c>
    </row>
    <row r="587" spans="1:26" x14ac:dyDescent="0.25">
      <c r="A587" s="1" t="s">
        <v>2595</v>
      </c>
      <c r="B587" s="1" t="s">
        <v>2596</v>
      </c>
      <c r="C587" s="1" t="s">
        <v>31</v>
      </c>
      <c r="D587" s="1" t="s">
        <v>61</v>
      </c>
      <c r="E587" s="1" t="s">
        <v>237</v>
      </c>
      <c r="F587" s="1" t="s">
        <v>2597</v>
      </c>
      <c r="G587" s="1" t="s">
        <v>12490</v>
      </c>
      <c r="H587" s="1" t="s">
        <v>2598</v>
      </c>
      <c r="I587" s="2">
        <v>7.7</v>
      </c>
      <c r="J587" s="2">
        <v>0.63</v>
      </c>
      <c r="K587" s="2"/>
      <c r="L587" s="2"/>
      <c r="M587" s="4" t="e">
        <f t="shared" si="54"/>
        <v>#DIV/0!</v>
      </c>
      <c r="N587" s="4" t="e">
        <f t="shared" si="55"/>
        <v>#DIV/0!</v>
      </c>
      <c r="O587" s="5">
        <f t="shared" si="56"/>
        <v>-1</v>
      </c>
      <c r="P587" s="5" t="e">
        <f t="shared" si="57"/>
        <v>#DIV/0!</v>
      </c>
      <c r="Q587" s="4" t="e">
        <f t="shared" si="58"/>
        <v>#DIV/0!</v>
      </c>
      <c r="R587" s="4" t="e">
        <f t="shared" si="59"/>
        <v>#DIV/0!</v>
      </c>
      <c r="S587" s="4">
        <v>-14.38</v>
      </c>
      <c r="T587" s="2">
        <v>-0.43</v>
      </c>
      <c r="U587" s="2">
        <v>9.8699999999999992</v>
      </c>
      <c r="V587" s="2">
        <v>1.95</v>
      </c>
      <c r="W587" s="2">
        <v>-21.99</v>
      </c>
      <c r="X587" s="2">
        <v>-21.99</v>
      </c>
      <c r="Y587" s="2">
        <v>70.349999999999994</v>
      </c>
      <c r="Z587" s="2">
        <v>70.349999999999994</v>
      </c>
    </row>
    <row r="588" spans="1:26" x14ac:dyDescent="0.25">
      <c r="A588" s="1" t="s">
        <v>2599</v>
      </c>
      <c r="B588" s="1" t="s">
        <v>2600</v>
      </c>
      <c r="C588" s="1" t="s">
        <v>45</v>
      </c>
      <c r="D588" s="1" t="s">
        <v>38</v>
      </c>
      <c r="E588" s="1" t="s">
        <v>52</v>
      </c>
      <c r="F588" s="1" t="s">
        <v>2601</v>
      </c>
      <c r="G588" s="1" t="s">
        <v>12480</v>
      </c>
      <c r="H588" s="1" t="s">
        <v>2602</v>
      </c>
      <c r="I588" s="2">
        <v>22.63</v>
      </c>
      <c r="J588" s="2">
        <v>-4.2699999999999996</v>
      </c>
      <c r="K588" s="2">
        <v>0.15</v>
      </c>
      <c r="L588" s="2">
        <v>0.65</v>
      </c>
      <c r="M588" s="4">
        <f t="shared" si="54"/>
        <v>150.86666666666667</v>
      </c>
      <c r="N588" s="4">
        <f t="shared" si="55"/>
        <v>34.815384615384616</v>
      </c>
      <c r="O588" s="5">
        <f t="shared" si="56"/>
        <v>-1.0351288056206089</v>
      </c>
      <c r="P588" s="5">
        <f t="shared" si="57"/>
        <v>3.3333333333333339</v>
      </c>
      <c r="Q588" s="4">
        <f t="shared" si="58"/>
        <v>-1.4574675716440422</v>
      </c>
      <c r="R588" s="4">
        <f t="shared" si="59"/>
        <v>0.10444615384615384</v>
      </c>
      <c r="S588" s="4">
        <v>30.69</v>
      </c>
      <c r="T588" s="2"/>
      <c r="U588" s="2">
        <v>37.11</v>
      </c>
      <c r="V588" s="2">
        <v>17.05</v>
      </c>
      <c r="W588" s="2">
        <v>0.04</v>
      </c>
      <c r="X588" s="2">
        <v>1.03</v>
      </c>
      <c r="Y588" s="2">
        <v>-8.08</v>
      </c>
      <c r="Z588" s="2">
        <v>-10.09</v>
      </c>
    </row>
    <row r="589" spans="1:26" x14ac:dyDescent="0.25">
      <c r="A589" s="1" t="s">
        <v>2603</v>
      </c>
      <c r="B589" s="1" t="s">
        <v>2604</v>
      </c>
      <c r="C589" s="1" t="s">
        <v>16</v>
      </c>
      <c r="D589" s="1" t="s">
        <v>18</v>
      </c>
      <c r="E589" s="1" t="s">
        <v>2606</v>
      </c>
      <c r="F589" s="1" t="s">
        <v>2605</v>
      </c>
      <c r="G589" s="1" t="s">
        <v>12480</v>
      </c>
      <c r="H589" s="1" t="s">
        <v>2607</v>
      </c>
      <c r="I589" s="2">
        <v>269.66000000000003</v>
      </c>
      <c r="J589" s="2">
        <v>29.84</v>
      </c>
      <c r="K589" s="2">
        <v>30.29</v>
      </c>
      <c r="L589" s="2">
        <v>33.29</v>
      </c>
      <c r="M589" s="4">
        <f t="shared" si="54"/>
        <v>8.9026081214922428</v>
      </c>
      <c r="N589" s="4">
        <f t="shared" si="55"/>
        <v>8.1003304295584275</v>
      </c>
      <c r="O589" s="5">
        <f t="shared" si="56"/>
        <v>1.5080428954423519E-2</v>
      </c>
      <c r="P589" s="5">
        <f t="shared" si="57"/>
        <v>9.9042588312974633E-2</v>
      </c>
      <c r="Q589" s="4">
        <f t="shared" si="58"/>
        <v>5.9034183632295516</v>
      </c>
      <c r="R589" s="4">
        <f t="shared" si="59"/>
        <v>0.81786336237108215</v>
      </c>
      <c r="S589" s="4">
        <v>11.24</v>
      </c>
      <c r="T589" s="2">
        <v>0.27</v>
      </c>
      <c r="U589" s="2">
        <v>340.04</v>
      </c>
      <c r="V589" s="2">
        <v>244.41</v>
      </c>
      <c r="W589" s="2">
        <v>-7.29</v>
      </c>
      <c r="X589" s="2">
        <v>-8.4</v>
      </c>
      <c r="Y589" s="2">
        <v>-2.7</v>
      </c>
      <c r="Z589" s="2">
        <v>-2.02</v>
      </c>
    </row>
    <row r="590" spans="1:26" x14ac:dyDescent="0.25">
      <c r="A590" s="1" t="s">
        <v>2608</v>
      </c>
      <c r="B590" s="1" t="s">
        <v>2609</v>
      </c>
      <c r="C590" s="1" t="s">
        <v>31</v>
      </c>
      <c r="D590" s="1" t="s">
        <v>128</v>
      </c>
      <c r="E590" s="1" t="s">
        <v>2611</v>
      </c>
      <c r="F590" s="1" t="s">
        <v>2610</v>
      </c>
      <c r="G590" s="1" t="s">
        <v>12480</v>
      </c>
      <c r="H590" s="1" t="s">
        <v>2612</v>
      </c>
      <c r="I590" s="2">
        <v>21.1845</v>
      </c>
      <c r="J590" s="2">
        <v>1.71</v>
      </c>
      <c r="K590" s="2"/>
      <c r="L590" s="2"/>
      <c r="M590" s="4" t="e">
        <f t="shared" si="54"/>
        <v>#DIV/0!</v>
      </c>
      <c r="N590" s="4" t="e">
        <f t="shared" si="55"/>
        <v>#DIV/0!</v>
      </c>
      <c r="O590" s="5">
        <f t="shared" si="56"/>
        <v>-1</v>
      </c>
      <c r="P590" s="5" t="e">
        <f t="shared" si="57"/>
        <v>#DIV/0!</v>
      </c>
      <c r="Q590" s="4" t="e">
        <f t="shared" si="58"/>
        <v>#DIV/0!</v>
      </c>
      <c r="R590" s="4" t="e">
        <f t="shared" si="59"/>
        <v>#DIV/0!</v>
      </c>
      <c r="S590" s="4">
        <v>-11.6</v>
      </c>
      <c r="T590" s="2">
        <v>-0.16</v>
      </c>
      <c r="U590" s="2">
        <v>26.3</v>
      </c>
      <c r="V590" s="2">
        <v>17.97</v>
      </c>
      <c r="W590" s="2">
        <v>7.56</v>
      </c>
      <c r="X590" s="2">
        <v>-4.96</v>
      </c>
      <c r="Y590" s="2">
        <v>11.12</v>
      </c>
      <c r="Z590" s="2">
        <v>9.74</v>
      </c>
    </row>
    <row r="591" spans="1:26" x14ac:dyDescent="0.25">
      <c r="A591" s="1" t="s">
        <v>2613</v>
      </c>
      <c r="B591" s="1" t="s">
        <v>2614</v>
      </c>
      <c r="C591" s="1" t="s">
        <v>16</v>
      </c>
      <c r="D591" s="1" t="s">
        <v>2417</v>
      </c>
      <c r="E591" s="1" t="s">
        <v>2418</v>
      </c>
      <c r="F591" s="1" t="s">
        <v>2615</v>
      </c>
      <c r="G591" s="1" t="s">
        <v>12480</v>
      </c>
      <c r="H591" s="1" t="s">
        <v>2616</v>
      </c>
      <c r="I591" s="2">
        <v>67.42</v>
      </c>
      <c r="J591" s="2">
        <v>6.3</v>
      </c>
      <c r="K591" s="2">
        <v>8.2200000000000006</v>
      </c>
      <c r="L591" s="2">
        <v>8.68</v>
      </c>
      <c r="M591" s="4">
        <f t="shared" si="54"/>
        <v>8.2019464720194648</v>
      </c>
      <c r="N591" s="4">
        <f t="shared" si="55"/>
        <v>7.7672811059907838</v>
      </c>
      <c r="O591" s="5">
        <f t="shared" si="56"/>
        <v>0.30476190476190479</v>
      </c>
      <c r="P591" s="5">
        <f t="shared" si="57"/>
        <v>5.5961070559610526E-2</v>
      </c>
      <c r="Q591" s="4">
        <f t="shared" si="58"/>
        <v>0.26912636861313866</v>
      </c>
      <c r="R591" s="4">
        <f t="shared" si="59"/>
        <v>1.3879793628531401</v>
      </c>
      <c r="S591" s="4">
        <v>0.99</v>
      </c>
      <c r="T591" s="2">
        <v>0.83</v>
      </c>
      <c r="U591" s="2">
        <v>84.53</v>
      </c>
      <c r="V591" s="2">
        <v>36.11</v>
      </c>
      <c r="W591" s="2">
        <v>0.99</v>
      </c>
      <c r="X591" s="2">
        <v>-15.63</v>
      </c>
      <c r="Y591" s="2">
        <v>6.91</v>
      </c>
      <c r="Z591" s="2">
        <v>5.99</v>
      </c>
    </row>
    <row r="592" spans="1:26" x14ac:dyDescent="0.25">
      <c r="A592" s="1" t="s">
        <v>2618</v>
      </c>
      <c r="B592" s="1" t="s">
        <v>2619</v>
      </c>
      <c r="C592" s="1" t="s">
        <v>31</v>
      </c>
      <c r="D592" s="1" t="s">
        <v>38</v>
      </c>
      <c r="E592" s="1" t="s">
        <v>189</v>
      </c>
      <c r="F592" s="1" t="s">
        <v>2620</v>
      </c>
      <c r="G592" s="1" t="s">
        <v>12480</v>
      </c>
      <c r="H592" s="1" t="s">
        <v>2621</v>
      </c>
      <c r="I592" s="2">
        <v>20.329999999999998</v>
      </c>
      <c r="J592" s="2">
        <v>3.64</v>
      </c>
      <c r="K592" s="2">
        <v>3.6</v>
      </c>
      <c r="L592" s="2"/>
      <c r="M592" s="4">
        <f t="shared" si="54"/>
        <v>5.6472222222222213</v>
      </c>
      <c r="N592" s="4" t="e">
        <f t="shared" si="55"/>
        <v>#DIV/0!</v>
      </c>
      <c r="O592" s="5">
        <f t="shared" si="56"/>
        <v>-1.098901098901095E-2</v>
      </c>
      <c r="P592" s="5">
        <f t="shared" si="57"/>
        <v>-1</v>
      </c>
      <c r="Q592" s="4">
        <f t="shared" si="58"/>
        <v>-5.1389722222222396</v>
      </c>
      <c r="R592" s="4" t="e">
        <f t="shared" si="59"/>
        <v>#DIV/0!</v>
      </c>
      <c r="S592" s="4">
        <v>-2.83</v>
      </c>
      <c r="T592" s="2">
        <v>0.13</v>
      </c>
      <c r="U592" s="2">
        <v>21.63</v>
      </c>
      <c r="V592" s="2">
        <v>15.57</v>
      </c>
      <c r="W592" s="2">
        <v>2.16</v>
      </c>
      <c r="X592" s="2">
        <v>-1.88</v>
      </c>
      <c r="Y592" s="2">
        <v>4.8499999999999996</v>
      </c>
      <c r="Z592" s="2">
        <v>3.04</v>
      </c>
    </row>
    <row r="593" spans="1:26" x14ac:dyDescent="0.25">
      <c r="A593" s="1" t="s">
        <v>2623</v>
      </c>
      <c r="B593" s="1" t="s">
        <v>2624</v>
      </c>
      <c r="C593" s="1" t="s">
        <v>31</v>
      </c>
      <c r="D593" s="1" t="s">
        <v>46</v>
      </c>
      <c r="E593" s="1" t="s">
        <v>770</v>
      </c>
      <c r="F593" s="1" t="s">
        <v>2625</v>
      </c>
      <c r="G593" s="1" t="s">
        <v>12480</v>
      </c>
      <c r="H593" s="1" t="s">
        <v>2626</v>
      </c>
      <c r="I593" s="2">
        <v>9.7089999999999996</v>
      </c>
      <c r="J593" s="2">
        <v>2.14</v>
      </c>
      <c r="K593" s="2"/>
      <c r="L593" s="2"/>
      <c r="M593" s="4" t="e">
        <f t="shared" si="54"/>
        <v>#DIV/0!</v>
      </c>
      <c r="N593" s="4" t="e">
        <f t="shared" si="55"/>
        <v>#DIV/0!</v>
      </c>
      <c r="O593" s="5">
        <f t="shared" si="56"/>
        <v>-1</v>
      </c>
      <c r="P593" s="5" t="e">
        <f t="shared" si="57"/>
        <v>#DIV/0!</v>
      </c>
      <c r="Q593" s="4" t="e">
        <f t="shared" si="58"/>
        <v>#DIV/0!</v>
      </c>
      <c r="R593" s="4" t="e">
        <f t="shared" si="59"/>
        <v>#DIV/0!</v>
      </c>
      <c r="S593" s="4">
        <v>31.05</v>
      </c>
      <c r="T593" s="2">
        <v>1.02</v>
      </c>
      <c r="U593" s="2">
        <v>10.33</v>
      </c>
      <c r="V593" s="2">
        <v>6.4</v>
      </c>
      <c r="W593" s="2">
        <v>-0.88</v>
      </c>
      <c r="X593" s="2">
        <v>11.09</v>
      </c>
      <c r="Y593" s="2">
        <v>11.6</v>
      </c>
      <c r="Z593" s="2">
        <v>9.09</v>
      </c>
    </row>
    <row r="594" spans="1:26" x14ac:dyDescent="0.25">
      <c r="A594" s="1" t="s">
        <v>2627</v>
      </c>
      <c r="B594" s="1" t="s">
        <v>2628</v>
      </c>
      <c r="C594" s="1" t="s">
        <v>16</v>
      </c>
      <c r="D594" s="1" t="s">
        <v>32</v>
      </c>
      <c r="E594" s="1" t="s">
        <v>1572</v>
      </c>
      <c r="F594" s="1" t="s">
        <v>2629</v>
      </c>
      <c r="G594" s="1" t="s">
        <v>12479</v>
      </c>
      <c r="H594" s="1" t="s">
        <v>2630</v>
      </c>
      <c r="I594" s="2">
        <v>318.54000000000002</v>
      </c>
      <c r="J594" s="2">
        <v>2.64</v>
      </c>
      <c r="K594" s="2">
        <v>5.45</v>
      </c>
      <c r="L594" s="2">
        <v>7.2</v>
      </c>
      <c r="M594" s="4">
        <f t="shared" si="54"/>
        <v>58.447706422018349</v>
      </c>
      <c r="N594" s="4">
        <f t="shared" si="55"/>
        <v>44.241666666666667</v>
      </c>
      <c r="O594" s="5">
        <f t="shared" si="56"/>
        <v>1.0643939393939394</v>
      </c>
      <c r="P594" s="5">
        <f t="shared" si="57"/>
        <v>0.32110091743119273</v>
      </c>
      <c r="Q594" s="4">
        <f t="shared" si="58"/>
        <v>0.54911724182963861</v>
      </c>
      <c r="R594" s="4">
        <f t="shared" si="59"/>
        <v>1.3778119047619046</v>
      </c>
      <c r="S594" s="4">
        <v>18.79</v>
      </c>
      <c r="T594" s="2">
        <v>1.08</v>
      </c>
      <c r="U594" s="2">
        <v>353.73</v>
      </c>
      <c r="V594" s="2">
        <v>53.5</v>
      </c>
      <c r="W594" s="2">
        <v>-9.9499999999999993</v>
      </c>
      <c r="X594" s="2">
        <v>9.9600000000000009</v>
      </c>
      <c r="Y594" s="2">
        <v>47.35</v>
      </c>
      <c r="Z594" s="2">
        <v>36.200000000000003</v>
      </c>
    </row>
    <row r="595" spans="1:26" x14ac:dyDescent="0.25">
      <c r="A595" s="1" t="s">
        <v>2631</v>
      </c>
      <c r="B595" s="1" t="s">
        <v>2632</v>
      </c>
      <c r="C595" s="1" t="s">
        <v>45</v>
      </c>
      <c r="D595" s="1" t="s">
        <v>140</v>
      </c>
      <c r="E595" s="1" t="s">
        <v>284</v>
      </c>
      <c r="F595" s="1" t="s">
        <v>2633</v>
      </c>
      <c r="G595" s="1" t="s">
        <v>12480</v>
      </c>
      <c r="H595" s="1" t="s">
        <v>2634</v>
      </c>
      <c r="I595" s="2">
        <v>14.31</v>
      </c>
      <c r="J595" s="2">
        <v>-2.15</v>
      </c>
      <c r="K595" s="2">
        <v>-0.9</v>
      </c>
      <c r="L595" s="2">
        <v>-0.73</v>
      </c>
      <c r="M595" s="4">
        <f t="shared" si="54"/>
        <v>-15.9</v>
      </c>
      <c r="N595" s="4">
        <f t="shared" si="55"/>
        <v>-19.602739726027398</v>
      </c>
      <c r="O595" s="5">
        <f t="shared" si="56"/>
        <v>-0.58139534883720922</v>
      </c>
      <c r="P595" s="5">
        <f t="shared" si="57"/>
        <v>-0.18888888888888888</v>
      </c>
      <c r="Q595" s="4">
        <f t="shared" si="58"/>
        <v>0.27348000000000006</v>
      </c>
      <c r="R595" s="4">
        <f t="shared" si="59"/>
        <v>1.0377921031426269</v>
      </c>
      <c r="S595" s="4">
        <v>48.04</v>
      </c>
      <c r="T595" s="2">
        <v>2.96</v>
      </c>
      <c r="U595" s="2">
        <v>24.71</v>
      </c>
      <c r="V595" s="2">
        <v>2.1</v>
      </c>
      <c r="W595" s="2">
        <v>-9.1999999999999993</v>
      </c>
      <c r="X595" s="2">
        <v>-14.62</v>
      </c>
      <c r="Y595" s="2">
        <v>-2.92</v>
      </c>
      <c r="Z595" s="2">
        <v>-3.05</v>
      </c>
    </row>
    <row r="596" spans="1:26" x14ac:dyDescent="0.25">
      <c r="A596" s="1" t="s">
        <v>2635</v>
      </c>
      <c r="B596" s="1" t="s">
        <v>2636</v>
      </c>
      <c r="C596" s="1" t="s">
        <v>45</v>
      </c>
      <c r="D596" s="1" t="s">
        <v>38</v>
      </c>
      <c r="E596" s="1" t="s">
        <v>1806</v>
      </c>
      <c r="F596" s="1" t="s">
        <v>2637</v>
      </c>
      <c r="G596" s="1" t="s">
        <v>12480</v>
      </c>
      <c r="H596" s="1" t="s">
        <v>2638</v>
      </c>
      <c r="I596" s="2">
        <v>117.92</v>
      </c>
      <c r="J596" s="2">
        <v>6.58</v>
      </c>
      <c r="K596" s="2">
        <v>7.49</v>
      </c>
      <c r="L596" s="2">
        <v>8.44</v>
      </c>
      <c r="M596" s="4">
        <f t="shared" si="54"/>
        <v>15.743658210947931</v>
      </c>
      <c r="N596" s="4">
        <f t="shared" si="55"/>
        <v>13.971563981042655</v>
      </c>
      <c r="O596" s="5">
        <f t="shared" si="56"/>
        <v>0.13829787234042556</v>
      </c>
      <c r="P596" s="5">
        <f t="shared" si="57"/>
        <v>0.12683578104138848</v>
      </c>
      <c r="Q596" s="4">
        <f t="shared" si="58"/>
        <v>1.1383875937146963</v>
      </c>
      <c r="R596" s="4">
        <f t="shared" si="59"/>
        <v>1.1015475180843106</v>
      </c>
      <c r="S596" s="4">
        <v>15.27</v>
      </c>
      <c r="T596" s="2">
        <v>1.4</v>
      </c>
      <c r="U596" s="2">
        <v>169.29</v>
      </c>
      <c r="V596" s="2">
        <v>106.71</v>
      </c>
      <c r="W596" s="2">
        <v>1.18</v>
      </c>
      <c r="X596" s="2">
        <v>-17.649999999999999</v>
      </c>
      <c r="Y596" s="2">
        <v>-18.7</v>
      </c>
      <c r="Z596" s="2">
        <v>-19.79</v>
      </c>
    </row>
    <row r="597" spans="1:26" x14ac:dyDescent="0.25">
      <c r="A597" s="1" t="s">
        <v>2639</v>
      </c>
      <c r="B597" s="1" t="s">
        <v>2640</v>
      </c>
      <c r="C597" s="1" t="s">
        <v>31</v>
      </c>
      <c r="D597" s="1" t="s">
        <v>38</v>
      </c>
      <c r="E597" s="1" t="s">
        <v>189</v>
      </c>
      <c r="F597" s="1" t="s">
        <v>2641</v>
      </c>
      <c r="G597" s="1" t="s">
        <v>12480</v>
      </c>
      <c r="H597" s="1" t="s">
        <v>2642</v>
      </c>
      <c r="I597" s="2">
        <v>31.72</v>
      </c>
      <c r="J597" s="2">
        <v>3.94</v>
      </c>
      <c r="K597" s="2"/>
      <c r="L597" s="2"/>
      <c r="M597" s="4" t="e">
        <f t="shared" si="54"/>
        <v>#DIV/0!</v>
      </c>
      <c r="N597" s="4" t="e">
        <f t="shared" si="55"/>
        <v>#DIV/0!</v>
      </c>
      <c r="O597" s="5">
        <f t="shared" si="56"/>
        <v>-1</v>
      </c>
      <c r="P597" s="5" t="e">
        <f t="shared" si="57"/>
        <v>#DIV/0!</v>
      </c>
      <c r="Q597" s="4" t="e">
        <f t="shared" si="58"/>
        <v>#DIV/0!</v>
      </c>
      <c r="R597" s="4" t="e">
        <f t="shared" si="59"/>
        <v>#DIV/0!</v>
      </c>
      <c r="S597" s="4">
        <v>-1.7</v>
      </c>
      <c r="T597" s="2">
        <v>0.28999999999999998</v>
      </c>
      <c r="U597" s="2">
        <v>35.75</v>
      </c>
      <c r="V597" s="2">
        <v>25.15</v>
      </c>
      <c r="W597" s="2">
        <v>3.29</v>
      </c>
      <c r="X597" s="2">
        <v>0.22</v>
      </c>
      <c r="Y597" s="2">
        <v>-2.54</v>
      </c>
      <c r="Z597" s="2">
        <v>-6.21</v>
      </c>
    </row>
    <row r="598" spans="1:26" x14ac:dyDescent="0.25">
      <c r="A598" s="1" t="s">
        <v>2643</v>
      </c>
      <c r="B598" s="1" t="s">
        <v>2644</v>
      </c>
      <c r="C598" s="1" t="s">
        <v>16</v>
      </c>
      <c r="D598" s="1" t="s">
        <v>38</v>
      </c>
      <c r="E598" s="1" t="s">
        <v>153</v>
      </c>
      <c r="F598" s="1" t="s">
        <v>2645</v>
      </c>
      <c r="G598" s="1" t="s">
        <v>12480</v>
      </c>
      <c r="H598" s="1" t="s">
        <v>2646</v>
      </c>
      <c r="I598" s="2">
        <v>13.51</v>
      </c>
      <c r="J598" s="2">
        <v>1.68</v>
      </c>
      <c r="K598" s="2"/>
      <c r="L598" s="2"/>
      <c r="M598" s="4" t="e">
        <f t="shared" si="54"/>
        <v>#DIV/0!</v>
      </c>
      <c r="N598" s="4" t="e">
        <f t="shared" si="55"/>
        <v>#DIV/0!</v>
      </c>
      <c r="O598" s="5">
        <f t="shared" si="56"/>
        <v>-1</v>
      </c>
      <c r="P598" s="5" t="e">
        <f t="shared" si="57"/>
        <v>#DIV/0!</v>
      </c>
      <c r="Q598" s="4" t="e">
        <f t="shared" si="58"/>
        <v>#DIV/0!</v>
      </c>
      <c r="R598" s="4" t="e">
        <f t="shared" si="59"/>
        <v>#DIV/0!</v>
      </c>
      <c r="S598" s="4">
        <v>7.94</v>
      </c>
      <c r="T598" s="2">
        <v>1.8</v>
      </c>
      <c r="U598" s="2">
        <v>14.74</v>
      </c>
      <c r="V598" s="2">
        <v>10.47</v>
      </c>
      <c r="W598" s="2">
        <v>-1.53</v>
      </c>
      <c r="X598" s="2">
        <v>11.47</v>
      </c>
      <c r="Y598" s="2">
        <v>5.88</v>
      </c>
      <c r="Z598" s="2">
        <v>8.69</v>
      </c>
    </row>
    <row r="599" spans="1:26" x14ac:dyDescent="0.25">
      <c r="A599" s="1" t="s">
        <v>2647</v>
      </c>
      <c r="B599" s="1" t="s">
        <v>2648</v>
      </c>
      <c r="C599" s="1" t="s">
        <v>45</v>
      </c>
      <c r="D599" s="1" t="s">
        <v>38</v>
      </c>
      <c r="E599" s="1" t="s">
        <v>194</v>
      </c>
      <c r="F599" s="1" t="s">
        <v>2649</v>
      </c>
      <c r="G599" s="1" t="s">
        <v>12480</v>
      </c>
      <c r="H599" s="1" t="s">
        <v>2650</v>
      </c>
      <c r="I599" s="2">
        <v>163.32</v>
      </c>
      <c r="J599" s="2">
        <v>7.95</v>
      </c>
      <c r="K599" s="2">
        <v>8.4700000000000006</v>
      </c>
      <c r="L599" s="2">
        <v>9.0500000000000007</v>
      </c>
      <c r="M599" s="4">
        <f t="shared" si="54"/>
        <v>19.282172373081462</v>
      </c>
      <c r="N599" s="4">
        <f t="shared" si="55"/>
        <v>18.046408839779005</v>
      </c>
      <c r="O599" s="5">
        <f t="shared" si="56"/>
        <v>6.5408805031446526E-2</v>
      </c>
      <c r="P599" s="5">
        <f t="shared" si="57"/>
        <v>6.8476977567886621E-2</v>
      </c>
      <c r="Q599" s="4">
        <f t="shared" si="58"/>
        <v>2.9479475070384162</v>
      </c>
      <c r="R599" s="4">
        <f t="shared" si="59"/>
        <v>2.6353979805677286</v>
      </c>
      <c r="S599" s="4">
        <v>11.41</v>
      </c>
      <c r="T599" s="2">
        <v>0.63</v>
      </c>
      <c r="U599" s="2">
        <v>172.65</v>
      </c>
      <c r="V599" s="2">
        <v>126.6</v>
      </c>
      <c r="W599" s="2">
        <v>-3.92</v>
      </c>
      <c r="X599" s="2">
        <v>-3.19</v>
      </c>
      <c r="Y599" s="2">
        <v>-2.2400000000000002</v>
      </c>
      <c r="Z599" s="2" t="s">
        <v>12489</v>
      </c>
    </row>
    <row r="600" spans="1:26" x14ac:dyDescent="0.25">
      <c r="A600" s="1" t="s">
        <v>2651</v>
      </c>
      <c r="B600" s="1" t="s">
        <v>2652</v>
      </c>
      <c r="C600" s="1" t="s">
        <v>31</v>
      </c>
      <c r="D600" s="1" t="s">
        <v>67</v>
      </c>
      <c r="E600" s="1" t="s">
        <v>2654</v>
      </c>
      <c r="F600" s="1" t="s">
        <v>2653</v>
      </c>
      <c r="G600" s="1" t="s">
        <v>12490</v>
      </c>
      <c r="H600" s="1" t="s">
        <v>2655</v>
      </c>
      <c r="I600" s="2">
        <v>18.55</v>
      </c>
      <c r="J600" s="2">
        <v>0.76</v>
      </c>
      <c r="K600" s="2"/>
      <c r="L600" s="2"/>
      <c r="M600" s="4" t="e">
        <f t="shared" si="54"/>
        <v>#DIV/0!</v>
      </c>
      <c r="N600" s="4" t="e">
        <f t="shared" si="55"/>
        <v>#DIV/0!</v>
      </c>
      <c r="O600" s="5">
        <f t="shared" si="56"/>
        <v>-1</v>
      </c>
      <c r="P600" s="5" t="e">
        <f t="shared" si="57"/>
        <v>#DIV/0!</v>
      </c>
      <c r="Q600" s="4" t="e">
        <f t="shared" si="58"/>
        <v>#DIV/0!</v>
      </c>
      <c r="R600" s="4" t="e">
        <f t="shared" si="59"/>
        <v>#DIV/0!</v>
      </c>
      <c r="S600" s="4">
        <v>-17.239999999999998</v>
      </c>
      <c r="T600" s="2">
        <v>0.22</v>
      </c>
      <c r="U600" s="2" t="s">
        <v>12544</v>
      </c>
      <c r="V600" s="2">
        <v>10.25</v>
      </c>
      <c r="W600" s="2" t="s">
        <v>12489</v>
      </c>
      <c r="X600" s="2" t="s">
        <v>12489</v>
      </c>
      <c r="Y600" s="2">
        <v>18.91</v>
      </c>
      <c r="Z600" s="2">
        <v>12.05</v>
      </c>
    </row>
    <row r="601" spans="1:26" x14ac:dyDescent="0.25">
      <c r="A601" s="1" t="s">
        <v>2656</v>
      </c>
      <c r="B601" s="1" t="s">
        <v>2657</v>
      </c>
      <c r="C601" s="1" t="s">
        <v>31</v>
      </c>
      <c r="D601" s="1" t="s">
        <v>46</v>
      </c>
      <c r="E601" s="1" t="s">
        <v>683</v>
      </c>
      <c r="F601" s="1" t="s">
        <v>2658</v>
      </c>
      <c r="G601" s="1" t="s">
        <v>12490</v>
      </c>
      <c r="H601" s="1" t="s">
        <v>2659</v>
      </c>
      <c r="I601" s="2">
        <v>13.504200000000001</v>
      </c>
      <c r="J601" s="2">
        <v>1.54</v>
      </c>
      <c r="K601" s="2">
        <v>1.71</v>
      </c>
      <c r="L601" s="2">
        <v>1.57</v>
      </c>
      <c r="M601" s="4">
        <f t="shared" si="54"/>
        <v>7.8971929824561409</v>
      </c>
      <c r="N601" s="4">
        <f t="shared" si="55"/>
        <v>8.6014012738853509</v>
      </c>
      <c r="O601" s="5">
        <f t="shared" si="56"/>
        <v>0.11038961038961026</v>
      </c>
      <c r="P601" s="5">
        <f t="shared" si="57"/>
        <v>-8.1871345029239762E-2</v>
      </c>
      <c r="Q601" s="4">
        <f t="shared" si="58"/>
        <v>0.71539277605779239</v>
      </c>
      <c r="R601" s="4">
        <f t="shared" si="59"/>
        <v>-1.0505997270245679</v>
      </c>
      <c r="S601" s="4">
        <v>1.54</v>
      </c>
      <c r="T601" s="2">
        <v>0.19</v>
      </c>
      <c r="U601" s="2">
        <v>15.56</v>
      </c>
      <c r="V601" s="2">
        <v>9.51</v>
      </c>
      <c r="W601" s="2">
        <v>-7.35</v>
      </c>
      <c r="X601" s="2">
        <v>-11.27</v>
      </c>
      <c r="Y601" s="2">
        <v>-7.12</v>
      </c>
      <c r="Z601" s="2">
        <v>-1.79</v>
      </c>
    </row>
    <row r="602" spans="1:26" x14ac:dyDescent="0.25">
      <c r="A602" s="1" t="s">
        <v>2660</v>
      </c>
      <c r="B602" s="1" t="s">
        <v>2661</v>
      </c>
      <c r="C602" s="1" t="s">
        <v>31</v>
      </c>
      <c r="D602" s="1" t="s">
        <v>2417</v>
      </c>
      <c r="E602" s="1" t="s">
        <v>2418</v>
      </c>
      <c r="F602" s="1" t="s">
        <v>2662</v>
      </c>
      <c r="G602" s="1" t="s">
        <v>12480</v>
      </c>
      <c r="H602" s="1" t="s">
        <v>2663</v>
      </c>
      <c r="I602" s="2">
        <v>7.55</v>
      </c>
      <c r="J602" s="2">
        <v>0.56999999999999995</v>
      </c>
      <c r="K602" s="2"/>
      <c r="L602" s="2"/>
      <c r="M602" s="4" t="e">
        <f t="shared" si="54"/>
        <v>#DIV/0!</v>
      </c>
      <c r="N602" s="4" t="e">
        <f t="shared" si="55"/>
        <v>#DIV/0!</v>
      </c>
      <c r="O602" s="5">
        <f t="shared" si="56"/>
        <v>-1</v>
      </c>
      <c r="P602" s="5" t="e">
        <f t="shared" si="57"/>
        <v>#DIV/0!</v>
      </c>
      <c r="Q602" s="4" t="e">
        <f t="shared" si="58"/>
        <v>#DIV/0!</v>
      </c>
      <c r="R602" s="4" t="e">
        <f t="shared" si="59"/>
        <v>#DIV/0!</v>
      </c>
      <c r="S602" s="4">
        <v>2.1</v>
      </c>
      <c r="T602" s="2">
        <v>0.31</v>
      </c>
      <c r="U602" s="2">
        <v>8.42</v>
      </c>
      <c r="V602" s="2">
        <v>4.9000000000000004</v>
      </c>
      <c r="W602" s="2">
        <v>-5.64</v>
      </c>
      <c r="X602" s="2">
        <v>-9.58</v>
      </c>
      <c r="Y602" s="2">
        <v>8.17</v>
      </c>
      <c r="Z602" s="2">
        <v>11.19</v>
      </c>
    </row>
    <row r="603" spans="1:26" x14ac:dyDescent="0.25">
      <c r="A603" s="1" t="s">
        <v>2664</v>
      </c>
      <c r="B603" s="1" t="s">
        <v>2665</v>
      </c>
      <c r="C603" s="1" t="s">
        <v>31</v>
      </c>
      <c r="D603" s="1" t="s">
        <v>61</v>
      </c>
      <c r="E603" s="1" t="s">
        <v>237</v>
      </c>
      <c r="F603" s="1" t="s">
        <v>2666</v>
      </c>
      <c r="G603" s="1" t="s">
        <v>12480</v>
      </c>
      <c r="H603" s="1" t="s">
        <v>2667</v>
      </c>
      <c r="I603" s="2">
        <v>6.36</v>
      </c>
      <c r="J603" s="2">
        <v>0.55000000000000004</v>
      </c>
      <c r="K603" s="2">
        <v>0.52</v>
      </c>
      <c r="L603" s="2">
        <v>0.62</v>
      </c>
      <c r="M603" s="4">
        <f t="shared" si="54"/>
        <v>12.230769230769232</v>
      </c>
      <c r="N603" s="4">
        <f t="shared" si="55"/>
        <v>10.258064516129032</v>
      </c>
      <c r="O603" s="5">
        <f t="shared" si="56"/>
        <v>-5.4545454545454564E-2</v>
      </c>
      <c r="P603" s="5">
        <f t="shared" si="57"/>
        <v>0.19230769230769229</v>
      </c>
      <c r="Q603" s="4">
        <f t="shared" si="58"/>
        <v>-2.2423076923076914</v>
      </c>
      <c r="R603" s="4">
        <f t="shared" si="59"/>
        <v>0.53341935483870973</v>
      </c>
      <c r="S603" s="4">
        <v>-3.08</v>
      </c>
      <c r="T603" s="2">
        <v>-0.2</v>
      </c>
      <c r="U603" s="2" t="s">
        <v>12496</v>
      </c>
      <c r="V603" s="2">
        <v>4.84</v>
      </c>
      <c r="W603" s="2" t="s">
        <v>12489</v>
      </c>
      <c r="X603" s="2">
        <v>-5.78</v>
      </c>
      <c r="Y603" s="2">
        <v>22.54</v>
      </c>
      <c r="Z603" s="2">
        <v>19.100000000000001</v>
      </c>
    </row>
    <row r="604" spans="1:26" x14ac:dyDescent="0.25">
      <c r="A604" s="1" t="s">
        <v>2668</v>
      </c>
      <c r="B604" s="1" t="s">
        <v>2669</v>
      </c>
      <c r="C604" s="1" t="s">
        <v>16</v>
      </c>
      <c r="D604" s="1" t="s">
        <v>128</v>
      </c>
      <c r="E604" s="1" t="s">
        <v>210</v>
      </c>
      <c r="F604" s="1" t="s">
        <v>2670</v>
      </c>
      <c r="G604" s="1" t="s">
        <v>12480</v>
      </c>
      <c r="H604" s="1" t="s">
        <v>2671</v>
      </c>
      <c r="I604" s="2" t="s">
        <v>12615</v>
      </c>
      <c r="J604" s="2">
        <v>3.69</v>
      </c>
      <c r="K604" s="2">
        <v>3.9</v>
      </c>
      <c r="L604" s="2">
        <v>4.16</v>
      </c>
      <c r="M604" s="4">
        <f t="shared" si="54"/>
        <v>23.846153846153847</v>
      </c>
      <c r="N604" s="4">
        <f t="shared" si="55"/>
        <v>22.35576923076923</v>
      </c>
      <c r="O604" s="5">
        <f t="shared" si="56"/>
        <v>5.6910569105691033E-2</v>
      </c>
      <c r="P604" s="5">
        <f t="shared" si="57"/>
        <v>6.6666666666666652E-2</v>
      </c>
      <c r="Q604" s="4">
        <f t="shared" si="58"/>
        <v>4.1901098901098921</v>
      </c>
      <c r="R604" s="4">
        <f t="shared" si="59"/>
        <v>3.353365384615385</v>
      </c>
      <c r="S604" s="4">
        <v>1.4</v>
      </c>
      <c r="T604" s="2">
        <v>0.28000000000000003</v>
      </c>
      <c r="U604" s="2">
        <v>99.14</v>
      </c>
      <c r="V604" s="2">
        <v>74.98</v>
      </c>
      <c r="W604" s="2">
        <v>-4.42</v>
      </c>
      <c r="X604" s="2">
        <v>-1.23</v>
      </c>
      <c r="Y604" s="2">
        <v>17.079999999999998</v>
      </c>
      <c r="Z604" s="2">
        <v>17.690000000000001</v>
      </c>
    </row>
    <row r="605" spans="1:26" x14ac:dyDescent="0.25">
      <c r="A605" s="1" t="s">
        <v>2672</v>
      </c>
      <c r="B605" s="1" t="s">
        <v>2673</v>
      </c>
      <c r="C605" s="1" t="s">
        <v>45</v>
      </c>
      <c r="D605" s="1" t="s">
        <v>38</v>
      </c>
      <c r="E605" s="1" t="s">
        <v>52</v>
      </c>
      <c r="F605" s="1" t="s">
        <v>2674</v>
      </c>
      <c r="G605" s="1" t="s">
        <v>12480</v>
      </c>
      <c r="H605" s="1" t="s">
        <v>2675</v>
      </c>
      <c r="I605" s="2">
        <v>17.87</v>
      </c>
      <c r="J605" s="2">
        <v>0.52</v>
      </c>
      <c r="K605" s="2">
        <v>0.68</v>
      </c>
      <c r="L605" s="2">
        <v>0.79</v>
      </c>
      <c r="M605" s="4">
        <f t="shared" si="54"/>
        <v>26.27941176470588</v>
      </c>
      <c r="N605" s="4">
        <f t="shared" si="55"/>
        <v>22.620253164556964</v>
      </c>
      <c r="O605" s="5">
        <f t="shared" si="56"/>
        <v>0.30769230769230771</v>
      </c>
      <c r="P605" s="5">
        <f t="shared" si="57"/>
        <v>0.16176470588235281</v>
      </c>
      <c r="Q605" s="4">
        <f t="shared" si="58"/>
        <v>0.85408088235294111</v>
      </c>
      <c r="R605" s="4">
        <f t="shared" si="59"/>
        <v>1.398342922899886</v>
      </c>
      <c r="S605" s="4">
        <v>3.85</v>
      </c>
      <c r="T605" s="2">
        <v>0.21</v>
      </c>
      <c r="U605" s="2">
        <v>18.52</v>
      </c>
      <c r="V605" s="2">
        <v>13.07</v>
      </c>
      <c r="W605" s="2">
        <v>-2.2400000000000002</v>
      </c>
      <c r="X605" s="2">
        <v>-2.5099999999999998</v>
      </c>
      <c r="Y605" s="2">
        <v>4.1399999999999997</v>
      </c>
      <c r="Z605" s="2">
        <v>14.99</v>
      </c>
    </row>
    <row r="606" spans="1:26" x14ac:dyDescent="0.25">
      <c r="A606" s="1" t="s">
        <v>2677</v>
      </c>
      <c r="B606" s="1" t="s">
        <v>2678</v>
      </c>
      <c r="C606" s="1" t="s">
        <v>45</v>
      </c>
      <c r="D606" s="1" t="s">
        <v>32</v>
      </c>
      <c r="E606" s="1" t="s">
        <v>311</v>
      </c>
      <c r="F606" s="1" t="s">
        <v>2679</v>
      </c>
      <c r="G606" s="1" t="s">
        <v>12480</v>
      </c>
      <c r="H606" s="1" t="s">
        <v>2680</v>
      </c>
      <c r="I606" s="2">
        <v>14.93</v>
      </c>
      <c r="J606" s="2">
        <v>0.51</v>
      </c>
      <c r="K606" s="2">
        <v>0.56999999999999995</v>
      </c>
      <c r="L606" s="2">
        <v>0.67</v>
      </c>
      <c r="M606" s="4">
        <f t="shared" si="54"/>
        <v>26.192982456140353</v>
      </c>
      <c r="N606" s="4">
        <f t="shared" si="55"/>
        <v>22.283582089552237</v>
      </c>
      <c r="O606" s="5">
        <f t="shared" si="56"/>
        <v>0.11764705882352922</v>
      </c>
      <c r="P606" s="5">
        <f t="shared" si="57"/>
        <v>0.17543859649122817</v>
      </c>
      <c r="Q606" s="4">
        <f t="shared" si="58"/>
        <v>2.2264035087719338</v>
      </c>
      <c r="R606" s="4">
        <f t="shared" si="59"/>
        <v>1.2701641791044769</v>
      </c>
      <c r="S606" s="4">
        <v>18.559999999999999</v>
      </c>
      <c r="T606" s="2">
        <v>1.3</v>
      </c>
      <c r="U606" s="2">
        <v>20.61</v>
      </c>
      <c r="V606" s="2">
        <v>11.94</v>
      </c>
      <c r="W606" s="2">
        <v>10.59</v>
      </c>
      <c r="X606" s="2">
        <v>1.91</v>
      </c>
      <c r="Y606" s="2">
        <v>-16.36</v>
      </c>
      <c r="Z606" s="2">
        <v>-17.190000000000001</v>
      </c>
    </row>
    <row r="607" spans="1:26" x14ac:dyDescent="0.25">
      <c r="A607" s="1" t="s">
        <v>2682</v>
      </c>
      <c r="B607" s="1" t="s">
        <v>2683</v>
      </c>
      <c r="C607" s="1" t="s">
        <v>45</v>
      </c>
      <c r="D607" s="1" t="s">
        <v>18</v>
      </c>
      <c r="E607" s="1" t="s">
        <v>74</v>
      </c>
      <c r="F607" s="1" t="s">
        <v>2684</v>
      </c>
      <c r="G607" s="1" t="s">
        <v>12480</v>
      </c>
      <c r="H607" s="1" t="s">
        <v>2685</v>
      </c>
      <c r="I607" s="2">
        <v>30.73</v>
      </c>
      <c r="J607" s="2">
        <v>-3.9</v>
      </c>
      <c r="K607" s="2">
        <v>-4.95</v>
      </c>
      <c r="L607" s="2">
        <v>-5.4</v>
      </c>
      <c r="M607" s="4">
        <f t="shared" si="54"/>
        <v>-6.2080808080808083</v>
      </c>
      <c r="N607" s="4">
        <f t="shared" si="55"/>
        <v>-5.6907407407407407</v>
      </c>
      <c r="O607" s="5">
        <f t="shared" si="56"/>
        <v>0.26923076923076938</v>
      </c>
      <c r="P607" s="5">
        <f t="shared" si="57"/>
        <v>9.090909090909105E-2</v>
      </c>
      <c r="Q607" s="4">
        <f t="shared" si="58"/>
        <v>-0.23058585858585848</v>
      </c>
      <c r="R607" s="4">
        <f t="shared" si="59"/>
        <v>-0.62598148148148058</v>
      </c>
      <c r="S607" s="4">
        <v>-77.989999999999995</v>
      </c>
      <c r="T607" s="2">
        <v>1.17</v>
      </c>
      <c r="U607" s="2">
        <v>30.82</v>
      </c>
      <c r="V607" s="2">
        <v>15.13</v>
      </c>
      <c r="W607" s="2">
        <v>2.4300000000000002</v>
      </c>
      <c r="X607" s="2">
        <v>23.86</v>
      </c>
      <c r="Y607" s="2">
        <v>13.44</v>
      </c>
      <c r="Z607" s="2">
        <v>13.14</v>
      </c>
    </row>
    <row r="608" spans="1:26" x14ac:dyDescent="0.25">
      <c r="A608" s="1" t="s">
        <v>2687</v>
      </c>
      <c r="B608" s="1" t="s">
        <v>2688</v>
      </c>
      <c r="C608" s="1" t="s">
        <v>16</v>
      </c>
      <c r="D608" s="1" t="s">
        <v>88</v>
      </c>
      <c r="E608" s="1" t="s">
        <v>912</v>
      </c>
      <c r="F608" s="1" t="s">
        <v>2689</v>
      </c>
      <c r="G608" s="1" t="s">
        <v>12480</v>
      </c>
      <c r="H608" s="1" t="s">
        <v>2690</v>
      </c>
      <c r="I608" s="2">
        <v>9.5500000000000007</v>
      </c>
      <c r="J608" s="2">
        <v>-2.48</v>
      </c>
      <c r="K608" s="2">
        <v>-0.38</v>
      </c>
      <c r="L608" s="2">
        <v>0.63</v>
      </c>
      <c r="M608" s="4">
        <f t="shared" si="54"/>
        <v>-25.131578947368421</v>
      </c>
      <c r="N608" s="4">
        <f t="shared" si="55"/>
        <v>15.15873015873016</v>
      </c>
      <c r="O608" s="5">
        <f t="shared" si="56"/>
        <v>-0.84677419354838712</v>
      </c>
      <c r="P608" s="5">
        <f t="shared" si="57"/>
        <v>-2.6578947368421053</v>
      </c>
      <c r="Q608" s="4">
        <f t="shared" si="58"/>
        <v>0.29679197994987466</v>
      </c>
      <c r="R608" s="4">
        <f t="shared" si="59"/>
        <v>-5.7032846141757042E-2</v>
      </c>
      <c r="S608" s="4" t="s">
        <v>12590</v>
      </c>
      <c r="T608" s="2">
        <v>1.99</v>
      </c>
      <c r="U608" s="2">
        <v>16.18</v>
      </c>
      <c r="V608" s="2">
        <v>5.83</v>
      </c>
      <c r="W608" s="2">
        <v>-16.23</v>
      </c>
      <c r="X608" s="2">
        <v>-22.42</v>
      </c>
      <c r="Y608" s="2">
        <v>-25.1</v>
      </c>
      <c r="Z608" s="2">
        <v>-28.09</v>
      </c>
    </row>
    <row r="609" spans="1:26" x14ac:dyDescent="0.25">
      <c r="A609" s="1" t="s">
        <v>2691</v>
      </c>
      <c r="B609" s="1" t="s">
        <v>2692</v>
      </c>
      <c r="C609" s="1" t="s">
        <v>16</v>
      </c>
      <c r="D609" s="1" t="s">
        <v>140</v>
      </c>
      <c r="E609" s="1" t="s">
        <v>2558</v>
      </c>
      <c r="F609" s="1" t="s">
        <v>2693</v>
      </c>
      <c r="G609" s="1" t="s">
        <v>12480</v>
      </c>
      <c r="H609" s="1" t="s">
        <v>2694</v>
      </c>
      <c r="I609" s="2">
        <v>285.89999999999998</v>
      </c>
      <c r="J609" s="2">
        <v>7.28</v>
      </c>
      <c r="K609" s="2">
        <v>8.02</v>
      </c>
      <c r="L609" s="2">
        <v>8.9</v>
      </c>
      <c r="M609" s="4">
        <f t="shared" si="54"/>
        <v>35.648379052369073</v>
      </c>
      <c r="N609" s="4">
        <f t="shared" si="55"/>
        <v>32.123595505617971</v>
      </c>
      <c r="O609" s="5">
        <f t="shared" si="56"/>
        <v>0.10164835164835151</v>
      </c>
      <c r="P609" s="5">
        <f t="shared" si="57"/>
        <v>0.10972568578553621</v>
      </c>
      <c r="Q609" s="4">
        <f t="shared" si="58"/>
        <v>3.5070297229898273</v>
      </c>
      <c r="R609" s="4">
        <f t="shared" si="59"/>
        <v>2.9276276813074547</v>
      </c>
      <c r="S609" s="4">
        <v>2.39</v>
      </c>
      <c r="T609" s="2">
        <v>0.93</v>
      </c>
      <c r="U609" s="2">
        <v>297.14999999999998</v>
      </c>
      <c r="V609" s="2">
        <v>182.1</v>
      </c>
      <c r="W609" s="2">
        <v>-3.74</v>
      </c>
      <c r="X609" s="2">
        <v>6.83</v>
      </c>
      <c r="Y609" s="2">
        <v>18.77</v>
      </c>
      <c r="Z609" s="2">
        <v>21.93</v>
      </c>
    </row>
    <row r="610" spans="1:26" x14ac:dyDescent="0.25">
      <c r="A610" s="1" t="s">
        <v>2695</v>
      </c>
      <c r="B610" s="1" t="s">
        <v>2696</v>
      </c>
      <c r="C610" s="1" t="s">
        <v>31</v>
      </c>
      <c r="D610" s="1" t="s">
        <v>32</v>
      </c>
      <c r="E610" s="1" t="s">
        <v>829</v>
      </c>
      <c r="F610" s="1" t="s">
        <v>2697</v>
      </c>
      <c r="G610" s="1" t="s">
        <v>12480</v>
      </c>
      <c r="H610" s="1" t="s">
        <v>2698</v>
      </c>
      <c r="I610" s="2">
        <v>17.32</v>
      </c>
      <c r="J610" s="2"/>
      <c r="K610" s="2">
        <v>-0.08</v>
      </c>
      <c r="L610" s="2">
        <v>0.16</v>
      </c>
      <c r="M610" s="4">
        <f t="shared" si="54"/>
        <v>-216.5</v>
      </c>
      <c r="N610" s="4">
        <f t="shared" si="55"/>
        <v>108.25</v>
      </c>
      <c r="O610" s="5" t="e">
        <f t="shared" si="56"/>
        <v>#DIV/0!</v>
      </c>
      <c r="P610" s="5">
        <f t="shared" si="57"/>
        <v>-3</v>
      </c>
      <c r="Q610" s="4" t="e">
        <f t="shared" si="58"/>
        <v>#DIV/0!</v>
      </c>
      <c r="R610" s="4">
        <f t="shared" si="59"/>
        <v>-0.36083333333333334</v>
      </c>
      <c r="S610" s="4"/>
      <c r="T610" s="2"/>
      <c r="U610" s="2">
        <v>20.079999999999998</v>
      </c>
      <c r="V610" s="2">
        <v>14.18</v>
      </c>
      <c r="W610" s="2">
        <v>-8.6</v>
      </c>
      <c r="X610" s="2">
        <v>4.0199999999999996</v>
      </c>
      <c r="Y610" s="2">
        <v>15.54</v>
      </c>
      <c r="Z610" s="2">
        <v>8.0500000000000007</v>
      </c>
    </row>
    <row r="611" spans="1:26" x14ac:dyDescent="0.25">
      <c r="A611" s="1" t="s">
        <v>2700</v>
      </c>
      <c r="B611" s="1" t="s">
        <v>2701</v>
      </c>
      <c r="C611" s="1" t="s">
        <v>1118</v>
      </c>
      <c r="D611" s="1" t="s">
        <v>38</v>
      </c>
      <c r="E611" s="1" t="s">
        <v>259</v>
      </c>
      <c r="F611" s="1" t="s">
        <v>2702</v>
      </c>
      <c r="G611" s="1" t="s">
        <v>12480</v>
      </c>
      <c r="H611" s="1" t="s">
        <v>2703</v>
      </c>
      <c r="I611" s="2">
        <v>7.44</v>
      </c>
      <c r="J611" s="2"/>
      <c r="K611" s="2"/>
      <c r="L611" s="2"/>
      <c r="M611" s="4" t="e">
        <f t="shared" si="54"/>
        <v>#DIV/0!</v>
      </c>
      <c r="N611" s="4" t="e">
        <f t="shared" si="55"/>
        <v>#DIV/0!</v>
      </c>
      <c r="O611" s="5" t="e">
        <f t="shared" si="56"/>
        <v>#DIV/0!</v>
      </c>
      <c r="P611" s="5" t="e">
        <f t="shared" si="57"/>
        <v>#DIV/0!</v>
      </c>
      <c r="Q611" s="4" t="e">
        <f t="shared" si="58"/>
        <v>#DIV/0!</v>
      </c>
      <c r="R611" s="4" t="e">
        <f t="shared" si="59"/>
        <v>#DIV/0!</v>
      </c>
      <c r="S611" s="4"/>
      <c r="T611" s="2">
        <v>1.22</v>
      </c>
      <c r="U611" s="2">
        <v>8.51</v>
      </c>
      <c r="V611" s="2">
        <v>6.66</v>
      </c>
      <c r="W611" s="2">
        <v>-3.63</v>
      </c>
      <c r="X611" s="2">
        <v>-8.3699999999999992</v>
      </c>
      <c r="Y611" s="2">
        <v>-9.3800000000000008</v>
      </c>
      <c r="Z611" s="2">
        <v>-11.01</v>
      </c>
    </row>
    <row r="612" spans="1:26" x14ac:dyDescent="0.25">
      <c r="A612" s="1" t="s">
        <v>2704</v>
      </c>
      <c r="B612" s="1" t="s">
        <v>2705</v>
      </c>
      <c r="C612" s="1" t="s">
        <v>45</v>
      </c>
      <c r="D612" s="1" t="s">
        <v>94</v>
      </c>
      <c r="E612" s="1" t="s">
        <v>403</v>
      </c>
      <c r="F612" s="1" t="s">
        <v>2706</v>
      </c>
      <c r="G612" s="1" t="s">
        <v>12480</v>
      </c>
      <c r="H612" s="1" t="s">
        <v>2707</v>
      </c>
      <c r="I612" s="2">
        <v>29.34</v>
      </c>
      <c r="J612" s="2">
        <v>-0.39</v>
      </c>
      <c r="K612" s="2">
        <v>-0.76</v>
      </c>
      <c r="L612" s="2">
        <v>0.38</v>
      </c>
      <c r="M612" s="4">
        <f t="shared" si="54"/>
        <v>-38.605263157894733</v>
      </c>
      <c r="N612" s="4">
        <f t="shared" si="55"/>
        <v>77.210526315789465</v>
      </c>
      <c r="O612" s="5">
        <f t="shared" si="56"/>
        <v>0.94871794871794868</v>
      </c>
      <c r="P612" s="5">
        <f t="shared" si="57"/>
        <v>-1.5</v>
      </c>
      <c r="Q612" s="4">
        <f t="shared" si="58"/>
        <v>-0.40692034139402561</v>
      </c>
      <c r="R612" s="4">
        <f t="shared" si="59"/>
        <v>-0.51473684210526305</v>
      </c>
      <c r="S612" s="4">
        <v>-1.25</v>
      </c>
      <c r="T612" s="2">
        <v>1.18</v>
      </c>
      <c r="U612" s="2">
        <v>30.4</v>
      </c>
      <c r="V612" s="2">
        <v>8.99</v>
      </c>
      <c r="W612" s="2">
        <v>7.04</v>
      </c>
      <c r="X612" s="2">
        <v>13.9</v>
      </c>
      <c r="Y612" s="2">
        <v>43.68</v>
      </c>
      <c r="Z612" s="2">
        <v>47.66</v>
      </c>
    </row>
    <row r="613" spans="1:26" x14ac:dyDescent="0.25">
      <c r="A613" s="1" t="s">
        <v>2709</v>
      </c>
      <c r="B613" s="1" t="s">
        <v>2710</v>
      </c>
      <c r="C613" s="1" t="s">
        <v>45</v>
      </c>
      <c r="D613" s="1" t="s">
        <v>18</v>
      </c>
      <c r="E613" s="1" t="s">
        <v>1385</v>
      </c>
      <c r="F613" s="1" t="s">
        <v>2711</v>
      </c>
      <c r="G613" s="1" t="s">
        <v>12480</v>
      </c>
      <c r="H613" s="1" t="s">
        <v>2712</v>
      </c>
      <c r="I613" s="2" t="s">
        <v>12487</v>
      </c>
      <c r="J613" s="2">
        <v>0.04</v>
      </c>
      <c r="K613" s="2">
        <v>0.08</v>
      </c>
      <c r="L613" s="2">
        <v>0.09</v>
      </c>
      <c r="M613" s="4">
        <f t="shared" si="54"/>
        <v>25</v>
      </c>
      <c r="N613" s="4">
        <f t="shared" si="55"/>
        <v>22.222222222222221</v>
      </c>
      <c r="O613" s="5">
        <f t="shared" si="56"/>
        <v>1</v>
      </c>
      <c r="P613" s="5">
        <f t="shared" si="57"/>
        <v>0.125</v>
      </c>
      <c r="Q613" s="4">
        <f t="shared" si="58"/>
        <v>0.25</v>
      </c>
      <c r="R613" s="4">
        <f t="shared" si="59"/>
        <v>1.7777777777777777</v>
      </c>
      <c r="S613" s="4">
        <v>40.340000000000003</v>
      </c>
      <c r="T613" s="2">
        <v>2.15</v>
      </c>
      <c r="U613" s="2">
        <v>3.87</v>
      </c>
      <c r="V613" s="2">
        <v>1.97</v>
      </c>
      <c r="W613" s="2">
        <v>-1.96</v>
      </c>
      <c r="X613" s="2">
        <v>-4.3099999999999996</v>
      </c>
      <c r="Y613" s="2">
        <v>-23.66</v>
      </c>
      <c r="Z613" s="2">
        <v>-14.89</v>
      </c>
    </row>
    <row r="614" spans="1:26" x14ac:dyDescent="0.25">
      <c r="A614" s="1" t="s">
        <v>2713</v>
      </c>
      <c r="B614" s="1" t="s">
        <v>2714</v>
      </c>
      <c r="C614" s="1" t="s">
        <v>31</v>
      </c>
      <c r="D614" s="1" t="s">
        <v>18</v>
      </c>
      <c r="E614" s="1" t="s">
        <v>594</v>
      </c>
      <c r="F614" s="1" t="s">
        <v>2715</v>
      </c>
      <c r="G614" s="1" t="s">
        <v>12485</v>
      </c>
      <c r="H614" s="1" t="s">
        <v>2716</v>
      </c>
      <c r="I614" s="2">
        <v>7.14</v>
      </c>
      <c r="J614" s="2">
        <v>0.26</v>
      </c>
      <c r="K614" s="2">
        <v>0.39</v>
      </c>
      <c r="L614" s="2">
        <v>0.44</v>
      </c>
      <c r="M614" s="4">
        <f t="shared" si="54"/>
        <v>18.307692307692307</v>
      </c>
      <c r="N614" s="4">
        <f t="shared" si="55"/>
        <v>16.227272727272727</v>
      </c>
      <c r="O614" s="5">
        <f t="shared" si="56"/>
        <v>0.5</v>
      </c>
      <c r="P614" s="5">
        <f t="shared" si="57"/>
        <v>0.12820512820512819</v>
      </c>
      <c r="Q614" s="4">
        <f t="shared" si="58"/>
        <v>0.36615384615384611</v>
      </c>
      <c r="R614" s="4">
        <f t="shared" si="59"/>
        <v>1.2657272727272728</v>
      </c>
      <c r="S614" s="4">
        <v>5.0999999999999996</v>
      </c>
      <c r="T614" s="2">
        <v>0.33</v>
      </c>
      <c r="U614" s="2">
        <v>11.28</v>
      </c>
      <c r="V614" s="2">
        <v>7.13</v>
      </c>
      <c r="W614" s="2">
        <v>-5.93</v>
      </c>
      <c r="X614" s="2">
        <v>-6.91</v>
      </c>
      <c r="Y614" s="2">
        <v>-19.23</v>
      </c>
      <c r="Z614" s="2" t="s">
        <v>12538</v>
      </c>
    </row>
    <row r="615" spans="1:26" x14ac:dyDescent="0.25">
      <c r="A615" s="1" t="s">
        <v>2717</v>
      </c>
      <c r="B615" s="1" t="s">
        <v>2718</v>
      </c>
      <c r="C615" s="1" t="s">
        <v>31</v>
      </c>
      <c r="D615" s="1" t="s">
        <v>354</v>
      </c>
      <c r="E615" s="1" t="s">
        <v>355</v>
      </c>
      <c r="F615" s="1" t="s">
        <v>2719</v>
      </c>
      <c r="G615" s="1" t="s">
        <v>12480</v>
      </c>
      <c r="H615" s="1" t="s">
        <v>2720</v>
      </c>
      <c r="I615" s="2">
        <v>9.56</v>
      </c>
      <c r="J615" s="2">
        <v>0.53</v>
      </c>
      <c r="K615" s="2">
        <v>0.56000000000000005</v>
      </c>
      <c r="L615" s="2">
        <v>0.56999999999999995</v>
      </c>
      <c r="M615" s="4">
        <f t="shared" si="54"/>
        <v>17.071428571428569</v>
      </c>
      <c r="N615" s="4">
        <f t="shared" si="55"/>
        <v>16.771929824561404</v>
      </c>
      <c r="O615" s="5">
        <f t="shared" si="56"/>
        <v>5.6603773584905648E-2</v>
      </c>
      <c r="P615" s="5">
        <f t="shared" si="57"/>
        <v>1.7857142857142572E-2</v>
      </c>
      <c r="Q615" s="4">
        <f t="shared" si="58"/>
        <v>3.0159523809523812</v>
      </c>
      <c r="R615" s="4">
        <f t="shared" si="59"/>
        <v>9.3922807017545367</v>
      </c>
      <c r="S615" s="4">
        <v>-3.15</v>
      </c>
      <c r="T615" s="2">
        <v>0.44</v>
      </c>
      <c r="U615" s="2" t="s">
        <v>12479</v>
      </c>
      <c r="V615" s="2">
        <v>7.91</v>
      </c>
      <c r="W615" s="2">
        <v>0.21</v>
      </c>
      <c r="X615" s="2">
        <v>-2.94</v>
      </c>
      <c r="Y615" s="2">
        <v>8.14</v>
      </c>
      <c r="Z615" s="2">
        <v>6.1</v>
      </c>
    </row>
    <row r="616" spans="1:26" x14ac:dyDescent="0.25">
      <c r="A616" s="1" t="s">
        <v>2721</v>
      </c>
      <c r="B616" s="1" t="s">
        <v>2722</v>
      </c>
      <c r="C616" s="1" t="s">
        <v>16</v>
      </c>
      <c r="D616" s="1" t="s">
        <v>32</v>
      </c>
      <c r="E616" s="1" t="s">
        <v>1666</v>
      </c>
      <c r="F616" s="1" t="s">
        <v>2723</v>
      </c>
      <c r="G616" s="1" t="s">
        <v>12480</v>
      </c>
      <c r="H616" s="1" t="s">
        <v>2724</v>
      </c>
      <c r="I616" s="2">
        <v>267.95</v>
      </c>
      <c r="J616" s="2">
        <v>6.05</v>
      </c>
      <c r="K616" s="2">
        <v>8.83</v>
      </c>
      <c r="L616" s="2">
        <v>12.6</v>
      </c>
      <c r="M616" s="4">
        <f t="shared" si="54"/>
        <v>30.345413363533407</v>
      </c>
      <c r="N616" s="4">
        <f t="shared" si="55"/>
        <v>21.265873015873016</v>
      </c>
      <c r="O616" s="5">
        <f t="shared" si="56"/>
        <v>0.45950413223140507</v>
      </c>
      <c r="P616" s="5">
        <f t="shared" si="57"/>
        <v>0.42695356738391843</v>
      </c>
      <c r="Q616" s="4">
        <f t="shared" si="58"/>
        <v>0.66039478722797507</v>
      </c>
      <c r="R616" s="4">
        <f t="shared" si="59"/>
        <v>0.49808397541156163</v>
      </c>
      <c r="S616" s="4">
        <v>28.46</v>
      </c>
      <c r="T616" s="2">
        <v>1.88</v>
      </c>
      <c r="U616" s="2">
        <v>352.61</v>
      </c>
      <c r="V616" s="2">
        <v>66.150000000000006</v>
      </c>
      <c r="W616" s="2">
        <v>0.36</v>
      </c>
      <c r="X616" s="2">
        <v>-16.059999999999999</v>
      </c>
      <c r="Y616" s="2">
        <v>-11.56</v>
      </c>
      <c r="Z616" s="2">
        <v>-9.36</v>
      </c>
    </row>
    <row r="617" spans="1:26" x14ac:dyDescent="0.25">
      <c r="A617" s="1" t="s">
        <v>2726</v>
      </c>
      <c r="B617" s="1" t="s">
        <v>2727</v>
      </c>
      <c r="C617" s="1" t="s">
        <v>45</v>
      </c>
      <c r="D617" s="1" t="s">
        <v>38</v>
      </c>
      <c r="E617" s="1" t="s">
        <v>52</v>
      </c>
      <c r="F617" s="1" t="s">
        <v>2728</v>
      </c>
      <c r="G617" s="1" t="s">
        <v>12485</v>
      </c>
      <c r="H617" s="1" t="s">
        <v>2729</v>
      </c>
      <c r="I617" s="2">
        <v>9.61</v>
      </c>
      <c r="J617" s="2">
        <v>0.71</v>
      </c>
      <c r="K617" s="2">
        <v>-1.88</v>
      </c>
      <c r="L617" s="2">
        <v>-0.34</v>
      </c>
      <c r="M617" s="4">
        <f t="shared" si="54"/>
        <v>-5.1117021276595747</v>
      </c>
      <c r="N617" s="4">
        <f t="shared" si="55"/>
        <v>-28.264705882352938</v>
      </c>
      <c r="O617" s="5">
        <f t="shared" si="56"/>
        <v>-3.647887323943662</v>
      </c>
      <c r="P617" s="5">
        <f t="shared" si="57"/>
        <v>-0.81914893617021278</v>
      </c>
      <c r="Q617" s="4">
        <f t="shared" si="58"/>
        <v>1.4012774172348641E-2</v>
      </c>
      <c r="R617" s="4">
        <f t="shared" si="59"/>
        <v>0.34504965622612677</v>
      </c>
      <c r="S617" s="4">
        <v>102.21</v>
      </c>
      <c r="T617" s="2">
        <v>3.51</v>
      </c>
      <c r="U617" s="2">
        <v>23.2</v>
      </c>
      <c r="V617" s="2">
        <v>6.72</v>
      </c>
      <c r="W617" s="2">
        <v>-8.91</v>
      </c>
      <c r="X617" s="2">
        <v>-5.69</v>
      </c>
      <c r="Y617" s="2">
        <v>-19.350000000000001</v>
      </c>
      <c r="Z617" s="2">
        <v>-5.04</v>
      </c>
    </row>
    <row r="618" spans="1:26" x14ac:dyDescent="0.25">
      <c r="A618" s="1" t="s">
        <v>2731</v>
      </c>
      <c r="B618" s="1" t="s">
        <v>2732</v>
      </c>
      <c r="C618" s="1" t="s">
        <v>16</v>
      </c>
      <c r="D618" s="1" t="s">
        <v>32</v>
      </c>
      <c r="E618" s="1" t="s">
        <v>248</v>
      </c>
      <c r="F618" s="1" t="s">
        <v>2733</v>
      </c>
      <c r="G618" s="1" t="s">
        <v>12480</v>
      </c>
      <c r="H618" s="1" t="s">
        <v>2734</v>
      </c>
      <c r="I618" s="2">
        <v>2.61</v>
      </c>
      <c r="J618" s="2">
        <v>0.69</v>
      </c>
      <c r="K618" s="2">
        <v>0.71</v>
      </c>
      <c r="L618" s="2">
        <v>0.77</v>
      </c>
      <c r="M618" s="4">
        <f t="shared" si="54"/>
        <v>3.676056338028169</v>
      </c>
      <c r="N618" s="4">
        <f t="shared" si="55"/>
        <v>3.3896103896103895</v>
      </c>
      <c r="O618" s="5">
        <f t="shared" si="56"/>
        <v>2.898550724637694E-2</v>
      </c>
      <c r="P618" s="5">
        <f t="shared" si="57"/>
        <v>8.4507042253521236E-2</v>
      </c>
      <c r="Q618" s="4">
        <f t="shared" si="58"/>
        <v>1.2682394366197127</v>
      </c>
      <c r="R618" s="4">
        <f t="shared" si="59"/>
        <v>0.40110389610389563</v>
      </c>
      <c r="S618" s="4">
        <v>-3.97</v>
      </c>
      <c r="T618" s="2">
        <v>1.55</v>
      </c>
      <c r="U618" s="2">
        <v>4.53</v>
      </c>
      <c r="V618" s="2">
        <v>1.68</v>
      </c>
      <c r="W618" s="2">
        <v>12.99</v>
      </c>
      <c r="X618" s="2">
        <v>23.11</v>
      </c>
      <c r="Y618" s="2">
        <v>-26.27</v>
      </c>
      <c r="Z618" s="2">
        <v>-21.86</v>
      </c>
    </row>
    <row r="619" spans="1:26" x14ac:dyDescent="0.25">
      <c r="A619" s="1" t="s">
        <v>2735</v>
      </c>
      <c r="B619" s="1" t="s">
        <v>2736</v>
      </c>
      <c r="C619" s="1" t="s">
        <v>16</v>
      </c>
      <c r="D619" s="1" t="s">
        <v>128</v>
      </c>
      <c r="E619" s="1" t="s">
        <v>210</v>
      </c>
      <c r="F619" s="1" t="s">
        <v>2737</v>
      </c>
      <c r="G619" s="1" t="s">
        <v>12502</v>
      </c>
      <c r="H619" s="1" t="s">
        <v>2738</v>
      </c>
      <c r="I619" s="2">
        <v>113.41</v>
      </c>
      <c r="J619" s="2">
        <v>7.72</v>
      </c>
      <c r="K619" s="2">
        <v>5.91</v>
      </c>
      <c r="L619" s="2">
        <v>6.82</v>
      </c>
      <c r="M619" s="4">
        <f t="shared" si="54"/>
        <v>19.189509306260575</v>
      </c>
      <c r="N619" s="4">
        <f t="shared" si="55"/>
        <v>16.629032258064516</v>
      </c>
      <c r="O619" s="5">
        <f t="shared" si="56"/>
        <v>-0.23445595854922274</v>
      </c>
      <c r="P619" s="5">
        <f t="shared" si="57"/>
        <v>0.15397631133671741</v>
      </c>
      <c r="Q619" s="4">
        <f t="shared" si="58"/>
        <v>-0.81846967869796505</v>
      </c>
      <c r="R619" s="4">
        <f t="shared" si="59"/>
        <v>1.0799734136830912</v>
      </c>
      <c r="S619" s="4">
        <v>0.16</v>
      </c>
      <c r="T619" s="2">
        <v>0.59</v>
      </c>
      <c r="U619" s="2">
        <v>151.03</v>
      </c>
      <c r="V619" s="2">
        <v>97.43</v>
      </c>
      <c r="W619" s="2">
        <v>-10.57</v>
      </c>
      <c r="X619" s="2">
        <v>-5.17</v>
      </c>
      <c r="Y619" s="2">
        <v>11.49</v>
      </c>
      <c r="Z619" s="2">
        <v>12.48</v>
      </c>
    </row>
    <row r="620" spans="1:26" x14ac:dyDescent="0.25">
      <c r="A620" s="1" t="s">
        <v>2739</v>
      </c>
      <c r="B620" s="1" t="s">
        <v>2740</v>
      </c>
      <c r="C620" s="1" t="s">
        <v>16</v>
      </c>
      <c r="D620" s="1" t="s">
        <v>38</v>
      </c>
      <c r="E620" s="1" t="s">
        <v>189</v>
      </c>
      <c r="F620" s="1" t="s">
        <v>2741</v>
      </c>
      <c r="G620" s="1" t="s">
        <v>12479</v>
      </c>
      <c r="H620" s="1" t="s">
        <v>2742</v>
      </c>
      <c r="I620" s="2">
        <v>97.88</v>
      </c>
      <c r="J620" s="2">
        <v>6.15</v>
      </c>
      <c r="K620" s="2">
        <v>7.51</v>
      </c>
      <c r="L620" s="2">
        <v>8.11</v>
      </c>
      <c r="M620" s="4">
        <f t="shared" si="54"/>
        <v>13.033288948069242</v>
      </c>
      <c r="N620" s="4">
        <f t="shared" si="55"/>
        <v>12.069050554870531</v>
      </c>
      <c r="O620" s="5">
        <f t="shared" si="56"/>
        <v>0.22113821138211365</v>
      </c>
      <c r="P620" s="5">
        <f t="shared" si="57"/>
        <v>7.9893475366178413E-2</v>
      </c>
      <c r="Q620" s="4">
        <f t="shared" si="58"/>
        <v>0.58937299287224931</v>
      </c>
      <c r="R620" s="4">
        <f t="shared" si="59"/>
        <v>1.5106428277846284</v>
      </c>
      <c r="S620" s="4">
        <v>-5.81</v>
      </c>
      <c r="T620" s="2" t="s">
        <v>12493</v>
      </c>
      <c r="U620" s="2">
        <v>103.75</v>
      </c>
      <c r="V620" s="2">
        <v>54.6</v>
      </c>
      <c r="W620" s="2">
        <v>-3.48</v>
      </c>
      <c r="X620" s="2">
        <v>-0.16</v>
      </c>
      <c r="Y620" s="2" t="s">
        <v>12508</v>
      </c>
      <c r="Z620" s="2">
        <v>8.02</v>
      </c>
    </row>
    <row r="621" spans="1:26" x14ac:dyDescent="0.25">
      <c r="A621" s="1" t="s">
        <v>2744</v>
      </c>
      <c r="B621" s="1" t="s">
        <v>2745</v>
      </c>
      <c r="C621" s="1" t="s">
        <v>31</v>
      </c>
      <c r="D621" s="1" t="s">
        <v>38</v>
      </c>
      <c r="E621" s="1" t="s">
        <v>189</v>
      </c>
      <c r="F621" s="1" t="s">
        <v>2746</v>
      </c>
      <c r="G621" s="1" t="s">
        <v>12480</v>
      </c>
      <c r="H621" s="1" t="s">
        <v>2747</v>
      </c>
      <c r="I621" s="2">
        <v>4.58</v>
      </c>
      <c r="J621" s="2">
        <v>0.89</v>
      </c>
      <c r="K621" s="2">
        <v>0.92</v>
      </c>
      <c r="L621" s="2">
        <v>0.97</v>
      </c>
      <c r="M621" s="4">
        <f t="shared" si="54"/>
        <v>4.9782608695652169</v>
      </c>
      <c r="N621" s="4">
        <f t="shared" si="55"/>
        <v>4.7216494845360826</v>
      </c>
      <c r="O621" s="5">
        <f t="shared" si="56"/>
        <v>3.3707865168539408E-2</v>
      </c>
      <c r="P621" s="5">
        <f t="shared" si="57"/>
        <v>5.4347826086956541E-2</v>
      </c>
      <c r="Q621" s="4">
        <f t="shared" si="58"/>
        <v>1.4768840579710107</v>
      </c>
      <c r="R621" s="4">
        <f t="shared" si="59"/>
        <v>0.86878350515463887</v>
      </c>
      <c r="S621" s="4">
        <v>-12.34</v>
      </c>
      <c r="T621" s="2">
        <v>0.25</v>
      </c>
      <c r="U621" s="2">
        <v>6.67</v>
      </c>
      <c r="V621" s="2">
        <v>3.92</v>
      </c>
      <c r="W621" s="2">
        <v>-12.26</v>
      </c>
      <c r="X621" s="2">
        <v>-4.9800000000000004</v>
      </c>
      <c r="Y621" s="2">
        <v>-11.84</v>
      </c>
      <c r="Z621" s="2">
        <v>1.78</v>
      </c>
    </row>
    <row r="622" spans="1:26" x14ac:dyDescent="0.25">
      <c r="A622" s="1" t="s">
        <v>2748</v>
      </c>
      <c r="B622" s="1" t="s">
        <v>2749</v>
      </c>
      <c r="C622" s="1" t="s">
        <v>16</v>
      </c>
      <c r="D622" s="1" t="s">
        <v>88</v>
      </c>
      <c r="E622" s="1" t="s">
        <v>912</v>
      </c>
      <c r="F622" s="1" t="s">
        <v>2750</v>
      </c>
      <c r="G622" s="1" t="s">
        <v>12497</v>
      </c>
      <c r="H622" s="1" t="s">
        <v>2751</v>
      </c>
      <c r="I622" s="2">
        <v>65.849999999999994</v>
      </c>
      <c r="J622" s="2">
        <v>3.13</v>
      </c>
      <c r="K622" s="2">
        <v>7.28</v>
      </c>
      <c r="L622" s="2">
        <v>7.23</v>
      </c>
      <c r="M622" s="4">
        <f t="shared" si="54"/>
        <v>9.0453296703296697</v>
      </c>
      <c r="N622" s="4">
        <f t="shared" si="55"/>
        <v>9.1078838174273837</v>
      </c>
      <c r="O622" s="5">
        <f t="shared" si="56"/>
        <v>1.3258785942492013</v>
      </c>
      <c r="P622" s="5">
        <f t="shared" si="57"/>
        <v>-6.8681318681318437E-3</v>
      </c>
      <c r="Q622" s="4">
        <f t="shared" si="58"/>
        <v>6.8221402091884015E-2</v>
      </c>
      <c r="R622" s="4">
        <f t="shared" si="59"/>
        <v>-13.261078838174317</v>
      </c>
      <c r="S622" s="4">
        <v>-1.61</v>
      </c>
      <c r="T622" s="2">
        <v>1.47</v>
      </c>
      <c r="U622" s="2">
        <v>83.21</v>
      </c>
      <c r="V622" s="2">
        <v>39.200000000000003</v>
      </c>
      <c r="W622" s="2">
        <v>-10.53</v>
      </c>
      <c r="X622" s="2">
        <v>-20.63</v>
      </c>
      <c r="Y622" s="2">
        <v>-7.6</v>
      </c>
      <c r="Z622" s="2">
        <v>-4.87</v>
      </c>
    </row>
    <row r="623" spans="1:26" x14ac:dyDescent="0.25">
      <c r="A623" s="1" t="s">
        <v>2752</v>
      </c>
      <c r="B623" s="1" t="s">
        <v>2753</v>
      </c>
      <c r="C623" s="1" t="s">
        <v>45</v>
      </c>
      <c r="D623" s="1" t="s">
        <v>147</v>
      </c>
      <c r="E623" s="1" t="s">
        <v>2590</v>
      </c>
      <c r="F623" s="1" t="s">
        <v>2754</v>
      </c>
      <c r="G623" s="1" t="s">
        <v>12480</v>
      </c>
      <c r="H623" s="1" t="s">
        <v>2755</v>
      </c>
      <c r="I623" s="2">
        <v>31.04</v>
      </c>
      <c r="J623" s="2">
        <v>4.3099999999999996</v>
      </c>
      <c r="K623" s="2">
        <v>3.68</v>
      </c>
      <c r="L623" s="2">
        <v>3.85</v>
      </c>
      <c r="M623" s="4">
        <f t="shared" si="54"/>
        <v>8.4347826086956523</v>
      </c>
      <c r="N623" s="4">
        <f t="shared" si="55"/>
        <v>8.0623376623376615</v>
      </c>
      <c r="O623" s="5">
        <f t="shared" si="56"/>
        <v>-0.14617169373549876</v>
      </c>
      <c r="P623" s="5">
        <f t="shared" si="57"/>
        <v>4.6195652173913082E-2</v>
      </c>
      <c r="Q623" s="4">
        <f t="shared" si="58"/>
        <v>-0.57704623878536954</v>
      </c>
      <c r="R623" s="4">
        <f t="shared" si="59"/>
        <v>1.7452589763177981</v>
      </c>
      <c r="S623" s="4">
        <v>-0.02</v>
      </c>
      <c r="T623" s="2">
        <v>0.79</v>
      </c>
      <c r="U623" s="2">
        <v>37.590000000000003</v>
      </c>
      <c r="V623" s="2">
        <v>26.46</v>
      </c>
      <c r="W623" s="2">
        <v>0.71</v>
      </c>
      <c r="X623" s="2">
        <v>-1.8</v>
      </c>
      <c r="Y623" s="2">
        <v>10.029999999999999</v>
      </c>
      <c r="Z623" s="2">
        <v>3.85</v>
      </c>
    </row>
    <row r="624" spans="1:26" x14ac:dyDescent="0.25">
      <c r="A624" s="1" t="s">
        <v>2756</v>
      </c>
      <c r="B624" s="1" t="s">
        <v>2757</v>
      </c>
      <c r="C624" s="1" t="s">
        <v>45</v>
      </c>
      <c r="D624" s="1" t="s">
        <v>38</v>
      </c>
      <c r="E624" s="1" t="s">
        <v>2304</v>
      </c>
      <c r="F624" s="1" t="s">
        <v>2758</v>
      </c>
      <c r="G624" s="1" t="s">
        <v>12480</v>
      </c>
      <c r="H624" s="1" t="s">
        <v>2759</v>
      </c>
      <c r="I624" s="2">
        <v>319.08999999999997</v>
      </c>
      <c r="J624" s="2">
        <v>11.2</v>
      </c>
      <c r="K624" s="2">
        <v>11.84</v>
      </c>
      <c r="L624" s="2">
        <v>12.54</v>
      </c>
      <c r="M624" s="4">
        <f t="shared" si="54"/>
        <v>26.950168918918916</v>
      </c>
      <c r="N624" s="4">
        <f t="shared" si="55"/>
        <v>25.445773524720892</v>
      </c>
      <c r="O624" s="5">
        <f t="shared" si="56"/>
        <v>5.7142857142857162E-2</v>
      </c>
      <c r="P624" s="5">
        <f t="shared" si="57"/>
        <v>5.912162162162149E-2</v>
      </c>
      <c r="Q624" s="4">
        <f t="shared" si="58"/>
        <v>4.7162795608108086</v>
      </c>
      <c r="R624" s="4">
        <f t="shared" si="59"/>
        <v>4.3039708361813718</v>
      </c>
      <c r="S624" s="4">
        <v>6.37</v>
      </c>
      <c r="T624" s="2">
        <v>0.24</v>
      </c>
      <c r="U624" s="2">
        <v>326.45999999999998</v>
      </c>
      <c r="V624" s="2">
        <v>252.37</v>
      </c>
      <c r="W624" s="2">
        <v>-2.2599999999999998</v>
      </c>
      <c r="X624" s="2">
        <v>3.86</v>
      </c>
      <c r="Y624" s="2">
        <v>17.239999999999998</v>
      </c>
      <c r="Z624" s="2">
        <v>16.850000000000001</v>
      </c>
    </row>
    <row r="625" spans="1:26" x14ac:dyDescent="0.25">
      <c r="A625" s="1" t="s">
        <v>2760</v>
      </c>
      <c r="B625" s="1" t="s">
        <v>2761</v>
      </c>
      <c r="C625" s="1" t="s">
        <v>16</v>
      </c>
      <c r="D625" s="1" t="s">
        <v>67</v>
      </c>
      <c r="E625" s="1" t="s">
        <v>1037</v>
      </c>
      <c r="F625" s="1" t="s">
        <v>2762</v>
      </c>
      <c r="G625" s="1" t="s">
        <v>12480</v>
      </c>
      <c r="H625" s="1" t="s">
        <v>2763</v>
      </c>
      <c r="I625" s="2">
        <v>35.29</v>
      </c>
      <c r="J625" s="2">
        <v>1.17</v>
      </c>
      <c r="K625" s="2">
        <v>1.1399999999999999</v>
      </c>
      <c r="L625" s="2">
        <v>1.36</v>
      </c>
      <c r="M625" s="4">
        <f t="shared" si="54"/>
        <v>30.956140350877195</v>
      </c>
      <c r="N625" s="4">
        <f t="shared" si="55"/>
        <v>25.948529411764703</v>
      </c>
      <c r="O625" s="5">
        <f t="shared" si="56"/>
        <v>-2.5641025641025661E-2</v>
      </c>
      <c r="P625" s="5">
        <f t="shared" si="57"/>
        <v>0.19298245614035103</v>
      </c>
      <c r="Q625" s="4">
        <f t="shared" si="58"/>
        <v>-12.072894736842096</v>
      </c>
      <c r="R625" s="4">
        <f t="shared" si="59"/>
        <v>1.3446056149732608</v>
      </c>
      <c r="S625" s="4">
        <v>5.41</v>
      </c>
      <c r="T625" s="2" t="s">
        <v>12493</v>
      </c>
      <c r="U625" s="2">
        <v>58.24</v>
      </c>
      <c r="V625" s="2">
        <v>29.81</v>
      </c>
      <c r="W625" s="2">
        <v>-3.82</v>
      </c>
      <c r="X625" s="2">
        <v>-10.86</v>
      </c>
      <c r="Y625" s="2">
        <v>-1.81</v>
      </c>
      <c r="Z625" s="2">
        <v>-4.62</v>
      </c>
    </row>
    <row r="626" spans="1:26" x14ac:dyDescent="0.25">
      <c r="A626" s="1" t="s">
        <v>2765</v>
      </c>
      <c r="B626" s="1" t="s">
        <v>2766</v>
      </c>
      <c r="C626" s="1" t="s">
        <v>31</v>
      </c>
      <c r="D626" s="1" t="s">
        <v>204</v>
      </c>
      <c r="E626" s="1" t="s">
        <v>534</v>
      </c>
      <c r="F626" s="1" t="s">
        <v>2767</v>
      </c>
      <c r="G626" s="1" t="s">
        <v>12479</v>
      </c>
      <c r="H626" s="1" t="s">
        <v>2768</v>
      </c>
      <c r="I626" s="2">
        <v>7.3949999999999996</v>
      </c>
      <c r="J626" s="2"/>
      <c r="K626" s="2"/>
      <c r="L626" s="2"/>
      <c r="M626" s="4" t="e">
        <f t="shared" si="54"/>
        <v>#DIV/0!</v>
      </c>
      <c r="N626" s="4" t="e">
        <f t="shared" si="55"/>
        <v>#DIV/0!</v>
      </c>
      <c r="O626" s="5" t="e">
        <f t="shared" si="56"/>
        <v>#DIV/0!</v>
      </c>
      <c r="P626" s="5" t="e">
        <f t="shared" si="57"/>
        <v>#DIV/0!</v>
      </c>
      <c r="Q626" s="4" t="e">
        <f t="shared" si="58"/>
        <v>#DIV/0!</v>
      </c>
      <c r="R626" s="4" t="e">
        <f t="shared" si="59"/>
        <v>#DIV/0!</v>
      </c>
      <c r="S626" s="4"/>
      <c r="T626" s="2"/>
      <c r="U626" s="2">
        <v>8.34</v>
      </c>
      <c r="V626" s="2">
        <v>6.09</v>
      </c>
      <c r="W626" s="2">
        <v>0.34</v>
      </c>
      <c r="X626" s="2">
        <v>8.27</v>
      </c>
      <c r="Y626" s="2">
        <v>21.03</v>
      </c>
      <c r="Z626" s="2">
        <v>17.75</v>
      </c>
    </row>
    <row r="627" spans="1:26" x14ac:dyDescent="0.25">
      <c r="A627" s="1" t="s">
        <v>2769</v>
      </c>
      <c r="B627" s="1" t="s">
        <v>2770</v>
      </c>
      <c r="C627" s="1" t="s">
        <v>16</v>
      </c>
      <c r="D627" s="1" t="s">
        <v>305</v>
      </c>
      <c r="E627" s="1" t="s">
        <v>2772</v>
      </c>
      <c r="F627" s="1" t="s">
        <v>2771</v>
      </c>
      <c r="G627" s="1" t="s">
        <v>12480</v>
      </c>
      <c r="H627" s="1" t="s">
        <v>2773</v>
      </c>
      <c r="I627" s="2">
        <v>550.19000000000005</v>
      </c>
      <c r="J627" s="2">
        <v>23.78</v>
      </c>
      <c r="K627" s="2">
        <v>26.01</v>
      </c>
      <c r="L627" s="2">
        <v>30.35</v>
      </c>
      <c r="M627" s="4">
        <f t="shared" si="54"/>
        <v>21.15301806997309</v>
      </c>
      <c r="N627" s="4">
        <f t="shared" si="55"/>
        <v>18.128171334431631</v>
      </c>
      <c r="O627" s="5">
        <f t="shared" si="56"/>
        <v>9.3776282590412041E-2</v>
      </c>
      <c r="P627" s="5">
        <f t="shared" si="57"/>
        <v>0.16685890042291418</v>
      </c>
      <c r="Q627" s="4">
        <f t="shared" si="58"/>
        <v>2.2556895502419749</v>
      </c>
      <c r="R627" s="4">
        <f t="shared" si="59"/>
        <v>1.0864371806649007</v>
      </c>
      <c r="S627" s="4">
        <v>-1.27</v>
      </c>
      <c r="T627" s="2">
        <v>1.1200000000000001</v>
      </c>
      <c r="U627" s="2">
        <v>605.63</v>
      </c>
      <c r="V627" s="2">
        <v>267.12</v>
      </c>
      <c r="W627" s="2">
        <v>-5.2</v>
      </c>
      <c r="X627" s="2">
        <v>-8.51</v>
      </c>
      <c r="Y627" s="2">
        <v>6.37</v>
      </c>
      <c r="Z627" s="2">
        <v>7.79</v>
      </c>
    </row>
    <row r="628" spans="1:26" x14ac:dyDescent="0.25">
      <c r="A628" s="1" t="s">
        <v>2774</v>
      </c>
      <c r="B628" s="1" t="s">
        <v>2775</v>
      </c>
      <c r="C628" s="1" t="s">
        <v>16</v>
      </c>
      <c r="D628" s="1" t="s">
        <v>88</v>
      </c>
      <c r="E628" s="1" t="s">
        <v>504</v>
      </c>
      <c r="F628" s="1" t="s">
        <v>2776</v>
      </c>
      <c r="G628" s="1" t="s">
        <v>12485</v>
      </c>
      <c r="H628" s="1" t="s">
        <v>2777</v>
      </c>
      <c r="I628" s="2">
        <v>23.89</v>
      </c>
      <c r="J628" s="2">
        <v>-0.48</v>
      </c>
      <c r="K628" s="2">
        <v>0.89</v>
      </c>
      <c r="L628" s="2">
        <v>1.1100000000000001</v>
      </c>
      <c r="M628" s="4">
        <f t="shared" si="54"/>
        <v>26.842696629213485</v>
      </c>
      <c r="N628" s="4">
        <f t="shared" si="55"/>
        <v>21.522522522522522</v>
      </c>
      <c r="O628" s="5">
        <f t="shared" si="56"/>
        <v>-2.854166666666667</v>
      </c>
      <c r="P628" s="5">
        <f t="shared" si="57"/>
        <v>0.24719101123595522</v>
      </c>
      <c r="Q628" s="4">
        <f t="shared" si="58"/>
        <v>-9.4047404248339211E-2</v>
      </c>
      <c r="R628" s="4">
        <f t="shared" si="59"/>
        <v>0.87068386568386513</v>
      </c>
      <c r="S628" s="4">
        <v>11.32</v>
      </c>
      <c r="T628" s="2">
        <v>1.1499999999999999</v>
      </c>
      <c r="U628" s="2">
        <v>26.29</v>
      </c>
      <c r="V628" s="2">
        <v>9.1199999999999992</v>
      </c>
      <c r="W628" s="2">
        <v>-5.5</v>
      </c>
      <c r="X628" s="2">
        <v>6.32</v>
      </c>
      <c r="Y628" s="2">
        <v>28.93</v>
      </c>
      <c r="Z628" s="2">
        <v>21.64</v>
      </c>
    </row>
    <row r="629" spans="1:26" x14ac:dyDescent="0.25">
      <c r="A629" s="1" t="s">
        <v>2778</v>
      </c>
      <c r="B629" s="1" t="s">
        <v>2779</v>
      </c>
      <c r="C629" s="1" t="s">
        <v>31</v>
      </c>
      <c r="D629" s="1" t="s">
        <v>67</v>
      </c>
      <c r="E629" s="1" t="s">
        <v>1037</v>
      </c>
      <c r="F629" s="1" t="s">
        <v>2780</v>
      </c>
      <c r="G629" s="1" t="s">
        <v>12485</v>
      </c>
      <c r="H629" s="1" t="s">
        <v>2781</v>
      </c>
      <c r="I629" s="2">
        <v>30.97</v>
      </c>
      <c r="J629" s="2">
        <v>1.32</v>
      </c>
      <c r="K629" s="2">
        <v>1.48</v>
      </c>
      <c r="L629" s="2">
        <v>1.63</v>
      </c>
      <c r="M629" s="4">
        <f t="shared" si="54"/>
        <v>20.925675675675674</v>
      </c>
      <c r="N629" s="4">
        <f t="shared" si="55"/>
        <v>19</v>
      </c>
      <c r="O629" s="5">
        <f t="shared" si="56"/>
        <v>0.1212121212121211</v>
      </c>
      <c r="P629" s="5">
        <f t="shared" si="57"/>
        <v>0.10135135135135132</v>
      </c>
      <c r="Q629" s="4">
        <f t="shared" si="58"/>
        <v>1.7263682432432446</v>
      </c>
      <c r="R629" s="4">
        <f t="shared" si="59"/>
        <v>1.8746666666666674</v>
      </c>
      <c r="S629" s="4">
        <v>-0.2</v>
      </c>
      <c r="T629" s="2">
        <v>0.66</v>
      </c>
      <c r="U629" s="2">
        <v>36.46</v>
      </c>
      <c r="V629" s="2">
        <v>27.54</v>
      </c>
      <c r="W629" s="2">
        <v>2.11</v>
      </c>
      <c r="X629" s="2">
        <v>8.6999999999999993</v>
      </c>
      <c r="Y629" s="2">
        <v>-0.67</v>
      </c>
      <c r="Z629" s="2">
        <v>-3.19</v>
      </c>
    </row>
    <row r="630" spans="1:26" x14ac:dyDescent="0.25">
      <c r="A630" s="1" t="s">
        <v>2782</v>
      </c>
      <c r="B630" s="1" t="s">
        <v>2783</v>
      </c>
      <c r="C630" s="1" t="s">
        <v>45</v>
      </c>
      <c r="D630" s="1" t="s">
        <v>147</v>
      </c>
      <c r="E630" s="1" t="s">
        <v>2785</v>
      </c>
      <c r="F630" s="1" t="s">
        <v>2784</v>
      </c>
      <c r="G630" s="1" t="s">
        <v>12502</v>
      </c>
      <c r="H630" s="1" t="s">
        <v>1079</v>
      </c>
      <c r="I630" s="2">
        <v>71.7</v>
      </c>
      <c r="J630" s="2">
        <v>0.57999999999999996</v>
      </c>
      <c r="K630" s="2">
        <v>3.45</v>
      </c>
      <c r="L630" s="2">
        <v>4.22</v>
      </c>
      <c r="M630" s="4">
        <f t="shared" si="54"/>
        <v>20.782608695652172</v>
      </c>
      <c r="N630" s="4">
        <f t="shared" si="55"/>
        <v>16.990521327014221</v>
      </c>
      <c r="O630" s="5">
        <f t="shared" si="56"/>
        <v>4.9482758620689662</v>
      </c>
      <c r="P630" s="5">
        <f t="shared" si="57"/>
        <v>0.22318840579710142</v>
      </c>
      <c r="Q630" s="4">
        <f t="shared" si="58"/>
        <v>4.1999697015603688E-2</v>
      </c>
      <c r="R630" s="4">
        <f t="shared" si="59"/>
        <v>0.76126361789868924</v>
      </c>
      <c r="S630" s="4">
        <v>3.38</v>
      </c>
      <c r="T630" s="2">
        <v>1.75</v>
      </c>
      <c r="U630" s="2">
        <v>80.66</v>
      </c>
      <c r="V630" s="2">
        <v>39.229999999999997</v>
      </c>
      <c r="W630" s="2">
        <v>0.77</v>
      </c>
      <c r="X630" s="2">
        <v>-6.85</v>
      </c>
      <c r="Y630" s="2">
        <v>-4.68</v>
      </c>
      <c r="Z630" s="2">
        <v>7.67</v>
      </c>
    </row>
    <row r="631" spans="1:26" x14ac:dyDescent="0.25">
      <c r="A631" s="1" t="s">
        <v>2786</v>
      </c>
      <c r="B631" s="1" t="s">
        <v>2787</v>
      </c>
      <c r="C631" s="1" t="s">
        <v>16</v>
      </c>
      <c r="D631" s="1" t="s">
        <v>46</v>
      </c>
      <c r="E631" s="1" t="s">
        <v>770</v>
      </c>
      <c r="F631" s="1" t="s">
        <v>2788</v>
      </c>
      <c r="G631" s="1" t="s">
        <v>12480</v>
      </c>
      <c r="H631" s="1" t="s">
        <v>2789</v>
      </c>
      <c r="I631" s="2">
        <v>17.02</v>
      </c>
      <c r="J631" s="2">
        <v>3.12</v>
      </c>
      <c r="K631" s="2"/>
      <c r="L631" s="2"/>
      <c r="M631" s="4" t="e">
        <f t="shared" si="54"/>
        <v>#DIV/0!</v>
      </c>
      <c r="N631" s="4" t="e">
        <f t="shared" si="55"/>
        <v>#DIV/0!</v>
      </c>
      <c r="O631" s="5">
        <f t="shared" si="56"/>
        <v>-1</v>
      </c>
      <c r="P631" s="5" t="e">
        <f t="shared" si="57"/>
        <v>#DIV/0!</v>
      </c>
      <c r="Q631" s="4" t="e">
        <f t="shared" si="58"/>
        <v>#DIV/0!</v>
      </c>
      <c r="R631" s="4" t="e">
        <f t="shared" si="59"/>
        <v>#DIV/0!</v>
      </c>
      <c r="S631" s="4">
        <v>-57.87</v>
      </c>
      <c r="T631" s="2">
        <v>1.21</v>
      </c>
      <c r="U631" s="2">
        <v>17.91</v>
      </c>
      <c r="V631" s="2">
        <v>7.05</v>
      </c>
      <c r="W631" s="2">
        <v>-4.97</v>
      </c>
      <c r="X631" s="2">
        <v>5.78</v>
      </c>
      <c r="Y631" s="2">
        <v>8.06</v>
      </c>
      <c r="Z631" s="2">
        <v>7.79</v>
      </c>
    </row>
    <row r="632" spans="1:26" x14ac:dyDescent="0.25">
      <c r="A632" s="1" t="s">
        <v>2790</v>
      </c>
      <c r="B632" s="1" t="s">
        <v>2791</v>
      </c>
      <c r="C632" s="1" t="s">
        <v>16</v>
      </c>
      <c r="D632" s="1" t="s">
        <v>354</v>
      </c>
      <c r="E632" s="1" t="s">
        <v>355</v>
      </c>
      <c r="F632" s="1" t="s">
        <v>2792</v>
      </c>
      <c r="G632" s="1" t="s">
        <v>12480</v>
      </c>
      <c r="H632" s="1" t="s">
        <v>2793</v>
      </c>
      <c r="I632" s="2">
        <v>77.239999999999995</v>
      </c>
      <c r="J632" s="2">
        <v>3.61</v>
      </c>
      <c r="K632" s="2">
        <v>3.86</v>
      </c>
      <c r="L632" s="2">
        <v>4.16</v>
      </c>
      <c r="M632" s="4">
        <f t="shared" si="54"/>
        <v>20.010362694300518</v>
      </c>
      <c r="N632" s="4">
        <f t="shared" si="55"/>
        <v>18.56730769230769</v>
      </c>
      <c r="O632" s="5">
        <f t="shared" si="56"/>
        <v>6.9252077562326875E-2</v>
      </c>
      <c r="P632" s="5">
        <f t="shared" si="57"/>
        <v>7.7720207253886064E-2</v>
      </c>
      <c r="Q632" s="4">
        <f t="shared" si="58"/>
        <v>2.8894963730569945</v>
      </c>
      <c r="R632" s="4">
        <f t="shared" si="59"/>
        <v>2.3889935897435879</v>
      </c>
      <c r="S632" s="4">
        <v>13.63</v>
      </c>
      <c r="T632" s="2">
        <v>0.46</v>
      </c>
      <c r="U632" s="2">
        <v>78.12</v>
      </c>
      <c r="V632" s="2">
        <v>68.569999999999993</v>
      </c>
      <c r="W632" s="2">
        <v>-1.08</v>
      </c>
      <c r="X632" s="2">
        <v>6.07</v>
      </c>
      <c r="Y632" s="2">
        <v>9.16</v>
      </c>
      <c r="Z632" s="2">
        <v>10.45</v>
      </c>
    </row>
    <row r="633" spans="1:26" x14ac:dyDescent="0.25">
      <c r="A633" s="1" t="s">
        <v>2794</v>
      </c>
      <c r="B633" s="1" t="s">
        <v>2795</v>
      </c>
      <c r="C633" s="1" t="s">
        <v>31</v>
      </c>
      <c r="D633" s="1" t="s">
        <v>61</v>
      </c>
      <c r="E633" s="1" t="s">
        <v>2186</v>
      </c>
      <c r="F633" s="1" t="s">
        <v>2796</v>
      </c>
      <c r="G633" s="1" t="s">
        <v>12480</v>
      </c>
      <c r="H633" s="1" t="s">
        <v>2797</v>
      </c>
      <c r="I633" s="2">
        <v>15.4</v>
      </c>
      <c r="J633" s="2"/>
      <c r="K633" s="2"/>
      <c r="L633" s="2"/>
      <c r="M633" s="4" t="e">
        <f t="shared" si="54"/>
        <v>#DIV/0!</v>
      </c>
      <c r="N633" s="4" t="e">
        <f t="shared" si="55"/>
        <v>#DIV/0!</v>
      </c>
      <c r="O633" s="5" t="e">
        <f t="shared" si="56"/>
        <v>#DIV/0!</v>
      </c>
      <c r="P633" s="5" t="e">
        <f t="shared" si="57"/>
        <v>#DIV/0!</v>
      </c>
      <c r="Q633" s="4" t="e">
        <f t="shared" si="58"/>
        <v>#DIV/0!</v>
      </c>
      <c r="R633" s="4" t="e">
        <f t="shared" si="59"/>
        <v>#DIV/0!</v>
      </c>
      <c r="S633" s="4"/>
      <c r="T633" s="2">
        <v>0.65</v>
      </c>
      <c r="U633" s="2">
        <v>20.89</v>
      </c>
      <c r="V633" s="2">
        <v>9.4</v>
      </c>
      <c r="W633" s="2">
        <v>-18.3</v>
      </c>
      <c r="X633" s="2" t="s">
        <v>12618</v>
      </c>
      <c r="Y633" s="2">
        <v>8.76</v>
      </c>
      <c r="Z633" s="2">
        <v>6.94</v>
      </c>
    </row>
    <row r="634" spans="1:26" x14ac:dyDescent="0.25">
      <c r="A634" s="1" t="s">
        <v>2798</v>
      </c>
      <c r="B634" s="1" t="s">
        <v>2799</v>
      </c>
      <c r="C634" s="1" t="s">
        <v>31</v>
      </c>
      <c r="D634" s="1" t="s">
        <v>38</v>
      </c>
      <c r="E634" s="1" t="s">
        <v>189</v>
      </c>
      <c r="F634" s="1" t="s">
        <v>2800</v>
      </c>
      <c r="G634" s="1" t="s">
        <v>12502</v>
      </c>
      <c r="H634" s="1" t="s">
        <v>2801</v>
      </c>
      <c r="I634" s="2">
        <v>121.99</v>
      </c>
      <c r="J634" s="2">
        <v>5.37</v>
      </c>
      <c r="K634" s="2">
        <v>4.66</v>
      </c>
      <c r="L634" s="2">
        <v>4.91</v>
      </c>
      <c r="M634" s="4">
        <f t="shared" si="54"/>
        <v>26.17811158798283</v>
      </c>
      <c r="N634" s="4">
        <f t="shared" si="55"/>
        <v>24.845213849287166</v>
      </c>
      <c r="O634" s="5">
        <f t="shared" si="56"/>
        <v>-0.13221601489757917</v>
      </c>
      <c r="P634" s="5">
        <f t="shared" si="57"/>
        <v>5.3648068669527982E-2</v>
      </c>
      <c r="Q634" s="4">
        <f t="shared" si="58"/>
        <v>-1.9799501299643347</v>
      </c>
      <c r="R634" s="4">
        <f t="shared" si="59"/>
        <v>4.6311478615071202</v>
      </c>
      <c r="S634" s="4">
        <v>43.27</v>
      </c>
      <c r="T634" s="2">
        <v>1.27</v>
      </c>
      <c r="U634" s="2">
        <v>129.27000000000001</v>
      </c>
      <c r="V634" s="2">
        <v>86.17</v>
      </c>
      <c r="W634" s="2">
        <v>-0.39</v>
      </c>
      <c r="X634" s="2">
        <v>7.05</v>
      </c>
      <c r="Y634" s="2">
        <v>18.34</v>
      </c>
      <c r="Z634" s="2">
        <v>14.53</v>
      </c>
    </row>
    <row r="635" spans="1:26" x14ac:dyDescent="0.25">
      <c r="A635" s="1" t="s">
        <v>2802</v>
      </c>
      <c r="B635" s="1" t="s">
        <v>2803</v>
      </c>
      <c r="C635" s="1" t="s">
        <v>16</v>
      </c>
      <c r="D635" s="1" t="s">
        <v>38</v>
      </c>
      <c r="E635" s="1" t="s">
        <v>194</v>
      </c>
      <c r="F635" s="1" t="s">
        <v>2804</v>
      </c>
      <c r="G635" s="1" t="s">
        <v>12480</v>
      </c>
      <c r="H635" s="1" t="s">
        <v>2805</v>
      </c>
      <c r="I635" s="2">
        <v>47.55</v>
      </c>
      <c r="J635" s="2">
        <v>4.93</v>
      </c>
      <c r="K635" s="2">
        <v>4.57</v>
      </c>
      <c r="L635" s="2">
        <v>5.22</v>
      </c>
      <c r="M635" s="4">
        <f t="shared" si="54"/>
        <v>10.404814004376366</v>
      </c>
      <c r="N635" s="4">
        <f t="shared" si="55"/>
        <v>9.1091954022988499</v>
      </c>
      <c r="O635" s="5">
        <f t="shared" si="56"/>
        <v>-7.3022312373225096E-2</v>
      </c>
      <c r="P635" s="5">
        <f t="shared" si="57"/>
        <v>0.14223194748358847</v>
      </c>
      <c r="Q635" s="4">
        <f t="shared" si="58"/>
        <v>-1.424881473377098</v>
      </c>
      <c r="R635" s="4">
        <f t="shared" si="59"/>
        <v>0.64044650751547372</v>
      </c>
      <c r="S635" s="4">
        <v>5.04</v>
      </c>
      <c r="T635" s="2">
        <v>0.34</v>
      </c>
      <c r="U635" s="2" t="s">
        <v>12582</v>
      </c>
      <c r="V635" s="2">
        <v>43.33</v>
      </c>
      <c r="W635" s="2">
        <v>-4.09</v>
      </c>
      <c r="X635" s="2">
        <v>-3.22</v>
      </c>
      <c r="Y635" s="2">
        <v>0.55000000000000004</v>
      </c>
      <c r="Z635" s="2">
        <v>-0.4</v>
      </c>
    </row>
    <row r="636" spans="1:26" x14ac:dyDescent="0.25">
      <c r="A636" s="1" t="s">
        <v>2806</v>
      </c>
      <c r="B636" s="1" t="s">
        <v>2807</v>
      </c>
      <c r="C636" s="1" t="s">
        <v>16</v>
      </c>
      <c r="D636" s="1" t="s">
        <v>18</v>
      </c>
      <c r="E636" s="1" t="s">
        <v>2606</v>
      </c>
      <c r="F636" s="1" t="s">
        <v>2808</v>
      </c>
      <c r="G636" s="1" t="s">
        <v>12480</v>
      </c>
      <c r="H636" s="1" t="s">
        <v>2809</v>
      </c>
      <c r="I636" s="2">
        <v>43.32</v>
      </c>
      <c r="J636" s="2">
        <v>2.08</v>
      </c>
      <c r="K636" s="2">
        <v>3.01</v>
      </c>
      <c r="L636" s="2">
        <v>3.99</v>
      </c>
      <c r="M636" s="4">
        <f t="shared" si="54"/>
        <v>14.392026578073091</v>
      </c>
      <c r="N636" s="4">
        <f t="shared" si="55"/>
        <v>10.857142857142856</v>
      </c>
      <c r="O636" s="5">
        <f t="shared" si="56"/>
        <v>0.44711538461538436</v>
      </c>
      <c r="P636" s="5">
        <f t="shared" si="57"/>
        <v>0.32558139534883734</v>
      </c>
      <c r="Q636" s="4">
        <f t="shared" si="58"/>
        <v>0.32188618583217254</v>
      </c>
      <c r="R636" s="4">
        <f t="shared" si="59"/>
        <v>0.33346938775510182</v>
      </c>
      <c r="S636" s="4">
        <v>19.440000000000001</v>
      </c>
      <c r="T636" s="2">
        <v>0.48</v>
      </c>
      <c r="U636" s="2">
        <v>64.290000000000006</v>
      </c>
      <c r="V636" s="2">
        <v>25.21</v>
      </c>
      <c r="W636" s="2">
        <v>-2.87</v>
      </c>
      <c r="X636" s="2">
        <v>13.88</v>
      </c>
      <c r="Y636" s="2">
        <v>7.1</v>
      </c>
      <c r="Z636" s="2">
        <v>5.27</v>
      </c>
    </row>
    <row r="637" spans="1:26" x14ac:dyDescent="0.25">
      <c r="A637" s="1" t="s">
        <v>2810</v>
      </c>
      <c r="B637" s="1" t="s">
        <v>2811</v>
      </c>
      <c r="C637" s="1" t="s">
        <v>16</v>
      </c>
      <c r="D637" s="1" t="s">
        <v>25</v>
      </c>
      <c r="E637" s="1" t="s">
        <v>449</v>
      </c>
      <c r="F637" s="1" t="s">
        <v>2812</v>
      </c>
      <c r="G637" s="1" t="s">
        <v>12480</v>
      </c>
      <c r="H637" s="1" t="s">
        <v>2813</v>
      </c>
      <c r="I637" s="2">
        <v>11.14</v>
      </c>
      <c r="J637" s="2">
        <v>0.55000000000000004</v>
      </c>
      <c r="K637" s="2">
        <v>0.4</v>
      </c>
      <c r="L637" s="2">
        <v>0.68</v>
      </c>
      <c r="M637" s="4">
        <f t="shared" si="54"/>
        <v>27.85</v>
      </c>
      <c r="N637" s="4">
        <f t="shared" si="55"/>
        <v>16.382352941176471</v>
      </c>
      <c r="O637" s="5">
        <f t="shared" si="56"/>
        <v>-0.27272727272727271</v>
      </c>
      <c r="P637" s="5">
        <f t="shared" si="57"/>
        <v>0.7</v>
      </c>
      <c r="Q637" s="4">
        <f t="shared" si="58"/>
        <v>-1.0211666666666668</v>
      </c>
      <c r="R637" s="4">
        <f t="shared" si="59"/>
        <v>0.23403361344537815</v>
      </c>
      <c r="S637" s="4">
        <v>-8.7799999999999994</v>
      </c>
      <c r="T637" s="2">
        <v>1.24</v>
      </c>
      <c r="U637" s="2">
        <v>13.8</v>
      </c>
      <c r="V637" s="2">
        <v>9.2200000000000006</v>
      </c>
      <c r="W637" s="2">
        <v>-9.65</v>
      </c>
      <c r="X637" s="2">
        <v>-9.94</v>
      </c>
      <c r="Y637" s="2">
        <v>16.41</v>
      </c>
      <c r="Z637" s="2">
        <v>20.82</v>
      </c>
    </row>
    <row r="638" spans="1:26" x14ac:dyDescent="0.25">
      <c r="A638" s="1" t="s">
        <v>2814</v>
      </c>
      <c r="B638" s="1" t="s">
        <v>2815</v>
      </c>
      <c r="C638" s="1" t="s">
        <v>16</v>
      </c>
      <c r="D638" s="1" t="s">
        <v>46</v>
      </c>
      <c r="E638" s="1" t="s">
        <v>683</v>
      </c>
      <c r="F638" s="1" t="s">
        <v>2816</v>
      </c>
      <c r="G638" s="1" t="s">
        <v>12480</v>
      </c>
      <c r="H638" s="1" t="s">
        <v>2817</v>
      </c>
      <c r="I638" s="2">
        <v>107.96</v>
      </c>
      <c r="J638" s="2">
        <v>5.46</v>
      </c>
      <c r="K638" s="2">
        <v>5.78</v>
      </c>
      <c r="L638" s="2">
        <v>6.44</v>
      </c>
      <c r="M638" s="4">
        <f t="shared" si="54"/>
        <v>18.678200692041521</v>
      </c>
      <c r="N638" s="4">
        <f t="shared" si="55"/>
        <v>16.7639751552795</v>
      </c>
      <c r="O638" s="5">
        <f t="shared" si="56"/>
        <v>5.8608058608058622E-2</v>
      </c>
      <c r="P638" s="5">
        <f t="shared" si="57"/>
        <v>0.11418685121107264</v>
      </c>
      <c r="Q638" s="4">
        <f t="shared" si="58"/>
        <v>3.186967993079584</v>
      </c>
      <c r="R638" s="4">
        <f t="shared" si="59"/>
        <v>1.468117824204781</v>
      </c>
      <c r="S638" s="4">
        <v>-0.46</v>
      </c>
      <c r="T638" s="2">
        <v>0.9</v>
      </c>
      <c r="U638" s="2">
        <v>113.01</v>
      </c>
      <c r="V638" s="2">
        <v>90.91</v>
      </c>
      <c r="W638" s="2">
        <v>-4.47</v>
      </c>
      <c r="X638" s="2">
        <v>4.42</v>
      </c>
      <c r="Y638" s="2">
        <v>9.77</v>
      </c>
      <c r="Z638" s="2">
        <v>9.2200000000000006</v>
      </c>
    </row>
    <row r="639" spans="1:26" x14ac:dyDescent="0.25">
      <c r="A639" s="1" t="s">
        <v>2819</v>
      </c>
      <c r="B639" s="1" t="s">
        <v>2820</v>
      </c>
      <c r="C639" s="1" t="s">
        <v>16</v>
      </c>
      <c r="D639" s="1" t="s">
        <v>147</v>
      </c>
      <c r="E639" s="1" t="s">
        <v>2822</v>
      </c>
      <c r="F639" s="1" t="s">
        <v>2821</v>
      </c>
      <c r="G639" s="1" t="s">
        <v>12480</v>
      </c>
      <c r="H639" s="1" t="s">
        <v>2823</v>
      </c>
      <c r="I639" s="2">
        <v>27.07</v>
      </c>
      <c r="J639" s="2">
        <v>1.04</v>
      </c>
      <c r="K639" s="2">
        <v>2.02</v>
      </c>
      <c r="L639" s="2">
        <v>2.2999999999999998</v>
      </c>
      <c r="M639" s="4">
        <f t="shared" si="54"/>
        <v>13.400990099009901</v>
      </c>
      <c r="N639" s="4">
        <f t="shared" si="55"/>
        <v>11.769565217391305</v>
      </c>
      <c r="O639" s="5">
        <f t="shared" si="56"/>
        <v>0.94230769230769229</v>
      </c>
      <c r="P639" s="5">
        <f t="shared" si="57"/>
        <v>0.13861386138613851</v>
      </c>
      <c r="Q639" s="4">
        <f t="shared" si="58"/>
        <v>0.14221458880581936</v>
      </c>
      <c r="R639" s="4">
        <f t="shared" si="59"/>
        <v>0.84909006211180182</v>
      </c>
      <c r="S639" s="4">
        <v>2.15</v>
      </c>
      <c r="T639" s="2">
        <v>1.08</v>
      </c>
      <c r="U639" s="2">
        <v>33.770000000000003</v>
      </c>
      <c r="V639" s="2">
        <v>21.93</v>
      </c>
      <c r="W639" s="2">
        <v>-5.18</v>
      </c>
      <c r="X639" s="2">
        <v>4.84</v>
      </c>
      <c r="Y639" s="2">
        <v>13.6</v>
      </c>
      <c r="Z639" s="2">
        <v>16.48</v>
      </c>
    </row>
    <row r="640" spans="1:26" x14ac:dyDescent="0.25">
      <c r="A640" s="1" t="s">
        <v>2824</v>
      </c>
      <c r="B640" s="1" t="s">
        <v>2825</v>
      </c>
      <c r="C640" s="1" t="s">
        <v>1118</v>
      </c>
      <c r="D640" s="1" t="s">
        <v>88</v>
      </c>
      <c r="E640" s="1" t="s">
        <v>89</v>
      </c>
      <c r="F640" s="1" t="s">
        <v>2826</v>
      </c>
      <c r="G640" s="1" t="s">
        <v>12480</v>
      </c>
      <c r="H640" s="1" t="s">
        <v>2827</v>
      </c>
      <c r="I640" s="2">
        <v>17.18</v>
      </c>
      <c r="J640" s="2">
        <v>-0.28000000000000003</v>
      </c>
      <c r="K640" s="2">
        <v>-0.38</v>
      </c>
      <c r="L640" s="2">
        <v>-0.23</v>
      </c>
      <c r="M640" s="4">
        <f t="shared" si="54"/>
        <v>-45.210526315789473</v>
      </c>
      <c r="N640" s="4">
        <f t="shared" si="55"/>
        <v>-74.695652173913032</v>
      </c>
      <c r="O640" s="5">
        <f t="shared" si="56"/>
        <v>0.35714285714285698</v>
      </c>
      <c r="P640" s="5">
        <f t="shared" si="57"/>
        <v>-0.39473684210526316</v>
      </c>
      <c r="Q640" s="4">
        <f t="shared" si="58"/>
        <v>-1.2658947368421056</v>
      </c>
      <c r="R640" s="4">
        <f t="shared" si="59"/>
        <v>1.8922898550724636</v>
      </c>
      <c r="S640" s="4"/>
      <c r="T640" s="2">
        <v>-2.34</v>
      </c>
      <c r="U640" s="2">
        <v>20.76</v>
      </c>
      <c r="V640" s="2">
        <v>6.49</v>
      </c>
      <c r="W640" s="2">
        <v>-15.49</v>
      </c>
      <c r="X640" s="2">
        <v>-6.88</v>
      </c>
      <c r="Y640" s="2">
        <v>35.17</v>
      </c>
      <c r="Z640" s="2">
        <v>17.75</v>
      </c>
    </row>
    <row r="641" spans="1:26" x14ac:dyDescent="0.25">
      <c r="A641" s="1" t="s">
        <v>2829</v>
      </c>
      <c r="B641" s="1" t="s">
        <v>2830</v>
      </c>
      <c r="C641" s="1" t="s">
        <v>16</v>
      </c>
      <c r="D641" s="1" t="s">
        <v>25</v>
      </c>
      <c r="E641" s="1" t="s">
        <v>743</v>
      </c>
      <c r="F641" s="1" t="s">
        <v>2831</v>
      </c>
      <c r="G641" s="1" t="s">
        <v>12493</v>
      </c>
      <c r="H641" s="1" t="s">
        <v>2832</v>
      </c>
      <c r="I641" s="2">
        <v>49.96</v>
      </c>
      <c r="J641" s="2">
        <v>2.13</v>
      </c>
      <c r="K641" s="2">
        <v>3.19</v>
      </c>
      <c r="L641" s="2">
        <v>3.48</v>
      </c>
      <c r="M641" s="4">
        <f t="shared" si="54"/>
        <v>15.661442006269594</v>
      </c>
      <c r="N641" s="4">
        <f t="shared" si="55"/>
        <v>14.35632183908046</v>
      </c>
      <c r="O641" s="5">
        <f t="shared" si="56"/>
        <v>0.49765258215962449</v>
      </c>
      <c r="P641" s="5">
        <f t="shared" si="57"/>
        <v>9.0909090909090828E-2</v>
      </c>
      <c r="Q641" s="4">
        <f t="shared" si="58"/>
        <v>0.31470633465428521</v>
      </c>
      <c r="R641" s="4">
        <f t="shared" si="59"/>
        <v>1.5791954022988519</v>
      </c>
      <c r="S641" s="4">
        <v>11.03</v>
      </c>
      <c r="T641" s="2">
        <v>0.98</v>
      </c>
      <c r="U641" s="2">
        <v>66.98</v>
      </c>
      <c r="V641" s="2">
        <v>44.29</v>
      </c>
      <c r="W641" s="2">
        <v>-8.6199999999999992</v>
      </c>
      <c r="X641" s="2">
        <v>-11.92</v>
      </c>
      <c r="Y641" s="2">
        <v>-9.8699999999999992</v>
      </c>
      <c r="Z641" s="2">
        <v>-3.87</v>
      </c>
    </row>
    <row r="642" spans="1:26" x14ac:dyDescent="0.25">
      <c r="A642" s="1" t="s">
        <v>2833</v>
      </c>
      <c r="B642" s="1" t="s">
        <v>2834</v>
      </c>
      <c r="C642" s="1" t="s">
        <v>16</v>
      </c>
      <c r="D642" s="1" t="s">
        <v>18</v>
      </c>
      <c r="E642" s="1" t="s">
        <v>610</v>
      </c>
      <c r="F642" s="1" t="s">
        <v>2835</v>
      </c>
      <c r="G642" s="1" t="s">
        <v>12480</v>
      </c>
      <c r="H642" s="1" t="s">
        <v>2390</v>
      </c>
      <c r="I642" s="2">
        <v>39.409999999999997</v>
      </c>
      <c r="J642" s="2">
        <v>4.59</v>
      </c>
      <c r="K642" s="2">
        <v>4.3600000000000003</v>
      </c>
      <c r="L642" s="2">
        <v>4.93</v>
      </c>
      <c r="M642" s="4">
        <f t="shared" si="54"/>
        <v>9.0389908256880727</v>
      </c>
      <c r="N642" s="4">
        <f t="shared" si="55"/>
        <v>7.9939148073022306</v>
      </c>
      <c r="O642" s="5">
        <f t="shared" si="56"/>
        <v>-5.0108932461873534E-2</v>
      </c>
      <c r="P642" s="5">
        <f t="shared" si="57"/>
        <v>0.13073394495412827</v>
      </c>
      <c r="Q642" s="4">
        <f t="shared" si="58"/>
        <v>-1.8038681691264495</v>
      </c>
      <c r="R642" s="4">
        <f t="shared" si="59"/>
        <v>0.61146436069890819</v>
      </c>
      <c r="S642" s="4">
        <v>5.18</v>
      </c>
      <c r="T642" s="2">
        <v>0.91</v>
      </c>
      <c r="U642" s="2">
        <v>62.74</v>
      </c>
      <c r="V642" s="2">
        <v>37.31</v>
      </c>
      <c r="W642" s="2">
        <v>-13.93</v>
      </c>
      <c r="X642" s="2">
        <v>-5.42</v>
      </c>
      <c r="Y642" s="2">
        <v>-2.2599999999999998</v>
      </c>
      <c r="Z642" s="2">
        <v>-2.93</v>
      </c>
    </row>
    <row r="643" spans="1:26" x14ac:dyDescent="0.25">
      <c r="A643" s="1" t="s">
        <v>2836</v>
      </c>
      <c r="B643" s="1" t="s">
        <v>2837</v>
      </c>
      <c r="C643" s="1" t="s">
        <v>16</v>
      </c>
      <c r="D643" s="1" t="s">
        <v>38</v>
      </c>
      <c r="E643" s="1" t="s">
        <v>254</v>
      </c>
      <c r="F643" s="1" t="s">
        <v>2838</v>
      </c>
      <c r="G643" s="1" t="s">
        <v>12480</v>
      </c>
      <c r="H643" s="1" t="s">
        <v>2839</v>
      </c>
      <c r="I643" s="2">
        <v>41.17</v>
      </c>
      <c r="J643" s="2">
        <v>4.08</v>
      </c>
      <c r="K643" s="2">
        <v>4.38</v>
      </c>
      <c r="L643" s="2">
        <v>4.82</v>
      </c>
      <c r="M643" s="4">
        <f t="shared" ref="M643:M706" si="60">I643/K643</f>
        <v>9.3995433789954337</v>
      </c>
      <c r="N643" s="4">
        <f t="shared" ref="N643:N706" si="61">I643/L643</f>
        <v>8.5414937759336098</v>
      </c>
      <c r="O643" s="5">
        <f t="shared" ref="O643:O706" si="62">K643/J643-1</f>
        <v>7.3529411764705843E-2</v>
      </c>
      <c r="P643" s="5">
        <f t="shared" ref="P643:P706" si="63">L643/K643-1</f>
        <v>0.10045662100456632</v>
      </c>
      <c r="Q643" s="4">
        <f t="shared" ref="Q643:Q706" si="64">M643/(O643*100)</f>
        <v>1.2783378995433796</v>
      </c>
      <c r="R643" s="4">
        <f t="shared" ref="R643:R706" si="65">N643/(P643*100)</f>
        <v>0.85026688042248122</v>
      </c>
      <c r="S643" s="4">
        <v>0.85</v>
      </c>
      <c r="T643" s="2">
        <v>0.83</v>
      </c>
      <c r="U643" s="2">
        <v>44.64</v>
      </c>
      <c r="V643" s="2">
        <v>35.49</v>
      </c>
      <c r="W643" s="2">
        <v>-3.18</v>
      </c>
      <c r="X643" s="2">
        <v>-3.61</v>
      </c>
      <c r="Y643" s="2">
        <v>-3.97</v>
      </c>
      <c r="Z643" s="2">
        <v>-3.06</v>
      </c>
    </row>
    <row r="644" spans="1:26" x14ac:dyDescent="0.25">
      <c r="A644" s="1" t="s">
        <v>2842</v>
      </c>
      <c r="B644" s="1" t="s">
        <v>2843</v>
      </c>
      <c r="C644" s="1" t="s">
        <v>45</v>
      </c>
      <c r="D644" s="1" t="s">
        <v>38</v>
      </c>
      <c r="E644" s="1" t="s">
        <v>1244</v>
      </c>
      <c r="F644" s="1" t="s">
        <v>2844</v>
      </c>
      <c r="G644" s="1" t="s">
        <v>12480</v>
      </c>
      <c r="H644" s="1" t="s">
        <v>2845</v>
      </c>
      <c r="I644" s="2">
        <v>25.71</v>
      </c>
      <c r="J644" s="2">
        <v>2.64</v>
      </c>
      <c r="K644" s="2">
        <v>3.26</v>
      </c>
      <c r="L644" s="2">
        <v>3.55</v>
      </c>
      <c r="M644" s="4">
        <f t="shared" si="60"/>
        <v>7.8865030674846635</v>
      </c>
      <c r="N644" s="4">
        <f t="shared" si="61"/>
        <v>7.2422535211267611</v>
      </c>
      <c r="O644" s="5">
        <f t="shared" si="62"/>
        <v>0.23484848484848464</v>
      </c>
      <c r="P644" s="5">
        <f t="shared" si="63"/>
        <v>8.8957055214723857E-2</v>
      </c>
      <c r="Q644" s="4">
        <f t="shared" si="64"/>
        <v>0.33581238867999241</v>
      </c>
      <c r="R644" s="4">
        <f t="shared" si="65"/>
        <v>0.81412918892666408</v>
      </c>
      <c r="S644" s="4">
        <v>27.18</v>
      </c>
      <c r="T644" s="2">
        <v>1.1299999999999999</v>
      </c>
      <c r="U644" s="2">
        <v>28.76</v>
      </c>
      <c r="V644" s="2">
        <v>20.95</v>
      </c>
      <c r="W644" s="2">
        <v>-4.17</v>
      </c>
      <c r="X644" s="2">
        <v>-9.4700000000000006</v>
      </c>
      <c r="Y644" s="2">
        <v>-6.34</v>
      </c>
      <c r="Z644" s="2">
        <v>-1.95</v>
      </c>
    </row>
    <row r="645" spans="1:26" x14ac:dyDescent="0.25">
      <c r="A645" s="1" t="s">
        <v>2846</v>
      </c>
      <c r="B645" s="1" t="s">
        <v>2847</v>
      </c>
      <c r="C645" s="1" t="s">
        <v>16</v>
      </c>
      <c r="D645" s="1" t="s">
        <v>354</v>
      </c>
      <c r="E645" s="1" t="s">
        <v>355</v>
      </c>
      <c r="F645" s="1" t="s">
        <v>2848</v>
      </c>
      <c r="G645" s="1" t="s">
        <v>12480</v>
      </c>
      <c r="H645" s="1" t="s">
        <v>2849</v>
      </c>
      <c r="I645" s="2">
        <v>43.48</v>
      </c>
      <c r="J645" s="2">
        <v>1.76</v>
      </c>
      <c r="K645" s="2">
        <v>1.91</v>
      </c>
      <c r="L645" s="2">
        <v>2.08</v>
      </c>
      <c r="M645" s="4">
        <f t="shared" si="60"/>
        <v>22.764397905759161</v>
      </c>
      <c r="N645" s="4">
        <f t="shared" si="61"/>
        <v>20.903846153846153</v>
      </c>
      <c r="O645" s="5">
        <f t="shared" si="62"/>
        <v>8.5227272727272707E-2</v>
      </c>
      <c r="P645" s="5">
        <f t="shared" si="63"/>
        <v>8.9005235602094279E-2</v>
      </c>
      <c r="Q645" s="4">
        <f t="shared" si="64"/>
        <v>2.6710226876090757</v>
      </c>
      <c r="R645" s="4">
        <f t="shared" si="65"/>
        <v>2.3486085972850668</v>
      </c>
      <c r="S645" s="4">
        <v>8.26</v>
      </c>
      <c r="T645" s="2">
        <v>0.57999999999999996</v>
      </c>
      <c r="U645" s="2">
        <v>44.02</v>
      </c>
      <c r="V645" s="2">
        <v>33.4</v>
      </c>
      <c r="W645" s="2">
        <v>0.32</v>
      </c>
      <c r="X645" s="2">
        <v>8.02</v>
      </c>
      <c r="Y645" s="2">
        <v>13.82</v>
      </c>
      <c r="Z645" s="2">
        <v>13.41</v>
      </c>
    </row>
    <row r="646" spans="1:26" x14ac:dyDescent="0.25">
      <c r="A646" s="1" t="s">
        <v>2850</v>
      </c>
      <c r="B646" s="1" t="s">
        <v>2851</v>
      </c>
      <c r="C646" s="1" t="s">
        <v>16</v>
      </c>
      <c r="D646" s="1" t="s">
        <v>94</v>
      </c>
      <c r="E646" s="1" t="s">
        <v>409</v>
      </c>
      <c r="F646" s="1" t="s">
        <v>2852</v>
      </c>
      <c r="G646" s="1" t="s">
        <v>12480</v>
      </c>
      <c r="H646" s="1" t="s">
        <v>2853</v>
      </c>
      <c r="I646" s="2">
        <v>46.24</v>
      </c>
      <c r="J646" s="2">
        <v>2.54</v>
      </c>
      <c r="K646" s="2">
        <v>1.9</v>
      </c>
      <c r="L646" s="2">
        <v>2.15</v>
      </c>
      <c r="M646" s="4">
        <f t="shared" si="60"/>
        <v>24.336842105263159</v>
      </c>
      <c r="N646" s="4">
        <f t="shared" si="61"/>
        <v>21.506976744186048</v>
      </c>
      <c r="O646" s="5">
        <f t="shared" si="62"/>
        <v>-0.25196850393700787</v>
      </c>
      <c r="P646" s="5">
        <f t="shared" si="63"/>
        <v>0.13157894736842102</v>
      </c>
      <c r="Q646" s="4">
        <f t="shared" si="64"/>
        <v>-0.96586842105263171</v>
      </c>
      <c r="R646" s="4">
        <f t="shared" si="65"/>
        <v>1.6345302325581399</v>
      </c>
      <c r="S646" s="4">
        <v>4.33</v>
      </c>
      <c r="T646" s="2">
        <v>0.63</v>
      </c>
      <c r="U646" s="2">
        <v>46.31</v>
      </c>
      <c r="V646" s="2">
        <v>25.14</v>
      </c>
      <c r="W646" s="2">
        <v>4.26</v>
      </c>
      <c r="X646" s="2">
        <v>18.05</v>
      </c>
      <c r="Y646" s="2">
        <v>42.63</v>
      </c>
      <c r="Z646" s="2">
        <v>36.6</v>
      </c>
    </row>
    <row r="647" spans="1:26" x14ac:dyDescent="0.25">
      <c r="A647" s="1" t="s">
        <v>2855</v>
      </c>
      <c r="B647" s="1" t="s">
        <v>2856</v>
      </c>
      <c r="C647" s="1" t="s">
        <v>16</v>
      </c>
      <c r="D647" s="1" t="s">
        <v>94</v>
      </c>
      <c r="E647" s="1" t="s">
        <v>1027</v>
      </c>
      <c r="F647" s="1" t="s">
        <v>2857</v>
      </c>
      <c r="G647" s="1" t="s">
        <v>12480</v>
      </c>
      <c r="H647" s="1" t="s">
        <v>2858</v>
      </c>
      <c r="I647" s="2">
        <v>90.02</v>
      </c>
      <c r="J647" s="2">
        <v>-2.98</v>
      </c>
      <c r="K647" s="2">
        <v>2.1</v>
      </c>
      <c r="L647" s="2">
        <v>7.51</v>
      </c>
      <c r="M647" s="4">
        <f t="shared" si="60"/>
        <v>42.86666666666666</v>
      </c>
      <c r="N647" s="4">
        <f t="shared" si="61"/>
        <v>11.986684420772303</v>
      </c>
      <c r="O647" s="5">
        <f t="shared" si="62"/>
        <v>-1.7046979865771812</v>
      </c>
      <c r="P647" s="5">
        <f t="shared" si="63"/>
        <v>2.5761904761904759</v>
      </c>
      <c r="Q647" s="4">
        <f t="shared" si="64"/>
        <v>-0.2514619422572178</v>
      </c>
      <c r="R647" s="4">
        <f t="shared" si="65"/>
        <v>4.6528719563071787E-2</v>
      </c>
      <c r="S647" s="4">
        <v>86.23</v>
      </c>
      <c r="T647" s="2">
        <v>0.34</v>
      </c>
      <c r="U647" s="2">
        <v>101.44</v>
      </c>
      <c r="V647" s="2">
        <v>63.72</v>
      </c>
      <c r="W647" s="2">
        <v>3.48</v>
      </c>
      <c r="X647" s="2">
        <v>-4.6900000000000004</v>
      </c>
      <c r="Y647" s="2">
        <v>5.94</v>
      </c>
      <c r="Z647" s="2">
        <v>1.71</v>
      </c>
    </row>
    <row r="648" spans="1:26" x14ac:dyDescent="0.25">
      <c r="A648" s="1" t="s">
        <v>2859</v>
      </c>
      <c r="B648" s="1" t="s">
        <v>2860</v>
      </c>
      <c r="C648" s="1" t="s">
        <v>16</v>
      </c>
      <c r="D648" s="1" t="s">
        <v>38</v>
      </c>
      <c r="E648" s="1" t="s">
        <v>101</v>
      </c>
      <c r="F648" s="1" t="s">
        <v>2861</v>
      </c>
      <c r="G648" s="1" t="s">
        <v>12480</v>
      </c>
      <c r="H648" s="1" t="s">
        <v>2862</v>
      </c>
      <c r="I648" s="2">
        <v>64.25</v>
      </c>
      <c r="J648" s="2">
        <v>3.09</v>
      </c>
      <c r="K648" s="2">
        <v>3.3</v>
      </c>
      <c r="L648" s="2">
        <v>3.66</v>
      </c>
      <c r="M648" s="4">
        <f t="shared" si="60"/>
        <v>19.469696969696972</v>
      </c>
      <c r="N648" s="4">
        <f t="shared" si="61"/>
        <v>17.55464480874317</v>
      </c>
      <c r="O648" s="5">
        <f t="shared" si="62"/>
        <v>6.7961165048543659E-2</v>
      </c>
      <c r="P648" s="5">
        <f t="shared" si="63"/>
        <v>0.10909090909090913</v>
      </c>
      <c r="Q648" s="4">
        <f t="shared" si="64"/>
        <v>2.8648268398268413</v>
      </c>
      <c r="R648" s="4">
        <f t="shared" si="65"/>
        <v>1.6091757741347898</v>
      </c>
      <c r="S648" s="4">
        <v>7.48</v>
      </c>
      <c r="T648" s="2">
        <v>1.26</v>
      </c>
      <c r="U648" s="2">
        <v>87.41</v>
      </c>
      <c r="V648" s="2">
        <v>59.24</v>
      </c>
      <c r="W648" s="2">
        <v>-6.11</v>
      </c>
      <c r="X648" s="2">
        <v>-0.08</v>
      </c>
      <c r="Y648" s="2">
        <v>2.73</v>
      </c>
      <c r="Z648" s="2">
        <v>2.34</v>
      </c>
    </row>
    <row r="649" spans="1:26" x14ac:dyDescent="0.25">
      <c r="A649" s="1" t="s">
        <v>2863</v>
      </c>
      <c r="B649" s="1" t="s">
        <v>2864</v>
      </c>
      <c r="C649" s="1" t="s">
        <v>31</v>
      </c>
      <c r="D649" s="1" t="s">
        <v>32</v>
      </c>
      <c r="E649" s="1" t="s">
        <v>311</v>
      </c>
      <c r="F649" s="1" t="s">
        <v>2865</v>
      </c>
      <c r="G649" s="1" t="s">
        <v>12480</v>
      </c>
      <c r="H649" s="1" t="s">
        <v>2866</v>
      </c>
      <c r="I649" s="2">
        <v>2193.8899000000001</v>
      </c>
      <c r="J649" s="2">
        <v>77.88</v>
      </c>
      <c r="K649" s="2">
        <v>120.02</v>
      </c>
      <c r="L649" s="2">
        <v>150.72999999999999</v>
      </c>
      <c r="M649" s="4">
        <f t="shared" si="60"/>
        <v>18.279369271788038</v>
      </c>
      <c r="N649" s="4">
        <f t="shared" si="61"/>
        <v>14.55509785709547</v>
      </c>
      <c r="O649" s="5">
        <f t="shared" si="62"/>
        <v>0.54108885464817669</v>
      </c>
      <c r="P649" s="5">
        <f t="shared" si="63"/>
        <v>0.25587402099650047</v>
      </c>
      <c r="Q649" s="4">
        <f t="shared" si="64"/>
        <v>0.33782564757637695</v>
      </c>
      <c r="R649" s="4">
        <f t="shared" si="65"/>
        <v>0.56883843855701688</v>
      </c>
      <c r="S649" s="4">
        <v>15.47</v>
      </c>
      <c r="T649" s="2">
        <v>1.03</v>
      </c>
      <c r="U649" s="2">
        <v>3711.19</v>
      </c>
      <c r="V649" s="2" t="s">
        <v>12619</v>
      </c>
      <c r="W649" s="2">
        <v>16.79</v>
      </c>
      <c r="X649" s="2">
        <v>20.64</v>
      </c>
      <c r="Y649" s="2">
        <v>-9.31</v>
      </c>
      <c r="Z649" s="2">
        <v>-8.58</v>
      </c>
    </row>
    <row r="650" spans="1:26" x14ac:dyDescent="0.25">
      <c r="A650" s="1" t="s">
        <v>2867</v>
      </c>
      <c r="B650" s="1" t="s">
        <v>2868</v>
      </c>
      <c r="C650" s="1" t="s">
        <v>45</v>
      </c>
      <c r="D650" s="1" t="s">
        <v>18</v>
      </c>
      <c r="E650" s="1" t="s">
        <v>780</v>
      </c>
      <c r="F650" s="1" t="s">
        <v>2869</v>
      </c>
      <c r="G650" s="1" t="s">
        <v>12480</v>
      </c>
      <c r="H650" s="1" t="s">
        <v>2870</v>
      </c>
      <c r="I650" s="2">
        <v>26.09</v>
      </c>
      <c r="J650" s="2">
        <v>-1.49</v>
      </c>
      <c r="K650" s="2">
        <v>-1.64</v>
      </c>
      <c r="L650" s="2">
        <v>-1.78</v>
      </c>
      <c r="M650" s="4">
        <f t="shared" si="60"/>
        <v>-15.908536585365855</v>
      </c>
      <c r="N650" s="4">
        <f t="shared" si="61"/>
        <v>-14.657303370786517</v>
      </c>
      <c r="O650" s="5">
        <f t="shared" si="62"/>
        <v>0.10067114093959728</v>
      </c>
      <c r="P650" s="5">
        <f t="shared" si="63"/>
        <v>8.5365853658536661E-2</v>
      </c>
      <c r="Q650" s="4">
        <f t="shared" si="64"/>
        <v>-1.5802479674796757</v>
      </c>
      <c r="R650" s="4">
        <f t="shared" si="65"/>
        <v>-1.7169983948635619</v>
      </c>
      <c r="S650" s="4"/>
      <c r="T650" s="2">
        <v>1.55</v>
      </c>
      <c r="U650" s="2">
        <v>29.91</v>
      </c>
      <c r="V650" s="2">
        <v>10.71</v>
      </c>
      <c r="W650" s="2">
        <v>-1.58</v>
      </c>
      <c r="X650" s="2">
        <v>10.88</v>
      </c>
      <c r="Y650" s="2">
        <v>-0.23</v>
      </c>
      <c r="Z650" s="2">
        <v>4.32</v>
      </c>
    </row>
    <row r="651" spans="1:26" x14ac:dyDescent="0.25">
      <c r="A651" s="1" t="s">
        <v>2871</v>
      </c>
      <c r="B651" s="1" t="s">
        <v>2872</v>
      </c>
      <c r="C651" s="1" t="s">
        <v>16</v>
      </c>
      <c r="D651" s="1" t="s">
        <v>94</v>
      </c>
      <c r="E651" s="1" t="s">
        <v>894</v>
      </c>
      <c r="F651" s="1" t="s">
        <v>2873</v>
      </c>
      <c r="G651" s="1" t="s">
        <v>12480</v>
      </c>
      <c r="H651" s="1" t="s">
        <v>2874</v>
      </c>
      <c r="I651" s="2">
        <v>40.799999999999997</v>
      </c>
      <c r="J651" s="2">
        <v>2.54</v>
      </c>
      <c r="K651" s="2">
        <v>2.16</v>
      </c>
      <c r="L651" s="2">
        <v>3.95</v>
      </c>
      <c r="M651" s="4">
        <f t="shared" si="60"/>
        <v>18.888888888888886</v>
      </c>
      <c r="N651" s="4">
        <f t="shared" si="61"/>
        <v>10.329113924050631</v>
      </c>
      <c r="O651" s="5">
        <f t="shared" si="62"/>
        <v>-0.14960629921259838</v>
      </c>
      <c r="P651" s="5">
        <f t="shared" si="63"/>
        <v>0.82870370370370372</v>
      </c>
      <c r="Q651" s="4">
        <f t="shared" si="64"/>
        <v>-1.2625730994152049</v>
      </c>
      <c r="R651" s="4">
        <f t="shared" si="65"/>
        <v>0.1246418216533484</v>
      </c>
      <c r="S651" s="4">
        <v>76.760000000000005</v>
      </c>
      <c r="T651" s="2">
        <v>0.66</v>
      </c>
      <c r="U651" s="2">
        <v>42.61</v>
      </c>
      <c r="V651" s="2">
        <v>28.11</v>
      </c>
      <c r="W651" s="2">
        <v>-2.6</v>
      </c>
      <c r="X651" s="2">
        <v>4.67</v>
      </c>
      <c r="Y651" s="2">
        <v>5.7</v>
      </c>
      <c r="Z651" s="2">
        <v>10.96</v>
      </c>
    </row>
    <row r="652" spans="1:26" x14ac:dyDescent="0.25">
      <c r="A652" s="1" t="s">
        <v>2875</v>
      </c>
      <c r="B652" s="1" t="s">
        <v>2876</v>
      </c>
      <c r="C652" s="1" t="s">
        <v>45</v>
      </c>
      <c r="D652" s="1" t="s">
        <v>140</v>
      </c>
      <c r="E652" s="1" t="s">
        <v>141</v>
      </c>
      <c r="F652" s="1" t="s">
        <v>2877</v>
      </c>
      <c r="G652" s="1" t="s">
        <v>12499</v>
      </c>
      <c r="H652" s="1" t="s">
        <v>2878</v>
      </c>
      <c r="I652" s="2">
        <v>33.94</v>
      </c>
      <c r="J652" s="2">
        <v>11.22</v>
      </c>
      <c r="K652" s="2">
        <v>11.76</v>
      </c>
      <c r="L652" s="2">
        <v>12.7</v>
      </c>
      <c r="M652" s="4">
        <f t="shared" si="60"/>
        <v>2.8860544217687072</v>
      </c>
      <c r="N652" s="4">
        <f t="shared" si="61"/>
        <v>2.6724409448818895</v>
      </c>
      <c r="O652" s="5">
        <f t="shared" si="62"/>
        <v>4.8128342245989275E-2</v>
      </c>
      <c r="P652" s="5">
        <f t="shared" si="63"/>
        <v>7.9931972789115679E-2</v>
      </c>
      <c r="Q652" s="4">
        <f t="shared" si="64"/>
        <v>0.59965797430083179</v>
      </c>
      <c r="R652" s="4">
        <f t="shared" si="65"/>
        <v>0.33433942033841496</v>
      </c>
      <c r="S652" s="4">
        <v>2.15</v>
      </c>
      <c r="T652" s="2">
        <v>0.5</v>
      </c>
      <c r="U652" s="2">
        <v>65.040000000000006</v>
      </c>
      <c r="V652" s="2">
        <v>29.78</v>
      </c>
      <c r="W652" s="2">
        <v>6.83</v>
      </c>
      <c r="X652" s="2">
        <v>-13.06</v>
      </c>
      <c r="Y652" s="2">
        <v>-12.48</v>
      </c>
      <c r="Z652" s="2">
        <v>-18.37</v>
      </c>
    </row>
    <row r="653" spans="1:26" x14ac:dyDescent="0.25">
      <c r="A653" s="1" t="s">
        <v>2880</v>
      </c>
      <c r="B653" s="1" t="s">
        <v>2881</v>
      </c>
      <c r="C653" s="1" t="s">
        <v>45</v>
      </c>
      <c r="D653" s="1" t="s">
        <v>67</v>
      </c>
      <c r="E653" s="1" t="s">
        <v>2883</v>
      </c>
      <c r="F653" s="1" t="s">
        <v>2882</v>
      </c>
      <c r="G653" s="1" t="s">
        <v>12480</v>
      </c>
      <c r="H653" s="1" t="s">
        <v>12620</v>
      </c>
      <c r="I653" s="2">
        <v>60.47</v>
      </c>
      <c r="J653" s="2">
        <v>3.44</v>
      </c>
      <c r="K653" s="2">
        <v>3.8</v>
      </c>
      <c r="L653" s="2">
        <v>4.2</v>
      </c>
      <c r="M653" s="4">
        <f t="shared" si="60"/>
        <v>15.913157894736843</v>
      </c>
      <c r="N653" s="4">
        <f t="shared" si="61"/>
        <v>14.397619047619047</v>
      </c>
      <c r="O653" s="5">
        <f t="shared" si="62"/>
        <v>0.10465116279069764</v>
      </c>
      <c r="P653" s="5">
        <f t="shared" si="63"/>
        <v>0.10526315789473695</v>
      </c>
      <c r="Q653" s="4">
        <f t="shared" si="64"/>
        <v>1.5205906432748542</v>
      </c>
      <c r="R653" s="4">
        <f t="shared" si="65"/>
        <v>1.3677738095238079</v>
      </c>
      <c r="S653" s="4">
        <v>2.52</v>
      </c>
      <c r="T653" s="2">
        <v>0.83</v>
      </c>
      <c r="U653" s="2">
        <v>70.64</v>
      </c>
      <c r="V653" s="2">
        <v>55.83</v>
      </c>
      <c r="W653" s="2">
        <v>-1.06</v>
      </c>
      <c r="X653" s="2">
        <v>-9.1999999999999993</v>
      </c>
      <c r="Y653" s="2">
        <v>1.65</v>
      </c>
      <c r="Z653" s="2">
        <v>4.6900000000000004</v>
      </c>
    </row>
    <row r="654" spans="1:26" x14ac:dyDescent="0.25">
      <c r="A654" s="1" t="s">
        <v>2884</v>
      </c>
      <c r="B654" s="1" t="s">
        <v>2885</v>
      </c>
      <c r="C654" s="1" t="s">
        <v>45</v>
      </c>
      <c r="D654" s="1" t="s">
        <v>128</v>
      </c>
      <c r="E654" s="1" t="s">
        <v>2351</v>
      </c>
      <c r="F654" s="1" t="s">
        <v>2886</v>
      </c>
      <c r="G654" s="1" t="s">
        <v>12480</v>
      </c>
      <c r="H654" s="1" t="s">
        <v>2887</v>
      </c>
      <c r="I654" s="2">
        <v>52.74</v>
      </c>
      <c r="J654" s="2">
        <v>1.19</v>
      </c>
      <c r="K654" s="2">
        <v>1.58</v>
      </c>
      <c r="L654" s="2">
        <v>1.87</v>
      </c>
      <c r="M654" s="4">
        <f t="shared" si="60"/>
        <v>33.379746835443036</v>
      </c>
      <c r="N654" s="4">
        <f t="shared" si="61"/>
        <v>28.203208556149733</v>
      </c>
      <c r="O654" s="5">
        <f t="shared" si="62"/>
        <v>0.32773109243697496</v>
      </c>
      <c r="P654" s="5">
        <f t="shared" si="63"/>
        <v>0.18354430379746844</v>
      </c>
      <c r="Q654" s="4">
        <f t="shared" si="64"/>
        <v>1.0185102239532613</v>
      </c>
      <c r="R654" s="4">
        <f t="shared" si="65"/>
        <v>1.5365886040936743</v>
      </c>
      <c r="S654" s="4">
        <v>18.170000000000002</v>
      </c>
      <c r="T654" s="2">
        <v>0.37</v>
      </c>
      <c r="U654" s="2">
        <v>58.96</v>
      </c>
      <c r="V654" s="2" t="s">
        <v>12535</v>
      </c>
      <c r="W654" s="2">
        <v>-3.14</v>
      </c>
      <c r="X654" s="2">
        <v>-9.7100000000000009</v>
      </c>
      <c r="Y654" s="2">
        <v>-2.39</v>
      </c>
      <c r="Z654" s="2">
        <v>-0.51</v>
      </c>
    </row>
    <row r="655" spans="1:26" x14ac:dyDescent="0.25">
      <c r="A655" s="1" t="s">
        <v>2889</v>
      </c>
      <c r="B655" s="1" t="s">
        <v>2890</v>
      </c>
      <c r="C655" s="1" t="s">
        <v>31</v>
      </c>
      <c r="D655" s="1" t="s">
        <v>61</v>
      </c>
      <c r="E655" s="1" t="s">
        <v>170</v>
      </c>
      <c r="F655" s="1" t="s">
        <v>2891</v>
      </c>
      <c r="G655" s="1" t="s">
        <v>12480</v>
      </c>
      <c r="H655" s="1" t="s">
        <v>2892</v>
      </c>
      <c r="I655" s="2">
        <v>17.41</v>
      </c>
      <c r="J655" s="2">
        <v>1.52</v>
      </c>
      <c r="K655" s="2">
        <v>1.6</v>
      </c>
      <c r="L655" s="2">
        <v>1.76</v>
      </c>
      <c r="M655" s="4">
        <f t="shared" si="60"/>
        <v>10.88125</v>
      </c>
      <c r="N655" s="4">
        <f t="shared" si="61"/>
        <v>9.892045454545455</v>
      </c>
      <c r="O655" s="5">
        <f t="shared" si="62"/>
        <v>5.2631578947368363E-2</v>
      </c>
      <c r="P655" s="5">
        <f t="shared" si="63"/>
        <v>9.9999999999999867E-2</v>
      </c>
      <c r="Q655" s="4">
        <f t="shared" si="64"/>
        <v>2.0674375000000023</v>
      </c>
      <c r="R655" s="4">
        <f t="shared" si="65"/>
        <v>0.98920454545454695</v>
      </c>
      <c r="S655" s="4">
        <v>4.32</v>
      </c>
      <c r="T655" s="2">
        <v>-0.27</v>
      </c>
      <c r="U655" s="2">
        <v>24.52</v>
      </c>
      <c r="V655" s="2">
        <v>16.989999999999998</v>
      </c>
      <c r="W655" s="2">
        <v>-10.119999999999999</v>
      </c>
      <c r="X655" s="2">
        <v>-17.29</v>
      </c>
      <c r="Y655" s="2">
        <v>-15.61</v>
      </c>
      <c r="Z655" s="2">
        <v>-14.57</v>
      </c>
    </row>
    <row r="656" spans="1:26" x14ac:dyDescent="0.25">
      <c r="A656" s="1" t="s">
        <v>2893</v>
      </c>
      <c r="B656" s="1" t="s">
        <v>2894</v>
      </c>
      <c r="C656" s="1" t="s">
        <v>16</v>
      </c>
      <c r="D656" s="1" t="s">
        <v>38</v>
      </c>
      <c r="E656" s="1" t="s">
        <v>653</v>
      </c>
      <c r="F656" s="1" t="s">
        <v>2895</v>
      </c>
      <c r="G656" s="1" t="s">
        <v>12480</v>
      </c>
      <c r="H656" s="1" t="s">
        <v>2896</v>
      </c>
      <c r="I656" s="2">
        <v>185.73</v>
      </c>
      <c r="J656" s="2">
        <v>19.61</v>
      </c>
      <c r="K656" s="2">
        <v>19.920000000000002</v>
      </c>
      <c r="L656" s="2">
        <v>24.08</v>
      </c>
      <c r="M656" s="4">
        <f t="shared" si="60"/>
        <v>9.3237951807228896</v>
      </c>
      <c r="N656" s="4">
        <f t="shared" si="61"/>
        <v>7.713039867109635</v>
      </c>
      <c r="O656" s="5">
        <f t="shared" si="62"/>
        <v>1.5808261091279974E-2</v>
      </c>
      <c r="P656" s="5">
        <f t="shared" si="63"/>
        <v>0.20883534136546156</v>
      </c>
      <c r="Q656" s="4">
        <f t="shared" si="64"/>
        <v>5.8980523707734092</v>
      </c>
      <c r="R656" s="4">
        <f t="shared" si="65"/>
        <v>0.36933594748275034</v>
      </c>
      <c r="S656" s="4">
        <v>28.39</v>
      </c>
      <c r="T656" s="2">
        <v>1.1399999999999999</v>
      </c>
      <c r="U656" s="2">
        <v>257.94</v>
      </c>
      <c r="V656" s="2">
        <v>150.57</v>
      </c>
      <c r="W656" s="2">
        <v>-4.42</v>
      </c>
      <c r="X656" s="2">
        <v>-16.62</v>
      </c>
      <c r="Y656" s="2">
        <v>-22.55</v>
      </c>
      <c r="Z656" s="2">
        <v>-23.37</v>
      </c>
    </row>
    <row r="657" spans="1:26" x14ac:dyDescent="0.25">
      <c r="A657" s="1" t="s">
        <v>2897</v>
      </c>
      <c r="B657" s="1" t="s">
        <v>2898</v>
      </c>
      <c r="C657" s="1" t="s">
        <v>45</v>
      </c>
      <c r="D657" s="1" t="s">
        <v>18</v>
      </c>
      <c r="E657" s="1" t="s">
        <v>74</v>
      </c>
      <c r="F657" s="1" t="s">
        <v>2899</v>
      </c>
      <c r="G657" s="1" t="s">
        <v>12480</v>
      </c>
      <c r="H657" s="1" t="s">
        <v>2900</v>
      </c>
      <c r="I657" s="2">
        <v>37.01</v>
      </c>
      <c r="J657" s="2">
        <v>-2.1</v>
      </c>
      <c r="K657" s="2">
        <v>-2.08</v>
      </c>
      <c r="L657" s="2">
        <v>-0.51</v>
      </c>
      <c r="M657" s="4">
        <f t="shared" si="60"/>
        <v>-17.79326923076923</v>
      </c>
      <c r="N657" s="4">
        <f t="shared" si="61"/>
        <v>-72.568627450980387</v>
      </c>
      <c r="O657" s="5">
        <f t="shared" si="62"/>
        <v>-9.52380952380949E-3</v>
      </c>
      <c r="P657" s="5">
        <f t="shared" si="63"/>
        <v>-0.75480769230769229</v>
      </c>
      <c r="Q657" s="4">
        <f t="shared" si="64"/>
        <v>18.682932692307759</v>
      </c>
      <c r="R657" s="4">
        <f t="shared" si="65"/>
        <v>0.96141875858623704</v>
      </c>
      <c r="S657" s="4"/>
      <c r="T657" s="2">
        <v>0.47</v>
      </c>
      <c r="U657" s="2">
        <v>42.11</v>
      </c>
      <c r="V657" s="2">
        <v>4.0199999999999996</v>
      </c>
      <c r="W657" s="2">
        <v>-4.83</v>
      </c>
      <c r="X657" s="2">
        <v>-2.48</v>
      </c>
      <c r="Y657" s="2">
        <v>-8.0299999999999994</v>
      </c>
      <c r="Z657" s="2">
        <v>4.1900000000000004</v>
      </c>
    </row>
    <row r="658" spans="1:26" x14ac:dyDescent="0.25">
      <c r="A658" s="1" t="s">
        <v>2901</v>
      </c>
      <c r="B658" s="1" t="s">
        <v>2902</v>
      </c>
      <c r="C658" s="1" t="s">
        <v>16</v>
      </c>
      <c r="D658" s="1" t="s">
        <v>140</v>
      </c>
      <c r="E658" s="1" t="s">
        <v>284</v>
      </c>
      <c r="F658" s="1" t="s">
        <v>2903</v>
      </c>
      <c r="G658" s="1" t="s">
        <v>12502</v>
      </c>
      <c r="H658" s="1" t="s">
        <v>2904</v>
      </c>
      <c r="I658" s="2">
        <v>252.32</v>
      </c>
      <c r="J658" s="2">
        <v>3.53</v>
      </c>
      <c r="K658" s="2">
        <v>5.38</v>
      </c>
      <c r="L658" s="2">
        <v>7.18</v>
      </c>
      <c r="M658" s="4">
        <f t="shared" si="60"/>
        <v>46.899628252788105</v>
      </c>
      <c r="N658" s="4">
        <f t="shared" si="61"/>
        <v>35.14206128133705</v>
      </c>
      <c r="O658" s="5">
        <f t="shared" si="62"/>
        <v>0.52407932011331448</v>
      </c>
      <c r="P658" s="5">
        <f t="shared" si="63"/>
        <v>0.33457249070631967</v>
      </c>
      <c r="Q658" s="4">
        <f t="shared" si="64"/>
        <v>0.8948956093640108</v>
      </c>
      <c r="R658" s="4">
        <f t="shared" si="65"/>
        <v>1.0503571649644075</v>
      </c>
      <c r="S658" s="4">
        <v>23.42</v>
      </c>
      <c r="T658" s="2">
        <v>1.83</v>
      </c>
      <c r="U658" s="2">
        <v>298.91000000000003</v>
      </c>
      <c r="V658" s="2">
        <v>50.58</v>
      </c>
      <c r="W658" s="2">
        <v>-15.59</v>
      </c>
      <c r="X658" s="2">
        <v>4.07</v>
      </c>
      <c r="Y658" s="2">
        <v>41.4</v>
      </c>
      <c r="Z658" s="2">
        <v>36.71</v>
      </c>
    </row>
    <row r="659" spans="1:26" x14ac:dyDescent="0.25">
      <c r="A659" s="1" t="s">
        <v>2906</v>
      </c>
      <c r="B659" s="1" t="s">
        <v>2907</v>
      </c>
      <c r="C659" s="1" t="s">
        <v>45</v>
      </c>
      <c r="D659" s="1" t="s">
        <v>32</v>
      </c>
      <c r="E659" s="1" t="s">
        <v>226</v>
      </c>
      <c r="F659" s="1" t="s">
        <v>2908</v>
      </c>
      <c r="G659" s="1" t="s">
        <v>12480</v>
      </c>
      <c r="H659" s="1" t="s">
        <v>2909</v>
      </c>
      <c r="I659" s="2" t="s">
        <v>12542</v>
      </c>
      <c r="J659" s="2">
        <v>-0.22</v>
      </c>
      <c r="K659" s="2">
        <v>0.56999999999999995</v>
      </c>
      <c r="L659" s="2">
        <v>1.17</v>
      </c>
      <c r="M659" s="4">
        <f t="shared" si="60"/>
        <v>49.122807017543863</v>
      </c>
      <c r="N659" s="4">
        <f t="shared" si="61"/>
        <v>23.931623931623932</v>
      </c>
      <c r="O659" s="5">
        <f t="shared" si="62"/>
        <v>-3.5909090909090908</v>
      </c>
      <c r="P659" s="5">
        <f t="shared" si="63"/>
        <v>1.0526315789473686</v>
      </c>
      <c r="Q659" s="4">
        <f t="shared" si="64"/>
        <v>-0.13679769042860318</v>
      </c>
      <c r="R659" s="4">
        <f t="shared" si="65"/>
        <v>0.22735042735042729</v>
      </c>
      <c r="S659" s="4">
        <v>12.74</v>
      </c>
      <c r="T659" s="2">
        <v>1.27</v>
      </c>
      <c r="U659" s="2">
        <v>34.159999999999997</v>
      </c>
      <c r="V659" s="2">
        <v>13.33</v>
      </c>
      <c r="W659" s="2">
        <v>-10.11</v>
      </c>
      <c r="X659" s="2">
        <v>-11.59</v>
      </c>
      <c r="Y659" s="2">
        <v>18.59</v>
      </c>
      <c r="Z659" s="2">
        <v>20.329999999999998</v>
      </c>
    </row>
    <row r="660" spans="1:26" x14ac:dyDescent="0.25">
      <c r="A660" s="1" t="s">
        <v>2910</v>
      </c>
      <c r="B660" s="1" t="s">
        <v>2911</v>
      </c>
      <c r="C660" s="1" t="s">
        <v>31</v>
      </c>
      <c r="D660" s="1" t="s">
        <v>88</v>
      </c>
      <c r="E660" s="1" t="s">
        <v>1113</v>
      </c>
      <c r="F660" s="1" t="s">
        <v>2912</v>
      </c>
      <c r="G660" s="1" t="s">
        <v>12480</v>
      </c>
      <c r="H660" s="1" t="s">
        <v>2913</v>
      </c>
      <c r="I660" s="2">
        <v>18.504999999999999</v>
      </c>
      <c r="J660" s="2">
        <v>0.96</v>
      </c>
      <c r="K660" s="2">
        <v>1.1200000000000001</v>
      </c>
      <c r="L660" s="2">
        <v>1.26</v>
      </c>
      <c r="M660" s="4">
        <f t="shared" si="60"/>
        <v>16.522321428571427</v>
      </c>
      <c r="N660" s="4">
        <f t="shared" si="61"/>
        <v>14.686507936507935</v>
      </c>
      <c r="O660" s="5">
        <f t="shared" si="62"/>
        <v>0.16666666666666674</v>
      </c>
      <c r="P660" s="5">
        <f t="shared" si="63"/>
        <v>0.125</v>
      </c>
      <c r="Q660" s="4">
        <f t="shared" si="64"/>
        <v>0.99133928571428509</v>
      </c>
      <c r="R660" s="4">
        <f t="shared" si="65"/>
        <v>1.1749206349206347</v>
      </c>
      <c r="S660" s="4">
        <v>7.69</v>
      </c>
      <c r="T660" s="2">
        <v>1.19</v>
      </c>
      <c r="U660" s="2">
        <v>22.04</v>
      </c>
      <c r="V660" s="2">
        <v>16.3</v>
      </c>
      <c r="W660" s="2">
        <v>-7.82</v>
      </c>
      <c r="X660" s="2">
        <v>-8.57</v>
      </c>
      <c r="Y660" s="2">
        <v>1.73</v>
      </c>
      <c r="Z660" s="2">
        <v>2.63</v>
      </c>
    </row>
    <row r="661" spans="1:26" x14ac:dyDescent="0.25">
      <c r="A661" s="1" t="s">
        <v>2914</v>
      </c>
      <c r="B661" s="1" t="s">
        <v>2915</v>
      </c>
      <c r="C661" s="1" t="s">
        <v>45</v>
      </c>
      <c r="D661" s="1" t="s">
        <v>38</v>
      </c>
      <c r="E661" s="1" t="s">
        <v>52</v>
      </c>
      <c r="F661" s="1" t="s">
        <v>2916</v>
      </c>
      <c r="G661" s="1" t="s">
        <v>12480</v>
      </c>
      <c r="H661" s="1" t="s">
        <v>2917</v>
      </c>
      <c r="I661" s="2">
        <v>199.79</v>
      </c>
      <c r="J661" s="2">
        <v>4.03</v>
      </c>
      <c r="K661" s="2">
        <v>3.07</v>
      </c>
      <c r="L661" s="2">
        <v>4.04</v>
      </c>
      <c r="M661" s="4">
        <f t="shared" si="60"/>
        <v>65.078175895765469</v>
      </c>
      <c r="N661" s="4">
        <f t="shared" si="61"/>
        <v>49.452970297029701</v>
      </c>
      <c r="O661" s="5">
        <f t="shared" si="62"/>
        <v>-0.23821339950372222</v>
      </c>
      <c r="P661" s="5">
        <f t="shared" si="63"/>
        <v>0.3159609120521174</v>
      </c>
      <c r="Q661" s="4">
        <f t="shared" si="64"/>
        <v>-2.7319275922909863</v>
      </c>
      <c r="R661" s="4">
        <f t="shared" si="65"/>
        <v>1.5651610186791867</v>
      </c>
      <c r="S661" s="4">
        <v>9.4</v>
      </c>
      <c r="T661" s="2">
        <v>3.7</v>
      </c>
      <c r="U661" s="2">
        <v>419.78</v>
      </c>
      <c r="V661" s="2">
        <v>141.09</v>
      </c>
      <c r="W661" s="2">
        <v>7.85</v>
      </c>
      <c r="X661" s="2">
        <v>19.46</v>
      </c>
      <c r="Y661" s="2">
        <v>-20.22</v>
      </c>
      <c r="Z661" s="2">
        <v>-11.65</v>
      </c>
    </row>
    <row r="662" spans="1:26" x14ac:dyDescent="0.25">
      <c r="A662" s="1" t="s">
        <v>2918</v>
      </c>
      <c r="B662" s="1" t="s">
        <v>2919</v>
      </c>
      <c r="C662" s="1" t="s">
        <v>45</v>
      </c>
      <c r="D662" s="1" t="s">
        <v>128</v>
      </c>
      <c r="E662" s="1" t="s">
        <v>2351</v>
      </c>
      <c r="F662" s="1" t="s">
        <v>2920</v>
      </c>
      <c r="G662" s="1" t="s">
        <v>12480</v>
      </c>
      <c r="H662" s="1" t="s">
        <v>2921</v>
      </c>
      <c r="I662" s="2">
        <v>206.91</v>
      </c>
      <c r="J662" s="2">
        <v>7.98</v>
      </c>
      <c r="K662" s="2"/>
      <c r="L662" s="2"/>
      <c r="M662" s="4" t="e">
        <f t="shared" si="60"/>
        <v>#DIV/0!</v>
      </c>
      <c r="N662" s="4" t="e">
        <f t="shared" si="61"/>
        <v>#DIV/0!</v>
      </c>
      <c r="O662" s="5">
        <f t="shared" si="62"/>
        <v>-1</v>
      </c>
      <c r="P662" s="5" t="e">
        <f t="shared" si="63"/>
        <v>#DIV/0!</v>
      </c>
      <c r="Q662" s="4" t="e">
        <f t="shared" si="64"/>
        <v>#DIV/0!</v>
      </c>
      <c r="R662" s="4" t="e">
        <f t="shared" si="65"/>
        <v>#DIV/0!</v>
      </c>
      <c r="S662" s="4" t="s">
        <v>12840</v>
      </c>
      <c r="T662" s="2">
        <v>0.6</v>
      </c>
      <c r="U662" s="2">
        <v>207.35</v>
      </c>
      <c r="V662" s="2">
        <v>105.72</v>
      </c>
      <c r="W662" s="2">
        <v>0.26</v>
      </c>
      <c r="X662" s="2">
        <v>34.28</v>
      </c>
      <c r="Y662" s="2">
        <v>24.7</v>
      </c>
      <c r="Z662" s="2">
        <v>34.97</v>
      </c>
    </row>
    <row r="663" spans="1:26" x14ac:dyDescent="0.25">
      <c r="A663" s="1" t="s">
        <v>2923</v>
      </c>
      <c r="B663" s="1" t="s">
        <v>2924</v>
      </c>
      <c r="C663" s="1" t="s">
        <v>45</v>
      </c>
      <c r="D663" s="1" t="s">
        <v>38</v>
      </c>
      <c r="E663" s="1" t="s">
        <v>1909</v>
      </c>
      <c r="F663" s="1" t="s">
        <v>2925</v>
      </c>
      <c r="G663" s="1" t="s">
        <v>12480</v>
      </c>
      <c r="H663" s="1" t="s">
        <v>2926</v>
      </c>
      <c r="I663" s="2">
        <v>27.11</v>
      </c>
      <c r="J663" s="2">
        <v>3.12</v>
      </c>
      <c r="K663" s="2">
        <v>3.05</v>
      </c>
      <c r="L663" s="2">
        <v>3.37</v>
      </c>
      <c r="M663" s="4">
        <f t="shared" si="60"/>
        <v>8.888524590163934</v>
      </c>
      <c r="N663" s="4">
        <f t="shared" si="61"/>
        <v>8.0445103857566753</v>
      </c>
      <c r="O663" s="5">
        <f t="shared" si="62"/>
        <v>-2.2435897435897578E-2</v>
      </c>
      <c r="P663" s="5">
        <f t="shared" si="63"/>
        <v>0.10491803278688527</v>
      </c>
      <c r="Q663" s="4">
        <f t="shared" si="64"/>
        <v>-3.9617423887587568</v>
      </c>
      <c r="R663" s="4">
        <f t="shared" si="65"/>
        <v>0.76674239614243289</v>
      </c>
      <c r="S663" s="4">
        <v>8.35</v>
      </c>
      <c r="T663" s="2">
        <v>0.6</v>
      </c>
      <c r="U663" s="2">
        <v>32.42</v>
      </c>
      <c r="V663" s="2">
        <v>20.71</v>
      </c>
      <c r="W663" s="2">
        <v>-6.65</v>
      </c>
      <c r="X663" s="2">
        <v>-16.38</v>
      </c>
      <c r="Y663" s="2">
        <v>-7.03</v>
      </c>
      <c r="Z663" s="2">
        <v>-3.01</v>
      </c>
    </row>
    <row r="664" spans="1:26" x14ac:dyDescent="0.25">
      <c r="A664" s="1" t="s">
        <v>2927</v>
      </c>
      <c r="B664" s="1" t="s">
        <v>2928</v>
      </c>
      <c r="C664" s="1" t="s">
        <v>16</v>
      </c>
      <c r="D664" s="1" t="s">
        <v>38</v>
      </c>
      <c r="E664" s="1" t="s">
        <v>510</v>
      </c>
      <c r="F664" s="1" t="s">
        <v>2929</v>
      </c>
      <c r="G664" s="1" t="s">
        <v>12480</v>
      </c>
      <c r="H664" s="1" t="s">
        <v>2930</v>
      </c>
      <c r="I664" s="2">
        <v>12.25</v>
      </c>
      <c r="J664" s="2">
        <v>1.43</v>
      </c>
      <c r="K664" s="2">
        <v>1.24</v>
      </c>
      <c r="L664" s="2">
        <v>1.31</v>
      </c>
      <c r="M664" s="4">
        <f t="shared" si="60"/>
        <v>9.879032258064516</v>
      </c>
      <c r="N664" s="4">
        <f t="shared" si="61"/>
        <v>9.3511450381679388</v>
      </c>
      <c r="O664" s="5">
        <f t="shared" si="62"/>
        <v>-0.13286713286713281</v>
      </c>
      <c r="P664" s="5">
        <f t="shared" si="63"/>
        <v>5.6451612903225756E-2</v>
      </c>
      <c r="Q664" s="4">
        <f t="shared" si="64"/>
        <v>-0.74352716468590863</v>
      </c>
      <c r="R664" s="4">
        <f t="shared" si="65"/>
        <v>1.6564885496183221</v>
      </c>
      <c r="S664" s="4">
        <v>-2.4300000000000002</v>
      </c>
      <c r="T664" s="2">
        <v>0.89</v>
      </c>
      <c r="U664" s="2">
        <v>22.68</v>
      </c>
      <c r="V664" s="2">
        <v>10.119999999999999</v>
      </c>
      <c r="W664" s="2">
        <v>-6.13</v>
      </c>
      <c r="X664" s="2">
        <v>-3.92</v>
      </c>
      <c r="Y664" s="2">
        <v>-4.22</v>
      </c>
      <c r="Z664" s="2">
        <v>-4.74</v>
      </c>
    </row>
    <row r="665" spans="1:26" x14ac:dyDescent="0.25">
      <c r="A665" s="1" t="s">
        <v>2931</v>
      </c>
      <c r="B665" s="1" t="s">
        <v>2932</v>
      </c>
      <c r="C665" s="1" t="s">
        <v>45</v>
      </c>
      <c r="D665" s="1" t="s">
        <v>18</v>
      </c>
      <c r="E665" s="1" t="s">
        <v>780</v>
      </c>
      <c r="F665" s="1" t="s">
        <v>2933</v>
      </c>
      <c r="G665" s="1" t="s">
        <v>12480</v>
      </c>
      <c r="H665" s="1" t="s">
        <v>2934</v>
      </c>
      <c r="I665" s="2">
        <v>37.270000000000003</v>
      </c>
      <c r="J665" s="2">
        <v>7.42</v>
      </c>
      <c r="K665" s="2">
        <v>7.4</v>
      </c>
      <c r="L665" s="2">
        <v>5.92</v>
      </c>
      <c r="M665" s="4">
        <f t="shared" si="60"/>
        <v>5.0364864864864867</v>
      </c>
      <c r="N665" s="4">
        <f t="shared" si="61"/>
        <v>6.2956081081081088</v>
      </c>
      <c r="O665" s="5">
        <f t="shared" si="62"/>
        <v>-2.6954177897573484E-3</v>
      </c>
      <c r="P665" s="5">
        <f t="shared" si="63"/>
        <v>-0.20000000000000007</v>
      </c>
      <c r="Q665" s="4">
        <f t="shared" si="64"/>
        <v>-18.68536486486531</v>
      </c>
      <c r="R665" s="4">
        <f t="shared" si="65"/>
        <v>-0.31478040540540531</v>
      </c>
      <c r="S665" s="4">
        <v>23.62</v>
      </c>
      <c r="T665" s="2">
        <v>0.67</v>
      </c>
      <c r="U665" s="2">
        <v>49.84</v>
      </c>
      <c r="V665" s="2">
        <v>24.67</v>
      </c>
      <c r="W665" s="2">
        <v>-10.41</v>
      </c>
      <c r="X665" s="2">
        <v>-19.47</v>
      </c>
      <c r="Y665" s="2">
        <v>-23.95</v>
      </c>
      <c r="Z665" s="2">
        <v>-19.5</v>
      </c>
    </row>
    <row r="666" spans="1:26" x14ac:dyDescent="0.25">
      <c r="A666" s="1" t="s">
        <v>2935</v>
      </c>
      <c r="B666" s="1" t="s">
        <v>2936</v>
      </c>
      <c r="C666" s="1" t="s">
        <v>45</v>
      </c>
      <c r="D666" s="1" t="s">
        <v>147</v>
      </c>
      <c r="E666" s="1" t="s">
        <v>1931</v>
      </c>
      <c r="F666" s="1" t="s">
        <v>2937</v>
      </c>
      <c r="G666" s="1" t="s">
        <v>12480</v>
      </c>
      <c r="H666" s="1" t="s">
        <v>2938</v>
      </c>
      <c r="I666" s="2">
        <v>57.19</v>
      </c>
      <c r="J666" s="2">
        <v>3.69</v>
      </c>
      <c r="K666" s="2">
        <v>3.46</v>
      </c>
      <c r="L666" s="2">
        <v>4.05</v>
      </c>
      <c r="M666" s="4">
        <f t="shared" si="60"/>
        <v>16.528901734104046</v>
      </c>
      <c r="N666" s="4">
        <f t="shared" si="61"/>
        <v>14.120987654320988</v>
      </c>
      <c r="O666" s="5">
        <f t="shared" si="62"/>
        <v>-6.2330623306233068E-2</v>
      </c>
      <c r="P666" s="5">
        <f t="shared" si="63"/>
        <v>0.17052023121387272</v>
      </c>
      <c r="Q666" s="4">
        <f t="shared" si="64"/>
        <v>-2.651810756471475</v>
      </c>
      <c r="R666" s="4">
        <f t="shared" si="65"/>
        <v>0.8281121573550958</v>
      </c>
      <c r="S666" s="4">
        <v>0.85</v>
      </c>
      <c r="T666" s="2">
        <v>0.86</v>
      </c>
      <c r="U666" s="2">
        <v>85.24</v>
      </c>
      <c r="V666" s="2">
        <v>48.96</v>
      </c>
      <c r="W666" s="2">
        <v>-4.97</v>
      </c>
      <c r="X666" s="2">
        <v>-8.98</v>
      </c>
      <c r="Y666" s="2">
        <v>0.26</v>
      </c>
      <c r="Z666" s="2">
        <v>3.81</v>
      </c>
    </row>
    <row r="667" spans="1:26" x14ac:dyDescent="0.25">
      <c r="A667" s="1" t="s">
        <v>2939</v>
      </c>
      <c r="B667" s="1" t="s">
        <v>2940</v>
      </c>
      <c r="C667" s="1" t="s">
        <v>16</v>
      </c>
      <c r="D667" s="1" t="s">
        <v>32</v>
      </c>
      <c r="E667" s="1" t="s">
        <v>311</v>
      </c>
      <c r="F667" s="1" t="s">
        <v>2941</v>
      </c>
      <c r="G667" s="1" t="s">
        <v>12480</v>
      </c>
      <c r="H667" s="1" t="s">
        <v>2942</v>
      </c>
      <c r="I667" s="2" t="s">
        <v>12485</v>
      </c>
      <c r="J667" s="2">
        <v>-0.1</v>
      </c>
      <c r="K667" s="2">
        <v>0.3</v>
      </c>
      <c r="L667" s="2">
        <v>0.68</v>
      </c>
      <c r="M667" s="4">
        <f t="shared" si="60"/>
        <v>30</v>
      </c>
      <c r="N667" s="4">
        <f t="shared" si="61"/>
        <v>13.235294117647058</v>
      </c>
      <c r="O667" s="5">
        <f t="shared" si="62"/>
        <v>-3.9999999999999996</v>
      </c>
      <c r="P667" s="5">
        <f t="shared" si="63"/>
        <v>1.2666666666666671</v>
      </c>
      <c r="Q667" s="4">
        <f t="shared" si="64"/>
        <v>-7.5000000000000011E-2</v>
      </c>
      <c r="R667" s="4">
        <f t="shared" si="65"/>
        <v>0.10448916408668728</v>
      </c>
      <c r="S667" s="4">
        <v>23.67</v>
      </c>
      <c r="T667" s="2">
        <v>2.57</v>
      </c>
      <c r="U667" s="2">
        <v>13.58</v>
      </c>
      <c r="V667" s="2">
        <v>5.8</v>
      </c>
      <c r="W667" s="2">
        <v>-10.54</v>
      </c>
      <c r="X667" s="2">
        <v>-30.07</v>
      </c>
      <c r="Y667" s="2">
        <v>-12.96</v>
      </c>
      <c r="Z667" s="2">
        <v>-14.85</v>
      </c>
    </row>
    <row r="668" spans="1:26" x14ac:dyDescent="0.25">
      <c r="A668" s="1" t="s">
        <v>2943</v>
      </c>
      <c r="B668" s="1" t="s">
        <v>2944</v>
      </c>
      <c r="C668" s="1" t="s">
        <v>16</v>
      </c>
      <c r="D668" s="1" t="s">
        <v>18</v>
      </c>
      <c r="E668" s="1" t="s">
        <v>624</v>
      </c>
      <c r="F668" s="1" t="s">
        <v>2945</v>
      </c>
      <c r="G668" s="1" t="s">
        <v>12480</v>
      </c>
      <c r="H668" s="1" t="s">
        <v>2946</v>
      </c>
      <c r="I668" s="2">
        <v>22.57</v>
      </c>
      <c r="J668" s="2">
        <v>1.37</v>
      </c>
      <c r="K668" s="2">
        <v>1.46</v>
      </c>
      <c r="L668" s="2">
        <v>1.67</v>
      </c>
      <c r="M668" s="4">
        <f t="shared" si="60"/>
        <v>15.458904109589042</v>
      </c>
      <c r="N668" s="4">
        <f t="shared" si="61"/>
        <v>13.514970059880241</v>
      </c>
      <c r="O668" s="5">
        <f t="shared" si="62"/>
        <v>6.5693430656934115E-2</v>
      </c>
      <c r="P668" s="5">
        <f t="shared" si="63"/>
        <v>0.14383561643835607</v>
      </c>
      <c r="Q668" s="4">
        <f t="shared" si="64"/>
        <v>2.3531887366818944</v>
      </c>
      <c r="R668" s="4">
        <f t="shared" si="65"/>
        <v>0.93961220416310309</v>
      </c>
      <c r="S668" s="4">
        <v>13.85</v>
      </c>
      <c r="T668" s="2">
        <v>0.6</v>
      </c>
      <c r="U668" s="2">
        <v>24.17</v>
      </c>
      <c r="V668" s="2">
        <v>18.71</v>
      </c>
      <c r="W668" s="2">
        <v>-4.8499999999999996</v>
      </c>
      <c r="X668" s="2">
        <v>-2.46</v>
      </c>
      <c r="Y668" s="2">
        <v>13.53</v>
      </c>
      <c r="Z668" s="2">
        <v>14.69</v>
      </c>
    </row>
    <row r="669" spans="1:26" x14ac:dyDescent="0.25">
      <c r="A669" s="1" t="s">
        <v>2947</v>
      </c>
      <c r="B669" s="1" t="s">
        <v>2948</v>
      </c>
      <c r="C669" s="1" t="s">
        <v>45</v>
      </c>
      <c r="D669" s="1" t="s">
        <v>18</v>
      </c>
      <c r="E669" s="1" t="s">
        <v>610</v>
      </c>
      <c r="F669" s="1" t="s">
        <v>2949</v>
      </c>
      <c r="G669" s="1" t="s">
        <v>12479</v>
      </c>
      <c r="H669" s="1" t="s">
        <v>2950</v>
      </c>
      <c r="I669" s="2">
        <v>75.819999999999993</v>
      </c>
      <c r="J669" s="2">
        <v>4.12</v>
      </c>
      <c r="K669" s="2">
        <v>4.58</v>
      </c>
      <c r="L669" s="2">
        <v>4.99</v>
      </c>
      <c r="M669" s="4">
        <f t="shared" si="60"/>
        <v>16.554585152838428</v>
      </c>
      <c r="N669" s="4">
        <f t="shared" si="61"/>
        <v>15.194388777555108</v>
      </c>
      <c r="O669" s="5">
        <f t="shared" si="62"/>
        <v>0.11165048543689315</v>
      </c>
      <c r="P669" s="5">
        <f t="shared" si="63"/>
        <v>8.9519650655021765E-2</v>
      </c>
      <c r="Q669" s="4">
        <f t="shared" si="64"/>
        <v>1.4827150180368336</v>
      </c>
      <c r="R669" s="4">
        <f t="shared" si="65"/>
        <v>1.697324404907377</v>
      </c>
      <c r="S669" s="4">
        <v>5.0599999999999996</v>
      </c>
      <c r="T669" s="2">
        <v>1.02</v>
      </c>
      <c r="U669" s="2">
        <v>90.98</v>
      </c>
      <c r="V669" s="2">
        <v>64.319999999999993</v>
      </c>
      <c r="W669" s="2">
        <v>-9.65</v>
      </c>
      <c r="X669" s="2">
        <v>-6.95</v>
      </c>
      <c r="Y669" s="2" t="s">
        <v>12621</v>
      </c>
      <c r="Z669" s="2">
        <v>-7.49</v>
      </c>
    </row>
    <row r="670" spans="1:26" x14ac:dyDescent="0.25">
      <c r="A670" s="1" t="s">
        <v>2951</v>
      </c>
      <c r="B670" s="1" t="s">
        <v>2952</v>
      </c>
      <c r="C670" s="1" t="s">
        <v>16</v>
      </c>
      <c r="D670" s="1" t="s">
        <v>94</v>
      </c>
      <c r="E670" s="1" t="s">
        <v>403</v>
      </c>
      <c r="F670" s="1" t="s">
        <v>2953</v>
      </c>
      <c r="G670" s="1" t="s">
        <v>12480</v>
      </c>
      <c r="H670" s="1" t="s">
        <v>2954</v>
      </c>
      <c r="I670" s="2">
        <v>117.03</v>
      </c>
      <c r="J670" s="2">
        <v>6.16</v>
      </c>
      <c r="K670" s="2">
        <v>4.38</v>
      </c>
      <c r="L670" s="2">
        <v>6.22</v>
      </c>
      <c r="M670" s="4">
        <f t="shared" si="60"/>
        <v>26.719178082191782</v>
      </c>
      <c r="N670" s="4">
        <f t="shared" si="61"/>
        <v>18.815112540192928</v>
      </c>
      <c r="O670" s="5">
        <f t="shared" si="62"/>
        <v>-0.28896103896103897</v>
      </c>
      <c r="P670" s="5">
        <f t="shared" si="63"/>
        <v>0.42009132420091322</v>
      </c>
      <c r="Q670" s="4">
        <f t="shared" si="64"/>
        <v>-0.92466369093427736</v>
      </c>
      <c r="R670" s="4">
        <f t="shared" si="65"/>
        <v>0.44788148329372302</v>
      </c>
      <c r="S670" s="4">
        <v>8.07</v>
      </c>
      <c r="T670" s="2">
        <v>0.27</v>
      </c>
      <c r="U670" s="2">
        <v>118.52</v>
      </c>
      <c r="V670" s="2">
        <v>82.66</v>
      </c>
      <c r="W670" s="2">
        <v>-1.02</v>
      </c>
      <c r="X670" s="2">
        <v>7.66</v>
      </c>
      <c r="Y670" s="2">
        <v>24.02</v>
      </c>
      <c r="Z670" s="2">
        <v>25.02</v>
      </c>
    </row>
    <row r="671" spans="1:26" x14ac:dyDescent="0.25">
      <c r="A671" s="1" t="s">
        <v>2955</v>
      </c>
      <c r="B671" s="1" t="s">
        <v>2956</v>
      </c>
      <c r="C671" s="1" t="s">
        <v>16</v>
      </c>
      <c r="D671" s="1" t="s">
        <v>18</v>
      </c>
      <c r="E671" s="1" t="s">
        <v>624</v>
      </c>
      <c r="F671" s="1" t="s">
        <v>2957</v>
      </c>
      <c r="G671" s="1" t="s">
        <v>12485</v>
      </c>
      <c r="H671" s="1" t="s">
        <v>2958</v>
      </c>
      <c r="I671" s="2">
        <v>361.8</v>
      </c>
      <c r="J671" s="2" t="s">
        <v>12571</v>
      </c>
      <c r="K671" s="2">
        <v>17.59</v>
      </c>
      <c r="L671" s="2">
        <v>19.559999999999999</v>
      </c>
      <c r="M671" s="4">
        <f t="shared" si="60"/>
        <v>20.568504832291076</v>
      </c>
      <c r="N671" s="4">
        <f t="shared" si="61"/>
        <v>18.496932515337424</v>
      </c>
      <c r="O671" s="5">
        <f t="shared" si="62"/>
        <v>9.9374999999999991E-2</v>
      </c>
      <c r="P671" s="5">
        <f t="shared" si="63"/>
        <v>0.11199545196134153</v>
      </c>
      <c r="Q671" s="4">
        <f t="shared" si="64"/>
        <v>2.0697866497902968</v>
      </c>
      <c r="R671" s="4">
        <f t="shared" si="65"/>
        <v>1.6515788981968818</v>
      </c>
      <c r="S671" s="4" t="s">
        <v>12841</v>
      </c>
      <c r="T671" s="2">
        <v>0.68</v>
      </c>
      <c r="U671" s="2">
        <v>374.75</v>
      </c>
      <c r="V671" s="2">
        <v>253.77</v>
      </c>
      <c r="W671" s="2">
        <v>-2.91</v>
      </c>
      <c r="X671" s="2">
        <v>-0.4</v>
      </c>
      <c r="Y671" s="2">
        <v>3.28</v>
      </c>
      <c r="Z671" s="2">
        <v>7.12</v>
      </c>
    </row>
    <row r="672" spans="1:26" x14ac:dyDescent="0.25">
      <c r="A672" s="1" t="s">
        <v>2959</v>
      </c>
      <c r="B672" s="1" t="s">
        <v>2960</v>
      </c>
      <c r="C672" s="1" t="s">
        <v>45</v>
      </c>
      <c r="D672" s="1" t="s">
        <v>18</v>
      </c>
      <c r="E672" s="1" t="s">
        <v>780</v>
      </c>
      <c r="F672" s="1" t="s">
        <v>2961</v>
      </c>
      <c r="G672" s="1" t="s">
        <v>12480</v>
      </c>
      <c r="H672" s="1" t="s">
        <v>2962</v>
      </c>
      <c r="I672" s="2">
        <v>33.99</v>
      </c>
      <c r="J672" s="2">
        <v>0.82</v>
      </c>
      <c r="K672" s="2">
        <v>0.28999999999999998</v>
      </c>
      <c r="L672" s="2">
        <v>1.84</v>
      </c>
      <c r="M672" s="4">
        <f t="shared" si="60"/>
        <v>117.20689655172416</v>
      </c>
      <c r="N672" s="4">
        <f t="shared" si="61"/>
        <v>18.472826086956523</v>
      </c>
      <c r="O672" s="5">
        <f t="shared" si="62"/>
        <v>-0.64634146341463417</v>
      </c>
      <c r="P672" s="5">
        <f t="shared" si="63"/>
        <v>5.3448275862068977</v>
      </c>
      <c r="Q672" s="4">
        <f t="shared" si="64"/>
        <v>-1.8133897202342226</v>
      </c>
      <c r="R672" s="4">
        <f t="shared" si="65"/>
        <v>3.4562061711079943E-2</v>
      </c>
      <c r="S672" s="4">
        <v>12.79</v>
      </c>
      <c r="T672" s="2">
        <v>0.28999999999999998</v>
      </c>
      <c r="U672" s="2">
        <v>114.22</v>
      </c>
      <c r="V672" s="2">
        <v>33.869999999999997</v>
      </c>
      <c r="W672" s="2">
        <v>-5.5</v>
      </c>
      <c r="X672" s="2">
        <v>-17.72</v>
      </c>
      <c r="Y672" s="2">
        <v>-61.07</v>
      </c>
      <c r="Z672" s="2">
        <v>-2.33</v>
      </c>
    </row>
    <row r="673" spans="1:26" x14ac:dyDescent="0.25">
      <c r="A673" s="1" t="s">
        <v>2963</v>
      </c>
      <c r="B673" s="1" t="s">
        <v>2964</v>
      </c>
      <c r="C673" s="1" t="s">
        <v>45</v>
      </c>
      <c r="D673" s="1" t="s">
        <v>38</v>
      </c>
      <c r="E673" s="1" t="s">
        <v>52</v>
      </c>
      <c r="F673" s="1" t="s">
        <v>2965</v>
      </c>
      <c r="G673" s="1" t="s">
        <v>12480</v>
      </c>
      <c r="H673" s="1" t="s">
        <v>2966</v>
      </c>
      <c r="I673" s="2">
        <v>15.16</v>
      </c>
      <c r="J673" s="2">
        <v>-1.59</v>
      </c>
      <c r="K673" s="2">
        <v>0.17</v>
      </c>
      <c r="L673" s="2">
        <v>0.33</v>
      </c>
      <c r="M673" s="4">
        <f t="shared" si="60"/>
        <v>89.17647058823529</v>
      </c>
      <c r="N673" s="4">
        <f t="shared" si="61"/>
        <v>45.939393939393938</v>
      </c>
      <c r="O673" s="5">
        <f t="shared" si="62"/>
        <v>-1.1069182389937107</v>
      </c>
      <c r="P673" s="5">
        <f t="shared" si="63"/>
        <v>0.94117647058823528</v>
      </c>
      <c r="Q673" s="4">
        <f t="shared" si="64"/>
        <v>-0.80562834224598923</v>
      </c>
      <c r="R673" s="4">
        <f t="shared" si="65"/>
        <v>0.48810606060606065</v>
      </c>
      <c r="S673" s="4">
        <v>-37.53</v>
      </c>
      <c r="T673" s="2">
        <v>6.87</v>
      </c>
      <c r="U673" s="2">
        <v>22.9</v>
      </c>
      <c r="V673" s="2">
        <v>6.39</v>
      </c>
      <c r="W673" s="2">
        <v>-8.07</v>
      </c>
      <c r="X673" s="2">
        <v>-18.28</v>
      </c>
      <c r="Y673" s="2">
        <v>-0.79</v>
      </c>
      <c r="Z673" s="2">
        <v>4.12</v>
      </c>
    </row>
    <row r="674" spans="1:26" x14ac:dyDescent="0.25">
      <c r="A674" s="1" t="s">
        <v>2967</v>
      </c>
      <c r="B674" s="1" t="s">
        <v>2968</v>
      </c>
      <c r="C674" s="1" t="s">
        <v>45</v>
      </c>
      <c r="D674" s="1" t="s">
        <v>67</v>
      </c>
      <c r="E674" s="1" t="s">
        <v>2094</v>
      </c>
      <c r="F674" s="1" t="s">
        <v>2969</v>
      </c>
      <c r="G674" s="1" t="s">
        <v>12497</v>
      </c>
      <c r="H674" s="1" t="s">
        <v>2970</v>
      </c>
      <c r="I674" s="2">
        <v>1005.3</v>
      </c>
      <c r="J674" s="2">
        <v>17.989999999999998</v>
      </c>
      <c r="K674" s="2">
        <v>20.29</v>
      </c>
      <c r="L674" s="2">
        <v>22.28</v>
      </c>
      <c r="M674" s="4">
        <f t="shared" si="60"/>
        <v>49.546574667323803</v>
      </c>
      <c r="N674" s="4">
        <f t="shared" si="61"/>
        <v>45.121184919210052</v>
      </c>
      <c r="O674" s="5">
        <f t="shared" si="62"/>
        <v>0.12784880489160644</v>
      </c>
      <c r="P674" s="5">
        <f t="shared" si="63"/>
        <v>9.8077870872351092E-2</v>
      </c>
      <c r="Q674" s="4">
        <f t="shared" si="64"/>
        <v>3.8754038185441533</v>
      </c>
      <c r="R674" s="4">
        <f t="shared" si="65"/>
        <v>4.6005469447777401</v>
      </c>
      <c r="S674" s="4">
        <v>8.17</v>
      </c>
      <c r="T674" s="2">
        <v>1.01</v>
      </c>
      <c r="U674" s="2">
        <v>1056.8499999999999</v>
      </c>
      <c r="V674" s="2" t="s">
        <v>12622</v>
      </c>
      <c r="W674" s="2">
        <v>0.25</v>
      </c>
      <c r="X674" s="2">
        <v>0.77</v>
      </c>
      <c r="Y674" s="2">
        <v>16.82</v>
      </c>
      <c r="Z674" s="2">
        <v>16.579999999999998</v>
      </c>
    </row>
    <row r="675" spans="1:26" x14ac:dyDescent="0.25">
      <c r="A675" s="1" t="s">
        <v>2971</v>
      </c>
      <c r="B675" s="1" t="s">
        <v>2972</v>
      </c>
      <c r="C675" s="1" t="s">
        <v>16</v>
      </c>
      <c r="D675" s="1" t="s">
        <v>128</v>
      </c>
      <c r="E675" s="1" t="s">
        <v>2974</v>
      </c>
      <c r="F675" s="1" t="s">
        <v>2973</v>
      </c>
      <c r="G675" s="1" t="s">
        <v>12502</v>
      </c>
      <c r="H675" s="1" t="s">
        <v>2975</v>
      </c>
      <c r="I675" s="2">
        <v>2.2999999999999998</v>
      </c>
      <c r="J675" s="2">
        <v>0.22</v>
      </c>
      <c r="K675" s="2">
        <v>0.28000000000000003</v>
      </c>
      <c r="L675" s="2">
        <v>0.38</v>
      </c>
      <c r="M675" s="4">
        <f t="shared" si="60"/>
        <v>8.2142857142857135</v>
      </c>
      <c r="N675" s="4">
        <f t="shared" si="61"/>
        <v>6.0526315789473681</v>
      </c>
      <c r="O675" s="5">
        <f t="shared" si="62"/>
        <v>0.27272727272727293</v>
      </c>
      <c r="P675" s="5">
        <f t="shared" si="63"/>
        <v>0.35714285714285698</v>
      </c>
      <c r="Q675" s="4">
        <f t="shared" si="64"/>
        <v>0.3011904761904759</v>
      </c>
      <c r="R675" s="4">
        <f t="shared" si="65"/>
        <v>0.16947368421052636</v>
      </c>
      <c r="S675" s="4">
        <v>-3.68</v>
      </c>
      <c r="T675" s="2">
        <v>0.95</v>
      </c>
      <c r="U675" s="2">
        <v>6.02</v>
      </c>
      <c r="V675" s="2">
        <v>2.2999999999999998</v>
      </c>
      <c r="W675" s="2">
        <v>-6.88</v>
      </c>
      <c r="X675" s="2">
        <v>-9.8000000000000007</v>
      </c>
      <c r="Y675" s="2">
        <v>-29.88</v>
      </c>
      <c r="Z675" s="2">
        <v>-25.33</v>
      </c>
    </row>
    <row r="676" spans="1:26" x14ac:dyDescent="0.25">
      <c r="A676" s="1" t="s">
        <v>2976</v>
      </c>
      <c r="B676" s="1" t="s">
        <v>2977</v>
      </c>
      <c r="C676" s="1" t="s">
        <v>16</v>
      </c>
      <c r="D676" s="1" t="s">
        <v>140</v>
      </c>
      <c r="E676" s="1" t="s">
        <v>284</v>
      </c>
      <c r="F676" s="1" t="s">
        <v>2978</v>
      </c>
      <c r="G676" s="1" t="s">
        <v>12480</v>
      </c>
      <c r="H676" s="1" t="s">
        <v>2979</v>
      </c>
      <c r="I676" s="2">
        <v>6.15</v>
      </c>
      <c r="J676" s="2">
        <v>0.39</v>
      </c>
      <c r="K676" s="2">
        <v>0.45</v>
      </c>
      <c r="L676" s="2">
        <v>0.57999999999999996</v>
      </c>
      <c r="M676" s="4">
        <f t="shared" si="60"/>
        <v>13.666666666666668</v>
      </c>
      <c r="N676" s="4">
        <f t="shared" si="61"/>
        <v>10.603448275862071</v>
      </c>
      <c r="O676" s="5">
        <f t="shared" si="62"/>
        <v>0.15384615384615374</v>
      </c>
      <c r="P676" s="5">
        <f t="shared" si="63"/>
        <v>0.28888888888888875</v>
      </c>
      <c r="Q676" s="4">
        <f t="shared" si="64"/>
        <v>0.88833333333333397</v>
      </c>
      <c r="R676" s="4">
        <f t="shared" si="65"/>
        <v>0.36704244031830263</v>
      </c>
      <c r="S676" s="4">
        <v>9.0399999999999991</v>
      </c>
      <c r="T676" s="2">
        <v>1.35</v>
      </c>
      <c r="U676" s="2">
        <v>12.7</v>
      </c>
      <c r="V676" s="2">
        <v>5.74</v>
      </c>
      <c r="W676" s="2">
        <v>-3.91</v>
      </c>
      <c r="X676" s="2">
        <v>3.36</v>
      </c>
      <c r="Y676" s="2">
        <v>-21.66</v>
      </c>
      <c r="Z676" s="2">
        <v>-16.440000000000001</v>
      </c>
    </row>
    <row r="677" spans="1:26" x14ac:dyDescent="0.25">
      <c r="A677" s="1" t="s">
        <v>2980</v>
      </c>
      <c r="B677" s="1" t="s">
        <v>2981</v>
      </c>
      <c r="C677" s="1" t="s">
        <v>31</v>
      </c>
      <c r="D677" s="1" t="s">
        <v>88</v>
      </c>
      <c r="E677" s="1" t="s">
        <v>2983</v>
      </c>
      <c r="F677" s="1" t="s">
        <v>2982</v>
      </c>
      <c r="G677" s="1" t="s">
        <v>12480</v>
      </c>
      <c r="H677" s="1" t="s">
        <v>2984</v>
      </c>
      <c r="I677" s="2">
        <v>33.78</v>
      </c>
      <c r="J677" s="2">
        <v>-1.92</v>
      </c>
      <c r="K677" s="2"/>
      <c r="L677" s="2"/>
      <c r="M677" s="4" t="e">
        <f t="shared" si="60"/>
        <v>#DIV/0!</v>
      </c>
      <c r="N677" s="4" t="e">
        <f t="shared" si="61"/>
        <v>#DIV/0!</v>
      </c>
      <c r="O677" s="5">
        <f t="shared" si="62"/>
        <v>-1</v>
      </c>
      <c r="P677" s="5" t="e">
        <f t="shared" si="63"/>
        <v>#DIV/0!</v>
      </c>
      <c r="Q677" s="4" t="e">
        <f t="shared" si="64"/>
        <v>#DIV/0!</v>
      </c>
      <c r="R677" s="4" t="e">
        <f t="shared" si="65"/>
        <v>#DIV/0!</v>
      </c>
      <c r="S677" s="4">
        <v>-4.5999999999999996</v>
      </c>
      <c r="T677" s="2">
        <v>0.93</v>
      </c>
      <c r="U677" s="2">
        <v>35.93</v>
      </c>
      <c r="V677" s="2">
        <v>31.27</v>
      </c>
      <c r="W677" s="2">
        <v>-3.62</v>
      </c>
      <c r="X677" s="2">
        <v>-3.82</v>
      </c>
      <c r="Y677" s="2">
        <v>-3.6</v>
      </c>
      <c r="Z677" s="2">
        <v>0.78</v>
      </c>
    </row>
    <row r="678" spans="1:26" x14ac:dyDescent="0.25">
      <c r="A678" s="1" t="s">
        <v>2986</v>
      </c>
      <c r="B678" s="1" t="s">
        <v>2987</v>
      </c>
      <c r="C678" s="1" t="s">
        <v>16</v>
      </c>
      <c r="D678" s="1" t="s">
        <v>46</v>
      </c>
      <c r="E678" s="1" t="s">
        <v>683</v>
      </c>
      <c r="F678" s="1" t="s">
        <v>2988</v>
      </c>
      <c r="G678" s="1" t="s">
        <v>12480</v>
      </c>
      <c r="H678" s="1" t="s">
        <v>2989</v>
      </c>
      <c r="I678" s="2">
        <v>83.9</v>
      </c>
      <c r="J678" s="2">
        <v>3.3</v>
      </c>
      <c r="K678" s="2">
        <v>3.76</v>
      </c>
      <c r="L678" s="2">
        <v>4.29</v>
      </c>
      <c r="M678" s="4">
        <f t="shared" si="60"/>
        <v>22.313829787234045</v>
      </c>
      <c r="N678" s="4">
        <f t="shared" si="61"/>
        <v>19.557109557109559</v>
      </c>
      <c r="O678" s="5">
        <f t="shared" si="62"/>
        <v>0.1393939393939394</v>
      </c>
      <c r="P678" s="5">
        <f t="shared" si="63"/>
        <v>0.14095744680851063</v>
      </c>
      <c r="Q678" s="4">
        <f t="shared" si="64"/>
        <v>1.6007747456059205</v>
      </c>
      <c r="R678" s="4">
        <f t="shared" si="65"/>
        <v>1.3874477723534331</v>
      </c>
      <c r="S678" s="4">
        <v>1.64</v>
      </c>
      <c r="T678" s="2">
        <v>1.06</v>
      </c>
      <c r="U678" s="2">
        <v>89.39</v>
      </c>
      <c r="V678" s="2">
        <v>67.150000000000006</v>
      </c>
      <c r="W678" s="2">
        <v>-6.14</v>
      </c>
      <c r="X678" s="2">
        <v>3.43</v>
      </c>
      <c r="Y678" s="2">
        <v>12.74</v>
      </c>
      <c r="Z678" s="2">
        <v>13.95</v>
      </c>
    </row>
    <row r="679" spans="1:26" x14ac:dyDescent="0.25">
      <c r="A679" s="1" t="s">
        <v>2990</v>
      </c>
      <c r="B679" s="1" t="s">
        <v>2991</v>
      </c>
      <c r="C679" s="1" t="s">
        <v>16</v>
      </c>
      <c r="D679" s="1" t="s">
        <v>46</v>
      </c>
      <c r="E679" s="1" t="s">
        <v>47</v>
      </c>
      <c r="F679" s="1" t="s">
        <v>2992</v>
      </c>
      <c r="G679" s="1" t="s">
        <v>12480</v>
      </c>
      <c r="H679" s="1" t="s">
        <v>2841</v>
      </c>
      <c r="I679" s="2">
        <v>125.54</v>
      </c>
      <c r="J679" s="2">
        <v>16.28</v>
      </c>
      <c r="K679" s="2">
        <v>18.32</v>
      </c>
      <c r="L679" s="2">
        <v>20.11</v>
      </c>
      <c r="M679" s="4">
        <f t="shared" si="60"/>
        <v>6.8526200873362448</v>
      </c>
      <c r="N679" s="4">
        <f t="shared" si="61"/>
        <v>6.2426653406265542</v>
      </c>
      <c r="O679" s="5">
        <f t="shared" si="62"/>
        <v>0.12530712530712518</v>
      </c>
      <c r="P679" s="5">
        <f t="shared" si="63"/>
        <v>9.770742358078599E-2</v>
      </c>
      <c r="Q679" s="4">
        <f t="shared" si="64"/>
        <v>0.54686595598938326</v>
      </c>
      <c r="R679" s="4">
        <f t="shared" si="65"/>
        <v>0.63891412871663966</v>
      </c>
      <c r="S679" s="4">
        <v>5.03</v>
      </c>
      <c r="T679" s="2">
        <v>0.89</v>
      </c>
      <c r="U679" s="2">
        <v>154.09</v>
      </c>
      <c r="V679" s="2">
        <v>83.12</v>
      </c>
      <c r="W679" s="2">
        <v>-4.9000000000000004</v>
      </c>
      <c r="X679" s="2">
        <v>-18.12</v>
      </c>
      <c r="Y679" s="2">
        <v>5.43</v>
      </c>
      <c r="Z679" s="2">
        <v>4.09</v>
      </c>
    </row>
    <row r="680" spans="1:26" x14ac:dyDescent="0.25">
      <c r="A680" s="1" t="s">
        <v>2993</v>
      </c>
      <c r="B680" s="1" t="s">
        <v>2994</v>
      </c>
      <c r="C680" s="1" t="s">
        <v>16</v>
      </c>
      <c r="D680" s="1" t="s">
        <v>140</v>
      </c>
      <c r="E680" s="1" t="s">
        <v>1555</v>
      </c>
      <c r="F680" s="1" t="s">
        <v>2995</v>
      </c>
      <c r="G680" s="1" t="s">
        <v>12480</v>
      </c>
      <c r="H680" s="1" t="s">
        <v>2996</v>
      </c>
      <c r="I680" s="2">
        <v>325.60000000000002</v>
      </c>
      <c r="J680" s="2">
        <v>21.38</v>
      </c>
      <c r="K680" s="2">
        <v>25.86</v>
      </c>
      <c r="L680" s="2">
        <v>29.47</v>
      </c>
      <c r="M680" s="4">
        <f t="shared" si="60"/>
        <v>12.590873936581595</v>
      </c>
      <c r="N680" s="4">
        <f t="shared" si="61"/>
        <v>11.048523922633187</v>
      </c>
      <c r="O680" s="5">
        <f t="shared" si="62"/>
        <v>0.2095416276894293</v>
      </c>
      <c r="P680" s="5">
        <f t="shared" si="63"/>
        <v>0.13959783449342611</v>
      </c>
      <c r="Q680" s="4">
        <f t="shared" si="64"/>
        <v>0.60087697491989867</v>
      </c>
      <c r="R680" s="4">
        <f t="shared" si="65"/>
        <v>0.79145381894541356</v>
      </c>
      <c r="S680" s="4">
        <v>13.93</v>
      </c>
      <c r="T680" s="2">
        <v>0.8</v>
      </c>
      <c r="U680" s="2">
        <v>358.66</v>
      </c>
      <c r="V680" s="2" t="s">
        <v>12623</v>
      </c>
      <c r="W680" s="2">
        <v>-1.93</v>
      </c>
      <c r="X680" s="2">
        <v>-8.52</v>
      </c>
      <c r="Y680" s="2">
        <v>4.3099999999999996</v>
      </c>
      <c r="Z680" s="2">
        <v>8.1999999999999993</v>
      </c>
    </row>
    <row r="681" spans="1:26" x14ac:dyDescent="0.25">
      <c r="A681" s="1" t="s">
        <v>2997</v>
      </c>
      <c r="B681" s="1" t="s">
        <v>2998</v>
      </c>
      <c r="C681" s="1" t="s">
        <v>45</v>
      </c>
      <c r="D681" s="1" t="s">
        <v>128</v>
      </c>
      <c r="E681" s="1" t="s">
        <v>556</v>
      </c>
      <c r="F681" s="1" t="s">
        <v>2999</v>
      </c>
      <c r="G681" s="1" t="s">
        <v>12496</v>
      </c>
      <c r="H681" s="1" t="s">
        <v>3000</v>
      </c>
      <c r="I681" s="2">
        <v>25.29</v>
      </c>
      <c r="J681" s="2">
        <v>2.97</v>
      </c>
      <c r="K681" s="2">
        <v>2.42</v>
      </c>
      <c r="L681" s="2">
        <v>2.56</v>
      </c>
      <c r="M681" s="4">
        <f t="shared" si="60"/>
        <v>10.450413223140496</v>
      </c>
      <c r="N681" s="4">
        <f t="shared" si="61"/>
        <v>9.87890625</v>
      </c>
      <c r="O681" s="5">
        <f t="shared" si="62"/>
        <v>-0.18518518518518523</v>
      </c>
      <c r="P681" s="5">
        <f t="shared" si="63"/>
        <v>5.7851239669421517E-2</v>
      </c>
      <c r="Q681" s="4">
        <f t="shared" si="64"/>
        <v>-0.56432231404958666</v>
      </c>
      <c r="R681" s="4">
        <f t="shared" si="65"/>
        <v>1.7076395089285705</v>
      </c>
      <c r="S681" s="4">
        <v>6.4</v>
      </c>
      <c r="T681" s="2">
        <v>-0.03</v>
      </c>
      <c r="U681" s="2">
        <v>42.04</v>
      </c>
      <c r="V681" s="2">
        <v>25.06</v>
      </c>
      <c r="W681" s="2">
        <v>-3.91</v>
      </c>
      <c r="X681" s="2">
        <v>-12.58</v>
      </c>
      <c r="Y681" s="2">
        <v>-10.54</v>
      </c>
      <c r="Z681" s="2">
        <v>-9.26</v>
      </c>
    </row>
    <row r="682" spans="1:26" x14ac:dyDescent="0.25">
      <c r="A682" s="1" t="s">
        <v>3001</v>
      </c>
      <c r="B682" s="1" t="s">
        <v>3002</v>
      </c>
      <c r="C682" s="1" t="s">
        <v>31</v>
      </c>
      <c r="D682" s="1" t="s">
        <v>46</v>
      </c>
      <c r="E682" s="1" t="s">
        <v>47</v>
      </c>
      <c r="F682" s="1" t="s">
        <v>3003</v>
      </c>
      <c r="G682" s="1" t="s">
        <v>12480</v>
      </c>
      <c r="H682" s="1" t="s">
        <v>3004</v>
      </c>
      <c r="I682" s="2">
        <v>7.8</v>
      </c>
      <c r="J682" s="2">
        <v>0.78</v>
      </c>
      <c r="K682" s="2">
        <v>1.04</v>
      </c>
      <c r="L682" s="2">
        <v>1.08</v>
      </c>
      <c r="M682" s="4">
        <f t="shared" si="60"/>
        <v>7.5</v>
      </c>
      <c r="N682" s="4">
        <f t="shared" si="61"/>
        <v>7.2222222222222214</v>
      </c>
      <c r="O682" s="5">
        <f t="shared" si="62"/>
        <v>0.33333333333333326</v>
      </c>
      <c r="P682" s="5">
        <f t="shared" si="63"/>
        <v>3.8461538461538547E-2</v>
      </c>
      <c r="Q682" s="4">
        <f t="shared" si="64"/>
        <v>0.22500000000000003</v>
      </c>
      <c r="R682" s="4">
        <f t="shared" si="65"/>
        <v>1.8777777777777733</v>
      </c>
      <c r="S682" s="4">
        <v>10.83</v>
      </c>
      <c r="T682" s="2">
        <v>-0.02</v>
      </c>
      <c r="U682" s="2">
        <v>8.86</v>
      </c>
      <c r="V682" s="2">
        <v>5.52</v>
      </c>
      <c r="W682" s="2">
        <v>-9.6199999999999992</v>
      </c>
      <c r="X682" s="2">
        <v>-2.5</v>
      </c>
      <c r="Y682" s="2" t="s">
        <v>12513</v>
      </c>
      <c r="Z682" s="2">
        <v>-1.58</v>
      </c>
    </row>
    <row r="683" spans="1:26" x14ac:dyDescent="0.25">
      <c r="A683" s="1" t="s">
        <v>3005</v>
      </c>
      <c r="B683" s="1" t="s">
        <v>3006</v>
      </c>
      <c r="C683" s="1" t="s">
        <v>16</v>
      </c>
      <c r="D683" s="1" t="s">
        <v>354</v>
      </c>
      <c r="E683" s="1" t="s">
        <v>1213</v>
      </c>
      <c r="F683" s="1" t="s">
        <v>3007</v>
      </c>
      <c r="G683" s="1" t="s">
        <v>12480</v>
      </c>
      <c r="H683" s="1" t="s">
        <v>852</v>
      </c>
      <c r="I683" s="2">
        <v>132.01</v>
      </c>
      <c r="J683" s="2">
        <v>6.01</v>
      </c>
      <c r="K683" s="2">
        <v>6.49</v>
      </c>
      <c r="L683" s="2">
        <v>7.33</v>
      </c>
      <c r="M683" s="4">
        <f t="shared" si="60"/>
        <v>20.340523882896761</v>
      </c>
      <c r="N683" s="4">
        <f t="shared" si="61"/>
        <v>18.009549795361526</v>
      </c>
      <c r="O683" s="5">
        <f t="shared" si="62"/>
        <v>7.9866888519134926E-2</v>
      </c>
      <c r="P683" s="5">
        <f t="shared" si="63"/>
        <v>0.12942989214175649</v>
      </c>
      <c r="Q683" s="4">
        <f t="shared" si="64"/>
        <v>2.5468030945043605</v>
      </c>
      <c r="R683" s="4">
        <f t="shared" si="65"/>
        <v>1.3914521210940043</v>
      </c>
      <c r="S683" s="4">
        <v>18.14</v>
      </c>
      <c r="T683" s="2">
        <v>0.78</v>
      </c>
      <c r="U683" s="2">
        <v>139.06</v>
      </c>
      <c r="V683" s="2" t="s">
        <v>12624</v>
      </c>
      <c r="W683" s="2">
        <v>-3.79</v>
      </c>
      <c r="X683" s="2">
        <v>2.34</v>
      </c>
      <c r="Y683" s="2">
        <v>4.08</v>
      </c>
      <c r="Z683" s="2">
        <v>5.81</v>
      </c>
    </row>
    <row r="684" spans="1:26" x14ac:dyDescent="0.25">
      <c r="A684" s="1" t="s">
        <v>3008</v>
      </c>
      <c r="B684" s="1" t="s">
        <v>3009</v>
      </c>
      <c r="C684" s="1" t="s">
        <v>16</v>
      </c>
      <c r="D684" s="1" t="s">
        <v>67</v>
      </c>
      <c r="E684" s="1" t="s">
        <v>833</v>
      </c>
      <c r="F684" s="1" t="s">
        <v>3010</v>
      </c>
      <c r="G684" s="1" t="s">
        <v>12480</v>
      </c>
      <c r="H684" s="1" t="s">
        <v>3011</v>
      </c>
      <c r="I684" s="2">
        <v>18.809999999999999</v>
      </c>
      <c r="J684" s="2">
        <v>0.12</v>
      </c>
      <c r="K684" s="2">
        <v>-0.78</v>
      </c>
      <c r="L684" s="2">
        <v>0.6</v>
      </c>
      <c r="M684" s="4">
        <f t="shared" si="60"/>
        <v>-24.115384615384613</v>
      </c>
      <c r="N684" s="4">
        <f t="shared" si="61"/>
        <v>31.349999999999998</v>
      </c>
      <c r="O684" s="5">
        <f t="shared" si="62"/>
        <v>-7.5000000000000009</v>
      </c>
      <c r="P684" s="5">
        <f t="shared" si="63"/>
        <v>-1.7692307692307692</v>
      </c>
      <c r="Q684" s="4">
        <f t="shared" si="64"/>
        <v>3.2153846153846144E-2</v>
      </c>
      <c r="R684" s="4">
        <f t="shared" si="65"/>
        <v>-0.17719565217391306</v>
      </c>
      <c r="S684" s="4">
        <v>14.09</v>
      </c>
      <c r="T684" s="2">
        <v>1.2</v>
      </c>
      <c r="U684" s="2">
        <v>33.53</v>
      </c>
      <c r="V684" s="2">
        <v>16.79</v>
      </c>
      <c r="W684" s="2">
        <v>-5.14</v>
      </c>
      <c r="X684" s="2">
        <v>1.46</v>
      </c>
      <c r="Y684" s="2">
        <v>-22.69</v>
      </c>
      <c r="Z684" s="2">
        <v>-20.260000000000002</v>
      </c>
    </row>
    <row r="685" spans="1:26" x14ac:dyDescent="0.25">
      <c r="A685" s="1" t="s">
        <v>3012</v>
      </c>
      <c r="B685" s="1" t="s">
        <v>3013</v>
      </c>
      <c r="C685" s="1" t="s">
        <v>16</v>
      </c>
      <c r="D685" s="1" t="s">
        <v>67</v>
      </c>
      <c r="E685" s="1" t="s">
        <v>381</v>
      </c>
      <c r="F685" s="1" t="s">
        <v>3014</v>
      </c>
      <c r="G685" s="1" t="s">
        <v>12490</v>
      </c>
      <c r="H685" s="1" t="s">
        <v>2231</v>
      </c>
      <c r="I685" s="2">
        <v>18.32</v>
      </c>
      <c r="J685" s="2">
        <v>-3.77</v>
      </c>
      <c r="K685" s="2">
        <v>1.38</v>
      </c>
      <c r="L685" s="2">
        <v>1.81</v>
      </c>
      <c r="M685" s="4">
        <f t="shared" si="60"/>
        <v>13.275362318840582</v>
      </c>
      <c r="N685" s="4">
        <f t="shared" si="61"/>
        <v>10.121546961325967</v>
      </c>
      <c r="O685" s="5">
        <f t="shared" si="62"/>
        <v>-1.3660477453580901</v>
      </c>
      <c r="P685" s="5">
        <f t="shared" si="63"/>
        <v>0.31159420289855078</v>
      </c>
      <c r="Q685" s="4">
        <f t="shared" si="64"/>
        <v>-9.718080765442523E-2</v>
      </c>
      <c r="R685" s="4">
        <f t="shared" si="65"/>
        <v>0.32483104201464724</v>
      </c>
      <c r="S685" s="4">
        <v>-14.08</v>
      </c>
      <c r="T685" s="2">
        <v>1.45</v>
      </c>
      <c r="U685" s="2">
        <v>27.66</v>
      </c>
      <c r="V685" s="2">
        <v>12.48</v>
      </c>
      <c r="W685" s="2">
        <v>-5.91</v>
      </c>
      <c r="X685" s="2">
        <v>-8.67</v>
      </c>
      <c r="Y685" s="2">
        <v>-29.46</v>
      </c>
      <c r="Z685" s="2">
        <v>-24.92</v>
      </c>
    </row>
    <row r="686" spans="1:26" x14ac:dyDescent="0.25">
      <c r="A686" s="1" t="s">
        <v>3015</v>
      </c>
      <c r="B686" s="1" t="s">
        <v>3016</v>
      </c>
      <c r="C686" s="1" t="s">
        <v>45</v>
      </c>
      <c r="D686" s="1" t="s">
        <v>140</v>
      </c>
      <c r="E686" s="1" t="s">
        <v>3018</v>
      </c>
      <c r="F686" s="1" t="s">
        <v>3017</v>
      </c>
      <c r="G686" s="1" t="s">
        <v>12496</v>
      </c>
      <c r="H686" s="1" t="s">
        <v>3019</v>
      </c>
      <c r="I686" s="2">
        <v>37.57</v>
      </c>
      <c r="J686" s="2">
        <v>1.59</v>
      </c>
      <c r="K686" s="2">
        <v>1.58</v>
      </c>
      <c r="L686" s="2">
        <v>1.71</v>
      </c>
      <c r="M686" s="4">
        <f t="shared" si="60"/>
        <v>23.778481012658226</v>
      </c>
      <c r="N686" s="4">
        <f t="shared" si="61"/>
        <v>21.970760233918128</v>
      </c>
      <c r="O686" s="5">
        <f t="shared" si="62"/>
        <v>-6.2893081761006275E-3</v>
      </c>
      <c r="P686" s="5">
        <f t="shared" si="63"/>
        <v>8.2278481012658222E-2</v>
      </c>
      <c r="Q686" s="4">
        <f t="shared" si="64"/>
        <v>-37.807784810126584</v>
      </c>
      <c r="R686" s="4">
        <f t="shared" si="65"/>
        <v>2.6702923976608188</v>
      </c>
      <c r="S686" s="4">
        <v>9.68</v>
      </c>
      <c r="T686" s="2">
        <v>1.0900000000000001</v>
      </c>
      <c r="U686" s="2">
        <v>63.84</v>
      </c>
      <c r="V686" s="2">
        <v>35.28</v>
      </c>
      <c r="W686" s="2">
        <v>-1.93</v>
      </c>
      <c r="X686" s="2">
        <v>-6.77</v>
      </c>
      <c r="Y686" s="2">
        <v>-2.84</v>
      </c>
      <c r="Z686" s="2">
        <v>-4.04</v>
      </c>
    </row>
    <row r="687" spans="1:26" x14ac:dyDescent="0.25">
      <c r="A687" s="1" t="s">
        <v>3020</v>
      </c>
      <c r="B687" s="1" t="s">
        <v>3021</v>
      </c>
      <c r="C687" s="1" t="s">
        <v>45</v>
      </c>
      <c r="D687" s="1" t="s">
        <v>18</v>
      </c>
      <c r="E687" s="1" t="s">
        <v>780</v>
      </c>
      <c r="F687" s="1" t="s">
        <v>3022</v>
      </c>
      <c r="G687" s="1" t="s">
        <v>12480</v>
      </c>
      <c r="H687" s="1" t="s">
        <v>3023</v>
      </c>
      <c r="I687" s="2">
        <v>24.79</v>
      </c>
      <c r="J687" s="2">
        <v>2.72</v>
      </c>
      <c r="K687" s="2">
        <v>2.82</v>
      </c>
      <c r="L687" s="2">
        <v>3.2</v>
      </c>
      <c r="M687" s="4">
        <f t="shared" si="60"/>
        <v>8.7907801418439711</v>
      </c>
      <c r="N687" s="4">
        <f t="shared" si="61"/>
        <v>7.7468749999999993</v>
      </c>
      <c r="O687" s="5">
        <f t="shared" si="62"/>
        <v>3.6764705882352811E-2</v>
      </c>
      <c r="P687" s="5">
        <f t="shared" si="63"/>
        <v>0.13475177304964547</v>
      </c>
      <c r="Q687" s="4">
        <f t="shared" si="64"/>
        <v>2.3910921985815685</v>
      </c>
      <c r="R687" s="4">
        <f t="shared" si="65"/>
        <v>0.57489967105263118</v>
      </c>
      <c r="S687" s="4">
        <v>19.78</v>
      </c>
      <c r="T687" s="2">
        <v>0.75</v>
      </c>
      <c r="U687" s="2">
        <v>26.31</v>
      </c>
      <c r="V687" s="2">
        <v>19.13</v>
      </c>
      <c r="W687" s="2">
        <v>3.81</v>
      </c>
      <c r="X687" s="2">
        <v>1.39</v>
      </c>
      <c r="Y687" s="2">
        <v>2.52</v>
      </c>
      <c r="Z687" s="2">
        <v>6.21</v>
      </c>
    </row>
    <row r="688" spans="1:26" x14ac:dyDescent="0.25">
      <c r="A688" s="1" t="s">
        <v>3025</v>
      </c>
      <c r="B688" s="1" t="s">
        <v>3026</v>
      </c>
      <c r="C688" s="1" t="s">
        <v>16</v>
      </c>
      <c r="D688" s="1" t="s">
        <v>38</v>
      </c>
      <c r="E688" s="1" t="s">
        <v>765</v>
      </c>
      <c r="F688" s="1" t="s">
        <v>3027</v>
      </c>
      <c r="G688" s="1" t="s">
        <v>12480</v>
      </c>
      <c r="H688" s="1" t="s">
        <v>3028</v>
      </c>
      <c r="I688" s="2">
        <v>105.11</v>
      </c>
      <c r="J688" s="2">
        <v>6.88</v>
      </c>
      <c r="K688" s="2">
        <v>6.82</v>
      </c>
      <c r="L688" s="2">
        <v>7.13</v>
      </c>
      <c r="M688" s="4">
        <f t="shared" si="60"/>
        <v>15.412023460410557</v>
      </c>
      <c r="N688" s="4">
        <f t="shared" si="61"/>
        <v>14.741935483870968</v>
      </c>
      <c r="O688" s="5">
        <f t="shared" si="62"/>
        <v>-8.720930232558044E-3</v>
      </c>
      <c r="P688" s="5">
        <f t="shared" si="63"/>
        <v>4.5454545454545414E-2</v>
      </c>
      <c r="Q688" s="4">
        <f t="shared" si="64"/>
        <v>-17.672453567937634</v>
      </c>
      <c r="R688" s="4">
        <f t="shared" si="65"/>
        <v>3.243225806451616</v>
      </c>
      <c r="S688" s="4">
        <v>1.92</v>
      </c>
      <c r="T688" s="2">
        <v>0.82</v>
      </c>
      <c r="U688" s="2">
        <v>122.8</v>
      </c>
      <c r="V688" s="2">
        <v>97.58</v>
      </c>
      <c r="W688" s="2">
        <v>-3.82</v>
      </c>
      <c r="X688" s="2">
        <v>-2.57</v>
      </c>
      <c r="Y688" s="2">
        <v>0.44</v>
      </c>
      <c r="Z688" s="2">
        <v>-4.51</v>
      </c>
    </row>
    <row r="689" spans="1:26" x14ac:dyDescent="0.25">
      <c r="A689" s="1" t="s">
        <v>3029</v>
      </c>
      <c r="B689" s="1" t="s">
        <v>3030</v>
      </c>
      <c r="C689" s="1" t="s">
        <v>31</v>
      </c>
      <c r="D689" s="1" t="s">
        <v>354</v>
      </c>
      <c r="E689" s="1" t="s">
        <v>1213</v>
      </c>
      <c r="F689" s="1" t="s">
        <v>3031</v>
      </c>
      <c r="G689" s="1" t="s">
        <v>12480</v>
      </c>
      <c r="H689" s="1" t="s">
        <v>3032</v>
      </c>
      <c r="I689" s="2">
        <v>10.52</v>
      </c>
      <c r="J689" s="2">
        <v>0.56999999999999995</v>
      </c>
      <c r="K689" s="2">
        <v>0.53</v>
      </c>
      <c r="L689" s="2">
        <v>0.7</v>
      </c>
      <c r="M689" s="4">
        <f t="shared" si="60"/>
        <v>19.849056603773583</v>
      </c>
      <c r="N689" s="4">
        <f t="shared" si="61"/>
        <v>15.028571428571428</v>
      </c>
      <c r="O689" s="5">
        <f t="shared" si="62"/>
        <v>-7.0175438596491113E-2</v>
      </c>
      <c r="P689" s="5">
        <f t="shared" si="63"/>
        <v>0.320754716981132</v>
      </c>
      <c r="Q689" s="4">
        <f t="shared" si="64"/>
        <v>-2.8284905660377406</v>
      </c>
      <c r="R689" s="4">
        <f t="shared" si="65"/>
        <v>0.46853781512605058</v>
      </c>
      <c r="S689" s="4">
        <v>19.260000000000002</v>
      </c>
      <c r="T689" s="2">
        <v>0.7</v>
      </c>
      <c r="U689" s="2">
        <v>11.03</v>
      </c>
      <c r="V689" s="2">
        <v>7.1</v>
      </c>
      <c r="W689" s="2">
        <v>-3.4</v>
      </c>
      <c r="X689" s="2">
        <v>-1.38</v>
      </c>
      <c r="Y689" s="2">
        <v>17.21</v>
      </c>
      <c r="Z689" s="2">
        <v>15.6</v>
      </c>
    </row>
    <row r="690" spans="1:26" x14ac:dyDescent="0.25">
      <c r="A690" s="1" t="s">
        <v>3033</v>
      </c>
      <c r="B690" s="1" t="s">
        <v>3034</v>
      </c>
      <c r="C690" s="1" t="s">
        <v>3036</v>
      </c>
      <c r="D690" s="1" t="s">
        <v>24</v>
      </c>
      <c r="E690" s="1" t="s">
        <v>94</v>
      </c>
      <c r="F690" s="1" t="s">
        <v>3035</v>
      </c>
      <c r="G690" s="1" t="s">
        <v>95</v>
      </c>
      <c r="H690" s="1" t="s">
        <v>12480</v>
      </c>
      <c r="I690" s="2">
        <v>50.49</v>
      </c>
      <c r="J690" s="2" t="s">
        <v>12481</v>
      </c>
      <c r="K690" s="2">
        <v>3.67</v>
      </c>
      <c r="L690" s="2">
        <v>4.16</v>
      </c>
      <c r="M690" s="4">
        <f t="shared" si="60"/>
        <v>13.757493188010899</v>
      </c>
      <c r="N690" s="4">
        <f t="shared" si="61"/>
        <v>12.13701923076923</v>
      </c>
      <c r="O690" s="5">
        <f t="shared" si="62"/>
        <v>-0.99998187761712887</v>
      </c>
      <c r="P690" s="5">
        <f t="shared" si="63"/>
        <v>0.13351498637602188</v>
      </c>
      <c r="Q690" s="4">
        <f t="shared" si="64"/>
        <v>-0.13757742511088128</v>
      </c>
      <c r="R690" s="4">
        <f t="shared" si="65"/>
        <v>0.90903797095761329</v>
      </c>
      <c r="S690" s="4">
        <v>4.1500000000000004</v>
      </c>
      <c r="T690" s="2">
        <v>63.28</v>
      </c>
      <c r="U690" s="2">
        <v>484.05</v>
      </c>
      <c r="V690" s="2">
        <v>68.040000000000006</v>
      </c>
      <c r="W690" s="2">
        <v>0.4</v>
      </c>
      <c r="X690" s="2">
        <v>1.44</v>
      </c>
      <c r="Y690" s="2">
        <v>11.6</v>
      </c>
      <c r="Z690" s="2">
        <v>18.13</v>
      </c>
    </row>
    <row r="691" spans="1:26" x14ac:dyDescent="0.25">
      <c r="A691" s="1" t="s">
        <v>3037</v>
      </c>
      <c r="B691" s="1" t="s">
        <v>3038</v>
      </c>
      <c r="C691" s="1" t="s">
        <v>16</v>
      </c>
      <c r="D691" s="1" t="s">
        <v>25</v>
      </c>
      <c r="E691" s="1" t="s">
        <v>220</v>
      </c>
      <c r="F691" s="1" t="s">
        <v>3039</v>
      </c>
      <c r="G691" s="1" t="s">
        <v>12480</v>
      </c>
      <c r="H691" s="1" t="s">
        <v>3040</v>
      </c>
      <c r="I691" s="2">
        <v>193.38</v>
      </c>
      <c r="J691" s="2">
        <v>6.05</v>
      </c>
      <c r="K691" s="2">
        <v>6.68</v>
      </c>
      <c r="L691" s="2">
        <v>7.55</v>
      </c>
      <c r="M691" s="4">
        <f t="shared" si="60"/>
        <v>28.949101796407188</v>
      </c>
      <c r="N691" s="4">
        <f t="shared" si="61"/>
        <v>25.613245033112584</v>
      </c>
      <c r="O691" s="5">
        <f t="shared" si="62"/>
        <v>0.10413223140495864</v>
      </c>
      <c r="P691" s="5">
        <f t="shared" si="63"/>
        <v>0.13023952095808378</v>
      </c>
      <c r="Q691" s="4">
        <f t="shared" si="64"/>
        <v>2.7800327915597389</v>
      </c>
      <c r="R691" s="4">
        <f t="shared" si="65"/>
        <v>1.9666261703585304</v>
      </c>
      <c r="S691" s="4">
        <v>8.16</v>
      </c>
      <c r="T691" s="2">
        <v>1.18</v>
      </c>
      <c r="U691" s="2">
        <v>210.23</v>
      </c>
      <c r="V691" s="2">
        <v>132.79</v>
      </c>
      <c r="W691" s="2">
        <v>-5.35</v>
      </c>
      <c r="X691" s="2">
        <v>-3.31</v>
      </c>
      <c r="Y691" s="2">
        <v>0.81</v>
      </c>
      <c r="Z691" s="2">
        <v>4.8499999999999996</v>
      </c>
    </row>
    <row r="692" spans="1:26" x14ac:dyDescent="0.25">
      <c r="A692" s="1" t="s">
        <v>3041</v>
      </c>
      <c r="B692" s="1" t="s">
        <v>3042</v>
      </c>
      <c r="C692" s="1" t="s">
        <v>45</v>
      </c>
      <c r="D692" s="1" t="s">
        <v>140</v>
      </c>
      <c r="E692" s="1" t="s">
        <v>1421</v>
      </c>
      <c r="F692" s="1" t="s">
        <v>3043</v>
      </c>
      <c r="G692" s="1" t="s">
        <v>12480</v>
      </c>
      <c r="H692" s="1" t="s">
        <v>12606</v>
      </c>
      <c r="I692" s="2">
        <v>173.17</v>
      </c>
      <c r="J692" s="2">
        <v>8.23</v>
      </c>
      <c r="K692" s="2">
        <v>8.5399999999999991</v>
      </c>
      <c r="L692" s="2">
        <v>9.31</v>
      </c>
      <c r="M692" s="4">
        <f t="shared" si="60"/>
        <v>20.27751756440281</v>
      </c>
      <c r="N692" s="4">
        <f t="shared" si="61"/>
        <v>18.600429645542427</v>
      </c>
      <c r="O692" s="5">
        <f t="shared" si="62"/>
        <v>3.7667071688942677E-2</v>
      </c>
      <c r="P692" s="5">
        <f t="shared" si="63"/>
        <v>9.0163934426229719E-2</v>
      </c>
      <c r="Q692" s="4">
        <f t="shared" si="64"/>
        <v>5.3833538566140673</v>
      </c>
      <c r="R692" s="4">
        <f t="shared" si="65"/>
        <v>2.0629567425056097</v>
      </c>
      <c r="S692" s="4">
        <v>9.33</v>
      </c>
      <c r="T692" s="2">
        <v>0.92</v>
      </c>
      <c r="U692" s="2">
        <v>223.33</v>
      </c>
      <c r="V692" s="2">
        <v>152.41999999999999</v>
      </c>
      <c r="W692" s="2">
        <v>-3.93</v>
      </c>
      <c r="X692" s="2">
        <v>-2.59</v>
      </c>
      <c r="Y692" s="2">
        <v>-13.06</v>
      </c>
      <c r="Z692" s="2">
        <v>-13.72</v>
      </c>
    </row>
    <row r="693" spans="1:26" x14ac:dyDescent="0.25">
      <c r="A693" s="1" t="s">
        <v>3044</v>
      </c>
      <c r="B693" s="1" t="s">
        <v>3045</v>
      </c>
      <c r="C693" s="1" t="s">
        <v>31</v>
      </c>
      <c r="D693" s="1" t="s">
        <v>38</v>
      </c>
      <c r="E693" s="1" t="s">
        <v>189</v>
      </c>
      <c r="F693" s="1" t="s">
        <v>3046</v>
      </c>
      <c r="G693" s="1" t="s">
        <v>12480</v>
      </c>
      <c r="H693" s="1" t="s">
        <v>3047</v>
      </c>
      <c r="I693" s="2">
        <v>9.77</v>
      </c>
      <c r="J693" s="2">
        <v>1.23</v>
      </c>
      <c r="K693" s="2">
        <v>1.34</v>
      </c>
      <c r="L693" s="2">
        <v>1.41</v>
      </c>
      <c r="M693" s="4">
        <f t="shared" si="60"/>
        <v>7.2910447761194019</v>
      </c>
      <c r="N693" s="4">
        <f t="shared" si="61"/>
        <v>6.9290780141843973</v>
      </c>
      <c r="O693" s="5">
        <f t="shared" si="62"/>
        <v>8.9430894308943243E-2</v>
      </c>
      <c r="P693" s="5">
        <f t="shared" si="63"/>
        <v>5.2238805970149071E-2</v>
      </c>
      <c r="Q693" s="4">
        <f t="shared" si="64"/>
        <v>0.81527137042062259</v>
      </c>
      <c r="R693" s="4">
        <f t="shared" si="65"/>
        <v>1.3264235055724465</v>
      </c>
      <c r="S693" s="4">
        <v>7.97</v>
      </c>
      <c r="T693" s="2">
        <v>0.62</v>
      </c>
      <c r="U693" s="2">
        <v>11.21</v>
      </c>
      <c r="V693" s="2">
        <v>7.97</v>
      </c>
      <c r="W693" s="2">
        <v>-8.9499999999999993</v>
      </c>
      <c r="X693" s="2">
        <v>-9.7899999999999991</v>
      </c>
      <c r="Y693" s="2">
        <v>-2.88</v>
      </c>
      <c r="Z693" s="2">
        <v>-4.53</v>
      </c>
    </row>
    <row r="694" spans="1:26" x14ac:dyDescent="0.25">
      <c r="A694" s="1" t="s">
        <v>3048</v>
      </c>
      <c r="B694" s="1" t="s">
        <v>3049</v>
      </c>
      <c r="C694" s="1" t="s">
        <v>16</v>
      </c>
      <c r="D694" s="1" t="s">
        <v>38</v>
      </c>
      <c r="E694" s="1" t="s">
        <v>254</v>
      </c>
      <c r="F694" s="1" t="s">
        <v>3050</v>
      </c>
      <c r="G694" s="1" t="s">
        <v>12480</v>
      </c>
      <c r="H694" s="1" t="s">
        <v>3051</v>
      </c>
      <c r="I694" s="2">
        <v>25.25</v>
      </c>
      <c r="J694" s="2">
        <v>4.42</v>
      </c>
      <c r="K694" s="2">
        <v>5.16</v>
      </c>
      <c r="L694" s="2">
        <v>6.06</v>
      </c>
      <c r="M694" s="4">
        <f t="shared" si="60"/>
        <v>4.8934108527131785</v>
      </c>
      <c r="N694" s="4">
        <f t="shared" si="61"/>
        <v>4.166666666666667</v>
      </c>
      <c r="O694" s="5">
        <f t="shared" si="62"/>
        <v>0.16742081447963808</v>
      </c>
      <c r="P694" s="5">
        <f t="shared" si="63"/>
        <v>0.17441860465116266</v>
      </c>
      <c r="Q694" s="4">
        <f t="shared" si="64"/>
        <v>0.2922821076890843</v>
      </c>
      <c r="R694" s="4">
        <f t="shared" si="65"/>
        <v>0.23888888888888912</v>
      </c>
      <c r="S694" s="4" t="s">
        <v>12842</v>
      </c>
      <c r="T694" s="2">
        <v>1.1100000000000001</v>
      </c>
      <c r="U694" s="2">
        <v>35.94</v>
      </c>
      <c r="V694" s="2">
        <v>25.1</v>
      </c>
      <c r="W694" s="2">
        <v>-2.77</v>
      </c>
      <c r="X694" s="2">
        <v>-19.05</v>
      </c>
      <c r="Y694" s="2">
        <v>-21.51</v>
      </c>
      <c r="Z694" s="2">
        <v>-16.309999999999999</v>
      </c>
    </row>
    <row r="695" spans="1:26" x14ac:dyDescent="0.25">
      <c r="A695" s="1" t="s">
        <v>3052</v>
      </c>
      <c r="B695" s="1" t="s">
        <v>3053</v>
      </c>
      <c r="C695" s="1" t="s">
        <v>16</v>
      </c>
      <c r="D695" s="1" t="s">
        <v>94</v>
      </c>
      <c r="E695" s="1" t="s">
        <v>894</v>
      </c>
      <c r="F695" s="1" t="s">
        <v>3054</v>
      </c>
      <c r="G695" s="1" t="s">
        <v>12480</v>
      </c>
      <c r="H695" s="1" t="s">
        <v>3055</v>
      </c>
      <c r="I695" s="2">
        <v>64.040000000000006</v>
      </c>
      <c r="J695" s="2">
        <v>4.1100000000000003</v>
      </c>
      <c r="K695" s="2">
        <v>1.41</v>
      </c>
      <c r="L695" s="2">
        <v>2.36</v>
      </c>
      <c r="M695" s="4">
        <f t="shared" si="60"/>
        <v>45.418439716312065</v>
      </c>
      <c r="N695" s="4">
        <f t="shared" si="61"/>
        <v>27.135593220338986</v>
      </c>
      <c r="O695" s="5">
        <f t="shared" si="62"/>
        <v>-0.65693430656934315</v>
      </c>
      <c r="P695" s="5">
        <f t="shared" si="63"/>
        <v>0.67375886524822692</v>
      </c>
      <c r="Q695" s="4">
        <f t="shared" si="64"/>
        <v>-0.69136958234830581</v>
      </c>
      <c r="R695" s="4">
        <f t="shared" si="65"/>
        <v>0.40274933095450499</v>
      </c>
      <c r="S695" s="4">
        <v>14.73</v>
      </c>
      <c r="T695" s="2">
        <v>1.1200000000000001</v>
      </c>
      <c r="U695" s="2">
        <v>64.739999999999995</v>
      </c>
      <c r="V695" s="2">
        <v>32.4</v>
      </c>
      <c r="W695" s="2">
        <v>4.1100000000000003</v>
      </c>
      <c r="X695" s="2">
        <v>14.75</v>
      </c>
      <c r="Y695" s="2">
        <v>36.869999999999997</v>
      </c>
      <c r="Z695" s="2">
        <v>43.23</v>
      </c>
    </row>
    <row r="696" spans="1:26" x14ac:dyDescent="0.25">
      <c r="A696" s="1" t="s">
        <v>3058</v>
      </c>
      <c r="B696" s="1" t="s">
        <v>3059</v>
      </c>
      <c r="C696" s="1" t="s">
        <v>16</v>
      </c>
      <c r="D696" s="1" t="s">
        <v>38</v>
      </c>
      <c r="E696" s="1" t="s">
        <v>52</v>
      </c>
      <c r="F696" s="1" t="s">
        <v>3060</v>
      </c>
      <c r="G696" s="1" t="s">
        <v>12480</v>
      </c>
      <c r="H696" s="1" t="s">
        <v>3061</v>
      </c>
      <c r="I696" s="2">
        <v>111.84</v>
      </c>
      <c r="J696" s="2">
        <v>-0.44</v>
      </c>
      <c r="K696" s="2">
        <v>0.83</v>
      </c>
      <c r="L696" s="2">
        <v>1.71</v>
      </c>
      <c r="M696" s="4">
        <f t="shared" si="60"/>
        <v>134.74698795180723</v>
      </c>
      <c r="N696" s="4">
        <f t="shared" si="61"/>
        <v>65.403508771929822</v>
      </c>
      <c r="O696" s="5">
        <f t="shared" si="62"/>
        <v>-2.8863636363636362</v>
      </c>
      <c r="P696" s="5">
        <f t="shared" si="63"/>
        <v>1.0602409638554215</v>
      </c>
      <c r="Q696" s="4">
        <f t="shared" si="64"/>
        <v>-0.46683995825822977</v>
      </c>
      <c r="R696" s="4">
        <f t="shared" si="65"/>
        <v>0.61687400318979269</v>
      </c>
      <c r="S696" s="4"/>
      <c r="T696" s="2"/>
      <c r="U696" s="2">
        <v>263.45</v>
      </c>
      <c r="V696" s="2">
        <v>50.23</v>
      </c>
      <c r="W696" s="2">
        <v>16.329999999999998</v>
      </c>
      <c r="X696" s="2">
        <v>86.09</v>
      </c>
      <c r="Y696" s="2">
        <v>48.21</v>
      </c>
      <c r="Z696" s="2">
        <v>41.03</v>
      </c>
    </row>
    <row r="697" spans="1:26" x14ac:dyDescent="0.25">
      <c r="A697" s="1" t="s">
        <v>3063</v>
      </c>
      <c r="B697" s="1" t="s">
        <v>3064</v>
      </c>
      <c r="C697" s="1" t="s">
        <v>45</v>
      </c>
      <c r="D697" s="1" t="s">
        <v>32</v>
      </c>
      <c r="E697" s="1" t="s">
        <v>57</v>
      </c>
      <c r="F697" s="1" t="s">
        <v>3065</v>
      </c>
      <c r="G697" s="1" t="s">
        <v>12513</v>
      </c>
      <c r="H697" s="1" t="s">
        <v>3066</v>
      </c>
      <c r="I697" s="2">
        <v>115.98</v>
      </c>
      <c r="J697" s="2">
        <v>0.7</v>
      </c>
      <c r="K697" s="2">
        <v>3.18</v>
      </c>
      <c r="L697" s="2">
        <v>4.3600000000000003</v>
      </c>
      <c r="M697" s="4">
        <f t="shared" si="60"/>
        <v>36.471698113207545</v>
      </c>
      <c r="N697" s="4">
        <f t="shared" si="61"/>
        <v>26.600917431192659</v>
      </c>
      <c r="O697" s="5">
        <f t="shared" si="62"/>
        <v>3.5428571428571436</v>
      </c>
      <c r="P697" s="5">
        <f t="shared" si="63"/>
        <v>0.37106918238993725</v>
      </c>
      <c r="Q697" s="4">
        <f t="shared" si="64"/>
        <v>0.10294430919050515</v>
      </c>
      <c r="R697" s="4">
        <f t="shared" si="65"/>
        <v>0.71687218162027644</v>
      </c>
      <c r="S697" s="4">
        <v>126.34</v>
      </c>
      <c r="T697" s="2">
        <v>2.67</v>
      </c>
      <c r="U697" s="2">
        <v>189.19</v>
      </c>
      <c r="V697" s="2">
        <v>33.299999999999997</v>
      </c>
      <c r="W697" s="2">
        <v>1.54</v>
      </c>
      <c r="X697" s="2">
        <v>-6.02</v>
      </c>
      <c r="Y697" s="2">
        <v>-18.34</v>
      </c>
      <c r="Z697" s="2">
        <v>-19.399999999999999</v>
      </c>
    </row>
    <row r="698" spans="1:26" x14ac:dyDescent="0.25">
      <c r="A698" s="1" t="s">
        <v>3067</v>
      </c>
      <c r="B698" s="1" t="s">
        <v>3068</v>
      </c>
      <c r="C698" s="1" t="s">
        <v>16</v>
      </c>
      <c r="D698" s="1" t="s">
        <v>94</v>
      </c>
      <c r="E698" s="1" t="s">
        <v>95</v>
      </c>
      <c r="F698" s="1" t="s">
        <v>3069</v>
      </c>
      <c r="G698" s="1" t="s">
        <v>12480</v>
      </c>
      <c r="H698" s="1" t="s">
        <v>3070</v>
      </c>
      <c r="I698" s="2">
        <v>11.96</v>
      </c>
      <c r="J698" s="2">
        <v>1.8</v>
      </c>
      <c r="K698" s="2">
        <v>1.48</v>
      </c>
      <c r="L698" s="2">
        <v>1.38</v>
      </c>
      <c r="M698" s="4">
        <f t="shared" si="60"/>
        <v>8.0810810810810825</v>
      </c>
      <c r="N698" s="4">
        <f t="shared" si="61"/>
        <v>8.6666666666666679</v>
      </c>
      <c r="O698" s="5">
        <f t="shared" si="62"/>
        <v>-0.17777777777777781</v>
      </c>
      <c r="P698" s="5">
        <f t="shared" si="63"/>
        <v>-6.7567567567567655E-2</v>
      </c>
      <c r="Q698" s="4">
        <f t="shared" si="64"/>
        <v>-0.45456081081081079</v>
      </c>
      <c r="R698" s="4">
        <f t="shared" si="65"/>
        <v>-1.2826666666666653</v>
      </c>
      <c r="S698" s="4">
        <v>22.14</v>
      </c>
      <c r="T698" s="2">
        <v>1.57</v>
      </c>
      <c r="U698" s="2">
        <v>12.01</v>
      </c>
      <c r="V698" s="2">
        <v>7.29</v>
      </c>
      <c r="W698" s="2">
        <v>-0.42</v>
      </c>
      <c r="X698" s="2">
        <v>16.12</v>
      </c>
      <c r="Y698" s="2">
        <v>34.08</v>
      </c>
      <c r="Z698" s="2">
        <v>42.55</v>
      </c>
    </row>
    <row r="699" spans="1:26" x14ac:dyDescent="0.25">
      <c r="A699" s="1" t="s">
        <v>3071</v>
      </c>
      <c r="B699" s="1" t="s">
        <v>3071</v>
      </c>
      <c r="C699" s="1" t="s">
        <v>16</v>
      </c>
      <c r="D699" s="1" t="s">
        <v>61</v>
      </c>
      <c r="E699" s="1" t="s">
        <v>170</v>
      </c>
      <c r="F699" s="1" t="s">
        <v>3072</v>
      </c>
      <c r="G699" s="1" t="s">
        <v>12480</v>
      </c>
      <c r="H699" s="1" t="s">
        <v>3073</v>
      </c>
      <c r="I699" s="2">
        <v>106.46</v>
      </c>
      <c r="J699" s="2">
        <v>5.57</v>
      </c>
      <c r="K699" s="2">
        <v>5.98</v>
      </c>
      <c r="L699" s="2">
        <v>6.64</v>
      </c>
      <c r="M699" s="4">
        <f t="shared" si="60"/>
        <v>17.802675585284277</v>
      </c>
      <c r="N699" s="4">
        <f t="shared" si="61"/>
        <v>16.033132530120483</v>
      </c>
      <c r="O699" s="5">
        <f t="shared" si="62"/>
        <v>7.3608617594254966E-2</v>
      </c>
      <c r="P699" s="5">
        <f t="shared" si="63"/>
        <v>0.11036789297658856</v>
      </c>
      <c r="Q699" s="4">
        <f t="shared" si="64"/>
        <v>2.4185586100008143</v>
      </c>
      <c r="R699" s="4">
        <f t="shared" si="65"/>
        <v>1.4526989777290991</v>
      </c>
      <c r="S699" s="4">
        <v>5.27</v>
      </c>
      <c r="T699" s="2">
        <v>1.33</v>
      </c>
      <c r="U699" s="2">
        <v>131.38</v>
      </c>
      <c r="V699" s="2">
        <v>80.349999999999994</v>
      </c>
      <c r="W699" s="2">
        <v>-9.57</v>
      </c>
      <c r="X699" s="2">
        <v>-16.07</v>
      </c>
      <c r="Y699" s="2">
        <v>-16.34</v>
      </c>
      <c r="Z699" s="2">
        <v>-14.7</v>
      </c>
    </row>
    <row r="700" spans="1:26" x14ac:dyDescent="0.25">
      <c r="A700" s="1" t="s">
        <v>3074</v>
      </c>
      <c r="B700" s="1" t="s">
        <v>3075</v>
      </c>
      <c r="C700" s="1" t="s">
        <v>31</v>
      </c>
      <c r="D700" s="1" t="s">
        <v>128</v>
      </c>
      <c r="E700" s="1" t="s">
        <v>556</v>
      </c>
      <c r="F700" s="1" t="s">
        <v>3076</v>
      </c>
      <c r="G700" s="1" t="s">
        <v>12480</v>
      </c>
      <c r="H700" s="1" t="s">
        <v>3077</v>
      </c>
      <c r="I700" s="2">
        <v>6.77</v>
      </c>
      <c r="J700" s="2">
        <v>0.41</v>
      </c>
      <c r="K700" s="2"/>
      <c r="L700" s="2"/>
      <c r="M700" s="4" t="e">
        <f t="shared" si="60"/>
        <v>#DIV/0!</v>
      </c>
      <c r="N700" s="4" t="e">
        <f t="shared" si="61"/>
        <v>#DIV/0!</v>
      </c>
      <c r="O700" s="5">
        <f t="shared" si="62"/>
        <v>-1</v>
      </c>
      <c r="P700" s="5" t="e">
        <f t="shared" si="63"/>
        <v>#DIV/0!</v>
      </c>
      <c r="Q700" s="4" t="e">
        <f t="shared" si="64"/>
        <v>#DIV/0!</v>
      </c>
      <c r="R700" s="4" t="e">
        <f t="shared" si="65"/>
        <v>#DIV/0!</v>
      </c>
      <c r="S700" s="4">
        <v>8.08</v>
      </c>
      <c r="T700" s="2">
        <v>-0.08</v>
      </c>
      <c r="U700" s="2">
        <v>7.75</v>
      </c>
      <c r="V700" s="2">
        <v>6.14</v>
      </c>
      <c r="W700" s="2">
        <v>-3.84</v>
      </c>
      <c r="X700" s="2">
        <v>-4.6500000000000004</v>
      </c>
      <c r="Y700" s="2">
        <v>-2.0299999999999998</v>
      </c>
      <c r="Z700" s="2">
        <v>0.21</v>
      </c>
    </row>
    <row r="701" spans="1:26" x14ac:dyDescent="0.25">
      <c r="A701" s="1" t="s">
        <v>3078</v>
      </c>
      <c r="B701" s="1" t="s">
        <v>3079</v>
      </c>
      <c r="C701" s="1" t="s">
        <v>16</v>
      </c>
      <c r="D701" s="1" t="s">
        <v>147</v>
      </c>
      <c r="E701" s="1" t="s">
        <v>279</v>
      </c>
      <c r="F701" s="1" t="s">
        <v>3080</v>
      </c>
      <c r="G701" s="1" t="s">
        <v>12480</v>
      </c>
      <c r="H701" s="1" t="s">
        <v>3081</v>
      </c>
      <c r="I701" s="2">
        <v>33.299999999999997</v>
      </c>
      <c r="J701" s="2">
        <v>3.47</v>
      </c>
      <c r="K701" s="2">
        <v>2.63</v>
      </c>
      <c r="L701" s="2">
        <v>3.1</v>
      </c>
      <c r="M701" s="4">
        <f t="shared" si="60"/>
        <v>12.661596958174904</v>
      </c>
      <c r="N701" s="4">
        <f t="shared" si="61"/>
        <v>10.741935483870966</v>
      </c>
      <c r="O701" s="5">
        <f t="shared" si="62"/>
        <v>-0.24207492795389052</v>
      </c>
      <c r="P701" s="5">
        <f t="shared" si="63"/>
        <v>0.17870722433460084</v>
      </c>
      <c r="Q701" s="4">
        <f t="shared" si="64"/>
        <v>-0.52304454101032039</v>
      </c>
      <c r="R701" s="4">
        <f t="shared" si="65"/>
        <v>0.6010912834591623</v>
      </c>
      <c r="S701" s="4">
        <v>1.91</v>
      </c>
      <c r="T701" s="2">
        <v>1.07</v>
      </c>
      <c r="U701" s="2">
        <v>44.37</v>
      </c>
      <c r="V701" s="2">
        <v>23.65</v>
      </c>
      <c r="W701" s="2">
        <v>-4.72</v>
      </c>
      <c r="X701" s="2">
        <v>-11.46</v>
      </c>
      <c r="Y701" s="2">
        <v>3.32</v>
      </c>
      <c r="Z701" s="2">
        <v>2.68</v>
      </c>
    </row>
    <row r="702" spans="1:26" x14ac:dyDescent="0.25">
      <c r="A702" s="1" t="s">
        <v>3082</v>
      </c>
      <c r="B702" s="1" t="s">
        <v>3083</v>
      </c>
      <c r="C702" s="1" t="s">
        <v>16</v>
      </c>
      <c r="D702" s="1" t="s">
        <v>94</v>
      </c>
      <c r="E702" s="1" t="s">
        <v>894</v>
      </c>
      <c r="F702" s="1" t="s">
        <v>253</v>
      </c>
      <c r="G702" s="1" t="s">
        <v>12480</v>
      </c>
      <c r="H702" s="1" t="s">
        <v>3084</v>
      </c>
      <c r="I702" s="2">
        <v>20.079999999999998</v>
      </c>
      <c r="J702" s="2">
        <v>0.54</v>
      </c>
      <c r="K702" s="2">
        <v>0.74</v>
      </c>
      <c r="L702" s="2">
        <v>0.91</v>
      </c>
      <c r="M702" s="4">
        <f t="shared" si="60"/>
        <v>27.135135135135133</v>
      </c>
      <c r="N702" s="4">
        <f t="shared" si="61"/>
        <v>22.065934065934062</v>
      </c>
      <c r="O702" s="5">
        <f t="shared" si="62"/>
        <v>0.37037037037037024</v>
      </c>
      <c r="P702" s="5">
        <f t="shared" si="63"/>
        <v>0.22972972972972983</v>
      </c>
      <c r="Q702" s="4">
        <f t="shared" si="64"/>
        <v>0.73264864864864887</v>
      </c>
      <c r="R702" s="4">
        <f t="shared" si="65"/>
        <v>0.96051712992889404</v>
      </c>
      <c r="S702" s="4">
        <v>77.12</v>
      </c>
      <c r="T702" s="2">
        <v>0.4</v>
      </c>
      <c r="U702" s="2">
        <v>30.74</v>
      </c>
      <c r="V702" s="2">
        <v>15.03</v>
      </c>
      <c r="W702" s="2">
        <v>-0.74</v>
      </c>
      <c r="X702" s="2">
        <v>-3.74</v>
      </c>
      <c r="Y702" s="2">
        <v>-7.42</v>
      </c>
      <c r="Z702" s="2">
        <v>-13.37</v>
      </c>
    </row>
    <row r="703" spans="1:26" x14ac:dyDescent="0.25">
      <c r="A703" s="1" t="s">
        <v>3085</v>
      </c>
      <c r="B703" s="1" t="s">
        <v>3086</v>
      </c>
      <c r="C703" s="1" t="s">
        <v>16</v>
      </c>
      <c r="D703" s="1" t="s">
        <v>18</v>
      </c>
      <c r="E703" s="1" t="s">
        <v>624</v>
      </c>
      <c r="F703" s="1" t="s">
        <v>3087</v>
      </c>
      <c r="G703" s="1" t="s">
        <v>12480</v>
      </c>
      <c r="H703" s="1" t="s">
        <v>3088</v>
      </c>
      <c r="I703" s="2">
        <v>176.99</v>
      </c>
      <c r="J703" s="2">
        <v>10.28</v>
      </c>
      <c r="K703" s="2">
        <v>10.9</v>
      </c>
      <c r="L703" s="2">
        <v>11.72</v>
      </c>
      <c r="M703" s="4">
        <f t="shared" si="60"/>
        <v>16.237614678899082</v>
      </c>
      <c r="N703" s="4">
        <f t="shared" si="61"/>
        <v>15.101535836177474</v>
      </c>
      <c r="O703" s="5">
        <f t="shared" si="62"/>
        <v>6.0311284046692615E-2</v>
      </c>
      <c r="P703" s="5">
        <f t="shared" si="63"/>
        <v>7.5229357798165086E-2</v>
      </c>
      <c r="Q703" s="4">
        <f t="shared" si="64"/>
        <v>2.6923012725658473</v>
      </c>
      <c r="R703" s="4">
        <f t="shared" si="65"/>
        <v>2.007399275784568</v>
      </c>
      <c r="S703" s="4">
        <v>-0.85</v>
      </c>
      <c r="T703" s="2">
        <v>1.64</v>
      </c>
      <c r="U703" s="2">
        <v>226.77</v>
      </c>
      <c r="V703" s="2">
        <v>99.75</v>
      </c>
      <c r="W703" s="2">
        <v>-0.91</v>
      </c>
      <c r="X703" s="2">
        <v>-4.6900000000000004</v>
      </c>
      <c r="Y703" s="2">
        <v>-10.68</v>
      </c>
      <c r="Z703" s="2">
        <v>-11.27</v>
      </c>
    </row>
    <row r="704" spans="1:26" x14ac:dyDescent="0.25">
      <c r="A704" s="1" t="s">
        <v>3089</v>
      </c>
      <c r="B704" s="1" t="s">
        <v>3090</v>
      </c>
      <c r="C704" s="1" t="s">
        <v>16</v>
      </c>
      <c r="D704" s="1" t="s">
        <v>32</v>
      </c>
      <c r="E704" s="1" t="s">
        <v>311</v>
      </c>
      <c r="F704" s="1" t="s">
        <v>3091</v>
      </c>
      <c r="G704" s="1" t="s">
        <v>12493</v>
      </c>
      <c r="H704" s="1" t="s">
        <v>12626</v>
      </c>
      <c r="I704" s="2">
        <v>198.79</v>
      </c>
      <c r="J704" s="2">
        <v>12.52</v>
      </c>
      <c r="K704" s="2">
        <v>13.12</v>
      </c>
      <c r="L704" s="2">
        <v>14.68</v>
      </c>
      <c r="M704" s="4">
        <f t="shared" si="60"/>
        <v>15.151676829268293</v>
      </c>
      <c r="N704" s="4">
        <f t="shared" si="61"/>
        <v>13.541553133514986</v>
      </c>
      <c r="O704" s="5">
        <f t="shared" si="62"/>
        <v>4.7923322683706138E-2</v>
      </c>
      <c r="P704" s="5">
        <f t="shared" si="63"/>
        <v>0.11890243902439024</v>
      </c>
      <c r="Q704" s="4">
        <f t="shared" si="64"/>
        <v>3.1616498983739794</v>
      </c>
      <c r="R704" s="4">
        <f t="shared" si="65"/>
        <v>1.1388793404597219</v>
      </c>
      <c r="S704" s="4" t="s">
        <v>12843</v>
      </c>
      <c r="T704" s="2">
        <v>1.29</v>
      </c>
      <c r="U704" s="2">
        <v>291.14999999999998</v>
      </c>
      <c r="V704" s="2">
        <v>178.16</v>
      </c>
      <c r="W704" s="2">
        <v>3.03</v>
      </c>
      <c r="X704" s="2">
        <v>2.4500000000000002</v>
      </c>
      <c r="Y704" s="2">
        <v>-21.92</v>
      </c>
      <c r="Z704" s="2">
        <v>-24.96</v>
      </c>
    </row>
    <row r="705" spans="1:26" x14ac:dyDescent="0.25">
      <c r="A705" s="1" t="s">
        <v>3092</v>
      </c>
      <c r="B705" s="1" t="s">
        <v>3093</v>
      </c>
      <c r="C705" s="1" t="s">
        <v>45</v>
      </c>
      <c r="D705" s="1" t="s">
        <v>88</v>
      </c>
      <c r="E705" s="1" t="s">
        <v>658</v>
      </c>
      <c r="F705" s="1" t="s">
        <v>3094</v>
      </c>
      <c r="G705" s="1" t="s">
        <v>12502</v>
      </c>
      <c r="H705" s="1" t="s">
        <v>3095</v>
      </c>
      <c r="I705" s="2">
        <v>8.94</v>
      </c>
      <c r="J705" s="2">
        <v>-0.56000000000000005</v>
      </c>
      <c r="K705" s="2"/>
      <c r="L705" s="2"/>
      <c r="M705" s="4" t="e">
        <f t="shared" si="60"/>
        <v>#DIV/0!</v>
      </c>
      <c r="N705" s="4" t="e">
        <f t="shared" si="61"/>
        <v>#DIV/0!</v>
      </c>
      <c r="O705" s="5">
        <f t="shared" si="62"/>
        <v>-1</v>
      </c>
      <c r="P705" s="5" t="e">
        <f t="shared" si="63"/>
        <v>#DIV/0!</v>
      </c>
      <c r="Q705" s="4" t="e">
        <f t="shared" si="64"/>
        <v>#DIV/0!</v>
      </c>
      <c r="R705" s="4" t="e">
        <f t="shared" si="65"/>
        <v>#DIV/0!</v>
      </c>
      <c r="S705" s="4"/>
      <c r="T705" s="2">
        <v>1.45</v>
      </c>
      <c r="U705" s="2">
        <v>29.97</v>
      </c>
      <c r="V705" s="2">
        <v>1.37</v>
      </c>
      <c r="W705" s="2">
        <v>-17.38</v>
      </c>
      <c r="X705" s="2">
        <v>-25.31</v>
      </c>
      <c r="Y705" s="2">
        <v>9.42</v>
      </c>
      <c r="Z705" s="2">
        <v>28.82</v>
      </c>
    </row>
    <row r="706" spans="1:26" x14ac:dyDescent="0.25">
      <c r="A706" s="1" t="s">
        <v>3096</v>
      </c>
      <c r="B706" s="1" t="s">
        <v>3097</v>
      </c>
      <c r="C706" s="1" t="s">
        <v>45</v>
      </c>
      <c r="D706" s="1" t="s">
        <v>18</v>
      </c>
      <c r="E706" s="1" t="s">
        <v>780</v>
      </c>
      <c r="F706" s="1" t="s">
        <v>3098</v>
      </c>
      <c r="G706" s="1" t="s">
        <v>12480</v>
      </c>
      <c r="H706" s="1" t="s">
        <v>3099</v>
      </c>
      <c r="I706" s="2">
        <v>38.22</v>
      </c>
      <c r="J706" s="2">
        <v>-4.95</v>
      </c>
      <c r="K706" s="2">
        <v>-4.9000000000000004</v>
      </c>
      <c r="L706" s="2">
        <v>-4.24</v>
      </c>
      <c r="M706" s="4">
        <f t="shared" si="60"/>
        <v>-7.7999999999999989</v>
      </c>
      <c r="N706" s="4">
        <f t="shared" si="61"/>
        <v>-9.0141509433962259</v>
      </c>
      <c r="O706" s="5">
        <f t="shared" si="62"/>
        <v>-1.0101010101010055E-2</v>
      </c>
      <c r="P706" s="5">
        <f t="shared" si="63"/>
        <v>-0.13469387755102047</v>
      </c>
      <c r="Q706" s="4">
        <f t="shared" si="64"/>
        <v>7.7220000000000342</v>
      </c>
      <c r="R706" s="4">
        <f t="shared" si="65"/>
        <v>0.66923241852487092</v>
      </c>
      <c r="S706" s="4">
        <v>640.71</v>
      </c>
      <c r="T706" s="2">
        <v>0.23</v>
      </c>
      <c r="U706" s="2">
        <v>56.43</v>
      </c>
      <c r="V706" s="2">
        <v>25.56</v>
      </c>
      <c r="W706" s="2">
        <v>-6.05</v>
      </c>
      <c r="X706" s="2">
        <v>-16.93</v>
      </c>
      <c r="Y706" s="2">
        <v>-22.51</v>
      </c>
      <c r="Z706" s="2">
        <v>-17.899999999999999</v>
      </c>
    </row>
    <row r="707" spans="1:26" x14ac:dyDescent="0.25">
      <c r="A707" s="1" t="s">
        <v>3100</v>
      </c>
      <c r="B707" s="1" t="s">
        <v>3101</v>
      </c>
      <c r="C707" s="1" t="s">
        <v>45</v>
      </c>
      <c r="D707" s="1" t="s">
        <v>147</v>
      </c>
      <c r="E707" s="1" t="s">
        <v>1931</v>
      </c>
      <c r="F707" s="1" t="s">
        <v>3102</v>
      </c>
      <c r="G707" s="1" t="s">
        <v>12480</v>
      </c>
      <c r="H707" s="1" t="s">
        <v>3062</v>
      </c>
      <c r="I707" s="2">
        <v>87.16</v>
      </c>
      <c r="J707" s="2">
        <v>12.51</v>
      </c>
      <c r="K707" s="2">
        <v>13.41</v>
      </c>
      <c r="L707" s="2">
        <v>14.53</v>
      </c>
      <c r="M707" s="4">
        <f t="shared" ref="M707:M770" si="66">I707/K707</f>
        <v>6.4996271439224458</v>
      </c>
      <c r="N707" s="4">
        <f t="shared" ref="N707:N770" si="67">I707/L707</f>
        <v>5.9986235375086032</v>
      </c>
      <c r="O707" s="5">
        <f t="shared" ref="O707:O770" si="68">K707/J707-1</f>
        <v>7.1942446043165464E-2</v>
      </c>
      <c r="P707" s="5">
        <f t="shared" ref="P707:P770" si="69">L707/K707-1</f>
        <v>8.3519761372110368E-2</v>
      </c>
      <c r="Q707" s="4">
        <f t="shared" ref="Q707:Q770" si="70">M707/(O707*100)</f>
        <v>0.90344817300521996</v>
      </c>
      <c r="R707" s="4">
        <f t="shared" ref="R707:R770" si="71">N707/(P707*100)</f>
        <v>0.71822805033919979</v>
      </c>
      <c r="S707" s="4">
        <v>-1.5</v>
      </c>
      <c r="T707" s="2">
        <v>1.54</v>
      </c>
      <c r="U707" s="2">
        <v>120.26</v>
      </c>
      <c r="V707" s="2">
        <v>73.39</v>
      </c>
      <c r="W707" s="2">
        <v>0.36</v>
      </c>
      <c r="X707" s="2">
        <v>3.65</v>
      </c>
      <c r="Y707" s="2">
        <v>-3.86</v>
      </c>
      <c r="Z707" s="2">
        <v>1.92</v>
      </c>
    </row>
    <row r="708" spans="1:26" x14ac:dyDescent="0.25">
      <c r="A708" s="1" t="s">
        <v>3103</v>
      </c>
      <c r="B708" s="1" t="s">
        <v>3104</v>
      </c>
      <c r="C708" s="1" t="s">
        <v>31</v>
      </c>
      <c r="D708" s="1" t="s">
        <v>354</v>
      </c>
      <c r="E708" s="1" t="s">
        <v>355</v>
      </c>
      <c r="F708" s="1" t="s">
        <v>3105</v>
      </c>
      <c r="G708" s="1" t="s">
        <v>12480</v>
      </c>
      <c r="H708" s="1" t="s">
        <v>3106</v>
      </c>
      <c r="I708" s="2">
        <v>35.450000000000003</v>
      </c>
      <c r="J708" s="2">
        <v>5.71</v>
      </c>
      <c r="K708" s="2">
        <v>5.08</v>
      </c>
      <c r="L708" s="2">
        <v>4.95</v>
      </c>
      <c r="M708" s="4">
        <f t="shared" si="66"/>
        <v>6.9783464566929139</v>
      </c>
      <c r="N708" s="4">
        <f t="shared" si="67"/>
        <v>7.1616161616161618</v>
      </c>
      <c r="O708" s="5">
        <f t="shared" si="68"/>
        <v>-0.11033274956217165</v>
      </c>
      <c r="P708" s="5">
        <f t="shared" si="69"/>
        <v>-2.5590551181102317E-2</v>
      </c>
      <c r="Q708" s="4">
        <f t="shared" si="70"/>
        <v>-0.63248187726534177</v>
      </c>
      <c r="R708" s="4">
        <f t="shared" si="71"/>
        <v>-2.7985392385392434</v>
      </c>
      <c r="S708" s="4">
        <v>2.23</v>
      </c>
      <c r="T708" s="2">
        <v>0.68</v>
      </c>
      <c r="U708" s="2">
        <v>38.200000000000003</v>
      </c>
      <c r="V708" s="2">
        <v>33.450000000000003</v>
      </c>
      <c r="W708" s="2" t="s">
        <v>12489</v>
      </c>
      <c r="X708" s="2" t="s">
        <v>12489</v>
      </c>
      <c r="Y708" s="2">
        <v>-1.94</v>
      </c>
      <c r="Z708" s="2">
        <v>-1.94</v>
      </c>
    </row>
    <row r="709" spans="1:26" x14ac:dyDescent="0.25">
      <c r="A709" s="1" t="s">
        <v>3108</v>
      </c>
      <c r="B709" s="1" t="s">
        <v>3109</v>
      </c>
      <c r="C709" s="1" t="s">
        <v>31</v>
      </c>
      <c r="D709" s="1" t="s">
        <v>67</v>
      </c>
      <c r="E709" s="1" t="s">
        <v>3111</v>
      </c>
      <c r="F709" s="1" t="s">
        <v>3110</v>
      </c>
      <c r="G709" s="1" t="s">
        <v>12480</v>
      </c>
      <c r="H709" s="1" t="s">
        <v>3112</v>
      </c>
      <c r="I709" s="2">
        <v>3.59</v>
      </c>
      <c r="J709" s="2">
        <v>0.36</v>
      </c>
      <c r="K709" s="2">
        <v>0.38</v>
      </c>
      <c r="L709" s="2">
        <v>0.41</v>
      </c>
      <c r="M709" s="4">
        <f t="shared" si="66"/>
        <v>9.4473684210526319</v>
      </c>
      <c r="N709" s="4">
        <f t="shared" si="67"/>
        <v>8.7560975609756095</v>
      </c>
      <c r="O709" s="5">
        <f t="shared" si="68"/>
        <v>5.555555555555558E-2</v>
      </c>
      <c r="P709" s="5">
        <f t="shared" si="69"/>
        <v>7.8947368421052655E-2</v>
      </c>
      <c r="Q709" s="4">
        <f t="shared" si="70"/>
        <v>1.700526315789473</v>
      </c>
      <c r="R709" s="4">
        <f t="shared" si="71"/>
        <v>1.1091056910569101</v>
      </c>
      <c r="S709" s="4">
        <v>0.63</v>
      </c>
      <c r="T709" s="2">
        <v>0.64</v>
      </c>
      <c r="U709" s="2">
        <v>3.86</v>
      </c>
      <c r="V709" s="2">
        <v>2.75</v>
      </c>
      <c r="W709" s="2">
        <v>-2.71</v>
      </c>
      <c r="X709" s="2" t="s">
        <v>12489</v>
      </c>
      <c r="Y709" s="2">
        <v>7.16</v>
      </c>
      <c r="Z709" s="2">
        <v>7.49</v>
      </c>
    </row>
    <row r="710" spans="1:26" x14ac:dyDescent="0.25">
      <c r="A710" s="1" t="s">
        <v>3113</v>
      </c>
      <c r="B710" s="1" t="s">
        <v>3114</v>
      </c>
      <c r="C710" s="1" t="s">
        <v>16</v>
      </c>
      <c r="D710" s="1" t="s">
        <v>88</v>
      </c>
      <c r="E710" s="1" t="s">
        <v>3116</v>
      </c>
      <c r="F710" s="1" t="s">
        <v>3115</v>
      </c>
      <c r="G710" s="1" t="s">
        <v>12502</v>
      </c>
      <c r="H710" s="1" t="s">
        <v>1222</v>
      </c>
      <c r="I710" s="2">
        <v>395.8</v>
      </c>
      <c r="J710" s="2">
        <v>7.48</v>
      </c>
      <c r="K710" s="2">
        <v>10.28</v>
      </c>
      <c r="L710" s="2">
        <v>12.14</v>
      </c>
      <c r="M710" s="4">
        <f t="shared" si="66"/>
        <v>38.501945525291831</v>
      </c>
      <c r="N710" s="4">
        <f t="shared" si="67"/>
        <v>32.602965403624381</v>
      </c>
      <c r="O710" s="5">
        <f t="shared" si="68"/>
        <v>0.37433155080213898</v>
      </c>
      <c r="P710" s="5">
        <f t="shared" si="69"/>
        <v>0.18093385214007784</v>
      </c>
      <c r="Q710" s="4">
        <f t="shared" si="70"/>
        <v>1.0285519733185104</v>
      </c>
      <c r="R710" s="4">
        <f t="shared" si="71"/>
        <v>1.8019273352110676</v>
      </c>
      <c r="S710" s="4">
        <v>4.25</v>
      </c>
      <c r="T710" s="2">
        <v>1.22</v>
      </c>
      <c r="U710" s="2">
        <v>412.13</v>
      </c>
      <c r="V710" s="2">
        <v>151.30000000000001</v>
      </c>
      <c r="W710" s="2">
        <v>-3.11</v>
      </c>
      <c r="X710" s="2">
        <v>8.44</v>
      </c>
      <c r="Y710" s="2">
        <v>22.3</v>
      </c>
      <c r="Z710" s="2">
        <v>25.72</v>
      </c>
    </row>
    <row r="711" spans="1:26" x14ac:dyDescent="0.25">
      <c r="A711" s="1" t="s">
        <v>3117</v>
      </c>
      <c r="B711" s="1" t="s">
        <v>3118</v>
      </c>
      <c r="C711" s="1" t="s">
        <v>45</v>
      </c>
      <c r="D711" s="1" t="s">
        <v>18</v>
      </c>
      <c r="E711" s="1" t="s">
        <v>74</v>
      </c>
      <c r="F711" s="1" t="s">
        <v>3119</v>
      </c>
      <c r="G711" s="1" t="s">
        <v>12480</v>
      </c>
      <c r="H711" s="1" t="s">
        <v>3120</v>
      </c>
      <c r="I711" s="2">
        <v>58.78</v>
      </c>
      <c r="J711" s="2">
        <v>-6.47</v>
      </c>
      <c r="K711" s="2">
        <v>-4.8600000000000003</v>
      </c>
      <c r="L711" s="2">
        <v>-4.46</v>
      </c>
      <c r="M711" s="4">
        <f t="shared" si="66"/>
        <v>-12.094650205761317</v>
      </c>
      <c r="N711" s="4">
        <f t="shared" si="67"/>
        <v>-13.179372197309418</v>
      </c>
      <c r="O711" s="5">
        <f t="shared" si="68"/>
        <v>-0.24884080370942807</v>
      </c>
      <c r="P711" s="5">
        <f t="shared" si="69"/>
        <v>-8.2304526748971263E-2</v>
      </c>
      <c r="Q711" s="4">
        <f t="shared" si="70"/>
        <v>0.4860396697594766</v>
      </c>
      <c r="R711" s="4">
        <f t="shared" si="71"/>
        <v>1.6012937219730929</v>
      </c>
      <c r="S711" s="4">
        <v>-90.59</v>
      </c>
      <c r="T711" s="2">
        <v>1.72</v>
      </c>
      <c r="U711" s="2">
        <v>76.78</v>
      </c>
      <c r="V711" s="2">
        <v>31.27</v>
      </c>
      <c r="W711" s="2">
        <v>-3.27</v>
      </c>
      <c r="X711" s="2">
        <v>18.27</v>
      </c>
      <c r="Y711" s="2">
        <v>4.5</v>
      </c>
      <c r="Z711" s="2">
        <v>12.09</v>
      </c>
    </row>
    <row r="712" spans="1:26" x14ac:dyDescent="0.25">
      <c r="A712" s="1" t="s">
        <v>3122</v>
      </c>
      <c r="B712" s="1" t="s">
        <v>3123</v>
      </c>
      <c r="C712" s="1" t="s">
        <v>45</v>
      </c>
      <c r="D712" s="1" t="s">
        <v>32</v>
      </c>
      <c r="E712" s="1" t="s">
        <v>57</v>
      </c>
      <c r="F712" s="1" t="s">
        <v>3124</v>
      </c>
      <c r="G712" s="1" t="s">
        <v>12490</v>
      </c>
      <c r="H712" s="1" t="s">
        <v>3125</v>
      </c>
      <c r="I712" s="2">
        <v>133.96</v>
      </c>
      <c r="J712" s="2">
        <v>7.54</v>
      </c>
      <c r="K712" s="2">
        <v>8.89</v>
      </c>
      <c r="L712" s="2">
        <v>9.31</v>
      </c>
      <c r="M712" s="4">
        <f t="shared" si="66"/>
        <v>15.068616422947132</v>
      </c>
      <c r="N712" s="4">
        <f t="shared" si="67"/>
        <v>14.388829215896886</v>
      </c>
      <c r="O712" s="5">
        <f t="shared" si="68"/>
        <v>0.17904509283819636</v>
      </c>
      <c r="P712" s="5">
        <f t="shared" si="69"/>
        <v>4.7244094488188892E-2</v>
      </c>
      <c r="Q712" s="4">
        <f t="shared" si="70"/>
        <v>0.84161013206682467</v>
      </c>
      <c r="R712" s="4">
        <f t="shared" si="71"/>
        <v>3.0456355173648464</v>
      </c>
      <c r="S712" s="4">
        <v>5.99</v>
      </c>
      <c r="T712" s="2">
        <v>1.1200000000000001</v>
      </c>
      <c r="U712" s="2">
        <v>145.97999999999999</v>
      </c>
      <c r="V712" s="2">
        <v>77.430000000000007</v>
      </c>
      <c r="W712" s="2">
        <v>-6.34</v>
      </c>
      <c r="X712" s="2">
        <v>-4.0599999999999996</v>
      </c>
      <c r="Y712" s="2">
        <v>9.58</v>
      </c>
      <c r="Z712" s="2">
        <v>13.05</v>
      </c>
    </row>
    <row r="713" spans="1:26" x14ac:dyDescent="0.25">
      <c r="A713" s="1" t="s">
        <v>3126</v>
      </c>
      <c r="B713" s="1" t="s">
        <v>3127</v>
      </c>
      <c r="C713" s="1" t="s">
        <v>45</v>
      </c>
      <c r="D713" s="1" t="s">
        <v>140</v>
      </c>
      <c r="E713" s="1" t="s">
        <v>141</v>
      </c>
      <c r="F713" s="1" t="s">
        <v>3128</v>
      </c>
      <c r="G713" s="1" t="s">
        <v>12490</v>
      </c>
      <c r="H713" s="1" t="s">
        <v>1358</v>
      </c>
      <c r="I713" s="2">
        <v>53.6</v>
      </c>
      <c r="J713" s="2">
        <v>1.83</v>
      </c>
      <c r="K713" s="2"/>
      <c r="L713" s="2"/>
      <c r="M713" s="4" t="e">
        <f t="shared" si="66"/>
        <v>#DIV/0!</v>
      </c>
      <c r="N713" s="4" t="e">
        <f t="shared" si="67"/>
        <v>#DIV/0!</v>
      </c>
      <c r="O713" s="5">
        <f t="shared" si="68"/>
        <v>-1</v>
      </c>
      <c r="P713" s="5" t="e">
        <f t="shared" si="69"/>
        <v>#DIV/0!</v>
      </c>
      <c r="Q713" s="4" t="e">
        <f t="shared" si="70"/>
        <v>#DIV/0!</v>
      </c>
      <c r="R713" s="4" t="e">
        <f t="shared" si="71"/>
        <v>#DIV/0!</v>
      </c>
      <c r="S713" s="4">
        <v>12.61</v>
      </c>
      <c r="T713" s="2">
        <v>1.1000000000000001</v>
      </c>
      <c r="U713" s="2">
        <v>118.66</v>
      </c>
      <c r="V713" s="2" t="s">
        <v>12627</v>
      </c>
      <c r="W713" s="2">
        <v>2.25</v>
      </c>
      <c r="X713" s="2">
        <v>16.52</v>
      </c>
      <c r="Y713" s="2">
        <v>-24.3</v>
      </c>
      <c r="Z713" s="2">
        <v>-20.79</v>
      </c>
    </row>
    <row r="714" spans="1:26" x14ac:dyDescent="0.25">
      <c r="A714" s="1" t="s">
        <v>3129</v>
      </c>
      <c r="B714" s="1" t="s">
        <v>3130</v>
      </c>
      <c r="C714" s="1" t="s">
        <v>45</v>
      </c>
      <c r="D714" s="1" t="s">
        <v>18</v>
      </c>
      <c r="E714" s="1" t="s">
        <v>74</v>
      </c>
      <c r="F714" s="1" t="s">
        <v>3131</v>
      </c>
      <c r="G714" s="1" t="s">
        <v>12480</v>
      </c>
      <c r="H714" s="1" t="s">
        <v>3132</v>
      </c>
      <c r="I714" s="2">
        <v>15.89</v>
      </c>
      <c r="J714" s="2">
        <v>-1.02</v>
      </c>
      <c r="K714" s="2">
        <v>-0.62</v>
      </c>
      <c r="L714" s="2">
        <v>-0.6</v>
      </c>
      <c r="M714" s="4">
        <f t="shared" si="66"/>
        <v>-25.629032258064516</v>
      </c>
      <c r="N714" s="4">
        <f t="shared" si="67"/>
        <v>-26.483333333333334</v>
      </c>
      <c r="O714" s="5">
        <f t="shared" si="68"/>
        <v>-0.39215686274509809</v>
      </c>
      <c r="P714" s="5">
        <f t="shared" si="69"/>
        <v>-3.2258064516129115E-2</v>
      </c>
      <c r="Q714" s="4">
        <f t="shared" si="70"/>
        <v>0.65354032258064509</v>
      </c>
      <c r="R714" s="4">
        <f t="shared" si="71"/>
        <v>8.2098333333333127</v>
      </c>
      <c r="S714" s="4"/>
      <c r="T714" s="2">
        <v>0.78</v>
      </c>
      <c r="U714" s="2">
        <v>25.52</v>
      </c>
      <c r="V714" s="2">
        <v>2.82</v>
      </c>
      <c r="W714" s="2">
        <v>-11.18</v>
      </c>
      <c r="X714" s="2">
        <v>-22.15</v>
      </c>
      <c r="Y714" s="2">
        <v>89.39</v>
      </c>
      <c r="Z714" s="2">
        <v>106.36</v>
      </c>
    </row>
    <row r="715" spans="1:26" x14ac:dyDescent="0.25">
      <c r="A715" s="1" t="s">
        <v>3133</v>
      </c>
      <c r="B715" s="1" t="s">
        <v>3134</v>
      </c>
      <c r="C715" s="1" t="s">
        <v>45</v>
      </c>
      <c r="D715" s="1" t="s">
        <v>32</v>
      </c>
      <c r="E715" s="1" t="s">
        <v>2571</v>
      </c>
      <c r="F715" s="1" t="s">
        <v>3135</v>
      </c>
      <c r="G715" s="1" t="s">
        <v>12493</v>
      </c>
      <c r="H715" s="1" t="s">
        <v>3136</v>
      </c>
      <c r="I715" s="2">
        <v>434.13</v>
      </c>
      <c r="J715" s="2">
        <v>3.73</v>
      </c>
      <c r="K715" s="2">
        <v>4.8</v>
      </c>
      <c r="L715" s="2">
        <v>6.21</v>
      </c>
      <c r="M715" s="4">
        <f t="shared" si="66"/>
        <v>90.443750000000009</v>
      </c>
      <c r="N715" s="4">
        <f t="shared" si="67"/>
        <v>69.908212560386474</v>
      </c>
      <c r="O715" s="5">
        <f t="shared" si="68"/>
        <v>0.28686327077747986</v>
      </c>
      <c r="P715" s="5">
        <f t="shared" si="69"/>
        <v>0.29374999999999996</v>
      </c>
      <c r="Q715" s="4">
        <f t="shared" si="70"/>
        <v>3.152852219626169</v>
      </c>
      <c r="R715" s="4">
        <f t="shared" si="71"/>
        <v>2.3798540446089014</v>
      </c>
      <c r="S715" s="4">
        <v>21.71</v>
      </c>
      <c r="T715" s="2">
        <v>1.06</v>
      </c>
      <c r="U715" s="2">
        <v>557.53</v>
      </c>
      <c r="V715" s="2">
        <v>308.86</v>
      </c>
      <c r="W715" s="2">
        <v>12.8</v>
      </c>
      <c r="X715" s="2">
        <v>6.39</v>
      </c>
      <c r="Y715" s="2">
        <v>-10.94</v>
      </c>
      <c r="Z715" s="2">
        <v>-7.39</v>
      </c>
    </row>
    <row r="716" spans="1:26" x14ac:dyDescent="0.25">
      <c r="A716" s="1" t="s">
        <v>3137</v>
      </c>
      <c r="B716" s="1" t="s">
        <v>3138</v>
      </c>
      <c r="C716" s="1" t="s">
        <v>45</v>
      </c>
      <c r="D716" s="1" t="s">
        <v>32</v>
      </c>
      <c r="E716" s="1" t="s">
        <v>311</v>
      </c>
      <c r="F716" s="1" t="s">
        <v>3139</v>
      </c>
      <c r="G716" s="1" t="s">
        <v>12480</v>
      </c>
      <c r="H716" s="1" t="s">
        <v>3140</v>
      </c>
      <c r="I716" s="2">
        <v>74.41</v>
      </c>
      <c r="J716" s="2">
        <v>-1.52</v>
      </c>
      <c r="K716" s="2">
        <v>-1.92</v>
      </c>
      <c r="L716" s="2">
        <v>-0.24</v>
      </c>
      <c r="M716" s="4">
        <f t="shared" si="66"/>
        <v>-38.755208333333336</v>
      </c>
      <c r="N716" s="4">
        <f t="shared" si="67"/>
        <v>-310.04166666666669</v>
      </c>
      <c r="O716" s="5">
        <f t="shared" si="68"/>
        <v>0.26315789473684204</v>
      </c>
      <c r="P716" s="5">
        <f t="shared" si="69"/>
        <v>-0.875</v>
      </c>
      <c r="Q716" s="4">
        <f t="shared" si="70"/>
        <v>-1.4726979166666669</v>
      </c>
      <c r="R716" s="4">
        <f t="shared" si="71"/>
        <v>3.5433333333333334</v>
      </c>
      <c r="S716" s="4">
        <v>167.94</v>
      </c>
      <c r="T716" s="2"/>
      <c r="U716" s="2">
        <v>183.58</v>
      </c>
      <c r="V716" s="2">
        <v>35.42</v>
      </c>
      <c r="W716" s="2">
        <v>-4.66</v>
      </c>
      <c r="X716" s="2">
        <v>-23.12</v>
      </c>
      <c r="Y716" s="2">
        <v>2.85</v>
      </c>
      <c r="Z716" s="2">
        <v>3.91</v>
      </c>
    </row>
    <row r="717" spans="1:26" x14ac:dyDescent="0.25">
      <c r="A717" s="1" t="s">
        <v>3141</v>
      </c>
      <c r="B717" s="1" t="s">
        <v>3142</v>
      </c>
      <c r="C717" s="1" t="s">
        <v>31</v>
      </c>
      <c r="D717" s="1" t="s">
        <v>38</v>
      </c>
      <c r="E717" s="1" t="s">
        <v>189</v>
      </c>
      <c r="F717" s="1" t="s">
        <v>3143</v>
      </c>
      <c r="G717" s="1" t="s">
        <v>12480</v>
      </c>
      <c r="H717" s="1" t="s">
        <v>3144</v>
      </c>
      <c r="I717" s="2">
        <v>35.74</v>
      </c>
      <c r="J717" s="2">
        <v>2.25</v>
      </c>
      <c r="K717" s="2">
        <v>3.44</v>
      </c>
      <c r="L717" s="2">
        <v>4.21</v>
      </c>
      <c r="M717" s="4">
        <f t="shared" si="66"/>
        <v>10.38953488372093</v>
      </c>
      <c r="N717" s="4">
        <f t="shared" si="67"/>
        <v>8.4893111638954881</v>
      </c>
      <c r="O717" s="5">
        <f t="shared" si="68"/>
        <v>0.52888888888888896</v>
      </c>
      <c r="P717" s="5">
        <f t="shared" si="69"/>
        <v>0.22383720930232553</v>
      </c>
      <c r="Q717" s="4">
        <f t="shared" si="70"/>
        <v>0.19644078561657216</v>
      </c>
      <c r="R717" s="4">
        <f t="shared" si="71"/>
        <v>0.37926273251688941</v>
      </c>
      <c r="S717" s="4" t="s">
        <v>12518</v>
      </c>
      <c r="T717" s="2">
        <v>0.37</v>
      </c>
      <c r="U717" s="2">
        <v>43.83</v>
      </c>
      <c r="V717" s="2">
        <v>22.2</v>
      </c>
      <c r="W717" s="2">
        <v>-8.2799999999999994</v>
      </c>
      <c r="X717" s="2">
        <v>-15.67</v>
      </c>
      <c r="Y717" s="2">
        <v>-13.71</v>
      </c>
      <c r="Z717" s="2">
        <v>-15.63</v>
      </c>
    </row>
    <row r="718" spans="1:26" x14ac:dyDescent="0.25">
      <c r="A718" s="1" t="s">
        <v>3146</v>
      </c>
      <c r="B718" s="1" t="s">
        <v>3147</v>
      </c>
      <c r="C718" s="1" t="s">
        <v>45</v>
      </c>
      <c r="D718" s="1" t="s">
        <v>32</v>
      </c>
      <c r="E718" s="1" t="s">
        <v>3149</v>
      </c>
      <c r="F718" s="1" t="s">
        <v>3148</v>
      </c>
      <c r="G718" s="1" t="s">
        <v>12496</v>
      </c>
      <c r="H718" s="1" t="s">
        <v>3150</v>
      </c>
      <c r="I718" s="2">
        <v>76.209999999999994</v>
      </c>
      <c r="J718" s="2">
        <v>3.81</v>
      </c>
      <c r="K718" s="2">
        <v>4.1399999999999997</v>
      </c>
      <c r="L718" s="2">
        <v>4.47</v>
      </c>
      <c r="M718" s="4">
        <f t="shared" si="66"/>
        <v>18.408212560386474</v>
      </c>
      <c r="N718" s="4">
        <f t="shared" si="67"/>
        <v>17.049217002237135</v>
      </c>
      <c r="O718" s="5">
        <f t="shared" si="68"/>
        <v>8.6614173228346303E-2</v>
      </c>
      <c r="P718" s="5">
        <f t="shared" si="69"/>
        <v>7.9710144927536364E-2</v>
      </c>
      <c r="Q718" s="4">
        <f t="shared" si="70"/>
        <v>2.1253118137900784</v>
      </c>
      <c r="R718" s="4">
        <f t="shared" si="71"/>
        <v>2.1389017693715644</v>
      </c>
      <c r="S718" s="4">
        <v>5.3</v>
      </c>
      <c r="T718" s="2">
        <v>0.87</v>
      </c>
      <c r="U718" s="2">
        <v>86.78</v>
      </c>
      <c r="V718" s="2">
        <v>53.19</v>
      </c>
      <c r="W718" s="2">
        <v>-4.04</v>
      </c>
      <c r="X718" s="2">
        <v>-12.18</v>
      </c>
      <c r="Y718" s="2">
        <v>-2.61</v>
      </c>
      <c r="Z718" s="2">
        <v>-1.06</v>
      </c>
    </row>
    <row r="719" spans="1:26" x14ac:dyDescent="0.25">
      <c r="A719" s="1" t="s">
        <v>3151</v>
      </c>
      <c r="B719" s="1" t="s">
        <v>3152</v>
      </c>
      <c r="C719" s="1" t="s">
        <v>45</v>
      </c>
      <c r="D719" s="1" t="s">
        <v>32</v>
      </c>
      <c r="E719" s="1" t="s">
        <v>248</v>
      </c>
      <c r="F719" s="1" t="s">
        <v>3153</v>
      </c>
      <c r="G719" s="1" t="s">
        <v>12480</v>
      </c>
      <c r="H719" s="1" t="s">
        <v>3154</v>
      </c>
      <c r="I719" s="2">
        <v>48.42</v>
      </c>
      <c r="J719" s="2">
        <v>0.87</v>
      </c>
      <c r="K719" s="2">
        <v>1.32</v>
      </c>
      <c r="L719" s="2">
        <v>1.76</v>
      </c>
      <c r="M719" s="4">
        <f t="shared" si="66"/>
        <v>36.68181818181818</v>
      </c>
      <c r="N719" s="4">
        <f t="shared" si="67"/>
        <v>27.511363636363637</v>
      </c>
      <c r="O719" s="5">
        <f t="shared" si="68"/>
        <v>0.51724137931034497</v>
      </c>
      <c r="P719" s="5">
        <f t="shared" si="69"/>
        <v>0.33333333333333326</v>
      </c>
      <c r="Q719" s="4">
        <f t="shared" si="70"/>
        <v>0.70918181818181791</v>
      </c>
      <c r="R719" s="4">
        <f t="shared" si="71"/>
        <v>0.82534090909090918</v>
      </c>
      <c r="S719" s="4">
        <v>18.670000000000002</v>
      </c>
      <c r="T719" s="2">
        <v>0.89</v>
      </c>
      <c r="U719" s="2">
        <v>96.83</v>
      </c>
      <c r="V719" s="2">
        <v>44.63</v>
      </c>
      <c r="W719" s="2">
        <v>7.2</v>
      </c>
      <c r="X719" s="2">
        <v>-4.9800000000000004</v>
      </c>
      <c r="Y719" s="2">
        <v>-24.05</v>
      </c>
      <c r="Z719" s="2">
        <v>-27.99</v>
      </c>
    </row>
    <row r="720" spans="1:26" x14ac:dyDescent="0.25">
      <c r="A720" s="1" t="s">
        <v>3156</v>
      </c>
      <c r="B720" s="1" t="s">
        <v>3157</v>
      </c>
      <c r="C720" s="1" t="s">
        <v>45</v>
      </c>
      <c r="D720" s="1" t="s">
        <v>32</v>
      </c>
      <c r="E720" s="1" t="s">
        <v>2203</v>
      </c>
      <c r="F720" s="1" t="s">
        <v>3158</v>
      </c>
      <c r="G720" s="1" t="s">
        <v>12480</v>
      </c>
      <c r="H720" s="1" t="s">
        <v>12628</v>
      </c>
      <c r="I720" s="2">
        <v>80.22</v>
      </c>
      <c r="J720" s="2">
        <v>5.14</v>
      </c>
      <c r="K720" s="2">
        <v>5.19</v>
      </c>
      <c r="L720" s="2">
        <v>5.47</v>
      </c>
      <c r="M720" s="4">
        <f t="shared" si="66"/>
        <v>15.456647398843929</v>
      </c>
      <c r="N720" s="4">
        <f t="shared" si="67"/>
        <v>14.6654478976234</v>
      </c>
      <c r="O720" s="5">
        <f t="shared" si="68"/>
        <v>9.7276264591441564E-3</v>
      </c>
      <c r="P720" s="5">
        <f t="shared" si="69"/>
        <v>5.3949903660886145E-2</v>
      </c>
      <c r="Q720" s="4">
        <f t="shared" si="70"/>
        <v>15.889433526011253</v>
      </c>
      <c r="R720" s="4">
        <f t="shared" si="71"/>
        <v>2.7183455210237746</v>
      </c>
      <c r="S720" s="4">
        <v>2.1800000000000002</v>
      </c>
      <c r="T720" s="2">
        <v>0.87</v>
      </c>
      <c r="U720" s="2">
        <v>80.22</v>
      </c>
      <c r="V720" s="2">
        <v>56.51</v>
      </c>
      <c r="W720" s="2">
        <v>0.54</v>
      </c>
      <c r="X720" s="2">
        <v>0.75</v>
      </c>
      <c r="Y720" s="2">
        <v>4.17</v>
      </c>
      <c r="Z720" s="2">
        <v>4.5999999999999996</v>
      </c>
    </row>
    <row r="721" spans="1:26" x14ac:dyDescent="0.25">
      <c r="A721" s="1" t="s">
        <v>3159</v>
      </c>
      <c r="B721" s="1" t="s">
        <v>3160</v>
      </c>
      <c r="C721" s="1" t="s">
        <v>31</v>
      </c>
      <c r="D721" s="1" t="s">
        <v>32</v>
      </c>
      <c r="E721" s="1" t="s">
        <v>1607</v>
      </c>
      <c r="F721" s="1" t="s">
        <v>3161</v>
      </c>
      <c r="G721" s="1" t="s">
        <v>12490</v>
      </c>
      <c r="H721" s="1" t="s">
        <v>506</v>
      </c>
      <c r="I721" s="2">
        <v>88.144999999999996</v>
      </c>
      <c r="J721" s="2">
        <v>3.01</v>
      </c>
      <c r="K721" s="2"/>
      <c r="L721" s="2"/>
      <c r="M721" s="4" t="e">
        <f t="shared" si="66"/>
        <v>#DIV/0!</v>
      </c>
      <c r="N721" s="4" t="e">
        <f t="shared" si="67"/>
        <v>#DIV/0!</v>
      </c>
      <c r="O721" s="5">
        <f t="shared" si="68"/>
        <v>-1</v>
      </c>
      <c r="P721" s="5" t="e">
        <f t="shared" si="69"/>
        <v>#DIV/0!</v>
      </c>
      <c r="Q721" s="4" t="e">
        <f t="shared" si="70"/>
        <v>#DIV/0!</v>
      </c>
      <c r="R721" s="4" t="e">
        <f t="shared" si="71"/>
        <v>#DIV/0!</v>
      </c>
      <c r="S721" s="4">
        <v>-7.69</v>
      </c>
      <c r="T721" s="2">
        <v>0.18</v>
      </c>
      <c r="U721" s="2">
        <v>111.15</v>
      </c>
      <c r="V721" s="2">
        <v>69.72</v>
      </c>
      <c r="W721" s="2">
        <v>-11.33</v>
      </c>
      <c r="X721" s="2">
        <v>-18.16</v>
      </c>
      <c r="Y721" s="2">
        <v>6.58</v>
      </c>
      <c r="Z721" s="2">
        <v>9.11</v>
      </c>
    </row>
    <row r="722" spans="1:26" x14ac:dyDescent="0.25">
      <c r="A722" s="1" t="s">
        <v>3162</v>
      </c>
      <c r="B722" s="1" t="s">
        <v>3163</v>
      </c>
      <c r="C722" s="1" t="s">
        <v>45</v>
      </c>
      <c r="D722" s="1" t="s">
        <v>94</v>
      </c>
      <c r="E722" s="1" t="s">
        <v>1055</v>
      </c>
      <c r="F722" s="1" t="s">
        <v>3164</v>
      </c>
      <c r="G722" s="1" t="s">
        <v>12480</v>
      </c>
      <c r="H722" s="1" t="s">
        <v>3165</v>
      </c>
      <c r="I722" s="2">
        <v>16.75</v>
      </c>
      <c r="J722" s="2">
        <v>-1.45</v>
      </c>
      <c r="K722" s="2">
        <v>-0.13</v>
      </c>
      <c r="L722" s="2">
        <v>-0.5</v>
      </c>
      <c r="M722" s="4">
        <f t="shared" si="66"/>
        <v>-128.84615384615384</v>
      </c>
      <c r="N722" s="4">
        <f t="shared" si="67"/>
        <v>-33.5</v>
      </c>
      <c r="O722" s="5">
        <f t="shared" si="68"/>
        <v>-0.91034482758620694</v>
      </c>
      <c r="P722" s="5">
        <f t="shared" si="69"/>
        <v>2.8461538461538458</v>
      </c>
      <c r="Q722" s="4">
        <f t="shared" si="70"/>
        <v>1.4153554778554776</v>
      </c>
      <c r="R722" s="4">
        <f t="shared" si="71"/>
        <v>-0.11770270270270272</v>
      </c>
      <c r="S722" s="4">
        <v>-21.28</v>
      </c>
      <c r="T722" s="2">
        <v>1.31</v>
      </c>
      <c r="U722" s="2">
        <v>33.58</v>
      </c>
      <c r="V722" s="2">
        <v>6.76</v>
      </c>
      <c r="W722" s="2">
        <v>-2.73</v>
      </c>
      <c r="X722" s="2">
        <v>-20.309999999999999</v>
      </c>
      <c r="Y722" s="2">
        <v>-26.89</v>
      </c>
      <c r="Z722" s="2">
        <v>-29.53</v>
      </c>
    </row>
    <row r="723" spans="1:26" x14ac:dyDescent="0.25">
      <c r="A723" s="1" t="s">
        <v>3167</v>
      </c>
      <c r="B723" s="1" t="s">
        <v>3168</v>
      </c>
      <c r="C723" s="1" t="s">
        <v>16</v>
      </c>
      <c r="D723" s="1" t="s">
        <v>2417</v>
      </c>
      <c r="E723" s="1" t="s">
        <v>2418</v>
      </c>
      <c r="F723" s="1" t="s">
        <v>3169</v>
      </c>
      <c r="G723" s="1" t="s">
        <v>12480</v>
      </c>
      <c r="H723" s="1" t="s">
        <v>366</v>
      </c>
      <c r="I723" s="2">
        <v>352.94</v>
      </c>
      <c r="J723" s="2">
        <v>19.399999999999999</v>
      </c>
      <c r="K723" s="2">
        <v>20.84</v>
      </c>
      <c r="L723" s="2">
        <v>23.91</v>
      </c>
      <c r="M723" s="4">
        <f t="shared" si="66"/>
        <v>16.935700575815741</v>
      </c>
      <c r="N723" s="4">
        <f t="shared" si="67"/>
        <v>14.761187787536596</v>
      </c>
      <c r="O723" s="5">
        <f t="shared" si="68"/>
        <v>7.4226804123711521E-2</v>
      </c>
      <c r="P723" s="5">
        <f t="shared" si="69"/>
        <v>0.14731285988483678</v>
      </c>
      <c r="Q723" s="4">
        <f t="shared" si="70"/>
        <v>2.2816152164640595</v>
      </c>
      <c r="R723" s="4">
        <f t="shared" si="71"/>
        <v>1.0020298159357095</v>
      </c>
      <c r="S723" s="4">
        <v>0.33</v>
      </c>
      <c r="T723" s="2">
        <v>0.91</v>
      </c>
      <c r="U723" s="2">
        <v>435.11</v>
      </c>
      <c r="V723" s="2">
        <v>295.41000000000003</v>
      </c>
      <c r="W723" s="2">
        <v>-10.36</v>
      </c>
      <c r="X723" s="2">
        <v>-12.14</v>
      </c>
      <c r="Y723" s="2">
        <v>6.36</v>
      </c>
      <c r="Z723" s="2">
        <v>10.34</v>
      </c>
    </row>
    <row r="724" spans="1:26" x14ac:dyDescent="0.25">
      <c r="A724" s="1" t="s">
        <v>3170</v>
      </c>
      <c r="B724" s="1" t="s">
        <v>3171</v>
      </c>
      <c r="C724" s="1" t="s">
        <v>31</v>
      </c>
      <c r="D724" s="1" t="s">
        <v>18</v>
      </c>
      <c r="E724" s="1" t="s">
        <v>74</v>
      </c>
      <c r="F724" s="1" t="s">
        <v>3172</v>
      </c>
      <c r="G724" s="1" t="s">
        <v>12502</v>
      </c>
      <c r="H724" s="1" t="s">
        <v>3173</v>
      </c>
      <c r="I724" s="2">
        <v>25.74</v>
      </c>
      <c r="J724" s="2">
        <v>1.66</v>
      </c>
      <c r="K724" s="2">
        <v>3.48</v>
      </c>
      <c r="L724" s="2">
        <v>1.95</v>
      </c>
      <c r="M724" s="4">
        <f t="shared" si="66"/>
        <v>7.3965517241379306</v>
      </c>
      <c r="N724" s="4">
        <f t="shared" si="67"/>
        <v>13.2</v>
      </c>
      <c r="O724" s="5">
        <f t="shared" si="68"/>
        <v>1.096385542168675</v>
      </c>
      <c r="P724" s="5">
        <f t="shared" si="69"/>
        <v>-0.43965517241379315</v>
      </c>
      <c r="Q724" s="4">
        <f t="shared" si="70"/>
        <v>6.746305418719209E-2</v>
      </c>
      <c r="R724" s="4">
        <f t="shared" si="71"/>
        <v>-0.30023529411764699</v>
      </c>
      <c r="S724" s="4">
        <v>5.12</v>
      </c>
      <c r="T724" s="2">
        <v>0.8</v>
      </c>
      <c r="U724" s="2">
        <v>44.49</v>
      </c>
      <c r="V724" s="2">
        <v>25.15</v>
      </c>
      <c r="W724" s="2">
        <v>-0.54</v>
      </c>
      <c r="X724" s="2">
        <v>-20.149999999999999</v>
      </c>
      <c r="Y724" s="2">
        <v>-13.8</v>
      </c>
      <c r="Z724" s="2">
        <v>-10.63</v>
      </c>
    </row>
    <row r="725" spans="1:26" x14ac:dyDescent="0.25">
      <c r="A725" s="1" t="s">
        <v>3174</v>
      </c>
      <c r="B725" s="1" t="s">
        <v>3175</v>
      </c>
      <c r="C725" s="1" t="s">
        <v>16</v>
      </c>
      <c r="D725" s="1" t="s">
        <v>38</v>
      </c>
      <c r="E725" s="1" t="s">
        <v>765</v>
      </c>
      <c r="F725" s="1" t="s">
        <v>3176</v>
      </c>
      <c r="G725" s="1" t="s">
        <v>12480</v>
      </c>
      <c r="H725" s="1" t="s">
        <v>1746</v>
      </c>
      <c r="I725" s="2">
        <v>62.69</v>
      </c>
      <c r="J725" s="2">
        <v>4.93</v>
      </c>
      <c r="K725" s="2">
        <v>4.82</v>
      </c>
      <c r="L725" s="2">
        <v>5.05</v>
      </c>
      <c r="M725" s="4">
        <f t="shared" si="66"/>
        <v>13.00622406639004</v>
      </c>
      <c r="N725" s="4">
        <f t="shared" si="67"/>
        <v>12.413861386138613</v>
      </c>
      <c r="O725" s="5">
        <f t="shared" si="68"/>
        <v>-2.2312373225152005E-2</v>
      </c>
      <c r="P725" s="5">
        <f t="shared" si="69"/>
        <v>4.7717842323651283E-2</v>
      </c>
      <c r="Q725" s="4">
        <f t="shared" si="70"/>
        <v>-5.8291531497548412</v>
      </c>
      <c r="R725" s="4">
        <f t="shared" si="71"/>
        <v>2.6015135600516666</v>
      </c>
      <c r="S725" s="4">
        <v>4.8600000000000003</v>
      </c>
      <c r="T725" s="2">
        <v>0.79</v>
      </c>
      <c r="U725" s="2">
        <v>67.73</v>
      </c>
      <c r="V725" s="2">
        <v>53.18</v>
      </c>
      <c r="W725" s="2">
        <v>0.13</v>
      </c>
      <c r="X725" s="2">
        <v>-2.31</v>
      </c>
      <c r="Y725" s="2">
        <v>-3.32</v>
      </c>
      <c r="Z725" s="2">
        <v>-6.04</v>
      </c>
    </row>
    <row r="726" spans="1:26" x14ac:dyDescent="0.25">
      <c r="A726" s="1" t="s">
        <v>3178</v>
      </c>
      <c r="B726" s="1" t="s">
        <v>3179</v>
      </c>
      <c r="C726" s="1" t="s">
        <v>16</v>
      </c>
      <c r="D726" s="1" t="s">
        <v>25</v>
      </c>
      <c r="E726" s="1" t="s">
        <v>26</v>
      </c>
      <c r="F726" s="1" t="s">
        <v>3180</v>
      </c>
      <c r="G726" s="1" t="s">
        <v>12480</v>
      </c>
      <c r="H726" s="1" t="s">
        <v>3181</v>
      </c>
      <c r="I726" s="2">
        <v>25.19</v>
      </c>
      <c r="J726" s="2">
        <v>1.92</v>
      </c>
      <c r="K726" s="2">
        <v>2.0499999999999998</v>
      </c>
      <c r="L726" s="2">
        <v>2.39</v>
      </c>
      <c r="M726" s="4">
        <f t="shared" si="66"/>
        <v>12.287804878048782</v>
      </c>
      <c r="N726" s="4">
        <f t="shared" si="67"/>
        <v>10.539748953974895</v>
      </c>
      <c r="O726" s="5">
        <f t="shared" si="68"/>
        <v>6.7708333333333259E-2</v>
      </c>
      <c r="P726" s="5">
        <f t="shared" si="69"/>
        <v>0.16585365853658551</v>
      </c>
      <c r="Q726" s="4">
        <f t="shared" si="70"/>
        <v>1.8148142589118221</v>
      </c>
      <c r="R726" s="4">
        <f t="shared" si="71"/>
        <v>0.63548486340142696</v>
      </c>
      <c r="S726" s="4">
        <v>15.19</v>
      </c>
      <c r="T726" s="2">
        <v>1.48</v>
      </c>
      <c r="U726" s="2">
        <v>26.63</v>
      </c>
      <c r="V726" s="2">
        <v>7.7</v>
      </c>
      <c r="W726" s="2">
        <v>-3.34</v>
      </c>
      <c r="X726" s="2">
        <v>1.98</v>
      </c>
      <c r="Y726" s="2">
        <v>37.049999999999997</v>
      </c>
      <c r="Z726" s="2">
        <v>33.630000000000003</v>
      </c>
    </row>
    <row r="727" spans="1:26" x14ac:dyDescent="0.25">
      <c r="A727" s="1" t="s">
        <v>3183</v>
      </c>
      <c r="B727" s="1" t="s">
        <v>3184</v>
      </c>
      <c r="C727" s="1" t="s">
        <v>16</v>
      </c>
      <c r="D727" s="1" t="s">
        <v>88</v>
      </c>
      <c r="E727" s="1" t="s">
        <v>1113</v>
      </c>
      <c r="F727" s="1" t="s">
        <v>3185</v>
      </c>
      <c r="G727" s="1" t="s">
        <v>12490</v>
      </c>
      <c r="H727" s="1" t="s">
        <v>1904</v>
      </c>
      <c r="I727" s="2">
        <v>266.8</v>
      </c>
      <c r="J727" s="2">
        <v>8.41</v>
      </c>
      <c r="K727" s="2">
        <v>9.9499999999999993</v>
      </c>
      <c r="L727" s="2">
        <v>11.95</v>
      </c>
      <c r="M727" s="4">
        <f t="shared" si="66"/>
        <v>26.814070351758797</v>
      </c>
      <c r="N727" s="4">
        <f t="shared" si="67"/>
        <v>22.326359832635987</v>
      </c>
      <c r="O727" s="5">
        <f t="shared" si="68"/>
        <v>0.18311533888228282</v>
      </c>
      <c r="P727" s="5">
        <f t="shared" si="69"/>
        <v>0.20100502512562812</v>
      </c>
      <c r="Q727" s="4">
        <f t="shared" si="70"/>
        <v>1.464326828949946</v>
      </c>
      <c r="R727" s="4">
        <f t="shared" si="71"/>
        <v>1.1107364016736405</v>
      </c>
      <c r="S727" s="4">
        <v>10.78</v>
      </c>
      <c r="T727" s="2">
        <v>0.81</v>
      </c>
      <c r="U727" s="2">
        <v>336.43</v>
      </c>
      <c r="V727" s="2">
        <v>231.82</v>
      </c>
      <c r="W727" s="2">
        <v>-9.65</v>
      </c>
      <c r="X727" s="2">
        <v>-11.83</v>
      </c>
      <c r="Y727" s="2">
        <v>-15.72</v>
      </c>
      <c r="Z727" s="2">
        <v>-9.11</v>
      </c>
    </row>
    <row r="728" spans="1:26" x14ac:dyDescent="0.25">
      <c r="A728" s="1" t="s">
        <v>3187</v>
      </c>
      <c r="B728" s="1" t="s">
        <v>3188</v>
      </c>
      <c r="C728" s="1" t="s">
        <v>45</v>
      </c>
      <c r="D728" s="1" t="s">
        <v>38</v>
      </c>
      <c r="E728" s="1" t="s">
        <v>101</v>
      </c>
      <c r="F728" s="1" t="s">
        <v>3189</v>
      </c>
      <c r="G728" s="1" t="s">
        <v>12490</v>
      </c>
      <c r="H728" s="1" t="s">
        <v>3190</v>
      </c>
      <c r="I728" s="2">
        <v>22.07</v>
      </c>
      <c r="J728" s="2">
        <v>2.46</v>
      </c>
      <c r="K728" s="2">
        <v>2.37</v>
      </c>
      <c r="L728" s="2">
        <v>2.21</v>
      </c>
      <c r="M728" s="4">
        <f t="shared" si="66"/>
        <v>9.3122362869198305</v>
      </c>
      <c r="N728" s="4">
        <f t="shared" si="67"/>
        <v>9.9864253393665159</v>
      </c>
      <c r="O728" s="5">
        <f t="shared" si="68"/>
        <v>-3.6585365853658458E-2</v>
      </c>
      <c r="P728" s="5">
        <f t="shared" si="69"/>
        <v>-6.7510548523206815E-2</v>
      </c>
      <c r="Q728" s="4">
        <f t="shared" si="70"/>
        <v>-2.545344585091426</v>
      </c>
      <c r="R728" s="4">
        <f t="shared" si="71"/>
        <v>-1.4792392533936638</v>
      </c>
      <c r="S728" s="4">
        <v>14.77</v>
      </c>
      <c r="T728" s="2">
        <v>0.75</v>
      </c>
      <c r="U728" s="2">
        <v>23.72</v>
      </c>
      <c r="V728" s="2">
        <v>17.989999999999998</v>
      </c>
      <c r="W728" s="2">
        <v>-2.04</v>
      </c>
      <c r="X728" s="2">
        <v>-5.08</v>
      </c>
      <c r="Y728" s="2">
        <v>0.27</v>
      </c>
      <c r="Z728" s="2">
        <v>-0.36</v>
      </c>
    </row>
    <row r="729" spans="1:26" x14ac:dyDescent="0.25">
      <c r="A729" s="1" t="s">
        <v>3192</v>
      </c>
      <c r="B729" s="1" t="s">
        <v>3192</v>
      </c>
      <c r="C729" s="1" t="s">
        <v>45</v>
      </c>
      <c r="D729" s="1" t="s">
        <v>46</v>
      </c>
      <c r="E729" s="1" t="s">
        <v>683</v>
      </c>
      <c r="F729" s="1" t="s">
        <v>12629</v>
      </c>
      <c r="G729" s="1" t="s">
        <v>12480</v>
      </c>
      <c r="H729" s="1" t="s">
        <v>3193</v>
      </c>
      <c r="I729" s="2">
        <v>40.6</v>
      </c>
      <c r="J729" s="2">
        <v>1.61</v>
      </c>
      <c r="K729" s="2">
        <v>1.85</v>
      </c>
      <c r="L729" s="2">
        <v>2.08</v>
      </c>
      <c r="M729" s="4">
        <f t="shared" si="66"/>
        <v>21.945945945945947</v>
      </c>
      <c r="N729" s="4">
        <f t="shared" si="67"/>
        <v>19.51923076923077</v>
      </c>
      <c r="O729" s="5">
        <f t="shared" si="68"/>
        <v>0.14906832298136652</v>
      </c>
      <c r="P729" s="5">
        <f t="shared" si="69"/>
        <v>0.12432432432432439</v>
      </c>
      <c r="Q729" s="4">
        <f t="shared" si="70"/>
        <v>1.4722072072072065</v>
      </c>
      <c r="R729" s="4">
        <f t="shared" si="71"/>
        <v>1.5700250836120395</v>
      </c>
      <c r="S729" s="4">
        <v>-3.08</v>
      </c>
      <c r="T729" s="2">
        <v>1.27</v>
      </c>
      <c r="U729" s="2">
        <v>43.17</v>
      </c>
      <c r="V729" s="2">
        <v>26.69</v>
      </c>
      <c r="W729" s="2">
        <v>-5.95</v>
      </c>
      <c r="X729" s="2">
        <v>-0.28999999999999998</v>
      </c>
      <c r="Y729" s="2">
        <v>9.1999999999999993</v>
      </c>
      <c r="Z729" s="2" t="s">
        <v>12480</v>
      </c>
    </row>
    <row r="730" spans="1:26" x14ac:dyDescent="0.25">
      <c r="A730" s="1" t="s">
        <v>3195</v>
      </c>
      <c r="B730" s="1" t="s">
        <v>3196</v>
      </c>
      <c r="C730" s="1" t="s">
        <v>45</v>
      </c>
      <c r="D730" s="1" t="s">
        <v>147</v>
      </c>
      <c r="E730" s="1" t="s">
        <v>1931</v>
      </c>
      <c r="F730" s="1" t="s">
        <v>3197</v>
      </c>
      <c r="G730" s="1" t="s">
        <v>12508</v>
      </c>
      <c r="H730" s="1" t="s">
        <v>3198</v>
      </c>
      <c r="I730" s="2">
        <v>200.77</v>
      </c>
      <c r="J730" s="2">
        <v>4.4000000000000004</v>
      </c>
      <c r="K730" s="2">
        <v>4.87</v>
      </c>
      <c r="L730" s="2">
        <v>5.4</v>
      </c>
      <c r="M730" s="4">
        <f t="shared" si="66"/>
        <v>41.225872689938399</v>
      </c>
      <c r="N730" s="4">
        <f t="shared" si="67"/>
        <v>37.17962962962963</v>
      </c>
      <c r="O730" s="5">
        <f t="shared" si="68"/>
        <v>0.1068181818181817</v>
      </c>
      <c r="P730" s="5">
        <f t="shared" si="69"/>
        <v>0.10882956878850103</v>
      </c>
      <c r="Q730" s="4">
        <f t="shared" si="70"/>
        <v>3.859443400760195</v>
      </c>
      <c r="R730" s="4">
        <f t="shared" si="71"/>
        <v>3.4163169112508736</v>
      </c>
      <c r="S730" s="4">
        <v>7.75</v>
      </c>
      <c r="T730" s="2">
        <v>0.95</v>
      </c>
      <c r="U730" s="2">
        <v>227.66</v>
      </c>
      <c r="V730" s="2">
        <v>182.04</v>
      </c>
      <c r="W730" s="2">
        <v>-0.41</v>
      </c>
      <c r="X730" s="2">
        <v>3.09</v>
      </c>
      <c r="Y730" s="2">
        <v>6.54</v>
      </c>
      <c r="Z730" s="2">
        <v>6.75</v>
      </c>
    </row>
    <row r="731" spans="1:26" x14ac:dyDescent="0.25">
      <c r="A731" s="1" t="s">
        <v>3199</v>
      </c>
      <c r="B731" s="1" t="s">
        <v>3200</v>
      </c>
      <c r="C731" s="1" t="s">
        <v>45</v>
      </c>
      <c r="D731" s="1" t="s">
        <v>38</v>
      </c>
      <c r="E731" s="1" t="s">
        <v>119</v>
      </c>
      <c r="F731" s="1" t="s">
        <v>3201</v>
      </c>
      <c r="G731" s="1" t="s">
        <v>12480</v>
      </c>
      <c r="H731" s="1" t="s">
        <v>1905</v>
      </c>
      <c r="I731" s="2">
        <v>59.18</v>
      </c>
      <c r="J731" s="2">
        <v>5.43</v>
      </c>
      <c r="K731" s="2">
        <v>5.78</v>
      </c>
      <c r="L731" s="2">
        <v>6.02</v>
      </c>
      <c r="M731" s="4">
        <f t="shared" si="66"/>
        <v>10.238754325259515</v>
      </c>
      <c r="N731" s="4">
        <f t="shared" si="67"/>
        <v>9.8305647840531574</v>
      </c>
      <c r="O731" s="5">
        <f t="shared" si="68"/>
        <v>6.445672191528562E-2</v>
      </c>
      <c r="P731" s="5">
        <f t="shared" si="69"/>
        <v>4.1522491349480939E-2</v>
      </c>
      <c r="Q731" s="4">
        <f t="shared" si="70"/>
        <v>1.5884695996045435</v>
      </c>
      <c r="R731" s="4">
        <f t="shared" si="71"/>
        <v>2.3675276854928038</v>
      </c>
      <c r="S731" s="4">
        <v>8.86</v>
      </c>
      <c r="T731" s="2">
        <v>0.56999999999999995</v>
      </c>
      <c r="U731" s="2">
        <v>65.489999999999995</v>
      </c>
      <c r="V731" s="2">
        <v>45.64</v>
      </c>
      <c r="W731" s="2">
        <v>-3.83</v>
      </c>
      <c r="X731" s="2">
        <v>-8.56</v>
      </c>
      <c r="Y731" s="2">
        <v>-1.53</v>
      </c>
      <c r="Z731" s="2">
        <v>4.74</v>
      </c>
    </row>
    <row r="732" spans="1:26" x14ac:dyDescent="0.25">
      <c r="A732" s="1" t="s">
        <v>3202</v>
      </c>
      <c r="B732" s="1" t="s">
        <v>3203</v>
      </c>
      <c r="C732" s="1" t="s">
        <v>16</v>
      </c>
      <c r="D732" s="1" t="s">
        <v>305</v>
      </c>
      <c r="E732" s="1" t="s">
        <v>306</v>
      </c>
      <c r="F732" s="1" t="s">
        <v>3204</v>
      </c>
      <c r="G732" s="1" t="s">
        <v>12480</v>
      </c>
      <c r="H732" s="1" t="s">
        <v>3205</v>
      </c>
      <c r="I732" s="2">
        <v>6.38</v>
      </c>
      <c r="J732" s="2">
        <v>-0.2</v>
      </c>
      <c r="K732" s="2">
        <v>0.04</v>
      </c>
      <c r="L732" s="2">
        <v>0.1</v>
      </c>
      <c r="M732" s="4">
        <f t="shared" si="66"/>
        <v>159.5</v>
      </c>
      <c r="N732" s="4">
        <f t="shared" si="67"/>
        <v>63.8</v>
      </c>
      <c r="O732" s="5">
        <f t="shared" si="68"/>
        <v>-1.2</v>
      </c>
      <c r="P732" s="5">
        <f t="shared" si="69"/>
        <v>1.5</v>
      </c>
      <c r="Q732" s="4">
        <f t="shared" si="70"/>
        <v>-1.3291666666666666</v>
      </c>
      <c r="R732" s="4">
        <f t="shared" si="71"/>
        <v>0.42533333333333334</v>
      </c>
      <c r="S732" s="4">
        <v>-3.37</v>
      </c>
      <c r="T732" s="2">
        <v>1.1399999999999999</v>
      </c>
      <c r="U732" s="2">
        <v>7.56</v>
      </c>
      <c r="V732" s="2">
        <v>3.39</v>
      </c>
      <c r="W732" s="2">
        <v>-11.27</v>
      </c>
      <c r="X732" s="2">
        <v>-7.54</v>
      </c>
      <c r="Y732" s="2">
        <v>3.24</v>
      </c>
      <c r="Z732" s="2">
        <v>10.76</v>
      </c>
    </row>
    <row r="733" spans="1:26" x14ac:dyDescent="0.25">
      <c r="A733" s="1" t="s">
        <v>3206</v>
      </c>
      <c r="B733" s="1" t="s">
        <v>3207</v>
      </c>
      <c r="C733" s="1" t="s">
        <v>31</v>
      </c>
      <c r="D733" s="1" t="s">
        <v>2417</v>
      </c>
      <c r="E733" s="1" t="s">
        <v>2418</v>
      </c>
      <c r="F733" s="1" t="s">
        <v>3208</v>
      </c>
      <c r="G733" s="1" t="s">
        <v>12480</v>
      </c>
      <c r="H733" s="1" t="s">
        <v>3209</v>
      </c>
      <c r="I733" s="2">
        <v>6.78</v>
      </c>
      <c r="J733" s="2">
        <v>1.37</v>
      </c>
      <c r="K733" s="2"/>
      <c r="L733" s="2"/>
      <c r="M733" s="4" t="e">
        <f t="shared" si="66"/>
        <v>#DIV/0!</v>
      </c>
      <c r="N733" s="4" t="e">
        <f t="shared" si="67"/>
        <v>#DIV/0!</v>
      </c>
      <c r="O733" s="5">
        <f t="shared" si="68"/>
        <v>-1</v>
      </c>
      <c r="P733" s="5" t="e">
        <f t="shared" si="69"/>
        <v>#DIV/0!</v>
      </c>
      <c r="Q733" s="4" t="e">
        <f t="shared" si="70"/>
        <v>#DIV/0!</v>
      </c>
      <c r="R733" s="4" t="e">
        <f t="shared" si="71"/>
        <v>#DIV/0!</v>
      </c>
      <c r="S733" s="4">
        <v>8.7200000000000006</v>
      </c>
      <c r="T733" s="2">
        <v>0.75</v>
      </c>
      <c r="U733" s="2">
        <v>8.35</v>
      </c>
      <c r="V733" s="2">
        <v>5.27</v>
      </c>
      <c r="W733" s="2">
        <v>-13.8</v>
      </c>
      <c r="X733" s="2">
        <v>-16.71</v>
      </c>
      <c r="Y733" s="2">
        <v>-13.85</v>
      </c>
      <c r="Z733" s="2">
        <v>-10.61</v>
      </c>
    </row>
    <row r="734" spans="1:26" x14ac:dyDescent="0.25">
      <c r="A734" s="1" t="s">
        <v>3210</v>
      </c>
      <c r="B734" s="1" t="s">
        <v>3211</v>
      </c>
      <c r="C734" s="1" t="s">
        <v>16</v>
      </c>
      <c r="D734" s="1" t="s">
        <v>94</v>
      </c>
      <c r="E734" s="1" t="s">
        <v>894</v>
      </c>
      <c r="F734" s="1" t="s">
        <v>3212</v>
      </c>
      <c r="G734" s="1" t="s">
        <v>12480</v>
      </c>
      <c r="H734" s="1" t="s">
        <v>3213</v>
      </c>
      <c r="I734" s="2">
        <v>31.18</v>
      </c>
      <c r="J734" s="2">
        <v>2.08</v>
      </c>
      <c r="K734" s="2">
        <v>1.89</v>
      </c>
      <c r="L734" s="2">
        <v>2.58</v>
      </c>
      <c r="M734" s="4">
        <f t="shared" si="66"/>
        <v>16.497354497354497</v>
      </c>
      <c r="N734" s="4">
        <f t="shared" si="67"/>
        <v>12.085271317829458</v>
      </c>
      <c r="O734" s="5">
        <f t="shared" si="68"/>
        <v>-9.1346153846153966E-2</v>
      </c>
      <c r="P734" s="5">
        <f t="shared" si="69"/>
        <v>0.36507936507936511</v>
      </c>
      <c r="Q734" s="4">
        <f t="shared" si="70"/>
        <v>-1.8060261765524896</v>
      </c>
      <c r="R734" s="4">
        <f t="shared" si="71"/>
        <v>0.33103134479271989</v>
      </c>
      <c r="S734" s="4">
        <v>40.07</v>
      </c>
      <c r="T734" s="2">
        <v>0.38</v>
      </c>
      <c r="U734" s="2">
        <v>31.71</v>
      </c>
      <c r="V734" s="2">
        <v>22.58</v>
      </c>
      <c r="W734" s="2">
        <v>-1.05</v>
      </c>
      <c r="X734" s="2">
        <v>2.2000000000000002</v>
      </c>
      <c r="Y734" s="2">
        <v>18.690000000000001</v>
      </c>
      <c r="Z734" s="2">
        <v>18.47</v>
      </c>
    </row>
    <row r="735" spans="1:26" x14ac:dyDescent="0.25">
      <c r="A735" s="1" t="s">
        <v>3214</v>
      </c>
      <c r="B735" s="1" t="s">
        <v>3215</v>
      </c>
      <c r="C735" s="1" t="s">
        <v>16</v>
      </c>
      <c r="D735" s="1" t="s">
        <v>38</v>
      </c>
      <c r="E735" s="1" t="s">
        <v>510</v>
      </c>
      <c r="F735" s="1" t="s">
        <v>3216</v>
      </c>
      <c r="G735" s="1" t="s">
        <v>12480</v>
      </c>
      <c r="H735" s="1" t="s">
        <v>3217</v>
      </c>
      <c r="I735" s="2">
        <v>39.89</v>
      </c>
      <c r="J735" s="2">
        <v>1.76</v>
      </c>
      <c r="K735" s="2">
        <v>1.99</v>
      </c>
      <c r="L735" s="2">
        <v>2.12</v>
      </c>
      <c r="M735" s="4">
        <f t="shared" si="66"/>
        <v>20.045226130653266</v>
      </c>
      <c r="N735" s="4">
        <f t="shared" si="67"/>
        <v>18.816037735849054</v>
      </c>
      <c r="O735" s="5">
        <f t="shared" si="68"/>
        <v>0.13068181818181812</v>
      </c>
      <c r="P735" s="5">
        <f t="shared" si="69"/>
        <v>6.5326633165829096E-2</v>
      </c>
      <c r="Q735" s="4">
        <f t="shared" si="70"/>
        <v>1.5338955647804244</v>
      </c>
      <c r="R735" s="4">
        <f t="shared" si="71"/>
        <v>2.8803011611030498</v>
      </c>
      <c r="S735" s="4">
        <v>60.79</v>
      </c>
      <c r="T735" s="2">
        <v>0.74</v>
      </c>
      <c r="U735" s="2">
        <v>41.14</v>
      </c>
      <c r="V735" s="2">
        <v>25.51</v>
      </c>
      <c r="W735" s="2">
        <v>-2.4500000000000002</v>
      </c>
      <c r="X735" s="2">
        <v>3.85</v>
      </c>
      <c r="Y735" s="2">
        <v>9.02</v>
      </c>
      <c r="Z735" s="2">
        <v>10.31</v>
      </c>
    </row>
    <row r="736" spans="1:26" x14ac:dyDescent="0.25">
      <c r="A736" s="1" t="s">
        <v>3219</v>
      </c>
      <c r="B736" s="1" t="s">
        <v>3220</v>
      </c>
      <c r="C736" s="1" t="s">
        <v>16</v>
      </c>
      <c r="D736" s="1" t="s">
        <v>354</v>
      </c>
      <c r="E736" s="1" t="s">
        <v>355</v>
      </c>
      <c r="F736" s="1" t="s">
        <v>3221</v>
      </c>
      <c r="G736" s="1" t="s">
        <v>12480</v>
      </c>
      <c r="H736" s="1" t="s">
        <v>3222</v>
      </c>
      <c r="I736" s="2">
        <v>30.01</v>
      </c>
      <c r="J736" s="2">
        <v>0.43</v>
      </c>
      <c r="K736" s="2">
        <v>0.71</v>
      </c>
      <c r="L736" s="2">
        <v>0.95</v>
      </c>
      <c r="M736" s="4">
        <f t="shared" si="66"/>
        <v>42.267605633802823</v>
      </c>
      <c r="N736" s="4">
        <f t="shared" si="67"/>
        <v>31.589473684210528</v>
      </c>
      <c r="O736" s="5">
        <f t="shared" si="68"/>
        <v>0.65116279069767447</v>
      </c>
      <c r="P736" s="5">
        <f t="shared" si="69"/>
        <v>0.3380281690140845</v>
      </c>
      <c r="Q736" s="4">
        <f t="shared" si="70"/>
        <v>0.64910965794768616</v>
      </c>
      <c r="R736" s="4">
        <f t="shared" si="71"/>
        <v>0.9345219298245615</v>
      </c>
      <c r="S736" s="4" t="s">
        <v>12844</v>
      </c>
      <c r="T736" s="2">
        <v>0.63</v>
      </c>
      <c r="U736" s="2">
        <v>31.88</v>
      </c>
      <c r="V736" s="2">
        <v>15.18</v>
      </c>
      <c r="W736" s="2">
        <v>-3.01</v>
      </c>
      <c r="X736" s="2">
        <v>0.44</v>
      </c>
      <c r="Y736" s="2">
        <v>13.67</v>
      </c>
      <c r="Z736" s="2">
        <v>18.850000000000001</v>
      </c>
    </row>
    <row r="737" spans="1:26" x14ac:dyDescent="0.25">
      <c r="A737" s="1" t="s">
        <v>3223</v>
      </c>
      <c r="B737" s="1" t="s">
        <v>3223</v>
      </c>
      <c r="C737" s="1" t="s">
        <v>16</v>
      </c>
      <c r="D737" s="1" t="s">
        <v>32</v>
      </c>
      <c r="E737" s="1" t="s">
        <v>33</v>
      </c>
      <c r="F737" s="1" t="s">
        <v>3224</v>
      </c>
      <c r="G737" s="1" t="s">
        <v>12480</v>
      </c>
      <c r="H737" s="1" t="s">
        <v>12515</v>
      </c>
      <c r="I737" s="2">
        <v>47.48</v>
      </c>
      <c r="J737" s="2">
        <v>2.23</v>
      </c>
      <c r="K737" s="2">
        <v>2.41</v>
      </c>
      <c r="L737" s="2">
        <v>2.71</v>
      </c>
      <c r="M737" s="4">
        <f t="shared" si="66"/>
        <v>19.701244813278006</v>
      </c>
      <c r="N737" s="4">
        <f t="shared" si="67"/>
        <v>17.520295202952028</v>
      </c>
      <c r="O737" s="5">
        <f t="shared" si="68"/>
        <v>8.0717488789237679E-2</v>
      </c>
      <c r="P737" s="5">
        <f t="shared" si="69"/>
        <v>0.12448132780082988</v>
      </c>
      <c r="Q737" s="4">
        <f t="shared" si="70"/>
        <v>2.4407653296449974</v>
      </c>
      <c r="R737" s="4">
        <f t="shared" si="71"/>
        <v>1.4074637146371463</v>
      </c>
      <c r="S737" s="4">
        <v>4.95</v>
      </c>
      <c r="T737" s="2">
        <v>0.88</v>
      </c>
      <c r="U737" s="2">
        <v>57.46</v>
      </c>
      <c r="V737" s="2">
        <v>34.96</v>
      </c>
      <c r="W737" s="2">
        <v>-8.6</v>
      </c>
      <c r="X737" s="2">
        <v>-14.57</v>
      </c>
      <c r="Y737" s="2">
        <v>7.59</v>
      </c>
      <c r="Z737" s="2">
        <v>10.75</v>
      </c>
    </row>
    <row r="738" spans="1:26" x14ac:dyDescent="0.25">
      <c r="A738" s="1" t="s">
        <v>3225</v>
      </c>
      <c r="B738" s="1" t="s">
        <v>3226</v>
      </c>
      <c r="C738" s="1" t="s">
        <v>45</v>
      </c>
      <c r="D738" s="1" t="s">
        <v>32</v>
      </c>
      <c r="E738" s="1" t="s">
        <v>248</v>
      </c>
      <c r="F738" s="1" t="s">
        <v>3227</v>
      </c>
      <c r="G738" s="1" t="s">
        <v>12480</v>
      </c>
      <c r="H738" s="1" t="s">
        <v>3228</v>
      </c>
      <c r="I738" s="2">
        <v>64.650000000000006</v>
      </c>
      <c r="J738" s="2">
        <v>5.28</v>
      </c>
      <c r="K738" s="2">
        <v>5.66</v>
      </c>
      <c r="L738" s="2">
        <v>6.18</v>
      </c>
      <c r="M738" s="4">
        <f t="shared" si="66"/>
        <v>11.422261484098941</v>
      </c>
      <c r="N738" s="4">
        <f t="shared" si="67"/>
        <v>10.461165048543691</v>
      </c>
      <c r="O738" s="5">
        <f t="shared" si="68"/>
        <v>7.1969696969697017E-2</v>
      </c>
      <c r="P738" s="5">
        <f t="shared" si="69"/>
        <v>9.1872791519434616E-2</v>
      </c>
      <c r="Q738" s="4">
        <f t="shared" si="70"/>
        <v>1.5870931746326939</v>
      </c>
      <c r="R738" s="4">
        <f t="shared" si="71"/>
        <v>1.1386575802837944</v>
      </c>
      <c r="S738" s="4">
        <v>6.95</v>
      </c>
      <c r="T738" s="2">
        <v>0.99</v>
      </c>
      <c r="U738" s="2">
        <v>86.7</v>
      </c>
      <c r="V738" s="2">
        <v>61.06</v>
      </c>
      <c r="W738" s="2">
        <v>1.81</v>
      </c>
      <c r="X738" s="2">
        <v>-13.34</v>
      </c>
      <c r="Y738" s="2">
        <v>-23.08</v>
      </c>
      <c r="Z738" s="2">
        <v>-22.11</v>
      </c>
    </row>
    <row r="739" spans="1:26" x14ac:dyDescent="0.25">
      <c r="A739" s="1" t="s">
        <v>3229</v>
      </c>
      <c r="B739" s="1" t="s">
        <v>3230</v>
      </c>
      <c r="C739" s="1" t="s">
        <v>31</v>
      </c>
      <c r="D739" s="1" t="s">
        <v>305</v>
      </c>
      <c r="E739" s="1" t="s">
        <v>306</v>
      </c>
      <c r="F739" s="1" t="s">
        <v>3231</v>
      </c>
      <c r="G739" s="1" t="s">
        <v>12480</v>
      </c>
      <c r="H739" s="1" t="s">
        <v>3232</v>
      </c>
      <c r="I739" s="2">
        <v>7.17</v>
      </c>
      <c r="J739" s="2">
        <v>-0.25</v>
      </c>
      <c r="K739" s="2">
        <v>0.82</v>
      </c>
      <c r="L739" s="2">
        <v>0.88</v>
      </c>
      <c r="M739" s="4">
        <f t="shared" si="66"/>
        <v>8.7439024390243905</v>
      </c>
      <c r="N739" s="4">
        <f t="shared" si="67"/>
        <v>8.1477272727272734</v>
      </c>
      <c r="O739" s="5">
        <f t="shared" si="68"/>
        <v>-4.2799999999999994</v>
      </c>
      <c r="P739" s="5">
        <f t="shared" si="69"/>
        <v>7.3170731707317138E-2</v>
      </c>
      <c r="Q739" s="4">
        <f t="shared" si="70"/>
        <v>-2.0429678595851382E-2</v>
      </c>
      <c r="R739" s="4">
        <f t="shared" si="71"/>
        <v>1.1135227272727264</v>
      </c>
      <c r="S739" s="4">
        <v>-48.22</v>
      </c>
      <c r="T739" s="2">
        <v>1.27</v>
      </c>
      <c r="U739" s="2">
        <v>9.17</v>
      </c>
      <c r="V739" s="2">
        <v>6.25</v>
      </c>
      <c r="W739" s="2">
        <v>-13.93</v>
      </c>
      <c r="X739" s="2">
        <v>-16.579999999999998</v>
      </c>
      <c r="Y739" s="2">
        <v>-8.19</v>
      </c>
      <c r="Z739" s="2">
        <v>-10.38</v>
      </c>
    </row>
    <row r="740" spans="1:26" x14ac:dyDescent="0.25">
      <c r="A740" s="1" t="s">
        <v>3233</v>
      </c>
      <c r="B740" s="1" t="s">
        <v>3234</v>
      </c>
      <c r="C740" s="1" t="s">
        <v>31</v>
      </c>
      <c r="D740" s="1" t="s">
        <v>38</v>
      </c>
      <c r="E740" s="1" t="s">
        <v>52</v>
      </c>
      <c r="F740" s="1" t="s">
        <v>3235</v>
      </c>
      <c r="G740" s="1" t="s">
        <v>12480</v>
      </c>
      <c r="H740" s="1" t="s">
        <v>3236</v>
      </c>
      <c r="I740" s="2">
        <v>15.9</v>
      </c>
      <c r="J740" s="2">
        <v>0.71</v>
      </c>
      <c r="K740" s="2"/>
      <c r="L740" s="2"/>
      <c r="M740" s="4" t="e">
        <f t="shared" si="66"/>
        <v>#DIV/0!</v>
      </c>
      <c r="N740" s="4" t="e">
        <f t="shared" si="67"/>
        <v>#DIV/0!</v>
      </c>
      <c r="O740" s="5">
        <f t="shared" si="68"/>
        <v>-1</v>
      </c>
      <c r="P740" s="5" t="e">
        <f t="shared" si="69"/>
        <v>#DIV/0!</v>
      </c>
      <c r="Q740" s="4" t="e">
        <f t="shared" si="70"/>
        <v>#DIV/0!</v>
      </c>
      <c r="R740" s="4" t="e">
        <f t="shared" si="71"/>
        <v>#DIV/0!</v>
      </c>
      <c r="S740" s="4">
        <v>12.38</v>
      </c>
      <c r="T740" s="2">
        <v>-0.05</v>
      </c>
      <c r="U740" s="2">
        <v>16.239999999999998</v>
      </c>
      <c r="V740" s="2">
        <v>8.02</v>
      </c>
      <c r="W740" s="2">
        <v>-2.09</v>
      </c>
      <c r="X740" s="2">
        <v>-2.09</v>
      </c>
      <c r="Y740" s="2">
        <v>-2.09</v>
      </c>
      <c r="Z740" s="2">
        <v>-2.09</v>
      </c>
    </row>
    <row r="741" spans="1:26" x14ac:dyDescent="0.25">
      <c r="A741" s="1" t="s">
        <v>3237</v>
      </c>
      <c r="B741" s="1" t="s">
        <v>3238</v>
      </c>
      <c r="C741" s="1" t="s">
        <v>16</v>
      </c>
      <c r="D741" s="1" t="s">
        <v>128</v>
      </c>
      <c r="E741" s="1" t="s">
        <v>296</v>
      </c>
      <c r="F741" s="1" t="s">
        <v>3239</v>
      </c>
      <c r="G741" s="1" t="s">
        <v>12480</v>
      </c>
      <c r="H741" s="1" t="s">
        <v>3240</v>
      </c>
      <c r="I741" s="2">
        <v>78.3</v>
      </c>
      <c r="J741" s="2">
        <v>3.34</v>
      </c>
      <c r="K741" s="2">
        <v>3.58</v>
      </c>
      <c r="L741" s="2">
        <v>3.98</v>
      </c>
      <c r="M741" s="4">
        <f t="shared" si="66"/>
        <v>21.871508379888265</v>
      </c>
      <c r="N741" s="4">
        <f t="shared" si="67"/>
        <v>19.673366834170853</v>
      </c>
      <c r="O741" s="5">
        <f t="shared" si="68"/>
        <v>7.1856287425149823E-2</v>
      </c>
      <c r="P741" s="5">
        <f t="shared" si="69"/>
        <v>0.11173184357541888</v>
      </c>
      <c r="Q741" s="4">
        <f t="shared" si="70"/>
        <v>3.0437849162011119</v>
      </c>
      <c r="R741" s="4">
        <f t="shared" si="71"/>
        <v>1.7607663316582931</v>
      </c>
      <c r="S741" s="4">
        <v>2.92</v>
      </c>
      <c r="T741" s="2">
        <v>0.72</v>
      </c>
      <c r="U741" s="2">
        <v>80.52</v>
      </c>
      <c r="V741" s="2">
        <v>55.52</v>
      </c>
      <c r="W741" s="2">
        <v>-2.76</v>
      </c>
      <c r="X741" s="2">
        <v>6.36</v>
      </c>
      <c r="Y741" s="2">
        <v>18.850000000000001</v>
      </c>
      <c r="Z741" s="2">
        <v>16.809999999999999</v>
      </c>
    </row>
    <row r="742" spans="1:26" x14ac:dyDescent="0.25">
      <c r="A742" s="1" t="s">
        <v>3241</v>
      </c>
      <c r="B742" s="1" t="s">
        <v>3242</v>
      </c>
      <c r="C742" s="1" t="s">
        <v>16</v>
      </c>
      <c r="D742" s="1" t="s">
        <v>38</v>
      </c>
      <c r="E742" s="1" t="s">
        <v>510</v>
      </c>
      <c r="F742" s="1" t="s">
        <v>3243</v>
      </c>
      <c r="G742" s="1" t="s">
        <v>12480</v>
      </c>
      <c r="H742" s="1" t="s">
        <v>3244</v>
      </c>
      <c r="I742" s="2">
        <v>40.08</v>
      </c>
      <c r="J742" s="2">
        <v>2.58</v>
      </c>
      <c r="K742" s="2">
        <v>2.6</v>
      </c>
      <c r="L742" s="2">
        <v>2.69</v>
      </c>
      <c r="M742" s="4">
        <f t="shared" si="66"/>
        <v>15.415384615384614</v>
      </c>
      <c r="N742" s="4">
        <f t="shared" si="67"/>
        <v>14.899628252788103</v>
      </c>
      <c r="O742" s="5">
        <f t="shared" si="68"/>
        <v>7.7519379844961378E-3</v>
      </c>
      <c r="P742" s="5">
        <f t="shared" si="69"/>
        <v>3.4615384615384492E-2</v>
      </c>
      <c r="Q742" s="4">
        <f t="shared" si="70"/>
        <v>19.885846153846117</v>
      </c>
      <c r="R742" s="4">
        <f t="shared" si="71"/>
        <v>4.3043370508054677</v>
      </c>
      <c r="S742" s="4">
        <v>20.88</v>
      </c>
      <c r="T742" s="2">
        <v>1.1000000000000001</v>
      </c>
      <c r="U742" s="2">
        <v>43.68</v>
      </c>
      <c r="V742" s="2">
        <v>35.36</v>
      </c>
      <c r="W742" s="2">
        <v>-4.21</v>
      </c>
      <c r="X742" s="2">
        <v>5.03</v>
      </c>
      <c r="Y742" s="2">
        <v>9.66</v>
      </c>
      <c r="Z742" s="2">
        <v>11.18</v>
      </c>
    </row>
    <row r="743" spans="1:26" x14ac:dyDescent="0.25">
      <c r="A743" s="1" t="s">
        <v>3245</v>
      </c>
      <c r="B743" s="1" t="s">
        <v>3246</v>
      </c>
      <c r="C743" s="1" t="s">
        <v>16</v>
      </c>
      <c r="D743" s="1" t="s">
        <v>38</v>
      </c>
      <c r="E743" s="1" t="s">
        <v>119</v>
      </c>
      <c r="F743" s="1" t="s">
        <v>3247</v>
      </c>
      <c r="G743" s="1" t="s">
        <v>12480</v>
      </c>
      <c r="H743" s="1" t="s">
        <v>3248</v>
      </c>
      <c r="I743" s="2">
        <v>67.03</v>
      </c>
      <c r="J743" s="2">
        <v>7.61</v>
      </c>
      <c r="K743" s="2">
        <v>8.33</v>
      </c>
      <c r="L743" s="2">
        <v>9.3699999999999992</v>
      </c>
      <c r="M743" s="4">
        <f t="shared" si="66"/>
        <v>8.0468187274909972</v>
      </c>
      <c r="N743" s="4">
        <f t="shared" si="67"/>
        <v>7.1536819637139812</v>
      </c>
      <c r="O743" s="5">
        <f t="shared" si="68"/>
        <v>9.4612352168199632E-2</v>
      </c>
      <c r="P743" s="5">
        <f t="shared" si="69"/>
        <v>0.12484993997599036</v>
      </c>
      <c r="Q743" s="4">
        <f t="shared" si="70"/>
        <v>0.8505040349473133</v>
      </c>
      <c r="R743" s="4">
        <f t="shared" si="71"/>
        <v>0.57298241113209114</v>
      </c>
      <c r="S743" s="4">
        <v>6.63</v>
      </c>
      <c r="T743" s="2">
        <v>1.66</v>
      </c>
      <c r="U743" s="2">
        <v>81.209999999999994</v>
      </c>
      <c r="V743" s="2">
        <v>42.75</v>
      </c>
      <c r="W743" s="2">
        <v>-2.94</v>
      </c>
      <c r="X743" s="2">
        <v>-11.18</v>
      </c>
      <c r="Y743" s="2">
        <v>-8.8000000000000007</v>
      </c>
      <c r="Z743" s="2">
        <v>-8.33</v>
      </c>
    </row>
    <row r="744" spans="1:26" x14ac:dyDescent="0.25">
      <c r="A744" s="1" t="s">
        <v>2370</v>
      </c>
      <c r="B744" s="1" t="s">
        <v>3249</v>
      </c>
      <c r="C744" s="1" t="s">
        <v>16</v>
      </c>
      <c r="D744" s="1" t="s">
        <v>147</v>
      </c>
      <c r="E744" s="1" t="s">
        <v>148</v>
      </c>
      <c r="F744" s="1" t="s">
        <v>3250</v>
      </c>
      <c r="G744" s="1" t="s">
        <v>12499</v>
      </c>
      <c r="H744" s="1" t="s">
        <v>3251</v>
      </c>
      <c r="I744" s="2">
        <v>26.24</v>
      </c>
      <c r="J744" s="2">
        <v>2.25</v>
      </c>
      <c r="K744" s="2">
        <v>2.48</v>
      </c>
      <c r="L744" s="2">
        <v>2.7</v>
      </c>
      <c r="M744" s="4">
        <f t="shared" si="66"/>
        <v>10.580645161290322</v>
      </c>
      <c r="N744" s="4">
        <f t="shared" si="67"/>
        <v>9.7185185185185166</v>
      </c>
      <c r="O744" s="5">
        <f t="shared" si="68"/>
        <v>0.10222222222222221</v>
      </c>
      <c r="P744" s="5">
        <f t="shared" si="69"/>
        <v>8.8709677419354982E-2</v>
      </c>
      <c r="Q744" s="4">
        <f t="shared" si="70"/>
        <v>1.0350631136044881</v>
      </c>
      <c r="R744" s="4">
        <f t="shared" si="71"/>
        <v>1.0955420875420856</v>
      </c>
      <c r="S744" s="4">
        <v>6.4</v>
      </c>
      <c r="T744" s="2">
        <v>2.46</v>
      </c>
      <c r="U744" s="2">
        <v>33.69</v>
      </c>
      <c r="V744" s="2">
        <v>14.76</v>
      </c>
      <c r="W744" s="2">
        <v>-9.64</v>
      </c>
      <c r="X744" s="2">
        <v>-19.440000000000001</v>
      </c>
      <c r="Y744" s="2">
        <v>-0.49</v>
      </c>
      <c r="Z744" s="2">
        <v>-13.49</v>
      </c>
    </row>
    <row r="745" spans="1:26" x14ac:dyDescent="0.25">
      <c r="A745" s="1" t="s">
        <v>3252</v>
      </c>
      <c r="B745" s="1" t="s">
        <v>3253</v>
      </c>
      <c r="C745" s="1" t="s">
        <v>16</v>
      </c>
      <c r="D745" s="1" t="s">
        <v>38</v>
      </c>
      <c r="E745" s="1" t="s">
        <v>83</v>
      </c>
      <c r="F745" s="1" t="s">
        <v>3254</v>
      </c>
      <c r="G745" s="1" t="s">
        <v>12480</v>
      </c>
      <c r="H745" s="1" t="s">
        <v>3255</v>
      </c>
      <c r="I745" s="2">
        <v>26.92</v>
      </c>
      <c r="J745" s="2">
        <v>1.06</v>
      </c>
      <c r="K745" s="2">
        <v>1.19</v>
      </c>
      <c r="L745" s="2">
        <v>1.32</v>
      </c>
      <c r="M745" s="4">
        <f t="shared" si="66"/>
        <v>22.6218487394958</v>
      </c>
      <c r="N745" s="4">
        <f t="shared" si="67"/>
        <v>20.393939393939394</v>
      </c>
      <c r="O745" s="5">
        <f t="shared" si="68"/>
        <v>0.12264150943396213</v>
      </c>
      <c r="P745" s="5">
        <f t="shared" si="69"/>
        <v>0.10924369747899165</v>
      </c>
      <c r="Q745" s="4">
        <f t="shared" si="70"/>
        <v>1.8445507433742749</v>
      </c>
      <c r="R745" s="4">
        <f t="shared" si="71"/>
        <v>1.8668298368298359</v>
      </c>
      <c r="S745" s="4">
        <v>51.3</v>
      </c>
      <c r="T745" s="2">
        <v>0.27</v>
      </c>
      <c r="U745" s="2">
        <v>28.37</v>
      </c>
      <c r="V745" s="2">
        <v>21.52</v>
      </c>
      <c r="W745" s="2">
        <v>-4.6100000000000003</v>
      </c>
      <c r="X745" s="2">
        <v>4.91</v>
      </c>
      <c r="Y745" s="2">
        <v>16.54</v>
      </c>
      <c r="Z745" s="2">
        <v>15.98</v>
      </c>
    </row>
    <row r="746" spans="1:26" x14ac:dyDescent="0.25">
      <c r="A746" s="1" t="s">
        <v>3256</v>
      </c>
      <c r="B746" s="1" t="s">
        <v>3257</v>
      </c>
      <c r="C746" s="1" t="s">
        <v>31</v>
      </c>
      <c r="D746" s="1" t="s">
        <v>18</v>
      </c>
      <c r="E746" s="1" t="s">
        <v>19</v>
      </c>
      <c r="F746" s="1" t="s">
        <v>3258</v>
      </c>
      <c r="G746" s="1" t="s">
        <v>12480</v>
      </c>
      <c r="H746" s="1" t="s">
        <v>3259</v>
      </c>
      <c r="I746" s="2">
        <v>2.25</v>
      </c>
      <c r="J746" s="2">
        <v>-0.23</v>
      </c>
      <c r="K746" s="2">
        <v>-0.25</v>
      </c>
      <c r="L746" s="2">
        <v>-0.19</v>
      </c>
      <c r="M746" s="4">
        <f t="shared" si="66"/>
        <v>-9</v>
      </c>
      <c r="N746" s="4">
        <f t="shared" si="67"/>
        <v>-11.842105263157894</v>
      </c>
      <c r="O746" s="5">
        <f t="shared" si="68"/>
        <v>8.6956521739130377E-2</v>
      </c>
      <c r="P746" s="5">
        <f t="shared" si="69"/>
        <v>-0.24</v>
      </c>
      <c r="Q746" s="4">
        <f t="shared" si="70"/>
        <v>-1.0350000000000006</v>
      </c>
      <c r="R746" s="4">
        <f t="shared" si="71"/>
        <v>0.49342105263157893</v>
      </c>
      <c r="S746" s="4">
        <v>-5.56</v>
      </c>
      <c r="T746" s="2">
        <v>0.71</v>
      </c>
      <c r="U746" s="2">
        <v>4.7</v>
      </c>
      <c r="V746" s="2">
        <v>0.74</v>
      </c>
      <c r="W746" s="2">
        <v>1.35</v>
      </c>
      <c r="X746" s="2">
        <v>-8.6999999999999993</v>
      </c>
      <c r="Y746" s="2">
        <v>-38.86</v>
      </c>
      <c r="Z746" s="2">
        <v>-10.71</v>
      </c>
    </row>
    <row r="747" spans="1:26" x14ac:dyDescent="0.25">
      <c r="A747" s="1" t="s">
        <v>3260</v>
      </c>
      <c r="B747" s="1" t="s">
        <v>3261</v>
      </c>
      <c r="C747" s="1" t="s">
        <v>31</v>
      </c>
      <c r="D747" s="1" t="s">
        <v>147</v>
      </c>
      <c r="E747" s="1" t="s">
        <v>1084</v>
      </c>
      <c r="F747" s="1" t="s">
        <v>3262</v>
      </c>
      <c r="G747" s="1" t="s">
        <v>12490</v>
      </c>
      <c r="H747" s="1" t="s">
        <v>3263</v>
      </c>
      <c r="I747" s="2">
        <v>9.35</v>
      </c>
      <c r="J747" s="2">
        <v>0.73</v>
      </c>
      <c r="K747" s="2">
        <v>0.77</v>
      </c>
      <c r="L747" s="2">
        <v>0.78</v>
      </c>
      <c r="M747" s="4">
        <f t="shared" si="66"/>
        <v>12.142857142857142</v>
      </c>
      <c r="N747" s="4">
        <f t="shared" si="67"/>
        <v>11.987179487179485</v>
      </c>
      <c r="O747" s="5">
        <f t="shared" si="68"/>
        <v>5.4794520547945202E-2</v>
      </c>
      <c r="P747" s="5">
        <f t="shared" si="69"/>
        <v>1.2987012987013102E-2</v>
      </c>
      <c r="Q747" s="4">
        <f t="shared" si="70"/>
        <v>2.2160714285714285</v>
      </c>
      <c r="R747" s="4">
        <f t="shared" si="71"/>
        <v>9.2301282051281213</v>
      </c>
      <c r="S747" s="4">
        <v>0.02</v>
      </c>
      <c r="T747" s="2">
        <v>0.95</v>
      </c>
      <c r="U747" s="2">
        <v>11.19</v>
      </c>
      <c r="V747" s="2">
        <v>9.18</v>
      </c>
      <c r="W747" s="2" t="s">
        <v>12489</v>
      </c>
      <c r="X747" s="2" t="s">
        <v>12489</v>
      </c>
      <c r="Y747" s="2">
        <v>-3.42</v>
      </c>
      <c r="Z747" s="2" t="s">
        <v>12489</v>
      </c>
    </row>
    <row r="748" spans="1:26" x14ac:dyDescent="0.25">
      <c r="A748" s="1" t="s">
        <v>3264</v>
      </c>
      <c r="B748" s="1" t="s">
        <v>3265</v>
      </c>
      <c r="C748" s="1" t="s">
        <v>16</v>
      </c>
      <c r="D748" s="1" t="s">
        <v>38</v>
      </c>
      <c r="E748" s="1" t="s">
        <v>510</v>
      </c>
      <c r="F748" s="1" t="s">
        <v>3266</v>
      </c>
      <c r="G748" s="1" t="s">
        <v>12480</v>
      </c>
      <c r="H748" s="1" t="s">
        <v>3267</v>
      </c>
      <c r="I748" s="2">
        <v>23.05</v>
      </c>
      <c r="J748" s="2">
        <v>2.84</v>
      </c>
      <c r="K748" s="2">
        <v>2.93</v>
      </c>
      <c r="L748" s="2">
        <v>3.04</v>
      </c>
      <c r="M748" s="4">
        <f t="shared" si="66"/>
        <v>7.8668941979522184</v>
      </c>
      <c r="N748" s="4">
        <f t="shared" si="67"/>
        <v>7.5822368421052637</v>
      </c>
      <c r="O748" s="5">
        <f t="shared" si="68"/>
        <v>3.1690140845070491E-2</v>
      </c>
      <c r="P748" s="5">
        <f t="shared" si="69"/>
        <v>3.7542662116040848E-2</v>
      </c>
      <c r="Q748" s="4">
        <f t="shared" si="70"/>
        <v>2.4824421691315837</v>
      </c>
      <c r="R748" s="4">
        <f t="shared" si="71"/>
        <v>2.0196321770334986</v>
      </c>
      <c r="S748" s="4" t="s">
        <v>12571</v>
      </c>
      <c r="T748" s="2">
        <v>1.21</v>
      </c>
      <c r="U748" s="2">
        <v>30.53</v>
      </c>
      <c r="V748" s="2">
        <v>21.75</v>
      </c>
      <c r="W748" s="2">
        <v>-0.65</v>
      </c>
      <c r="X748" s="2" t="s">
        <v>12580</v>
      </c>
      <c r="Y748" s="2">
        <v>-8.89</v>
      </c>
      <c r="Z748" s="2">
        <v>-10.59</v>
      </c>
    </row>
    <row r="749" spans="1:26" x14ac:dyDescent="0.25">
      <c r="A749" s="1" t="s">
        <v>3268</v>
      </c>
      <c r="B749" s="1" t="s">
        <v>3269</v>
      </c>
      <c r="C749" s="1" t="s">
        <v>45</v>
      </c>
      <c r="D749" s="1" t="s">
        <v>38</v>
      </c>
      <c r="E749" s="1" t="s">
        <v>1909</v>
      </c>
      <c r="F749" s="1" t="s">
        <v>3270</v>
      </c>
      <c r="G749" s="1" t="s">
        <v>12480</v>
      </c>
      <c r="H749" s="1" t="s">
        <v>3271</v>
      </c>
      <c r="I749" s="2">
        <v>19.239999999999998</v>
      </c>
      <c r="J749" s="2">
        <v>1.52</v>
      </c>
      <c r="K749" s="2">
        <v>1.51</v>
      </c>
      <c r="L749" s="2">
        <v>1.91</v>
      </c>
      <c r="M749" s="4">
        <f t="shared" si="66"/>
        <v>12.741721854304634</v>
      </c>
      <c r="N749" s="4">
        <f t="shared" si="67"/>
        <v>10.073298429319371</v>
      </c>
      <c r="O749" s="5">
        <f t="shared" si="68"/>
        <v>-6.5789473684210176E-3</v>
      </c>
      <c r="P749" s="5">
        <f t="shared" si="69"/>
        <v>0.26490066225165565</v>
      </c>
      <c r="Q749" s="4">
        <f t="shared" si="70"/>
        <v>-19.367417218543146</v>
      </c>
      <c r="R749" s="4">
        <f t="shared" si="71"/>
        <v>0.38026701570680621</v>
      </c>
      <c r="S749" s="4">
        <v>-5.28</v>
      </c>
      <c r="T749" s="2">
        <v>0.67</v>
      </c>
      <c r="U749" s="2">
        <v>21.43</v>
      </c>
      <c r="V749" s="2">
        <v>16.41</v>
      </c>
      <c r="W749" s="2">
        <v>-1.64</v>
      </c>
      <c r="X749" s="2">
        <v>-9.33</v>
      </c>
      <c r="Y749" s="2">
        <v>-4.71</v>
      </c>
      <c r="Z749" s="2">
        <v>3.44</v>
      </c>
    </row>
    <row r="750" spans="1:26" x14ac:dyDescent="0.25">
      <c r="A750" s="1" t="s">
        <v>3272</v>
      </c>
      <c r="B750" s="1" t="s">
        <v>3273</v>
      </c>
      <c r="C750" s="1" t="s">
        <v>45</v>
      </c>
      <c r="D750" s="1" t="s">
        <v>61</v>
      </c>
      <c r="E750" s="1" t="s">
        <v>3275</v>
      </c>
      <c r="F750" s="1" t="s">
        <v>3274</v>
      </c>
      <c r="G750" s="1" t="s">
        <v>12490</v>
      </c>
      <c r="H750" s="1" t="s">
        <v>12631</v>
      </c>
      <c r="I750" s="2">
        <v>526.63</v>
      </c>
      <c r="J750" s="2">
        <v>21.63</v>
      </c>
      <c r="K750" s="2">
        <v>23.86</v>
      </c>
      <c r="L750" s="2" t="s">
        <v>12572</v>
      </c>
      <c r="M750" s="4">
        <f t="shared" si="66"/>
        <v>22.071668063704944</v>
      </c>
      <c r="N750" s="4">
        <f t="shared" si="67"/>
        <v>21.065200000000001</v>
      </c>
      <c r="O750" s="5">
        <f t="shared" si="68"/>
        <v>0.10309754969949148</v>
      </c>
      <c r="P750" s="5">
        <f t="shared" si="69"/>
        <v>4.7778709136630404E-2</v>
      </c>
      <c r="Q750" s="4">
        <f t="shared" si="70"/>
        <v>2.1408528260894073</v>
      </c>
      <c r="R750" s="4">
        <f t="shared" si="71"/>
        <v>4.4089094035087664</v>
      </c>
      <c r="S750" s="4">
        <v>12.29</v>
      </c>
      <c r="T750" s="2">
        <v>1.28</v>
      </c>
      <c r="U750" s="2">
        <v>697.76</v>
      </c>
      <c r="V750" s="2">
        <v>396.53</v>
      </c>
      <c r="W750" s="2">
        <v>-6.48</v>
      </c>
      <c r="X750" s="2">
        <v>-4.97</v>
      </c>
      <c r="Y750" s="2">
        <v>-11.96</v>
      </c>
      <c r="Z750" s="2">
        <v>-10.85</v>
      </c>
    </row>
    <row r="751" spans="1:26" x14ac:dyDescent="0.25">
      <c r="A751" s="1" t="s">
        <v>3276</v>
      </c>
      <c r="B751" s="1" t="s">
        <v>3277</v>
      </c>
      <c r="C751" s="1" t="s">
        <v>16</v>
      </c>
      <c r="D751" s="1" t="s">
        <v>94</v>
      </c>
      <c r="E751" s="1" t="s">
        <v>3279</v>
      </c>
      <c r="F751" s="1" t="s">
        <v>3278</v>
      </c>
      <c r="G751" s="1" t="s">
        <v>12480</v>
      </c>
      <c r="H751" s="1" t="s">
        <v>3280</v>
      </c>
      <c r="I751" s="2">
        <v>22.82</v>
      </c>
      <c r="J751" s="2">
        <v>1.54</v>
      </c>
      <c r="K751" s="2">
        <v>1.1299999999999999</v>
      </c>
      <c r="L751" s="2">
        <v>1.35</v>
      </c>
      <c r="M751" s="4">
        <f t="shared" si="66"/>
        <v>20.194690265486727</v>
      </c>
      <c r="N751" s="4">
        <f t="shared" si="67"/>
        <v>16.903703703703702</v>
      </c>
      <c r="O751" s="5">
        <f t="shared" si="68"/>
        <v>-0.26623376623376627</v>
      </c>
      <c r="P751" s="5">
        <f t="shared" si="69"/>
        <v>0.19469026548672574</v>
      </c>
      <c r="Q751" s="4">
        <f t="shared" si="70"/>
        <v>-0.75853226850852584</v>
      </c>
      <c r="R751" s="4">
        <f t="shared" si="71"/>
        <v>0.86823569023568981</v>
      </c>
      <c r="S751" s="4">
        <v>-10.220000000000001</v>
      </c>
      <c r="T751" s="2">
        <v>0.43</v>
      </c>
      <c r="U751" s="2">
        <v>23.3</v>
      </c>
      <c r="V751" s="2">
        <v>10.58</v>
      </c>
      <c r="W751" s="2">
        <v>-0.26</v>
      </c>
      <c r="X751" s="2">
        <v>8.61</v>
      </c>
      <c r="Y751" s="2">
        <v>29.36</v>
      </c>
      <c r="Z751" s="2">
        <v>34.869999999999997</v>
      </c>
    </row>
    <row r="752" spans="1:26" x14ac:dyDescent="0.25">
      <c r="A752" s="1" t="s">
        <v>3281</v>
      </c>
      <c r="B752" s="1" t="s">
        <v>3282</v>
      </c>
      <c r="C752" s="1" t="s">
        <v>16</v>
      </c>
      <c r="D752" s="1" t="s">
        <v>94</v>
      </c>
      <c r="E752" s="1" t="s">
        <v>3284</v>
      </c>
      <c r="F752" s="1" t="s">
        <v>3283</v>
      </c>
      <c r="G752" s="1" t="s">
        <v>12480</v>
      </c>
      <c r="H752" s="1" t="s">
        <v>3285</v>
      </c>
      <c r="I752" s="2">
        <v>25.23</v>
      </c>
      <c r="J752" s="2">
        <v>-1.22</v>
      </c>
      <c r="K752" s="2">
        <v>0.35</v>
      </c>
      <c r="L752" s="2">
        <v>0.59</v>
      </c>
      <c r="M752" s="4">
        <f t="shared" si="66"/>
        <v>72.085714285714289</v>
      </c>
      <c r="N752" s="4">
        <f t="shared" si="67"/>
        <v>42.762711864406782</v>
      </c>
      <c r="O752" s="5">
        <f t="shared" si="68"/>
        <v>-1.2868852459016393</v>
      </c>
      <c r="P752" s="5">
        <f t="shared" si="69"/>
        <v>0.68571428571428572</v>
      </c>
      <c r="Q752" s="4">
        <f t="shared" si="70"/>
        <v>-0.56015650591446775</v>
      </c>
      <c r="R752" s="4">
        <f t="shared" si="71"/>
        <v>0.62362288135593225</v>
      </c>
      <c r="S752" s="4">
        <v>-5.89</v>
      </c>
      <c r="T752" s="2">
        <v>1.1200000000000001</v>
      </c>
      <c r="U752" s="2">
        <v>40.01</v>
      </c>
      <c r="V752" s="2">
        <v>16.059999999999999</v>
      </c>
      <c r="W752" s="2">
        <v>1.2</v>
      </c>
      <c r="X752" s="2">
        <v>1.98</v>
      </c>
      <c r="Y752" s="2">
        <v>-18.53</v>
      </c>
      <c r="Z752" s="2">
        <v>-0.83</v>
      </c>
    </row>
    <row r="753" spans="1:26" x14ac:dyDescent="0.25">
      <c r="A753" s="1" t="s">
        <v>3286</v>
      </c>
      <c r="B753" s="1" t="s">
        <v>3287</v>
      </c>
      <c r="C753" s="1" t="s">
        <v>45</v>
      </c>
      <c r="D753" s="1" t="s">
        <v>32</v>
      </c>
      <c r="E753" s="1" t="s">
        <v>215</v>
      </c>
      <c r="F753" s="1" t="s">
        <v>3288</v>
      </c>
      <c r="G753" s="1" t="s">
        <v>12490</v>
      </c>
      <c r="H753" s="1" t="s">
        <v>3289</v>
      </c>
      <c r="I753" s="2">
        <v>85.85</v>
      </c>
      <c r="J753" s="2">
        <v>3.65</v>
      </c>
      <c r="K753" s="2">
        <v>4.1900000000000004</v>
      </c>
      <c r="L753" s="2">
        <v>4.96</v>
      </c>
      <c r="M753" s="4">
        <f t="shared" si="66"/>
        <v>20.489260143198088</v>
      </c>
      <c r="N753" s="4">
        <f t="shared" si="67"/>
        <v>17.308467741935484</v>
      </c>
      <c r="O753" s="5">
        <f t="shared" si="68"/>
        <v>0.14794520547945211</v>
      </c>
      <c r="P753" s="5">
        <f t="shared" si="69"/>
        <v>0.18377088305489253</v>
      </c>
      <c r="Q753" s="4">
        <f t="shared" si="70"/>
        <v>1.3849222133828332</v>
      </c>
      <c r="R753" s="4">
        <f t="shared" si="71"/>
        <v>0.94185038751571049</v>
      </c>
      <c r="S753" s="4">
        <v>18.63</v>
      </c>
      <c r="T753" s="2">
        <v>0.59</v>
      </c>
      <c r="U753" s="2">
        <v>195.41</v>
      </c>
      <c r="V753" s="2">
        <v>81.34</v>
      </c>
      <c r="W753" s="2">
        <v>0.63</v>
      </c>
      <c r="X753" s="2">
        <v>-2.29</v>
      </c>
      <c r="Y753" s="2">
        <v>-28.36</v>
      </c>
      <c r="Z753" s="2">
        <v>-31.52</v>
      </c>
    </row>
    <row r="754" spans="1:26" x14ac:dyDescent="0.25">
      <c r="A754" s="1" t="s">
        <v>3290</v>
      </c>
      <c r="B754" s="1" t="s">
        <v>3291</v>
      </c>
      <c r="C754" s="1" t="s">
        <v>16</v>
      </c>
      <c r="D754" s="1" t="s">
        <v>67</v>
      </c>
      <c r="E754" s="1" t="s">
        <v>833</v>
      </c>
      <c r="F754" s="1" t="s">
        <v>3292</v>
      </c>
      <c r="G754" s="1" t="s">
        <v>12480</v>
      </c>
      <c r="H754" s="1" t="s">
        <v>3293</v>
      </c>
      <c r="I754" s="2">
        <v>328.26</v>
      </c>
      <c r="J754" s="2">
        <v>8.4499999999999993</v>
      </c>
      <c r="K754" s="2">
        <v>6.99</v>
      </c>
      <c r="L754" s="2">
        <v>9.44</v>
      </c>
      <c r="M754" s="4">
        <f t="shared" si="66"/>
        <v>46.961373390557938</v>
      </c>
      <c r="N754" s="4">
        <f t="shared" si="67"/>
        <v>34.773305084745765</v>
      </c>
      <c r="O754" s="5">
        <f t="shared" si="68"/>
        <v>-0.17278106508875735</v>
      </c>
      <c r="P754" s="5">
        <f t="shared" si="69"/>
        <v>0.35050071530758209</v>
      </c>
      <c r="Q754" s="4">
        <f t="shared" si="70"/>
        <v>-2.7179698982891418</v>
      </c>
      <c r="R754" s="4">
        <f t="shared" si="71"/>
        <v>0.99210368384642045</v>
      </c>
      <c r="S754" s="4">
        <v>48.63</v>
      </c>
      <c r="T754" s="2">
        <v>3.6</v>
      </c>
      <c r="U754" s="2">
        <v>478.45</v>
      </c>
      <c r="V754" s="2">
        <v>162.57</v>
      </c>
      <c r="W754" s="2">
        <v>1.59</v>
      </c>
      <c r="X754" s="2">
        <v>-20.25</v>
      </c>
      <c r="Y754" s="2">
        <v>-26.72</v>
      </c>
      <c r="Z754" s="2">
        <v>-22.22</v>
      </c>
    </row>
    <row r="755" spans="1:26" x14ac:dyDescent="0.25">
      <c r="A755" s="1" t="s">
        <v>3295</v>
      </c>
      <c r="B755" s="1" t="s">
        <v>3296</v>
      </c>
      <c r="C755" s="1" t="s">
        <v>16</v>
      </c>
      <c r="D755" s="1" t="s">
        <v>18</v>
      </c>
      <c r="E755" s="1" t="s">
        <v>624</v>
      </c>
      <c r="F755" s="1" t="s">
        <v>3297</v>
      </c>
      <c r="G755" s="1" t="s">
        <v>12480</v>
      </c>
      <c r="H755" s="1" t="s">
        <v>3298</v>
      </c>
      <c r="I755" s="2">
        <v>78.260000000000005</v>
      </c>
      <c r="J755" s="2">
        <v>6.75</v>
      </c>
      <c r="K755" s="2">
        <v>7.15</v>
      </c>
      <c r="L755" s="2">
        <v>8.14</v>
      </c>
      <c r="M755" s="4">
        <f t="shared" si="66"/>
        <v>10.945454545454545</v>
      </c>
      <c r="N755" s="4">
        <f t="shared" si="67"/>
        <v>9.614250614250615</v>
      </c>
      <c r="O755" s="5">
        <f t="shared" si="68"/>
        <v>5.9259259259259345E-2</v>
      </c>
      <c r="P755" s="5">
        <f t="shared" si="69"/>
        <v>0.13846153846153841</v>
      </c>
      <c r="Q755" s="4">
        <f t="shared" si="70"/>
        <v>1.8470454545454518</v>
      </c>
      <c r="R755" s="4">
        <f t="shared" si="71"/>
        <v>0.69436254436254463</v>
      </c>
      <c r="S755" s="4">
        <v>7.85</v>
      </c>
      <c r="T755" s="2">
        <v>0.49</v>
      </c>
      <c r="U755" s="2">
        <v>83.87</v>
      </c>
      <c r="V755" s="2">
        <v>58.75</v>
      </c>
      <c r="W755" s="2">
        <v>-4.16</v>
      </c>
      <c r="X755" s="2">
        <v>3.29</v>
      </c>
      <c r="Y755" s="2">
        <v>-1.79</v>
      </c>
      <c r="Z755" s="2">
        <v>-1.39</v>
      </c>
    </row>
    <row r="756" spans="1:26" x14ac:dyDescent="0.25">
      <c r="A756" s="1" t="s">
        <v>3299</v>
      </c>
      <c r="B756" s="1" t="s">
        <v>3300</v>
      </c>
      <c r="C756" s="1" t="s">
        <v>16</v>
      </c>
      <c r="D756" s="1" t="s">
        <v>147</v>
      </c>
      <c r="E756" s="1" t="s">
        <v>435</v>
      </c>
      <c r="F756" s="1" t="s">
        <v>3301</v>
      </c>
      <c r="G756" s="1" t="s">
        <v>12502</v>
      </c>
      <c r="H756" s="1" t="s">
        <v>3302</v>
      </c>
      <c r="I756" s="2">
        <v>103.13</v>
      </c>
      <c r="J756" s="2">
        <v>6.67</v>
      </c>
      <c r="K756" s="2">
        <v>7.89</v>
      </c>
      <c r="L756" s="2">
        <v>8.9700000000000006</v>
      </c>
      <c r="M756" s="4">
        <f t="shared" si="66"/>
        <v>13.070975918884663</v>
      </c>
      <c r="N756" s="4">
        <f t="shared" si="67"/>
        <v>11.49721293199554</v>
      </c>
      <c r="O756" s="5">
        <f t="shared" si="68"/>
        <v>0.18290854572713644</v>
      </c>
      <c r="P756" s="5">
        <f t="shared" si="69"/>
        <v>0.1368821292775666</v>
      </c>
      <c r="Q756" s="4">
        <f t="shared" si="70"/>
        <v>0.71461810966361228</v>
      </c>
      <c r="R756" s="4">
        <f t="shared" si="71"/>
        <v>0.83993527808745161</v>
      </c>
      <c r="S756" s="4">
        <v>12.85</v>
      </c>
      <c r="T756" s="2">
        <v>0.72</v>
      </c>
      <c r="U756" s="2">
        <v>154.44999999999999</v>
      </c>
      <c r="V756" s="2">
        <v>89.36</v>
      </c>
      <c r="W756" s="2">
        <v>3.33</v>
      </c>
      <c r="X756" s="2">
        <v>0.5</v>
      </c>
      <c r="Y756" s="2">
        <v>5.49</v>
      </c>
      <c r="Z756" s="2">
        <v>-0.33</v>
      </c>
    </row>
    <row r="757" spans="1:26" x14ac:dyDescent="0.25">
      <c r="A757" s="1" t="s">
        <v>3303</v>
      </c>
      <c r="B757" s="1" t="s">
        <v>3304</v>
      </c>
      <c r="C757" s="1" t="s">
        <v>16</v>
      </c>
      <c r="D757" s="1" t="s">
        <v>94</v>
      </c>
      <c r="E757" s="1" t="s">
        <v>1948</v>
      </c>
      <c r="F757" s="1" t="s">
        <v>3305</v>
      </c>
      <c r="G757" s="1" t="s">
        <v>12480</v>
      </c>
      <c r="H757" s="1" t="s">
        <v>3306</v>
      </c>
      <c r="I757" s="2">
        <v>189.44</v>
      </c>
      <c r="J757" s="2">
        <v>7.29</v>
      </c>
      <c r="K757" s="2">
        <v>6.66</v>
      </c>
      <c r="L757" s="2">
        <v>8.64</v>
      </c>
      <c r="M757" s="4">
        <f t="shared" si="66"/>
        <v>28.444444444444443</v>
      </c>
      <c r="N757" s="4">
        <f t="shared" si="67"/>
        <v>21.925925925925924</v>
      </c>
      <c r="O757" s="5">
        <f t="shared" si="68"/>
        <v>-8.6419753086419693E-2</v>
      </c>
      <c r="P757" s="5">
        <f t="shared" si="69"/>
        <v>0.29729729729729737</v>
      </c>
      <c r="Q757" s="4">
        <f t="shared" si="70"/>
        <v>-3.2914285714285736</v>
      </c>
      <c r="R757" s="4">
        <f t="shared" si="71"/>
        <v>0.73750841750841722</v>
      </c>
      <c r="S757" s="4">
        <v>-6.79</v>
      </c>
      <c r="T757" s="2">
        <v>0.67</v>
      </c>
      <c r="U757" s="2">
        <v>189.94</v>
      </c>
      <c r="V757" s="2">
        <v>133.72999999999999</v>
      </c>
      <c r="W757" s="2">
        <v>-0.08</v>
      </c>
      <c r="X757" s="2">
        <v>3.75</v>
      </c>
      <c r="Y757" s="2">
        <v>26.46</v>
      </c>
      <c r="Z757" s="2">
        <v>24.3</v>
      </c>
    </row>
    <row r="758" spans="1:26" x14ac:dyDescent="0.25">
      <c r="A758" s="1" t="s">
        <v>3308</v>
      </c>
      <c r="B758" s="1" t="s">
        <v>3309</v>
      </c>
      <c r="C758" s="1" t="s">
        <v>16</v>
      </c>
      <c r="D758" s="1" t="s">
        <v>204</v>
      </c>
      <c r="E758" s="1" t="s">
        <v>534</v>
      </c>
      <c r="F758" s="1" t="s">
        <v>3310</v>
      </c>
      <c r="G758" s="1" t="s">
        <v>12480</v>
      </c>
      <c r="H758" s="1" t="s">
        <v>3057</v>
      </c>
      <c r="I758" s="2">
        <v>706.46</v>
      </c>
      <c r="J758" s="2">
        <v>13.23</v>
      </c>
      <c r="K758" s="2">
        <v>14.89</v>
      </c>
      <c r="L758" s="2">
        <v>16.510000000000002</v>
      </c>
      <c r="M758" s="4">
        <f t="shared" si="66"/>
        <v>47.445265278710544</v>
      </c>
      <c r="N758" s="4">
        <f t="shared" si="67"/>
        <v>42.789824348879463</v>
      </c>
      <c r="O758" s="5">
        <f t="shared" si="68"/>
        <v>0.12547241118669694</v>
      </c>
      <c r="P758" s="5">
        <f t="shared" si="69"/>
        <v>0.10879785090664873</v>
      </c>
      <c r="Q758" s="4">
        <f t="shared" si="70"/>
        <v>3.7813304797430138</v>
      </c>
      <c r="R758" s="4">
        <f t="shared" si="71"/>
        <v>3.9329659540420701</v>
      </c>
      <c r="S758" s="4">
        <v>12.08</v>
      </c>
      <c r="T758" s="2">
        <v>0.91</v>
      </c>
      <c r="U758" s="2">
        <v>726.48</v>
      </c>
      <c r="V758" s="2">
        <v>283.18</v>
      </c>
      <c r="W758" s="2">
        <v>-2.76</v>
      </c>
      <c r="X758" s="2">
        <v>8.0500000000000007</v>
      </c>
      <c r="Y758" s="2">
        <v>29.07</v>
      </c>
      <c r="Z758" s="2">
        <v>28.15</v>
      </c>
    </row>
    <row r="759" spans="1:26" x14ac:dyDescent="0.25">
      <c r="A759" s="1" t="s">
        <v>3311</v>
      </c>
      <c r="B759" s="1" t="s">
        <v>3312</v>
      </c>
      <c r="C759" s="1" t="s">
        <v>16</v>
      </c>
      <c r="D759" s="1" t="s">
        <v>32</v>
      </c>
      <c r="E759" s="1" t="s">
        <v>311</v>
      </c>
      <c r="F759" s="1" t="s">
        <v>3313</v>
      </c>
      <c r="G759" s="1" t="s">
        <v>12480</v>
      </c>
      <c r="H759" s="1" t="s">
        <v>3314</v>
      </c>
      <c r="I759" s="2">
        <v>23.39</v>
      </c>
      <c r="J759" s="2">
        <v>0.54</v>
      </c>
      <c r="K759" s="2">
        <v>0.7</v>
      </c>
      <c r="L759" s="2">
        <v>0.89</v>
      </c>
      <c r="M759" s="4">
        <f t="shared" si="66"/>
        <v>33.414285714285718</v>
      </c>
      <c r="N759" s="4">
        <f t="shared" si="67"/>
        <v>26.280898876404496</v>
      </c>
      <c r="O759" s="5">
        <f t="shared" si="68"/>
        <v>0.29629629629629606</v>
      </c>
      <c r="P759" s="5">
        <f t="shared" si="69"/>
        <v>0.27142857142857157</v>
      </c>
      <c r="Q759" s="4">
        <f t="shared" si="70"/>
        <v>1.1277321428571438</v>
      </c>
      <c r="R759" s="4">
        <f t="shared" si="71"/>
        <v>0.96824364281490205</v>
      </c>
      <c r="S759" s="4">
        <v>61.88</v>
      </c>
      <c r="T759" s="2">
        <v>0.67</v>
      </c>
      <c r="U759" s="2">
        <v>29.28</v>
      </c>
      <c r="V759" s="2">
        <v>15.89</v>
      </c>
      <c r="W759" s="2">
        <v>-0.6</v>
      </c>
      <c r="X759" s="2">
        <v>-1.81</v>
      </c>
      <c r="Y759" s="2">
        <v>9.86</v>
      </c>
      <c r="Z759" s="2">
        <v>-3.03</v>
      </c>
    </row>
    <row r="760" spans="1:26" x14ac:dyDescent="0.25">
      <c r="A760" s="1" t="s">
        <v>3315</v>
      </c>
      <c r="B760" s="1" t="s">
        <v>3316</v>
      </c>
      <c r="C760" s="1" t="s">
        <v>16</v>
      </c>
      <c r="D760" s="1" t="s">
        <v>94</v>
      </c>
      <c r="E760" s="1" t="s">
        <v>95</v>
      </c>
      <c r="F760" s="1" t="s">
        <v>12632</v>
      </c>
      <c r="G760" s="1" t="s">
        <v>12480</v>
      </c>
      <c r="H760" s="1" t="s">
        <v>3317</v>
      </c>
      <c r="I760" s="2">
        <v>37.94</v>
      </c>
      <c r="J760" s="2">
        <v>1.43</v>
      </c>
      <c r="K760" s="2">
        <v>0.67</v>
      </c>
      <c r="L760" s="2">
        <v>1.1200000000000001</v>
      </c>
      <c r="M760" s="4">
        <f t="shared" si="66"/>
        <v>56.626865671641781</v>
      </c>
      <c r="N760" s="4">
        <f t="shared" si="67"/>
        <v>33.874999999999993</v>
      </c>
      <c r="O760" s="5">
        <f t="shared" si="68"/>
        <v>-0.53146853146853146</v>
      </c>
      <c r="P760" s="5">
        <f t="shared" si="69"/>
        <v>0.67164179104477628</v>
      </c>
      <c r="Q760" s="4">
        <f t="shared" si="70"/>
        <v>-1.0654791830322072</v>
      </c>
      <c r="R760" s="4">
        <f t="shared" si="71"/>
        <v>0.50436111111111093</v>
      </c>
      <c r="S760" s="4">
        <v>4.2300000000000004</v>
      </c>
      <c r="T760" s="2">
        <v>0.95</v>
      </c>
      <c r="U760" s="2">
        <v>40.78</v>
      </c>
      <c r="V760" s="2">
        <v>26.74</v>
      </c>
      <c r="W760" s="2">
        <v>-0.37</v>
      </c>
      <c r="X760" s="2">
        <v>-2.92</v>
      </c>
      <c r="Y760" s="2">
        <v>15.99</v>
      </c>
      <c r="Z760" s="2">
        <v>14.07</v>
      </c>
    </row>
    <row r="761" spans="1:26" x14ac:dyDescent="0.25">
      <c r="A761" s="1" t="s">
        <v>3315</v>
      </c>
      <c r="B761" s="1" t="s">
        <v>3318</v>
      </c>
      <c r="C761" s="1" t="s">
        <v>16</v>
      </c>
      <c r="D761" s="1" t="s">
        <v>94</v>
      </c>
      <c r="E761" s="1" t="s">
        <v>95</v>
      </c>
      <c r="F761" s="1" t="s">
        <v>3319</v>
      </c>
      <c r="G761" s="1" t="s">
        <v>12480</v>
      </c>
      <c r="H761" s="1" t="s">
        <v>3317</v>
      </c>
      <c r="I761" s="2">
        <v>35.57</v>
      </c>
      <c r="J761" s="2">
        <v>1.43</v>
      </c>
      <c r="K761" s="2">
        <v>1.94</v>
      </c>
      <c r="L761" s="2"/>
      <c r="M761" s="4">
        <f t="shared" si="66"/>
        <v>18.335051546391753</v>
      </c>
      <c r="N761" s="4" t="e">
        <f t="shared" si="67"/>
        <v>#DIV/0!</v>
      </c>
      <c r="O761" s="5">
        <f t="shared" si="68"/>
        <v>0.35664335664335667</v>
      </c>
      <c r="P761" s="5">
        <f t="shared" si="69"/>
        <v>-1</v>
      </c>
      <c r="Q761" s="4">
        <f t="shared" si="70"/>
        <v>0.51410046492823935</v>
      </c>
      <c r="R761" s="4" t="e">
        <f t="shared" si="71"/>
        <v>#DIV/0!</v>
      </c>
      <c r="S761" s="4">
        <v>4.2300000000000004</v>
      </c>
      <c r="T761" s="2">
        <v>0.99</v>
      </c>
      <c r="U761" s="2">
        <v>38.18</v>
      </c>
      <c r="V761" s="2">
        <v>24.95</v>
      </c>
      <c r="W761" s="2">
        <v>-0.34</v>
      </c>
      <c r="X761" s="2">
        <v>-2.68</v>
      </c>
      <c r="Y761" s="2">
        <v>15.68</v>
      </c>
      <c r="Z761" s="2">
        <v>13.21</v>
      </c>
    </row>
    <row r="762" spans="1:26" x14ac:dyDescent="0.25">
      <c r="A762" s="1" t="s">
        <v>3320</v>
      </c>
      <c r="B762" s="1" t="s">
        <v>3321</v>
      </c>
      <c r="C762" s="1" t="s">
        <v>16</v>
      </c>
      <c r="D762" s="1" t="s">
        <v>38</v>
      </c>
      <c r="E762" s="1" t="s">
        <v>1806</v>
      </c>
      <c r="F762" s="1" t="s">
        <v>3322</v>
      </c>
      <c r="G762" s="1" t="s">
        <v>12480</v>
      </c>
      <c r="H762" s="1" t="s">
        <v>3186</v>
      </c>
      <c r="I762" s="2">
        <v>12.77</v>
      </c>
      <c r="J762" s="2">
        <v>1.22</v>
      </c>
      <c r="K762" s="2">
        <v>1.44</v>
      </c>
      <c r="L762" s="2">
        <v>1.71</v>
      </c>
      <c r="M762" s="4">
        <f t="shared" si="66"/>
        <v>8.8680555555555554</v>
      </c>
      <c r="N762" s="4">
        <f t="shared" si="67"/>
        <v>7.4678362573099415</v>
      </c>
      <c r="O762" s="5">
        <f t="shared" si="68"/>
        <v>0.18032786885245899</v>
      </c>
      <c r="P762" s="5">
        <f t="shared" si="69"/>
        <v>0.1875</v>
      </c>
      <c r="Q762" s="4">
        <f t="shared" si="70"/>
        <v>0.49177398989899002</v>
      </c>
      <c r="R762" s="4">
        <f t="shared" si="71"/>
        <v>0.39828460038986352</v>
      </c>
      <c r="S762" s="4">
        <v>8.91</v>
      </c>
      <c r="T762" s="2">
        <v>1.49</v>
      </c>
      <c r="U762" s="2">
        <v>17.2</v>
      </c>
      <c r="V762" s="2">
        <v>7.9</v>
      </c>
      <c r="W762" s="2">
        <v>-5.69</v>
      </c>
      <c r="X762" s="2">
        <v>-21.75</v>
      </c>
      <c r="Y762" s="2">
        <v>-16.54</v>
      </c>
      <c r="Z762" s="2">
        <v>-21.12</v>
      </c>
    </row>
    <row r="763" spans="1:26" x14ac:dyDescent="0.25">
      <c r="A763" s="1" t="s">
        <v>3323</v>
      </c>
      <c r="B763" s="1" t="s">
        <v>3324</v>
      </c>
      <c r="C763" s="1" t="s">
        <v>45</v>
      </c>
      <c r="D763" s="1" t="s">
        <v>140</v>
      </c>
      <c r="E763" s="1" t="s">
        <v>2558</v>
      </c>
      <c r="F763" s="1" t="s">
        <v>3325</v>
      </c>
      <c r="G763" s="1" t="s">
        <v>12480</v>
      </c>
      <c r="H763" s="1" t="s">
        <v>3326</v>
      </c>
      <c r="I763" s="2">
        <v>95.75</v>
      </c>
      <c r="J763" s="2">
        <v>1.27</v>
      </c>
      <c r="K763" s="2">
        <v>1.08</v>
      </c>
      <c r="L763" s="2">
        <v>1.46</v>
      </c>
      <c r="M763" s="4">
        <f t="shared" si="66"/>
        <v>88.657407407407405</v>
      </c>
      <c r="N763" s="4">
        <f t="shared" si="67"/>
        <v>65.582191780821915</v>
      </c>
      <c r="O763" s="5">
        <f t="shared" si="68"/>
        <v>-0.14960629921259838</v>
      </c>
      <c r="P763" s="5">
        <f t="shared" si="69"/>
        <v>0.35185185185185164</v>
      </c>
      <c r="Q763" s="4">
        <f t="shared" si="70"/>
        <v>-5.9260477582846027</v>
      </c>
      <c r="R763" s="4">
        <f t="shared" si="71"/>
        <v>1.8639149242970452</v>
      </c>
      <c r="S763" s="4">
        <v>17.95</v>
      </c>
      <c r="T763" s="2">
        <v>0.8</v>
      </c>
      <c r="U763" s="2">
        <v>120.37</v>
      </c>
      <c r="V763" s="2">
        <v>82.84</v>
      </c>
      <c r="W763" s="2">
        <v>4.17</v>
      </c>
      <c r="X763" s="2">
        <v>-7.64</v>
      </c>
      <c r="Y763" s="2">
        <v>-4.7</v>
      </c>
      <c r="Z763" s="2">
        <v>-2.2400000000000002</v>
      </c>
    </row>
    <row r="764" spans="1:26" x14ac:dyDescent="0.25">
      <c r="A764" s="1" t="s">
        <v>3327</v>
      </c>
      <c r="B764" s="1" t="s">
        <v>3328</v>
      </c>
      <c r="C764" s="1" t="s">
        <v>16</v>
      </c>
      <c r="D764" s="1" t="s">
        <v>354</v>
      </c>
      <c r="E764" s="1" t="s">
        <v>1319</v>
      </c>
      <c r="F764" s="1" t="s">
        <v>3329</v>
      </c>
      <c r="G764" s="1" t="s">
        <v>12480</v>
      </c>
      <c r="H764" s="1" t="s">
        <v>3330</v>
      </c>
      <c r="I764" s="2">
        <v>45.68</v>
      </c>
      <c r="J764" s="2">
        <v>2.15</v>
      </c>
      <c r="K764" s="2">
        <v>2.5499999999999998</v>
      </c>
      <c r="L764" s="2">
        <v>2.71</v>
      </c>
      <c r="M764" s="4">
        <f t="shared" si="66"/>
        <v>17.913725490196079</v>
      </c>
      <c r="N764" s="4">
        <f t="shared" si="67"/>
        <v>16.85608856088561</v>
      </c>
      <c r="O764" s="5">
        <f t="shared" si="68"/>
        <v>0.18604651162790686</v>
      </c>
      <c r="P764" s="5">
        <f t="shared" si="69"/>
        <v>6.2745098039215685E-2</v>
      </c>
      <c r="Q764" s="4">
        <f t="shared" si="70"/>
        <v>0.96286274509803971</v>
      </c>
      <c r="R764" s="4">
        <f t="shared" si="71"/>
        <v>2.6864391143911441</v>
      </c>
      <c r="S764" s="4">
        <v>-3.54</v>
      </c>
      <c r="T764" s="2">
        <v>0.64</v>
      </c>
      <c r="U764" s="2">
        <v>51.36</v>
      </c>
      <c r="V764" s="2">
        <v>42.31</v>
      </c>
      <c r="W764" s="2">
        <v>0.64</v>
      </c>
      <c r="X764" s="2">
        <v>3.84</v>
      </c>
      <c r="Y764" s="2">
        <v>4.2699999999999996</v>
      </c>
      <c r="Z764" s="2">
        <v>5.42</v>
      </c>
    </row>
    <row r="765" spans="1:26" x14ac:dyDescent="0.25">
      <c r="A765" s="1" t="s">
        <v>3332</v>
      </c>
      <c r="B765" s="1" t="s">
        <v>3333</v>
      </c>
      <c r="C765" s="1" t="s">
        <v>31</v>
      </c>
      <c r="D765" s="1" t="s">
        <v>38</v>
      </c>
      <c r="E765" s="1" t="s">
        <v>83</v>
      </c>
      <c r="F765" s="1" t="s">
        <v>3334</v>
      </c>
      <c r="G765" s="1" t="s">
        <v>12480</v>
      </c>
      <c r="H765" s="1" t="s">
        <v>3335</v>
      </c>
      <c r="I765" s="2">
        <v>19.715</v>
      </c>
      <c r="J765" s="2">
        <v>1.62</v>
      </c>
      <c r="K765" s="2">
        <v>1.62</v>
      </c>
      <c r="L765" s="2">
        <v>1.66</v>
      </c>
      <c r="M765" s="4">
        <f t="shared" si="66"/>
        <v>12.169753086419751</v>
      </c>
      <c r="N765" s="4">
        <f t="shared" si="67"/>
        <v>11.876506024096386</v>
      </c>
      <c r="O765" s="5">
        <f t="shared" si="68"/>
        <v>0</v>
      </c>
      <c r="P765" s="5">
        <f t="shared" si="69"/>
        <v>2.4691358024691246E-2</v>
      </c>
      <c r="Q765" s="4" t="e">
        <f t="shared" si="70"/>
        <v>#DIV/0!</v>
      </c>
      <c r="R765" s="4">
        <f t="shared" si="71"/>
        <v>4.8099849397590582</v>
      </c>
      <c r="S765" s="4">
        <v>-2.42</v>
      </c>
      <c r="T765" s="2">
        <v>0.85</v>
      </c>
      <c r="U765" s="2">
        <v>20.55</v>
      </c>
      <c r="V765" s="2">
        <v>16.77</v>
      </c>
      <c r="W765" s="2">
        <v>-2.4500000000000002</v>
      </c>
      <c r="X765" s="2">
        <v>-0.93</v>
      </c>
      <c r="Y765" s="2">
        <v>6.57</v>
      </c>
      <c r="Z765" s="2">
        <v>5.47</v>
      </c>
    </row>
    <row r="766" spans="1:26" x14ac:dyDescent="0.25">
      <c r="A766" s="1" t="s">
        <v>3336</v>
      </c>
      <c r="B766" s="1" t="s">
        <v>3337</v>
      </c>
      <c r="C766" s="1" t="s">
        <v>16</v>
      </c>
      <c r="D766" s="1" t="s">
        <v>61</v>
      </c>
      <c r="E766" s="1" t="s">
        <v>2186</v>
      </c>
      <c r="F766" s="1" t="s">
        <v>3338</v>
      </c>
      <c r="G766" s="1" t="s">
        <v>12480</v>
      </c>
      <c r="H766" s="1" t="s">
        <v>3339</v>
      </c>
      <c r="I766" s="2">
        <v>10.93</v>
      </c>
      <c r="J766" s="2">
        <v>0.27</v>
      </c>
      <c r="K766" s="2">
        <v>0.86</v>
      </c>
      <c r="L766" s="2">
        <v>0.95</v>
      </c>
      <c r="M766" s="4">
        <f t="shared" si="66"/>
        <v>12.709302325581396</v>
      </c>
      <c r="N766" s="4">
        <f t="shared" si="67"/>
        <v>11.505263157894737</v>
      </c>
      <c r="O766" s="5">
        <f t="shared" si="68"/>
        <v>2.1851851851851851</v>
      </c>
      <c r="P766" s="5">
        <f t="shared" si="69"/>
        <v>0.10465116279069764</v>
      </c>
      <c r="Q766" s="4">
        <f t="shared" si="70"/>
        <v>5.8161214032321648E-2</v>
      </c>
      <c r="R766" s="4">
        <f t="shared" si="71"/>
        <v>1.0993918128654974</v>
      </c>
      <c r="S766" s="4">
        <v>-0.42</v>
      </c>
      <c r="T766" s="2">
        <v>1.6</v>
      </c>
      <c r="U766" s="2">
        <v>13.17</v>
      </c>
      <c r="V766" s="2">
        <v>5.0199999999999996</v>
      </c>
      <c r="W766" s="2">
        <v>-10.039999999999999</v>
      </c>
      <c r="X766" s="2">
        <v>-14.54</v>
      </c>
      <c r="Y766" s="2">
        <v>-6.26</v>
      </c>
      <c r="Z766" s="2">
        <v>-4.87</v>
      </c>
    </row>
    <row r="767" spans="1:26" x14ac:dyDescent="0.25">
      <c r="A767" s="1" t="s">
        <v>3340</v>
      </c>
      <c r="B767" s="1" t="s">
        <v>3341</v>
      </c>
      <c r="C767" s="1" t="s">
        <v>16</v>
      </c>
      <c r="D767" s="1" t="s">
        <v>140</v>
      </c>
      <c r="E767" s="1" t="s">
        <v>284</v>
      </c>
      <c r="F767" s="1" t="s">
        <v>3342</v>
      </c>
      <c r="G767" s="1" t="s">
        <v>12493</v>
      </c>
      <c r="H767" s="1" t="s">
        <v>3343</v>
      </c>
      <c r="I767" s="2">
        <v>5.88</v>
      </c>
      <c r="J767" s="2">
        <v>0.35</v>
      </c>
      <c r="K767" s="2">
        <v>0.48</v>
      </c>
      <c r="L767" s="2">
        <v>0.52</v>
      </c>
      <c r="M767" s="4">
        <f t="shared" si="66"/>
        <v>12.25</v>
      </c>
      <c r="N767" s="4">
        <f t="shared" si="67"/>
        <v>11.307692307692307</v>
      </c>
      <c r="O767" s="5">
        <f t="shared" si="68"/>
        <v>0.37142857142857144</v>
      </c>
      <c r="P767" s="5">
        <f t="shared" si="69"/>
        <v>8.3333333333333481E-2</v>
      </c>
      <c r="Q767" s="4">
        <f t="shared" si="70"/>
        <v>0.3298076923076923</v>
      </c>
      <c r="R767" s="4">
        <f t="shared" si="71"/>
        <v>1.3569230769230745</v>
      </c>
      <c r="S767" s="4">
        <v>8.74</v>
      </c>
      <c r="T767" s="2">
        <v>0.78</v>
      </c>
      <c r="U767" s="2">
        <v>9.42</v>
      </c>
      <c r="V767" s="2">
        <v>5.22</v>
      </c>
      <c r="W767" s="2">
        <v>1.91</v>
      </c>
      <c r="X767" s="2">
        <v>1.03</v>
      </c>
      <c r="Y767" s="2">
        <v>-23.74</v>
      </c>
      <c r="Z767" s="2">
        <v>-24.42</v>
      </c>
    </row>
    <row r="768" spans="1:26" x14ac:dyDescent="0.25">
      <c r="A768" s="1" t="s">
        <v>3344</v>
      </c>
      <c r="B768" s="1" t="s">
        <v>3345</v>
      </c>
      <c r="C768" s="1" t="s">
        <v>3347</v>
      </c>
      <c r="D768" s="1" t="s">
        <v>24</v>
      </c>
      <c r="E768" s="1" t="s">
        <v>140</v>
      </c>
      <c r="F768" s="1" t="s">
        <v>3346</v>
      </c>
      <c r="G768" s="1" t="s">
        <v>284</v>
      </c>
      <c r="H768" s="1" t="s">
        <v>12480</v>
      </c>
      <c r="I768" s="2">
        <v>42.42</v>
      </c>
      <c r="J768" s="2" t="s">
        <v>12481</v>
      </c>
      <c r="K768" s="2">
        <v>4.0599999999999996</v>
      </c>
      <c r="L768" s="2">
        <v>4.08</v>
      </c>
      <c r="M768" s="4">
        <f t="shared" si="66"/>
        <v>10.448275862068966</v>
      </c>
      <c r="N768" s="4">
        <f t="shared" si="67"/>
        <v>10.397058823529411</v>
      </c>
      <c r="O768" s="5">
        <f t="shared" si="68"/>
        <v>-0.99997995180532506</v>
      </c>
      <c r="P768" s="5">
        <f t="shared" si="69"/>
        <v>4.9261083743843415E-3</v>
      </c>
      <c r="Q768" s="4">
        <f t="shared" si="70"/>
        <v>-0.10448485335337027</v>
      </c>
      <c r="R768" s="4">
        <f t="shared" si="71"/>
        <v>21.106029411764254</v>
      </c>
      <c r="S768" s="4">
        <v>4.74</v>
      </c>
      <c r="T768" s="2">
        <v>45.58</v>
      </c>
      <c r="U768" s="2">
        <v>57.44</v>
      </c>
      <c r="V768" s="2">
        <v>68.91</v>
      </c>
      <c r="W768" s="2">
        <v>1.18</v>
      </c>
      <c r="X768" s="2">
        <v>-6.33</v>
      </c>
      <c r="Y768" s="2">
        <v>-17.13</v>
      </c>
      <c r="Z768" s="2">
        <v>-8.31</v>
      </c>
    </row>
    <row r="769" spans="1:26" x14ac:dyDescent="0.25">
      <c r="A769" s="1" t="s">
        <v>3348</v>
      </c>
      <c r="B769" s="1" t="s">
        <v>3349</v>
      </c>
      <c r="C769" s="1" t="s">
        <v>16</v>
      </c>
      <c r="D769" s="1" t="s">
        <v>38</v>
      </c>
      <c r="E769" s="1" t="s">
        <v>510</v>
      </c>
      <c r="F769" s="1" t="s">
        <v>3350</v>
      </c>
      <c r="G769" s="1" t="s">
        <v>12480</v>
      </c>
      <c r="H769" s="1" t="s">
        <v>3351</v>
      </c>
      <c r="I769" s="2">
        <v>17.920000000000002</v>
      </c>
      <c r="J769" s="2">
        <v>2.0499999999999998</v>
      </c>
      <c r="K769" s="2">
        <v>2.54</v>
      </c>
      <c r="L769" s="2">
        <v>2.73</v>
      </c>
      <c r="M769" s="4">
        <f t="shared" si="66"/>
        <v>7.0551181102362213</v>
      </c>
      <c r="N769" s="4">
        <f t="shared" si="67"/>
        <v>6.5641025641025648</v>
      </c>
      <c r="O769" s="5">
        <f t="shared" si="68"/>
        <v>0.23902439024390265</v>
      </c>
      <c r="P769" s="5">
        <f t="shared" si="69"/>
        <v>7.480314960629908E-2</v>
      </c>
      <c r="Q769" s="4">
        <f t="shared" si="70"/>
        <v>0.2951631046119233</v>
      </c>
      <c r="R769" s="4">
        <f t="shared" si="71"/>
        <v>0.87751686909581816</v>
      </c>
      <c r="S769" s="4">
        <v>12.72</v>
      </c>
      <c r="T769" s="2">
        <v>0.72</v>
      </c>
      <c r="U769" s="2">
        <v>23.06</v>
      </c>
      <c r="V769" s="2">
        <v>16.13</v>
      </c>
      <c r="W769" s="2">
        <v>-1.48</v>
      </c>
      <c r="X769" s="2">
        <v>-5.14</v>
      </c>
      <c r="Y769" s="2">
        <v>-5.63</v>
      </c>
      <c r="Z769" s="2">
        <v>-6.23</v>
      </c>
    </row>
    <row r="770" spans="1:26" x14ac:dyDescent="0.25">
      <c r="A770" s="1" t="s">
        <v>3352</v>
      </c>
      <c r="B770" s="1" t="s">
        <v>3353</v>
      </c>
      <c r="C770" s="1" t="s">
        <v>31</v>
      </c>
      <c r="D770" s="1" t="s">
        <v>32</v>
      </c>
      <c r="E770" s="1" t="s">
        <v>565</v>
      </c>
      <c r="F770" s="1" t="s">
        <v>3354</v>
      </c>
      <c r="G770" s="1" t="s">
        <v>12485</v>
      </c>
      <c r="H770" s="1" t="s">
        <v>3355</v>
      </c>
      <c r="I770" s="2">
        <v>7.2450000000000001</v>
      </c>
      <c r="J770" s="2">
        <v>0.47</v>
      </c>
      <c r="K770" s="2"/>
      <c r="L770" s="2"/>
      <c r="M770" s="4" t="e">
        <f t="shared" si="66"/>
        <v>#DIV/0!</v>
      </c>
      <c r="N770" s="4" t="e">
        <f t="shared" si="67"/>
        <v>#DIV/0!</v>
      </c>
      <c r="O770" s="5">
        <f t="shared" si="68"/>
        <v>-1</v>
      </c>
      <c r="P770" s="5" t="e">
        <f t="shared" si="69"/>
        <v>#DIV/0!</v>
      </c>
      <c r="Q770" s="4" t="e">
        <f t="shared" si="70"/>
        <v>#DIV/0!</v>
      </c>
      <c r="R770" s="4" t="e">
        <f t="shared" si="71"/>
        <v>#DIV/0!</v>
      </c>
      <c r="S770" s="4">
        <v>9.6</v>
      </c>
      <c r="T770" s="2">
        <v>1.04</v>
      </c>
      <c r="U770" s="2" t="s">
        <v>12633</v>
      </c>
      <c r="V770" s="2">
        <v>7.1</v>
      </c>
      <c r="W770" s="2">
        <v>-17.86</v>
      </c>
      <c r="X770" s="2">
        <v>-16.440000000000001</v>
      </c>
      <c r="Y770" s="2">
        <v>-16.72</v>
      </c>
      <c r="Z770" s="2">
        <v>-16.72</v>
      </c>
    </row>
    <row r="771" spans="1:26" x14ac:dyDescent="0.25">
      <c r="A771" s="1" t="s">
        <v>3356</v>
      </c>
      <c r="B771" s="1" t="s">
        <v>3357</v>
      </c>
      <c r="C771" s="1" t="s">
        <v>16</v>
      </c>
      <c r="D771" s="1" t="s">
        <v>305</v>
      </c>
      <c r="E771" s="1" t="s">
        <v>306</v>
      </c>
      <c r="F771" s="1" t="s">
        <v>3358</v>
      </c>
      <c r="G771" s="1" t="s">
        <v>12480</v>
      </c>
      <c r="H771" s="1" t="s">
        <v>3359</v>
      </c>
      <c r="I771" s="2">
        <v>41.33</v>
      </c>
      <c r="J771" s="2">
        <v>2.04</v>
      </c>
      <c r="K771" s="2">
        <v>2.93</v>
      </c>
      <c r="L771" s="2"/>
      <c r="M771" s="4">
        <f t="shared" ref="M771:M834" si="72">I771/K771</f>
        <v>14.105802047781568</v>
      </c>
      <c r="N771" s="4" t="e">
        <f t="shared" ref="N771:N834" si="73">I771/L771</f>
        <v>#DIV/0!</v>
      </c>
      <c r="O771" s="5">
        <f t="shared" ref="O771:O834" si="74">K771/J771-1</f>
        <v>0.43627450980392157</v>
      </c>
      <c r="P771" s="5">
        <f t="shared" ref="P771:P834" si="75">L771/K771-1</f>
        <v>-1</v>
      </c>
      <c r="Q771" s="4">
        <f t="shared" ref="Q771:Q834" si="76">M771/(O771*100)</f>
        <v>0.32332400199409439</v>
      </c>
      <c r="R771" s="4" t="e">
        <f t="shared" ref="R771:R834" si="77">N771/(P771*100)</f>
        <v>#DIV/0!</v>
      </c>
      <c r="S771" s="4">
        <v>31.82</v>
      </c>
      <c r="T771" s="2">
        <v>1.27</v>
      </c>
      <c r="U771" s="2">
        <v>55.95</v>
      </c>
      <c r="V771" s="2">
        <v>13.53</v>
      </c>
      <c r="W771" s="2">
        <v>-12.31</v>
      </c>
      <c r="X771" s="2">
        <v>-17.170000000000002</v>
      </c>
      <c r="Y771" s="2">
        <v>18.22</v>
      </c>
      <c r="Z771" s="2">
        <v>16.420000000000002</v>
      </c>
    </row>
    <row r="772" spans="1:26" x14ac:dyDescent="0.25">
      <c r="A772" s="1" t="s">
        <v>3352</v>
      </c>
      <c r="B772" s="1" t="s">
        <v>3360</v>
      </c>
      <c r="C772" s="1" t="s">
        <v>31</v>
      </c>
      <c r="D772" s="1" t="s">
        <v>32</v>
      </c>
      <c r="E772" s="1" t="s">
        <v>565</v>
      </c>
      <c r="F772" s="1" t="s">
        <v>3361</v>
      </c>
      <c r="G772" s="1" t="s">
        <v>12485</v>
      </c>
      <c r="H772" s="1" t="s">
        <v>3362</v>
      </c>
      <c r="I772" s="2">
        <v>4.3449999999999998</v>
      </c>
      <c r="J772" s="2">
        <v>0.23</v>
      </c>
      <c r="K772" s="2"/>
      <c r="L772" s="2"/>
      <c r="M772" s="4" t="e">
        <f t="shared" si="72"/>
        <v>#DIV/0!</v>
      </c>
      <c r="N772" s="4" t="e">
        <f t="shared" si="73"/>
        <v>#DIV/0!</v>
      </c>
      <c r="O772" s="5">
        <f t="shared" si="74"/>
        <v>-1</v>
      </c>
      <c r="P772" s="5" t="e">
        <f t="shared" si="75"/>
        <v>#DIV/0!</v>
      </c>
      <c r="Q772" s="4" t="e">
        <f t="shared" si="76"/>
        <v>#DIV/0!</v>
      </c>
      <c r="R772" s="4" t="e">
        <f t="shared" si="77"/>
        <v>#DIV/0!</v>
      </c>
      <c r="S772" s="4">
        <v>4.41</v>
      </c>
      <c r="T772" s="2">
        <v>0.61</v>
      </c>
      <c r="U772" s="2">
        <v>6.25</v>
      </c>
      <c r="V772" s="2">
        <v>3.67</v>
      </c>
      <c r="W772" s="2">
        <v>0.81</v>
      </c>
      <c r="X772" s="2">
        <v>-4.92</v>
      </c>
      <c r="Y772" s="2">
        <v>-27.58</v>
      </c>
      <c r="Z772" s="2">
        <v>-8.5299999999999994</v>
      </c>
    </row>
    <row r="773" spans="1:26" x14ac:dyDescent="0.25">
      <c r="A773" s="1" t="s">
        <v>3363</v>
      </c>
      <c r="B773" s="1" t="s">
        <v>3364</v>
      </c>
      <c r="C773" s="1" t="s">
        <v>31</v>
      </c>
      <c r="D773" s="1" t="s">
        <v>38</v>
      </c>
      <c r="E773" s="1" t="s">
        <v>1755</v>
      </c>
      <c r="F773" s="1" t="s">
        <v>3365</v>
      </c>
      <c r="G773" s="1" t="s">
        <v>12480</v>
      </c>
      <c r="H773" s="1" t="s">
        <v>12634</v>
      </c>
      <c r="I773" s="2">
        <v>5.2</v>
      </c>
      <c r="J773" s="2">
        <v>0.82</v>
      </c>
      <c r="K773" s="2"/>
      <c r="L773" s="2"/>
      <c r="M773" s="4" t="e">
        <f t="shared" si="72"/>
        <v>#DIV/0!</v>
      </c>
      <c r="N773" s="4" t="e">
        <f t="shared" si="73"/>
        <v>#DIV/0!</v>
      </c>
      <c r="O773" s="5">
        <f t="shared" si="74"/>
        <v>-1</v>
      </c>
      <c r="P773" s="5" t="e">
        <f t="shared" si="75"/>
        <v>#DIV/0!</v>
      </c>
      <c r="Q773" s="4" t="e">
        <f t="shared" si="76"/>
        <v>#DIV/0!</v>
      </c>
      <c r="R773" s="4" t="e">
        <f t="shared" si="77"/>
        <v>#DIV/0!</v>
      </c>
      <c r="S773" s="4">
        <v>17.940000000000001</v>
      </c>
      <c r="T773" s="2">
        <v>0.7</v>
      </c>
      <c r="U773" s="2">
        <v>7.91</v>
      </c>
      <c r="V773" s="2">
        <v>3.25</v>
      </c>
      <c r="W773" s="2">
        <v>-14.05</v>
      </c>
      <c r="X773" s="2">
        <v>-22.45</v>
      </c>
      <c r="Y773" s="2">
        <v>-10.5</v>
      </c>
      <c r="Z773" s="2">
        <v>-9.25</v>
      </c>
    </row>
    <row r="774" spans="1:26" x14ac:dyDescent="0.25">
      <c r="A774" s="1" t="s">
        <v>3366</v>
      </c>
      <c r="B774" s="1" t="s">
        <v>3367</v>
      </c>
      <c r="C774" s="1" t="s">
        <v>45</v>
      </c>
      <c r="D774" s="1" t="s">
        <v>18</v>
      </c>
      <c r="E774" s="1" t="s">
        <v>74</v>
      </c>
      <c r="F774" s="1" t="s">
        <v>3368</v>
      </c>
      <c r="G774" s="1" t="s">
        <v>12480</v>
      </c>
      <c r="H774" s="1" t="s">
        <v>3369</v>
      </c>
      <c r="I774" s="2">
        <v>62.42</v>
      </c>
      <c r="J774" s="2">
        <v>-6.54</v>
      </c>
      <c r="K774" s="2">
        <v>-6.27</v>
      </c>
      <c r="L774" s="2">
        <v>-4.54</v>
      </c>
      <c r="M774" s="4">
        <f t="shared" si="72"/>
        <v>-9.9553429027113243</v>
      </c>
      <c r="N774" s="4">
        <f t="shared" si="73"/>
        <v>-13.748898678414097</v>
      </c>
      <c r="O774" s="5">
        <f t="shared" si="74"/>
        <v>-4.1284403669724856E-2</v>
      </c>
      <c r="P774" s="5">
        <f t="shared" si="75"/>
        <v>-0.27591706539074956</v>
      </c>
      <c r="Q774" s="4">
        <f t="shared" si="76"/>
        <v>2.4114052808789603</v>
      </c>
      <c r="R774" s="4">
        <f t="shared" si="77"/>
        <v>0.49829823533905437</v>
      </c>
      <c r="S774" s="4">
        <v>376.56</v>
      </c>
      <c r="T774" s="2">
        <v>0.56000000000000005</v>
      </c>
      <c r="U774" s="2">
        <v>70.099999999999994</v>
      </c>
      <c r="V774" s="2">
        <v>29.84</v>
      </c>
      <c r="W774" s="2">
        <v>1.61</v>
      </c>
      <c r="X774" s="2">
        <v>-1.48</v>
      </c>
      <c r="Y774" s="2">
        <v>0.42</v>
      </c>
      <c r="Z774" s="2">
        <v>-1.76</v>
      </c>
    </row>
    <row r="775" spans="1:26" x14ac:dyDescent="0.25">
      <c r="A775" s="1" t="s">
        <v>3370</v>
      </c>
      <c r="B775" s="1" t="s">
        <v>3371</v>
      </c>
      <c r="C775" s="1" t="s">
        <v>45</v>
      </c>
      <c r="D775" s="1" t="s">
        <v>147</v>
      </c>
      <c r="E775" s="1" t="s">
        <v>148</v>
      </c>
      <c r="F775" s="1" t="s">
        <v>3372</v>
      </c>
      <c r="G775" s="1" t="s">
        <v>12480</v>
      </c>
      <c r="H775" s="1" t="s">
        <v>3373</v>
      </c>
      <c r="I775" s="2">
        <v>25.76</v>
      </c>
      <c r="J775" s="2">
        <v>-1.54</v>
      </c>
      <c r="K775" s="2">
        <v>0.01</v>
      </c>
      <c r="L775" s="2">
        <v>0.72</v>
      </c>
      <c r="M775" s="4">
        <f t="shared" si="72"/>
        <v>2576</v>
      </c>
      <c r="N775" s="4">
        <f t="shared" si="73"/>
        <v>35.777777777777779</v>
      </c>
      <c r="O775" s="5">
        <f t="shared" si="74"/>
        <v>-1.0064935064935066</v>
      </c>
      <c r="P775" s="5">
        <f t="shared" si="75"/>
        <v>71</v>
      </c>
      <c r="Q775" s="4">
        <f t="shared" si="76"/>
        <v>-25.593806451612902</v>
      </c>
      <c r="R775" s="4">
        <f t="shared" si="77"/>
        <v>5.0391236306729266E-3</v>
      </c>
      <c r="S775" s="4">
        <v>2.14</v>
      </c>
      <c r="T775" s="2">
        <v>1.94</v>
      </c>
      <c r="U775" s="2">
        <v>31.51</v>
      </c>
      <c r="V775" s="2">
        <v>18.14</v>
      </c>
      <c r="W775" s="2">
        <v>4.55</v>
      </c>
      <c r="X775" s="2">
        <v>24.75</v>
      </c>
      <c r="Y775" s="2">
        <v>7.29</v>
      </c>
      <c r="Z775" s="2">
        <v>10.130000000000001</v>
      </c>
    </row>
    <row r="776" spans="1:26" x14ac:dyDescent="0.25">
      <c r="A776" s="1" t="s">
        <v>3374</v>
      </c>
      <c r="B776" s="1" t="s">
        <v>3375</v>
      </c>
      <c r="C776" s="1" t="s">
        <v>16</v>
      </c>
      <c r="D776" s="1" t="s">
        <v>354</v>
      </c>
      <c r="E776" s="1" t="s">
        <v>355</v>
      </c>
      <c r="F776" s="1" t="s">
        <v>3376</v>
      </c>
      <c r="G776" s="1" t="s">
        <v>12480</v>
      </c>
      <c r="H776" s="1" t="s">
        <v>3377</v>
      </c>
      <c r="I776" s="2">
        <v>62.91</v>
      </c>
      <c r="J776" s="2">
        <v>3.42</v>
      </c>
      <c r="K776" s="2">
        <v>3.6</v>
      </c>
      <c r="L776" s="2">
        <v>3.82</v>
      </c>
      <c r="M776" s="4">
        <f t="shared" si="72"/>
        <v>17.474999999999998</v>
      </c>
      <c r="N776" s="4">
        <f t="shared" si="73"/>
        <v>16.468586387434556</v>
      </c>
      <c r="O776" s="5">
        <f t="shared" si="74"/>
        <v>5.2631578947368363E-2</v>
      </c>
      <c r="P776" s="5">
        <f t="shared" si="75"/>
        <v>6.1111111111111116E-2</v>
      </c>
      <c r="Q776" s="4">
        <f t="shared" si="76"/>
        <v>3.3202500000000033</v>
      </c>
      <c r="R776" s="4">
        <f t="shared" si="77"/>
        <v>2.694859590671109</v>
      </c>
      <c r="S776" s="4">
        <v>14.16</v>
      </c>
      <c r="T776" s="2">
        <v>0.71</v>
      </c>
      <c r="U776" s="2">
        <v>66.510000000000005</v>
      </c>
      <c r="V776" s="2">
        <v>49.66</v>
      </c>
      <c r="W776" s="2">
        <v>-0.22</v>
      </c>
      <c r="X776" s="2">
        <v>0.88</v>
      </c>
      <c r="Y776" s="2">
        <v>5.13</v>
      </c>
      <c r="Z776" s="2">
        <v>7.37</v>
      </c>
    </row>
    <row r="777" spans="1:26" x14ac:dyDescent="0.25">
      <c r="A777" s="1" t="s">
        <v>3378</v>
      </c>
      <c r="B777" s="1" t="s">
        <v>3379</v>
      </c>
      <c r="C777" s="1" t="s">
        <v>16</v>
      </c>
      <c r="D777" s="1" t="s">
        <v>46</v>
      </c>
      <c r="E777" s="1" t="s">
        <v>770</v>
      </c>
      <c r="F777" s="1" t="s">
        <v>3380</v>
      </c>
      <c r="G777" s="1" t="s">
        <v>12480</v>
      </c>
      <c r="H777" s="1" t="s">
        <v>12533</v>
      </c>
      <c r="I777" s="2">
        <v>112.25</v>
      </c>
      <c r="J777" s="2">
        <v>26.28</v>
      </c>
      <c r="K777" s="2"/>
      <c r="L777" s="2"/>
      <c r="M777" s="4" t="e">
        <f t="shared" si="72"/>
        <v>#DIV/0!</v>
      </c>
      <c r="N777" s="4" t="e">
        <f t="shared" si="73"/>
        <v>#DIV/0!</v>
      </c>
      <c r="O777" s="5">
        <f t="shared" si="74"/>
        <v>-1</v>
      </c>
      <c r="P777" s="5" t="e">
        <f t="shared" si="75"/>
        <v>#DIV/0!</v>
      </c>
      <c r="Q777" s="4" t="e">
        <f t="shared" si="76"/>
        <v>#DIV/0!</v>
      </c>
      <c r="R777" s="4" t="e">
        <f t="shared" si="77"/>
        <v>#DIV/0!</v>
      </c>
      <c r="S777" s="4">
        <v>2.8</v>
      </c>
      <c r="T777" s="2">
        <v>0.98</v>
      </c>
      <c r="U777" s="2">
        <v>118.28</v>
      </c>
      <c r="V777" s="2">
        <v>66.47</v>
      </c>
      <c r="W777" s="2">
        <v>-5.0999999999999996</v>
      </c>
      <c r="X777" s="2">
        <v>8.98</v>
      </c>
      <c r="Y777" s="2">
        <v>18.510000000000002</v>
      </c>
      <c r="Z777" s="2">
        <v>19.190000000000001</v>
      </c>
    </row>
    <row r="778" spans="1:26" x14ac:dyDescent="0.25">
      <c r="A778" s="1" t="s">
        <v>3381</v>
      </c>
      <c r="B778" s="1" t="s">
        <v>3382</v>
      </c>
      <c r="C778" s="1" t="s">
        <v>45</v>
      </c>
      <c r="D778" s="1" t="s">
        <v>32</v>
      </c>
      <c r="E778" s="1" t="s">
        <v>1607</v>
      </c>
      <c r="F778" s="1" t="s">
        <v>3383</v>
      </c>
      <c r="G778" s="1" t="s">
        <v>12513</v>
      </c>
      <c r="H778" s="1" t="s">
        <v>3384</v>
      </c>
      <c r="I778" s="2">
        <v>20.98</v>
      </c>
      <c r="J778" s="2">
        <v>0.85</v>
      </c>
      <c r="K778" s="2">
        <v>1.06</v>
      </c>
      <c r="L778" s="2">
        <v>1.27</v>
      </c>
      <c r="M778" s="4">
        <f t="shared" si="72"/>
        <v>19.79245283018868</v>
      </c>
      <c r="N778" s="4">
        <f t="shared" si="73"/>
        <v>16.519685039370078</v>
      </c>
      <c r="O778" s="5">
        <f t="shared" si="74"/>
        <v>0.24705882352941178</v>
      </c>
      <c r="P778" s="5">
        <f t="shared" si="75"/>
        <v>0.19811320754716988</v>
      </c>
      <c r="Q778" s="4">
        <f t="shared" si="76"/>
        <v>0.80112309074573218</v>
      </c>
      <c r="R778" s="4">
        <f t="shared" si="77"/>
        <v>0.83385076865391794</v>
      </c>
      <c r="S778" s="4">
        <v>-7.53</v>
      </c>
      <c r="T778" s="2">
        <v>1.7</v>
      </c>
      <c r="U778" s="2">
        <v>27.73</v>
      </c>
      <c r="V778" s="2">
        <v>11.31</v>
      </c>
      <c r="W778" s="2">
        <v>-21.04</v>
      </c>
      <c r="X778" s="2">
        <v>-19.09</v>
      </c>
      <c r="Y778" s="2">
        <v>9.7899999999999991</v>
      </c>
      <c r="Z778" s="2">
        <v>6.12</v>
      </c>
    </row>
    <row r="779" spans="1:26" x14ac:dyDescent="0.25">
      <c r="A779" s="1" t="s">
        <v>3385</v>
      </c>
      <c r="B779" s="1" t="s">
        <v>3386</v>
      </c>
      <c r="C779" s="1" t="s">
        <v>16</v>
      </c>
      <c r="D779" s="1" t="s">
        <v>46</v>
      </c>
      <c r="E779" s="1" t="s">
        <v>47</v>
      </c>
      <c r="F779" s="1" t="s">
        <v>3387</v>
      </c>
      <c r="G779" s="1" t="s">
        <v>12480</v>
      </c>
      <c r="H779" s="1" t="s">
        <v>3388</v>
      </c>
      <c r="I779" s="2">
        <v>60.58</v>
      </c>
      <c r="J779" s="2">
        <v>5.82</v>
      </c>
      <c r="K779" s="2">
        <v>7.21</v>
      </c>
      <c r="L779" s="2">
        <v>8.1199999999999992</v>
      </c>
      <c r="M779" s="4">
        <f t="shared" si="72"/>
        <v>8.4022191400832167</v>
      </c>
      <c r="N779" s="4">
        <f t="shared" si="73"/>
        <v>7.460591133004927</v>
      </c>
      <c r="O779" s="5">
        <f t="shared" si="74"/>
        <v>0.23883161512027495</v>
      </c>
      <c r="P779" s="5">
        <f t="shared" si="75"/>
        <v>0.12621359223300965</v>
      </c>
      <c r="Q779" s="4">
        <f t="shared" si="76"/>
        <v>0.35180514672866414</v>
      </c>
      <c r="R779" s="4">
        <f t="shared" si="77"/>
        <v>0.5911083743842368</v>
      </c>
      <c r="S779" s="4">
        <v>2.79</v>
      </c>
      <c r="T779" s="2">
        <v>1.34</v>
      </c>
      <c r="U779" s="2">
        <v>75.349999999999994</v>
      </c>
      <c r="V779" s="2">
        <v>35.880000000000003</v>
      </c>
      <c r="W779" s="2">
        <v>-5.71</v>
      </c>
      <c r="X779" s="2">
        <v>-19.23</v>
      </c>
      <c r="Y779" s="2" t="s">
        <v>12635</v>
      </c>
      <c r="Z779" s="2">
        <v>-12.71</v>
      </c>
    </row>
    <row r="780" spans="1:26" x14ac:dyDescent="0.25">
      <c r="A780" s="1" t="s">
        <v>3389</v>
      </c>
      <c r="B780" s="1" t="s">
        <v>3390</v>
      </c>
      <c r="C780" s="1" t="s">
        <v>16</v>
      </c>
      <c r="D780" s="1" t="s">
        <v>305</v>
      </c>
      <c r="E780" s="1" t="s">
        <v>306</v>
      </c>
      <c r="F780" s="1" t="s">
        <v>3391</v>
      </c>
      <c r="G780" s="1" t="s">
        <v>12480</v>
      </c>
      <c r="H780" s="1" t="s">
        <v>3392</v>
      </c>
      <c r="I780" s="2">
        <v>32.82</v>
      </c>
      <c r="J780" s="2">
        <v>0.94</v>
      </c>
      <c r="K780" s="2">
        <v>2.77</v>
      </c>
      <c r="L780" s="2">
        <v>3.45</v>
      </c>
      <c r="M780" s="4">
        <f t="shared" si="72"/>
        <v>11.848375451263538</v>
      </c>
      <c r="N780" s="4">
        <f t="shared" si="73"/>
        <v>9.5130434782608688</v>
      </c>
      <c r="O780" s="5">
        <f t="shared" si="74"/>
        <v>1.9468085106382982</v>
      </c>
      <c r="P780" s="5">
        <f t="shared" si="75"/>
        <v>0.24548736462093879</v>
      </c>
      <c r="Q780" s="4">
        <f t="shared" si="76"/>
        <v>6.0860507782446581E-2</v>
      </c>
      <c r="R780" s="4">
        <f t="shared" si="77"/>
        <v>0.38751662404092047</v>
      </c>
      <c r="S780" s="4">
        <v>-27.07</v>
      </c>
      <c r="T780" s="2">
        <v>2.08</v>
      </c>
      <c r="U780" s="2">
        <v>35.78</v>
      </c>
      <c r="V780" s="2">
        <v>10.38</v>
      </c>
      <c r="W780" s="2">
        <v>-5.31</v>
      </c>
      <c r="X780" s="2">
        <v>2.2400000000000002</v>
      </c>
      <c r="Y780" s="2">
        <v>45.48</v>
      </c>
      <c r="Z780" s="2">
        <v>38.130000000000003</v>
      </c>
    </row>
    <row r="781" spans="1:26" x14ac:dyDescent="0.25">
      <c r="A781" s="1" t="s">
        <v>3394</v>
      </c>
      <c r="B781" s="1" t="s">
        <v>3395</v>
      </c>
      <c r="C781" s="1" t="s">
        <v>31</v>
      </c>
      <c r="D781" s="1" t="s">
        <v>128</v>
      </c>
      <c r="E781" s="1" t="s">
        <v>556</v>
      </c>
      <c r="F781" s="1" t="s">
        <v>3396</v>
      </c>
      <c r="G781" s="1" t="s">
        <v>12480</v>
      </c>
      <c r="H781" s="1" t="s">
        <v>3397</v>
      </c>
      <c r="I781" s="2">
        <v>16.14</v>
      </c>
      <c r="J781" s="2">
        <v>0.86</v>
      </c>
      <c r="K781" s="2">
        <v>0.91</v>
      </c>
      <c r="L781" s="2">
        <v>0.98</v>
      </c>
      <c r="M781" s="4">
        <f t="shared" si="72"/>
        <v>17.736263736263737</v>
      </c>
      <c r="N781" s="4">
        <f t="shared" si="73"/>
        <v>16.469387755102041</v>
      </c>
      <c r="O781" s="5">
        <f t="shared" si="74"/>
        <v>5.8139534883721034E-2</v>
      </c>
      <c r="P781" s="5">
        <f t="shared" si="75"/>
        <v>7.6923076923076872E-2</v>
      </c>
      <c r="Q781" s="4">
        <f t="shared" si="76"/>
        <v>3.0506373626373575</v>
      </c>
      <c r="R781" s="4">
        <f t="shared" si="77"/>
        <v>2.1410204081632669</v>
      </c>
      <c r="S781" s="4">
        <v>4.17</v>
      </c>
      <c r="T781" s="2">
        <v>0.25</v>
      </c>
      <c r="U781" s="2">
        <v>18.57</v>
      </c>
      <c r="V781" s="2">
        <v>15.14</v>
      </c>
      <c r="W781" s="2">
        <v>-2.65</v>
      </c>
      <c r="X781" s="2">
        <v>-2.7</v>
      </c>
      <c r="Y781" s="2">
        <v>-10.98</v>
      </c>
      <c r="Z781" s="2">
        <v>-10.53</v>
      </c>
    </row>
    <row r="782" spans="1:26" x14ac:dyDescent="0.25">
      <c r="A782" s="1" t="s">
        <v>3398</v>
      </c>
      <c r="B782" s="1" t="s">
        <v>3399</v>
      </c>
      <c r="C782" s="1" t="s">
        <v>16</v>
      </c>
      <c r="D782" s="1" t="s">
        <v>140</v>
      </c>
      <c r="E782" s="1" t="s">
        <v>284</v>
      </c>
      <c r="F782" s="1" t="s">
        <v>3400</v>
      </c>
      <c r="G782" s="1" t="s">
        <v>12480</v>
      </c>
      <c r="H782" s="1" t="s">
        <v>3401</v>
      </c>
      <c r="I782" s="2">
        <v>10.210000000000001</v>
      </c>
      <c r="J782" s="2">
        <v>0.19</v>
      </c>
      <c r="K782" s="2"/>
      <c r="L782" s="2"/>
      <c r="M782" s="4" t="e">
        <f t="shared" si="72"/>
        <v>#DIV/0!</v>
      </c>
      <c r="N782" s="4" t="e">
        <f t="shared" si="73"/>
        <v>#DIV/0!</v>
      </c>
      <c r="O782" s="5">
        <f t="shared" si="74"/>
        <v>-1</v>
      </c>
      <c r="P782" s="5" t="e">
        <f t="shared" si="75"/>
        <v>#DIV/0!</v>
      </c>
      <c r="Q782" s="4" t="e">
        <f t="shared" si="76"/>
        <v>#DIV/0!</v>
      </c>
      <c r="R782" s="4" t="e">
        <f t="shared" si="77"/>
        <v>#DIV/0!</v>
      </c>
      <c r="S782" s="4">
        <v>5.04</v>
      </c>
      <c r="T782" s="2">
        <v>0.37</v>
      </c>
      <c r="U782" s="2">
        <v>12.81</v>
      </c>
      <c r="V782" s="2">
        <v>6.54</v>
      </c>
      <c r="W782" s="2">
        <v>-4.13</v>
      </c>
      <c r="X782" s="2">
        <v>5.04</v>
      </c>
      <c r="Y782" s="2">
        <v>14.98</v>
      </c>
      <c r="Z782" s="2">
        <v>1.29</v>
      </c>
    </row>
    <row r="783" spans="1:26" x14ac:dyDescent="0.25">
      <c r="A783" s="1" t="s">
        <v>3402</v>
      </c>
      <c r="B783" s="1" t="s">
        <v>3403</v>
      </c>
      <c r="C783" s="1" t="s">
        <v>16</v>
      </c>
      <c r="D783" s="1" t="s">
        <v>128</v>
      </c>
      <c r="E783" s="1" t="s">
        <v>556</v>
      </c>
      <c r="F783" s="1" t="s">
        <v>3404</v>
      </c>
      <c r="G783" s="1" t="s">
        <v>12480</v>
      </c>
      <c r="H783" s="1" t="s">
        <v>3405</v>
      </c>
      <c r="I783" s="2">
        <v>51.92</v>
      </c>
      <c r="J783" s="2">
        <v>0.68</v>
      </c>
      <c r="K783" s="2">
        <v>3.17</v>
      </c>
      <c r="L783" s="2">
        <v>3.92</v>
      </c>
      <c r="M783" s="4">
        <f t="shared" si="72"/>
        <v>16.378548895899055</v>
      </c>
      <c r="N783" s="4">
        <f t="shared" si="73"/>
        <v>13.244897959183675</v>
      </c>
      <c r="O783" s="5">
        <f t="shared" si="74"/>
        <v>3.6617647058823524</v>
      </c>
      <c r="P783" s="5">
        <f t="shared" si="75"/>
        <v>0.2365930599369086</v>
      </c>
      <c r="Q783" s="4">
        <f t="shared" si="76"/>
        <v>4.4728567265909069E-2</v>
      </c>
      <c r="R783" s="4">
        <f t="shared" si="77"/>
        <v>0.55981768707482982</v>
      </c>
      <c r="S783" s="4">
        <v>7.36</v>
      </c>
      <c r="T783" s="2">
        <v>1.24</v>
      </c>
      <c r="U783" s="2">
        <v>54.2</v>
      </c>
      <c r="V783" s="2">
        <v>27.63</v>
      </c>
      <c r="W783" s="2">
        <v>-4.21</v>
      </c>
      <c r="X783" s="2">
        <v>7.27</v>
      </c>
      <c r="Y783" s="2">
        <v>43.47</v>
      </c>
      <c r="Z783" s="2">
        <v>44.22</v>
      </c>
    </row>
    <row r="784" spans="1:26" x14ac:dyDescent="0.25">
      <c r="A784" s="1" t="s">
        <v>3406</v>
      </c>
      <c r="B784" s="1" t="s">
        <v>3407</v>
      </c>
      <c r="C784" s="1" t="s">
        <v>45</v>
      </c>
      <c r="D784" s="1" t="s">
        <v>32</v>
      </c>
      <c r="E784" s="1" t="s">
        <v>565</v>
      </c>
      <c r="F784" s="1" t="s">
        <v>3408</v>
      </c>
      <c r="G784" s="1" t="s">
        <v>12480</v>
      </c>
      <c r="H784" s="1" t="s">
        <v>3409</v>
      </c>
      <c r="I784" s="2">
        <v>176.59</v>
      </c>
      <c r="J784" s="2">
        <v>2.13</v>
      </c>
      <c r="K784" s="2">
        <v>2.61</v>
      </c>
      <c r="L784" s="2">
        <v>4.63</v>
      </c>
      <c r="M784" s="4">
        <f t="shared" si="72"/>
        <v>67.659003831417635</v>
      </c>
      <c r="N784" s="4">
        <f t="shared" si="73"/>
        <v>38.14038876889849</v>
      </c>
      <c r="O784" s="5">
        <f t="shared" si="74"/>
        <v>0.22535211267605626</v>
      </c>
      <c r="P784" s="5">
        <f t="shared" si="75"/>
        <v>0.7739463601532568</v>
      </c>
      <c r="Q784" s="4">
        <f t="shared" si="76"/>
        <v>3.0023682950191586</v>
      </c>
      <c r="R784" s="4">
        <f t="shared" si="77"/>
        <v>0.49280403310309434</v>
      </c>
      <c r="S784" s="4">
        <v>27.93</v>
      </c>
      <c r="T784" s="2">
        <v>1.82</v>
      </c>
      <c r="U784" s="2">
        <v>281.74</v>
      </c>
      <c r="V784" s="2">
        <v>160.34</v>
      </c>
      <c r="W784" s="2">
        <v>0.1</v>
      </c>
      <c r="X784" s="2">
        <v>-5.18</v>
      </c>
      <c r="Y784" s="2">
        <v>-22.2</v>
      </c>
      <c r="Z784" s="2">
        <v>-22.03</v>
      </c>
    </row>
    <row r="785" spans="1:26" x14ac:dyDescent="0.25">
      <c r="A785" s="1" t="s">
        <v>3410</v>
      </c>
      <c r="B785" s="1" t="s">
        <v>3411</v>
      </c>
      <c r="C785" s="1" t="s">
        <v>31</v>
      </c>
      <c r="D785" s="1" t="s">
        <v>32</v>
      </c>
      <c r="E785" s="1" t="s">
        <v>215</v>
      </c>
      <c r="F785" s="1" t="s">
        <v>3412</v>
      </c>
      <c r="G785" s="1" t="s">
        <v>12480</v>
      </c>
      <c r="H785" s="1" t="s">
        <v>3413</v>
      </c>
      <c r="I785" s="2">
        <v>21.5</v>
      </c>
      <c r="J785" s="2">
        <v>1.48</v>
      </c>
      <c r="K785" s="2">
        <v>1.57</v>
      </c>
      <c r="L785" s="2">
        <v>1.7</v>
      </c>
      <c r="M785" s="4">
        <f t="shared" si="72"/>
        <v>13.694267515923567</v>
      </c>
      <c r="N785" s="4">
        <f t="shared" si="73"/>
        <v>12.647058823529411</v>
      </c>
      <c r="O785" s="5">
        <f t="shared" si="74"/>
        <v>6.0810810810810967E-2</v>
      </c>
      <c r="P785" s="5">
        <f t="shared" si="75"/>
        <v>8.2802547770700619E-2</v>
      </c>
      <c r="Q785" s="4">
        <f t="shared" si="76"/>
        <v>2.2519462137296475</v>
      </c>
      <c r="R785" s="4">
        <f t="shared" si="77"/>
        <v>1.5273755656108599</v>
      </c>
      <c r="S785" s="4">
        <v>4.8899999999999997</v>
      </c>
      <c r="T785" s="2">
        <v>1.01</v>
      </c>
      <c r="U785" s="2">
        <v>43.59</v>
      </c>
      <c r="V785" s="2">
        <v>19.77</v>
      </c>
      <c r="W785" s="2">
        <v>-1.24</v>
      </c>
      <c r="X785" s="2">
        <v>-19.600000000000001</v>
      </c>
      <c r="Y785" s="2">
        <v>-22.16</v>
      </c>
      <c r="Z785" s="2">
        <v>-22.99</v>
      </c>
    </row>
    <row r="786" spans="1:26" x14ac:dyDescent="0.25">
      <c r="A786" s="1" t="s">
        <v>3414</v>
      </c>
      <c r="B786" s="1" t="s">
        <v>3415</v>
      </c>
      <c r="C786" s="1" t="s">
        <v>45</v>
      </c>
      <c r="D786" s="1" t="s">
        <v>140</v>
      </c>
      <c r="E786" s="1" t="s">
        <v>284</v>
      </c>
      <c r="F786" s="1" t="s">
        <v>3416</v>
      </c>
      <c r="G786" s="1" t="s">
        <v>12480</v>
      </c>
      <c r="H786" s="1" t="s">
        <v>12506</v>
      </c>
      <c r="I786" s="2">
        <v>221.42</v>
      </c>
      <c r="J786" s="2">
        <v>13.18</v>
      </c>
      <c r="K786" s="2">
        <v>14.49</v>
      </c>
      <c r="L786" s="2">
        <v>17.510000000000002</v>
      </c>
      <c r="M786" s="4">
        <f t="shared" si="72"/>
        <v>15.280883367839888</v>
      </c>
      <c r="N786" s="4">
        <f t="shared" si="73"/>
        <v>12.645345516847513</v>
      </c>
      <c r="O786" s="5">
        <f t="shared" si="74"/>
        <v>9.9393019726858878E-2</v>
      </c>
      <c r="P786" s="5">
        <f t="shared" si="75"/>
        <v>0.20841959972394775</v>
      </c>
      <c r="Q786" s="4">
        <f t="shared" si="76"/>
        <v>1.5374201739551887</v>
      </c>
      <c r="R786" s="4">
        <f t="shared" si="77"/>
        <v>0.606725352778544</v>
      </c>
      <c r="S786" s="4">
        <v>59.67</v>
      </c>
      <c r="T786" s="2">
        <v>3.86</v>
      </c>
      <c r="U786" s="2">
        <v>281.79000000000002</v>
      </c>
      <c r="V786" s="2">
        <v>70.8</v>
      </c>
      <c r="W786" s="2">
        <v>11.26</v>
      </c>
      <c r="X786" s="2">
        <v>19.54</v>
      </c>
      <c r="Y786" s="2">
        <v>15.91</v>
      </c>
      <c r="Z786" s="2" t="s">
        <v>12489</v>
      </c>
    </row>
    <row r="787" spans="1:26" x14ac:dyDescent="0.25">
      <c r="A787" s="1" t="s">
        <v>3418</v>
      </c>
      <c r="B787" s="1" t="s">
        <v>3419</v>
      </c>
      <c r="C787" s="1" t="s">
        <v>45</v>
      </c>
      <c r="D787" s="1" t="s">
        <v>18</v>
      </c>
      <c r="E787" s="1" t="s">
        <v>74</v>
      </c>
      <c r="F787" s="1" t="s">
        <v>3420</v>
      </c>
      <c r="G787" s="1" t="s">
        <v>12480</v>
      </c>
      <c r="H787" s="1" t="s">
        <v>3421</v>
      </c>
      <c r="I787" s="2">
        <v>21.33</v>
      </c>
      <c r="J787" s="2">
        <v>-1.04</v>
      </c>
      <c r="K787" s="2">
        <v>-0.8</v>
      </c>
      <c r="L787" s="2">
        <v>7.0000000000000007E-2</v>
      </c>
      <c r="M787" s="4">
        <f t="shared" si="72"/>
        <v>-26.662499999999998</v>
      </c>
      <c r="N787" s="4">
        <f t="shared" si="73"/>
        <v>304.71428571428567</v>
      </c>
      <c r="O787" s="5">
        <f t="shared" si="74"/>
        <v>-0.23076923076923073</v>
      </c>
      <c r="P787" s="5">
        <f t="shared" si="75"/>
        <v>-1.0874999999999999</v>
      </c>
      <c r="Q787" s="4">
        <f t="shared" si="76"/>
        <v>1.155375</v>
      </c>
      <c r="R787" s="4">
        <f t="shared" si="77"/>
        <v>-2.8019704433497536</v>
      </c>
      <c r="S787" s="4">
        <v>20.6</v>
      </c>
      <c r="T787" s="2">
        <v>-1.25</v>
      </c>
      <c r="U787" s="2">
        <v>21.33</v>
      </c>
      <c r="V787" s="2">
        <v>5.8</v>
      </c>
      <c r="W787" s="2">
        <v>105.69</v>
      </c>
      <c r="X787" s="2" t="s">
        <v>12636</v>
      </c>
      <c r="Y787" s="2">
        <v>157.91999999999999</v>
      </c>
      <c r="Z787" s="2">
        <v>128.86000000000001</v>
      </c>
    </row>
    <row r="788" spans="1:26" x14ac:dyDescent="0.25">
      <c r="A788" s="1" t="s">
        <v>3422</v>
      </c>
      <c r="B788" s="1" t="s">
        <v>3423</v>
      </c>
      <c r="C788" s="1" t="s">
        <v>16</v>
      </c>
      <c r="D788" s="1" t="s">
        <v>38</v>
      </c>
      <c r="E788" s="1" t="s">
        <v>259</v>
      </c>
      <c r="F788" s="1" t="s">
        <v>3424</v>
      </c>
      <c r="G788" s="1" t="s">
        <v>12480</v>
      </c>
      <c r="H788" s="1" t="s">
        <v>3425</v>
      </c>
      <c r="I788" s="2">
        <v>27.14</v>
      </c>
      <c r="J788" s="2"/>
      <c r="K788" s="2"/>
      <c r="L788" s="2"/>
      <c r="M788" s="4" t="e">
        <f t="shared" si="72"/>
        <v>#DIV/0!</v>
      </c>
      <c r="N788" s="4" t="e">
        <f t="shared" si="73"/>
        <v>#DIV/0!</v>
      </c>
      <c r="O788" s="5" t="e">
        <f t="shared" si="74"/>
        <v>#DIV/0!</v>
      </c>
      <c r="P788" s="5" t="e">
        <f t="shared" si="75"/>
        <v>#DIV/0!</v>
      </c>
      <c r="Q788" s="4" t="e">
        <f t="shared" si="76"/>
        <v>#DIV/0!</v>
      </c>
      <c r="R788" s="4" t="e">
        <f t="shared" si="77"/>
        <v>#DIV/0!</v>
      </c>
      <c r="S788" s="4"/>
      <c r="T788" s="2">
        <v>0.16</v>
      </c>
      <c r="U788" s="2">
        <v>27.51</v>
      </c>
      <c r="V788" s="2">
        <v>20.16</v>
      </c>
      <c r="W788" s="2">
        <v>5.15</v>
      </c>
      <c r="X788" s="2">
        <v>11.92</v>
      </c>
      <c r="Y788" s="2">
        <v>18.98</v>
      </c>
      <c r="Z788" s="2">
        <v>21.38</v>
      </c>
    </row>
    <row r="789" spans="1:26" x14ac:dyDescent="0.25">
      <c r="A789" s="1" t="s">
        <v>3427</v>
      </c>
      <c r="B789" s="1" t="s">
        <v>3428</v>
      </c>
      <c r="C789" s="1" t="s">
        <v>16</v>
      </c>
      <c r="D789" s="1" t="s">
        <v>32</v>
      </c>
      <c r="E789" s="1" t="s">
        <v>311</v>
      </c>
      <c r="F789" s="1" t="s">
        <v>3429</v>
      </c>
      <c r="G789" s="1" t="s">
        <v>12480</v>
      </c>
      <c r="H789" s="1" t="s">
        <v>2828</v>
      </c>
      <c r="I789" s="2">
        <v>75.319999999999993</v>
      </c>
      <c r="J789" s="2">
        <v>4.7300000000000004</v>
      </c>
      <c r="K789" s="2">
        <v>5.48</v>
      </c>
      <c r="L789" s="2">
        <v>6.88</v>
      </c>
      <c r="M789" s="4">
        <f t="shared" si="72"/>
        <v>13.744525547445253</v>
      </c>
      <c r="N789" s="4">
        <f t="shared" si="73"/>
        <v>10.947674418604651</v>
      </c>
      <c r="O789" s="5">
        <f t="shared" si="74"/>
        <v>0.15856236786469347</v>
      </c>
      <c r="P789" s="5">
        <f t="shared" si="75"/>
        <v>0.25547445255474432</v>
      </c>
      <c r="Q789" s="4">
        <f t="shared" si="76"/>
        <v>0.8668214111922139</v>
      </c>
      <c r="R789" s="4">
        <f t="shared" si="77"/>
        <v>0.42852325581395379</v>
      </c>
      <c r="S789" s="4" t="s">
        <v>12845</v>
      </c>
      <c r="T789" s="2">
        <v>1.45</v>
      </c>
      <c r="U789" s="2">
        <v>83.05</v>
      </c>
      <c r="V789" s="2">
        <v>37.04</v>
      </c>
      <c r="W789" s="2">
        <v>-6.26</v>
      </c>
      <c r="X789" s="2">
        <v>6.13</v>
      </c>
      <c r="Y789" s="2">
        <v>12.77</v>
      </c>
      <c r="Z789" s="2">
        <v>10.94</v>
      </c>
    </row>
    <row r="790" spans="1:26" x14ac:dyDescent="0.25">
      <c r="A790" s="1" t="s">
        <v>3430</v>
      </c>
      <c r="B790" s="1" t="s">
        <v>3431</v>
      </c>
      <c r="C790" s="1" t="s">
        <v>31</v>
      </c>
      <c r="D790" s="1" t="s">
        <v>38</v>
      </c>
      <c r="E790" s="1" t="s">
        <v>2304</v>
      </c>
      <c r="F790" s="1" t="s">
        <v>3432</v>
      </c>
      <c r="G790" s="1" t="s">
        <v>12480</v>
      </c>
      <c r="H790" s="1" t="s">
        <v>3433</v>
      </c>
      <c r="I790" s="2">
        <v>28.29</v>
      </c>
      <c r="J790" s="2">
        <v>1.32</v>
      </c>
      <c r="K790" s="2">
        <v>1.38</v>
      </c>
      <c r="L790" s="2">
        <v>1.5</v>
      </c>
      <c r="M790" s="4">
        <f t="shared" si="72"/>
        <v>20.5</v>
      </c>
      <c r="N790" s="4">
        <f t="shared" si="73"/>
        <v>18.86</v>
      </c>
      <c r="O790" s="5">
        <f t="shared" si="74"/>
        <v>4.5454545454545414E-2</v>
      </c>
      <c r="P790" s="5">
        <f t="shared" si="75"/>
        <v>8.6956521739130599E-2</v>
      </c>
      <c r="Q790" s="4">
        <f t="shared" si="76"/>
        <v>4.5100000000000042</v>
      </c>
      <c r="R790" s="4">
        <f t="shared" si="77"/>
        <v>2.1688999999999958</v>
      </c>
      <c r="S790" s="4">
        <v>-10.63</v>
      </c>
      <c r="T790" s="2">
        <v>0.51</v>
      </c>
      <c r="U790" s="2">
        <v>33.200000000000003</v>
      </c>
      <c r="V790" s="2">
        <v>23.47</v>
      </c>
      <c r="W790" s="2">
        <v>3.85</v>
      </c>
      <c r="X790" s="2">
        <v>12.35</v>
      </c>
      <c r="Y790" s="2">
        <v>11.25</v>
      </c>
      <c r="Z790" s="2">
        <v>7.61</v>
      </c>
    </row>
    <row r="791" spans="1:26" x14ac:dyDescent="0.25">
      <c r="A791" s="1" t="s">
        <v>3434</v>
      </c>
      <c r="B791" s="1" t="s">
        <v>3435</v>
      </c>
      <c r="C791" s="1" t="s">
        <v>16</v>
      </c>
      <c r="D791" s="1" t="s">
        <v>38</v>
      </c>
      <c r="E791" s="1" t="s">
        <v>101</v>
      </c>
      <c r="F791" s="1" t="s">
        <v>3436</v>
      </c>
      <c r="G791" s="1" t="s">
        <v>12480</v>
      </c>
      <c r="H791" s="1" t="s">
        <v>3437</v>
      </c>
      <c r="I791" s="2">
        <v>15.38</v>
      </c>
      <c r="J791" s="2">
        <v>0.52</v>
      </c>
      <c r="K791" s="2">
        <v>0.41</v>
      </c>
      <c r="L791" s="2">
        <v>0.54</v>
      </c>
      <c r="M791" s="4">
        <f t="shared" si="72"/>
        <v>37.512195121951223</v>
      </c>
      <c r="N791" s="4">
        <f t="shared" si="73"/>
        <v>28.481481481481481</v>
      </c>
      <c r="O791" s="5">
        <f t="shared" si="74"/>
        <v>-0.21153846153846156</v>
      </c>
      <c r="P791" s="5">
        <f t="shared" si="75"/>
        <v>0.31707317073170738</v>
      </c>
      <c r="Q791" s="4">
        <f t="shared" si="76"/>
        <v>-1.7733037694013303</v>
      </c>
      <c r="R791" s="4">
        <f t="shared" si="77"/>
        <v>0.89826210826210806</v>
      </c>
      <c r="S791" s="4">
        <v>64.13</v>
      </c>
      <c r="T791" s="2">
        <v>1.67</v>
      </c>
      <c r="U791" s="2">
        <v>15.46</v>
      </c>
      <c r="V791" s="2">
        <v>6.8</v>
      </c>
      <c r="W791" s="2">
        <v>-0.39</v>
      </c>
      <c r="X791" s="2">
        <v>-0.13</v>
      </c>
      <c r="Y791" s="2">
        <v>9.6199999999999992</v>
      </c>
      <c r="Z791" s="2">
        <v>0.26</v>
      </c>
    </row>
    <row r="792" spans="1:26" x14ac:dyDescent="0.25">
      <c r="A792" s="1" t="s">
        <v>3438</v>
      </c>
      <c r="B792" s="1" t="s">
        <v>3439</v>
      </c>
      <c r="C792" s="1" t="s">
        <v>31</v>
      </c>
      <c r="D792" s="1" t="s">
        <v>38</v>
      </c>
      <c r="E792" s="1" t="s">
        <v>189</v>
      </c>
      <c r="F792" s="1" t="s">
        <v>3440</v>
      </c>
      <c r="G792" s="1" t="s">
        <v>12480</v>
      </c>
      <c r="H792" s="1" t="s">
        <v>3441</v>
      </c>
      <c r="I792" s="2">
        <v>172.09899999999999</v>
      </c>
      <c r="J792" s="2">
        <v>11.82</v>
      </c>
      <c r="K792" s="2">
        <v>12.36</v>
      </c>
      <c r="L792" s="2">
        <v>13.09</v>
      </c>
      <c r="M792" s="4">
        <f t="shared" si="72"/>
        <v>13.923867313915858</v>
      </c>
      <c r="N792" s="4">
        <f t="shared" si="73"/>
        <v>13.147364400305577</v>
      </c>
      <c r="O792" s="5">
        <f t="shared" si="74"/>
        <v>4.5685279187817285E-2</v>
      </c>
      <c r="P792" s="5">
        <f t="shared" si="75"/>
        <v>5.9061488673139095E-2</v>
      </c>
      <c r="Q792" s="4">
        <f t="shared" si="76"/>
        <v>3.0477798453793583</v>
      </c>
      <c r="R792" s="4">
        <f t="shared" si="77"/>
        <v>2.226046903942152</v>
      </c>
      <c r="S792" s="4">
        <v>-3.33</v>
      </c>
      <c r="T792" s="2">
        <v>0.55000000000000004</v>
      </c>
      <c r="U792" s="2">
        <v>189.21</v>
      </c>
      <c r="V792" s="2">
        <v>111.8</v>
      </c>
      <c r="W792" s="2">
        <v>-2.1</v>
      </c>
      <c r="X792" s="2" t="s">
        <v>12534</v>
      </c>
      <c r="Y792" s="2">
        <v>0.51</v>
      </c>
      <c r="Z792" s="2" t="s">
        <v>12602</v>
      </c>
    </row>
    <row r="793" spans="1:26" x14ac:dyDescent="0.25">
      <c r="A793" s="1" t="s">
        <v>3443</v>
      </c>
      <c r="B793" s="1" t="s">
        <v>3444</v>
      </c>
      <c r="C793" s="1" t="s">
        <v>45</v>
      </c>
      <c r="D793" s="1" t="s">
        <v>18</v>
      </c>
      <c r="E793" s="1" t="s">
        <v>74</v>
      </c>
      <c r="F793" s="1" t="s">
        <v>3445</v>
      </c>
      <c r="G793" s="1" t="s">
        <v>12480</v>
      </c>
      <c r="H793" s="1" t="s">
        <v>3446</v>
      </c>
      <c r="I793" s="2">
        <v>22.9</v>
      </c>
      <c r="J793" s="2">
        <v>-5.85</v>
      </c>
      <c r="K793" s="2">
        <v>-1.77</v>
      </c>
      <c r="L793" s="2">
        <v>-1.5</v>
      </c>
      <c r="M793" s="4">
        <f t="shared" si="72"/>
        <v>-12.937853107344631</v>
      </c>
      <c r="N793" s="4">
        <f t="shared" si="73"/>
        <v>-15.266666666666666</v>
      </c>
      <c r="O793" s="5">
        <f t="shared" si="74"/>
        <v>-0.6974358974358974</v>
      </c>
      <c r="P793" s="5">
        <f t="shared" si="75"/>
        <v>-0.15254237288135597</v>
      </c>
      <c r="Q793" s="4">
        <f t="shared" si="76"/>
        <v>0.18550598205383848</v>
      </c>
      <c r="R793" s="4">
        <f t="shared" si="77"/>
        <v>1.0008148148148146</v>
      </c>
      <c r="S793" s="4">
        <v>-73.61</v>
      </c>
      <c r="T793" s="2">
        <v>-0.97</v>
      </c>
      <c r="U793" s="2">
        <v>24.54</v>
      </c>
      <c r="V793" s="2">
        <v>3.91</v>
      </c>
      <c r="W793" s="2">
        <v>-1.51</v>
      </c>
      <c r="X793" s="2">
        <v>3.06</v>
      </c>
      <c r="Y793" s="2">
        <v>25.2</v>
      </c>
      <c r="Z793" s="2">
        <v>19.46</v>
      </c>
    </row>
    <row r="794" spans="1:26" x14ac:dyDescent="0.25">
      <c r="A794" s="1" t="s">
        <v>3447</v>
      </c>
      <c r="B794" s="1" t="s">
        <v>3448</v>
      </c>
      <c r="C794" s="1" t="s">
        <v>45</v>
      </c>
      <c r="D794" s="1" t="s">
        <v>32</v>
      </c>
      <c r="E794" s="1" t="s">
        <v>565</v>
      </c>
      <c r="F794" s="1" t="s">
        <v>3449</v>
      </c>
      <c r="G794" s="1" t="s">
        <v>12480</v>
      </c>
      <c r="H794" s="1" t="s">
        <v>3450</v>
      </c>
      <c r="I794" s="2">
        <v>26.74</v>
      </c>
      <c r="J794" s="2">
        <v>2.84</v>
      </c>
      <c r="K794" s="2">
        <v>3.05</v>
      </c>
      <c r="L794" s="2">
        <v>3.62</v>
      </c>
      <c r="M794" s="4">
        <f t="shared" si="72"/>
        <v>8.7672131147540977</v>
      </c>
      <c r="N794" s="4">
        <f t="shared" si="73"/>
        <v>7.3867403314917119</v>
      </c>
      <c r="O794" s="5">
        <f t="shared" si="74"/>
        <v>7.3943661971830998E-2</v>
      </c>
      <c r="P794" s="5">
        <f t="shared" si="75"/>
        <v>0.18688524590163946</v>
      </c>
      <c r="Q794" s="4">
        <f t="shared" si="76"/>
        <v>1.185661202185792</v>
      </c>
      <c r="R794" s="4">
        <f t="shared" si="77"/>
        <v>0.39525540370262641</v>
      </c>
      <c r="S794" s="4">
        <v>-1.07</v>
      </c>
      <c r="T794" s="2">
        <v>0.63</v>
      </c>
      <c r="U794" s="2">
        <v>32.17</v>
      </c>
      <c r="V794" s="2">
        <v>24.28</v>
      </c>
      <c r="W794" s="2">
        <v>7.13</v>
      </c>
      <c r="X794" s="2">
        <v>7.48</v>
      </c>
      <c r="Y794" s="2">
        <v>-4.0199999999999996</v>
      </c>
      <c r="Z794" s="2">
        <v>-3.81</v>
      </c>
    </row>
    <row r="795" spans="1:26" x14ac:dyDescent="0.25">
      <c r="A795" s="1" t="s">
        <v>3451</v>
      </c>
      <c r="B795" s="1" t="s">
        <v>3452</v>
      </c>
      <c r="C795" s="1" t="s">
        <v>31</v>
      </c>
      <c r="D795" s="1" t="s">
        <v>140</v>
      </c>
      <c r="E795" s="1" t="s">
        <v>141</v>
      </c>
      <c r="F795" s="1" t="s">
        <v>3453</v>
      </c>
      <c r="G795" s="1" t="s">
        <v>12490</v>
      </c>
      <c r="H795" s="1" t="s">
        <v>2468</v>
      </c>
      <c r="I795" s="2">
        <v>64.491</v>
      </c>
      <c r="J795" s="2">
        <v>5.12</v>
      </c>
      <c r="K795" s="2"/>
      <c r="L795" s="2"/>
      <c r="M795" s="4" t="e">
        <f t="shared" si="72"/>
        <v>#DIV/0!</v>
      </c>
      <c r="N795" s="4" t="e">
        <f t="shared" si="73"/>
        <v>#DIV/0!</v>
      </c>
      <c r="O795" s="5">
        <f t="shared" si="74"/>
        <v>-1</v>
      </c>
      <c r="P795" s="5" t="e">
        <f t="shared" si="75"/>
        <v>#DIV/0!</v>
      </c>
      <c r="Q795" s="4" t="e">
        <f t="shared" si="76"/>
        <v>#DIV/0!</v>
      </c>
      <c r="R795" s="4" t="e">
        <f t="shared" si="77"/>
        <v>#DIV/0!</v>
      </c>
      <c r="S795" s="4">
        <v>-7.95</v>
      </c>
      <c r="T795" s="2">
        <v>0.65</v>
      </c>
      <c r="U795" s="2">
        <v>68.489999999999995</v>
      </c>
      <c r="V795" s="2">
        <v>58.22</v>
      </c>
      <c r="W795" s="2">
        <v>-5.84</v>
      </c>
      <c r="X795" s="2">
        <v>0.31</v>
      </c>
      <c r="Y795" s="2">
        <v>1.56</v>
      </c>
      <c r="Z795" s="2">
        <v>1.56</v>
      </c>
    </row>
    <row r="796" spans="1:26" x14ac:dyDescent="0.25">
      <c r="A796" s="1" t="s">
        <v>3454</v>
      </c>
      <c r="B796" s="1" t="s">
        <v>3455</v>
      </c>
      <c r="C796" s="1" t="s">
        <v>16</v>
      </c>
      <c r="D796" s="1" t="s">
        <v>305</v>
      </c>
      <c r="E796" s="1" t="s">
        <v>306</v>
      </c>
      <c r="F796" s="1" t="s">
        <v>3456</v>
      </c>
      <c r="G796" s="1" t="s">
        <v>12480</v>
      </c>
      <c r="H796" s="1" t="s">
        <v>3457</v>
      </c>
      <c r="I796" s="2">
        <v>5.79</v>
      </c>
      <c r="J796" s="2">
        <v>0.53</v>
      </c>
      <c r="K796" s="2">
        <v>0.47</v>
      </c>
      <c r="L796" s="2">
        <v>0.91</v>
      </c>
      <c r="M796" s="4">
        <f t="shared" si="72"/>
        <v>12.319148936170214</v>
      </c>
      <c r="N796" s="4">
        <f t="shared" si="73"/>
        <v>6.3626373626373622</v>
      </c>
      <c r="O796" s="5">
        <f t="shared" si="74"/>
        <v>-0.11320754716981141</v>
      </c>
      <c r="P796" s="5">
        <f t="shared" si="75"/>
        <v>0.93617021276595769</v>
      </c>
      <c r="Q796" s="4">
        <f t="shared" si="76"/>
        <v>-1.0881914893617015</v>
      </c>
      <c r="R796" s="4">
        <f t="shared" si="77"/>
        <v>6.7964535464535444E-2</v>
      </c>
      <c r="S796" s="4">
        <v>-4.71</v>
      </c>
      <c r="T796" s="2">
        <v>1.61</v>
      </c>
      <c r="U796" s="2" t="s">
        <v>12485</v>
      </c>
      <c r="V796" s="2">
        <v>3.1</v>
      </c>
      <c r="W796" s="2">
        <v>-9.67</v>
      </c>
      <c r="X796" s="2">
        <v>-32.28</v>
      </c>
      <c r="Y796" s="2">
        <v>-8.5299999999999994</v>
      </c>
      <c r="Z796" s="2">
        <v>-9.67</v>
      </c>
    </row>
    <row r="797" spans="1:26" x14ac:dyDescent="0.25">
      <c r="A797" s="1" t="s">
        <v>3458</v>
      </c>
      <c r="B797" s="1" t="s">
        <v>3459</v>
      </c>
      <c r="C797" s="1" t="s">
        <v>16</v>
      </c>
      <c r="D797" s="1" t="s">
        <v>25</v>
      </c>
      <c r="E797" s="1" t="s">
        <v>2444</v>
      </c>
      <c r="F797" s="1" t="s">
        <v>3460</v>
      </c>
      <c r="G797" s="1" t="s">
        <v>12496</v>
      </c>
      <c r="H797" s="1" t="s">
        <v>3461</v>
      </c>
      <c r="I797" s="2">
        <v>88.95</v>
      </c>
      <c r="J797" s="2">
        <v>3.68</v>
      </c>
      <c r="K797" s="2">
        <v>4.01</v>
      </c>
      <c r="L797" s="2">
        <v>4.3899999999999997</v>
      </c>
      <c r="M797" s="4">
        <f t="shared" si="72"/>
        <v>22.182044887780549</v>
      </c>
      <c r="N797" s="4">
        <f t="shared" si="73"/>
        <v>20.261958997722097</v>
      </c>
      <c r="O797" s="5">
        <f t="shared" si="74"/>
        <v>8.9673913043478048E-2</v>
      </c>
      <c r="P797" s="5">
        <f t="shared" si="75"/>
        <v>9.4763092269326554E-2</v>
      </c>
      <c r="Q797" s="4">
        <f t="shared" si="76"/>
        <v>2.4736340965767458</v>
      </c>
      <c r="R797" s="4">
        <f t="shared" si="77"/>
        <v>2.1381698837069925</v>
      </c>
      <c r="S797" s="4">
        <v>2.92</v>
      </c>
      <c r="T797" s="2">
        <v>1.02</v>
      </c>
      <c r="U797" s="2">
        <v>110.57</v>
      </c>
      <c r="V797" s="2">
        <v>59.18</v>
      </c>
      <c r="W797" s="2">
        <v>-7.07</v>
      </c>
      <c r="X797" s="2">
        <v>-18.54</v>
      </c>
      <c r="Y797" s="2">
        <v>-3.85</v>
      </c>
      <c r="Z797" s="2">
        <v>0.33</v>
      </c>
    </row>
    <row r="798" spans="1:26" x14ac:dyDescent="0.25">
      <c r="A798" s="1" t="s">
        <v>3462</v>
      </c>
      <c r="B798" s="1" t="s">
        <v>3463</v>
      </c>
      <c r="C798" s="1" t="s">
        <v>16</v>
      </c>
      <c r="D798" s="1" t="s">
        <v>204</v>
      </c>
      <c r="E798" s="1" t="s">
        <v>534</v>
      </c>
      <c r="F798" s="1" t="s">
        <v>3464</v>
      </c>
      <c r="G798" s="1" t="s">
        <v>12480</v>
      </c>
      <c r="H798" s="1" t="s">
        <v>2676</v>
      </c>
      <c r="I798" s="2">
        <v>131.47999999999999</v>
      </c>
      <c r="J798" s="2">
        <v>3.75</v>
      </c>
      <c r="K798" s="2">
        <v>4.09</v>
      </c>
      <c r="L798" s="2">
        <v>5.14</v>
      </c>
      <c r="M798" s="4">
        <f t="shared" si="72"/>
        <v>32.146699266503667</v>
      </c>
      <c r="N798" s="4">
        <f t="shared" si="73"/>
        <v>25.579766536964978</v>
      </c>
      <c r="O798" s="5">
        <f t="shared" si="74"/>
        <v>9.0666666666666673E-2</v>
      </c>
      <c r="P798" s="5">
        <f t="shared" si="75"/>
        <v>0.256723716381418</v>
      </c>
      <c r="Q798" s="4">
        <f t="shared" si="76"/>
        <v>3.545591830864375</v>
      </c>
      <c r="R798" s="4">
        <f t="shared" si="77"/>
        <v>0.99639281082082665</v>
      </c>
      <c r="S798" s="4">
        <v>4.8499999999999996</v>
      </c>
      <c r="T798" s="2">
        <v>1.03</v>
      </c>
      <c r="U798" s="2">
        <v>139.44999999999999</v>
      </c>
      <c r="V798" s="2">
        <v>53.5</v>
      </c>
      <c r="W798" s="2">
        <v>0.92</v>
      </c>
      <c r="X798" s="2">
        <v>7.35</v>
      </c>
      <c r="Y798" s="2">
        <v>41.54</v>
      </c>
      <c r="Z798" s="2">
        <v>38.21</v>
      </c>
    </row>
    <row r="799" spans="1:26" x14ac:dyDescent="0.25">
      <c r="A799" s="1" t="s">
        <v>3465</v>
      </c>
      <c r="B799" s="1" t="s">
        <v>3466</v>
      </c>
      <c r="C799" s="1" t="s">
        <v>45</v>
      </c>
      <c r="D799" s="1" t="s">
        <v>38</v>
      </c>
      <c r="E799" s="1" t="s">
        <v>119</v>
      </c>
      <c r="F799" s="1" t="s">
        <v>3467</v>
      </c>
      <c r="G799" s="1" t="s">
        <v>12480</v>
      </c>
      <c r="H799" s="1" t="s">
        <v>3468</v>
      </c>
      <c r="I799" s="2">
        <v>31.77</v>
      </c>
      <c r="J799" s="2">
        <v>2.59</v>
      </c>
      <c r="K799" s="2">
        <v>3.51</v>
      </c>
      <c r="L799" s="2">
        <v>4.51</v>
      </c>
      <c r="M799" s="4">
        <f t="shared" si="72"/>
        <v>9.0512820512820511</v>
      </c>
      <c r="N799" s="4">
        <f t="shared" si="73"/>
        <v>7.0443458980044351</v>
      </c>
      <c r="O799" s="5">
        <f t="shared" si="74"/>
        <v>0.35521235521235517</v>
      </c>
      <c r="P799" s="5">
        <f t="shared" si="75"/>
        <v>0.28490028490028485</v>
      </c>
      <c r="Q799" s="4">
        <f t="shared" si="76"/>
        <v>0.25481326644370123</v>
      </c>
      <c r="R799" s="4">
        <f t="shared" si="77"/>
        <v>0.2472565410199557</v>
      </c>
      <c r="S799" s="4">
        <v>13.03</v>
      </c>
      <c r="T799" s="2">
        <v>1.0900000000000001</v>
      </c>
      <c r="U799" s="2">
        <v>36.36</v>
      </c>
      <c r="V799" s="2">
        <v>24.07</v>
      </c>
      <c r="W799" s="2">
        <v>-3.49</v>
      </c>
      <c r="X799" s="2">
        <v>-12.62</v>
      </c>
      <c r="Y799" s="2">
        <v>0.86</v>
      </c>
      <c r="Z799" s="2">
        <v>5.58</v>
      </c>
    </row>
    <row r="800" spans="1:26" x14ac:dyDescent="0.25">
      <c r="A800" s="1" t="s">
        <v>3469</v>
      </c>
      <c r="B800" s="1" t="s">
        <v>3470</v>
      </c>
      <c r="C800" s="1" t="s">
        <v>16</v>
      </c>
      <c r="D800" s="1" t="s">
        <v>88</v>
      </c>
      <c r="E800" s="1" t="s">
        <v>504</v>
      </c>
      <c r="F800" s="1" t="s">
        <v>3471</v>
      </c>
      <c r="G800" s="1" t="s">
        <v>12480</v>
      </c>
      <c r="H800" s="1" t="s">
        <v>3472</v>
      </c>
      <c r="I800" s="2">
        <v>45.24</v>
      </c>
      <c r="J800" s="2">
        <v>1.68</v>
      </c>
      <c r="K800" s="2">
        <v>2.2799999999999998</v>
      </c>
      <c r="L800" s="2">
        <v>2.5</v>
      </c>
      <c r="M800" s="4">
        <f t="shared" si="72"/>
        <v>19.842105263157897</v>
      </c>
      <c r="N800" s="4">
        <f t="shared" si="73"/>
        <v>18.096</v>
      </c>
      <c r="O800" s="5">
        <f t="shared" si="74"/>
        <v>0.35714285714285698</v>
      </c>
      <c r="P800" s="5">
        <f t="shared" si="75"/>
        <v>9.6491228070175517E-2</v>
      </c>
      <c r="Q800" s="4">
        <f t="shared" si="76"/>
        <v>0.55557894736842128</v>
      </c>
      <c r="R800" s="4">
        <f t="shared" si="77"/>
        <v>1.8754036363636348</v>
      </c>
      <c r="S800" s="4">
        <v>-44.7</v>
      </c>
      <c r="T800" s="2">
        <v>1.1000000000000001</v>
      </c>
      <c r="U800" s="2">
        <v>82.16</v>
      </c>
      <c r="V800" s="2">
        <v>34.69</v>
      </c>
      <c r="W800" s="2">
        <v>-8.86</v>
      </c>
      <c r="X800" s="2">
        <v>-3.95</v>
      </c>
      <c r="Y800" s="2">
        <v>11.4</v>
      </c>
      <c r="Z800" s="2">
        <v>12.54</v>
      </c>
    </row>
    <row r="801" spans="1:26" x14ac:dyDescent="0.25">
      <c r="A801" s="1" t="s">
        <v>3473</v>
      </c>
      <c r="B801" s="1" t="s">
        <v>3474</v>
      </c>
      <c r="C801" s="1" t="s">
        <v>45</v>
      </c>
      <c r="D801" s="1" t="s">
        <v>32</v>
      </c>
      <c r="E801" s="1" t="s">
        <v>311</v>
      </c>
      <c r="F801" s="1" t="s">
        <v>3475</v>
      </c>
      <c r="G801" s="1" t="s">
        <v>12480</v>
      </c>
      <c r="H801" s="1" t="s">
        <v>3476</v>
      </c>
      <c r="I801" s="2">
        <v>128.56</v>
      </c>
      <c r="J801" s="2">
        <v>2.0499999999999998</v>
      </c>
      <c r="K801" s="2">
        <v>2.12</v>
      </c>
      <c r="L801" s="2">
        <v>2.59</v>
      </c>
      <c r="M801" s="4">
        <f t="shared" si="72"/>
        <v>60.641509433962263</v>
      </c>
      <c r="N801" s="4">
        <f t="shared" si="73"/>
        <v>49.637065637065639</v>
      </c>
      <c r="O801" s="5">
        <f t="shared" si="74"/>
        <v>3.4146341463414887E-2</v>
      </c>
      <c r="P801" s="5">
        <f t="shared" si="75"/>
        <v>0.22169811320754707</v>
      </c>
      <c r="Q801" s="4">
        <f t="shared" si="76"/>
        <v>17.759299191374531</v>
      </c>
      <c r="R801" s="4">
        <f t="shared" si="77"/>
        <v>2.2389484925655148</v>
      </c>
      <c r="S801" s="4">
        <v>27.68</v>
      </c>
      <c r="T801" s="2">
        <v>1.31</v>
      </c>
      <c r="U801" s="2">
        <v>199.72</v>
      </c>
      <c r="V801" s="2" t="s">
        <v>12638</v>
      </c>
      <c r="W801" s="2">
        <v>15.7</v>
      </c>
      <c r="X801" s="2">
        <v>12.76</v>
      </c>
      <c r="Y801" s="2">
        <v>-9.5</v>
      </c>
      <c r="Z801" s="2">
        <v>-5.46</v>
      </c>
    </row>
    <row r="802" spans="1:26" x14ac:dyDescent="0.25">
      <c r="A802" s="1" t="s">
        <v>3477</v>
      </c>
      <c r="B802" s="1" t="s">
        <v>3478</v>
      </c>
      <c r="C802" s="1" t="s">
        <v>16</v>
      </c>
      <c r="D802" s="1" t="s">
        <v>67</v>
      </c>
      <c r="E802" s="1" t="s">
        <v>3480</v>
      </c>
      <c r="F802" s="1" t="s">
        <v>3479</v>
      </c>
      <c r="G802" s="1" t="s">
        <v>12493</v>
      </c>
      <c r="H802" s="1" t="s">
        <v>3481</v>
      </c>
      <c r="I802" s="2">
        <v>589.37</v>
      </c>
      <c r="J802" s="2">
        <v>33.18</v>
      </c>
      <c r="K802" s="2">
        <v>31.94</v>
      </c>
      <c r="L802" s="2">
        <v>32.229999999999997</v>
      </c>
      <c r="M802" s="4">
        <f t="shared" si="72"/>
        <v>18.452410770194113</v>
      </c>
      <c r="N802" s="4">
        <f t="shared" si="73"/>
        <v>18.28637914986038</v>
      </c>
      <c r="O802" s="5">
        <f t="shared" si="74"/>
        <v>-3.7371910789632312E-2</v>
      </c>
      <c r="P802" s="5">
        <f t="shared" si="75"/>
        <v>9.0795241077017419E-3</v>
      </c>
      <c r="Q802" s="4">
        <f t="shared" si="76"/>
        <v>-4.9375079786696823</v>
      </c>
      <c r="R802" s="4">
        <f t="shared" si="77"/>
        <v>20.140239656777702</v>
      </c>
      <c r="S802" s="4">
        <v>-1.77</v>
      </c>
      <c r="T802" s="2">
        <v>1.3</v>
      </c>
      <c r="U802" s="2">
        <v>730.73</v>
      </c>
      <c r="V802" s="2">
        <v>294.77</v>
      </c>
      <c r="W802" s="2">
        <v>-2.97</v>
      </c>
      <c r="X802" s="2">
        <v>-9.06</v>
      </c>
      <c r="Y802" s="2">
        <v>-13.19</v>
      </c>
      <c r="Z802" s="2">
        <v>-2.8</v>
      </c>
    </row>
    <row r="803" spans="1:26" x14ac:dyDescent="0.25">
      <c r="A803" s="1" t="s">
        <v>3482</v>
      </c>
      <c r="B803" s="1" t="s">
        <v>3483</v>
      </c>
      <c r="C803" s="1" t="s">
        <v>16</v>
      </c>
      <c r="D803" s="1" t="s">
        <v>25</v>
      </c>
      <c r="E803" s="1" t="s">
        <v>449</v>
      </c>
      <c r="F803" s="1" t="s">
        <v>3484</v>
      </c>
      <c r="G803" s="1" t="s">
        <v>12479</v>
      </c>
      <c r="H803" s="1" t="s">
        <v>3485</v>
      </c>
      <c r="I803" s="2">
        <v>599.48</v>
      </c>
      <c r="J803" s="2">
        <v>18.5</v>
      </c>
      <c r="K803" s="2">
        <v>17.87</v>
      </c>
      <c r="L803" s="2">
        <v>22.92</v>
      </c>
      <c r="M803" s="4">
        <f t="shared" si="72"/>
        <v>33.546726357022941</v>
      </c>
      <c r="N803" s="4">
        <f t="shared" si="73"/>
        <v>26.155322862129143</v>
      </c>
      <c r="O803" s="5">
        <f t="shared" si="74"/>
        <v>-3.4054054054054039E-2</v>
      </c>
      <c r="P803" s="5">
        <f t="shared" si="75"/>
        <v>0.28259653049804134</v>
      </c>
      <c r="Q803" s="4">
        <f t="shared" si="76"/>
        <v>-9.851022819125788</v>
      </c>
      <c r="R803" s="4">
        <f t="shared" si="77"/>
        <v>0.92553588028959977</v>
      </c>
      <c r="S803" s="4">
        <v>-11.66</v>
      </c>
      <c r="T803" s="2">
        <v>0.96</v>
      </c>
      <c r="U803" s="2">
        <v>662.49</v>
      </c>
      <c r="V803" s="2">
        <v>412.99</v>
      </c>
      <c r="W803" s="2">
        <v>-4.9800000000000004</v>
      </c>
      <c r="X803" s="2">
        <v>2.36</v>
      </c>
      <c r="Y803" s="2">
        <v>22.84</v>
      </c>
      <c r="Z803" s="2">
        <v>28.76</v>
      </c>
    </row>
    <row r="804" spans="1:26" x14ac:dyDescent="0.25">
      <c r="A804" s="1" t="s">
        <v>3486</v>
      </c>
      <c r="B804" s="1" t="s">
        <v>3487</v>
      </c>
      <c r="C804" s="1" t="s">
        <v>16</v>
      </c>
      <c r="D804" s="1" t="s">
        <v>38</v>
      </c>
      <c r="E804" s="1" t="s">
        <v>510</v>
      </c>
      <c r="F804" s="1" t="s">
        <v>3488</v>
      </c>
      <c r="G804" s="1" t="s">
        <v>12480</v>
      </c>
      <c r="H804" s="1" t="s">
        <v>1368</v>
      </c>
      <c r="I804" s="2">
        <v>22.56</v>
      </c>
      <c r="J804" s="2">
        <v>2.99</v>
      </c>
      <c r="K804" s="2">
        <v>3.09</v>
      </c>
      <c r="L804" s="2"/>
      <c r="M804" s="4">
        <f t="shared" si="72"/>
        <v>7.3009708737864081</v>
      </c>
      <c r="N804" s="4" t="e">
        <f t="shared" si="73"/>
        <v>#DIV/0!</v>
      </c>
      <c r="O804" s="5">
        <f t="shared" si="74"/>
        <v>3.3444816053511683E-2</v>
      </c>
      <c r="P804" s="5">
        <f t="shared" si="75"/>
        <v>-1</v>
      </c>
      <c r="Q804" s="4">
        <f t="shared" si="76"/>
        <v>2.1829902912621373</v>
      </c>
      <c r="R804" s="4" t="e">
        <f t="shared" si="77"/>
        <v>#DIV/0!</v>
      </c>
      <c r="S804" s="4">
        <v>11.27</v>
      </c>
      <c r="T804" s="2">
        <v>0.96</v>
      </c>
      <c r="U804" s="2">
        <v>27.85</v>
      </c>
      <c r="V804" s="2">
        <v>19.98</v>
      </c>
      <c r="W804" s="2">
        <v>-4.33</v>
      </c>
      <c r="X804" s="2">
        <v>-6.43</v>
      </c>
      <c r="Y804" s="2">
        <v>0.62</v>
      </c>
      <c r="Z804" s="2">
        <v>6.47</v>
      </c>
    </row>
    <row r="805" spans="1:26" x14ac:dyDescent="0.25">
      <c r="A805" s="1" t="s">
        <v>3490</v>
      </c>
      <c r="B805" s="1" t="s">
        <v>3491</v>
      </c>
      <c r="C805" s="1" t="s">
        <v>16</v>
      </c>
      <c r="D805" s="1" t="s">
        <v>94</v>
      </c>
      <c r="E805" s="1" t="s">
        <v>95</v>
      </c>
      <c r="F805" s="1" t="s">
        <v>3492</v>
      </c>
      <c r="G805" s="1" t="s">
        <v>12480</v>
      </c>
      <c r="H805" s="1" t="s">
        <v>3493</v>
      </c>
      <c r="I805" s="2">
        <v>14.73</v>
      </c>
      <c r="J805" s="2">
        <v>4.58</v>
      </c>
      <c r="K805" s="2">
        <v>0.73</v>
      </c>
      <c r="L805" s="2">
        <v>-0.23</v>
      </c>
      <c r="M805" s="4">
        <f t="shared" si="72"/>
        <v>20.178082191780824</v>
      </c>
      <c r="N805" s="4">
        <f t="shared" si="73"/>
        <v>-64.043478260869563</v>
      </c>
      <c r="O805" s="5">
        <f t="shared" si="74"/>
        <v>-0.84061135371179041</v>
      </c>
      <c r="P805" s="5">
        <f t="shared" si="75"/>
        <v>-1.3150684931506849</v>
      </c>
      <c r="Q805" s="4">
        <f t="shared" si="76"/>
        <v>-0.24004056217754852</v>
      </c>
      <c r="R805" s="4">
        <f t="shared" si="77"/>
        <v>0.48699728260869568</v>
      </c>
      <c r="S805" s="4">
        <v>130.13</v>
      </c>
      <c r="T805" s="2">
        <v>0.46</v>
      </c>
      <c r="U805" s="2">
        <v>16.61</v>
      </c>
      <c r="V805" s="2">
        <v>10.63</v>
      </c>
      <c r="W805" s="2">
        <v>5.89</v>
      </c>
      <c r="X805" s="2">
        <v>9.68</v>
      </c>
      <c r="Y805" s="2">
        <v>7.21</v>
      </c>
      <c r="Z805" s="2">
        <v>1.73</v>
      </c>
    </row>
    <row r="806" spans="1:26" x14ac:dyDescent="0.25">
      <c r="A806" s="1" t="s">
        <v>3494</v>
      </c>
      <c r="B806" s="1" t="s">
        <v>3495</v>
      </c>
      <c r="C806" s="1" t="s">
        <v>16</v>
      </c>
      <c r="D806" s="1" t="s">
        <v>67</v>
      </c>
      <c r="E806" s="1" t="s">
        <v>381</v>
      </c>
      <c r="F806" s="1" t="s">
        <v>3496</v>
      </c>
      <c r="G806" s="1" t="s">
        <v>12490</v>
      </c>
      <c r="H806" s="1" t="s">
        <v>3497</v>
      </c>
      <c r="I806" s="2">
        <v>104.32</v>
      </c>
      <c r="J806" s="2">
        <v>6.33</v>
      </c>
      <c r="K806" s="2">
        <v>6.87</v>
      </c>
      <c r="L806" s="2">
        <v>7.31</v>
      </c>
      <c r="M806" s="4">
        <f t="shared" si="72"/>
        <v>15.184861717612808</v>
      </c>
      <c r="N806" s="4">
        <f t="shared" si="73"/>
        <v>14.270861833105336</v>
      </c>
      <c r="O806" s="5">
        <f t="shared" si="74"/>
        <v>8.5308056872037907E-2</v>
      </c>
      <c r="P806" s="5">
        <f t="shared" si="75"/>
        <v>6.4046579330422126E-2</v>
      </c>
      <c r="Q806" s="4">
        <f t="shared" si="76"/>
        <v>1.7800032346757235</v>
      </c>
      <c r="R806" s="4">
        <f t="shared" si="77"/>
        <v>2.2282004725780378</v>
      </c>
      <c r="S806" s="4">
        <v>16.28</v>
      </c>
      <c r="T806" s="2">
        <v>1.1499999999999999</v>
      </c>
      <c r="U806" s="2">
        <v>131.93</v>
      </c>
      <c r="V806" s="2">
        <v>79.540000000000006</v>
      </c>
      <c r="W806" s="2">
        <v>-8.9</v>
      </c>
      <c r="X806" s="2">
        <v>-8.89</v>
      </c>
      <c r="Y806" s="2">
        <v>0.32</v>
      </c>
      <c r="Z806" s="2">
        <v>0.63</v>
      </c>
    </row>
    <row r="807" spans="1:26" x14ac:dyDescent="0.25">
      <c r="A807" s="1" t="s">
        <v>3498</v>
      </c>
      <c r="B807" s="1" t="s">
        <v>3499</v>
      </c>
      <c r="C807" s="1" t="s">
        <v>16</v>
      </c>
      <c r="D807" s="1" t="s">
        <v>38</v>
      </c>
      <c r="E807" s="1" t="s">
        <v>510</v>
      </c>
      <c r="F807" s="1" t="s">
        <v>3500</v>
      </c>
      <c r="G807" s="1" t="s">
        <v>12480</v>
      </c>
      <c r="H807" s="1" t="s">
        <v>3501</v>
      </c>
      <c r="I807" s="2">
        <v>10.09</v>
      </c>
      <c r="J807" s="2">
        <v>1.45</v>
      </c>
      <c r="K807" s="2">
        <v>1.4</v>
      </c>
      <c r="L807" s="2">
        <v>1.44</v>
      </c>
      <c r="M807" s="4">
        <f t="shared" si="72"/>
        <v>7.2071428571428573</v>
      </c>
      <c r="N807" s="4">
        <f t="shared" si="73"/>
        <v>7.0069444444444446</v>
      </c>
      <c r="O807" s="5">
        <f t="shared" si="74"/>
        <v>-3.4482758620689724E-2</v>
      </c>
      <c r="P807" s="5">
        <f t="shared" si="75"/>
        <v>2.8571428571428692E-2</v>
      </c>
      <c r="Q807" s="4">
        <f t="shared" si="76"/>
        <v>-2.0900714285714246</v>
      </c>
      <c r="R807" s="4">
        <f t="shared" si="77"/>
        <v>2.4524305555555452</v>
      </c>
      <c r="S807" s="4">
        <v>1.77</v>
      </c>
      <c r="T807" s="2">
        <v>1.1200000000000001</v>
      </c>
      <c r="U807" s="2">
        <v>17.38</v>
      </c>
      <c r="V807" s="2">
        <v>9.7200000000000006</v>
      </c>
      <c r="W807" s="2">
        <v>3.81</v>
      </c>
      <c r="X807" s="2">
        <v>-4.3600000000000003</v>
      </c>
      <c r="Y807" s="2">
        <v>-13.54</v>
      </c>
      <c r="Z807" s="2">
        <v>-8.19</v>
      </c>
    </row>
    <row r="808" spans="1:26" x14ac:dyDescent="0.25">
      <c r="A808" s="1" t="s">
        <v>3502</v>
      </c>
      <c r="B808" s="1" t="s">
        <v>3503</v>
      </c>
      <c r="C808" s="1" t="s">
        <v>16</v>
      </c>
      <c r="D808" s="1" t="s">
        <v>32</v>
      </c>
      <c r="E808" s="1" t="s">
        <v>78</v>
      </c>
      <c r="F808" s="1" t="s">
        <v>3504</v>
      </c>
      <c r="G808" s="1" t="s">
        <v>12493</v>
      </c>
      <c r="H808" s="1" t="s">
        <v>3505</v>
      </c>
      <c r="I808" s="2">
        <v>146.51</v>
      </c>
      <c r="J808" s="2">
        <v>10.3</v>
      </c>
      <c r="K808" s="2">
        <v>12.71</v>
      </c>
      <c r="L808" s="2">
        <v>14.24</v>
      </c>
      <c r="M808" s="4">
        <f t="shared" si="72"/>
        <v>11.527143981117229</v>
      </c>
      <c r="N808" s="4">
        <f t="shared" si="73"/>
        <v>10.288623595505618</v>
      </c>
      <c r="O808" s="5">
        <f t="shared" si="74"/>
        <v>0.23398058252427179</v>
      </c>
      <c r="P808" s="5">
        <f t="shared" si="75"/>
        <v>0.12037765538945711</v>
      </c>
      <c r="Q808" s="4">
        <f t="shared" si="76"/>
        <v>0.49265387139214728</v>
      </c>
      <c r="R808" s="4">
        <f t="shared" si="77"/>
        <v>0.85469546339134916</v>
      </c>
      <c r="S808" s="4">
        <v>18.8</v>
      </c>
      <c r="T808" s="2">
        <v>0.97</v>
      </c>
      <c r="U808" s="2">
        <v>164.88</v>
      </c>
      <c r="V808" s="2">
        <v>71.63</v>
      </c>
      <c r="W808" s="2">
        <v>-4.58</v>
      </c>
      <c r="X808" s="2">
        <v>21.17</v>
      </c>
      <c r="Y808" s="2">
        <v>12.26</v>
      </c>
      <c r="Z808" s="2">
        <v>16.39</v>
      </c>
    </row>
    <row r="809" spans="1:26" x14ac:dyDescent="0.25">
      <c r="A809" s="1" t="s">
        <v>3506</v>
      </c>
      <c r="B809" s="1" t="s">
        <v>3507</v>
      </c>
      <c r="C809" s="1" t="s">
        <v>16</v>
      </c>
      <c r="D809" s="1" t="s">
        <v>38</v>
      </c>
      <c r="E809" s="1" t="s">
        <v>259</v>
      </c>
      <c r="F809" s="1" t="s">
        <v>3508</v>
      </c>
      <c r="G809" s="1" t="s">
        <v>12480</v>
      </c>
      <c r="H809" s="1" t="s">
        <v>3509</v>
      </c>
      <c r="I809" s="2">
        <v>49.82</v>
      </c>
      <c r="J809" s="2"/>
      <c r="K809" s="2"/>
      <c r="L809" s="2"/>
      <c r="M809" s="4" t="e">
        <f t="shared" si="72"/>
        <v>#DIV/0!</v>
      </c>
      <c r="N809" s="4" t="e">
        <f t="shared" si="73"/>
        <v>#DIV/0!</v>
      </c>
      <c r="O809" s="5" t="e">
        <f t="shared" si="74"/>
        <v>#DIV/0!</v>
      </c>
      <c r="P809" s="5" t="e">
        <f t="shared" si="75"/>
        <v>#DIV/0!</v>
      </c>
      <c r="Q809" s="4" t="e">
        <f t="shared" si="76"/>
        <v>#DIV/0!</v>
      </c>
      <c r="R809" s="4" t="e">
        <f t="shared" si="77"/>
        <v>#DIV/0!</v>
      </c>
      <c r="S809" s="4"/>
      <c r="T809" s="2">
        <v>0.54</v>
      </c>
      <c r="U809" s="2">
        <v>52.32</v>
      </c>
      <c r="V809" s="2">
        <v>37.51</v>
      </c>
      <c r="W809" s="2">
        <v>-2.89</v>
      </c>
      <c r="X809" s="2">
        <v>-2.2000000000000002</v>
      </c>
      <c r="Y809" s="2">
        <v>6.34</v>
      </c>
      <c r="Z809" s="2">
        <v>6.66</v>
      </c>
    </row>
    <row r="810" spans="1:26" x14ac:dyDescent="0.25">
      <c r="A810" s="1" t="s">
        <v>3510</v>
      </c>
      <c r="B810" s="1" t="s">
        <v>3511</v>
      </c>
      <c r="C810" s="1" t="s">
        <v>16</v>
      </c>
      <c r="D810" s="1" t="s">
        <v>128</v>
      </c>
      <c r="E810" s="1" t="s">
        <v>129</v>
      </c>
      <c r="F810" s="1" t="s">
        <v>3512</v>
      </c>
      <c r="G810" s="1" t="s">
        <v>12502</v>
      </c>
      <c r="H810" s="1" t="s">
        <v>3513</v>
      </c>
      <c r="I810" s="2">
        <v>82.07</v>
      </c>
      <c r="J810" s="2">
        <v>6.57</v>
      </c>
      <c r="K810" s="2">
        <v>6.33</v>
      </c>
      <c r="L810" s="2">
        <v>6.54</v>
      </c>
      <c r="M810" s="4">
        <f t="shared" si="72"/>
        <v>12.965244865718798</v>
      </c>
      <c r="N810" s="4">
        <f t="shared" si="73"/>
        <v>12.548929663608561</v>
      </c>
      <c r="O810" s="5">
        <f t="shared" si="74"/>
        <v>-3.6529680365296802E-2</v>
      </c>
      <c r="P810" s="5">
        <f t="shared" si="75"/>
        <v>3.3175355450236976E-2</v>
      </c>
      <c r="Q810" s="4">
        <f t="shared" si="76"/>
        <v>-3.5492357819905211</v>
      </c>
      <c r="R810" s="4">
        <f t="shared" si="77"/>
        <v>3.7826059414591509</v>
      </c>
      <c r="S810" s="4">
        <v>-0.12</v>
      </c>
      <c r="T810" s="2">
        <v>0.46</v>
      </c>
      <c r="U810" s="2">
        <v>115.75</v>
      </c>
      <c r="V810" s="2">
        <v>81.8</v>
      </c>
      <c r="W810" s="2">
        <v>-5.15</v>
      </c>
      <c r="X810" s="2">
        <v>-15.48</v>
      </c>
      <c r="Y810" s="2">
        <v>-7.7</v>
      </c>
      <c r="Z810" s="2">
        <v>-4.87</v>
      </c>
    </row>
    <row r="811" spans="1:26" x14ac:dyDescent="0.25">
      <c r="A811" s="1" t="s">
        <v>3514</v>
      </c>
      <c r="B811" s="1" t="s">
        <v>3515</v>
      </c>
      <c r="C811" s="1" t="s">
        <v>16</v>
      </c>
      <c r="D811" s="1" t="s">
        <v>61</v>
      </c>
      <c r="E811" s="1" t="s">
        <v>2394</v>
      </c>
      <c r="F811" s="1" t="s">
        <v>3516</v>
      </c>
      <c r="G811" s="1" t="s">
        <v>12480</v>
      </c>
      <c r="H811" s="1" t="s">
        <v>3517</v>
      </c>
      <c r="I811" s="2">
        <v>15.71</v>
      </c>
      <c r="J811" s="2">
        <v>2.14</v>
      </c>
      <c r="K811" s="2">
        <v>1.84</v>
      </c>
      <c r="L811" s="2">
        <v>2.19</v>
      </c>
      <c r="M811" s="4">
        <f t="shared" si="72"/>
        <v>8.5380434782608692</v>
      </c>
      <c r="N811" s="4">
        <f t="shared" si="73"/>
        <v>7.1735159817351608</v>
      </c>
      <c r="O811" s="5">
        <f t="shared" si="74"/>
        <v>-0.14018691588785048</v>
      </c>
      <c r="P811" s="5">
        <f t="shared" si="75"/>
        <v>0.19021739130434767</v>
      </c>
      <c r="Q811" s="4">
        <f t="shared" si="76"/>
        <v>-0.60904710144927532</v>
      </c>
      <c r="R811" s="4">
        <f t="shared" si="77"/>
        <v>0.37712198303979161</v>
      </c>
      <c r="S811" s="4">
        <v>-2.89</v>
      </c>
      <c r="T811" s="2">
        <v>1.86</v>
      </c>
      <c r="U811" s="2">
        <v>30.99</v>
      </c>
      <c r="V811" s="2">
        <v>15.71</v>
      </c>
      <c r="W811" s="2">
        <v>-11.29</v>
      </c>
      <c r="X811" s="2">
        <v>-20.29</v>
      </c>
      <c r="Y811" s="2">
        <v>-19.97</v>
      </c>
      <c r="Z811" s="2">
        <v>-8.1300000000000008</v>
      </c>
    </row>
    <row r="812" spans="1:26" x14ac:dyDescent="0.25">
      <c r="A812" s="1" t="s">
        <v>3518</v>
      </c>
      <c r="B812" s="1" t="s">
        <v>3519</v>
      </c>
      <c r="C812" s="1" t="s">
        <v>16</v>
      </c>
      <c r="D812" s="1" t="s">
        <v>32</v>
      </c>
      <c r="E812" s="1" t="s">
        <v>3521</v>
      </c>
      <c r="F812" s="1" t="s">
        <v>3520</v>
      </c>
      <c r="G812" s="1" t="s">
        <v>12480</v>
      </c>
      <c r="H812" s="1" t="s">
        <v>3522</v>
      </c>
      <c r="I812" s="2">
        <v>47.22</v>
      </c>
      <c r="J812" s="2">
        <v>4.3</v>
      </c>
      <c r="K812" s="2">
        <v>4.6100000000000003</v>
      </c>
      <c r="L812" s="2">
        <v>4.9000000000000004</v>
      </c>
      <c r="M812" s="4">
        <f t="shared" si="72"/>
        <v>10.242950108459869</v>
      </c>
      <c r="N812" s="4">
        <f t="shared" si="73"/>
        <v>9.6367346938775498</v>
      </c>
      <c r="O812" s="5">
        <f t="shared" si="74"/>
        <v>7.2093023255814126E-2</v>
      </c>
      <c r="P812" s="5">
        <f t="shared" si="75"/>
        <v>6.2906724511930578E-2</v>
      </c>
      <c r="Q812" s="4">
        <f t="shared" si="76"/>
        <v>1.4207963053670107</v>
      </c>
      <c r="R812" s="4">
        <f t="shared" si="77"/>
        <v>1.5319085151301899</v>
      </c>
      <c r="S812" s="4">
        <v>-1.91</v>
      </c>
      <c r="T812" s="2">
        <v>0.87</v>
      </c>
      <c r="U812" s="2">
        <v>65.52</v>
      </c>
      <c r="V812" s="2">
        <v>38.28</v>
      </c>
      <c r="W812" s="2">
        <v>-7.05</v>
      </c>
      <c r="X812" s="2">
        <v>1.29</v>
      </c>
      <c r="Y812" s="2">
        <v>5.97</v>
      </c>
      <c r="Z812" s="2">
        <v>1.1399999999999999</v>
      </c>
    </row>
    <row r="813" spans="1:26" x14ac:dyDescent="0.25">
      <c r="A813" s="1" t="s">
        <v>3523</v>
      </c>
      <c r="B813" s="1" t="s">
        <v>3524</v>
      </c>
      <c r="C813" s="1" t="s">
        <v>45</v>
      </c>
      <c r="D813" s="1" t="s">
        <v>18</v>
      </c>
      <c r="E813" s="1" t="s">
        <v>780</v>
      </c>
      <c r="F813" s="1" t="s">
        <v>3525</v>
      </c>
      <c r="G813" s="1" t="s">
        <v>12480</v>
      </c>
      <c r="H813" s="1" t="s">
        <v>3526</v>
      </c>
      <c r="I813" s="2">
        <v>18.350000000000001</v>
      </c>
      <c r="J813" s="2">
        <v>-1.8</v>
      </c>
      <c r="K813" s="2">
        <v>-1.81</v>
      </c>
      <c r="L813" s="2">
        <v>-1.98</v>
      </c>
      <c r="M813" s="4">
        <f t="shared" si="72"/>
        <v>-10.138121546961326</v>
      </c>
      <c r="N813" s="4">
        <f t="shared" si="73"/>
        <v>-9.2676767676767682</v>
      </c>
      <c r="O813" s="5">
        <f t="shared" si="74"/>
        <v>5.5555555555555358E-3</v>
      </c>
      <c r="P813" s="5">
        <f t="shared" si="75"/>
        <v>9.3922651933701529E-2</v>
      </c>
      <c r="Q813" s="4">
        <f t="shared" si="76"/>
        <v>-18.24861878453045</v>
      </c>
      <c r="R813" s="4">
        <f t="shared" si="77"/>
        <v>-0.98673499702911593</v>
      </c>
      <c r="S813" s="4"/>
      <c r="T813" s="2">
        <v>2.56</v>
      </c>
      <c r="U813" s="2">
        <v>18.350000000000001</v>
      </c>
      <c r="V813" s="2">
        <v>4.8899999999999997</v>
      </c>
      <c r="W813" s="2">
        <v>6.81</v>
      </c>
      <c r="X813" s="2">
        <v>5.76</v>
      </c>
      <c r="Y813" s="2">
        <v>51.9</v>
      </c>
      <c r="Z813" s="2">
        <v>37.04</v>
      </c>
    </row>
    <row r="814" spans="1:26" x14ac:dyDescent="0.25">
      <c r="A814" s="1" t="s">
        <v>3527</v>
      </c>
      <c r="B814" s="1" t="s">
        <v>3528</v>
      </c>
      <c r="C814" s="1" t="s">
        <v>16</v>
      </c>
      <c r="D814" s="1" t="s">
        <v>67</v>
      </c>
      <c r="E814" s="1" t="s">
        <v>2094</v>
      </c>
      <c r="F814" s="1" t="s">
        <v>3529</v>
      </c>
      <c r="G814" s="1" t="s">
        <v>12493</v>
      </c>
      <c r="H814" s="1" t="s">
        <v>3530</v>
      </c>
      <c r="I814" s="2">
        <v>145.52000000000001</v>
      </c>
      <c r="J814" s="2">
        <v>5.92</v>
      </c>
      <c r="K814" s="2">
        <v>7.15</v>
      </c>
      <c r="L814" s="2">
        <v>7.8</v>
      </c>
      <c r="M814" s="4">
        <f t="shared" si="72"/>
        <v>20.352447552447554</v>
      </c>
      <c r="N814" s="4">
        <f t="shared" si="73"/>
        <v>18.656410256410258</v>
      </c>
      <c r="O814" s="5">
        <f t="shared" si="74"/>
        <v>0.2077702702702704</v>
      </c>
      <c r="P814" s="5">
        <f t="shared" si="75"/>
        <v>9.0909090909090828E-2</v>
      </c>
      <c r="Q814" s="4">
        <f t="shared" si="76"/>
        <v>0.9795649553698329</v>
      </c>
      <c r="R814" s="4">
        <f t="shared" si="77"/>
        <v>2.0522051282051303</v>
      </c>
      <c r="S814" s="4">
        <v>4.96</v>
      </c>
      <c r="T814" s="2">
        <v>0.23</v>
      </c>
      <c r="U814" s="2">
        <v>156.24</v>
      </c>
      <c r="V814" s="2">
        <v>74.849999999999994</v>
      </c>
      <c r="W814" s="2">
        <v>-4.6500000000000004</v>
      </c>
      <c r="X814" s="2">
        <v>-1.26</v>
      </c>
      <c r="Y814" s="2">
        <v>9.4700000000000006</v>
      </c>
      <c r="Z814" s="2">
        <v>9.6</v>
      </c>
    </row>
    <row r="815" spans="1:26" x14ac:dyDescent="0.25">
      <c r="A815" s="1" t="s">
        <v>3531</v>
      </c>
      <c r="B815" s="1" t="s">
        <v>3532</v>
      </c>
      <c r="C815" s="1" t="s">
        <v>45</v>
      </c>
      <c r="D815" s="1" t="s">
        <v>32</v>
      </c>
      <c r="E815" s="1" t="s">
        <v>3149</v>
      </c>
      <c r="F815" s="1" t="s">
        <v>3533</v>
      </c>
      <c r="G815" s="1" t="s">
        <v>12485</v>
      </c>
      <c r="H815" s="1" t="s">
        <v>3534</v>
      </c>
      <c r="I815" s="2">
        <v>49.66</v>
      </c>
      <c r="J815" s="2">
        <v>2.1</v>
      </c>
      <c r="K815" s="2">
        <v>2.2799999999999998</v>
      </c>
      <c r="L815" s="2">
        <v>2.61</v>
      </c>
      <c r="M815" s="4">
        <f t="shared" si="72"/>
        <v>21.780701754385966</v>
      </c>
      <c r="N815" s="4">
        <f t="shared" si="73"/>
        <v>19.026819923371647</v>
      </c>
      <c r="O815" s="5">
        <f t="shared" si="74"/>
        <v>8.5714285714285632E-2</v>
      </c>
      <c r="P815" s="5">
        <f t="shared" si="75"/>
        <v>0.14473684210526327</v>
      </c>
      <c r="Q815" s="4">
        <f t="shared" si="76"/>
        <v>2.5410818713450318</v>
      </c>
      <c r="R815" s="4">
        <f t="shared" si="77"/>
        <v>1.3145802856147673</v>
      </c>
      <c r="S815" s="4">
        <v>1.46</v>
      </c>
      <c r="T815" s="2">
        <v>0.79</v>
      </c>
      <c r="U815" s="2">
        <v>51.22</v>
      </c>
      <c r="V815" s="2">
        <v>23.13</v>
      </c>
      <c r="W815" s="2">
        <v>-1.9</v>
      </c>
      <c r="X815" s="2">
        <v>10.4</v>
      </c>
      <c r="Y815" s="2">
        <v>9.89</v>
      </c>
      <c r="Z815" s="2">
        <v>14.72</v>
      </c>
    </row>
    <row r="816" spans="1:26" x14ac:dyDescent="0.25">
      <c r="A816" s="1" t="s">
        <v>3535</v>
      </c>
      <c r="B816" s="1" t="s">
        <v>3536</v>
      </c>
      <c r="C816" s="1" t="s">
        <v>16</v>
      </c>
      <c r="D816" s="1" t="s">
        <v>18</v>
      </c>
      <c r="E816" s="1" t="s">
        <v>336</v>
      </c>
      <c r="F816" s="1" t="s">
        <v>3537</v>
      </c>
      <c r="G816" s="1" t="s">
        <v>12480</v>
      </c>
      <c r="H816" s="1" t="s">
        <v>3538</v>
      </c>
      <c r="I816" s="2">
        <v>201.58</v>
      </c>
      <c r="J816" s="2">
        <v>9.85</v>
      </c>
      <c r="K816" s="2">
        <v>10.6</v>
      </c>
      <c r="L816" s="2">
        <v>11.45</v>
      </c>
      <c r="M816" s="4">
        <f t="shared" si="72"/>
        <v>19.016981132075472</v>
      </c>
      <c r="N816" s="4">
        <f t="shared" si="73"/>
        <v>17.605240174672492</v>
      </c>
      <c r="O816" s="5">
        <f t="shared" si="74"/>
        <v>7.6142131979695327E-2</v>
      </c>
      <c r="P816" s="5">
        <f t="shared" si="75"/>
        <v>8.0188679245283057E-2</v>
      </c>
      <c r="Q816" s="4">
        <f t="shared" si="76"/>
        <v>2.497563522012582</v>
      </c>
      <c r="R816" s="4">
        <f t="shared" si="77"/>
        <v>2.1954770100179806</v>
      </c>
      <c r="S816" s="4">
        <v>11.78</v>
      </c>
      <c r="T816" s="2">
        <v>0.66</v>
      </c>
      <c r="U816" s="2">
        <v>211.91</v>
      </c>
      <c r="V816" s="2">
        <v>159.80000000000001</v>
      </c>
      <c r="W816" s="2">
        <v>-4.12</v>
      </c>
      <c r="X816" s="2">
        <v>5.4</v>
      </c>
      <c r="Y816" s="2">
        <v>9.49</v>
      </c>
      <c r="Z816" s="2">
        <v>16.16</v>
      </c>
    </row>
    <row r="817" spans="1:26" x14ac:dyDescent="0.25">
      <c r="A817" s="1" t="s">
        <v>3539</v>
      </c>
      <c r="B817" s="1" t="s">
        <v>3540</v>
      </c>
      <c r="C817" s="1" t="s">
        <v>45</v>
      </c>
      <c r="D817" s="1" t="s">
        <v>38</v>
      </c>
      <c r="E817" s="1" t="s">
        <v>510</v>
      </c>
      <c r="F817" s="1" t="s">
        <v>3541</v>
      </c>
      <c r="G817" s="1" t="s">
        <v>12480</v>
      </c>
      <c r="H817" s="1" t="s">
        <v>3542</v>
      </c>
      <c r="I817" s="2">
        <v>7.27</v>
      </c>
      <c r="J817" s="2">
        <v>0.27</v>
      </c>
      <c r="K817" s="2">
        <v>0.56999999999999995</v>
      </c>
      <c r="L817" s="2">
        <v>0.59</v>
      </c>
      <c r="M817" s="4">
        <f t="shared" si="72"/>
        <v>12.754385964912281</v>
      </c>
      <c r="N817" s="4">
        <f t="shared" si="73"/>
        <v>12.322033898305085</v>
      </c>
      <c r="O817" s="5">
        <f t="shared" si="74"/>
        <v>1.1111111111111107</v>
      </c>
      <c r="P817" s="5">
        <f t="shared" si="75"/>
        <v>3.5087719298245723E-2</v>
      </c>
      <c r="Q817" s="4">
        <f t="shared" si="76"/>
        <v>0.11478947368421057</v>
      </c>
      <c r="R817" s="4">
        <f t="shared" si="77"/>
        <v>3.5117796610169383</v>
      </c>
      <c r="S817" s="4">
        <v>2.84</v>
      </c>
      <c r="T817" s="2">
        <v>2.39</v>
      </c>
      <c r="U817" s="2">
        <v>7.55</v>
      </c>
      <c r="V817" s="2">
        <v>2.0699999999999998</v>
      </c>
      <c r="W817" s="2">
        <v>0.41</v>
      </c>
      <c r="X817" s="2">
        <v>15.03</v>
      </c>
      <c r="Y817" s="2">
        <v>48.06</v>
      </c>
      <c r="Z817" s="2">
        <v>49.9</v>
      </c>
    </row>
    <row r="818" spans="1:26" x14ac:dyDescent="0.25">
      <c r="A818" s="1" t="s">
        <v>3543</v>
      </c>
      <c r="B818" s="1" t="s">
        <v>3544</v>
      </c>
      <c r="C818" s="1" t="s">
        <v>16</v>
      </c>
      <c r="D818" s="1" t="s">
        <v>61</v>
      </c>
      <c r="E818" s="1" t="s">
        <v>2394</v>
      </c>
      <c r="F818" s="1" t="s">
        <v>3545</v>
      </c>
      <c r="G818" s="1" t="s">
        <v>12485</v>
      </c>
      <c r="H818" s="1" t="s">
        <v>3546</v>
      </c>
      <c r="I818" s="2">
        <v>147.69</v>
      </c>
      <c r="J818" s="2">
        <v>11.57</v>
      </c>
      <c r="K818" s="2">
        <v>10.52</v>
      </c>
      <c r="L818" s="2">
        <v>12.15</v>
      </c>
      <c r="M818" s="4">
        <f t="shared" si="72"/>
        <v>14.038973384030419</v>
      </c>
      <c r="N818" s="4">
        <f t="shared" si="73"/>
        <v>12.155555555555555</v>
      </c>
      <c r="O818" s="5">
        <f t="shared" si="74"/>
        <v>-9.0751944684528962E-2</v>
      </c>
      <c r="P818" s="5">
        <f t="shared" si="75"/>
        <v>0.15494296577946787</v>
      </c>
      <c r="Q818" s="4">
        <f t="shared" si="76"/>
        <v>-1.5469611624117328</v>
      </c>
      <c r="R818" s="4">
        <f t="shared" si="77"/>
        <v>0.78451806407634528</v>
      </c>
      <c r="S818" s="4">
        <v>-6.93</v>
      </c>
      <c r="T818" s="2">
        <v>1.43</v>
      </c>
      <c r="U818" s="2">
        <v>184.04</v>
      </c>
      <c r="V818" s="2">
        <v>115.1</v>
      </c>
      <c r="W818" s="2">
        <v>-4.3499999999999996</v>
      </c>
      <c r="X818" s="2">
        <v>-3.79</v>
      </c>
      <c r="Y818" s="2">
        <v>-5.61</v>
      </c>
      <c r="Z818" s="2">
        <v>2.54</v>
      </c>
    </row>
    <row r="819" spans="1:26" x14ac:dyDescent="0.25">
      <c r="A819" s="1" t="s">
        <v>3547</v>
      </c>
      <c r="B819" s="1" t="s">
        <v>3548</v>
      </c>
      <c r="C819" s="1" t="s">
        <v>31</v>
      </c>
      <c r="D819" s="1" t="s">
        <v>46</v>
      </c>
      <c r="E819" s="1" t="s">
        <v>1142</v>
      </c>
      <c r="F819" s="1" t="s">
        <v>3549</v>
      </c>
      <c r="G819" s="1" t="s">
        <v>12480</v>
      </c>
      <c r="H819" s="1" t="s">
        <v>3550</v>
      </c>
      <c r="I819" s="2">
        <v>54.24</v>
      </c>
      <c r="J819" s="2">
        <v>3.44</v>
      </c>
      <c r="K819" s="2">
        <v>3.77</v>
      </c>
      <c r="L819" s="2">
        <v>4.28</v>
      </c>
      <c r="M819" s="4">
        <f t="shared" si="72"/>
        <v>14.387267904509285</v>
      </c>
      <c r="N819" s="4">
        <f t="shared" si="73"/>
        <v>12.672897196261681</v>
      </c>
      <c r="O819" s="5">
        <f t="shared" si="74"/>
        <v>9.5930232558139483E-2</v>
      </c>
      <c r="P819" s="5">
        <f t="shared" si="75"/>
        <v>0.13527851458885953</v>
      </c>
      <c r="Q819" s="4">
        <f t="shared" si="76"/>
        <v>1.4997636845912716</v>
      </c>
      <c r="R819" s="4">
        <f t="shared" si="77"/>
        <v>0.93680043980208816</v>
      </c>
      <c r="S819" s="4">
        <v>2.87</v>
      </c>
      <c r="T819" s="2">
        <v>1.21</v>
      </c>
      <c r="U819" s="2">
        <v>61.12</v>
      </c>
      <c r="V819" s="2">
        <v>36.24</v>
      </c>
      <c r="W819" s="2">
        <v>-4.5199999999999996</v>
      </c>
      <c r="X819" s="2">
        <v>-9.11</v>
      </c>
      <c r="Y819" s="2">
        <v>-1.92</v>
      </c>
      <c r="Z819" s="2">
        <v>-0.82</v>
      </c>
    </row>
    <row r="820" spans="1:26" x14ac:dyDescent="0.25">
      <c r="A820" s="1" t="s">
        <v>3551</v>
      </c>
      <c r="B820" s="1" t="s">
        <v>3552</v>
      </c>
      <c r="C820" s="1" t="s">
        <v>16</v>
      </c>
      <c r="D820" s="1" t="s">
        <v>18</v>
      </c>
      <c r="E820" s="1" t="s">
        <v>624</v>
      </c>
      <c r="F820" s="1" t="s">
        <v>3553</v>
      </c>
      <c r="G820" s="1" t="s">
        <v>12480</v>
      </c>
      <c r="H820" s="1" t="s">
        <v>3554</v>
      </c>
      <c r="I820" s="2">
        <v>198.8</v>
      </c>
      <c r="J820" s="2">
        <v>7.8</v>
      </c>
      <c r="K820" s="2">
        <v>8.39</v>
      </c>
      <c r="L820" s="2">
        <v>9.11</v>
      </c>
      <c r="M820" s="4">
        <f t="shared" si="72"/>
        <v>23.694874851013111</v>
      </c>
      <c r="N820" s="4">
        <f t="shared" si="73"/>
        <v>21.822173435784855</v>
      </c>
      <c r="O820" s="5">
        <f t="shared" si="74"/>
        <v>7.5641025641025816E-2</v>
      </c>
      <c r="P820" s="5">
        <f t="shared" si="75"/>
        <v>8.5816448152562508E-2</v>
      </c>
      <c r="Q820" s="4">
        <f t="shared" si="76"/>
        <v>3.1325427769135903</v>
      </c>
      <c r="R820" s="4">
        <f t="shared" si="77"/>
        <v>2.5428893767532648</v>
      </c>
      <c r="S820" s="4">
        <v>2.9</v>
      </c>
      <c r="T820" s="2">
        <v>0.93</v>
      </c>
      <c r="U820" s="2">
        <v>242.05</v>
      </c>
      <c r="V820" s="2">
        <v>174.64</v>
      </c>
      <c r="W820" s="2">
        <v>-3.5</v>
      </c>
      <c r="X820" s="2">
        <v>-8.24</v>
      </c>
      <c r="Y820" s="2">
        <v>-13.01</v>
      </c>
      <c r="Z820" s="2">
        <v>-13.16</v>
      </c>
    </row>
    <row r="821" spans="1:26" x14ac:dyDescent="0.25">
      <c r="A821" s="1" t="s">
        <v>3555</v>
      </c>
      <c r="B821" s="1" t="s">
        <v>3555</v>
      </c>
      <c r="C821" s="1" t="s">
        <v>16</v>
      </c>
      <c r="D821" s="1" t="s">
        <v>46</v>
      </c>
      <c r="E821" s="1" t="s">
        <v>770</v>
      </c>
      <c r="F821" s="1" t="s">
        <v>3556</v>
      </c>
      <c r="G821" s="1" t="s">
        <v>12480</v>
      </c>
      <c r="H821" s="1" t="s">
        <v>3557</v>
      </c>
      <c r="I821" s="2">
        <v>18.97</v>
      </c>
      <c r="J821" s="2">
        <v>1.05</v>
      </c>
      <c r="K821" s="2"/>
      <c r="L821" s="2"/>
      <c r="M821" s="4" t="e">
        <f t="shared" si="72"/>
        <v>#DIV/0!</v>
      </c>
      <c r="N821" s="4" t="e">
        <f t="shared" si="73"/>
        <v>#DIV/0!</v>
      </c>
      <c r="O821" s="5">
        <f t="shared" si="74"/>
        <v>-1</v>
      </c>
      <c r="P821" s="5" t="e">
        <f t="shared" si="75"/>
        <v>#DIV/0!</v>
      </c>
      <c r="Q821" s="4" t="e">
        <f t="shared" si="76"/>
        <v>#DIV/0!</v>
      </c>
      <c r="R821" s="4" t="e">
        <f t="shared" si="77"/>
        <v>#DIV/0!</v>
      </c>
      <c r="S821" s="4">
        <v>-12.83</v>
      </c>
      <c r="T821" s="2">
        <v>-0.13</v>
      </c>
      <c r="U821" s="2">
        <v>19.649999999999999</v>
      </c>
      <c r="V821" s="2">
        <v>9.4499999999999993</v>
      </c>
      <c r="W821" s="2">
        <v>-3.46</v>
      </c>
      <c r="X821" s="2">
        <v>27.4</v>
      </c>
      <c r="Y821" s="2">
        <v>51.76</v>
      </c>
      <c r="Z821" s="2">
        <v>55.36</v>
      </c>
    </row>
    <row r="822" spans="1:26" x14ac:dyDescent="0.25">
      <c r="A822" s="1" t="s">
        <v>3560</v>
      </c>
      <c r="B822" s="1" t="s">
        <v>3561</v>
      </c>
      <c r="C822" s="1" t="s">
        <v>16</v>
      </c>
      <c r="D822" s="1" t="s">
        <v>38</v>
      </c>
      <c r="E822" s="1" t="s">
        <v>259</v>
      </c>
      <c r="F822" s="1" t="s">
        <v>3562</v>
      </c>
      <c r="G822" s="1" t="s">
        <v>12480</v>
      </c>
      <c r="H822" s="1" t="s">
        <v>3563</v>
      </c>
      <c r="I822" s="2">
        <v>477.88</v>
      </c>
      <c r="J822" s="2"/>
      <c r="K822" s="2"/>
      <c r="L822" s="2"/>
      <c r="M822" s="4" t="e">
        <f t="shared" si="72"/>
        <v>#DIV/0!</v>
      </c>
      <c r="N822" s="4" t="e">
        <f t="shared" si="73"/>
        <v>#DIV/0!</v>
      </c>
      <c r="O822" s="5" t="e">
        <f t="shared" si="74"/>
        <v>#DIV/0!</v>
      </c>
      <c r="P822" s="5" t="e">
        <f t="shared" si="75"/>
        <v>#DIV/0!</v>
      </c>
      <c r="Q822" s="4" t="e">
        <f t="shared" si="76"/>
        <v>#DIV/0!</v>
      </c>
      <c r="R822" s="4" t="e">
        <f t="shared" si="77"/>
        <v>#DIV/0!</v>
      </c>
      <c r="S822" s="4"/>
      <c r="T822" s="2">
        <v>0.88</v>
      </c>
      <c r="U822" s="2">
        <v>501.9</v>
      </c>
      <c r="V822" s="2">
        <v>376.48</v>
      </c>
      <c r="W822" s="2">
        <v>-2.31</v>
      </c>
      <c r="X822" s="2">
        <v>-4.66</v>
      </c>
      <c r="Y822" s="2">
        <v>-1.5</v>
      </c>
      <c r="Z822" s="2">
        <v>-0.56000000000000005</v>
      </c>
    </row>
    <row r="823" spans="1:26" x14ac:dyDescent="0.25">
      <c r="A823" s="1" t="s">
        <v>3564</v>
      </c>
      <c r="B823" s="1" t="s">
        <v>3565</v>
      </c>
      <c r="C823" s="1" t="s">
        <v>31</v>
      </c>
      <c r="D823" s="1" t="s">
        <v>18</v>
      </c>
      <c r="E823" s="1" t="s">
        <v>624</v>
      </c>
      <c r="F823" s="1" t="s">
        <v>3566</v>
      </c>
      <c r="G823" s="1" t="s">
        <v>12480</v>
      </c>
      <c r="H823" s="1" t="s">
        <v>3567</v>
      </c>
      <c r="I823" s="2">
        <v>4.3099999999999996</v>
      </c>
      <c r="J823" s="2">
        <v>0.16</v>
      </c>
      <c r="K823" s="2">
        <v>0.2</v>
      </c>
      <c r="L823" s="2">
        <v>0.37</v>
      </c>
      <c r="M823" s="4">
        <f t="shared" si="72"/>
        <v>21.549999999999997</v>
      </c>
      <c r="N823" s="4">
        <f t="shared" si="73"/>
        <v>11.648648648648647</v>
      </c>
      <c r="O823" s="5">
        <f t="shared" si="74"/>
        <v>0.25</v>
      </c>
      <c r="P823" s="5">
        <f t="shared" si="75"/>
        <v>0.84999999999999987</v>
      </c>
      <c r="Q823" s="4">
        <f t="shared" si="76"/>
        <v>0.86199999999999988</v>
      </c>
      <c r="R823" s="4">
        <f t="shared" si="77"/>
        <v>0.1370429252782194</v>
      </c>
      <c r="S823" s="4">
        <v>6.17</v>
      </c>
      <c r="T823" s="2">
        <v>0.61</v>
      </c>
      <c r="U823" s="2">
        <v>6.97</v>
      </c>
      <c r="V823" s="2">
        <v>3.41</v>
      </c>
      <c r="W823" s="2">
        <v>0.47</v>
      </c>
      <c r="X823" s="2">
        <v>-6.71</v>
      </c>
      <c r="Y823" s="2">
        <v>-16.8</v>
      </c>
      <c r="Z823" s="2">
        <v>-18.37</v>
      </c>
    </row>
    <row r="824" spans="1:26" x14ac:dyDescent="0.25">
      <c r="A824" s="1" t="s">
        <v>3568</v>
      </c>
      <c r="B824" s="1" t="s">
        <v>3569</v>
      </c>
      <c r="C824" s="1" t="s">
        <v>31</v>
      </c>
      <c r="D824" s="1" t="s">
        <v>38</v>
      </c>
      <c r="E824" s="1" t="s">
        <v>1806</v>
      </c>
      <c r="F824" s="1" t="s">
        <v>3570</v>
      </c>
      <c r="G824" s="1" t="s">
        <v>12490</v>
      </c>
      <c r="H824" s="1" t="s">
        <v>3571</v>
      </c>
      <c r="I824" s="2">
        <v>5.94</v>
      </c>
      <c r="J824" s="2">
        <v>0.47</v>
      </c>
      <c r="K824" s="2"/>
      <c r="L824" s="2"/>
      <c r="M824" s="4" t="e">
        <f t="shared" si="72"/>
        <v>#DIV/0!</v>
      </c>
      <c r="N824" s="4" t="e">
        <f t="shared" si="73"/>
        <v>#DIV/0!</v>
      </c>
      <c r="O824" s="5">
        <f t="shared" si="74"/>
        <v>-1</v>
      </c>
      <c r="P824" s="5" t="e">
        <f t="shared" si="75"/>
        <v>#DIV/0!</v>
      </c>
      <c r="Q824" s="4" t="e">
        <f t="shared" si="76"/>
        <v>#DIV/0!</v>
      </c>
      <c r="R824" s="4" t="e">
        <f t="shared" si="77"/>
        <v>#DIV/0!</v>
      </c>
      <c r="S824" s="4"/>
      <c r="T824" s="2">
        <v>0.39</v>
      </c>
      <c r="U824" s="2">
        <v>6.72</v>
      </c>
      <c r="V824" s="2">
        <v>4.5</v>
      </c>
      <c r="W824" s="2">
        <v>4.16</v>
      </c>
      <c r="X824" s="2">
        <v>7.61</v>
      </c>
      <c r="Y824" s="2">
        <v>22.22</v>
      </c>
      <c r="Z824" s="2">
        <v>23.49</v>
      </c>
    </row>
    <row r="825" spans="1:26" x14ac:dyDescent="0.25">
      <c r="A825" s="1" t="s">
        <v>3572</v>
      </c>
      <c r="B825" s="1" t="s">
        <v>3573</v>
      </c>
      <c r="C825" s="1" t="s">
        <v>16</v>
      </c>
      <c r="D825" s="1" t="s">
        <v>94</v>
      </c>
      <c r="E825" s="1" t="s">
        <v>3284</v>
      </c>
      <c r="F825" s="1" t="s">
        <v>3574</v>
      </c>
      <c r="G825" s="1" t="s">
        <v>12480</v>
      </c>
      <c r="H825" s="1" t="s">
        <v>3575</v>
      </c>
      <c r="I825" s="2">
        <v>52.79</v>
      </c>
      <c r="J825" s="2">
        <v>5.0599999999999996</v>
      </c>
      <c r="K825" s="2">
        <v>4.3</v>
      </c>
      <c r="L825" s="2">
        <v>4.62</v>
      </c>
      <c r="M825" s="4">
        <f t="shared" si="72"/>
        <v>12.276744186046512</v>
      </c>
      <c r="N825" s="4">
        <f t="shared" si="73"/>
        <v>11.426406926406926</v>
      </c>
      <c r="O825" s="5">
        <f t="shared" si="74"/>
        <v>-0.15019762845849804</v>
      </c>
      <c r="P825" s="5">
        <f t="shared" si="75"/>
        <v>7.441860465116279E-2</v>
      </c>
      <c r="Q825" s="4">
        <f t="shared" si="76"/>
        <v>-0.81737270501835979</v>
      </c>
      <c r="R825" s="4">
        <f t="shared" si="77"/>
        <v>1.5354234307359307</v>
      </c>
      <c r="S825" s="4">
        <v>-5.99</v>
      </c>
      <c r="T825" s="2">
        <v>0.83</v>
      </c>
      <c r="U825" s="2">
        <v>58.76</v>
      </c>
      <c r="V825" s="2">
        <v>25.91</v>
      </c>
      <c r="W825" s="2">
        <v>-1.9</v>
      </c>
      <c r="X825" s="2">
        <v>-9.3000000000000007</v>
      </c>
      <c r="Y825" s="2">
        <v>6.41</v>
      </c>
      <c r="Z825" s="2">
        <v>14.56</v>
      </c>
    </row>
    <row r="826" spans="1:26" x14ac:dyDescent="0.25">
      <c r="A826" s="1" t="s">
        <v>3577</v>
      </c>
      <c r="B826" s="1" t="s">
        <v>3578</v>
      </c>
      <c r="C826" s="1" t="s">
        <v>31</v>
      </c>
      <c r="D826" s="1" t="s">
        <v>32</v>
      </c>
      <c r="E826" s="1" t="s">
        <v>3580</v>
      </c>
      <c r="F826" s="1" t="s">
        <v>3579</v>
      </c>
      <c r="G826" s="1" t="s">
        <v>12490</v>
      </c>
      <c r="H826" s="1" t="s">
        <v>3581</v>
      </c>
      <c r="I826" s="2">
        <v>142.14699999999999</v>
      </c>
      <c r="J826" s="2">
        <v>6.66</v>
      </c>
      <c r="K826" s="2"/>
      <c r="L826" s="2"/>
      <c r="M826" s="4" t="e">
        <f t="shared" si="72"/>
        <v>#DIV/0!</v>
      </c>
      <c r="N826" s="4" t="e">
        <f t="shared" si="73"/>
        <v>#DIV/0!</v>
      </c>
      <c r="O826" s="5">
        <f t="shared" si="74"/>
        <v>-1</v>
      </c>
      <c r="P826" s="5" t="e">
        <f t="shared" si="75"/>
        <v>#DIV/0!</v>
      </c>
      <c r="Q826" s="4" t="e">
        <f t="shared" si="76"/>
        <v>#DIV/0!</v>
      </c>
      <c r="R826" s="4" t="e">
        <f t="shared" si="77"/>
        <v>#DIV/0!</v>
      </c>
      <c r="S826" s="4">
        <v>17.399999999999999</v>
      </c>
      <c r="T826" s="2">
        <v>1.55</v>
      </c>
      <c r="U826" s="2">
        <v>146.63</v>
      </c>
      <c r="V826" s="2">
        <v>56.69</v>
      </c>
      <c r="W826" s="2" t="s">
        <v>12489</v>
      </c>
      <c r="X826" s="2">
        <v>-3.06</v>
      </c>
      <c r="Y826" s="2">
        <v>71.14</v>
      </c>
      <c r="Z826" s="2">
        <v>71.14</v>
      </c>
    </row>
    <row r="827" spans="1:26" x14ac:dyDescent="0.25">
      <c r="A827" s="1" t="s">
        <v>3583</v>
      </c>
      <c r="B827" s="1" t="s">
        <v>3584</v>
      </c>
      <c r="C827" s="1" t="s">
        <v>45</v>
      </c>
      <c r="D827" s="1" t="s">
        <v>32</v>
      </c>
      <c r="E827" s="1" t="s">
        <v>57</v>
      </c>
      <c r="F827" s="1" t="s">
        <v>3585</v>
      </c>
      <c r="G827" s="1" t="s">
        <v>12480</v>
      </c>
      <c r="H827" s="1" t="s">
        <v>3586</v>
      </c>
      <c r="I827" s="2">
        <v>62.31</v>
      </c>
      <c r="J827" s="2">
        <v>1.22</v>
      </c>
      <c r="K827" s="2">
        <v>2.25</v>
      </c>
      <c r="L827" s="2">
        <v>2.92</v>
      </c>
      <c r="M827" s="4">
        <f t="shared" si="72"/>
        <v>27.693333333333335</v>
      </c>
      <c r="N827" s="4">
        <f t="shared" si="73"/>
        <v>21.339041095890412</v>
      </c>
      <c r="O827" s="5">
        <f t="shared" si="74"/>
        <v>0.84426229508196715</v>
      </c>
      <c r="P827" s="5">
        <f t="shared" si="75"/>
        <v>0.2977777777777777</v>
      </c>
      <c r="Q827" s="4">
        <f t="shared" si="76"/>
        <v>0.32801812297734634</v>
      </c>
      <c r="R827" s="4">
        <f t="shared" si="77"/>
        <v>0.71660958904109606</v>
      </c>
      <c r="S827" s="4">
        <v>13.04</v>
      </c>
      <c r="T827" s="2">
        <v>1.61</v>
      </c>
      <c r="U827" s="2" t="s">
        <v>12639</v>
      </c>
      <c r="V827" s="2">
        <v>34.26</v>
      </c>
      <c r="W827" s="2">
        <v>-13.58</v>
      </c>
      <c r="X827" s="2">
        <v>1.96</v>
      </c>
      <c r="Y827" s="2">
        <v>23.29</v>
      </c>
      <c r="Z827" s="2">
        <v>26.29</v>
      </c>
    </row>
    <row r="828" spans="1:26" x14ac:dyDescent="0.25">
      <c r="A828" s="1" t="s">
        <v>3587</v>
      </c>
      <c r="B828" s="1" t="s">
        <v>3588</v>
      </c>
      <c r="C828" s="1" t="s">
        <v>16</v>
      </c>
      <c r="D828" s="1" t="s">
        <v>147</v>
      </c>
      <c r="E828" s="1" t="s">
        <v>1460</v>
      </c>
      <c r="F828" s="1" t="s">
        <v>3589</v>
      </c>
      <c r="G828" s="1" t="s">
        <v>12485</v>
      </c>
      <c r="H828" s="1" t="s">
        <v>3590</v>
      </c>
      <c r="I828" s="2">
        <v>101.66</v>
      </c>
      <c r="J828" s="2">
        <v>5.93</v>
      </c>
      <c r="K828" s="2">
        <v>6.59</v>
      </c>
      <c r="L828" s="2">
        <v>7.25</v>
      </c>
      <c r="M828" s="4">
        <f t="shared" si="72"/>
        <v>15.426403641881638</v>
      </c>
      <c r="N828" s="4">
        <f t="shared" si="73"/>
        <v>14.02206896551724</v>
      </c>
      <c r="O828" s="5">
        <f t="shared" si="74"/>
        <v>0.11129848229342332</v>
      </c>
      <c r="P828" s="5">
        <f t="shared" si="75"/>
        <v>0.10015174506828539</v>
      </c>
      <c r="Q828" s="4">
        <f t="shared" si="76"/>
        <v>1.3860389938842133</v>
      </c>
      <c r="R828" s="4">
        <f t="shared" si="77"/>
        <v>1.4000823406478562</v>
      </c>
      <c r="S828" s="4">
        <v>3.35</v>
      </c>
      <c r="T828" s="2">
        <v>1.42</v>
      </c>
      <c r="U828" s="2">
        <v>124.01</v>
      </c>
      <c r="V828" s="2">
        <v>81.72</v>
      </c>
      <c r="W828" s="2">
        <v>-2.56</v>
      </c>
      <c r="X828" s="2">
        <v>-5.1100000000000003</v>
      </c>
      <c r="Y828" s="2">
        <v>-7.99</v>
      </c>
      <c r="Z828" s="2">
        <v>-10.64</v>
      </c>
    </row>
    <row r="829" spans="1:26" x14ac:dyDescent="0.25">
      <c r="A829" s="1" t="s">
        <v>3591</v>
      </c>
      <c r="B829" s="1" t="s">
        <v>3592</v>
      </c>
      <c r="C829" s="1" t="s">
        <v>45</v>
      </c>
      <c r="D829" s="1" t="s">
        <v>32</v>
      </c>
      <c r="E829" s="1" t="s">
        <v>311</v>
      </c>
      <c r="F829" s="1" t="s">
        <v>3593</v>
      </c>
      <c r="G829" s="1" t="s">
        <v>12480</v>
      </c>
      <c r="H829" s="1" t="s">
        <v>12640</v>
      </c>
      <c r="I829" s="2">
        <v>10.27</v>
      </c>
      <c r="J829" s="2">
        <v>-2.74</v>
      </c>
      <c r="K829" s="2"/>
      <c r="L829" s="2"/>
      <c r="M829" s="4" t="e">
        <f t="shared" si="72"/>
        <v>#DIV/0!</v>
      </c>
      <c r="N829" s="4" t="e">
        <f t="shared" si="73"/>
        <v>#DIV/0!</v>
      </c>
      <c r="O829" s="5">
        <f t="shared" si="74"/>
        <v>-1</v>
      </c>
      <c r="P829" s="5" t="e">
        <f t="shared" si="75"/>
        <v>#DIV/0!</v>
      </c>
      <c r="Q829" s="4" t="e">
        <f t="shared" si="76"/>
        <v>#DIV/0!</v>
      </c>
      <c r="R829" s="4" t="e">
        <f t="shared" si="77"/>
        <v>#DIV/0!</v>
      </c>
      <c r="S829" s="4">
        <v>1.77</v>
      </c>
      <c r="T829" s="2">
        <v>4.6100000000000003</v>
      </c>
      <c r="U829" s="2">
        <v>26.38</v>
      </c>
      <c r="V829" s="2">
        <v>9.91</v>
      </c>
      <c r="W829" s="2">
        <v>-7.31</v>
      </c>
      <c r="X829" s="2">
        <v>-8.8699999999999992</v>
      </c>
      <c r="Y829" s="2">
        <v>-1.82</v>
      </c>
      <c r="Z829" s="2">
        <v>-22.43</v>
      </c>
    </row>
    <row r="830" spans="1:26" x14ac:dyDescent="0.25">
      <c r="A830" s="1" t="s">
        <v>3595</v>
      </c>
      <c r="B830" s="1" t="s">
        <v>3596</v>
      </c>
      <c r="C830" s="1" t="s">
        <v>16</v>
      </c>
      <c r="D830" s="1" t="s">
        <v>94</v>
      </c>
      <c r="E830" s="1" t="s">
        <v>3284</v>
      </c>
      <c r="F830" s="1" t="s">
        <v>3597</v>
      </c>
      <c r="G830" s="1" t="s">
        <v>12480</v>
      </c>
      <c r="H830" s="1" t="s">
        <v>3598</v>
      </c>
      <c r="I830" s="2">
        <v>40.130000000000003</v>
      </c>
      <c r="J830" s="2">
        <v>6.6</v>
      </c>
      <c r="K830" s="2">
        <v>0.32</v>
      </c>
      <c r="L830" s="2">
        <v>1.01</v>
      </c>
      <c r="M830" s="4">
        <f t="shared" si="72"/>
        <v>125.40625</v>
      </c>
      <c r="N830" s="4">
        <f t="shared" si="73"/>
        <v>39.732673267326732</v>
      </c>
      <c r="O830" s="5">
        <f t="shared" si="74"/>
        <v>-0.95151515151515154</v>
      </c>
      <c r="P830" s="5">
        <f t="shared" si="75"/>
        <v>2.15625</v>
      </c>
      <c r="Q830" s="4">
        <f t="shared" si="76"/>
        <v>-1.3179637738853502</v>
      </c>
      <c r="R830" s="4">
        <f t="shared" si="77"/>
        <v>0.18426747022528339</v>
      </c>
      <c r="S830" s="4">
        <v>-9.5299999999999994</v>
      </c>
      <c r="T830" s="2">
        <v>0.75</v>
      </c>
      <c r="U830" s="2">
        <v>44.79</v>
      </c>
      <c r="V830" s="2">
        <v>11.55</v>
      </c>
      <c r="W830" s="2">
        <v>-2.93</v>
      </c>
      <c r="X830" s="2">
        <v>14.62</v>
      </c>
      <c r="Y830" s="2">
        <v>18.100000000000001</v>
      </c>
      <c r="Z830" s="2">
        <v>35.299999999999997</v>
      </c>
    </row>
    <row r="831" spans="1:26" x14ac:dyDescent="0.25">
      <c r="A831" s="1" t="s">
        <v>3599</v>
      </c>
      <c r="B831" s="1" t="s">
        <v>3600</v>
      </c>
      <c r="C831" s="1" t="s">
        <v>31</v>
      </c>
      <c r="D831" s="1" t="s">
        <v>32</v>
      </c>
      <c r="E831" s="1" t="s">
        <v>1607</v>
      </c>
      <c r="F831" s="1" t="s">
        <v>3601</v>
      </c>
      <c r="G831" s="1" t="s">
        <v>12490</v>
      </c>
      <c r="H831" s="1" t="s">
        <v>3602</v>
      </c>
      <c r="I831" s="2">
        <v>12.15</v>
      </c>
      <c r="J831" s="2">
        <v>0.56999999999999995</v>
      </c>
      <c r="K831" s="2">
        <v>0.56999999999999995</v>
      </c>
      <c r="L831" s="2">
        <v>0.63</v>
      </c>
      <c r="M831" s="4">
        <f t="shared" si="72"/>
        <v>21.315789473684212</v>
      </c>
      <c r="N831" s="4">
        <f t="shared" si="73"/>
        <v>19.285714285714285</v>
      </c>
      <c r="O831" s="5">
        <f t="shared" si="74"/>
        <v>0</v>
      </c>
      <c r="P831" s="5">
        <f t="shared" si="75"/>
        <v>0.10526315789473695</v>
      </c>
      <c r="Q831" s="4" t="e">
        <f t="shared" si="76"/>
        <v>#DIV/0!</v>
      </c>
      <c r="R831" s="4">
        <f t="shared" si="77"/>
        <v>1.8321428571428551</v>
      </c>
      <c r="S831" s="4">
        <v>2.5</v>
      </c>
      <c r="T831" s="2">
        <v>0.88</v>
      </c>
      <c r="U831" s="2">
        <v>13.63</v>
      </c>
      <c r="V831" s="2">
        <v>10.34</v>
      </c>
      <c r="W831" s="2">
        <v>-4.26</v>
      </c>
      <c r="X831" s="2">
        <v>1.67</v>
      </c>
      <c r="Y831" s="2">
        <v>-2.8</v>
      </c>
      <c r="Z831" s="2">
        <v>-4.71</v>
      </c>
    </row>
    <row r="832" spans="1:26" x14ac:dyDescent="0.25">
      <c r="A832" s="1" t="s">
        <v>3603</v>
      </c>
      <c r="B832" s="1" t="s">
        <v>3604</v>
      </c>
      <c r="C832" s="1" t="s">
        <v>16</v>
      </c>
      <c r="D832" s="1" t="s">
        <v>94</v>
      </c>
      <c r="E832" s="1" t="s">
        <v>3606</v>
      </c>
      <c r="F832" s="1" t="s">
        <v>3605</v>
      </c>
      <c r="G832" s="1" t="s">
        <v>12480</v>
      </c>
      <c r="H832" s="1" t="s">
        <v>3607</v>
      </c>
      <c r="I832" s="2">
        <v>51.62</v>
      </c>
      <c r="J832" s="2">
        <v>3.3</v>
      </c>
      <c r="K832" s="2">
        <v>4.83</v>
      </c>
      <c r="L832" s="2">
        <v>5.05</v>
      </c>
      <c r="M832" s="4">
        <f t="shared" si="72"/>
        <v>10.687370600414077</v>
      </c>
      <c r="N832" s="4">
        <f t="shared" si="73"/>
        <v>10.221782178217822</v>
      </c>
      <c r="O832" s="5">
        <f t="shared" si="74"/>
        <v>0.46363636363636385</v>
      </c>
      <c r="P832" s="5">
        <f t="shared" si="75"/>
        <v>4.554865424430643E-2</v>
      </c>
      <c r="Q832" s="4">
        <f t="shared" si="76"/>
        <v>0.23051191491089174</v>
      </c>
      <c r="R832" s="4">
        <f t="shared" si="77"/>
        <v>2.2441458145814575</v>
      </c>
      <c r="S832" s="4">
        <v>7.73</v>
      </c>
      <c r="T832" s="2">
        <v>0.51</v>
      </c>
      <c r="U832" s="2">
        <v>54.93</v>
      </c>
      <c r="V832" s="2">
        <v>36.04</v>
      </c>
      <c r="W832" s="2">
        <v>-5.46</v>
      </c>
      <c r="X832" s="2">
        <v>-2.36</v>
      </c>
      <c r="Y832" s="2">
        <v>14.86</v>
      </c>
      <c r="Z832" s="2">
        <v>15.69</v>
      </c>
    </row>
    <row r="833" spans="1:26" x14ac:dyDescent="0.25">
      <c r="A833" s="1" t="s">
        <v>3609</v>
      </c>
      <c r="B833" s="1" t="s">
        <v>3610</v>
      </c>
      <c r="C833" s="1" t="s">
        <v>45</v>
      </c>
      <c r="D833" s="1" t="s">
        <v>147</v>
      </c>
      <c r="E833" s="1" t="s">
        <v>2000</v>
      </c>
      <c r="F833" s="1" t="s">
        <v>3611</v>
      </c>
      <c r="G833" s="1" t="s">
        <v>12480</v>
      </c>
      <c r="H833" s="1" t="s">
        <v>3612</v>
      </c>
      <c r="I833" s="2">
        <v>25.16</v>
      </c>
      <c r="J833" s="2">
        <v>0.66</v>
      </c>
      <c r="K833" s="2">
        <v>1.1399999999999999</v>
      </c>
      <c r="L833" s="2">
        <v>1.62</v>
      </c>
      <c r="M833" s="4">
        <f t="shared" si="72"/>
        <v>22.070175438596493</v>
      </c>
      <c r="N833" s="4">
        <f t="shared" si="73"/>
        <v>15.530864197530864</v>
      </c>
      <c r="O833" s="5">
        <f t="shared" si="74"/>
        <v>0.72727272727272707</v>
      </c>
      <c r="P833" s="5">
        <f t="shared" si="75"/>
        <v>0.42105263157894757</v>
      </c>
      <c r="Q833" s="4">
        <f t="shared" si="76"/>
        <v>0.30346491228070188</v>
      </c>
      <c r="R833" s="4">
        <f t="shared" si="77"/>
        <v>0.36885802469135787</v>
      </c>
      <c r="S833" s="4">
        <v>26.99</v>
      </c>
      <c r="T833" s="2">
        <v>1.67</v>
      </c>
      <c r="U833" s="2">
        <v>48.23</v>
      </c>
      <c r="V833" s="2">
        <v>21.76</v>
      </c>
      <c r="W833" s="2">
        <v>5.63</v>
      </c>
      <c r="X833" s="2">
        <v>-7.57</v>
      </c>
      <c r="Y833" s="2">
        <v>-29.31</v>
      </c>
      <c r="Z833" s="2">
        <v>-26.99</v>
      </c>
    </row>
    <row r="834" spans="1:26" x14ac:dyDescent="0.25">
      <c r="A834" s="1" t="s">
        <v>3613</v>
      </c>
      <c r="B834" s="1" t="s">
        <v>3614</v>
      </c>
      <c r="C834" s="1" t="s">
        <v>16</v>
      </c>
      <c r="D834" s="1" t="s">
        <v>67</v>
      </c>
      <c r="E834" s="1" t="s">
        <v>882</v>
      </c>
      <c r="F834" s="1" t="s">
        <v>3615</v>
      </c>
      <c r="G834" s="1" t="s">
        <v>12493</v>
      </c>
      <c r="H834" s="1" t="s">
        <v>3616</v>
      </c>
      <c r="I834" s="2">
        <v>195.9</v>
      </c>
      <c r="J834" s="2">
        <v>14.05</v>
      </c>
      <c r="K834" s="2">
        <v>15.16</v>
      </c>
      <c r="L834" s="2">
        <v>16.600000000000001</v>
      </c>
      <c r="M834" s="4">
        <f t="shared" si="72"/>
        <v>12.922163588390502</v>
      </c>
      <c r="N834" s="4">
        <f t="shared" si="73"/>
        <v>11.801204819277109</v>
      </c>
      <c r="O834" s="5">
        <f t="shared" si="74"/>
        <v>7.9003558718861111E-2</v>
      </c>
      <c r="P834" s="5">
        <f t="shared" si="75"/>
        <v>9.4986807387862804E-2</v>
      </c>
      <c r="Q834" s="4">
        <f t="shared" si="76"/>
        <v>1.6356432289809619</v>
      </c>
      <c r="R834" s="4">
        <f t="shared" si="77"/>
        <v>1.2424046184738955</v>
      </c>
      <c r="S834" s="4">
        <v>3.53</v>
      </c>
      <c r="T834" s="2">
        <v>1.23</v>
      </c>
      <c r="U834" s="2">
        <v>234.2</v>
      </c>
      <c r="V834" s="2">
        <v>167.22</v>
      </c>
      <c r="W834" s="2">
        <v>-3.99</v>
      </c>
      <c r="X834" s="2">
        <v>-2.98</v>
      </c>
      <c r="Y834" s="2">
        <v>-7.52</v>
      </c>
      <c r="Z834" s="2">
        <v>-1.05</v>
      </c>
    </row>
    <row r="835" spans="1:26" x14ac:dyDescent="0.25">
      <c r="A835" s="1" t="s">
        <v>3617</v>
      </c>
      <c r="B835" s="1" t="s">
        <v>3618</v>
      </c>
      <c r="C835" s="1" t="s">
        <v>31</v>
      </c>
      <c r="D835" s="1" t="s">
        <v>46</v>
      </c>
      <c r="E835" s="1" t="s">
        <v>47</v>
      </c>
      <c r="F835" s="1" t="s">
        <v>3619</v>
      </c>
      <c r="G835" s="1" t="s">
        <v>12480</v>
      </c>
      <c r="H835" s="1" t="s">
        <v>3620</v>
      </c>
      <c r="I835" s="2">
        <v>9.18</v>
      </c>
      <c r="J835" s="2">
        <v>1.26</v>
      </c>
      <c r="K835" s="2">
        <v>1.51</v>
      </c>
      <c r="L835" s="2">
        <v>1.75</v>
      </c>
      <c r="M835" s="4">
        <f t="shared" ref="M835:M898" si="78">I835/K835</f>
        <v>6.0794701986754962</v>
      </c>
      <c r="N835" s="4">
        <f t="shared" ref="N835:N898" si="79">I835/L835</f>
        <v>5.2457142857142856</v>
      </c>
      <c r="O835" s="5">
        <f t="shared" ref="O835:O898" si="80">K835/J835-1</f>
        <v>0.19841269841269837</v>
      </c>
      <c r="P835" s="5">
        <f t="shared" ref="P835:P898" si="81">L835/K835-1</f>
        <v>0.1589403973509933</v>
      </c>
      <c r="Q835" s="4">
        <f t="shared" ref="Q835:Q898" si="82">M835/(O835*100)</f>
        <v>0.30640529801324506</v>
      </c>
      <c r="R835" s="4">
        <f t="shared" ref="R835:R898" si="83">N835/(P835*100)</f>
        <v>0.3300428571428573</v>
      </c>
      <c r="S835" s="4">
        <v>10.130000000000001</v>
      </c>
      <c r="T835" s="2">
        <v>0.84</v>
      </c>
      <c r="U835" s="2">
        <v>11.27</v>
      </c>
      <c r="V835" s="2">
        <v>6.32</v>
      </c>
      <c r="W835" s="2" t="s">
        <v>12522</v>
      </c>
      <c r="X835" s="2">
        <v>-18.55</v>
      </c>
      <c r="Y835" s="2">
        <v>-7.92</v>
      </c>
      <c r="Z835" s="2">
        <v>-6.28</v>
      </c>
    </row>
    <row r="836" spans="1:26" x14ac:dyDescent="0.25">
      <c r="A836" s="1" t="s">
        <v>3621</v>
      </c>
      <c r="B836" s="1" t="s">
        <v>3622</v>
      </c>
      <c r="C836" s="1" t="s">
        <v>16</v>
      </c>
      <c r="D836" s="1" t="s">
        <v>147</v>
      </c>
      <c r="E836" s="1" t="s">
        <v>3624</v>
      </c>
      <c r="F836" s="1" t="s">
        <v>3623</v>
      </c>
      <c r="G836" s="1" t="s">
        <v>12485</v>
      </c>
      <c r="H836" s="1" t="s">
        <v>3625</v>
      </c>
      <c r="I836" s="2">
        <v>65.23</v>
      </c>
      <c r="J836" s="2">
        <v>4.24</v>
      </c>
      <c r="K836" s="2">
        <v>4.3099999999999996</v>
      </c>
      <c r="L836" s="2">
        <v>4.57</v>
      </c>
      <c r="M836" s="4">
        <f t="shared" si="78"/>
        <v>15.134570765661255</v>
      </c>
      <c r="N836" s="4">
        <f t="shared" si="79"/>
        <v>14.273522975929978</v>
      </c>
      <c r="O836" s="5">
        <f t="shared" si="80"/>
        <v>1.6509433962264008E-2</v>
      </c>
      <c r="P836" s="5">
        <f t="shared" si="81"/>
        <v>6.0324825986079134E-2</v>
      </c>
      <c r="Q836" s="4">
        <f t="shared" si="82"/>
        <v>9.167225720914896</v>
      </c>
      <c r="R836" s="4">
        <f t="shared" si="83"/>
        <v>2.3661109240868443</v>
      </c>
      <c r="S836" s="4">
        <v>5.92</v>
      </c>
      <c r="T836" s="2">
        <v>0.84</v>
      </c>
      <c r="U836" s="2">
        <v>83.35</v>
      </c>
      <c r="V836" s="2">
        <v>61.06</v>
      </c>
      <c r="W836" s="2">
        <v>0.17</v>
      </c>
      <c r="X836" s="2">
        <v>-2.0299999999999998</v>
      </c>
      <c r="Y836" s="2">
        <v>-2.09</v>
      </c>
      <c r="Z836" s="2">
        <v>1.57</v>
      </c>
    </row>
    <row r="837" spans="1:26" x14ac:dyDescent="0.25">
      <c r="A837" s="1" t="s">
        <v>3626</v>
      </c>
      <c r="B837" s="1" t="s">
        <v>3627</v>
      </c>
      <c r="C837" s="1" t="s">
        <v>31</v>
      </c>
      <c r="D837" s="1" t="s">
        <v>67</v>
      </c>
      <c r="E837" s="1" t="s">
        <v>3480</v>
      </c>
      <c r="F837" s="1" t="s">
        <v>3628</v>
      </c>
      <c r="G837" s="1" t="s">
        <v>12493</v>
      </c>
      <c r="H837" s="1" t="s">
        <v>3629</v>
      </c>
      <c r="I837" s="2">
        <v>145.27000000000001</v>
      </c>
      <c r="J837" s="2"/>
      <c r="K837" s="2"/>
      <c r="L837" s="2"/>
      <c r="M837" s="4" t="e">
        <f t="shared" si="78"/>
        <v>#DIV/0!</v>
      </c>
      <c r="N837" s="4" t="e">
        <f t="shared" si="79"/>
        <v>#DIV/0!</v>
      </c>
      <c r="O837" s="5" t="e">
        <f t="shared" si="80"/>
        <v>#DIV/0!</v>
      </c>
      <c r="P837" s="5" t="e">
        <f t="shared" si="81"/>
        <v>#DIV/0!</v>
      </c>
      <c r="Q837" s="4" t="e">
        <f t="shared" si="82"/>
        <v>#DIV/0!</v>
      </c>
      <c r="R837" s="4" t="e">
        <f t="shared" si="83"/>
        <v>#DIV/0!</v>
      </c>
      <c r="S837" s="4"/>
      <c r="T837" s="2"/>
      <c r="U837" s="2">
        <v>160.86000000000001</v>
      </c>
      <c r="V837" s="2">
        <v>135.05000000000001</v>
      </c>
      <c r="W837" s="2">
        <v>-1.96</v>
      </c>
      <c r="X837" s="2">
        <v>2.81</v>
      </c>
      <c r="Y837" s="2">
        <v>0.03</v>
      </c>
      <c r="Z837" s="2">
        <v>-2.94</v>
      </c>
    </row>
    <row r="838" spans="1:26" x14ac:dyDescent="0.25">
      <c r="A838" s="1" t="s">
        <v>3630</v>
      </c>
      <c r="B838" s="1" t="s">
        <v>3631</v>
      </c>
      <c r="C838" s="1" t="s">
        <v>45</v>
      </c>
      <c r="D838" s="1" t="s">
        <v>140</v>
      </c>
      <c r="E838" s="1" t="s">
        <v>1555</v>
      </c>
      <c r="F838" s="1" t="s">
        <v>3632</v>
      </c>
      <c r="G838" s="1" t="s">
        <v>12480</v>
      </c>
      <c r="H838" s="1" t="s">
        <v>3633</v>
      </c>
      <c r="I838" s="2">
        <v>11.6</v>
      </c>
      <c r="J838" s="2">
        <v>0.51</v>
      </c>
      <c r="K838" s="2">
        <v>0.82</v>
      </c>
      <c r="L838" s="2">
        <v>1.04</v>
      </c>
      <c r="M838" s="4">
        <f t="shared" si="78"/>
        <v>14.146341463414634</v>
      </c>
      <c r="N838" s="4">
        <f t="shared" si="79"/>
        <v>11.153846153846153</v>
      </c>
      <c r="O838" s="5">
        <f t="shared" si="80"/>
        <v>0.6078431372549018</v>
      </c>
      <c r="P838" s="5">
        <f t="shared" si="81"/>
        <v>0.26829268292682928</v>
      </c>
      <c r="Q838" s="4">
        <f t="shared" si="82"/>
        <v>0.23273013375295051</v>
      </c>
      <c r="R838" s="4">
        <f t="shared" si="83"/>
        <v>0.4157342657342657</v>
      </c>
      <c r="S838" s="4">
        <v>14.7</v>
      </c>
      <c r="T838" s="2">
        <v>1.1399999999999999</v>
      </c>
      <c r="U838" s="2">
        <v>15.83</v>
      </c>
      <c r="V838" s="2">
        <v>7.88</v>
      </c>
      <c r="W838" s="2">
        <v>-7.5</v>
      </c>
      <c r="X838" s="2">
        <v>-12.06</v>
      </c>
      <c r="Y838" s="2">
        <v>-15.7</v>
      </c>
      <c r="Z838" s="2">
        <v>-17.96</v>
      </c>
    </row>
    <row r="839" spans="1:26" x14ac:dyDescent="0.25">
      <c r="A839" s="1" t="s">
        <v>3634</v>
      </c>
      <c r="B839" s="1" t="s">
        <v>3635</v>
      </c>
      <c r="C839" s="1" t="s">
        <v>16</v>
      </c>
      <c r="D839" s="1" t="s">
        <v>38</v>
      </c>
      <c r="E839" s="1" t="s">
        <v>510</v>
      </c>
      <c r="F839" s="1" t="s">
        <v>3636</v>
      </c>
      <c r="G839" s="1" t="s">
        <v>12480</v>
      </c>
      <c r="H839" s="1" t="s">
        <v>3637</v>
      </c>
      <c r="I839" s="2">
        <v>179.65</v>
      </c>
      <c r="J839" s="2">
        <v>7.39</v>
      </c>
      <c r="K839" s="2">
        <v>7.96</v>
      </c>
      <c r="L839" s="2">
        <v>8.65</v>
      </c>
      <c r="M839" s="4">
        <f t="shared" si="78"/>
        <v>22.569095477386934</v>
      </c>
      <c r="N839" s="4">
        <f t="shared" si="79"/>
        <v>20.76878612716763</v>
      </c>
      <c r="O839" s="5">
        <f t="shared" si="80"/>
        <v>7.7131258457374896E-2</v>
      </c>
      <c r="P839" s="5">
        <f t="shared" si="81"/>
        <v>8.668341708542715E-2</v>
      </c>
      <c r="Q839" s="4">
        <f t="shared" si="82"/>
        <v>2.9260634311910403</v>
      </c>
      <c r="R839" s="4">
        <f t="shared" si="83"/>
        <v>2.3959353271341199</v>
      </c>
      <c r="S839" s="4">
        <v>10.039999999999999</v>
      </c>
      <c r="T839" s="2">
        <v>1.1200000000000001</v>
      </c>
      <c r="U839" s="2">
        <v>182.62</v>
      </c>
      <c r="V839" s="2">
        <v>136.11000000000001</v>
      </c>
      <c r="W839" s="2">
        <v>0.54</v>
      </c>
      <c r="X839" s="2">
        <v>4.37</v>
      </c>
      <c r="Y839" s="2">
        <v>17.5</v>
      </c>
      <c r="Z839" s="2">
        <v>16.12</v>
      </c>
    </row>
    <row r="840" spans="1:26" x14ac:dyDescent="0.25">
      <c r="A840" s="1" t="s">
        <v>3638</v>
      </c>
      <c r="B840" s="1" t="s">
        <v>3639</v>
      </c>
      <c r="C840" s="1" t="s">
        <v>45</v>
      </c>
      <c r="D840" s="1" t="s">
        <v>67</v>
      </c>
      <c r="E840" s="1" t="s">
        <v>2094</v>
      </c>
      <c r="F840" s="1" t="s">
        <v>3640</v>
      </c>
      <c r="G840" s="1" t="s">
        <v>12493</v>
      </c>
      <c r="H840" s="1" t="s">
        <v>3641</v>
      </c>
      <c r="I840" s="2">
        <v>115.85</v>
      </c>
      <c r="J840" s="2">
        <v>5.0999999999999996</v>
      </c>
      <c r="K840" s="2">
        <v>6.69</v>
      </c>
      <c r="L840" s="2">
        <v>7.51</v>
      </c>
      <c r="M840" s="4">
        <f t="shared" si="78"/>
        <v>17.316890881913302</v>
      </c>
      <c r="N840" s="4">
        <f t="shared" si="79"/>
        <v>15.426098535286284</v>
      </c>
      <c r="O840" s="5">
        <f t="shared" si="80"/>
        <v>0.31176470588235317</v>
      </c>
      <c r="P840" s="5">
        <f t="shared" si="81"/>
        <v>0.12257100149476829</v>
      </c>
      <c r="Q840" s="4">
        <f t="shared" si="82"/>
        <v>0.55544744338212437</v>
      </c>
      <c r="R840" s="4">
        <f t="shared" si="83"/>
        <v>1.2585438926959176</v>
      </c>
      <c r="S840" s="4">
        <v>-42.56</v>
      </c>
      <c r="T840" s="2">
        <v>0.73</v>
      </c>
      <c r="U840" s="2">
        <v>141.21</v>
      </c>
      <c r="V840" s="2">
        <v>61.92</v>
      </c>
      <c r="W840" s="2">
        <v>-3.36</v>
      </c>
      <c r="X840" s="2">
        <v>-5.94</v>
      </c>
      <c r="Y840" s="2">
        <v>-11.68</v>
      </c>
      <c r="Z840" s="2">
        <v>-5.82</v>
      </c>
    </row>
    <row r="841" spans="1:26" x14ac:dyDescent="0.25">
      <c r="A841" s="1" t="s">
        <v>3642</v>
      </c>
      <c r="B841" s="1" t="s">
        <v>3643</v>
      </c>
      <c r="C841" s="1" t="s">
        <v>16</v>
      </c>
      <c r="D841" s="1" t="s">
        <v>140</v>
      </c>
      <c r="E841" s="1" t="s">
        <v>3645</v>
      </c>
      <c r="F841" s="1" t="s">
        <v>3644</v>
      </c>
      <c r="G841" s="1" t="s">
        <v>12480</v>
      </c>
      <c r="H841" s="1" t="s">
        <v>3646</v>
      </c>
      <c r="I841" s="2">
        <v>27.79</v>
      </c>
      <c r="J841" s="2">
        <v>3.67</v>
      </c>
      <c r="K841" s="2">
        <v>4.1100000000000003</v>
      </c>
      <c r="L841" s="2">
        <v>4.41</v>
      </c>
      <c r="M841" s="4">
        <f t="shared" si="78"/>
        <v>6.761557177615571</v>
      </c>
      <c r="N841" s="4">
        <f t="shared" si="79"/>
        <v>6.3015873015873014</v>
      </c>
      <c r="O841" s="5">
        <f t="shared" si="80"/>
        <v>0.11989100817438714</v>
      </c>
      <c r="P841" s="5">
        <f t="shared" si="81"/>
        <v>7.2992700729926918E-2</v>
      </c>
      <c r="Q841" s="4">
        <f t="shared" si="82"/>
        <v>0.56397533731475225</v>
      </c>
      <c r="R841" s="4">
        <f t="shared" si="83"/>
        <v>0.86331746031746137</v>
      </c>
      <c r="S841" s="4">
        <v>0.54</v>
      </c>
      <c r="T841" s="2">
        <v>1.37</v>
      </c>
      <c r="U841" s="2">
        <v>28.47</v>
      </c>
      <c r="V841" s="2">
        <v>13.64</v>
      </c>
      <c r="W841" s="2">
        <v>-0.18</v>
      </c>
      <c r="X841" s="2">
        <v>2.4700000000000002</v>
      </c>
      <c r="Y841" s="2">
        <v>23.95</v>
      </c>
      <c r="Z841" s="2">
        <v>24.45</v>
      </c>
    </row>
    <row r="842" spans="1:26" x14ac:dyDescent="0.25">
      <c r="A842" s="1" t="s">
        <v>3647</v>
      </c>
      <c r="B842" s="1" t="s">
        <v>3648</v>
      </c>
      <c r="C842" s="1" t="s">
        <v>45</v>
      </c>
      <c r="D842" s="1" t="s">
        <v>94</v>
      </c>
      <c r="E842" s="1" t="s">
        <v>3650</v>
      </c>
      <c r="F842" s="1" t="s">
        <v>3649</v>
      </c>
      <c r="G842" s="1" t="s">
        <v>12480</v>
      </c>
      <c r="H842" s="1" t="s">
        <v>3651</v>
      </c>
      <c r="I842" s="2">
        <v>26.81</v>
      </c>
      <c r="J842" s="2">
        <v>1.1599999999999999</v>
      </c>
      <c r="K842" s="2"/>
      <c r="L842" s="2"/>
      <c r="M842" s="4" t="e">
        <f t="shared" si="78"/>
        <v>#DIV/0!</v>
      </c>
      <c r="N842" s="4" t="e">
        <f t="shared" si="79"/>
        <v>#DIV/0!</v>
      </c>
      <c r="O842" s="5">
        <f t="shared" si="80"/>
        <v>-1</v>
      </c>
      <c r="P842" s="5" t="e">
        <f t="shared" si="81"/>
        <v>#DIV/0!</v>
      </c>
      <c r="Q842" s="4" t="e">
        <f t="shared" si="82"/>
        <v>#DIV/0!</v>
      </c>
      <c r="R842" s="4" t="e">
        <f t="shared" si="83"/>
        <v>#DIV/0!</v>
      </c>
      <c r="S842" s="4">
        <v>-5.38</v>
      </c>
      <c r="T842" s="2">
        <v>0.62</v>
      </c>
      <c r="U842" s="2">
        <v>30.37</v>
      </c>
      <c r="V842" s="2">
        <v>21.26</v>
      </c>
      <c r="W842" s="2">
        <v>-0.89</v>
      </c>
      <c r="X842" s="2">
        <v>7.58</v>
      </c>
      <c r="Y842" s="2">
        <v>21.53</v>
      </c>
      <c r="Z842" s="2">
        <v>19.899999999999999</v>
      </c>
    </row>
    <row r="843" spans="1:26" x14ac:dyDescent="0.25">
      <c r="A843" s="1" t="s">
        <v>3652</v>
      </c>
      <c r="B843" s="1" t="s">
        <v>3653</v>
      </c>
      <c r="C843" s="1" t="s">
        <v>31</v>
      </c>
      <c r="D843" s="1" t="s">
        <v>32</v>
      </c>
      <c r="E843" s="1" t="s">
        <v>565</v>
      </c>
      <c r="F843" s="1" t="s">
        <v>3654</v>
      </c>
      <c r="G843" s="1" t="s">
        <v>12490</v>
      </c>
      <c r="H843" s="1" t="s">
        <v>3655</v>
      </c>
      <c r="I843" s="2">
        <v>18.16</v>
      </c>
      <c r="J843" s="2">
        <v>1.43</v>
      </c>
      <c r="K843" s="2"/>
      <c r="L843" s="2"/>
      <c r="M843" s="4" t="e">
        <f t="shared" si="78"/>
        <v>#DIV/0!</v>
      </c>
      <c r="N843" s="4" t="e">
        <f t="shared" si="79"/>
        <v>#DIV/0!</v>
      </c>
      <c r="O843" s="5">
        <f t="shared" si="80"/>
        <v>-1</v>
      </c>
      <c r="P843" s="5" t="e">
        <f t="shared" si="81"/>
        <v>#DIV/0!</v>
      </c>
      <c r="Q843" s="4" t="e">
        <f t="shared" si="82"/>
        <v>#DIV/0!</v>
      </c>
      <c r="R843" s="4" t="e">
        <f t="shared" si="83"/>
        <v>#DIV/0!</v>
      </c>
      <c r="S843" s="4">
        <v>13.71</v>
      </c>
      <c r="T843" s="2">
        <v>-0.26</v>
      </c>
      <c r="U843" s="2">
        <v>25.35</v>
      </c>
      <c r="V843" s="2" t="s">
        <v>12501</v>
      </c>
      <c r="W843" s="2" t="s">
        <v>12489</v>
      </c>
      <c r="X843" s="2">
        <v>10.53</v>
      </c>
      <c r="Y843" s="2">
        <v>12.48</v>
      </c>
      <c r="Z843" s="2">
        <v>12.48</v>
      </c>
    </row>
    <row r="844" spans="1:26" x14ac:dyDescent="0.25">
      <c r="A844" s="1" t="s">
        <v>3656</v>
      </c>
      <c r="B844" s="1" t="s">
        <v>3657</v>
      </c>
      <c r="C844" s="1" t="s">
        <v>31</v>
      </c>
      <c r="D844" s="1" t="s">
        <v>38</v>
      </c>
      <c r="E844" s="1" t="s">
        <v>189</v>
      </c>
      <c r="F844" s="1" t="s">
        <v>3658</v>
      </c>
      <c r="G844" s="1" t="s">
        <v>12480</v>
      </c>
      <c r="H844" s="1" t="s">
        <v>3659</v>
      </c>
      <c r="I844" s="2">
        <v>30.7</v>
      </c>
      <c r="J844" s="2">
        <v>2.74</v>
      </c>
      <c r="K844" s="2">
        <v>2.79</v>
      </c>
      <c r="L844" s="2">
        <v>2.82</v>
      </c>
      <c r="M844" s="4">
        <f t="shared" si="78"/>
        <v>11.003584229390681</v>
      </c>
      <c r="N844" s="4">
        <f t="shared" si="79"/>
        <v>10.886524822695035</v>
      </c>
      <c r="O844" s="5">
        <f t="shared" si="80"/>
        <v>1.8248175182481674E-2</v>
      </c>
      <c r="P844" s="5">
        <f t="shared" si="81"/>
        <v>1.0752688172043001E-2</v>
      </c>
      <c r="Q844" s="4">
        <f t="shared" si="82"/>
        <v>6.0299641577061189</v>
      </c>
      <c r="R844" s="4">
        <f t="shared" si="83"/>
        <v>10.124468085106392</v>
      </c>
      <c r="S844" s="4">
        <v>-30.41</v>
      </c>
      <c r="T844" s="2">
        <v>0.71</v>
      </c>
      <c r="U844" s="2">
        <v>32.01</v>
      </c>
      <c r="V844" s="2">
        <v>21.94</v>
      </c>
      <c r="W844" s="2">
        <v>-2.4500000000000002</v>
      </c>
      <c r="X844" s="2">
        <v>1.32</v>
      </c>
      <c r="Y844" s="2">
        <v>12.58</v>
      </c>
      <c r="Z844" s="2">
        <v>10.23</v>
      </c>
    </row>
    <row r="845" spans="1:26" x14ac:dyDescent="0.25">
      <c r="A845" s="1" t="s">
        <v>3660</v>
      </c>
      <c r="B845" s="1" t="s">
        <v>3661</v>
      </c>
      <c r="C845" s="1" t="s">
        <v>31</v>
      </c>
      <c r="D845" s="1" t="s">
        <v>305</v>
      </c>
      <c r="E845" s="1" t="s">
        <v>1176</v>
      </c>
      <c r="F845" s="1" t="s">
        <v>3662</v>
      </c>
      <c r="G845" s="1" t="s">
        <v>12480</v>
      </c>
      <c r="H845" s="1" t="s">
        <v>3663</v>
      </c>
      <c r="I845" s="2">
        <v>56.64</v>
      </c>
      <c r="J845" s="2">
        <v>0.05</v>
      </c>
      <c r="K845" s="2"/>
      <c r="L845" s="2"/>
      <c r="M845" s="4" t="e">
        <f t="shared" si="78"/>
        <v>#DIV/0!</v>
      </c>
      <c r="N845" s="4" t="e">
        <f t="shared" si="79"/>
        <v>#DIV/0!</v>
      </c>
      <c r="O845" s="5">
        <f t="shared" si="80"/>
        <v>-1</v>
      </c>
      <c r="P845" s="5" t="e">
        <f t="shared" si="81"/>
        <v>#DIV/0!</v>
      </c>
      <c r="Q845" s="4" t="e">
        <f t="shared" si="82"/>
        <v>#DIV/0!</v>
      </c>
      <c r="R845" s="4" t="e">
        <f t="shared" si="83"/>
        <v>#DIV/0!</v>
      </c>
      <c r="S845" s="4">
        <v>5.13</v>
      </c>
      <c r="T845" s="2">
        <v>-0.1</v>
      </c>
      <c r="U845" s="2" t="s">
        <v>12641</v>
      </c>
      <c r="V845" s="2">
        <v>21.07</v>
      </c>
      <c r="W845" s="2" t="s">
        <v>12489</v>
      </c>
      <c r="X845" s="2" t="s">
        <v>12489</v>
      </c>
      <c r="Y845" s="2">
        <v>-2.36</v>
      </c>
      <c r="Z845" s="2">
        <v>-0.81</v>
      </c>
    </row>
    <row r="846" spans="1:26" x14ac:dyDescent="0.25">
      <c r="A846" s="1" t="s">
        <v>3664</v>
      </c>
      <c r="B846" s="1" t="s">
        <v>3665</v>
      </c>
      <c r="C846" s="1" t="s">
        <v>31</v>
      </c>
      <c r="D846" s="1" t="s">
        <v>38</v>
      </c>
      <c r="E846" s="1" t="s">
        <v>189</v>
      </c>
      <c r="F846" s="1" t="s">
        <v>3666</v>
      </c>
      <c r="G846" s="1" t="s">
        <v>12480</v>
      </c>
      <c r="H846" s="1" t="s">
        <v>3667</v>
      </c>
      <c r="I846" s="2">
        <v>25.29</v>
      </c>
      <c r="J846" s="2">
        <v>2.11</v>
      </c>
      <c r="K846" s="2">
        <v>2.3199999999999998</v>
      </c>
      <c r="L846" s="2">
        <v>2.44</v>
      </c>
      <c r="M846" s="4">
        <f t="shared" si="78"/>
        <v>10.900862068965518</v>
      </c>
      <c r="N846" s="4">
        <f t="shared" si="79"/>
        <v>10.364754098360656</v>
      </c>
      <c r="O846" s="5">
        <f t="shared" si="80"/>
        <v>9.9526066350710929E-2</v>
      </c>
      <c r="P846" s="5">
        <f t="shared" si="81"/>
        <v>5.1724137931034475E-2</v>
      </c>
      <c r="Q846" s="4">
        <f t="shared" si="82"/>
        <v>1.095277093596059</v>
      </c>
      <c r="R846" s="4">
        <f t="shared" si="83"/>
        <v>2.003852459016394</v>
      </c>
      <c r="S846" s="4">
        <v>5.19</v>
      </c>
      <c r="T846" s="2">
        <v>0.61</v>
      </c>
      <c r="U846" s="2">
        <v>27.44</v>
      </c>
      <c r="V846" s="2">
        <v>14.13</v>
      </c>
      <c r="W846" s="2">
        <v>-0.94</v>
      </c>
      <c r="X846" s="2">
        <v>-7.84</v>
      </c>
      <c r="Y846" s="2">
        <v>4.9400000000000004</v>
      </c>
      <c r="Z846" s="2">
        <v>1.34</v>
      </c>
    </row>
    <row r="847" spans="1:26" x14ac:dyDescent="0.25">
      <c r="A847" s="1" t="s">
        <v>3668</v>
      </c>
      <c r="B847" s="1" t="s">
        <v>3669</v>
      </c>
      <c r="C847" s="1" t="s">
        <v>45</v>
      </c>
      <c r="D847" s="1" t="s">
        <v>18</v>
      </c>
      <c r="E847" s="1" t="s">
        <v>74</v>
      </c>
      <c r="F847" s="1" t="s">
        <v>3670</v>
      </c>
      <c r="G847" s="1" t="s">
        <v>12480</v>
      </c>
      <c r="H847" s="1" t="s">
        <v>3671</v>
      </c>
      <c r="I847" s="2">
        <v>21.31</v>
      </c>
      <c r="J847" s="2">
        <v>-2.97</v>
      </c>
      <c r="K847" s="2">
        <v>-2.97</v>
      </c>
      <c r="L847" s="2">
        <v>-2.57</v>
      </c>
      <c r="M847" s="4">
        <f t="shared" si="78"/>
        <v>-7.1750841750841738</v>
      </c>
      <c r="N847" s="4">
        <f t="shared" si="79"/>
        <v>-8.2918287937743198</v>
      </c>
      <c r="O847" s="5">
        <f t="shared" si="80"/>
        <v>0</v>
      </c>
      <c r="P847" s="5">
        <f t="shared" si="81"/>
        <v>-0.13468013468013484</v>
      </c>
      <c r="Q847" s="4" t="e">
        <f t="shared" si="82"/>
        <v>#DIV/0!</v>
      </c>
      <c r="R847" s="4">
        <f t="shared" si="83"/>
        <v>0.61566828793774242</v>
      </c>
      <c r="S847" s="4"/>
      <c r="T847" s="2">
        <v>1.02</v>
      </c>
      <c r="U847" s="2">
        <v>22.74</v>
      </c>
      <c r="V847" s="2">
        <v>11.47</v>
      </c>
      <c r="W847" s="2">
        <v>1.48</v>
      </c>
      <c r="X847" s="2">
        <v>2.2599999999999998</v>
      </c>
      <c r="Y847" s="2">
        <v>22.9</v>
      </c>
      <c r="Z847" s="2">
        <v>29.07</v>
      </c>
    </row>
    <row r="848" spans="1:26" x14ac:dyDescent="0.25">
      <c r="A848" s="1" t="s">
        <v>3672</v>
      </c>
      <c r="B848" s="1" t="s">
        <v>3673</v>
      </c>
      <c r="C848" s="1" t="s">
        <v>31</v>
      </c>
      <c r="D848" s="1" t="s">
        <v>147</v>
      </c>
      <c r="E848" s="1" t="s">
        <v>1902</v>
      </c>
      <c r="F848" s="1" t="s">
        <v>3674</v>
      </c>
      <c r="G848" s="1" t="s">
        <v>12502</v>
      </c>
      <c r="H848" s="1" t="s">
        <v>3675</v>
      </c>
      <c r="I848" s="2">
        <v>12.86</v>
      </c>
      <c r="J848" s="2">
        <v>0.99</v>
      </c>
      <c r="K848" s="2">
        <v>1.06</v>
      </c>
      <c r="L848" s="2">
        <v>1.1299999999999999</v>
      </c>
      <c r="M848" s="4">
        <f t="shared" si="78"/>
        <v>12.132075471698112</v>
      </c>
      <c r="N848" s="4">
        <f t="shared" si="79"/>
        <v>11.380530973451329</v>
      </c>
      <c r="O848" s="5">
        <f t="shared" si="80"/>
        <v>7.0707070707070718E-2</v>
      </c>
      <c r="P848" s="5">
        <f t="shared" si="81"/>
        <v>6.6037735849056478E-2</v>
      </c>
      <c r="Q848" s="4">
        <f t="shared" si="82"/>
        <v>1.7158221024258755</v>
      </c>
      <c r="R848" s="4">
        <f t="shared" si="83"/>
        <v>1.7233375474083474</v>
      </c>
      <c r="S848" s="4">
        <v>6.63</v>
      </c>
      <c r="T848" s="2">
        <v>0.43</v>
      </c>
      <c r="U848" s="2" t="s">
        <v>12642</v>
      </c>
      <c r="V848" s="2">
        <v>12.71</v>
      </c>
      <c r="W848" s="2">
        <v>-4.88</v>
      </c>
      <c r="X848" s="2">
        <v>0.56999999999999995</v>
      </c>
      <c r="Y848" s="2">
        <v>-14.07</v>
      </c>
      <c r="Z848" s="2">
        <v>-14.07</v>
      </c>
    </row>
    <row r="849" spans="1:26" x14ac:dyDescent="0.25">
      <c r="A849" s="1" t="s">
        <v>3676</v>
      </c>
      <c r="B849" s="1" t="s">
        <v>3677</v>
      </c>
      <c r="C849" s="1" t="s">
        <v>1118</v>
      </c>
      <c r="D849" s="1" t="s">
        <v>88</v>
      </c>
      <c r="E849" s="1" t="s">
        <v>658</v>
      </c>
      <c r="F849" s="1" t="s">
        <v>3678</v>
      </c>
      <c r="G849" s="1" t="s">
        <v>12480</v>
      </c>
      <c r="H849" s="1" t="s">
        <v>3679</v>
      </c>
      <c r="I849" s="2">
        <v>3.81</v>
      </c>
      <c r="J849" s="2">
        <v>-7.0000000000000007E-2</v>
      </c>
      <c r="K849" s="2">
        <v>-0.06</v>
      </c>
      <c r="L849" s="2">
        <v>-0.05</v>
      </c>
      <c r="M849" s="4">
        <f t="shared" si="78"/>
        <v>-63.5</v>
      </c>
      <c r="N849" s="4">
        <f t="shared" si="79"/>
        <v>-76.2</v>
      </c>
      <c r="O849" s="5">
        <f t="shared" si="80"/>
        <v>-0.14285714285714302</v>
      </c>
      <c r="P849" s="5">
        <f t="shared" si="81"/>
        <v>-0.16666666666666663</v>
      </c>
      <c r="Q849" s="4">
        <f t="shared" si="82"/>
        <v>4.444999999999995</v>
      </c>
      <c r="R849" s="4">
        <f t="shared" si="83"/>
        <v>4.572000000000001</v>
      </c>
      <c r="S849" s="4">
        <v>109.24</v>
      </c>
      <c r="T849" s="2">
        <v>1.18</v>
      </c>
      <c r="U849" s="2">
        <v>4.37</v>
      </c>
      <c r="V849" s="2">
        <v>1.1499999999999999</v>
      </c>
      <c r="W849" s="2">
        <v>-12.82</v>
      </c>
      <c r="X849" s="2">
        <v>-3.54</v>
      </c>
      <c r="Y849" s="2" t="s">
        <v>12643</v>
      </c>
      <c r="Z849" s="2">
        <v>43.23</v>
      </c>
    </row>
    <row r="850" spans="1:26" x14ac:dyDescent="0.25">
      <c r="A850" s="1" t="s">
        <v>3680</v>
      </c>
      <c r="B850" s="1" t="s">
        <v>3681</v>
      </c>
      <c r="C850" s="1" t="s">
        <v>16</v>
      </c>
      <c r="D850" s="1" t="s">
        <v>25</v>
      </c>
      <c r="E850" s="1" t="s">
        <v>220</v>
      </c>
      <c r="F850" s="1" t="s">
        <v>3682</v>
      </c>
      <c r="G850" s="1" t="s">
        <v>12480</v>
      </c>
      <c r="H850" s="1" t="s">
        <v>3683</v>
      </c>
      <c r="I850" s="2">
        <v>11.82</v>
      </c>
      <c r="J850" s="2">
        <v>0.86</v>
      </c>
      <c r="K850" s="2">
        <v>0.91</v>
      </c>
      <c r="L850" s="2" t="s">
        <v>12493</v>
      </c>
      <c r="M850" s="4">
        <f t="shared" si="78"/>
        <v>12.989010989010989</v>
      </c>
      <c r="N850" s="4">
        <f t="shared" si="79"/>
        <v>11.82</v>
      </c>
      <c r="O850" s="5">
        <f t="shared" si="80"/>
        <v>5.8139534883721034E-2</v>
      </c>
      <c r="P850" s="5">
        <f t="shared" si="81"/>
        <v>9.8901098901098772E-2</v>
      </c>
      <c r="Q850" s="4">
        <f t="shared" si="82"/>
        <v>2.2341098901098864</v>
      </c>
      <c r="R850" s="4">
        <f t="shared" si="83"/>
        <v>1.1951333333333349</v>
      </c>
      <c r="S850" s="4">
        <v>18.84</v>
      </c>
      <c r="T850" s="2">
        <v>0.79</v>
      </c>
      <c r="U850" s="2">
        <v>17.309999999999999</v>
      </c>
      <c r="V850" s="2">
        <v>11.57</v>
      </c>
      <c r="W850" s="2">
        <v>-1.99</v>
      </c>
      <c r="X850" s="2">
        <v>-29.94</v>
      </c>
      <c r="Y850" s="2">
        <v>-16.05</v>
      </c>
      <c r="Z850" s="2">
        <v>-10.79</v>
      </c>
    </row>
    <row r="851" spans="1:26" x14ac:dyDescent="0.25">
      <c r="A851" s="1" t="s">
        <v>3684</v>
      </c>
      <c r="B851" s="1" t="s">
        <v>3685</v>
      </c>
      <c r="C851" s="1" t="s">
        <v>16</v>
      </c>
      <c r="D851" s="1" t="s">
        <v>38</v>
      </c>
      <c r="E851" s="1" t="s">
        <v>259</v>
      </c>
      <c r="F851" s="1" t="s">
        <v>3686</v>
      </c>
      <c r="G851" s="1" t="s">
        <v>12480</v>
      </c>
      <c r="H851" s="1" t="s">
        <v>3687</v>
      </c>
      <c r="I851" s="2">
        <v>10.220000000000001</v>
      </c>
      <c r="J851" s="2"/>
      <c r="K851" s="2"/>
      <c r="L851" s="2"/>
      <c r="M851" s="4" t="e">
        <f t="shared" si="78"/>
        <v>#DIV/0!</v>
      </c>
      <c r="N851" s="4" t="e">
        <f t="shared" si="79"/>
        <v>#DIV/0!</v>
      </c>
      <c r="O851" s="5" t="e">
        <f t="shared" si="80"/>
        <v>#DIV/0!</v>
      </c>
      <c r="P851" s="5" t="e">
        <f t="shared" si="81"/>
        <v>#DIV/0!</v>
      </c>
      <c r="Q851" s="4" t="e">
        <f t="shared" si="82"/>
        <v>#DIV/0!</v>
      </c>
      <c r="R851" s="4" t="e">
        <f t="shared" si="83"/>
        <v>#DIV/0!</v>
      </c>
      <c r="S851" s="4"/>
      <c r="T851" s="2">
        <v>0.33</v>
      </c>
      <c r="U851" s="2">
        <v>10.62</v>
      </c>
      <c r="V851" s="2">
        <v>8.89</v>
      </c>
      <c r="W851" s="2">
        <v>-3.13</v>
      </c>
      <c r="X851" s="2">
        <v>0.89</v>
      </c>
      <c r="Y851" s="2">
        <v>2.2000000000000002</v>
      </c>
      <c r="Z851" s="2">
        <v>2.2999999999999998</v>
      </c>
    </row>
    <row r="852" spans="1:26" x14ac:dyDescent="0.25">
      <c r="A852" s="1" t="s">
        <v>3688</v>
      </c>
      <c r="B852" s="1" t="s">
        <v>3689</v>
      </c>
      <c r="C852" s="1" t="s">
        <v>31</v>
      </c>
      <c r="D852" s="1" t="s">
        <v>25</v>
      </c>
      <c r="E852" s="1" t="s">
        <v>2342</v>
      </c>
      <c r="F852" s="1" t="s">
        <v>3690</v>
      </c>
      <c r="G852" s="1" t="s">
        <v>12490</v>
      </c>
      <c r="H852" s="1" t="s">
        <v>3691</v>
      </c>
      <c r="I852" s="2">
        <v>9.4499999999999993</v>
      </c>
      <c r="J852" s="2">
        <v>0.41</v>
      </c>
      <c r="K852" s="2"/>
      <c r="L852" s="2"/>
      <c r="M852" s="4" t="e">
        <f t="shared" si="78"/>
        <v>#DIV/0!</v>
      </c>
      <c r="N852" s="4" t="e">
        <f t="shared" si="79"/>
        <v>#DIV/0!</v>
      </c>
      <c r="O852" s="5">
        <f t="shared" si="80"/>
        <v>-1</v>
      </c>
      <c r="P852" s="5" t="e">
        <f t="shared" si="81"/>
        <v>#DIV/0!</v>
      </c>
      <c r="Q852" s="4" t="e">
        <f t="shared" si="82"/>
        <v>#DIV/0!</v>
      </c>
      <c r="R852" s="4" t="e">
        <f t="shared" si="83"/>
        <v>#DIV/0!</v>
      </c>
      <c r="S852" s="4">
        <v>-3.02</v>
      </c>
      <c r="T852" s="2">
        <v>0.53</v>
      </c>
      <c r="U852" s="2">
        <v>10.44</v>
      </c>
      <c r="V852" s="2">
        <v>6.26</v>
      </c>
      <c r="W852" s="2">
        <v>-8.7799999999999994</v>
      </c>
      <c r="X852" s="2">
        <v>-5.97</v>
      </c>
      <c r="Y852" s="2" t="s">
        <v>12497</v>
      </c>
      <c r="Z852" s="2">
        <v>10.01</v>
      </c>
    </row>
    <row r="853" spans="1:26" x14ac:dyDescent="0.25">
      <c r="A853" s="1" t="s">
        <v>3692</v>
      </c>
      <c r="B853" s="1" t="s">
        <v>3693</v>
      </c>
      <c r="C853" s="1" t="s">
        <v>45</v>
      </c>
      <c r="D853" s="1" t="s">
        <v>18</v>
      </c>
      <c r="E853" s="1" t="s">
        <v>74</v>
      </c>
      <c r="F853" s="1" t="s">
        <v>3694</v>
      </c>
      <c r="G853" s="1" t="s">
        <v>12480</v>
      </c>
      <c r="H853" s="1" t="s">
        <v>776</v>
      </c>
      <c r="I853" s="2">
        <v>79.23</v>
      </c>
      <c r="J853" s="2">
        <v>-4.2</v>
      </c>
      <c r="K853" s="2">
        <v>-3.85</v>
      </c>
      <c r="L853" s="2">
        <v>-4.24</v>
      </c>
      <c r="M853" s="4">
        <f t="shared" si="78"/>
        <v>-20.57922077922078</v>
      </c>
      <c r="N853" s="4">
        <f t="shared" si="79"/>
        <v>-18.686320754716981</v>
      </c>
      <c r="O853" s="5">
        <f t="shared" si="80"/>
        <v>-8.333333333333337E-2</v>
      </c>
      <c r="P853" s="5">
        <f t="shared" si="81"/>
        <v>0.10129870129870122</v>
      </c>
      <c r="Q853" s="4">
        <f t="shared" si="82"/>
        <v>2.4695064935064925</v>
      </c>
      <c r="R853" s="4">
        <f t="shared" si="83"/>
        <v>-1.8446752539912932</v>
      </c>
      <c r="S853" s="4">
        <v>-67.349999999999994</v>
      </c>
      <c r="T853" s="2">
        <v>1.56</v>
      </c>
      <c r="U853" s="2">
        <v>79.23</v>
      </c>
      <c r="V853" s="2">
        <v>14.86</v>
      </c>
      <c r="W853" s="2">
        <v>43.38</v>
      </c>
      <c r="X853" s="2">
        <v>50.31</v>
      </c>
      <c r="Y853" s="2" t="s">
        <v>12644</v>
      </c>
      <c r="Z853" s="2">
        <v>92.26</v>
      </c>
    </row>
    <row r="854" spans="1:26" x14ac:dyDescent="0.25">
      <c r="A854" s="1" t="s">
        <v>3695</v>
      </c>
      <c r="B854" s="1" t="s">
        <v>3696</v>
      </c>
      <c r="C854" s="1" t="s">
        <v>31</v>
      </c>
      <c r="D854" s="1" t="s">
        <v>305</v>
      </c>
      <c r="E854" s="1" t="s">
        <v>306</v>
      </c>
      <c r="F854" s="1" t="s">
        <v>3697</v>
      </c>
      <c r="G854" s="1" t="s">
        <v>12490</v>
      </c>
      <c r="H854" s="1" t="s">
        <v>3698</v>
      </c>
      <c r="I854" s="2">
        <v>12.81</v>
      </c>
      <c r="J854" s="2">
        <v>0.95</v>
      </c>
      <c r="K854" s="2">
        <v>1.01</v>
      </c>
      <c r="L854" s="2">
        <v>1.1399999999999999</v>
      </c>
      <c r="M854" s="4">
        <f t="shared" si="78"/>
        <v>12.683168316831683</v>
      </c>
      <c r="N854" s="4">
        <f t="shared" si="79"/>
        <v>11.236842105263159</v>
      </c>
      <c r="O854" s="5">
        <f t="shared" si="80"/>
        <v>6.315789473684208E-2</v>
      </c>
      <c r="P854" s="5">
        <f t="shared" si="81"/>
        <v>0.12871287128712861</v>
      </c>
      <c r="Q854" s="4">
        <f t="shared" si="82"/>
        <v>2.008168316831684</v>
      </c>
      <c r="R854" s="4">
        <f t="shared" si="83"/>
        <v>0.87301619433198463</v>
      </c>
      <c r="S854" s="4">
        <v>-4.97</v>
      </c>
      <c r="T854" s="2">
        <v>1.04</v>
      </c>
      <c r="U854" s="2">
        <v>15.12</v>
      </c>
      <c r="V854" s="2">
        <v>11.18</v>
      </c>
      <c r="W854" s="2">
        <v>-8.5</v>
      </c>
      <c r="X854" s="2">
        <v>-7.51</v>
      </c>
      <c r="Y854" s="2">
        <v>-6.63</v>
      </c>
      <c r="Z854" s="2">
        <v>-6.09</v>
      </c>
    </row>
    <row r="855" spans="1:26" x14ac:dyDescent="0.25">
      <c r="A855" s="1" t="s">
        <v>3699</v>
      </c>
      <c r="B855" s="1" t="s">
        <v>3700</v>
      </c>
      <c r="C855" s="1" t="s">
        <v>16</v>
      </c>
      <c r="D855" s="1" t="s">
        <v>38</v>
      </c>
      <c r="E855" s="1" t="s">
        <v>510</v>
      </c>
      <c r="F855" s="1" t="s">
        <v>3701</v>
      </c>
      <c r="G855" s="1" t="s">
        <v>12480</v>
      </c>
      <c r="H855" s="1" t="s">
        <v>3702</v>
      </c>
      <c r="I855" s="2">
        <v>17.420000000000002</v>
      </c>
      <c r="J855" s="2">
        <v>1.84</v>
      </c>
      <c r="K855" s="2">
        <v>1.76</v>
      </c>
      <c r="L855" s="2">
        <v>1.78</v>
      </c>
      <c r="M855" s="4">
        <f t="shared" si="78"/>
        <v>9.8977272727272734</v>
      </c>
      <c r="N855" s="4">
        <f t="shared" si="79"/>
        <v>9.7865168539325857</v>
      </c>
      <c r="O855" s="5">
        <f t="shared" si="80"/>
        <v>-4.3478260869565299E-2</v>
      </c>
      <c r="P855" s="5">
        <f t="shared" si="81"/>
        <v>1.1363636363636465E-2</v>
      </c>
      <c r="Q855" s="4">
        <f t="shared" si="82"/>
        <v>-2.2764772727272682</v>
      </c>
      <c r="R855" s="4">
        <f t="shared" si="83"/>
        <v>8.6121348314605992</v>
      </c>
      <c r="S855" s="4" t="s">
        <v>12842</v>
      </c>
      <c r="T855" s="2">
        <v>1.1200000000000001</v>
      </c>
      <c r="U855" s="2">
        <v>20.67</v>
      </c>
      <c r="V855" s="2">
        <v>15.78</v>
      </c>
      <c r="W855" s="2">
        <v>-1.19</v>
      </c>
      <c r="X855" s="2">
        <v>3.44</v>
      </c>
      <c r="Y855" s="2">
        <v>4.5599999999999996</v>
      </c>
      <c r="Z855" s="2">
        <v>8.33</v>
      </c>
    </row>
    <row r="856" spans="1:26" x14ac:dyDescent="0.25">
      <c r="A856" s="1" t="s">
        <v>3703</v>
      </c>
      <c r="B856" s="1" t="s">
        <v>3704</v>
      </c>
      <c r="C856" s="1" t="s">
        <v>16</v>
      </c>
      <c r="D856" s="1" t="s">
        <v>32</v>
      </c>
      <c r="E856" s="1" t="s">
        <v>311</v>
      </c>
      <c r="F856" s="1" t="s">
        <v>3705</v>
      </c>
      <c r="G856" s="1" t="s">
        <v>12480</v>
      </c>
      <c r="H856" s="1" t="s">
        <v>12645</v>
      </c>
      <c r="I856" s="2">
        <v>57.53</v>
      </c>
      <c r="J856" s="2">
        <v>2.12</v>
      </c>
      <c r="K856" s="2">
        <v>1.06</v>
      </c>
      <c r="L856" s="2">
        <v>1.75</v>
      </c>
      <c r="M856" s="4">
        <f t="shared" si="78"/>
        <v>54.273584905660378</v>
      </c>
      <c r="N856" s="4">
        <f t="shared" si="79"/>
        <v>32.874285714285712</v>
      </c>
      <c r="O856" s="5">
        <f t="shared" si="80"/>
        <v>-0.5</v>
      </c>
      <c r="P856" s="5">
        <f t="shared" si="81"/>
        <v>0.65094339622641506</v>
      </c>
      <c r="Q856" s="4">
        <f t="shared" si="82"/>
        <v>-1.0854716981132075</v>
      </c>
      <c r="R856" s="4">
        <f t="shared" si="83"/>
        <v>0.50502525879917182</v>
      </c>
      <c r="S856" s="4">
        <v>15.48</v>
      </c>
      <c r="T856" s="2">
        <v>1.76</v>
      </c>
      <c r="U856" s="2">
        <v>68.86</v>
      </c>
      <c r="V856" s="2">
        <v>25.74</v>
      </c>
      <c r="W856" s="2">
        <v>-1.22</v>
      </c>
      <c r="X856" s="2">
        <v>-11.14</v>
      </c>
      <c r="Y856" s="2">
        <v>25.67</v>
      </c>
      <c r="Z856" s="2">
        <v>19.559999999999999</v>
      </c>
    </row>
    <row r="857" spans="1:26" x14ac:dyDescent="0.25">
      <c r="A857" s="1" t="s">
        <v>3706</v>
      </c>
      <c r="B857" s="1" t="s">
        <v>3707</v>
      </c>
      <c r="C857" s="1" t="s">
        <v>16</v>
      </c>
      <c r="D857" s="1" t="s">
        <v>18</v>
      </c>
      <c r="E857" s="1" t="s">
        <v>1385</v>
      </c>
      <c r="F857" s="1" t="s">
        <v>3708</v>
      </c>
      <c r="G857" s="1" t="s">
        <v>12490</v>
      </c>
      <c r="H857" s="1" t="s">
        <v>3709</v>
      </c>
      <c r="I857" s="2">
        <v>25.49</v>
      </c>
      <c r="J857" s="2">
        <v>1.42</v>
      </c>
      <c r="K857" s="2">
        <v>1.54</v>
      </c>
      <c r="L857" s="2">
        <v>1.6</v>
      </c>
      <c r="M857" s="4">
        <f t="shared" si="78"/>
        <v>16.551948051948049</v>
      </c>
      <c r="N857" s="4">
        <f t="shared" si="79"/>
        <v>15.931249999999999</v>
      </c>
      <c r="O857" s="5">
        <f t="shared" si="80"/>
        <v>8.4507042253521236E-2</v>
      </c>
      <c r="P857" s="5">
        <f t="shared" si="81"/>
        <v>3.8961038961039085E-2</v>
      </c>
      <c r="Q857" s="4">
        <f t="shared" si="82"/>
        <v>1.9586471861471835</v>
      </c>
      <c r="R857" s="4">
        <f t="shared" si="83"/>
        <v>4.0890208333333202</v>
      </c>
      <c r="S857" s="4">
        <v>19.98</v>
      </c>
      <c r="T857" s="2">
        <v>1.44</v>
      </c>
      <c r="U857" s="2">
        <v>75.12</v>
      </c>
      <c r="V857" s="2">
        <v>23.76</v>
      </c>
      <c r="W857" s="2">
        <v>-0.82</v>
      </c>
      <c r="X857" s="2">
        <v>-7.31</v>
      </c>
      <c r="Y857" s="2">
        <v>-42.91</v>
      </c>
      <c r="Z857" s="2">
        <v>-42.44</v>
      </c>
    </row>
    <row r="858" spans="1:26" x14ac:dyDescent="0.25">
      <c r="A858" s="1" t="s">
        <v>3710</v>
      </c>
      <c r="B858" s="1" t="s">
        <v>3711</v>
      </c>
      <c r="C858" s="1" t="s">
        <v>45</v>
      </c>
      <c r="D858" s="1" t="s">
        <v>32</v>
      </c>
      <c r="E858" s="1" t="s">
        <v>311</v>
      </c>
      <c r="F858" s="1" t="s">
        <v>3712</v>
      </c>
      <c r="G858" s="1" t="s">
        <v>12493</v>
      </c>
      <c r="H858" s="1" t="s">
        <v>3713</v>
      </c>
      <c r="I858" s="2">
        <v>48.69</v>
      </c>
      <c r="J858" s="2">
        <v>3.55</v>
      </c>
      <c r="K858" s="2">
        <v>4.16</v>
      </c>
      <c r="L858" s="2">
        <v>4.62</v>
      </c>
      <c r="M858" s="4">
        <f t="shared" si="78"/>
        <v>11.704326923076922</v>
      </c>
      <c r="N858" s="4">
        <f t="shared" si="79"/>
        <v>10.538961038961038</v>
      </c>
      <c r="O858" s="5">
        <f t="shared" si="80"/>
        <v>0.17183098591549295</v>
      </c>
      <c r="P858" s="5">
        <f t="shared" si="81"/>
        <v>0.11057692307692313</v>
      </c>
      <c r="Q858" s="4">
        <f t="shared" si="82"/>
        <v>0.6811534520807061</v>
      </c>
      <c r="R858" s="4">
        <f t="shared" si="83"/>
        <v>0.95308865047995417</v>
      </c>
      <c r="S858" s="4">
        <v>7.78</v>
      </c>
      <c r="T858" s="2">
        <v>1.03</v>
      </c>
      <c r="U858" s="2">
        <v>93.84</v>
      </c>
      <c r="V858" s="2">
        <v>41.75</v>
      </c>
      <c r="W858" s="2">
        <v>5.48</v>
      </c>
      <c r="X858" s="2">
        <v>2.31</v>
      </c>
      <c r="Y858" s="2">
        <v>-28.6</v>
      </c>
      <c r="Z858" s="2">
        <v>-28.82</v>
      </c>
    </row>
    <row r="859" spans="1:26" x14ac:dyDescent="0.25">
      <c r="A859" s="1" t="s">
        <v>3714</v>
      </c>
      <c r="B859" s="1" t="s">
        <v>3715</v>
      </c>
      <c r="C859" s="1" t="s">
        <v>16</v>
      </c>
      <c r="D859" s="1" t="s">
        <v>128</v>
      </c>
      <c r="E859" s="1" t="s">
        <v>296</v>
      </c>
      <c r="F859" s="1" t="s">
        <v>3716</v>
      </c>
      <c r="G859" s="1" t="s">
        <v>12480</v>
      </c>
      <c r="H859" s="1" t="s">
        <v>3717</v>
      </c>
      <c r="I859" s="2">
        <v>15.04</v>
      </c>
      <c r="J859" s="2">
        <v>1.2</v>
      </c>
      <c r="K859" s="2">
        <v>1.43</v>
      </c>
      <c r="L859" s="2">
        <v>1.53</v>
      </c>
      <c r="M859" s="4">
        <f t="shared" si="78"/>
        <v>10.517482517482517</v>
      </c>
      <c r="N859" s="4">
        <f t="shared" si="79"/>
        <v>9.830065359477123</v>
      </c>
      <c r="O859" s="5">
        <f t="shared" si="80"/>
        <v>0.19166666666666665</v>
      </c>
      <c r="P859" s="5">
        <f t="shared" si="81"/>
        <v>6.9930069930070005E-2</v>
      </c>
      <c r="Q859" s="4">
        <f t="shared" si="82"/>
        <v>0.54873821830343572</v>
      </c>
      <c r="R859" s="4">
        <f t="shared" si="83"/>
        <v>1.4056993464052272</v>
      </c>
      <c r="S859" s="4">
        <v>8.23</v>
      </c>
      <c r="T859" s="2">
        <v>0.64</v>
      </c>
      <c r="U859" s="2">
        <v>16.37</v>
      </c>
      <c r="V859" s="2">
        <v>12.68</v>
      </c>
      <c r="W859" s="2">
        <v>-4.8099999999999996</v>
      </c>
      <c r="X859" s="2">
        <v>-5.1100000000000003</v>
      </c>
      <c r="Y859" s="2">
        <v>-3.34</v>
      </c>
      <c r="Z859" s="2">
        <v>0.33</v>
      </c>
    </row>
    <row r="860" spans="1:26" x14ac:dyDescent="0.25">
      <c r="A860" s="1" t="s">
        <v>3718</v>
      </c>
      <c r="B860" s="1" t="s">
        <v>3719</v>
      </c>
      <c r="C860" s="1" t="s">
        <v>45</v>
      </c>
      <c r="D860" s="1" t="s">
        <v>305</v>
      </c>
      <c r="E860" s="1" t="s">
        <v>306</v>
      </c>
      <c r="F860" s="1" t="s">
        <v>3720</v>
      </c>
      <c r="G860" s="1" t="s">
        <v>12493</v>
      </c>
      <c r="H860" s="1" t="s">
        <v>3721</v>
      </c>
      <c r="I860" s="2">
        <v>65.599999999999994</v>
      </c>
      <c r="J860" s="2">
        <v>3.25</v>
      </c>
      <c r="K860" s="2">
        <v>4.4000000000000004</v>
      </c>
      <c r="L860" s="2">
        <v>5.8</v>
      </c>
      <c r="M860" s="4">
        <f t="shared" si="78"/>
        <v>14.909090909090907</v>
      </c>
      <c r="N860" s="4">
        <f t="shared" si="79"/>
        <v>11.310344827586206</v>
      </c>
      <c r="O860" s="5">
        <f t="shared" si="80"/>
        <v>0.35384615384615392</v>
      </c>
      <c r="P860" s="5">
        <f t="shared" si="81"/>
        <v>0.31818181818181812</v>
      </c>
      <c r="Q860" s="4">
        <f t="shared" si="82"/>
        <v>0.4213438735177864</v>
      </c>
      <c r="R860" s="4">
        <f t="shared" si="83"/>
        <v>0.35546798029556653</v>
      </c>
      <c r="S860" s="4">
        <v>-29.21</v>
      </c>
      <c r="T860" s="2">
        <v>1.22</v>
      </c>
      <c r="U860" s="2">
        <v>81.64</v>
      </c>
      <c r="V860" s="2">
        <v>32.44</v>
      </c>
      <c r="W860" s="2">
        <v>-9.0299999999999994</v>
      </c>
      <c r="X860" s="2">
        <v>-17.22</v>
      </c>
      <c r="Y860" s="2">
        <v>-14.74</v>
      </c>
      <c r="Z860" s="2">
        <v>-7.29</v>
      </c>
    </row>
    <row r="861" spans="1:26" x14ac:dyDescent="0.25">
      <c r="A861" s="1" t="s">
        <v>3723</v>
      </c>
      <c r="B861" s="1" t="s">
        <v>3724</v>
      </c>
      <c r="C861" s="1" t="s">
        <v>45</v>
      </c>
      <c r="D861" s="1" t="s">
        <v>305</v>
      </c>
      <c r="E861" s="1" t="s">
        <v>3726</v>
      </c>
      <c r="F861" s="1" t="s">
        <v>3725</v>
      </c>
      <c r="G861" s="1" t="s">
        <v>12480</v>
      </c>
      <c r="H861" s="1" t="s">
        <v>3727</v>
      </c>
      <c r="I861" s="2">
        <v>107.75</v>
      </c>
      <c r="J861" s="2">
        <v>8.8699999999999992</v>
      </c>
      <c r="K861" s="2">
        <v>8.25</v>
      </c>
      <c r="L861" s="2">
        <v>9.27</v>
      </c>
      <c r="M861" s="4">
        <f t="shared" si="78"/>
        <v>13.060606060606061</v>
      </c>
      <c r="N861" s="4">
        <f t="shared" si="79"/>
        <v>11.623516720604099</v>
      </c>
      <c r="O861" s="5">
        <f t="shared" si="80"/>
        <v>-6.9898534385569255E-2</v>
      </c>
      <c r="P861" s="5">
        <f t="shared" si="81"/>
        <v>0.12363636363636354</v>
      </c>
      <c r="Q861" s="4">
        <f t="shared" si="82"/>
        <v>-1.8685092864125141</v>
      </c>
      <c r="R861" s="4">
        <f t="shared" si="83"/>
        <v>0.94013738181356754</v>
      </c>
      <c r="S861" s="4">
        <v>6.03</v>
      </c>
      <c r="T861" s="2">
        <v>0.92</v>
      </c>
      <c r="U861" s="2">
        <v>166.34</v>
      </c>
      <c r="V861" s="2">
        <v>107.75</v>
      </c>
      <c r="W861" s="2">
        <v>-7.06</v>
      </c>
      <c r="X861" s="2">
        <v>-17.149999999999999</v>
      </c>
      <c r="Y861" s="2">
        <v>-15.77</v>
      </c>
      <c r="Z861" s="2">
        <v>-12.53</v>
      </c>
    </row>
    <row r="862" spans="1:26" x14ac:dyDescent="0.25">
      <c r="A862" s="1" t="s">
        <v>3728</v>
      </c>
      <c r="B862" s="1" t="s">
        <v>3729</v>
      </c>
      <c r="C862" s="1" t="s">
        <v>16</v>
      </c>
      <c r="D862" s="1" t="s">
        <v>25</v>
      </c>
      <c r="E862" s="1" t="s">
        <v>220</v>
      </c>
      <c r="F862" s="1" t="s">
        <v>3730</v>
      </c>
      <c r="G862" s="1" t="s">
        <v>12480</v>
      </c>
      <c r="H862" s="1" t="s">
        <v>3731</v>
      </c>
      <c r="I862" s="2" t="s">
        <v>12504</v>
      </c>
      <c r="J862" s="2">
        <v>9.61</v>
      </c>
      <c r="K862" s="2">
        <v>10.57</v>
      </c>
      <c r="L862" s="2">
        <v>11.33</v>
      </c>
      <c r="M862" s="4">
        <f t="shared" si="78"/>
        <v>19.962157048249765</v>
      </c>
      <c r="N862" s="4">
        <f t="shared" si="79"/>
        <v>18.623124448367168</v>
      </c>
      <c r="O862" s="5">
        <f t="shared" si="80"/>
        <v>9.9895941727367488E-2</v>
      </c>
      <c r="P862" s="5">
        <f t="shared" si="81"/>
        <v>7.190160832544934E-2</v>
      </c>
      <c r="Q862" s="4">
        <f t="shared" si="82"/>
        <v>1.9982950961841661</v>
      </c>
      <c r="R862" s="4">
        <f t="shared" si="83"/>
        <v>2.5900845449900145</v>
      </c>
      <c r="S862" s="4">
        <v>4.4800000000000004</v>
      </c>
      <c r="T862" s="2">
        <v>1.27</v>
      </c>
      <c r="U862" s="2">
        <v>233.31</v>
      </c>
      <c r="V862" s="2">
        <v>151.13999999999999</v>
      </c>
      <c r="W862" s="2">
        <v>-6.8</v>
      </c>
      <c r="X862" s="2">
        <v>-6.22</v>
      </c>
      <c r="Y862" s="2">
        <v>4.82</v>
      </c>
      <c r="Z862" s="2">
        <v>8.07</v>
      </c>
    </row>
    <row r="863" spans="1:26" x14ac:dyDescent="0.25">
      <c r="A863" s="1" t="s">
        <v>3732</v>
      </c>
      <c r="B863" s="1" t="s">
        <v>3733</v>
      </c>
      <c r="C863" s="1" t="s">
        <v>16</v>
      </c>
      <c r="D863" s="1" t="s">
        <v>88</v>
      </c>
      <c r="E863" s="1" t="s">
        <v>504</v>
      </c>
      <c r="F863" s="1" t="s">
        <v>3734</v>
      </c>
      <c r="G863" s="1" t="s">
        <v>12480</v>
      </c>
      <c r="H863" s="1" t="s">
        <v>3735</v>
      </c>
      <c r="I863" s="2">
        <v>34.31</v>
      </c>
      <c r="J863" s="2">
        <v>-0.94</v>
      </c>
      <c r="K863" s="2">
        <v>-0.15</v>
      </c>
      <c r="L863" s="2">
        <v>0.68</v>
      </c>
      <c r="M863" s="4">
        <f t="shared" si="78"/>
        <v>-228.73333333333335</v>
      </c>
      <c r="N863" s="4">
        <f t="shared" si="79"/>
        <v>50.455882352941174</v>
      </c>
      <c r="O863" s="5">
        <f t="shared" si="80"/>
        <v>-0.84042553191489366</v>
      </c>
      <c r="P863" s="5">
        <f t="shared" si="81"/>
        <v>-5.5333333333333341</v>
      </c>
      <c r="Q863" s="4">
        <f t="shared" si="82"/>
        <v>2.721637130801688</v>
      </c>
      <c r="R863" s="4">
        <f t="shared" si="83"/>
        <v>-9.1185329553508138E-2</v>
      </c>
      <c r="S863" s="4">
        <v>-6.97</v>
      </c>
      <c r="T863" s="2">
        <v>0.74</v>
      </c>
      <c r="U863" s="2">
        <v>37.61</v>
      </c>
      <c r="V863" s="2">
        <v>20.65</v>
      </c>
      <c r="W863" s="2">
        <v>12.12</v>
      </c>
      <c r="X863" s="2">
        <v>6.95</v>
      </c>
      <c r="Y863" s="2">
        <v>46.31</v>
      </c>
      <c r="Z863" s="2">
        <v>46.75</v>
      </c>
    </row>
    <row r="864" spans="1:26" x14ac:dyDescent="0.25">
      <c r="A864" s="1" t="s">
        <v>3737</v>
      </c>
      <c r="B864" s="1" t="s">
        <v>3738</v>
      </c>
      <c r="C864" s="1" t="s">
        <v>45</v>
      </c>
      <c r="D864" s="1" t="s">
        <v>32</v>
      </c>
      <c r="E864" s="1" t="s">
        <v>248</v>
      </c>
      <c r="F864" s="1" t="s">
        <v>3739</v>
      </c>
      <c r="G864" s="1" t="s">
        <v>12485</v>
      </c>
      <c r="H864" s="1" t="s">
        <v>3740</v>
      </c>
      <c r="I864" s="2">
        <v>69.260000000000005</v>
      </c>
      <c r="J864" s="2">
        <v>6.99</v>
      </c>
      <c r="K864" s="2">
        <v>7.44</v>
      </c>
      <c r="L864" s="2">
        <v>8.07</v>
      </c>
      <c r="M864" s="4">
        <f t="shared" si="78"/>
        <v>9.3091397849462361</v>
      </c>
      <c r="N864" s="4">
        <f t="shared" si="79"/>
        <v>8.5824039653035946</v>
      </c>
      <c r="O864" s="5">
        <f t="shared" si="80"/>
        <v>6.4377682403433445E-2</v>
      </c>
      <c r="P864" s="5">
        <f t="shared" si="81"/>
        <v>8.4677419354838745E-2</v>
      </c>
      <c r="Q864" s="4">
        <f t="shared" si="82"/>
        <v>1.4460197132616495</v>
      </c>
      <c r="R864" s="4">
        <f t="shared" si="83"/>
        <v>1.013541039712043</v>
      </c>
      <c r="S864" s="4">
        <v>-9.43</v>
      </c>
      <c r="T864" s="2">
        <v>0.42</v>
      </c>
      <c r="U864" s="2">
        <v>94.08</v>
      </c>
      <c r="V864" s="2">
        <v>66.45</v>
      </c>
      <c r="W864" s="2">
        <v>1.75</v>
      </c>
      <c r="X864" s="2">
        <v>-5.58</v>
      </c>
      <c r="Y864" s="2">
        <v>-12.07</v>
      </c>
      <c r="Z864" s="2">
        <v>-13.97</v>
      </c>
    </row>
    <row r="865" spans="1:26" x14ac:dyDescent="0.25">
      <c r="A865" s="1" t="s">
        <v>3741</v>
      </c>
      <c r="B865" s="1" t="s">
        <v>3742</v>
      </c>
      <c r="C865" s="1" t="s">
        <v>31</v>
      </c>
      <c r="D865" s="1" t="s">
        <v>88</v>
      </c>
      <c r="E865" s="1" t="s">
        <v>89</v>
      </c>
      <c r="F865" s="1" t="s">
        <v>3743</v>
      </c>
      <c r="G865" s="1" t="s">
        <v>12480</v>
      </c>
      <c r="H865" s="1" t="s">
        <v>3744</v>
      </c>
      <c r="I865" s="2">
        <v>39.19</v>
      </c>
      <c r="J865" s="2">
        <v>2.39</v>
      </c>
      <c r="K865" s="2">
        <v>3.57</v>
      </c>
      <c r="L865" s="2">
        <v>3.93</v>
      </c>
      <c r="M865" s="4">
        <f t="shared" si="78"/>
        <v>10.977591036414566</v>
      </c>
      <c r="N865" s="4">
        <f t="shared" si="79"/>
        <v>9.9720101781170474</v>
      </c>
      <c r="O865" s="5">
        <f t="shared" si="80"/>
        <v>0.49372384937238478</v>
      </c>
      <c r="P865" s="5">
        <f t="shared" si="81"/>
        <v>0.10084033613445387</v>
      </c>
      <c r="Q865" s="4">
        <f t="shared" si="82"/>
        <v>0.22234273370365101</v>
      </c>
      <c r="R865" s="4">
        <f t="shared" si="83"/>
        <v>0.98889100932993967</v>
      </c>
      <c r="S865" s="4">
        <v>56.59</v>
      </c>
      <c r="T865" s="2"/>
      <c r="U865" s="2">
        <v>43.45</v>
      </c>
      <c r="V865" s="2">
        <v>11.97</v>
      </c>
      <c r="W865" s="2">
        <v>-9.8000000000000007</v>
      </c>
      <c r="X865" s="2"/>
      <c r="Y865" s="2"/>
      <c r="Z865" s="2"/>
    </row>
    <row r="866" spans="1:26" x14ac:dyDescent="0.25">
      <c r="A866" s="1" t="s">
        <v>3745</v>
      </c>
      <c r="B866" s="1" t="s">
        <v>3746</v>
      </c>
      <c r="C866" s="1" t="s">
        <v>45</v>
      </c>
      <c r="D866" s="1" t="s">
        <v>67</v>
      </c>
      <c r="E866" s="1" t="s">
        <v>1037</v>
      </c>
      <c r="F866" s="1" t="s">
        <v>3747</v>
      </c>
      <c r="G866" s="1" t="s">
        <v>12480</v>
      </c>
      <c r="H866" s="1" t="s">
        <v>3182</v>
      </c>
      <c r="I866" s="2">
        <v>415.78</v>
      </c>
      <c r="J866" s="2">
        <v>17.57</v>
      </c>
      <c r="K866" s="2">
        <v>19.79</v>
      </c>
      <c r="L866" s="2">
        <v>21.52</v>
      </c>
      <c r="M866" s="4">
        <f t="shared" si="78"/>
        <v>21.009600808489136</v>
      </c>
      <c r="N866" s="4">
        <f t="shared" si="79"/>
        <v>19.320631970260223</v>
      </c>
      <c r="O866" s="5">
        <f t="shared" si="80"/>
        <v>0.12635173591348892</v>
      </c>
      <c r="P866" s="5">
        <f t="shared" si="81"/>
        <v>8.7417887822132334E-2</v>
      </c>
      <c r="Q866" s="4">
        <f t="shared" si="82"/>
        <v>1.6627868747979913</v>
      </c>
      <c r="R866" s="4">
        <f t="shared" si="83"/>
        <v>2.2101462814534685</v>
      </c>
      <c r="S866" s="4">
        <v>4.96</v>
      </c>
      <c r="T866" s="2">
        <v>1.1599999999999999</v>
      </c>
      <c r="U866" s="2">
        <v>497.52</v>
      </c>
      <c r="V866" s="2">
        <v>373.5</v>
      </c>
      <c r="W866" s="2">
        <v>3.59</v>
      </c>
      <c r="X866" s="2">
        <v>6.02</v>
      </c>
      <c r="Y866" s="2">
        <v>-4.96</v>
      </c>
      <c r="Z866" s="2">
        <v>-0.25</v>
      </c>
    </row>
    <row r="867" spans="1:26" x14ac:dyDescent="0.25">
      <c r="A867" s="1" t="s">
        <v>3748</v>
      </c>
      <c r="B867" s="1" t="s">
        <v>3749</v>
      </c>
      <c r="C867" s="1" t="s">
        <v>16</v>
      </c>
      <c r="D867" s="1" t="s">
        <v>94</v>
      </c>
      <c r="E867" s="1" t="s">
        <v>1055</v>
      </c>
      <c r="F867" s="1" t="s">
        <v>3750</v>
      </c>
      <c r="G867" s="1" t="s">
        <v>12480</v>
      </c>
      <c r="H867" s="1" t="s">
        <v>3751</v>
      </c>
      <c r="I867" s="2">
        <v>22.72</v>
      </c>
      <c r="J867" s="2">
        <v>-2.5299999999999998</v>
      </c>
      <c r="K867" s="2">
        <v>0.01</v>
      </c>
      <c r="L867" s="2">
        <v>1.86</v>
      </c>
      <c r="M867" s="4">
        <f t="shared" si="78"/>
        <v>2272</v>
      </c>
      <c r="N867" s="4">
        <f t="shared" si="79"/>
        <v>12.215053763440858</v>
      </c>
      <c r="O867" s="5">
        <f t="shared" si="80"/>
        <v>-1.0039525691699605</v>
      </c>
      <c r="P867" s="5">
        <f t="shared" si="81"/>
        <v>185</v>
      </c>
      <c r="Q867" s="4">
        <f t="shared" si="82"/>
        <v>-22.630551181102362</v>
      </c>
      <c r="R867" s="4">
        <f t="shared" si="83"/>
        <v>6.6027317640220855E-4</v>
      </c>
      <c r="S867" s="4">
        <v>-35.340000000000003</v>
      </c>
      <c r="T867" s="2">
        <v>0.68</v>
      </c>
      <c r="U867" s="2">
        <v>35.69</v>
      </c>
      <c r="V867" s="2">
        <v>12.74</v>
      </c>
      <c r="W867" s="2">
        <v>-4.62</v>
      </c>
      <c r="X867" s="2">
        <v>-9.19</v>
      </c>
      <c r="Y867" s="2">
        <v>-29.13</v>
      </c>
      <c r="Z867" s="2">
        <v>-22.98</v>
      </c>
    </row>
    <row r="868" spans="1:26" x14ac:dyDescent="0.25">
      <c r="A868" s="1" t="s">
        <v>3752</v>
      </c>
      <c r="B868" s="1" t="s">
        <v>3753</v>
      </c>
      <c r="C868" s="1" t="s">
        <v>16</v>
      </c>
      <c r="D868" s="1" t="s">
        <v>88</v>
      </c>
      <c r="E868" s="1" t="s">
        <v>89</v>
      </c>
      <c r="F868" s="1" t="s">
        <v>3754</v>
      </c>
      <c r="G868" s="1" t="s">
        <v>12502</v>
      </c>
      <c r="H868" s="1" t="s">
        <v>3755</v>
      </c>
      <c r="I868" s="2">
        <v>33.9</v>
      </c>
      <c r="J868" s="2">
        <v>1.43</v>
      </c>
      <c r="K868" s="2">
        <v>12.73</v>
      </c>
      <c r="L868" s="2">
        <v>5.42</v>
      </c>
      <c r="M868" s="4">
        <f t="shared" si="78"/>
        <v>2.6630007855459543</v>
      </c>
      <c r="N868" s="4">
        <f t="shared" si="79"/>
        <v>6.2546125461254611</v>
      </c>
      <c r="O868" s="5">
        <f t="shared" si="80"/>
        <v>7.9020979020979034</v>
      </c>
      <c r="P868" s="5">
        <f t="shared" si="81"/>
        <v>-0.57423409269442272</v>
      </c>
      <c r="Q868" s="4">
        <f t="shared" si="82"/>
        <v>3.3699921445404552E-3</v>
      </c>
      <c r="R868" s="4">
        <f t="shared" si="83"/>
        <v>-0.10892095446262258</v>
      </c>
      <c r="S868" s="4">
        <v>29.96</v>
      </c>
      <c r="T868" s="2">
        <v>0.37</v>
      </c>
      <c r="U868" s="2">
        <v>39.18</v>
      </c>
      <c r="V868" s="2">
        <v>12.69</v>
      </c>
      <c r="W868" s="2">
        <v>-11.53</v>
      </c>
      <c r="X868" s="2">
        <v>-3.39</v>
      </c>
      <c r="Y868" s="2">
        <v>11.37</v>
      </c>
      <c r="Z868" s="2">
        <v>9.32</v>
      </c>
    </row>
    <row r="869" spans="1:26" x14ac:dyDescent="0.25">
      <c r="A869" s="1" t="s">
        <v>3756</v>
      </c>
      <c r="B869" s="1" t="s">
        <v>3757</v>
      </c>
      <c r="C869" s="1" t="s">
        <v>45</v>
      </c>
      <c r="D869" s="1" t="s">
        <v>38</v>
      </c>
      <c r="E869" s="1" t="s">
        <v>510</v>
      </c>
      <c r="F869" s="1" t="s">
        <v>3758</v>
      </c>
      <c r="G869" s="1" t="s">
        <v>12480</v>
      </c>
      <c r="H869" s="1" t="s">
        <v>3759</v>
      </c>
      <c r="I869" s="2">
        <v>9.48</v>
      </c>
      <c r="J869" s="2">
        <v>1.08</v>
      </c>
      <c r="K869" s="2">
        <v>1.1000000000000001</v>
      </c>
      <c r="L869" s="2">
        <v>1.1599999999999999</v>
      </c>
      <c r="M869" s="4">
        <f t="shared" si="78"/>
        <v>8.6181818181818173</v>
      </c>
      <c r="N869" s="4">
        <f t="shared" si="79"/>
        <v>8.1724137931034484</v>
      </c>
      <c r="O869" s="5">
        <f t="shared" si="80"/>
        <v>1.8518518518518601E-2</v>
      </c>
      <c r="P869" s="5">
        <f t="shared" si="81"/>
        <v>5.4545454545454453E-2</v>
      </c>
      <c r="Q869" s="4">
        <f t="shared" si="82"/>
        <v>4.6538181818181608</v>
      </c>
      <c r="R869" s="4">
        <f t="shared" si="83"/>
        <v>1.498275862068968</v>
      </c>
      <c r="S869" s="4">
        <v>-0.83</v>
      </c>
      <c r="T869" s="2">
        <v>0.98</v>
      </c>
      <c r="U869" s="2">
        <v>10.33</v>
      </c>
      <c r="V869" s="2">
        <v>6.4</v>
      </c>
      <c r="W869" s="2">
        <v>-4.91</v>
      </c>
      <c r="X869" s="2">
        <v>-0.52</v>
      </c>
      <c r="Y869" s="2">
        <v>1.72</v>
      </c>
      <c r="Z869" s="2">
        <v>5.8</v>
      </c>
    </row>
    <row r="870" spans="1:26" x14ac:dyDescent="0.25">
      <c r="A870" s="1" t="s">
        <v>3760</v>
      </c>
      <c r="B870" s="1" t="s">
        <v>3761</v>
      </c>
      <c r="C870" s="1" t="s">
        <v>16</v>
      </c>
      <c r="D870" s="1" t="s">
        <v>67</v>
      </c>
      <c r="E870" s="1" t="s">
        <v>1037</v>
      </c>
      <c r="F870" s="1" t="s">
        <v>3762</v>
      </c>
      <c r="G870" s="1" t="s">
        <v>12508</v>
      </c>
      <c r="H870" s="1" t="s">
        <v>3763</v>
      </c>
      <c r="I870" s="2">
        <v>201.64</v>
      </c>
      <c r="J870" s="2">
        <v>9.5500000000000007</v>
      </c>
      <c r="K870" s="2">
        <v>10.59</v>
      </c>
      <c r="L870" s="2">
        <v>11.42</v>
      </c>
      <c r="M870" s="4">
        <f t="shared" si="78"/>
        <v>19.040604343720489</v>
      </c>
      <c r="N870" s="4">
        <f t="shared" si="79"/>
        <v>17.656742556917688</v>
      </c>
      <c r="O870" s="5">
        <f t="shared" si="80"/>
        <v>0.10890052356020941</v>
      </c>
      <c r="P870" s="5">
        <f t="shared" si="81"/>
        <v>7.8375826251180447E-2</v>
      </c>
      <c r="Q870" s="4">
        <f t="shared" si="82"/>
        <v>1.7484401104089489</v>
      </c>
      <c r="R870" s="4">
        <f t="shared" si="83"/>
        <v>2.2528301647922664</v>
      </c>
      <c r="S870" s="4">
        <v>6.03</v>
      </c>
      <c r="T870" s="2">
        <v>0.61</v>
      </c>
      <c r="U870" s="2">
        <v>225.78</v>
      </c>
      <c r="V870" s="2">
        <v>169.21</v>
      </c>
      <c r="W870" s="2">
        <v>-3.92</v>
      </c>
      <c r="X870" s="2">
        <v>-7.51</v>
      </c>
      <c r="Y870" s="2">
        <v>8.16</v>
      </c>
      <c r="Z870" s="2">
        <v>9.57</v>
      </c>
    </row>
    <row r="871" spans="1:26" x14ac:dyDescent="0.25">
      <c r="A871" s="1" t="s">
        <v>3764</v>
      </c>
      <c r="B871" s="1" t="s">
        <v>3765</v>
      </c>
      <c r="C871" s="1" t="s">
        <v>45</v>
      </c>
      <c r="D871" s="1" t="s">
        <v>204</v>
      </c>
      <c r="E871" s="1" t="s">
        <v>534</v>
      </c>
      <c r="F871" s="1" t="s">
        <v>3766</v>
      </c>
      <c r="G871" s="1" t="s">
        <v>12480</v>
      </c>
      <c r="H871" s="1" t="s">
        <v>3767</v>
      </c>
      <c r="I871" s="2">
        <v>47.41</v>
      </c>
      <c r="J871" s="2">
        <v>1.1499999999999999</v>
      </c>
      <c r="K871" s="2">
        <v>1.27</v>
      </c>
      <c r="L871" s="2">
        <v>1.4</v>
      </c>
      <c r="M871" s="4">
        <f t="shared" si="78"/>
        <v>37.330708661417319</v>
      </c>
      <c r="N871" s="4">
        <f t="shared" si="79"/>
        <v>33.864285714285714</v>
      </c>
      <c r="O871" s="5">
        <f t="shared" si="80"/>
        <v>0.10434782608695659</v>
      </c>
      <c r="P871" s="5">
        <f t="shared" si="81"/>
        <v>0.10236220472440927</v>
      </c>
      <c r="Q871" s="4">
        <f t="shared" si="82"/>
        <v>3.5775262467191573</v>
      </c>
      <c r="R871" s="4">
        <f t="shared" si="83"/>
        <v>3.3082802197802255</v>
      </c>
      <c r="S871" s="4" t="s">
        <v>12846</v>
      </c>
      <c r="T871" s="2">
        <v>0.41</v>
      </c>
      <c r="U871" s="2">
        <v>48.44</v>
      </c>
      <c r="V871" s="2">
        <v>29.84</v>
      </c>
      <c r="W871" s="2">
        <v>4.22</v>
      </c>
      <c r="X871" s="2">
        <v>17.88</v>
      </c>
      <c r="Y871" s="2">
        <v>40.770000000000003</v>
      </c>
      <c r="Z871" s="2">
        <v>39.07</v>
      </c>
    </row>
    <row r="872" spans="1:26" x14ac:dyDescent="0.25">
      <c r="A872" s="1" t="s">
        <v>3768</v>
      </c>
      <c r="B872" s="1" t="s">
        <v>3769</v>
      </c>
      <c r="C872" s="1" t="s">
        <v>45</v>
      </c>
      <c r="D872" s="1" t="s">
        <v>67</v>
      </c>
      <c r="E872" s="1" t="s">
        <v>68</v>
      </c>
      <c r="F872" s="1" t="s">
        <v>3770</v>
      </c>
      <c r="G872" s="1" t="s">
        <v>12480</v>
      </c>
      <c r="H872" s="1" t="s">
        <v>3771</v>
      </c>
      <c r="I872" s="2">
        <v>10.36</v>
      </c>
      <c r="J872" s="2">
        <v>1.1399999999999999</v>
      </c>
      <c r="K872" s="2">
        <v>1.37</v>
      </c>
      <c r="L872" s="2">
        <v>1.41</v>
      </c>
      <c r="M872" s="4">
        <f t="shared" si="78"/>
        <v>7.5620437956204372</v>
      </c>
      <c r="N872" s="4">
        <f t="shared" si="79"/>
        <v>7.3475177304964543</v>
      </c>
      <c r="O872" s="5">
        <f t="shared" si="80"/>
        <v>0.20175438596491246</v>
      </c>
      <c r="P872" s="5">
        <f t="shared" si="81"/>
        <v>2.9197080291970767E-2</v>
      </c>
      <c r="Q872" s="4">
        <f t="shared" si="82"/>
        <v>0.37481434465249086</v>
      </c>
      <c r="R872" s="4">
        <f t="shared" si="83"/>
        <v>2.5165248226950387</v>
      </c>
      <c r="S872" s="4">
        <v>1.54</v>
      </c>
      <c r="T872" s="2">
        <v>1.0900000000000001</v>
      </c>
      <c r="U872" s="2">
        <v>19.21</v>
      </c>
      <c r="V872" s="2">
        <v>10.36</v>
      </c>
      <c r="W872" s="2">
        <v>-7.25</v>
      </c>
      <c r="X872" s="2">
        <v>-38.22</v>
      </c>
      <c r="Y872" s="2">
        <v>-31.48</v>
      </c>
      <c r="Z872" s="2">
        <v>-30.09</v>
      </c>
    </row>
    <row r="873" spans="1:26" x14ac:dyDescent="0.25">
      <c r="A873" s="1" t="s">
        <v>3772</v>
      </c>
      <c r="B873" s="1" t="s">
        <v>3773</v>
      </c>
      <c r="C873" s="1" t="s">
        <v>31</v>
      </c>
      <c r="D873" s="1" t="s">
        <v>25</v>
      </c>
      <c r="E873" s="1" t="s">
        <v>3775</v>
      </c>
      <c r="F873" s="1" t="s">
        <v>3774</v>
      </c>
      <c r="G873" s="1" t="s">
        <v>12490</v>
      </c>
      <c r="H873" s="1" t="s">
        <v>3776</v>
      </c>
      <c r="I873" s="2">
        <v>44.73</v>
      </c>
      <c r="J873" s="2">
        <v>0.75</v>
      </c>
      <c r="K873" s="2">
        <v>0.73</v>
      </c>
      <c r="L873" s="2">
        <v>0.93</v>
      </c>
      <c r="M873" s="4">
        <f t="shared" si="78"/>
        <v>61.273972602739725</v>
      </c>
      <c r="N873" s="4">
        <f t="shared" si="79"/>
        <v>48.096774193548384</v>
      </c>
      <c r="O873" s="5">
        <f t="shared" si="80"/>
        <v>-2.6666666666666727E-2</v>
      </c>
      <c r="P873" s="5">
        <f t="shared" si="81"/>
        <v>0.27397260273972623</v>
      </c>
      <c r="Q873" s="4">
        <f t="shared" si="82"/>
        <v>-22.977739726027345</v>
      </c>
      <c r="R873" s="4">
        <f t="shared" si="83"/>
        <v>1.7555322580645147</v>
      </c>
      <c r="S873" s="4">
        <v>21.23</v>
      </c>
      <c r="T873" s="2">
        <v>1.53</v>
      </c>
      <c r="U873" s="2">
        <v>52.23</v>
      </c>
      <c r="V873" s="2">
        <v>16.98</v>
      </c>
      <c r="W873" s="2">
        <v>-6.32</v>
      </c>
      <c r="X873" s="2">
        <v>-5.87</v>
      </c>
      <c r="Y873" s="2">
        <v>46.13</v>
      </c>
      <c r="Z873" s="2">
        <v>46.85</v>
      </c>
    </row>
    <row r="874" spans="1:26" x14ac:dyDescent="0.25">
      <c r="A874" s="1" t="s">
        <v>3777</v>
      </c>
      <c r="B874" s="1" t="s">
        <v>3778</v>
      </c>
      <c r="C874" s="1" t="s">
        <v>31</v>
      </c>
      <c r="D874" s="1" t="s">
        <v>46</v>
      </c>
      <c r="E874" s="1" t="s">
        <v>1142</v>
      </c>
      <c r="F874" s="1" t="s">
        <v>3779</v>
      </c>
      <c r="G874" s="1" t="s">
        <v>12480</v>
      </c>
      <c r="H874" s="1" t="s">
        <v>3780</v>
      </c>
      <c r="I874" s="2">
        <v>126.11</v>
      </c>
      <c r="J874" s="2">
        <v>3.86</v>
      </c>
      <c r="K874" s="2">
        <v>5.28</v>
      </c>
      <c r="L874" s="2">
        <v>7.3</v>
      </c>
      <c r="M874" s="4">
        <f t="shared" si="78"/>
        <v>23.884469696969695</v>
      </c>
      <c r="N874" s="4">
        <f t="shared" si="79"/>
        <v>17.275342465753425</v>
      </c>
      <c r="O874" s="5">
        <f t="shared" si="80"/>
        <v>0.36787564766839398</v>
      </c>
      <c r="P874" s="5">
        <f t="shared" si="81"/>
        <v>0.38257575757575757</v>
      </c>
      <c r="Q874" s="4">
        <f t="shared" si="82"/>
        <v>0.64925389457959848</v>
      </c>
      <c r="R874" s="4">
        <f t="shared" si="83"/>
        <v>0.45155350603553507</v>
      </c>
      <c r="S874" s="4">
        <v>54.51</v>
      </c>
      <c r="T874" s="2">
        <v>1.3</v>
      </c>
      <c r="U874" s="2">
        <v>151.52000000000001</v>
      </c>
      <c r="V874" s="2">
        <v>81.53</v>
      </c>
      <c r="W874" s="2">
        <v>-2.12</v>
      </c>
      <c r="X874" s="2">
        <v>-16.21</v>
      </c>
      <c r="Y874" s="2">
        <v>1.68</v>
      </c>
      <c r="Z874" s="2">
        <v>-0.18</v>
      </c>
    </row>
    <row r="875" spans="1:26" x14ac:dyDescent="0.25">
      <c r="A875" s="1" t="s">
        <v>3781</v>
      </c>
      <c r="B875" s="1" t="s">
        <v>3782</v>
      </c>
      <c r="C875" s="1" t="s">
        <v>31</v>
      </c>
      <c r="D875" s="1" t="s">
        <v>38</v>
      </c>
      <c r="E875" s="1" t="s">
        <v>52</v>
      </c>
      <c r="F875" s="1" t="s">
        <v>3783</v>
      </c>
      <c r="G875" s="1" t="s">
        <v>12490</v>
      </c>
      <c r="H875" s="1" t="s">
        <v>3784</v>
      </c>
      <c r="I875" s="2">
        <v>9.35</v>
      </c>
      <c r="J875" s="2">
        <v>0.75</v>
      </c>
      <c r="K875" s="2"/>
      <c r="L875" s="2"/>
      <c r="M875" s="4" t="e">
        <f t="shared" si="78"/>
        <v>#DIV/0!</v>
      </c>
      <c r="N875" s="4" t="e">
        <f t="shared" si="79"/>
        <v>#DIV/0!</v>
      </c>
      <c r="O875" s="5">
        <f t="shared" si="80"/>
        <v>-1</v>
      </c>
      <c r="P875" s="5" t="e">
        <f t="shared" si="81"/>
        <v>#DIV/0!</v>
      </c>
      <c r="Q875" s="4" t="e">
        <f t="shared" si="82"/>
        <v>#DIV/0!</v>
      </c>
      <c r="R875" s="4" t="e">
        <f t="shared" si="83"/>
        <v>#DIV/0!</v>
      </c>
      <c r="S875" s="4">
        <v>1.82</v>
      </c>
      <c r="T875" s="2">
        <v>0.51</v>
      </c>
      <c r="U875" s="2">
        <v>11.24</v>
      </c>
      <c r="V875" s="2">
        <v>5.64</v>
      </c>
      <c r="W875" s="2">
        <v>-6.03</v>
      </c>
      <c r="X875" s="2">
        <v>-13.59</v>
      </c>
      <c r="Y875" s="2">
        <v>5.41</v>
      </c>
      <c r="Z875" s="2">
        <v>6.43</v>
      </c>
    </row>
    <row r="876" spans="1:26" x14ac:dyDescent="0.25">
      <c r="A876" s="1" t="s">
        <v>3785</v>
      </c>
      <c r="B876" s="1" t="s">
        <v>3786</v>
      </c>
      <c r="C876" s="1" t="s">
        <v>31</v>
      </c>
      <c r="D876" s="1" t="s">
        <v>128</v>
      </c>
      <c r="E876" s="1" t="s">
        <v>2974</v>
      </c>
      <c r="F876" s="1" t="s">
        <v>3787</v>
      </c>
      <c r="G876" s="1" t="s">
        <v>12480</v>
      </c>
      <c r="H876" s="1" t="s">
        <v>3788</v>
      </c>
      <c r="I876" s="2">
        <v>6.64</v>
      </c>
      <c r="J876" s="2">
        <v>0.44</v>
      </c>
      <c r="K876" s="2">
        <v>0.39</v>
      </c>
      <c r="L876" s="2">
        <v>0.42</v>
      </c>
      <c r="M876" s="4">
        <f t="shared" si="78"/>
        <v>17.025641025641026</v>
      </c>
      <c r="N876" s="4">
        <f t="shared" si="79"/>
        <v>15.80952380952381</v>
      </c>
      <c r="O876" s="5">
        <f t="shared" si="80"/>
        <v>-0.11363636363636365</v>
      </c>
      <c r="P876" s="5">
        <f t="shared" si="81"/>
        <v>7.6923076923076872E-2</v>
      </c>
      <c r="Q876" s="4">
        <f t="shared" si="82"/>
        <v>-1.49825641025641</v>
      </c>
      <c r="R876" s="4">
        <f t="shared" si="83"/>
        <v>2.0552380952380966</v>
      </c>
      <c r="S876" s="4"/>
      <c r="T876" s="2"/>
      <c r="U876" s="2">
        <v>10.119999999999999</v>
      </c>
      <c r="V876" s="2">
        <v>6.64</v>
      </c>
      <c r="W876" s="2">
        <v>-5.55</v>
      </c>
      <c r="X876" s="2">
        <v>-17.41</v>
      </c>
      <c r="Y876" s="2">
        <v>-16.27</v>
      </c>
      <c r="Z876" s="2">
        <v>-17.36</v>
      </c>
    </row>
    <row r="877" spans="1:26" x14ac:dyDescent="0.25">
      <c r="A877" s="1" t="s">
        <v>3789</v>
      </c>
      <c r="B877" s="1" t="s">
        <v>3790</v>
      </c>
      <c r="C877" s="1" t="s">
        <v>45</v>
      </c>
      <c r="D877" s="1" t="s">
        <v>32</v>
      </c>
      <c r="E877" s="1" t="s">
        <v>215</v>
      </c>
      <c r="F877" s="1" t="s">
        <v>3791</v>
      </c>
      <c r="G877" s="1" t="s">
        <v>12493</v>
      </c>
      <c r="H877" s="1" t="s">
        <v>3792</v>
      </c>
      <c r="I877" s="2">
        <v>72.260000000000005</v>
      </c>
      <c r="J877" s="2">
        <v>1.64</v>
      </c>
      <c r="K877" s="2">
        <v>2.63</v>
      </c>
      <c r="L877" s="2">
        <v>2.99</v>
      </c>
      <c r="M877" s="4">
        <f t="shared" si="78"/>
        <v>27.475285171102666</v>
      </c>
      <c r="N877" s="4">
        <f t="shared" si="79"/>
        <v>24.167224080267559</v>
      </c>
      <c r="O877" s="5">
        <f t="shared" si="80"/>
        <v>0.60365853658536595</v>
      </c>
      <c r="P877" s="5">
        <f t="shared" si="81"/>
        <v>0.1368821292775666</v>
      </c>
      <c r="Q877" s="4">
        <f t="shared" si="82"/>
        <v>0.45514613818796329</v>
      </c>
      <c r="R877" s="4">
        <f t="shared" si="83"/>
        <v>1.7655499814195461</v>
      </c>
      <c r="S877" s="4">
        <v>13.63</v>
      </c>
      <c r="T877" s="2">
        <v>0.77</v>
      </c>
      <c r="U877" s="2">
        <v>116.93</v>
      </c>
      <c r="V877" s="2">
        <v>62.82</v>
      </c>
      <c r="W877" s="2">
        <v>7.31</v>
      </c>
      <c r="X877" s="2">
        <v>7.19</v>
      </c>
      <c r="Y877" s="2">
        <v>-19.149999999999999</v>
      </c>
      <c r="Z877" s="2">
        <v>-17.57</v>
      </c>
    </row>
    <row r="878" spans="1:26" x14ac:dyDescent="0.25">
      <c r="A878" s="1" t="s">
        <v>3794</v>
      </c>
      <c r="B878" s="1" t="s">
        <v>3795</v>
      </c>
      <c r="C878" s="1" t="s">
        <v>3797</v>
      </c>
      <c r="D878" s="1" t="s">
        <v>24</v>
      </c>
      <c r="E878" s="1" t="s">
        <v>18</v>
      </c>
      <c r="F878" s="1" t="s">
        <v>3796</v>
      </c>
      <c r="G878" s="1" t="s">
        <v>780</v>
      </c>
      <c r="H878" s="1" t="s">
        <v>12490</v>
      </c>
      <c r="I878" s="2">
        <v>17.84</v>
      </c>
      <c r="J878" s="2" t="s">
        <v>12512</v>
      </c>
      <c r="K878" s="2">
        <v>1.02</v>
      </c>
      <c r="L878" s="2">
        <v>1.07</v>
      </c>
      <c r="M878" s="4">
        <f t="shared" si="78"/>
        <v>17.490196078431371</v>
      </c>
      <c r="N878" s="4">
        <f t="shared" si="79"/>
        <v>16.67289719626168</v>
      </c>
      <c r="O878" s="5">
        <f t="shared" si="80"/>
        <v>-0.99999496303758462</v>
      </c>
      <c r="P878" s="5">
        <f t="shared" si="81"/>
        <v>4.9019607843137303E-2</v>
      </c>
      <c r="Q878" s="4">
        <f t="shared" si="82"/>
        <v>-0.17490284176335402</v>
      </c>
      <c r="R878" s="4">
        <f t="shared" si="83"/>
        <v>3.4012710280373795</v>
      </c>
      <c r="S878" s="4">
        <v>1.3</v>
      </c>
      <c r="T878" s="2">
        <v>18.309999999999999</v>
      </c>
      <c r="U878" s="2">
        <v>1894.35</v>
      </c>
      <c r="V878" s="2">
        <v>27.37</v>
      </c>
      <c r="W878" s="2">
        <v>-0.35</v>
      </c>
      <c r="X878" s="2">
        <v>-1.51</v>
      </c>
      <c r="Y878" s="2">
        <v>-3.73</v>
      </c>
      <c r="Z878" s="2">
        <v>-19.34</v>
      </c>
    </row>
    <row r="879" spans="1:26" x14ac:dyDescent="0.25">
      <c r="A879" s="1" t="s">
        <v>3798</v>
      </c>
      <c r="B879" s="1" t="s">
        <v>3799</v>
      </c>
      <c r="C879" s="1" t="s">
        <v>16</v>
      </c>
      <c r="D879" s="1" t="s">
        <v>32</v>
      </c>
      <c r="E879" s="1" t="s">
        <v>248</v>
      </c>
      <c r="F879" s="1" t="s">
        <v>3800</v>
      </c>
      <c r="G879" s="1" t="s">
        <v>12490</v>
      </c>
      <c r="H879" s="1" t="s">
        <v>3801</v>
      </c>
      <c r="I879" s="2">
        <v>38.89</v>
      </c>
      <c r="J879" s="2">
        <v>1.39</v>
      </c>
      <c r="K879" s="2">
        <v>1.68</v>
      </c>
      <c r="L879" s="2">
        <v>1.9</v>
      </c>
      <c r="M879" s="4">
        <f t="shared" si="78"/>
        <v>23.148809523809526</v>
      </c>
      <c r="N879" s="4">
        <f t="shared" si="79"/>
        <v>20.46842105263158</v>
      </c>
      <c r="O879" s="5">
        <f t="shared" si="80"/>
        <v>0.20863309352517989</v>
      </c>
      <c r="P879" s="5">
        <f t="shared" si="81"/>
        <v>0.13095238095238093</v>
      </c>
      <c r="Q879" s="4">
        <f t="shared" si="82"/>
        <v>1.1095463875205254</v>
      </c>
      <c r="R879" s="4">
        <f t="shared" si="83"/>
        <v>1.5630430622009572</v>
      </c>
      <c r="S879" s="4">
        <v>18.75</v>
      </c>
      <c r="T879" s="2">
        <v>0.82</v>
      </c>
      <c r="U879" s="2">
        <v>56.64</v>
      </c>
      <c r="V879" s="2">
        <v>33.47</v>
      </c>
      <c r="W879" s="2">
        <v>5.94</v>
      </c>
      <c r="X879" s="2">
        <v>7.49</v>
      </c>
      <c r="Y879" s="2">
        <v>-12.37</v>
      </c>
      <c r="Z879" s="2">
        <v>-10.27</v>
      </c>
    </row>
    <row r="880" spans="1:26" x14ac:dyDescent="0.25">
      <c r="A880" s="1" t="s">
        <v>3802</v>
      </c>
      <c r="B880" s="1" t="s">
        <v>3803</v>
      </c>
      <c r="C880" s="1" t="s">
        <v>31</v>
      </c>
      <c r="D880" s="1" t="s">
        <v>147</v>
      </c>
      <c r="E880" s="1" t="s">
        <v>1073</v>
      </c>
      <c r="F880" s="1" t="s">
        <v>3804</v>
      </c>
      <c r="G880" s="1" t="s">
        <v>12480</v>
      </c>
      <c r="H880" s="1" t="s">
        <v>3805</v>
      </c>
      <c r="I880" s="2">
        <v>3.32</v>
      </c>
      <c r="J880" s="2">
        <v>0.26</v>
      </c>
      <c r="K880" s="2"/>
      <c r="L880" s="2"/>
      <c r="M880" s="4" t="e">
        <f t="shared" si="78"/>
        <v>#DIV/0!</v>
      </c>
      <c r="N880" s="4" t="e">
        <f t="shared" si="79"/>
        <v>#DIV/0!</v>
      </c>
      <c r="O880" s="5">
        <f t="shared" si="80"/>
        <v>-1</v>
      </c>
      <c r="P880" s="5" t="e">
        <f t="shared" si="81"/>
        <v>#DIV/0!</v>
      </c>
      <c r="Q880" s="4" t="e">
        <f t="shared" si="82"/>
        <v>#DIV/0!</v>
      </c>
      <c r="R880" s="4" t="e">
        <f t="shared" si="83"/>
        <v>#DIV/0!</v>
      </c>
      <c r="S880" s="4">
        <v>-7.65</v>
      </c>
      <c r="T880" s="2">
        <v>0.76</v>
      </c>
      <c r="U880" s="2" t="s">
        <v>12502</v>
      </c>
      <c r="V880" s="2">
        <v>3.32</v>
      </c>
      <c r="W880" s="2">
        <v>-18.850000000000001</v>
      </c>
      <c r="X880" s="2">
        <v>-18.850000000000001</v>
      </c>
      <c r="Y880" s="2">
        <v>-34.78</v>
      </c>
      <c r="Z880" s="2">
        <v>-31.55</v>
      </c>
    </row>
    <row r="881" spans="1:26" x14ac:dyDescent="0.25">
      <c r="A881" s="1" t="s">
        <v>3806</v>
      </c>
      <c r="B881" s="1" t="s">
        <v>3807</v>
      </c>
      <c r="C881" s="1" t="s">
        <v>16</v>
      </c>
      <c r="D881" s="1" t="s">
        <v>354</v>
      </c>
      <c r="E881" s="1" t="s">
        <v>355</v>
      </c>
      <c r="F881" s="1" t="s">
        <v>3808</v>
      </c>
      <c r="G881" s="1" t="s">
        <v>12480</v>
      </c>
      <c r="H881" s="1" t="s">
        <v>3809</v>
      </c>
      <c r="I881" s="2">
        <v>148.96</v>
      </c>
      <c r="J881" s="2">
        <v>7.36</v>
      </c>
      <c r="K881" s="2">
        <v>7.72</v>
      </c>
      <c r="L881" s="2">
        <v>8.2799999999999994</v>
      </c>
      <c r="M881" s="4">
        <f t="shared" si="78"/>
        <v>19.295336787564768</v>
      </c>
      <c r="N881" s="4">
        <f t="shared" si="79"/>
        <v>17.990338164251209</v>
      </c>
      <c r="O881" s="5">
        <f t="shared" si="80"/>
        <v>4.8913043478260754E-2</v>
      </c>
      <c r="P881" s="5">
        <f t="shared" si="81"/>
        <v>7.2538860103626979E-2</v>
      </c>
      <c r="Q881" s="4">
        <f t="shared" si="82"/>
        <v>3.9448244099021395</v>
      </c>
      <c r="R881" s="4">
        <f t="shared" si="83"/>
        <v>2.4800966183574871</v>
      </c>
      <c r="S881" s="4">
        <v>26.95</v>
      </c>
      <c r="T881" s="2">
        <v>0.47</v>
      </c>
      <c r="U881" s="2">
        <v>150.13</v>
      </c>
      <c r="V881" s="2">
        <v>127.39</v>
      </c>
      <c r="W881" s="2">
        <v>0.89</v>
      </c>
      <c r="X881" s="2">
        <v>10.31</v>
      </c>
      <c r="Y881" s="2">
        <v>15.64</v>
      </c>
      <c r="Z881" s="2">
        <v>15.49</v>
      </c>
    </row>
    <row r="882" spans="1:26" x14ac:dyDescent="0.25">
      <c r="A882" s="1" t="s">
        <v>3810</v>
      </c>
      <c r="B882" s="1" t="s">
        <v>3811</v>
      </c>
      <c r="C882" s="1" t="s">
        <v>31</v>
      </c>
      <c r="D882" s="1" t="s">
        <v>354</v>
      </c>
      <c r="E882" s="1" t="s">
        <v>1537</v>
      </c>
      <c r="F882" s="1" t="s">
        <v>3812</v>
      </c>
      <c r="G882" s="1" t="s">
        <v>12480</v>
      </c>
      <c r="H882" s="1" t="s">
        <v>3813</v>
      </c>
      <c r="I882" s="2">
        <v>37.979999999999997</v>
      </c>
      <c r="J882" s="2">
        <v>2.2599999999999998</v>
      </c>
      <c r="K882" s="2">
        <v>2.5</v>
      </c>
      <c r="L882" s="2">
        <v>2.96</v>
      </c>
      <c r="M882" s="4">
        <f t="shared" si="78"/>
        <v>15.191999999999998</v>
      </c>
      <c r="N882" s="4">
        <f t="shared" si="79"/>
        <v>12.831081081081081</v>
      </c>
      <c r="O882" s="5">
        <f t="shared" si="80"/>
        <v>0.10619469026548689</v>
      </c>
      <c r="P882" s="5">
        <f t="shared" si="81"/>
        <v>0.18399999999999994</v>
      </c>
      <c r="Q882" s="4">
        <f t="shared" si="82"/>
        <v>1.4305799999999975</v>
      </c>
      <c r="R882" s="4">
        <f t="shared" si="83"/>
        <v>0.69734136310223283</v>
      </c>
      <c r="S882" s="4">
        <v>7.51</v>
      </c>
      <c r="T882" s="2">
        <v>0.4</v>
      </c>
      <c r="U882" s="2">
        <v>40.28</v>
      </c>
      <c r="V882" s="2">
        <v>30.54</v>
      </c>
      <c r="W882" s="2">
        <v>-1.66</v>
      </c>
      <c r="X882" s="2">
        <v>4.38</v>
      </c>
      <c r="Y882" s="2">
        <v>21.34</v>
      </c>
      <c r="Z882" s="2">
        <v>16.149999999999999</v>
      </c>
    </row>
    <row r="883" spans="1:26" x14ac:dyDescent="0.25">
      <c r="A883" s="1" t="s">
        <v>3814</v>
      </c>
      <c r="B883" s="1" t="s">
        <v>3815</v>
      </c>
      <c r="C883" s="1" t="s">
        <v>16</v>
      </c>
      <c r="D883" s="1" t="s">
        <v>94</v>
      </c>
      <c r="E883" s="1" t="s">
        <v>403</v>
      </c>
      <c r="F883" s="1" t="s">
        <v>3816</v>
      </c>
      <c r="G883" s="1" t="s">
        <v>12480</v>
      </c>
      <c r="H883" s="1" t="s">
        <v>216</v>
      </c>
      <c r="I883" s="2">
        <v>140.05000000000001</v>
      </c>
      <c r="J883" s="2">
        <v>4.3</v>
      </c>
      <c r="K883" s="2">
        <v>4.6900000000000004</v>
      </c>
      <c r="L883" s="2">
        <v>5.21</v>
      </c>
      <c r="M883" s="4">
        <f t="shared" si="78"/>
        <v>29.86140724946695</v>
      </c>
      <c r="N883" s="4">
        <f t="shared" si="79"/>
        <v>26.880998080614205</v>
      </c>
      <c r="O883" s="5">
        <f t="shared" si="80"/>
        <v>9.0697674418604768E-2</v>
      </c>
      <c r="P883" s="5">
        <f t="shared" si="81"/>
        <v>0.11087420042643914</v>
      </c>
      <c r="Q883" s="4">
        <f t="shared" si="82"/>
        <v>3.2924115685309667</v>
      </c>
      <c r="R883" s="4">
        <f t="shared" si="83"/>
        <v>2.4244592499630913</v>
      </c>
      <c r="S883" s="4">
        <v>26.71</v>
      </c>
      <c r="T883" s="2">
        <v>0.75</v>
      </c>
      <c r="U883" s="2">
        <v>142.41</v>
      </c>
      <c r="V883" s="2">
        <v>86.95</v>
      </c>
      <c r="W883" s="2">
        <v>-0.98</v>
      </c>
      <c r="X883" s="2">
        <v>7.03</v>
      </c>
      <c r="Y883" s="2">
        <v>16.649999999999999</v>
      </c>
      <c r="Z883" s="2">
        <v>17.02</v>
      </c>
    </row>
    <row r="884" spans="1:26" x14ac:dyDescent="0.25">
      <c r="A884" s="1" t="s">
        <v>3817</v>
      </c>
      <c r="B884" s="1" t="s">
        <v>3818</v>
      </c>
      <c r="C884" s="1" t="s">
        <v>31</v>
      </c>
      <c r="D884" s="1" t="s">
        <v>305</v>
      </c>
      <c r="E884" s="1" t="s">
        <v>1176</v>
      </c>
      <c r="F884" s="1" t="s">
        <v>3819</v>
      </c>
      <c r="G884" s="1" t="s">
        <v>12480</v>
      </c>
      <c r="H884" s="1" t="s">
        <v>3820</v>
      </c>
      <c r="I884" s="2">
        <v>23.57</v>
      </c>
      <c r="J884" s="2"/>
      <c r="K884" s="2">
        <v>1.98</v>
      </c>
      <c r="L884" s="2">
        <v>2.42</v>
      </c>
      <c r="M884" s="4">
        <f t="shared" si="78"/>
        <v>11.904040404040405</v>
      </c>
      <c r="N884" s="4">
        <f t="shared" si="79"/>
        <v>9.7396694214876032</v>
      </c>
      <c r="O884" s="5" t="e">
        <f t="shared" si="80"/>
        <v>#DIV/0!</v>
      </c>
      <c r="P884" s="5">
        <f t="shared" si="81"/>
        <v>0.2222222222222221</v>
      </c>
      <c r="Q884" s="4" t="e">
        <f t="shared" si="82"/>
        <v>#DIV/0!</v>
      </c>
      <c r="R884" s="4">
        <f t="shared" si="83"/>
        <v>0.43828512396694236</v>
      </c>
      <c r="S884" s="4"/>
      <c r="T884" s="2"/>
      <c r="U884" s="2">
        <v>26.23</v>
      </c>
      <c r="V884" s="2">
        <v>19.53</v>
      </c>
      <c r="W884" s="2">
        <v>-4.5</v>
      </c>
      <c r="X884" s="2">
        <v>-9.14</v>
      </c>
      <c r="Y884" s="2">
        <v>7.23</v>
      </c>
      <c r="Z884" s="2">
        <v>7.38</v>
      </c>
    </row>
    <row r="885" spans="1:26" x14ac:dyDescent="0.25">
      <c r="A885" s="1" t="s">
        <v>3821</v>
      </c>
      <c r="B885" s="1" t="s">
        <v>3822</v>
      </c>
      <c r="C885" s="1" t="s">
        <v>31</v>
      </c>
      <c r="D885" s="1" t="s">
        <v>140</v>
      </c>
      <c r="E885" s="1" t="s">
        <v>284</v>
      </c>
      <c r="F885" s="1" t="s">
        <v>3823</v>
      </c>
      <c r="G885" s="1" t="s">
        <v>12487</v>
      </c>
      <c r="H885" s="1" t="s">
        <v>3824</v>
      </c>
      <c r="I885" s="2">
        <v>9.86</v>
      </c>
      <c r="J885" s="2">
        <v>0.5</v>
      </c>
      <c r="K885" s="2"/>
      <c r="L885" s="2"/>
      <c r="M885" s="4" t="e">
        <f t="shared" si="78"/>
        <v>#DIV/0!</v>
      </c>
      <c r="N885" s="4" t="e">
        <f t="shared" si="79"/>
        <v>#DIV/0!</v>
      </c>
      <c r="O885" s="5">
        <f t="shared" si="80"/>
        <v>-1</v>
      </c>
      <c r="P885" s="5" t="e">
        <f t="shared" si="81"/>
        <v>#DIV/0!</v>
      </c>
      <c r="Q885" s="4" t="e">
        <f t="shared" si="82"/>
        <v>#DIV/0!</v>
      </c>
      <c r="R885" s="4" t="e">
        <f t="shared" si="83"/>
        <v>#DIV/0!</v>
      </c>
      <c r="S885" s="4">
        <v>-33.31</v>
      </c>
      <c r="T885" s="2">
        <v>0.32</v>
      </c>
      <c r="U885" s="2">
        <v>9.86</v>
      </c>
      <c r="V885" s="2">
        <v>5.82</v>
      </c>
      <c r="W885" s="2" t="s">
        <v>12489</v>
      </c>
      <c r="X885" s="2" t="s">
        <v>12489</v>
      </c>
      <c r="Y885" s="2">
        <v>9.56</v>
      </c>
      <c r="Z885" s="2">
        <v>9.56</v>
      </c>
    </row>
    <row r="886" spans="1:26" x14ac:dyDescent="0.25">
      <c r="A886" s="1" t="s">
        <v>3825</v>
      </c>
      <c r="B886" s="1" t="s">
        <v>3826</v>
      </c>
      <c r="C886" s="1" t="s">
        <v>31</v>
      </c>
      <c r="D886" s="1" t="s">
        <v>147</v>
      </c>
      <c r="E886" s="1" t="s">
        <v>148</v>
      </c>
      <c r="F886" s="1" t="s">
        <v>3827</v>
      </c>
      <c r="G886" s="1" t="s">
        <v>12480</v>
      </c>
      <c r="H886" s="1" t="s">
        <v>3828</v>
      </c>
      <c r="I886" s="2">
        <v>5.8</v>
      </c>
      <c r="J886" s="2">
        <v>0.3</v>
      </c>
      <c r="K886" s="2">
        <v>0.4</v>
      </c>
      <c r="L886" s="2"/>
      <c r="M886" s="4">
        <f t="shared" si="78"/>
        <v>14.499999999999998</v>
      </c>
      <c r="N886" s="4" t="e">
        <f t="shared" si="79"/>
        <v>#DIV/0!</v>
      </c>
      <c r="O886" s="5">
        <f t="shared" si="80"/>
        <v>0.33333333333333348</v>
      </c>
      <c r="P886" s="5">
        <f t="shared" si="81"/>
        <v>-1</v>
      </c>
      <c r="Q886" s="4">
        <f t="shared" si="82"/>
        <v>0.43499999999999972</v>
      </c>
      <c r="R886" s="4" t="e">
        <f t="shared" si="83"/>
        <v>#DIV/0!</v>
      </c>
      <c r="S886" s="4"/>
      <c r="T886" s="2">
        <v>1.03</v>
      </c>
      <c r="U886" s="2">
        <v>6.75</v>
      </c>
      <c r="V886" s="2">
        <v>3.78</v>
      </c>
      <c r="W886" s="2">
        <v>-3.89</v>
      </c>
      <c r="X886" s="2">
        <v>-8.98</v>
      </c>
      <c r="Y886" s="2">
        <v>-0.56999999999999995</v>
      </c>
      <c r="Z886" s="2">
        <v>-1.53</v>
      </c>
    </row>
    <row r="887" spans="1:26" x14ac:dyDescent="0.25">
      <c r="A887" s="1" t="s">
        <v>3829</v>
      </c>
      <c r="B887" s="1" t="s">
        <v>3830</v>
      </c>
      <c r="C887" s="1" t="s">
        <v>16</v>
      </c>
      <c r="D887" s="1" t="s">
        <v>354</v>
      </c>
      <c r="E887" s="1" t="s">
        <v>355</v>
      </c>
      <c r="F887" s="1" t="s">
        <v>3831</v>
      </c>
      <c r="G887" s="1" t="s">
        <v>12480</v>
      </c>
      <c r="H887" s="1" t="s">
        <v>3832</v>
      </c>
      <c r="I887" s="2">
        <v>131.08000000000001</v>
      </c>
      <c r="J887" s="2">
        <v>6.31</v>
      </c>
      <c r="K887" s="2">
        <v>6.71</v>
      </c>
      <c r="L887" s="2">
        <v>7.15</v>
      </c>
      <c r="M887" s="4">
        <f t="shared" si="78"/>
        <v>19.535022354694487</v>
      </c>
      <c r="N887" s="4">
        <f t="shared" si="79"/>
        <v>18.332867132867133</v>
      </c>
      <c r="O887" s="5">
        <f t="shared" si="80"/>
        <v>6.3391442155309008E-2</v>
      </c>
      <c r="P887" s="5">
        <f t="shared" si="81"/>
        <v>6.5573770491803351E-2</v>
      </c>
      <c r="Q887" s="4">
        <f t="shared" si="82"/>
        <v>3.0816497764530566</v>
      </c>
      <c r="R887" s="4">
        <f t="shared" si="83"/>
        <v>2.7957622377622346</v>
      </c>
      <c r="S887" s="4">
        <v>6.19</v>
      </c>
      <c r="T887" s="2">
        <v>0.5</v>
      </c>
      <c r="U887" s="2">
        <v>132.5</v>
      </c>
      <c r="V887" s="2">
        <v>112.46</v>
      </c>
      <c r="W887" s="2">
        <v>-0.42</v>
      </c>
      <c r="X887" s="2">
        <v>7.69</v>
      </c>
      <c r="Y887" s="2">
        <v>12.29</v>
      </c>
      <c r="Z887" s="2">
        <v>11.83</v>
      </c>
    </row>
    <row r="888" spans="1:26" x14ac:dyDescent="0.25">
      <c r="A888" s="1" t="s">
        <v>3834</v>
      </c>
      <c r="B888" s="1" t="s">
        <v>3835</v>
      </c>
      <c r="C888" s="1" t="s">
        <v>45</v>
      </c>
      <c r="D888" s="1" t="s">
        <v>140</v>
      </c>
      <c r="E888" s="1" t="s">
        <v>284</v>
      </c>
      <c r="F888" s="1" t="s">
        <v>3836</v>
      </c>
      <c r="G888" s="1" t="s">
        <v>12480</v>
      </c>
      <c r="H888" s="1" t="s">
        <v>3837</v>
      </c>
      <c r="I888" s="2">
        <v>100.42</v>
      </c>
      <c r="J888" s="2">
        <v>8.57</v>
      </c>
      <c r="K888" s="2">
        <v>3.08</v>
      </c>
      <c r="L888" s="2">
        <v>3.39</v>
      </c>
      <c r="M888" s="4">
        <f t="shared" si="78"/>
        <v>32.603896103896105</v>
      </c>
      <c r="N888" s="4">
        <f t="shared" si="79"/>
        <v>29.622418879056045</v>
      </c>
      <c r="O888" s="5">
        <f t="shared" si="80"/>
        <v>-0.64060676779463244</v>
      </c>
      <c r="P888" s="5">
        <f t="shared" si="81"/>
        <v>0.10064935064935066</v>
      </c>
      <c r="Q888" s="4">
        <f t="shared" si="82"/>
        <v>-0.50895335083859672</v>
      </c>
      <c r="R888" s="4">
        <f t="shared" si="83"/>
        <v>2.9431306499191168</v>
      </c>
      <c r="S888" s="4">
        <v>38.71</v>
      </c>
      <c r="T888" s="2">
        <v>0.9</v>
      </c>
      <c r="U888" s="2">
        <v>540.67999999999995</v>
      </c>
      <c r="V888" s="2">
        <v>96.17</v>
      </c>
      <c r="W888" s="2">
        <v>-0.4</v>
      </c>
      <c r="X888" s="2">
        <v>-15.55</v>
      </c>
      <c r="Y888" s="2" t="s">
        <v>12646</v>
      </c>
      <c r="Z888" s="2">
        <v>-42.78</v>
      </c>
    </row>
    <row r="889" spans="1:26" x14ac:dyDescent="0.25">
      <c r="A889" s="1" t="s">
        <v>3838</v>
      </c>
      <c r="B889" s="1" t="s">
        <v>3839</v>
      </c>
      <c r="C889" s="1" t="s">
        <v>16</v>
      </c>
      <c r="D889" s="1" t="s">
        <v>32</v>
      </c>
      <c r="E889" s="1" t="s">
        <v>311</v>
      </c>
      <c r="F889" s="1" t="s">
        <v>3840</v>
      </c>
      <c r="G889" s="1" t="s">
        <v>12480</v>
      </c>
      <c r="H889" s="1" t="s">
        <v>3841</v>
      </c>
      <c r="I889" s="2">
        <v>10.8</v>
      </c>
      <c r="J889" s="2">
        <v>0.88</v>
      </c>
      <c r="K889" s="2">
        <v>1.1000000000000001</v>
      </c>
      <c r="L889" s="2">
        <v>1.26</v>
      </c>
      <c r="M889" s="4">
        <f t="shared" si="78"/>
        <v>9.8181818181818183</v>
      </c>
      <c r="N889" s="4">
        <f t="shared" si="79"/>
        <v>8.5714285714285712</v>
      </c>
      <c r="O889" s="5">
        <f t="shared" si="80"/>
        <v>0.25</v>
      </c>
      <c r="P889" s="5">
        <f t="shared" si="81"/>
        <v>0.14545454545454528</v>
      </c>
      <c r="Q889" s="4">
        <f t="shared" si="82"/>
        <v>0.39272727272727276</v>
      </c>
      <c r="R889" s="4">
        <f t="shared" si="83"/>
        <v>0.58928571428571497</v>
      </c>
      <c r="S889" s="4">
        <v>13.92</v>
      </c>
      <c r="T889" s="2">
        <v>0.98</v>
      </c>
      <c r="U889" s="2">
        <v>16.27</v>
      </c>
      <c r="V889" s="2">
        <v>8.85</v>
      </c>
      <c r="W889" s="2">
        <v>3.05</v>
      </c>
      <c r="X889" s="2">
        <v>15.39</v>
      </c>
      <c r="Y889" s="2">
        <v>-0.28000000000000003</v>
      </c>
      <c r="Z889" s="2">
        <v>-5.59</v>
      </c>
    </row>
    <row r="890" spans="1:26" x14ac:dyDescent="0.25">
      <c r="A890" s="1" t="s">
        <v>3842</v>
      </c>
      <c r="B890" s="1" t="s">
        <v>3843</v>
      </c>
      <c r="C890" s="1" t="s">
        <v>16</v>
      </c>
      <c r="D890" s="1" t="s">
        <v>18</v>
      </c>
      <c r="E890" s="1" t="s">
        <v>336</v>
      </c>
      <c r="F890" s="1" t="s">
        <v>3844</v>
      </c>
      <c r="G890" s="1" t="s">
        <v>12480</v>
      </c>
      <c r="H890" s="1" t="s">
        <v>3845</v>
      </c>
      <c r="I890" s="2">
        <v>152.56</v>
      </c>
      <c r="J890" s="2">
        <v>10.78</v>
      </c>
      <c r="K890" s="2">
        <v>14.16</v>
      </c>
      <c r="L890" s="2">
        <v>16.899999999999999</v>
      </c>
      <c r="M890" s="4">
        <f t="shared" si="78"/>
        <v>10.774011299435028</v>
      </c>
      <c r="N890" s="4">
        <f t="shared" si="79"/>
        <v>9.0272189349112431</v>
      </c>
      <c r="O890" s="5">
        <f t="shared" si="80"/>
        <v>0.313543599257885</v>
      </c>
      <c r="P890" s="5">
        <f t="shared" si="81"/>
        <v>0.19350282485875692</v>
      </c>
      <c r="Q890" s="4">
        <f t="shared" si="82"/>
        <v>0.34362083375121177</v>
      </c>
      <c r="R890" s="4">
        <f t="shared" si="83"/>
        <v>0.46651613181877116</v>
      </c>
      <c r="S890" s="4">
        <v>6.46</v>
      </c>
      <c r="T890" s="2">
        <v>0.94</v>
      </c>
      <c r="U890" s="2">
        <v>156.30000000000001</v>
      </c>
      <c r="V890" s="2">
        <v>103.87</v>
      </c>
      <c r="W890" s="2">
        <v>-0.92</v>
      </c>
      <c r="X890" s="2">
        <v>10.84</v>
      </c>
      <c r="Y890" s="2">
        <v>27.08</v>
      </c>
      <c r="Z890" s="2">
        <v>34.28</v>
      </c>
    </row>
    <row r="891" spans="1:26" x14ac:dyDescent="0.25">
      <c r="A891" s="1" t="s">
        <v>3846</v>
      </c>
      <c r="B891" s="1" t="s">
        <v>3847</v>
      </c>
      <c r="C891" s="1" t="s">
        <v>31</v>
      </c>
      <c r="D891" s="1" t="s">
        <v>128</v>
      </c>
      <c r="E891" s="1" t="s">
        <v>129</v>
      </c>
      <c r="F891" s="1" t="s">
        <v>3848</v>
      </c>
      <c r="G891" s="1" t="s">
        <v>12480</v>
      </c>
      <c r="H891" s="1" t="s">
        <v>3849</v>
      </c>
      <c r="I891" s="2">
        <v>7.3</v>
      </c>
      <c r="J891" s="2">
        <v>0.36</v>
      </c>
      <c r="K891" s="2"/>
      <c r="L891" s="2"/>
      <c r="M891" s="4" t="e">
        <f t="shared" si="78"/>
        <v>#DIV/0!</v>
      </c>
      <c r="N891" s="4" t="e">
        <f t="shared" si="79"/>
        <v>#DIV/0!</v>
      </c>
      <c r="O891" s="5">
        <f t="shared" si="80"/>
        <v>-1</v>
      </c>
      <c r="P891" s="5" t="e">
        <f t="shared" si="81"/>
        <v>#DIV/0!</v>
      </c>
      <c r="Q891" s="4" t="e">
        <f t="shared" si="82"/>
        <v>#DIV/0!</v>
      </c>
      <c r="R891" s="4" t="e">
        <f t="shared" si="83"/>
        <v>#DIV/0!</v>
      </c>
      <c r="S891" s="4">
        <v>3.89</v>
      </c>
      <c r="T891" s="2">
        <v>0.51</v>
      </c>
      <c r="U891" s="2">
        <v>7.9</v>
      </c>
      <c r="V891" s="2">
        <v>5.73</v>
      </c>
      <c r="W891" s="2">
        <v>-5.44</v>
      </c>
      <c r="X891" s="2" t="s">
        <v>12489</v>
      </c>
      <c r="Y891" s="2">
        <v>4.3600000000000003</v>
      </c>
      <c r="Z891" s="2">
        <v>11.45</v>
      </c>
    </row>
    <row r="892" spans="1:26" x14ac:dyDescent="0.25">
      <c r="A892" s="1" t="s">
        <v>3850</v>
      </c>
      <c r="B892" s="1" t="s">
        <v>3851</v>
      </c>
      <c r="C892" s="1" t="s">
        <v>16</v>
      </c>
      <c r="D892" s="1" t="s">
        <v>94</v>
      </c>
      <c r="E892" s="1" t="s">
        <v>894</v>
      </c>
      <c r="F892" s="1" t="s">
        <v>3852</v>
      </c>
      <c r="G892" s="1" t="s">
        <v>12480</v>
      </c>
      <c r="H892" s="1" t="s">
        <v>12647</v>
      </c>
      <c r="I892" s="2">
        <v>44.82</v>
      </c>
      <c r="J892" s="2">
        <v>3.92</v>
      </c>
      <c r="K892" s="2">
        <v>3.11</v>
      </c>
      <c r="L892" s="2">
        <v>3.88</v>
      </c>
      <c r="M892" s="4">
        <f t="shared" si="78"/>
        <v>14.411575562700966</v>
      </c>
      <c r="N892" s="4">
        <f t="shared" si="79"/>
        <v>11.551546391752577</v>
      </c>
      <c r="O892" s="5">
        <f t="shared" si="80"/>
        <v>-0.20663265306122447</v>
      </c>
      <c r="P892" s="5">
        <f t="shared" si="81"/>
        <v>0.247588424437299</v>
      </c>
      <c r="Q892" s="4">
        <f t="shared" si="82"/>
        <v>-0.69744908896034308</v>
      </c>
      <c r="R892" s="4">
        <f t="shared" si="83"/>
        <v>0.46656245816039638</v>
      </c>
      <c r="S892" s="4">
        <v>7.83</v>
      </c>
      <c r="T892" s="2">
        <v>0.56000000000000005</v>
      </c>
      <c r="U892" s="2">
        <v>44.96</v>
      </c>
      <c r="V892" s="2">
        <v>26.8</v>
      </c>
      <c r="W892" s="2">
        <v>-0.28999999999999998</v>
      </c>
      <c r="X892" s="2">
        <v>3.08</v>
      </c>
      <c r="Y892" s="2">
        <v>23.92</v>
      </c>
      <c r="Z892" s="2">
        <v>22.36</v>
      </c>
    </row>
    <row r="893" spans="1:26" x14ac:dyDescent="0.25">
      <c r="A893" s="1" t="s">
        <v>3853</v>
      </c>
      <c r="B893" s="1" t="s">
        <v>3854</v>
      </c>
      <c r="C893" s="1" t="s">
        <v>45</v>
      </c>
      <c r="D893" s="1" t="s">
        <v>38</v>
      </c>
      <c r="E893" s="1" t="s">
        <v>259</v>
      </c>
      <c r="F893" s="1" t="s">
        <v>3855</v>
      </c>
      <c r="G893" s="1" t="s">
        <v>12480</v>
      </c>
      <c r="H893" s="1" t="s">
        <v>3856</v>
      </c>
      <c r="I893" s="2">
        <v>152.03</v>
      </c>
      <c r="J893" s="2"/>
      <c r="K893" s="2"/>
      <c r="L893" s="2"/>
      <c r="M893" s="4" t="e">
        <f t="shared" si="78"/>
        <v>#DIV/0!</v>
      </c>
      <c r="N893" s="4" t="e">
        <f t="shared" si="79"/>
        <v>#DIV/0!</v>
      </c>
      <c r="O893" s="5" t="e">
        <f t="shared" si="80"/>
        <v>#DIV/0!</v>
      </c>
      <c r="P893" s="5" t="e">
        <f t="shared" si="81"/>
        <v>#DIV/0!</v>
      </c>
      <c r="Q893" s="4" t="e">
        <f t="shared" si="82"/>
        <v>#DIV/0!</v>
      </c>
      <c r="R893" s="4" t="e">
        <f t="shared" si="83"/>
        <v>#DIV/0!</v>
      </c>
      <c r="S893" s="4"/>
      <c r="T893" s="2">
        <v>0.73</v>
      </c>
      <c r="U893" s="2">
        <v>157.93</v>
      </c>
      <c r="V893" s="2">
        <v>118.37</v>
      </c>
      <c r="W893" s="2">
        <v>-2.5099999999999998</v>
      </c>
      <c r="X893" s="2">
        <v>-1.95</v>
      </c>
      <c r="Y893" s="2">
        <v>5.26</v>
      </c>
      <c r="Z893" s="2">
        <v>7.72</v>
      </c>
    </row>
    <row r="894" spans="1:26" x14ac:dyDescent="0.25">
      <c r="A894" s="1" t="s">
        <v>3857</v>
      </c>
      <c r="B894" s="1" t="s">
        <v>3858</v>
      </c>
      <c r="C894" s="1" t="s">
        <v>31</v>
      </c>
      <c r="D894" s="1" t="s">
        <v>61</v>
      </c>
      <c r="E894" s="1" t="s">
        <v>3275</v>
      </c>
      <c r="F894" s="1" t="s">
        <v>3859</v>
      </c>
      <c r="G894" s="1" t="s">
        <v>12490</v>
      </c>
      <c r="H894" s="1" t="s">
        <v>3860</v>
      </c>
      <c r="I894" s="2">
        <v>33.83</v>
      </c>
      <c r="J894" s="2">
        <v>3.66</v>
      </c>
      <c r="K894" s="2"/>
      <c r="L894" s="2"/>
      <c r="M894" s="4" t="e">
        <f t="shared" si="78"/>
        <v>#DIV/0!</v>
      </c>
      <c r="N894" s="4" t="e">
        <f t="shared" si="79"/>
        <v>#DIV/0!</v>
      </c>
      <c r="O894" s="5">
        <f t="shared" si="80"/>
        <v>-1</v>
      </c>
      <c r="P894" s="5" t="e">
        <f t="shared" si="81"/>
        <v>#DIV/0!</v>
      </c>
      <c r="Q894" s="4" t="e">
        <f t="shared" si="82"/>
        <v>#DIV/0!</v>
      </c>
      <c r="R894" s="4" t="e">
        <f t="shared" si="83"/>
        <v>#DIV/0!</v>
      </c>
      <c r="S894" s="4">
        <v>-0.97</v>
      </c>
      <c r="T894" s="2">
        <v>0.35</v>
      </c>
      <c r="U894" s="2">
        <v>37.43</v>
      </c>
      <c r="V894" s="2">
        <v>32.200000000000003</v>
      </c>
      <c r="W894" s="2">
        <v>-3.65</v>
      </c>
      <c r="X894" s="2">
        <v>-6.11</v>
      </c>
      <c r="Y894" s="2">
        <v>0.83</v>
      </c>
      <c r="Z894" s="2">
        <v>2.52</v>
      </c>
    </row>
    <row r="895" spans="1:26" x14ac:dyDescent="0.25">
      <c r="A895" s="1" t="s">
        <v>3861</v>
      </c>
      <c r="B895" s="1" t="s">
        <v>3862</v>
      </c>
      <c r="C895" s="1" t="s">
        <v>31</v>
      </c>
      <c r="D895" s="1" t="s">
        <v>38</v>
      </c>
      <c r="E895" s="1" t="s">
        <v>510</v>
      </c>
      <c r="F895" s="1" t="s">
        <v>3863</v>
      </c>
      <c r="G895" s="1" t="s">
        <v>12480</v>
      </c>
      <c r="H895" s="1" t="s">
        <v>3864</v>
      </c>
      <c r="I895" s="2" t="s">
        <v>12648</v>
      </c>
      <c r="J895" s="2">
        <v>1.35</v>
      </c>
      <c r="K895" s="2"/>
      <c r="L895" s="2"/>
      <c r="M895" s="4" t="e">
        <f t="shared" si="78"/>
        <v>#DIV/0!</v>
      </c>
      <c r="N895" s="4" t="e">
        <f t="shared" si="79"/>
        <v>#DIV/0!</v>
      </c>
      <c r="O895" s="5">
        <f t="shared" si="80"/>
        <v>-1</v>
      </c>
      <c r="P895" s="5" t="e">
        <f t="shared" si="81"/>
        <v>#DIV/0!</v>
      </c>
      <c r="Q895" s="4" t="e">
        <f t="shared" si="82"/>
        <v>#DIV/0!</v>
      </c>
      <c r="R895" s="4" t="e">
        <f t="shared" si="83"/>
        <v>#DIV/0!</v>
      </c>
      <c r="S895" s="4">
        <v>51.39</v>
      </c>
      <c r="T895" s="2">
        <v>0.57999999999999996</v>
      </c>
      <c r="U895" s="2">
        <v>24.86</v>
      </c>
      <c r="V895" s="2">
        <v>22.86</v>
      </c>
      <c r="W895" s="2">
        <v>-7.48</v>
      </c>
      <c r="X895" s="2">
        <v>-5.26</v>
      </c>
      <c r="Y895" s="2">
        <v>0.61</v>
      </c>
      <c r="Z895" s="2">
        <v>-5.26</v>
      </c>
    </row>
    <row r="896" spans="1:26" x14ac:dyDescent="0.25">
      <c r="A896" s="1" t="s">
        <v>3865</v>
      </c>
      <c r="B896" s="1" t="s">
        <v>3866</v>
      </c>
      <c r="C896" s="1" t="s">
        <v>16</v>
      </c>
      <c r="D896" s="1" t="s">
        <v>38</v>
      </c>
      <c r="E896" s="1" t="s">
        <v>153</v>
      </c>
      <c r="F896" s="1" t="s">
        <v>3867</v>
      </c>
      <c r="G896" s="1" t="s">
        <v>12480</v>
      </c>
      <c r="H896" s="1" t="s">
        <v>3868</v>
      </c>
      <c r="I896" s="2">
        <v>13.42</v>
      </c>
      <c r="J896" s="2">
        <v>0.89</v>
      </c>
      <c r="K896" s="2"/>
      <c r="L896" s="2"/>
      <c r="M896" s="4" t="e">
        <f t="shared" si="78"/>
        <v>#DIV/0!</v>
      </c>
      <c r="N896" s="4" t="e">
        <f t="shared" si="79"/>
        <v>#DIV/0!</v>
      </c>
      <c r="O896" s="5">
        <f t="shared" si="80"/>
        <v>-1</v>
      </c>
      <c r="P896" s="5" t="e">
        <f t="shared" si="81"/>
        <v>#DIV/0!</v>
      </c>
      <c r="Q896" s="4" t="e">
        <f t="shared" si="82"/>
        <v>#DIV/0!</v>
      </c>
      <c r="R896" s="4" t="e">
        <f t="shared" si="83"/>
        <v>#DIV/0!</v>
      </c>
      <c r="S896" s="4">
        <v>66.97</v>
      </c>
      <c r="T896" s="2">
        <v>0.97</v>
      </c>
      <c r="U896" s="2">
        <v>14.74</v>
      </c>
      <c r="V896" s="2">
        <v>11.13</v>
      </c>
      <c r="W896" s="2">
        <v>-3.24</v>
      </c>
      <c r="X896" s="2">
        <v>-3.59</v>
      </c>
      <c r="Y896" s="2">
        <v>-1.61</v>
      </c>
      <c r="Z896" s="2">
        <v>-4.21</v>
      </c>
    </row>
    <row r="897" spans="1:26" x14ac:dyDescent="0.25">
      <c r="A897" s="1" t="s">
        <v>3869</v>
      </c>
      <c r="B897" s="1" t="s">
        <v>3870</v>
      </c>
      <c r="C897" s="1" t="s">
        <v>16</v>
      </c>
      <c r="D897" s="1" t="s">
        <v>32</v>
      </c>
      <c r="E897" s="1" t="s">
        <v>248</v>
      </c>
      <c r="F897" s="1" t="s">
        <v>3871</v>
      </c>
      <c r="G897" s="1" t="s">
        <v>12490</v>
      </c>
      <c r="H897" s="1" t="s">
        <v>3872</v>
      </c>
      <c r="I897" s="2">
        <v>12.51</v>
      </c>
      <c r="J897" s="2">
        <v>3.43</v>
      </c>
      <c r="K897" s="2">
        <v>3.2</v>
      </c>
      <c r="L897" s="2">
        <v>3.31</v>
      </c>
      <c r="M897" s="4">
        <f t="shared" si="78"/>
        <v>3.9093749999999998</v>
      </c>
      <c r="N897" s="4">
        <f t="shared" si="79"/>
        <v>3.7794561933534743</v>
      </c>
      <c r="O897" s="5">
        <f t="shared" si="80"/>
        <v>-6.7055393586005874E-2</v>
      </c>
      <c r="P897" s="5">
        <f t="shared" si="81"/>
        <v>3.4375000000000044E-2</v>
      </c>
      <c r="Q897" s="4">
        <f t="shared" si="82"/>
        <v>-0.58300679347826045</v>
      </c>
      <c r="R897" s="4">
        <f t="shared" si="83"/>
        <v>1.0994781653391912</v>
      </c>
      <c r="S897" s="4">
        <v>-5.82</v>
      </c>
      <c r="T897" s="2">
        <v>1.1000000000000001</v>
      </c>
      <c r="U897" s="2">
        <v>18.62</v>
      </c>
      <c r="V897" s="2">
        <v>11.85</v>
      </c>
      <c r="W897" s="2">
        <v>2.63</v>
      </c>
      <c r="X897" s="2">
        <v>-12.64</v>
      </c>
      <c r="Y897" s="2">
        <v>-18.87</v>
      </c>
      <c r="Z897" s="2">
        <v>-14.61</v>
      </c>
    </row>
    <row r="898" spans="1:26" x14ac:dyDescent="0.25">
      <c r="A898" s="1" t="s">
        <v>3873</v>
      </c>
      <c r="B898" s="1" t="s">
        <v>3874</v>
      </c>
      <c r="C898" s="1" t="s">
        <v>45</v>
      </c>
      <c r="D898" s="1" t="s">
        <v>18</v>
      </c>
      <c r="E898" s="1" t="s">
        <v>594</v>
      </c>
      <c r="F898" s="1" t="s">
        <v>3875</v>
      </c>
      <c r="G898" s="1" t="s">
        <v>12480</v>
      </c>
      <c r="H898" s="1" t="s">
        <v>3876</v>
      </c>
      <c r="I898" s="2">
        <v>68.739999999999995</v>
      </c>
      <c r="J898" s="2">
        <v>2.09</v>
      </c>
      <c r="K898" s="2">
        <v>2.4900000000000002</v>
      </c>
      <c r="L898" s="2">
        <v>2.98</v>
      </c>
      <c r="M898" s="4">
        <f t="shared" si="78"/>
        <v>27.60642570281124</v>
      </c>
      <c r="N898" s="4">
        <f t="shared" si="79"/>
        <v>23.067114093959731</v>
      </c>
      <c r="O898" s="5">
        <f t="shared" si="80"/>
        <v>0.19138755980861255</v>
      </c>
      <c r="P898" s="5">
        <f t="shared" si="81"/>
        <v>0.19678714859437729</v>
      </c>
      <c r="Q898" s="4">
        <f t="shared" si="82"/>
        <v>1.4424357429718864</v>
      </c>
      <c r="R898" s="4">
        <f t="shared" si="83"/>
        <v>1.1721860019175467</v>
      </c>
      <c r="S898" s="4">
        <v>15.6</v>
      </c>
      <c r="T898" s="2">
        <v>1.48</v>
      </c>
      <c r="U898" s="2">
        <v>89.53</v>
      </c>
      <c r="V898" s="2">
        <v>54.84</v>
      </c>
      <c r="W898" s="2">
        <v>-6.83</v>
      </c>
      <c r="X898" s="2">
        <v>-2.02</v>
      </c>
      <c r="Y898" s="2">
        <v>4.58</v>
      </c>
      <c r="Z898" s="2">
        <v>3.57</v>
      </c>
    </row>
    <row r="899" spans="1:26" x14ac:dyDescent="0.25">
      <c r="A899" s="1" t="s">
        <v>3877</v>
      </c>
      <c r="B899" s="1" t="s">
        <v>3878</v>
      </c>
      <c r="C899" s="1" t="s">
        <v>45</v>
      </c>
      <c r="D899" s="1" t="s">
        <v>25</v>
      </c>
      <c r="E899" s="1" t="s">
        <v>220</v>
      </c>
      <c r="F899" s="1" t="s">
        <v>3879</v>
      </c>
      <c r="G899" s="1" t="s">
        <v>12480</v>
      </c>
      <c r="H899" s="1" t="s">
        <v>3880</v>
      </c>
      <c r="I899" s="2">
        <v>137.63999999999999</v>
      </c>
      <c r="J899" s="2">
        <v>5.42</v>
      </c>
      <c r="K899" s="2">
        <v>5.29</v>
      </c>
      <c r="L899" s="2"/>
      <c r="M899" s="4">
        <f t="shared" ref="M899:M962" si="84">I899/K899</f>
        <v>26.018903591682417</v>
      </c>
      <c r="N899" s="4" t="e">
        <f t="shared" ref="N899:N962" si="85">I899/L899</f>
        <v>#DIV/0!</v>
      </c>
      <c r="O899" s="5">
        <f t="shared" ref="O899:O962" si="86">K899/J899-1</f>
        <v>-2.3985239852398532E-2</v>
      </c>
      <c r="P899" s="5">
        <f t="shared" ref="P899:P962" si="87">L899/K899-1</f>
        <v>-1</v>
      </c>
      <c r="Q899" s="4">
        <f t="shared" ref="Q899:Q962" si="88">M899/(O899*100)</f>
        <v>-10.847881343609126</v>
      </c>
      <c r="R899" s="4" t="e">
        <f t="shared" ref="R899:R962" si="89">N899/(P899*100)</f>
        <v>#DIV/0!</v>
      </c>
      <c r="S899" s="4">
        <v>11.89</v>
      </c>
      <c r="T899" s="2">
        <v>0.96</v>
      </c>
      <c r="U899" s="2">
        <v>159.37</v>
      </c>
      <c r="V899" s="2">
        <v>71.8</v>
      </c>
      <c r="W899" s="2">
        <v>-4.24</v>
      </c>
      <c r="X899" s="2">
        <v>-9.24</v>
      </c>
      <c r="Y899" s="2">
        <v>27.07</v>
      </c>
      <c r="Z899" s="2">
        <v>25.37</v>
      </c>
    </row>
    <row r="900" spans="1:26" x14ac:dyDescent="0.25">
      <c r="A900" s="1" t="s">
        <v>3881</v>
      </c>
      <c r="B900" s="1" t="s">
        <v>3882</v>
      </c>
      <c r="C900" s="1" t="s">
        <v>16</v>
      </c>
      <c r="D900" s="1" t="s">
        <v>61</v>
      </c>
      <c r="E900" s="1" t="s">
        <v>3884</v>
      </c>
      <c r="F900" s="1" t="s">
        <v>3883</v>
      </c>
      <c r="G900" s="1" t="s">
        <v>12493</v>
      </c>
      <c r="H900" s="1" t="s">
        <v>3885</v>
      </c>
      <c r="I900" s="2">
        <v>360.29</v>
      </c>
      <c r="J900" s="2">
        <v>11.97</v>
      </c>
      <c r="K900" s="2">
        <v>12.45</v>
      </c>
      <c r="L900" s="2">
        <v>15.66</v>
      </c>
      <c r="M900" s="4">
        <f t="shared" si="84"/>
        <v>28.938955823293178</v>
      </c>
      <c r="N900" s="4">
        <f t="shared" si="85"/>
        <v>23.007024265644958</v>
      </c>
      <c r="O900" s="5">
        <f t="shared" si="86"/>
        <v>4.0100250626566192E-2</v>
      </c>
      <c r="P900" s="5">
        <f t="shared" si="87"/>
        <v>0.25783132530120501</v>
      </c>
      <c r="Q900" s="4">
        <f t="shared" si="88"/>
        <v>7.2166521084337765</v>
      </c>
      <c r="R900" s="4">
        <f t="shared" si="89"/>
        <v>0.89232851123763091</v>
      </c>
      <c r="S900" s="4">
        <v>17.95</v>
      </c>
      <c r="T900" s="2">
        <v>1.34</v>
      </c>
      <c r="U900" s="2">
        <v>429.73</v>
      </c>
      <c r="V900" s="2">
        <v>136.75</v>
      </c>
      <c r="W900" s="2">
        <v>-13.96</v>
      </c>
      <c r="X900" s="2">
        <v>-13.24</v>
      </c>
      <c r="Y900" s="2">
        <v>2.59</v>
      </c>
      <c r="Z900" s="2">
        <v>6.63</v>
      </c>
    </row>
    <row r="901" spans="1:26" x14ac:dyDescent="0.25">
      <c r="A901" s="1" t="s">
        <v>3886</v>
      </c>
      <c r="B901" s="1" t="s">
        <v>3887</v>
      </c>
      <c r="C901" s="1" t="s">
        <v>31</v>
      </c>
      <c r="D901" s="1" t="s">
        <v>88</v>
      </c>
      <c r="E901" s="1" t="s">
        <v>658</v>
      </c>
      <c r="F901" s="1" t="s">
        <v>3888</v>
      </c>
      <c r="G901" s="1" t="s">
        <v>12502</v>
      </c>
      <c r="H901" s="1" t="s">
        <v>3889</v>
      </c>
      <c r="I901" s="2">
        <v>1.5</v>
      </c>
      <c r="J901" s="2" t="s">
        <v>12489</v>
      </c>
      <c r="K901" s="2">
        <v>0.01</v>
      </c>
      <c r="L901" s="2"/>
      <c r="M901" s="4">
        <f t="shared" si="84"/>
        <v>150</v>
      </c>
      <c r="N901" s="4" t="e">
        <f t="shared" si="85"/>
        <v>#DIV/0!</v>
      </c>
      <c r="O901" s="5" t="e">
        <f t="shared" si="86"/>
        <v>#DIV/0!</v>
      </c>
      <c r="P901" s="5">
        <f t="shared" si="87"/>
        <v>-1</v>
      </c>
      <c r="Q901" s="4" t="e">
        <f t="shared" si="88"/>
        <v>#DIV/0!</v>
      </c>
      <c r="R901" s="4" t="e">
        <f t="shared" si="89"/>
        <v>#DIV/0!</v>
      </c>
      <c r="S901" s="4">
        <v>193.66</v>
      </c>
      <c r="T901" s="2">
        <v>0.78</v>
      </c>
      <c r="U901" s="2">
        <v>1.95</v>
      </c>
      <c r="V901" s="2">
        <v>0.5</v>
      </c>
      <c r="W901" s="2">
        <v>-23.08</v>
      </c>
      <c r="X901" s="2">
        <v>-14.29</v>
      </c>
      <c r="Y901" s="2">
        <v>27.12</v>
      </c>
      <c r="Z901" s="2">
        <v>22.95</v>
      </c>
    </row>
    <row r="902" spans="1:26" x14ac:dyDescent="0.25">
      <c r="A902" s="1" t="s">
        <v>3890</v>
      </c>
      <c r="B902" s="1" t="s">
        <v>3891</v>
      </c>
      <c r="C902" s="1" t="s">
        <v>45</v>
      </c>
      <c r="D902" s="1" t="s">
        <v>18</v>
      </c>
      <c r="E902" s="1" t="s">
        <v>780</v>
      </c>
      <c r="F902" s="1" t="s">
        <v>3892</v>
      </c>
      <c r="G902" s="1" t="s">
        <v>12480</v>
      </c>
      <c r="H902" s="1" t="s">
        <v>3893</v>
      </c>
      <c r="I902" s="2">
        <v>17.690000000000001</v>
      </c>
      <c r="J902" s="2">
        <v>-3.47</v>
      </c>
      <c r="K902" s="2">
        <v>-2.9</v>
      </c>
      <c r="L902" s="2">
        <v>-2.75</v>
      </c>
      <c r="M902" s="4">
        <f t="shared" si="84"/>
        <v>-6.1000000000000005</v>
      </c>
      <c r="N902" s="4">
        <f t="shared" si="85"/>
        <v>-6.4327272727272735</v>
      </c>
      <c r="O902" s="5">
        <f t="shared" si="86"/>
        <v>-0.16426512968299722</v>
      </c>
      <c r="P902" s="5">
        <f t="shared" si="87"/>
        <v>-5.1724137931034475E-2</v>
      </c>
      <c r="Q902" s="4">
        <f t="shared" si="88"/>
        <v>0.37135087719298226</v>
      </c>
      <c r="R902" s="4">
        <f t="shared" si="89"/>
        <v>1.2436606060606064</v>
      </c>
      <c r="S902" s="4"/>
      <c r="T902" s="2">
        <v>1.34</v>
      </c>
      <c r="U902" s="2">
        <v>24.29</v>
      </c>
      <c r="V902" s="2">
        <v>6.81</v>
      </c>
      <c r="W902" s="2">
        <v>9.5399999999999991</v>
      </c>
      <c r="X902" s="2">
        <v>4.12</v>
      </c>
      <c r="Y902" s="2">
        <v>-9.6999999999999993</v>
      </c>
      <c r="Z902" s="2">
        <v>-9.56</v>
      </c>
    </row>
    <row r="903" spans="1:26" x14ac:dyDescent="0.25">
      <c r="A903" s="1" t="s">
        <v>3894</v>
      </c>
      <c r="B903" s="1" t="s">
        <v>3895</v>
      </c>
      <c r="C903" s="1" t="s">
        <v>16</v>
      </c>
      <c r="D903" s="1" t="s">
        <v>94</v>
      </c>
      <c r="E903" s="1" t="s">
        <v>1948</v>
      </c>
      <c r="F903" s="1" t="s">
        <v>3896</v>
      </c>
      <c r="G903" s="1" t="s">
        <v>12480</v>
      </c>
      <c r="H903" s="1" t="s">
        <v>3897</v>
      </c>
      <c r="I903" s="2">
        <v>48.33</v>
      </c>
      <c r="J903" s="2">
        <v>3.5</v>
      </c>
      <c r="K903" s="2">
        <v>3.86</v>
      </c>
      <c r="L903" s="2">
        <v>4.3</v>
      </c>
      <c r="M903" s="4">
        <f t="shared" si="84"/>
        <v>12.520725388601036</v>
      </c>
      <c r="N903" s="4">
        <f t="shared" si="85"/>
        <v>11.23953488372093</v>
      </c>
      <c r="O903" s="5">
        <f t="shared" si="86"/>
        <v>0.10285714285714276</v>
      </c>
      <c r="P903" s="5">
        <f t="shared" si="87"/>
        <v>0.11398963730569944</v>
      </c>
      <c r="Q903" s="4">
        <f t="shared" si="88"/>
        <v>1.2172927461139909</v>
      </c>
      <c r="R903" s="4">
        <f t="shared" si="89"/>
        <v>0.98601374207188197</v>
      </c>
      <c r="S903" s="4">
        <v>-4.17</v>
      </c>
      <c r="T903" s="2">
        <v>0.56999999999999995</v>
      </c>
      <c r="U903" s="2">
        <v>48.33</v>
      </c>
      <c r="V903" s="2">
        <v>25.19</v>
      </c>
      <c r="W903" s="2">
        <v>2.0499999999999998</v>
      </c>
      <c r="X903" s="2">
        <v>13.32</v>
      </c>
      <c r="Y903" s="2">
        <v>28.78</v>
      </c>
      <c r="Z903" s="2">
        <v>27.39</v>
      </c>
    </row>
    <row r="904" spans="1:26" x14ac:dyDescent="0.25">
      <c r="A904" s="1" t="s">
        <v>3898</v>
      </c>
      <c r="B904" s="1" t="s">
        <v>3899</v>
      </c>
      <c r="C904" s="1" t="s">
        <v>45</v>
      </c>
      <c r="D904" s="1" t="s">
        <v>147</v>
      </c>
      <c r="E904" s="1" t="s">
        <v>2000</v>
      </c>
      <c r="F904" s="1" t="s">
        <v>3900</v>
      </c>
      <c r="G904" s="1" t="s">
        <v>12490</v>
      </c>
      <c r="H904" s="1" t="s">
        <v>3901</v>
      </c>
      <c r="I904" s="2">
        <v>199.27</v>
      </c>
      <c r="J904" s="2">
        <v>6.82</v>
      </c>
      <c r="K904" s="2">
        <v>8.6</v>
      </c>
      <c r="L904" s="2">
        <v>9.2899999999999991</v>
      </c>
      <c r="M904" s="4">
        <f t="shared" si="84"/>
        <v>23.170930232558142</v>
      </c>
      <c r="N904" s="4">
        <f t="shared" si="85"/>
        <v>21.449946178686762</v>
      </c>
      <c r="O904" s="5">
        <f t="shared" si="86"/>
        <v>0.26099706744868034</v>
      </c>
      <c r="P904" s="5">
        <f t="shared" si="87"/>
        <v>8.0232558139534893E-2</v>
      </c>
      <c r="Q904" s="4">
        <f t="shared" si="88"/>
        <v>0.88778507969689069</v>
      </c>
      <c r="R904" s="4">
        <f t="shared" si="89"/>
        <v>2.6734715527058857</v>
      </c>
      <c r="S904" s="4">
        <v>-1.31</v>
      </c>
      <c r="T904" s="2">
        <v>0.75</v>
      </c>
      <c r="U904" s="2">
        <v>204.79</v>
      </c>
      <c r="V904" s="2">
        <v>132.53</v>
      </c>
      <c r="W904" s="2">
        <v>-0.89</v>
      </c>
      <c r="X904" s="2">
        <v>-0.8</v>
      </c>
      <c r="Y904" s="2">
        <v>-2.41</v>
      </c>
      <c r="Z904" s="2">
        <v>-2.48</v>
      </c>
    </row>
    <row r="905" spans="1:26" x14ac:dyDescent="0.25">
      <c r="A905" s="1" t="s">
        <v>3902</v>
      </c>
      <c r="B905" s="1" t="s">
        <v>3903</v>
      </c>
      <c r="C905" s="1" t="s">
        <v>31</v>
      </c>
      <c r="D905" s="1" t="s">
        <v>204</v>
      </c>
      <c r="E905" s="1" t="s">
        <v>534</v>
      </c>
      <c r="F905" s="1" t="s">
        <v>3904</v>
      </c>
      <c r="G905" s="1" t="s">
        <v>12480</v>
      </c>
      <c r="H905" s="1" t="s">
        <v>3905</v>
      </c>
      <c r="I905" s="2">
        <v>49.23</v>
      </c>
      <c r="J905" s="2">
        <v>1.87</v>
      </c>
      <c r="K905" s="2">
        <v>2.27</v>
      </c>
      <c r="L905" s="2">
        <v>2.67</v>
      </c>
      <c r="M905" s="4">
        <f t="shared" si="84"/>
        <v>21.687224669603523</v>
      </c>
      <c r="N905" s="4">
        <f t="shared" si="85"/>
        <v>18.438202247191011</v>
      </c>
      <c r="O905" s="5">
        <f t="shared" si="86"/>
        <v>0.21390374331550799</v>
      </c>
      <c r="P905" s="5">
        <f t="shared" si="87"/>
        <v>0.17621145374449343</v>
      </c>
      <c r="Q905" s="4">
        <f t="shared" si="88"/>
        <v>1.0138777533039649</v>
      </c>
      <c r="R905" s="4">
        <f t="shared" si="89"/>
        <v>1.0463679775280899</v>
      </c>
      <c r="S905" s="4">
        <v>10.85</v>
      </c>
      <c r="T905" s="2">
        <v>1.05</v>
      </c>
      <c r="U905" s="2">
        <v>64.09</v>
      </c>
      <c r="V905" s="2">
        <v>37.42</v>
      </c>
      <c r="W905" s="2">
        <v>-5.94</v>
      </c>
      <c r="X905" s="2">
        <v>-14.59</v>
      </c>
      <c r="Y905" s="2">
        <v>-14.28</v>
      </c>
      <c r="Z905" s="2" t="s">
        <v>12635</v>
      </c>
    </row>
    <row r="906" spans="1:26" x14ac:dyDescent="0.25">
      <c r="A906" s="1" t="s">
        <v>3906</v>
      </c>
      <c r="B906" s="1" t="s">
        <v>3907</v>
      </c>
      <c r="C906" s="1" t="s">
        <v>16</v>
      </c>
      <c r="D906" s="1" t="s">
        <v>67</v>
      </c>
      <c r="E906" s="1" t="s">
        <v>1037</v>
      </c>
      <c r="F906" s="1" t="s">
        <v>3908</v>
      </c>
      <c r="G906" s="1" t="s">
        <v>12502</v>
      </c>
      <c r="H906" s="1" t="s">
        <v>3909</v>
      </c>
      <c r="I906" s="2">
        <v>137.57</v>
      </c>
      <c r="J906" s="2">
        <v>8.9</v>
      </c>
      <c r="K906" s="2">
        <v>10.68</v>
      </c>
      <c r="L906" s="2">
        <v>12.31</v>
      </c>
      <c r="M906" s="4">
        <f t="shared" si="84"/>
        <v>12.881086142322097</v>
      </c>
      <c r="N906" s="4">
        <f t="shared" si="85"/>
        <v>11.175467099918764</v>
      </c>
      <c r="O906" s="5">
        <f t="shared" si="86"/>
        <v>0.19999999999999996</v>
      </c>
      <c r="P906" s="5">
        <f t="shared" si="87"/>
        <v>0.15262172284644193</v>
      </c>
      <c r="Q906" s="4">
        <f t="shared" si="88"/>
        <v>0.64405430711610501</v>
      </c>
      <c r="R906" s="4">
        <f t="shared" si="89"/>
        <v>0.73223305906216196</v>
      </c>
      <c r="S906" s="4">
        <v>21.95</v>
      </c>
      <c r="T906" s="2">
        <v>1.34</v>
      </c>
      <c r="U906" s="2">
        <v>184.02</v>
      </c>
      <c r="V906" s="2">
        <v>102.29</v>
      </c>
      <c r="W906" s="2">
        <v>-3.4</v>
      </c>
      <c r="X906" s="2">
        <v>-19.649999999999999</v>
      </c>
      <c r="Y906" s="2">
        <v>-4.8600000000000003</v>
      </c>
      <c r="Z906" s="2">
        <v>-4.1500000000000004</v>
      </c>
    </row>
    <row r="907" spans="1:26" x14ac:dyDescent="0.25">
      <c r="A907" s="1" t="s">
        <v>3910</v>
      </c>
      <c r="B907" s="1" t="s">
        <v>3911</v>
      </c>
      <c r="C907" s="1" t="s">
        <v>45</v>
      </c>
      <c r="D907" s="1" t="s">
        <v>67</v>
      </c>
      <c r="E907" s="1" t="s">
        <v>833</v>
      </c>
      <c r="F907" s="1" t="s">
        <v>3912</v>
      </c>
      <c r="G907" s="1" t="s">
        <v>12480</v>
      </c>
      <c r="H907" s="1" t="s">
        <v>12649</v>
      </c>
      <c r="I907" s="2">
        <v>92.91</v>
      </c>
      <c r="J907" s="2">
        <v>5.52</v>
      </c>
      <c r="K907" s="2">
        <v>5.99</v>
      </c>
      <c r="L907" s="2">
        <v>6.69</v>
      </c>
      <c r="M907" s="4">
        <f t="shared" si="84"/>
        <v>15.510851419031718</v>
      </c>
      <c r="N907" s="4">
        <f t="shared" si="85"/>
        <v>13.887892376681613</v>
      </c>
      <c r="O907" s="5">
        <f t="shared" si="86"/>
        <v>8.5144927536231929E-2</v>
      </c>
      <c r="P907" s="5">
        <f t="shared" si="87"/>
        <v>0.11686143572621033</v>
      </c>
      <c r="Q907" s="4">
        <f t="shared" si="88"/>
        <v>1.8216999964479796</v>
      </c>
      <c r="R907" s="4">
        <f t="shared" si="89"/>
        <v>1.1884067905188982</v>
      </c>
      <c r="S907" s="4">
        <v>7.95</v>
      </c>
      <c r="T907" s="2">
        <v>1.38</v>
      </c>
      <c r="U907" s="2">
        <v>100.77</v>
      </c>
      <c r="V907" s="2">
        <v>59.52</v>
      </c>
      <c r="W907" s="2">
        <v>4.6500000000000004</v>
      </c>
      <c r="X907" s="2">
        <v>6.35</v>
      </c>
      <c r="Y907" s="2">
        <v>12.49</v>
      </c>
      <c r="Z907" s="2">
        <v>6.67</v>
      </c>
    </row>
    <row r="908" spans="1:26" x14ac:dyDescent="0.25">
      <c r="A908" s="1" t="s">
        <v>3913</v>
      </c>
      <c r="B908" s="1" t="s">
        <v>3914</v>
      </c>
      <c r="C908" s="1" t="s">
        <v>45</v>
      </c>
      <c r="D908" s="1" t="s">
        <v>38</v>
      </c>
      <c r="E908" s="1" t="s">
        <v>1244</v>
      </c>
      <c r="F908" s="1" t="s">
        <v>3915</v>
      </c>
      <c r="G908" s="1" t="s">
        <v>12480</v>
      </c>
      <c r="H908" s="1" t="s">
        <v>3916</v>
      </c>
      <c r="I908" s="2">
        <v>18.98</v>
      </c>
      <c r="J908" s="2">
        <v>1.56</v>
      </c>
      <c r="K908" s="2">
        <v>1.94</v>
      </c>
      <c r="L908" s="2">
        <v>2.17</v>
      </c>
      <c r="M908" s="4">
        <f t="shared" si="84"/>
        <v>9.783505154639176</v>
      </c>
      <c r="N908" s="4">
        <f t="shared" si="85"/>
        <v>8.7465437788018434</v>
      </c>
      <c r="O908" s="5">
        <f t="shared" si="86"/>
        <v>0.24358974358974361</v>
      </c>
      <c r="P908" s="5">
        <f t="shared" si="87"/>
        <v>0.11855670103092786</v>
      </c>
      <c r="Q908" s="4">
        <f t="shared" si="88"/>
        <v>0.40163863266413458</v>
      </c>
      <c r="R908" s="4">
        <f t="shared" si="89"/>
        <v>0.73775195351632927</v>
      </c>
      <c r="S908" s="4">
        <v>22.11</v>
      </c>
      <c r="T908" s="2">
        <v>0.81</v>
      </c>
      <c r="U908" s="2">
        <v>21.97</v>
      </c>
      <c r="V908" s="2">
        <v>14.18</v>
      </c>
      <c r="W908" s="2">
        <v>-3.75</v>
      </c>
      <c r="X908" s="2">
        <v>-13.61</v>
      </c>
      <c r="Y908" s="2">
        <v>-2.57</v>
      </c>
      <c r="Z908" s="2">
        <v>2.98</v>
      </c>
    </row>
    <row r="909" spans="1:26" x14ac:dyDescent="0.25">
      <c r="A909" s="1" t="s">
        <v>3917</v>
      </c>
      <c r="B909" s="1" t="s">
        <v>3918</v>
      </c>
      <c r="C909" s="1" t="s">
        <v>31</v>
      </c>
      <c r="D909" s="1" t="s">
        <v>38</v>
      </c>
      <c r="E909" s="1" t="s">
        <v>189</v>
      </c>
      <c r="F909" s="1" t="s">
        <v>3919</v>
      </c>
      <c r="G909" s="1" t="s">
        <v>12480</v>
      </c>
      <c r="H909" s="1" t="s">
        <v>3920</v>
      </c>
      <c r="I909" s="2">
        <v>55.48</v>
      </c>
      <c r="J909" s="2">
        <v>4.79</v>
      </c>
      <c r="K909" s="2">
        <v>5.8</v>
      </c>
      <c r="L909" s="2">
        <v>6.51</v>
      </c>
      <c r="M909" s="4">
        <f t="shared" si="84"/>
        <v>9.5655172413793093</v>
      </c>
      <c r="N909" s="4">
        <f t="shared" si="85"/>
        <v>8.5222734254992325</v>
      </c>
      <c r="O909" s="5">
        <f t="shared" si="86"/>
        <v>0.21085594989561574</v>
      </c>
      <c r="P909" s="5">
        <f t="shared" si="87"/>
        <v>0.12241379310344835</v>
      </c>
      <c r="Q909" s="4">
        <f t="shared" si="88"/>
        <v>0.4536517582792764</v>
      </c>
      <c r="R909" s="4">
        <f t="shared" si="89"/>
        <v>0.69618571644923255</v>
      </c>
      <c r="S909" s="4">
        <v>16.37</v>
      </c>
      <c r="T909" s="2">
        <v>0.86</v>
      </c>
      <c r="U909" s="2">
        <v>66.33</v>
      </c>
      <c r="V909" s="2">
        <v>30.46</v>
      </c>
      <c r="W909" s="2">
        <v>-3.93</v>
      </c>
      <c r="X909" s="2">
        <v>-15.12</v>
      </c>
      <c r="Y909" s="2">
        <v>-2.68</v>
      </c>
      <c r="Z909" s="2">
        <v>-7.9</v>
      </c>
    </row>
    <row r="910" spans="1:26" x14ac:dyDescent="0.25">
      <c r="A910" s="1" t="s">
        <v>3922</v>
      </c>
      <c r="B910" s="1" t="s">
        <v>3923</v>
      </c>
      <c r="C910" s="1" t="s">
        <v>16</v>
      </c>
      <c r="D910" s="1" t="s">
        <v>94</v>
      </c>
      <c r="E910" s="1" t="s">
        <v>1948</v>
      </c>
      <c r="F910" s="1" t="s">
        <v>3924</v>
      </c>
      <c r="G910" s="1" t="s">
        <v>12480</v>
      </c>
      <c r="H910" s="1" t="s">
        <v>3925</v>
      </c>
      <c r="I910" s="2">
        <v>12.84</v>
      </c>
      <c r="J910" s="2">
        <v>1.66</v>
      </c>
      <c r="K910" s="2">
        <v>1.02</v>
      </c>
      <c r="L910" s="2">
        <v>1.41</v>
      </c>
      <c r="M910" s="4">
        <f t="shared" si="84"/>
        <v>12.588235294117647</v>
      </c>
      <c r="N910" s="4">
        <f t="shared" si="85"/>
        <v>9.1063829787234045</v>
      </c>
      <c r="O910" s="5">
        <f t="shared" si="86"/>
        <v>-0.3855421686746987</v>
      </c>
      <c r="P910" s="5">
        <f t="shared" si="87"/>
        <v>0.38235294117647056</v>
      </c>
      <c r="Q910" s="4">
        <f t="shared" si="88"/>
        <v>-0.32650735294117655</v>
      </c>
      <c r="R910" s="4">
        <f t="shared" si="89"/>
        <v>0.2381669394435352</v>
      </c>
      <c r="S910" s="4">
        <v>-27.01</v>
      </c>
      <c r="T910" s="2">
        <v>0.64</v>
      </c>
      <c r="U910" s="2">
        <v>13.08</v>
      </c>
      <c r="V910" s="2">
        <v>7.88</v>
      </c>
      <c r="W910" s="2">
        <v>5.25</v>
      </c>
      <c r="X910" s="2">
        <v>4.3899999999999997</v>
      </c>
      <c r="Y910" s="2">
        <v>33.33</v>
      </c>
      <c r="Z910" s="2">
        <v>28.14</v>
      </c>
    </row>
    <row r="911" spans="1:26" x14ac:dyDescent="0.25">
      <c r="A911" s="1" t="s">
        <v>3926</v>
      </c>
      <c r="B911" s="1" t="s">
        <v>3927</v>
      </c>
      <c r="C911" s="1" t="s">
        <v>16</v>
      </c>
      <c r="D911" s="1" t="s">
        <v>61</v>
      </c>
      <c r="E911" s="1" t="s">
        <v>170</v>
      </c>
      <c r="F911" s="1" t="s">
        <v>3928</v>
      </c>
      <c r="G911" s="1" t="s">
        <v>12480</v>
      </c>
      <c r="H911" s="1" t="s">
        <v>3125</v>
      </c>
      <c r="I911" s="2">
        <v>116.17</v>
      </c>
      <c r="J911" s="2">
        <v>3.95</v>
      </c>
      <c r="K911" s="2">
        <v>4.16</v>
      </c>
      <c r="L911" s="2">
        <v>4.45</v>
      </c>
      <c r="M911" s="4">
        <f t="shared" si="84"/>
        <v>27.92548076923077</v>
      </c>
      <c r="N911" s="4">
        <f t="shared" si="85"/>
        <v>26.105617977528091</v>
      </c>
      <c r="O911" s="5">
        <f t="shared" si="86"/>
        <v>5.3164556962025378E-2</v>
      </c>
      <c r="P911" s="5">
        <f t="shared" si="87"/>
        <v>6.9711538461538547E-2</v>
      </c>
      <c r="Q911" s="4">
        <f t="shared" si="88"/>
        <v>5.2526499542124485</v>
      </c>
      <c r="R911" s="4">
        <f t="shared" si="89"/>
        <v>3.7448058891902321</v>
      </c>
      <c r="S911" s="4">
        <v>31.47</v>
      </c>
      <c r="T911" s="2">
        <v>3.27</v>
      </c>
      <c r="U911" s="2">
        <v>130.1</v>
      </c>
      <c r="V911" s="2">
        <v>33.6</v>
      </c>
      <c r="W911" s="2">
        <v>-2.62</v>
      </c>
      <c r="X911" s="2">
        <v>14.34</v>
      </c>
      <c r="Y911" s="2">
        <v>29.7</v>
      </c>
      <c r="Z911" s="2">
        <v>35.78</v>
      </c>
    </row>
    <row r="912" spans="1:26" x14ac:dyDescent="0.25">
      <c r="A912" s="1" t="s">
        <v>3929</v>
      </c>
      <c r="B912" s="1" t="s">
        <v>3930</v>
      </c>
      <c r="C912" s="1" t="s">
        <v>1118</v>
      </c>
      <c r="D912" s="1" t="s">
        <v>38</v>
      </c>
      <c r="E912" s="1" t="s">
        <v>259</v>
      </c>
      <c r="F912" s="1" t="s">
        <v>3931</v>
      </c>
      <c r="G912" s="1" t="s">
        <v>12480</v>
      </c>
      <c r="H912" s="1" t="s">
        <v>12650</v>
      </c>
      <c r="I912" s="2">
        <v>39.729999999999997</v>
      </c>
      <c r="J912" s="2"/>
      <c r="K912" s="2"/>
      <c r="L912" s="2"/>
      <c r="M912" s="4" t="e">
        <f t="shared" si="84"/>
        <v>#DIV/0!</v>
      </c>
      <c r="N912" s="4" t="e">
        <f t="shared" si="85"/>
        <v>#DIV/0!</v>
      </c>
      <c r="O912" s="5" t="e">
        <f t="shared" si="86"/>
        <v>#DIV/0!</v>
      </c>
      <c r="P912" s="5" t="e">
        <f t="shared" si="87"/>
        <v>#DIV/0!</v>
      </c>
      <c r="Q912" s="4" t="e">
        <f t="shared" si="88"/>
        <v>#DIV/0!</v>
      </c>
      <c r="R912" s="4" t="e">
        <f t="shared" si="89"/>
        <v>#DIV/0!</v>
      </c>
      <c r="S912" s="4"/>
      <c r="T912" s="2">
        <v>0.7</v>
      </c>
      <c r="U912" s="2">
        <v>47.37</v>
      </c>
      <c r="V912" s="2">
        <v>26.5</v>
      </c>
      <c r="W912" s="2">
        <v>-4.4000000000000004</v>
      </c>
      <c r="X912" s="2">
        <v>-13.95</v>
      </c>
      <c r="Y912" s="2">
        <v>1.88</v>
      </c>
      <c r="Z912" s="2">
        <v>-1.66</v>
      </c>
    </row>
    <row r="913" spans="1:26" x14ac:dyDescent="0.25">
      <c r="A913" s="1" t="s">
        <v>3933</v>
      </c>
      <c r="B913" s="1" t="s">
        <v>3934</v>
      </c>
      <c r="C913" s="1" t="s">
        <v>16</v>
      </c>
      <c r="D913" s="1" t="s">
        <v>88</v>
      </c>
      <c r="E913" s="1" t="s">
        <v>1113</v>
      </c>
      <c r="F913" s="1" t="s">
        <v>3935</v>
      </c>
      <c r="G913" s="1" t="s">
        <v>12480</v>
      </c>
      <c r="H913" s="1" t="s">
        <v>3936</v>
      </c>
      <c r="I913" s="2">
        <v>281.86</v>
      </c>
      <c r="J913" s="2">
        <v>7.53</v>
      </c>
      <c r="K913" s="2">
        <v>8.5299999999999994</v>
      </c>
      <c r="L913" s="2">
        <v>9.73</v>
      </c>
      <c r="M913" s="4">
        <f t="shared" si="84"/>
        <v>33.043376318874564</v>
      </c>
      <c r="N913" s="4">
        <f t="shared" si="85"/>
        <v>28.968139773895171</v>
      </c>
      <c r="O913" s="5">
        <f t="shared" si="86"/>
        <v>0.13280212483399723</v>
      </c>
      <c r="P913" s="5">
        <f t="shared" si="87"/>
        <v>0.14067995310668246</v>
      </c>
      <c r="Q913" s="4">
        <f t="shared" si="88"/>
        <v>2.4881662368112569</v>
      </c>
      <c r="R913" s="4">
        <f t="shared" si="89"/>
        <v>2.0591519355943793</v>
      </c>
      <c r="S913" s="4">
        <v>2.16</v>
      </c>
      <c r="T913" s="2">
        <v>0.97</v>
      </c>
      <c r="U913" s="2">
        <v>308.35000000000002</v>
      </c>
      <c r="V913" s="2">
        <v>225.65</v>
      </c>
      <c r="W913" s="2">
        <v>-7.12</v>
      </c>
      <c r="X913" s="2">
        <v>-2.19</v>
      </c>
      <c r="Y913" s="2">
        <v>7.95</v>
      </c>
      <c r="Z913" s="2">
        <v>7.37</v>
      </c>
    </row>
    <row r="914" spans="1:26" x14ac:dyDescent="0.25">
      <c r="A914" s="1" t="s">
        <v>3937</v>
      </c>
      <c r="B914" s="1" t="s">
        <v>3938</v>
      </c>
      <c r="C914" s="1" t="s">
        <v>45</v>
      </c>
      <c r="D914" s="1" t="s">
        <v>38</v>
      </c>
      <c r="E914" s="1" t="s">
        <v>653</v>
      </c>
      <c r="F914" s="1" t="s">
        <v>3939</v>
      </c>
      <c r="G914" s="1" t="s">
        <v>12480</v>
      </c>
      <c r="H914" s="1" t="s">
        <v>878</v>
      </c>
      <c r="I914" s="2">
        <v>68.19</v>
      </c>
      <c r="J914" s="2">
        <v>10.91</v>
      </c>
      <c r="K914" s="2">
        <v>11.97</v>
      </c>
      <c r="L914" s="2">
        <v>12.85</v>
      </c>
      <c r="M914" s="4">
        <f t="shared" si="84"/>
        <v>5.6967418546365911</v>
      </c>
      <c r="N914" s="4">
        <f t="shared" si="85"/>
        <v>5.3066147859922177</v>
      </c>
      <c r="O914" s="5">
        <f t="shared" si="86"/>
        <v>9.7158570119156851E-2</v>
      </c>
      <c r="P914" s="5">
        <f t="shared" si="87"/>
        <v>7.3517126148705092E-2</v>
      </c>
      <c r="Q914" s="4">
        <f t="shared" si="88"/>
        <v>0.58633446824608626</v>
      </c>
      <c r="R914" s="4">
        <f t="shared" si="89"/>
        <v>0.72182021577644151</v>
      </c>
      <c r="S914" s="4">
        <v>34.369999999999997</v>
      </c>
      <c r="T914" s="2">
        <v>1.35</v>
      </c>
      <c r="U914" s="2">
        <v>73.75</v>
      </c>
      <c r="V914" s="2">
        <v>27.13</v>
      </c>
      <c r="W914" s="2">
        <v>-3.85</v>
      </c>
      <c r="X914" s="2">
        <v>16.96</v>
      </c>
      <c r="Y914" s="2">
        <v>26.96</v>
      </c>
      <c r="Z914" s="2">
        <v>25.47</v>
      </c>
    </row>
    <row r="915" spans="1:26" x14ac:dyDescent="0.25">
      <c r="A915" s="1" t="s">
        <v>3940</v>
      </c>
      <c r="B915" s="1" t="s">
        <v>3941</v>
      </c>
      <c r="C915" s="1" t="s">
        <v>16</v>
      </c>
      <c r="D915" s="1" t="s">
        <v>88</v>
      </c>
      <c r="E915" s="1" t="s">
        <v>1113</v>
      </c>
      <c r="F915" s="1" t="s">
        <v>3942</v>
      </c>
      <c r="G915" s="1" t="s">
        <v>12480</v>
      </c>
      <c r="H915" s="1" t="s">
        <v>3943</v>
      </c>
      <c r="I915" s="2">
        <v>11.23</v>
      </c>
      <c r="J915" s="2">
        <v>0.4</v>
      </c>
      <c r="K915" s="2">
        <v>0.57999999999999996</v>
      </c>
      <c r="L915" s="2">
        <v>0.71</v>
      </c>
      <c r="M915" s="4">
        <f t="shared" si="84"/>
        <v>19.362068965517242</v>
      </c>
      <c r="N915" s="4">
        <f t="shared" si="85"/>
        <v>15.816901408450706</v>
      </c>
      <c r="O915" s="5">
        <f t="shared" si="86"/>
        <v>0.44999999999999973</v>
      </c>
      <c r="P915" s="5">
        <f t="shared" si="87"/>
        <v>0.22413793103448287</v>
      </c>
      <c r="Q915" s="4">
        <f t="shared" si="88"/>
        <v>0.43026819923371679</v>
      </c>
      <c r="R915" s="4">
        <f t="shared" si="89"/>
        <v>0.70567713976164648</v>
      </c>
      <c r="S915" s="4">
        <v>2.7</v>
      </c>
      <c r="T915" s="2">
        <v>1.17</v>
      </c>
      <c r="U915" s="2">
        <v>11.66</v>
      </c>
      <c r="V915" s="2">
        <v>5.33</v>
      </c>
      <c r="W915" s="2">
        <v>-0.8</v>
      </c>
      <c r="X915" s="2">
        <v>0.72</v>
      </c>
      <c r="Y915" s="2">
        <v>20.62</v>
      </c>
      <c r="Z915" s="2">
        <v>15.42</v>
      </c>
    </row>
    <row r="916" spans="1:26" x14ac:dyDescent="0.25">
      <c r="A916" s="1" t="s">
        <v>3944</v>
      </c>
      <c r="B916" s="1" t="s">
        <v>3945</v>
      </c>
      <c r="C916" s="1" t="s">
        <v>16</v>
      </c>
      <c r="D916" s="1" t="s">
        <v>354</v>
      </c>
      <c r="E916" s="1" t="s">
        <v>355</v>
      </c>
      <c r="F916" s="1" t="s">
        <v>3946</v>
      </c>
      <c r="G916" s="1" t="s">
        <v>12480</v>
      </c>
      <c r="H916" s="1" t="s">
        <v>3947</v>
      </c>
      <c r="I916" s="2">
        <v>111.8</v>
      </c>
      <c r="J916" s="2">
        <v>5.7</v>
      </c>
      <c r="K916" s="2">
        <v>6.08</v>
      </c>
      <c r="L916" s="2">
        <v>6.34</v>
      </c>
      <c r="M916" s="4">
        <f t="shared" si="84"/>
        <v>18.388157894736842</v>
      </c>
      <c r="N916" s="4">
        <f t="shared" si="85"/>
        <v>17.634069400630914</v>
      </c>
      <c r="O916" s="5">
        <f t="shared" si="86"/>
        <v>6.6666666666666652E-2</v>
      </c>
      <c r="P916" s="5">
        <f t="shared" si="87"/>
        <v>4.2763157894736725E-2</v>
      </c>
      <c r="Q916" s="4">
        <f t="shared" si="88"/>
        <v>2.758223684210527</v>
      </c>
      <c r="R916" s="4">
        <f t="shared" si="89"/>
        <v>4.1236593059937015</v>
      </c>
      <c r="S916" s="4">
        <v>10.89</v>
      </c>
      <c r="T916" s="2">
        <v>0.38</v>
      </c>
      <c r="U916" s="2">
        <v>113.92</v>
      </c>
      <c r="V916" s="2">
        <v>95.41</v>
      </c>
      <c r="W916" s="2">
        <v>-0.23</v>
      </c>
      <c r="X916" s="2">
        <v>4.8</v>
      </c>
      <c r="Y916" s="2">
        <v>12.49</v>
      </c>
      <c r="Z916" s="2">
        <v>12.56</v>
      </c>
    </row>
    <row r="917" spans="1:26" x14ac:dyDescent="0.25">
      <c r="A917" s="1" t="s">
        <v>3948</v>
      </c>
      <c r="B917" s="1" t="s">
        <v>3949</v>
      </c>
      <c r="C917" s="1" t="s">
        <v>16</v>
      </c>
      <c r="D917" s="1" t="s">
        <v>354</v>
      </c>
      <c r="E917" s="1" t="s">
        <v>355</v>
      </c>
      <c r="F917" s="1" t="s">
        <v>3950</v>
      </c>
      <c r="G917" s="1" t="s">
        <v>12480</v>
      </c>
      <c r="H917" s="1" t="s">
        <v>3951</v>
      </c>
      <c r="I917" s="2">
        <v>25.65</v>
      </c>
      <c r="J917" s="2">
        <v>6.83</v>
      </c>
      <c r="K917" s="2">
        <v>0.03</v>
      </c>
      <c r="L917" s="2"/>
      <c r="M917" s="4">
        <f t="shared" si="84"/>
        <v>855</v>
      </c>
      <c r="N917" s="4" t="e">
        <f t="shared" si="85"/>
        <v>#DIV/0!</v>
      </c>
      <c r="O917" s="5">
        <f t="shared" si="86"/>
        <v>-0.99560761346998539</v>
      </c>
      <c r="P917" s="5">
        <f t="shared" si="87"/>
        <v>-1</v>
      </c>
      <c r="Q917" s="4">
        <f t="shared" si="88"/>
        <v>-8.5877205882352943</v>
      </c>
      <c r="R917" s="4" t="e">
        <f t="shared" si="89"/>
        <v>#DIV/0!</v>
      </c>
      <c r="S917" s="4">
        <v>-16.100000000000001</v>
      </c>
      <c r="T917" s="2">
        <v>1.77</v>
      </c>
      <c r="U917" s="2">
        <v>36.94</v>
      </c>
      <c r="V917" s="2">
        <v>15.01</v>
      </c>
      <c r="W917" s="2">
        <v>-6.25</v>
      </c>
      <c r="X917" s="2">
        <v>-13.11</v>
      </c>
      <c r="Y917" s="2">
        <v>-15.87</v>
      </c>
      <c r="Z917" s="2">
        <v>-14.39</v>
      </c>
    </row>
    <row r="918" spans="1:26" x14ac:dyDescent="0.25">
      <c r="A918" s="1" t="s">
        <v>3952</v>
      </c>
      <c r="B918" s="1" t="s">
        <v>3953</v>
      </c>
      <c r="C918" s="1" t="s">
        <v>31</v>
      </c>
      <c r="D918" s="1" t="s">
        <v>140</v>
      </c>
      <c r="E918" s="1" t="s">
        <v>284</v>
      </c>
      <c r="F918" s="1" t="s">
        <v>3954</v>
      </c>
      <c r="G918" s="1" t="s">
        <v>12480</v>
      </c>
      <c r="H918" s="1" t="s">
        <v>3955</v>
      </c>
      <c r="I918" s="2">
        <v>10.8</v>
      </c>
      <c r="J918" s="2">
        <v>1.46</v>
      </c>
      <c r="K918" s="2">
        <v>1.38</v>
      </c>
      <c r="L918" s="2">
        <v>1.66</v>
      </c>
      <c r="M918" s="4">
        <f t="shared" si="84"/>
        <v>7.8260869565217401</v>
      </c>
      <c r="N918" s="4">
        <f t="shared" si="85"/>
        <v>6.5060240963855431</v>
      </c>
      <c r="O918" s="5">
        <f t="shared" si="86"/>
        <v>-5.4794520547945202E-2</v>
      </c>
      <c r="P918" s="5">
        <f t="shared" si="87"/>
        <v>0.20289855072463769</v>
      </c>
      <c r="Q918" s="4">
        <f t="shared" si="88"/>
        <v>-1.4282608695652177</v>
      </c>
      <c r="R918" s="4">
        <f t="shared" si="89"/>
        <v>0.3206540447504303</v>
      </c>
      <c r="S918" s="4">
        <v>8.36</v>
      </c>
      <c r="T918" s="2">
        <v>0.52</v>
      </c>
      <c r="U918" s="2">
        <v>18.850000000000001</v>
      </c>
      <c r="V918" s="2" t="s">
        <v>12479</v>
      </c>
      <c r="W918" s="2">
        <v>-4.8499999999999996</v>
      </c>
      <c r="X918" s="2">
        <v>4.3499999999999996</v>
      </c>
      <c r="Y918" s="2">
        <v>1.41</v>
      </c>
      <c r="Z918" s="2">
        <v>-3.14</v>
      </c>
    </row>
    <row r="919" spans="1:26" x14ac:dyDescent="0.25">
      <c r="A919" s="1" t="s">
        <v>3956</v>
      </c>
      <c r="B919" s="1" t="s">
        <v>3957</v>
      </c>
      <c r="C919" s="1" t="s">
        <v>16</v>
      </c>
      <c r="D919" s="1" t="s">
        <v>147</v>
      </c>
      <c r="E919" s="1" t="s">
        <v>435</v>
      </c>
      <c r="F919" s="1" t="s">
        <v>3958</v>
      </c>
      <c r="G919" s="1" t="s">
        <v>12508</v>
      </c>
      <c r="H919" s="1" t="s">
        <v>3959</v>
      </c>
      <c r="I919" s="2">
        <v>53.17</v>
      </c>
      <c r="J919" s="2">
        <v>3.17</v>
      </c>
      <c r="K919" s="2">
        <v>3.73</v>
      </c>
      <c r="L919" s="2">
        <v>4.3600000000000003</v>
      </c>
      <c r="M919" s="4">
        <f t="shared" si="84"/>
        <v>14.254691689008043</v>
      </c>
      <c r="N919" s="4">
        <f t="shared" si="85"/>
        <v>12.194954128440367</v>
      </c>
      <c r="O919" s="5">
        <f t="shared" si="86"/>
        <v>0.17665615141955837</v>
      </c>
      <c r="P919" s="5">
        <f t="shared" si="87"/>
        <v>0.16890080428954435</v>
      </c>
      <c r="Q919" s="4">
        <f t="shared" si="88"/>
        <v>0.80691736882420528</v>
      </c>
      <c r="R919" s="4">
        <f t="shared" si="89"/>
        <v>0.72201871268384987</v>
      </c>
      <c r="S919" s="4">
        <v>13.6</v>
      </c>
      <c r="T919" s="2">
        <v>0.28000000000000003</v>
      </c>
      <c r="U919" s="2">
        <v>63.51</v>
      </c>
      <c r="V919" s="2">
        <v>41.22</v>
      </c>
      <c r="W919" s="2">
        <v>-2.69</v>
      </c>
      <c r="X919" s="2">
        <v>-11.47</v>
      </c>
      <c r="Y919" s="2">
        <v>-3.54</v>
      </c>
      <c r="Z919" s="2">
        <v>-3.38</v>
      </c>
    </row>
    <row r="920" spans="1:26" x14ac:dyDescent="0.25">
      <c r="A920" s="1" t="s">
        <v>3960</v>
      </c>
      <c r="B920" s="1" t="s">
        <v>3961</v>
      </c>
      <c r="C920" s="1" t="s">
        <v>16</v>
      </c>
      <c r="D920" s="1" t="s">
        <v>94</v>
      </c>
      <c r="E920" s="1" t="s">
        <v>95</v>
      </c>
      <c r="F920" s="1" t="s">
        <v>3962</v>
      </c>
      <c r="G920" s="1" t="s">
        <v>12480</v>
      </c>
      <c r="H920" s="1" t="s">
        <v>3963</v>
      </c>
      <c r="I920" s="2">
        <v>37.15</v>
      </c>
      <c r="J920" s="2">
        <v>1.28</v>
      </c>
      <c r="K920" s="2">
        <v>1.75</v>
      </c>
      <c r="L920" s="2">
        <v>2.25</v>
      </c>
      <c r="M920" s="4">
        <f t="shared" si="84"/>
        <v>21.228571428571428</v>
      </c>
      <c r="N920" s="4">
        <f t="shared" si="85"/>
        <v>16.511111111111109</v>
      </c>
      <c r="O920" s="5">
        <f t="shared" si="86"/>
        <v>0.3671875</v>
      </c>
      <c r="P920" s="5">
        <f t="shared" si="87"/>
        <v>0.28571428571428581</v>
      </c>
      <c r="Q920" s="4">
        <f t="shared" si="88"/>
        <v>0.57813981762917932</v>
      </c>
      <c r="R920" s="4">
        <f t="shared" si="89"/>
        <v>0.57788888888888867</v>
      </c>
      <c r="S920" s="4">
        <v>44.26</v>
      </c>
      <c r="T920" s="2">
        <v>1.34</v>
      </c>
      <c r="U920" s="2">
        <v>42.89</v>
      </c>
      <c r="V920" s="2">
        <v>23.01</v>
      </c>
      <c r="W920" s="2">
        <v>-11.53</v>
      </c>
      <c r="X920" s="2">
        <v>-3.98</v>
      </c>
      <c r="Y920" s="2">
        <v>38.57</v>
      </c>
      <c r="Z920" s="2">
        <v>32.44</v>
      </c>
    </row>
    <row r="921" spans="1:26" x14ac:dyDescent="0.25">
      <c r="A921" s="1" t="s">
        <v>3964</v>
      </c>
      <c r="B921" s="1" t="s">
        <v>3965</v>
      </c>
      <c r="C921" s="1" t="s">
        <v>45</v>
      </c>
      <c r="D921" s="1" t="s">
        <v>140</v>
      </c>
      <c r="E921" s="1" t="s">
        <v>1555</v>
      </c>
      <c r="F921" s="1" t="s">
        <v>3966</v>
      </c>
      <c r="G921" s="1" t="s">
        <v>12480</v>
      </c>
      <c r="H921" s="1" t="s">
        <v>3967</v>
      </c>
      <c r="I921" s="2">
        <v>72.489999999999995</v>
      </c>
      <c r="J921" s="2">
        <v>9.61</v>
      </c>
      <c r="K921" s="2">
        <v>10.76</v>
      </c>
      <c r="L921" s="2">
        <v>12.06</v>
      </c>
      <c r="M921" s="4">
        <f t="shared" si="84"/>
        <v>6.7369888475836426</v>
      </c>
      <c r="N921" s="4">
        <f t="shared" si="85"/>
        <v>6.0107794361525695</v>
      </c>
      <c r="O921" s="5">
        <f t="shared" si="86"/>
        <v>0.11966701352757547</v>
      </c>
      <c r="P921" s="5">
        <f t="shared" si="87"/>
        <v>0.12081784386617112</v>
      </c>
      <c r="Q921" s="4">
        <f t="shared" si="88"/>
        <v>0.56297793761111992</v>
      </c>
      <c r="R921" s="4">
        <f t="shared" si="89"/>
        <v>0.49750759025385832</v>
      </c>
      <c r="S921" s="4">
        <v>6.38</v>
      </c>
      <c r="T921" s="2">
        <v>0.8</v>
      </c>
      <c r="U921" s="2">
        <v>112.74</v>
      </c>
      <c r="V921" s="2">
        <v>67.72</v>
      </c>
      <c r="W921" s="2">
        <v>1.1299999999999999</v>
      </c>
      <c r="X921" s="2">
        <v>-0.41</v>
      </c>
      <c r="Y921" s="2">
        <v>-5.61</v>
      </c>
      <c r="Z921" s="2">
        <v>-4.76</v>
      </c>
    </row>
    <row r="922" spans="1:26" x14ac:dyDescent="0.25">
      <c r="A922" s="1" t="s">
        <v>3968</v>
      </c>
      <c r="B922" s="1" t="s">
        <v>3969</v>
      </c>
      <c r="C922" s="1" t="s">
        <v>16</v>
      </c>
      <c r="D922" s="1" t="s">
        <v>38</v>
      </c>
      <c r="E922" s="1" t="s">
        <v>259</v>
      </c>
      <c r="F922" s="1" t="s">
        <v>3970</v>
      </c>
      <c r="G922" s="1" t="s">
        <v>12480</v>
      </c>
      <c r="H922" s="1" t="s">
        <v>3971</v>
      </c>
      <c r="I922" s="2">
        <v>58.45</v>
      </c>
      <c r="J922" s="2"/>
      <c r="K922" s="2"/>
      <c r="L922" s="2"/>
      <c r="M922" s="4" t="e">
        <f t="shared" si="84"/>
        <v>#DIV/0!</v>
      </c>
      <c r="N922" s="4" t="e">
        <f t="shared" si="85"/>
        <v>#DIV/0!</v>
      </c>
      <c r="O922" s="5" t="e">
        <f t="shared" si="86"/>
        <v>#DIV/0!</v>
      </c>
      <c r="P922" s="5" t="e">
        <f t="shared" si="87"/>
        <v>#DIV/0!</v>
      </c>
      <c r="Q922" s="4" t="e">
        <f t="shared" si="88"/>
        <v>#DIV/0!</v>
      </c>
      <c r="R922" s="4" t="e">
        <f t="shared" si="89"/>
        <v>#DIV/0!</v>
      </c>
      <c r="S922" s="4"/>
      <c r="T922" s="2">
        <v>0.62</v>
      </c>
      <c r="U922" s="2">
        <v>63.31</v>
      </c>
      <c r="V922" s="2">
        <v>38.520000000000003</v>
      </c>
      <c r="W922" s="2">
        <v>-4.96</v>
      </c>
      <c r="X922" s="2">
        <v>-3.4</v>
      </c>
      <c r="Y922" s="2">
        <v>8.08</v>
      </c>
      <c r="Z922" s="2">
        <v>6.84</v>
      </c>
    </row>
    <row r="923" spans="1:26" x14ac:dyDescent="0.25">
      <c r="A923" s="1" t="s">
        <v>3972</v>
      </c>
      <c r="B923" s="1" t="s">
        <v>3973</v>
      </c>
      <c r="C923" s="1" t="s">
        <v>16</v>
      </c>
      <c r="D923" s="1" t="s">
        <v>38</v>
      </c>
      <c r="E923" s="1" t="s">
        <v>259</v>
      </c>
      <c r="F923" s="1" t="s">
        <v>3974</v>
      </c>
      <c r="G923" s="1" t="s">
        <v>12480</v>
      </c>
      <c r="H923" s="1" t="s">
        <v>12651</v>
      </c>
      <c r="I923" s="2">
        <v>98.99</v>
      </c>
      <c r="J923" s="2"/>
      <c r="K923" s="2"/>
      <c r="L923" s="2"/>
      <c r="M923" s="4" t="e">
        <f t="shared" si="84"/>
        <v>#DIV/0!</v>
      </c>
      <c r="N923" s="4" t="e">
        <f t="shared" si="85"/>
        <v>#DIV/0!</v>
      </c>
      <c r="O923" s="5" t="e">
        <f t="shared" si="86"/>
        <v>#DIV/0!</v>
      </c>
      <c r="P923" s="5" t="e">
        <f t="shared" si="87"/>
        <v>#DIV/0!</v>
      </c>
      <c r="Q923" s="4" t="e">
        <f t="shared" si="88"/>
        <v>#DIV/0!</v>
      </c>
      <c r="R923" s="4" t="e">
        <f t="shared" si="89"/>
        <v>#DIV/0!</v>
      </c>
      <c r="S923" s="4"/>
      <c r="T923" s="2">
        <v>0.78</v>
      </c>
      <c r="U923" s="2">
        <v>105.66</v>
      </c>
      <c r="V923" s="2">
        <v>72.959999999999994</v>
      </c>
      <c r="W923" s="2">
        <v>-4.17</v>
      </c>
      <c r="X923" s="2">
        <v>-4.8099999999999996</v>
      </c>
      <c r="Y923" s="2">
        <v>1.96</v>
      </c>
      <c r="Z923" s="2">
        <v>3.08</v>
      </c>
    </row>
    <row r="924" spans="1:26" x14ac:dyDescent="0.25">
      <c r="A924" s="1" t="s">
        <v>3975</v>
      </c>
      <c r="B924" s="1" t="s">
        <v>3976</v>
      </c>
      <c r="C924" s="1" t="s">
        <v>16</v>
      </c>
      <c r="D924" s="1" t="s">
        <v>38</v>
      </c>
      <c r="E924" s="1" t="s">
        <v>153</v>
      </c>
      <c r="F924" s="1" t="s">
        <v>3977</v>
      </c>
      <c r="G924" s="1" t="s">
        <v>12480</v>
      </c>
      <c r="H924" s="1" t="s">
        <v>3978</v>
      </c>
      <c r="I924" s="2">
        <v>11.81</v>
      </c>
      <c r="J924" s="2">
        <v>1.82</v>
      </c>
      <c r="K924" s="2">
        <v>1.87</v>
      </c>
      <c r="L924" s="2">
        <v>1.94</v>
      </c>
      <c r="M924" s="4">
        <f t="shared" si="84"/>
        <v>6.3155080213903743</v>
      </c>
      <c r="N924" s="4">
        <f t="shared" si="85"/>
        <v>6.087628865979382</v>
      </c>
      <c r="O924" s="5">
        <f t="shared" si="86"/>
        <v>2.7472527472527597E-2</v>
      </c>
      <c r="P924" s="5">
        <f t="shared" si="87"/>
        <v>3.7433155080213831E-2</v>
      </c>
      <c r="Q924" s="4">
        <f t="shared" si="88"/>
        <v>2.2988449197860858</v>
      </c>
      <c r="R924" s="4">
        <f t="shared" si="89"/>
        <v>1.6262665684830666</v>
      </c>
      <c r="S924" s="4">
        <v>262.51</v>
      </c>
      <c r="T924" s="2">
        <v>0.95</v>
      </c>
      <c r="U924" s="2">
        <v>14.02</v>
      </c>
      <c r="V924" s="2">
        <v>11.53</v>
      </c>
      <c r="W924" s="2">
        <v>-5.22</v>
      </c>
      <c r="X924" s="2">
        <v>-7.95</v>
      </c>
      <c r="Y924" s="2">
        <v>-13.48</v>
      </c>
      <c r="Z924" s="2">
        <v>-13.03</v>
      </c>
    </row>
    <row r="925" spans="1:26" x14ac:dyDescent="0.25">
      <c r="A925" s="1" t="s">
        <v>3979</v>
      </c>
      <c r="B925" s="1" t="s">
        <v>3980</v>
      </c>
      <c r="C925" s="1" t="s">
        <v>45</v>
      </c>
      <c r="D925" s="1" t="s">
        <v>38</v>
      </c>
      <c r="E925" s="1" t="s">
        <v>1093</v>
      </c>
      <c r="F925" s="1" t="s">
        <v>3981</v>
      </c>
      <c r="G925" s="1" t="s">
        <v>12480</v>
      </c>
      <c r="H925" s="1" t="s">
        <v>3982</v>
      </c>
      <c r="I925" s="2">
        <v>54.03</v>
      </c>
      <c r="J925" s="2">
        <v>5.24</v>
      </c>
      <c r="K925" s="2">
        <v>5.55</v>
      </c>
      <c r="L925" s="2">
        <v>5.9</v>
      </c>
      <c r="M925" s="4">
        <f t="shared" si="84"/>
        <v>9.7351351351351365</v>
      </c>
      <c r="N925" s="4">
        <f t="shared" si="85"/>
        <v>9.1576271186440668</v>
      </c>
      <c r="O925" s="5">
        <f t="shared" si="86"/>
        <v>5.9160305343511466E-2</v>
      </c>
      <c r="P925" s="5">
        <f t="shared" si="87"/>
        <v>6.3063063063063085E-2</v>
      </c>
      <c r="Q925" s="4">
        <f t="shared" si="88"/>
        <v>1.6455518744551001</v>
      </c>
      <c r="R925" s="4">
        <f t="shared" si="89"/>
        <v>1.4521380145278444</v>
      </c>
      <c r="S925" s="4">
        <v>8.77</v>
      </c>
      <c r="T925" s="2">
        <v>0.82</v>
      </c>
      <c r="U925" s="2">
        <v>61.68</v>
      </c>
      <c r="V925" s="2">
        <v>46.2</v>
      </c>
      <c r="W925" s="2">
        <v>-6.18</v>
      </c>
      <c r="X925" s="2">
        <v>-9.86</v>
      </c>
      <c r="Y925" s="2">
        <v>-4.78</v>
      </c>
      <c r="Z925" s="2">
        <v>0.06</v>
      </c>
    </row>
    <row r="926" spans="1:26" x14ac:dyDescent="0.25">
      <c r="A926" s="1" t="s">
        <v>3983</v>
      </c>
      <c r="B926" s="1" t="s">
        <v>3984</v>
      </c>
      <c r="C926" s="1" t="s">
        <v>16</v>
      </c>
      <c r="D926" s="1" t="s">
        <v>140</v>
      </c>
      <c r="E926" s="1" t="s">
        <v>1421</v>
      </c>
      <c r="F926" s="1" t="s">
        <v>3985</v>
      </c>
      <c r="G926" s="1" t="s">
        <v>12480</v>
      </c>
      <c r="H926" s="1" t="s">
        <v>2789</v>
      </c>
      <c r="I926" s="2">
        <v>204.61</v>
      </c>
      <c r="J926" s="2">
        <v>7.65</v>
      </c>
      <c r="K926" s="2">
        <v>8.6199999999999992</v>
      </c>
      <c r="L926" s="2">
        <v>10.29</v>
      </c>
      <c r="M926" s="4">
        <f t="shared" si="84"/>
        <v>23.736658932714622</v>
      </c>
      <c r="N926" s="4">
        <f t="shared" si="85"/>
        <v>19.8843537414966</v>
      </c>
      <c r="O926" s="5">
        <f t="shared" si="86"/>
        <v>0.1267973856209148</v>
      </c>
      <c r="P926" s="5">
        <f t="shared" si="87"/>
        <v>0.19373549883990715</v>
      </c>
      <c r="Q926" s="4">
        <f t="shared" si="88"/>
        <v>1.8720148539718269</v>
      </c>
      <c r="R926" s="4">
        <f t="shared" si="89"/>
        <v>1.0263660434233577</v>
      </c>
      <c r="S926" s="4">
        <v>6.92</v>
      </c>
      <c r="T926" s="2">
        <v>1.55</v>
      </c>
      <c r="U926" s="2">
        <v>280.54000000000002</v>
      </c>
      <c r="V926" s="2">
        <v>175.05</v>
      </c>
      <c r="W926" s="2">
        <v>-1.64</v>
      </c>
      <c r="X926" s="2">
        <v>2.52</v>
      </c>
      <c r="Y926" s="2">
        <v>-5.72</v>
      </c>
      <c r="Z926" s="2">
        <v>-5.7</v>
      </c>
    </row>
    <row r="927" spans="1:26" x14ac:dyDescent="0.25">
      <c r="A927" s="1" t="s">
        <v>3986</v>
      </c>
      <c r="B927" s="1" t="s">
        <v>3987</v>
      </c>
      <c r="C927" s="1" t="s">
        <v>16</v>
      </c>
      <c r="D927" s="1" t="s">
        <v>94</v>
      </c>
      <c r="E927" s="1" t="s">
        <v>95</v>
      </c>
      <c r="F927" s="1" t="s">
        <v>3988</v>
      </c>
      <c r="G927" s="1" t="s">
        <v>12480</v>
      </c>
      <c r="H927" s="1" t="s">
        <v>3989</v>
      </c>
      <c r="I927" s="2">
        <v>21.98</v>
      </c>
      <c r="J927" s="2">
        <v>1.18</v>
      </c>
      <c r="K927" s="2">
        <v>1.4</v>
      </c>
      <c r="L927" s="2">
        <v>1.78</v>
      </c>
      <c r="M927" s="4">
        <f t="shared" si="84"/>
        <v>15.700000000000001</v>
      </c>
      <c r="N927" s="4">
        <f t="shared" si="85"/>
        <v>12.348314606741573</v>
      </c>
      <c r="O927" s="5">
        <f t="shared" si="86"/>
        <v>0.18644067796610164</v>
      </c>
      <c r="P927" s="5">
        <f t="shared" si="87"/>
        <v>0.27142857142857157</v>
      </c>
      <c r="Q927" s="4">
        <f t="shared" si="88"/>
        <v>0.84209090909090933</v>
      </c>
      <c r="R927" s="4">
        <f t="shared" si="89"/>
        <v>0.454937906564163</v>
      </c>
      <c r="S927" s="4">
        <v>6.5</v>
      </c>
      <c r="T927" s="2">
        <v>1.84</v>
      </c>
      <c r="U927" s="2">
        <v>23.35</v>
      </c>
      <c r="V927" s="2">
        <v>6.41</v>
      </c>
      <c r="W927" s="2">
        <v>-5.87</v>
      </c>
      <c r="X927" s="2">
        <v>20.170000000000002</v>
      </c>
      <c r="Y927" s="2">
        <v>38.590000000000003</v>
      </c>
      <c r="Z927" s="2">
        <v>42.45</v>
      </c>
    </row>
    <row r="928" spans="1:26" x14ac:dyDescent="0.25">
      <c r="A928" s="1" t="s">
        <v>3990</v>
      </c>
      <c r="B928" s="1" t="s">
        <v>3991</v>
      </c>
      <c r="C928" s="1" t="s">
        <v>3993</v>
      </c>
      <c r="D928" s="1" t="s">
        <v>17</v>
      </c>
      <c r="E928" s="1" t="s">
        <v>38</v>
      </c>
      <c r="F928" s="1" t="s">
        <v>3992</v>
      </c>
      <c r="G928" s="1" t="s">
        <v>254</v>
      </c>
      <c r="H928" s="1" t="s">
        <v>12480</v>
      </c>
      <c r="I928" s="2">
        <v>304.91000000000003</v>
      </c>
      <c r="J928" s="2" t="s">
        <v>12481</v>
      </c>
      <c r="K928" s="2">
        <v>44.54</v>
      </c>
      <c r="L928" s="2">
        <v>53.96</v>
      </c>
      <c r="M928" s="4">
        <f t="shared" si="84"/>
        <v>6.8457566232599918</v>
      </c>
      <c r="N928" s="4">
        <f t="shared" si="85"/>
        <v>5.6506671608598964</v>
      </c>
      <c r="O928" s="5">
        <f t="shared" si="86"/>
        <v>-0.99978006241605433</v>
      </c>
      <c r="P928" s="5">
        <f t="shared" si="87"/>
        <v>0.21149528513695559</v>
      </c>
      <c r="Q928" s="4">
        <f t="shared" si="88"/>
        <v>-6.8472625936514819E-2</v>
      </c>
      <c r="R928" s="4">
        <f t="shared" si="89"/>
        <v>0.26717698019607194</v>
      </c>
      <c r="S928" s="4">
        <v>59.61</v>
      </c>
      <c r="T928" s="2">
        <v>328.05</v>
      </c>
      <c r="U928" s="2">
        <v>40.39</v>
      </c>
      <c r="V928" s="2">
        <v>367.51</v>
      </c>
      <c r="W928" s="2">
        <v>0.34</v>
      </c>
      <c r="X928" s="2">
        <v>-3.41</v>
      </c>
      <c r="Y928" s="2">
        <v>1.84</v>
      </c>
      <c r="Z928" s="2">
        <v>-0.17</v>
      </c>
    </row>
    <row r="929" spans="1:26" x14ac:dyDescent="0.25">
      <c r="A929" s="1" t="s">
        <v>3994</v>
      </c>
      <c r="B929" s="1" t="s">
        <v>3995</v>
      </c>
      <c r="C929" s="1" t="s">
        <v>16</v>
      </c>
      <c r="D929" s="1" t="s">
        <v>88</v>
      </c>
      <c r="E929" s="1" t="s">
        <v>89</v>
      </c>
      <c r="F929" s="1" t="s">
        <v>3996</v>
      </c>
      <c r="G929" s="1" t="s">
        <v>12480</v>
      </c>
      <c r="H929" s="1" t="s">
        <v>3997</v>
      </c>
      <c r="I929" s="2">
        <v>40.56</v>
      </c>
      <c r="J929" s="2">
        <v>1.75</v>
      </c>
      <c r="K929" s="2">
        <v>5.14</v>
      </c>
      <c r="L929" s="2">
        <v>7.01</v>
      </c>
      <c r="M929" s="4">
        <f t="shared" si="84"/>
        <v>7.8910505836575888</v>
      </c>
      <c r="N929" s="4">
        <f t="shared" si="85"/>
        <v>5.7860199714693303</v>
      </c>
      <c r="O929" s="5">
        <f t="shared" si="86"/>
        <v>1.9371428571428568</v>
      </c>
      <c r="P929" s="5">
        <f t="shared" si="87"/>
        <v>0.36381322957198448</v>
      </c>
      <c r="Q929" s="4">
        <f t="shared" si="88"/>
        <v>4.0735511862539181E-2</v>
      </c>
      <c r="R929" s="4">
        <f t="shared" si="89"/>
        <v>0.15903819600723185</v>
      </c>
      <c r="S929" s="4">
        <v>37.53</v>
      </c>
      <c r="T929" s="2">
        <v>0.51</v>
      </c>
      <c r="U929" s="2">
        <v>49.71</v>
      </c>
      <c r="V929" s="2">
        <v>14.32</v>
      </c>
      <c r="W929" s="2">
        <v>-12.45</v>
      </c>
      <c r="X929" s="2">
        <v>-3.38</v>
      </c>
      <c r="Y929" s="2">
        <v>18.11</v>
      </c>
      <c r="Z929" s="2">
        <v>12.92</v>
      </c>
    </row>
    <row r="930" spans="1:26" x14ac:dyDescent="0.25">
      <c r="A930" s="1" t="s">
        <v>3999</v>
      </c>
      <c r="B930" s="1" t="s">
        <v>4000</v>
      </c>
      <c r="C930" s="1" t="s">
        <v>16</v>
      </c>
      <c r="D930" s="1" t="s">
        <v>38</v>
      </c>
      <c r="E930" s="1" t="s">
        <v>510</v>
      </c>
      <c r="F930" s="1" t="s">
        <v>4001</v>
      </c>
      <c r="G930" s="1" t="s">
        <v>12480</v>
      </c>
      <c r="H930" s="1" t="s">
        <v>4002</v>
      </c>
      <c r="I930" s="2">
        <v>190.15</v>
      </c>
      <c r="J930" s="2">
        <v>8.98</v>
      </c>
      <c r="K930" s="2">
        <v>9.51</v>
      </c>
      <c r="L930" s="2">
        <v>10.16</v>
      </c>
      <c r="M930" s="4">
        <f t="shared" si="84"/>
        <v>19.994742376445849</v>
      </c>
      <c r="N930" s="4">
        <f t="shared" si="85"/>
        <v>18.715551181102363</v>
      </c>
      <c r="O930" s="5">
        <f t="shared" si="86"/>
        <v>5.9020044543429684E-2</v>
      </c>
      <c r="P930" s="5">
        <f t="shared" si="87"/>
        <v>6.8349106203995813E-2</v>
      </c>
      <c r="Q930" s="4">
        <f t="shared" si="88"/>
        <v>3.3877884252921548</v>
      </c>
      <c r="R930" s="4">
        <f t="shared" si="89"/>
        <v>2.7382291035735911</v>
      </c>
      <c r="S930" s="4">
        <v>12.67</v>
      </c>
      <c r="T930" s="2">
        <v>1.1000000000000001</v>
      </c>
      <c r="U930" s="2">
        <v>196.31</v>
      </c>
      <c r="V930" s="2">
        <v>145.28</v>
      </c>
      <c r="W930" s="2">
        <v>-3.11</v>
      </c>
      <c r="X930" s="2">
        <v>-0.18</v>
      </c>
      <c r="Y930" s="2">
        <v>3.63</v>
      </c>
      <c r="Z930" s="2">
        <v>6.74</v>
      </c>
    </row>
    <row r="931" spans="1:26" x14ac:dyDescent="0.25">
      <c r="A931" s="1" t="s">
        <v>4003</v>
      </c>
      <c r="B931" s="1" t="s">
        <v>4004</v>
      </c>
      <c r="C931" s="1" t="s">
        <v>16</v>
      </c>
      <c r="D931" s="1" t="s">
        <v>18</v>
      </c>
      <c r="E931" s="1" t="s">
        <v>336</v>
      </c>
      <c r="F931" s="1" t="s">
        <v>4005</v>
      </c>
      <c r="G931" s="1" t="s">
        <v>12480</v>
      </c>
      <c r="H931" s="1" t="s">
        <v>4006</v>
      </c>
      <c r="I931" s="2">
        <v>108.62</v>
      </c>
      <c r="J931" s="2">
        <v>5.45</v>
      </c>
      <c r="K931" s="2">
        <v>5.9</v>
      </c>
      <c r="L931" s="2">
        <v>6.4</v>
      </c>
      <c r="M931" s="4">
        <f t="shared" si="84"/>
        <v>18.410169491525423</v>
      </c>
      <c r="N931" s="4">
        <f t="shared" si="85"/>
        <v>16.971875000000001</v>
      </c>
      <c r="O931" s="5">
        <f t="shared" si="86"/>
        <v>8.256880733944949E-2</v>
      </c>
      <c r="P931" s="5">
        <f t="shared" si="87"/>
        <v>8.4745762711864403E-2</v>
      </c>
      <c r="Q931" s="4">
        <f t="shared" si="88"/>
        <v>2.2296760828625244</v>
      </c>
      <c r="R931" s="4">
        <f t="shared" si="89"/>
        <v>2.0026812500000002</v>
      </c>
      <c r="S931" s="4">
        <v>10.46</v>
      </c>
      <c r="T931" s="2">
        <v>0.71</v>
      </c>
      <c r="U931" s="2">
        <v>127.18</v>
      </c>
      <c r="V931" s="2">
        <v>93.68</v>
      </c>
      <c r="W931" s="2">
        <v>0.52</v>
      </c>
      <c r="X931" s="2">
        <v>2.3199999999999998</v>
      </c>
      <c r="Y931" s="2">
        <v>0.96</v>
      </c>
      <c r="Z931" s="2">
        <v>2.34</v>
      </c>
    </row>
    <row r="932" spans="1:26" x14ac:dyDescent="0.25">
      <c r="A932" s="1" t="s">
        <v>4007</v>
      </c>
      <c r="B932" s="1" t="s">
        <v>4008</v>
      </c>
      <c r="C932" s="1" t="s">
        <v>16</v>
      </c>
      <c r="D932" s="1" t="s">
        <v>354</v>
      </c>
      <c r="E932" s="1" t="s">
        <v>355</v>
      </c>
      <c r="F932" s="1" t="s">
        <v>4009</v>
      </c>
      <c r="G932" s="1" t="s">
        <v>12480</v>
      </c>
      <c r="H932" s="1" t="s">
        <v>4010</v>
      </c>
      <c r="I932" s="2">
        <v>70.73</v>
      </c>
      <c r="J932" s="2">
        <v>6.55</v>
      </c>
      <c r="K932" s="2">
        <v>6.17</v>
      </c>
      <c r="L932" s="2">
        <v>6.47</v>
      </c>
      <c r="M932" s="4">
        <f t="shared" si="84"/>
        <v>11.463533225283632</v>
      </c>
      <c r="N932" s="4">
        <f t="shared" si="85"/>
        <v>10.931993817619786</v>
      </c>
      <c r="O932" s="5">
        <f t="shared" si="86"/>
        <v>-5.8015267175572482E-2</v>
      </c>
      <c r="P932" s="5">
        <f t="shared" si="87"/>
        <v>4.8622366288492591E-2</v>
      </c>
      <c r="Q932" s="4">
        <f t="shared" si="88"/>
        <v>-1.975951121726522</v>
      </c>
      <c r="R932" s="4">
        <f t="shared" si="89"/>
        <v>2.2483467284904743</v>
      </c>
      <c r="S932" s="4">
        <v>9.76</v>
      </c>
      <c r="T932" s="2">
        <v>0.79</v>
      </c>
      <c r="U932" s="2">
        <v>75.239999999999995</v>
      </c>
      <c r="V932" s="2">
        <v>48.32</v>
      </c>
      <c r="W932" s="2">
        <v>-4.96</v>
      </c>
      <c r="X932" s="2">
        <v>10.88</v>
      </c>
      <c r="Y932" s="2">
        <v>19.7</v>
      </c>
      <c r="Z932" s="2">
        <v>17.84</v>
      </c>
    </row>
    <row r="933" spans="1:26" x14ac:dyDescent="0.25">
      <c r="A933" s="1" t="s">
        <v>4011</v>
      </c>
      <c r="B933" s="1" t="s">
        <v>4012</v>
      </c>
      <c r="C933" s="1" t="s">
        <v>31</v>
      </c>
      <c r="D933" s="1" t="s">
        <v>46</v>
      </c>
      <c r="E933" s="1" t="s">
        <v>47</v>
      </c>
      <c r="F933" s="1" t="s">
        <v>12653</v>
      </c>
      <c r="G933" s="1" t="s">
        <v>12485</v>
      </c>
      <c r="H933" s="1" t="s">
        <v>12654</v>
      </c>
      <c r="I933" s="2">
        <v>5.5</v>
      </c>
      <c r="J933" s="2">
        <v>0.85</v>
      </c>
      <c r="K933" s="2"/>
      <c r="L933" s="2"/>
      <c r="M933" s="4" t="e">
        <f t="shared" si="84"/>
        <v>#DIV/0!</v>
      </c>
      <c r="N933" s="4" t="e">
        <f t="shared" si="85"/>
        <v>#DIV/0!</v>
      </c>
      <c r="O933" s="5">
        <f t="shared" si="86"/>
        <v>-1</v>
      </c>
      <c r="P933" s="5" t="e">
        <f t="shared" si="87"/>
        <v>#DIV/0!</v>
      </c>
      <c r="Q933" s="4" t="e">
        <f t="shared" si="88"/>
        <v>#DIV/0!</v>
      </c>
      <c r="R933" s="4" t="e">
        <f t="shared" si="89"/>
        <v>#DIV/0!</v>
      </c>
      <c r="S933" s="4">
        <v>11.81</v>
      </c>
      <c r="T933" s="2">
        <v>1.34</v>
      </c>
      <c r="U933" s="2">
        <v>8.44</v>
      </c>
      <c r="V933" s="2">
        <v>4.9800000000000004</v>
      </c>
      <c r="W933" s="2">
        <v>-6.94</v>
      </c>
      <c r="X933" s="2">
        <v>-20.29</v>
      </c>
      <c r="Y933" s="2">
        <v>-13.86</v>
      </c>
      <c r="Z933" s="2">
        <v>-20.29</v>
      </c>
    </row>
    <row r="934" spans="1:26" x14ac:dyDescent="0.25">
      <c r="A934" s="1" t="s">
        <v>4013</v>
      </c>
      <c r="B934" s="1" t="s">
        <v>4014</v>
      </c>
      <c r="C934" s="1" t="s">
        <v>31</v>
      </c>
      <c r="D934" s="1" t="s">
        <v>18</v>
      </c>
      <c r="E934" s="1" t="s">
        <v>594</v>
      </c>
      <c r="F934" s="1" t="s">
        <v>4015</v>
      </c>
      <c r="G934" s="1" t="s">
        <v>12513</v>
      </c>
      <c r="H934" s="1" t="s">
        <v>4016</v>
      </c>
      <c r="I934" s="2">
        <v>6.49</v>
      </c>
      <c r="J934" s="2">
        <v>0.28999999999999998</v>
      </c>
      <c r="K934" s="2">
        <v>0.34</v>
      </c>
      <c r="L934" s="2">
        <v>0.47</v>
      </c>
      <c r="M934" s="4">
        <f t="shared" si="84"/>
        <v>19.088235294117645</v>
      </c>
      <c r="N934" s="4">
        <f t="shared" si="85"/>
        <v>13.808510638297873</v>
      </c>
      <c r="O934" s="5">
        <f t="shared" si="86"/>
        <v>0.1724137931034484</v>
      </c>
      <c r="P934" s="5">
        <f t="shared" si="87"/>
        <v>0.38235294117647034</v>
      </c>
      <c r="Q934" s="4">
        <f t="shared" si="88"/>
        <v>1.1071176470588227</v>
      </c>
      <c r="R934" s="4">
        <f t="shared" si="89"/>
        <v>0.36114566284779076</v>
      </c>
      <c r="S934" s="4">
        <v>0.21</v>
      </c>
      <c r="T934" s="2">
        <v>1.07</v>
      </c>
      <c r="U934" s="2">
        <v>6.83</v>
      </c>
      <c r="V934" s="2">
        <v>4.3499999999999996</v>
      </c>
      <c r="W934" s="2">
        <v>4.68</v>
      </c>
      <c r="X934" s="2">
        <v>5.0999999999999996</v>
      </c>
      <c r="Y934" s="2">
        <v>8.17</v>
      </c>
      <c r="Z934" s="2">
        <v>6.25</v>
      </c>
    </row>
    <row r="935" spans="1:26" x14ac:dyDescent="0.25">
      <c r="A935" s="1" t="s">
        <v>4017</v>
      </c>
      <c r="B935" s="1" t="s">
        <v>4018</v>
      </c>
      <c r="C935" s="1" t="s">
        <v>16</v>
      </c>
      <c r="D935" s="1" t="s">
        <v>128</v>
      </c>
      <c r="E935" s="1" t="s">
        <v>2974</v>
      </c>
      <c r="F935" s="1" t="s">
        <v>4019</v>
      </c>
      <c r="G935" s="1" t="s">
        <v>12502</v>
      </c>
      <c r="H935" s="1" t="s">
        <v>4020</v>
      </c>
      <c r="I935" s="2">
        <v>92.63</v>
      </c>
      <c r="J935" s="2">
        <v>1.51</v>
      </c>
      <c r="K935" s="2">
        <v>2.23</v>
      </c>
      <c r="L935" s="2">
        <v>3.04</v>
      </c>
      <c r="M935" s="4">
        <f t="shared" si="84"/>
        <v>41.538116591928251</v>
      </c>
      <c r="N935" s="4">
        <f t="shared" si="85"/>
        <v>30.470394736842103</v>
      </c>
      <c r="O935" s="5">
        <f t="shared" si="86"/>
        <v>0.47682119205298013</v>
      </c>
      <c r="P935" s="5">
        <f t="shared" si="87"/>
        <v>0.36322869955156944</v>
      </c>
      <c r="Q935" s="4">
        <f t="shared" si="88"/>
        <v>0.87114661185849518</v>
      </c>
      <c r="R935" s="4">
        <f t="shared" si="89"/>
        <v>0.83887629954515919</v>
      </c>
      <c r="S935" s="4">
        <v>-8.2100000000000009</v>
      </c>
      <c r="T935" s="2">
        <v>1.1100000000000001</v>
      </c>
      <c r="U935" s="2">
        <v>119.61</v>
      </c>
      <c r="V935" s="2">
        <v>50.06</v>
      </c>
      <c r="W935" s="2">
        <v>-7.55</v>
      </c>
      <c r="X935" s="2">
        <v>-6.44</v>
      </c>
      <c r="Y935" s="2">
        <v>-8.31</v>
      </c>
      <c r="Z935" s="2">
        <v>-11.55</v>
      </c>
    </row>
    <row r="936" spans="1:26" x14ac:dyDescent="0.25">
      <c r="A936" s="1" t="s">
        <v>4022</v>
      </c>
      <c r="B936" s="1" t="s">
        <v>4023</v>
      </c>
      <c r="C936" s="1" t="s">
        <v>16</v>
      </c>
      <c r="D936" s="1" t="s">
        <v>18</v>
      </c>
      <c r="E936" s="1" t="s">
        <v>336</v>
      </c>
      <c r="F936" s="1" t="s">
        <v>4024</v>
      </c>
      <c r="G936" s="1" t="s">
        <v>12480</v>
      </c>
      <c r="H936" s="1" t="s">
        <v>4025</v>
      </c>
      <c r="I936" s="2">
        <v>23.94</v>
      </c>
      <c r="J936" s="2">
        <v>0.94</v>
      </c>
      <c r="K936" s="2">
        <v>1.04</v>
      </c>
      <c r="L936" s="2">
        <v>1.18</v>
      </c>
      <c r="M936" s="4">
        <f t="shared" si="84"/>
        <v>23.01923076923077</v>
      </c>
      <c r="N936" s="4">
        <f t="shared" si="85"/>
        <v>20.288135593220343</v>
      </c>
      <c r="O936" s="5">
        <f t="shared" si="86"/>
        <v>0.1063829787234043</v>
      </c>
      <c r="P936" s="5">
        <f t="shared" si="87"/>
        <v>0.13461538461538458</v>
      </c>
      <c r="Q936" s="4">
        <f t="shared" si="88"/>
        <v>2.1638076923076914</v>
      </c>
      <c r="R936" s="4">
        <f t="shared" si="89"/>
        <v>1.5071186440677973</v>
      </c>
      <c r="S936" s="4">
        <v>6.22</v>
      </c>
      <c r="T936" s="2">
        <v>1.83</v>
      </c>
      <c r="U936" s="2">
        <v>26.84</v>
      </c>
      <c r="V936" s="2">
        <v>8.1</v>
      </c>
      <c r="W936" s="2">
        <v>-8.24</v>
      </c>
      <c r="X936" s="2">
        <v>-3.58</v>
      </c>
      <c r="Y936" s="2">
        <v>10.32</v>
      </c>
      <c r="Z936" s="2">
        <v>5.79</v>
      </c>
    </row>
    <row r="937" spans="1:26" x14ac:dyDescent="0.25">
      <c r="A937" s="1" t="s">
        <v>4026</v>
      </c>
      <c r="B937" s="1" t="s">
        <v>4027</v>
      </c>
      <c r="C937" s="1" t="s">
        <v>31</v>
      </c>
      <c r="D937" s="1" t="s">
        <v>305</v>
      </c>
      <c r="E937" s="1" t="s">
        <v>3726</v>
      </c>
      <c r="F937" s="1" t="s">
        <v>4028</v>
      </c>
      <c r="G937" s="1" t="s">
        <v>12480</v>
      </c>
      <c r="H937" s="1" t="s">
        <v>4029</v>
      </c>
      <c r="I937" s="2">
        <v>23.52</v>
      </c>
      <c r="J937" s="2">
        <v>1.24</v>
      </c>
      <c r="K937" s="2"/>
      <c r="L937" s="2"/>
      <c r="M937" s="4" t="e">
        <f t="shared" si="84"/>
        <v>#DIV/0!</v>
      </c>
      <c r="N937" s="4" t="e">
        <f t="shared" si="85"/>
        <v>#DIV/0!</v>
      </c>
      <c r="O937" s="5">
        <f t="shared" si="86"/>
        <v>-1</v>
      </c>
      <c r="P937" s="5" t="e">
        <f t="shared" si="87"/>
        <v>#DIV/0!</v>
      </c>
      <c r="Q937" s="4" t="e">
        <f t="shared" si="88"/>
        <v>#DIV/0!</v>
      </c>
      <c r="R937" s="4" t="e">
        <f t="shared" si="89"/>
        <v>#DIV/0!</v>
      </c>
      <c r="S937" s="4"/>
      <c r="T937" s="2"/>
      <c r="U937" s="2">
        <v>26.97</v>
      </c>
      <c r="V937" s="2">
        <v>23.34</v>
      </c>
      <c r="W937" s="2">
        <v>0.13</v>
      </c>
      <c r="X937" s="2" t="s">
        <v>12522</v>
      </c>
      <c r="Y937" s="2">
        <v>-8.98</v>
      </c>
      <c r="Z937" s="2">
        <v>-10.23</v>
      </c>
    </row>
    <row r="938" spans="1:26" x14ac:dyDescent="0.25">
      <c r="A938" s="1" t="s">
        <v>4030</v>
      </c>
      <c r="B938" s="1" t="s">
        <v>4031</v>
      </c>
      <c r="C938" s="1" t="s">
        <v>16</v>
      </c>
      <c r="D938" s="1" t="s">
        <v>128</v>
      </c>
      <c r="E938" s="1" t="s">
        <v>2974</v>
      </c>
      <c r="F938" s="1" t="s">
        <v>4032</v>
      </c>
      <c r="G938" s="1" t="s">
        <v>12490</v>
      </c>
      <c r="H938" s="1" t="s">
        <v>4033</v>
      </c>
      <c r="I938" s="2">
        <v>77.150000000000006</v>
      </c>
      <c r="J938" s="2">
        <v>3.39</v>
      </c>
      <c r="K938" s="2">
        <v>3.11</v>
      </c>
      <c r="L938" s="2">
        <v>3.72</v>
      </c>
      <c r="M938" s="4">
        <f t="shared" si="84"/>
        <v>24.807073954983927</v>
      </c>
      <c r="N938" s="4">
        <f t="shared" si="85"/>
        <v>20.739247311827956</v>
      </c>
      <c r="O938" s="5">
        <f t="shared" si="86"/>
        <v>-8.259587020648973E-2</v>
      </c>
      <c r="P938" s="5">
        <f t="shared" si="87"/>
        <v>0.1961414790996785</v>
      </c>
      <c r="Q938" s="4">
        <f t="shared" si="88"/>
        <v>-3.0034278824069811</v>
      </c>
      <c r="R938" s="4">
        <f t="shared" si="89"/>
        <v>1.0573616252423761</v>
      </c>
      <c r="S938" s="4">
        <v>28.28</v>
      </c>
      <c r="T938" s="2">
        <v>1.68</v>
      </c>
      <c r="U938" s="2">
        <v>146.66999999999999</v>
      </c>
      <c r="V938" s="2">
        <v>49.95</v>
      </c>
      <c r="W938" s="2">
        <v>-5.5</v>
      </c>
      <c r="X938" s="2">
        <v>3.61</v>
      </c>
      <c r="Y938" s="2">
        <v>-1.84</v>
      </c>
      <c r="Z938" s="2">
        <v>1.46</v>
      </c>
    </row>
    <row r="939" spans="1:26" x14ac:dyDescent="0.25">
      <c r="A939" s="1" t="s">
        <v>4035</v>
      </c>
      <c r="B939" s="1" t="s">
        <v>4036</v>
      </c>
      <c r="C939" s="1" t="s">
        <v>31</v>
      </c>
      <c r="D939" s="1" t="s">
        <v>88</v>
      </c>
      <c r="E939" s="1" t="s">
        <v>1113</v>
      </c>
      <c r="F939" s="1" t="s">
        <v>4037</v>
      </c>
      <c r="G939" s="1" t="s">
        <v>12480</v>
      </c>
      <c r="H939" s="1" t="s">
        <v>4038</v>
      </c>
      <c r="I939" s="2">
        <v>9.83</v>
      </c>
      <c r="J939" s="2">
        <v>0.55000000000000004</v>
      </c>
      <c r="K939" s="2">
        <v>0.62</v>
      </c>
      <c r="L939" s="2">
        <v>0.67</v>
      </c>
      <c r="M939" s="4">
        <f t="shared" si="84"/>
        <v>15.85483870967742</v>
      </c>
      <c r="N939" s="4">
        <f t="shared" si="85"/>
        <v>14.671641791044776</v>
      </c>
      <c r="O939" s="5">
        <f t="shared" si="86"/>
        <v>0.1272727272727272</v>
      </c>
      <c r="P939" s="5">
        <f t="shared" si="87"/>
        <v>8.0645161290322731E-2</v>
      </c>
      <c r="Q939" s="4">
        <f t="shared" si="88"/>
        <v>1.2457373271889409</v>
      </c>
      <c r="R939" s="4">
        <f t="shared" si="89"/>
        <v>1.8192835820895485</v>
      </c>
      <c r="S939" s="4">
        <v>-19.07</v>
      </c>
      <c r="T939" s="2">
        <v>0.11</v>
      </c>
      <c r="U939" s="2">
        <v>10.65</v>
      </c>
      <c r="V939" s="2">
        <v>7.2</v>
      </c>
      <c r="W939" s="2" t="s">
        <v>12489</v>
      </c>
      <c r="X939" s="2">
        <v>18.43</v>
      </c>
      <c r="Y939" s="2">
        <v>18.43</v>
      </c>
      <c r="Z939" s="2">
        <v>18.43</v>
      </c>
    </row>
    <row r="940" spans="1:26" x14ac:dyDescent="0.25">
      <c r="A940" s="1" t="s">
        <v>4039</v>
      </c>
      <c r="B940" s="1" t="s">
        <v>4040</v>
      </c>
      <c r="C940" s="1" t="s">
        <v>16</v>
      </c>
      <c r="D940" s="1" t="s">
        <v>354</v>
      </c>
      <c r="E940" s="1" t="s">
        <v>355</v>
      </c>
      <c r="F940" s="1" t="s">
        <v>4041</v>
      </c>
      <c r="G940" s="1" t="s">
        <v>12480</v>
      </c>
      <c r="H940" s="1" t="s">
        <v>4042</v>
      </c>
      <c r="I940" s="2">
        <v>11.3</v>
      </c>
      <c r="J940" s="2">
        <v>0.51</v>
      </c>
      <c r="K940" s="2">
        <v>0.2</v>
      </c>
      <c r="L940" s="2"/>
      <c r="M940" s="4">
        <f t="shared" si="84"/>
        <v>56.5</v>
      </c>
      <c r="N940" s="4" t="e">
        <f t="shared" si="85"/>
        <v>#DIV/0!</v>
      </c>
      <c r="O940" s="5">
        <f t="shared" si="86"/>
        <v>-0.60784313725490202</v>
      </c>
      <c r="P940" s="5">
        <f t="shared" si="87"/>
        <v>-1</v>
      </c>
      <c r="Q940" s="4">
        <f t="shared" si="88"/>
        <v>-0.929516129032258</v>
      </c>
      <c r="R940" s="4" t="e">
        <f t="shared" si="89"/>
        <v>#DIV/0!</v>
      </c>
      <c r="S940" s="4">
        <v>11.32</v>
      </c>
      <c r="T940" s="2">
        <v>-0.11</v>
      </c>
      <c r="U940" s="2">
        <v>11.7</v>
      </c>
      <c r="V940" s="2">
        <v>6.01</v>
      </c>
      <c r="W940" s="2">
        <v>-1.57</v>
      </c>
      <c r="X940" s="2">
        <v>5.81</v>
      </c>
      <c r="Y940" s="2">
        <v>12.44</v>
      </c>
      <c r="Z940" s="2">
        <v>18.82</v>
      </c>
    </row>
    <row r="941" spans="1:26" x14ac:dyDescent="0.25">
      <c r="A941" s="1" t="s">
        <v>4043</v>
      </c>
      <c r="B941" s="1" t="s">
        <v>4044</v>
      </c>
      <c r="C941" s="1" t="s">
        <v>16</v>
      </c>
      <c r="D941" s="1" t="s">
        <v>38</v>
      </c>
      <c r="E941" s="1" t="s">
        <v>765</v>
      </c>
      <c r="F941" s="1" t="s">
        <v>4045</v>
      </c>
      <c r="G941" s="1" t="s">
        <v>12480</v>
      </c>
      <c r="H941" s="1" t="s">
        <v>4046</v>
      </c>
      <c r="I941" s="2">
        <v>67.53</v>
      </c>
      <c r="J941" s="2">
        <v>3.06</v>
      </c>
      <c r="K941" s="2">
        <v>3.19</v>
      </c>
      <c r="L941" s="2">
        <v>3.37</v>
      </c>
      <c r="M941" s="4">
        <f t="shared" si="84"/>
        <v>21.169278996865206</v>
      </c>
      <c r="N941" s="4">
        <f t="shared" si="85"/>
        <v>20.038575667655785</v>
      </c>
      <c r="O941" s="5">
        <f t="shared" si="86"/>
        <v>4.2483660130719025E-2</v>
      </c>
      <c r="P941" s="5">
        <f t="shared" si="87"/>
        <v>5.6426332288401326E-2</v>
      </c>
      <c r="Q941" s="4">
        <f t="shared" si="88"/>
        <v>4.982922594646725</v>
      </c>
      <c r="R941" s="4">
        <f t="shared" si="89"/>
        <v>3.5512809099901039</v>
      </c>
      <c r="S941" s="4">
        <v>0.34</v>
      </c>
      <c r="T941" s="2">
        <v>0.75</v>
      </c>
      <c r="U941" s="2">
        <v>68.72</v>
      </c>
      <c r="V941" s="2">
        <v>58.43</v>
      </c>
      <c r="W941" s="2">
        <v>-1.23</v>
      </c>
      <c r="X941" s="2">
        <v>2.88</v>
      </c>
      <c r="Y941" s="2">
        <v>7.67</v>
      </c>
      <c r="Z941" s="2">
        <v>11.42</v>
      </c>
    </row>
    <row r="942" spans="1:26" x14ac:dyDescent="0.25">
      <c r="A942" s="1" t="s">
        <v>4047</v>
      </c>
      <c r="B942" s="1" t="s">
        <v>4048</v>
      </c>
      <c r="C942" s="1" t="s">
        <v>31</v>
      </c>
      <c r="D942" s="1" t="s">
        <v>147</v>
      </c>
      <c r="E942" s="1" t="s">
        <v>4050</v>
      </c>
      <c r="F942" s="1" t="s">
        <v>4049</v>
      </c>
      <c r="G942" s="1" t="s">
        <v>12480</v>
      </c>
      <c r="H942" s="1" t="s">
        <v>4051</v>
      </c>
      <c r="I942" s="2">
        <v>14.39</v>
      </c>
      <c r="J942" s="2">
        <v>0.65</v>
      </c>
      <c r="K942" s="2">
        <v>1.58</v>
      </c>
      <c r="L942" s="2">
        <v>2.1</v>
      </c>
      <c r="M942" s="4">
        <f t="shared" si="84"/>
        <v>9.1075949367088604</v>
      </c>
      <c r="N942" s="4">
        <f t="shared" si="85"/>
        <v>6.852380952380952</v>
      </c>
      <c r="O942" s="5">
        <f t="shared" si="86"/>
        <v>1.430769230769231</v>
      </c>
      <c r="P942" s="5">
        <f t="shared" si="87"/>
        <v>0.32911392405063289</v>
      </c>
      <c r="Q942" s="4">
        <f t="shared" si="88"/>
        <v>6.3655233428610306E-2</v>
      </c>
      <c r="R942" s="4">
        <f t="shared" si="89"/>
        <v>0.20820695970695971</v>
      </c>
      <c r="S942" s="4">
        <v>4.1900000000000004</v>
      </c>
      <c r="T942" s="2">
        <v>1.1499999999999999</v>
      </c>
      <c r="U942" s="2">
        <v>19.670000000000002</v>
      </c>
      <c r="V942" s="2">
        <v>10.82</v>
      </c>
      <c r="W942" s="2">
        <v>-8.4</v>
      </c>
      <c r="X942" s="2">
        <v>-24.06</v>
      </c>
      <c r="Y942" s="2">
        <v>8.4</v>
      </c>
      <c r="Z942" s="2">
        <v>4.8099999999999996</v>
      </c>
    </row>
    <row r="943" spans="1:26" x14ac:dyDescent="0.25">
      <c r="A943" s="1" t="s">
        <v>4053</v>
      </c>
      <c r="B943" s="1" t="s">
        <v>4054</v>
      </c>
      <c r="C943" s="1" t="s">
        <v>16</v>
      </c>
      <c r="D943" s="1" t="s">
        <v>18</v>
      </c>
      <c r="E943" s="1" t="s">
        <v>624</v>
      </c>
      <c r="F943" s="1" t="s">
        <v>4055</v>
      </c>
      <c r="G943" s="1" t="s">
        <v>12480</v>
      </c>
      <c r="H943" s="1" t="s">
        <v>4056</v>
      </c>
      <c r="I943" s="2">
        <v>280.74</v>
      </c>
      <c r="J943" s="2">
        <v>30.29</v>
      </c>
      <c r="K943" s="2">
        <v>25.96</v>
      </c>
      <c r="L943" s="2">
        <v>29.34</v>
      </c>
      <c r="M943" s="4">
        <f t="shared" si="84"/>
        <v>10.814329738058552</v>
      </c>
      <c r="N943" s="4">
        <f t="shared" si="85"/>
        <v>9.5685071574642127</v>
      </c>
      <c r="O943" s="5">
        <f t="shared" si="86"/>
        <v>-0.14295146913172663</v>
      </c>
      <c r="P943" s="5">
        <f t="shared" si="87"/>
        <v>0.13020030816640982</v>
      </c>
      <c r="Q943" s="4">
        <f t="shared" si="88"/>
        <v>-0.75650357451684436</v>
      </c>
      <c r="R943" s="4">
        <f t="shared" si="89"/>
        <v>0.7349066444016894</v>
      </c>
      <c r="S943" s="4" t="s">
        <v>12847</v>
      </c>
      <c r="T943" s="2">
        <v>0.51</v>
      </c>
      <c r="U943" s="2">
        <v>452.69</v>
      </c>
      <c r="V943" s="2">
        <v>274.66000000000003</v>
      </c>
      <c r="W943" s="2">
        <v>-4.53</v>
      </c>
      <c r="X943" s="2">
        <v>-14.28</v>
      </c>
      <c r="Y943" s="2">
        <v>-22.16</v>
      </c>
      <c r="Z943" s="2">
        <v>-19.91</v>
      </c>
    </row>
    <row r="944" spans="1:26" x14ac:dyDescent="0.25">
      <c r="A944" s="1" t="s">
        <v>4057</v>
      </c>
      <c r="B944" s="1" t="s">
        <v>4058</v>
      </c>
      <c r="C944" s="1" t="s">
        <v>45</v>
      </c>
      <c r="D944" s="1" t="s">
        <v>18</v>
      </c>
      <c r="E944" s="1" t="s">
        <v>780</v>
      </c>
      <c r="F944" s="1" t="s">
        <v>4059</v>
      </c>
      <c r="G944" s="1" t="s">
        <v>12480</v>
      </c>
      <c r="H944" s="1" t="s">
        <v>4060</v>
      </c>
      <c r="I944" s="2">
        <v>29.73</v>
      </c>
      <c r="J944" s="2">
        <v>-1.83</v>
      </c>
      <c r="K944" s="2">
        <v>-1.78</v>
      </c>
      <c r="L944" s="2">
        <v>-2.08</v>
      </c>
      <c r="M944" s="4">
        <f t="shared" si="84"/>
        <v>-16.702247191011235</v>
      </c>
      <c r="N944" s="4">
        <f t="shared" si="85"/>
        <v>-14.29326923076923</v>
      </c>
      <c r="O944" s="5">
        <f t="shared" si="86"/>
        <v>-2.732240437158473E-2</v>
      </c>
      <c r="P944" s="5">
        <f t="shared" si="87"/>
        <v>0.1685393258426966</v>
      </c>
      <c r="Q944" s="4">
        <f t="shared" si="88"/>
        <v>6.1130224719101056</v>
      </c>
      <c r="R944" s="4">
        <f t="shared" si="89"/>
        <v>-0.84806730769230776</v>
      </c>
      <c r="S944" s="4"/>
      <c r="T944" s="2">
        <v>0.33</v>
      </c>
      <c r="U944" s="2">
        <v>29.98</v>
      </c>
      <c r="V944" s="2">
        <v>14.91</v>
      </c>
      <c r="W944" s="2">
        <v>0.78</v>
      </c>
      <c r="X944" s="2">
        <v>5.88</v>
      </c>
      <c r="Y944" s="2">
        <v>73.150000000000006</v>
      </c>
      <c r="Z944" s="2">
        <v>93.05</v>
      </c>
    </row>
    <row r="945" spans="1:26" x14ac:dyDescent="0.25">
      <c r="A945" s="1" t="s">
        <v>4062</v>
      </c>
      <c r="B945" s="1" t="s">
        <v>4063</v>
      </c>
      <c r="C945" s="1" t="s">
        <v>45</v>
      </c>
      <c r="D945" s="1" t="s">
        <v>38</v>
      </c>
      <c r="E945" s="1" t="s">
        <v>259</v>
      </c>
      <c r="F945" s="1" t="s">
        <v>4064</v>
      </c>
      <c r="G945" s="1" t="s">
        <v>12480</v>
      </c>
      <c r="H945" s="1" t="s">
        <v>4065</v>
      </c>
      <c r="I945" s="2">
        <v>95.96</v>
      </c>
      <c r="J945" s="2"/>
      <c r="K945" s="2"/>
      <c r="L945" s="2"/>
      <c r="M945" s="4" t="e">
        <f t="shared" si="84"/>
        <v>#DIV/0!</v>
      </c>
      <c r="N945" s="4" t="e">
        <f t="shared" si="85"/>
        <v>#DIV/0!</v>
      </c>
      <c r="O945" s="5" t="e">
        <f t="shared" si="86"/>
        <v>#DIV/0!</v>
      </c>
      <c r="P945" s="5" t="e">
        <f t="shared" si="87"/>
        <v>#DIV/0!</v>
      </c>
      <c r="Q945" s="4" t="e">
        <f t="shared" si="88"/>
        <v>#DIV/0!</v>
      </c>
      <c r="R945" s="4" t="e">
        <f t="shared" si="89"/>
        <v>#DIV/0!</v>
      </c>
      <c r="S945" s="4"/>
      <c r="T945" s="2">
        <v>0.53</v>
      </c>
      <c r="U945" s="2">
        <v>97.74</v>
      </c>
      <c r="V945" s="2">
        <v>86.54</v>
      </c>
      <c r="W945" s="2">
        <v>-1.06</v>
      </c>
      <c r="X945" s="2">
        <v>-0.79</v>
      </c>
      <c r="Y945" s="2">
        <v>-0.45</v>
      </c>
      <c r="Z945" s="2">
        <v>-0.33</v>
      </c>
    </row>
    <row r="946" spans="1:26" x14ac:dyDescent="0.25">
      <c r="A946" s="1" t="s">
        <v>4066</v>
      </c>
      <c r="B946" s="1" t="s">
        <v>4067</v>
      </c>
      <c r="C946" s="1" t="s">
        <v>16</v>
      </c>
      <c r="D946" s="1" t="s">
        <v>61</v>
      </c>
      <c r="E946" s="1" t="s">
        <v>3884</v>
      </c>
      <c r="F946" s="1" t="s">
        <v>4068</v>
      </c>
      <c r="G946" s="1" t="s">
        <v>12480</v>
      </c>
      <c r="H946" s="1" t="s">
        <v>1966</v>
      </c>
      <c r="I946" s="2">
        <v>719.18</v>
      </c>
      <c r="J946" s="2">
        <v>25.87</v>
      </c>
      <c r="K946" s="2">
        <v>28.27</v>
      </c>
      <c r="L946" s="2">
        <v>31.67</v>
      </c>
      <c r="M946" s="4">
        <f t="shared" si="84"/>
        <v>25.439688715953306</v>
      </c>
      <c r="N946" s="4">
        <f t="shared" si="85"/>
        <v>22.708556994000627</v>
      </c>
      <c r="O946" s="5">
        <f t="shared" si="86"/>
        <v>9.2771550057982211E-2</v>
      </c>
      <c r="P946" s="5">
        <f t="shared" si="87"/>
        <v>0.12026883622214379</v>
      </c>
      <c r="Q946" s="4">
        <f t="shared" si="88"/>
        <v>2.7421864461738004</v>
      </c>
      <c r="R946" s="4">
        <f t="shared" si="89"/>
        <v>1.8881497241776375</v>
      </c>
      <c r="S946" s="4">
        <v>16.62</v>
      </c>
      <c r="T946" s="2">
        <v>1.1599999999999999</v>
      </c>
      <c r="U946" s="2">
        <v>812.79</v>
      </c>
      <c r="V946" s="2">
        <v>342.02</v>
      </c>
      <c r="W946" s="2">
        <v>-2.2599999999999998</v>
      </c>
      <c r="X946" s="2">
        <v>-7.35</v>
      </c>
      <c r="Y946" s="2">
        <v>15.24</v>
      </c>
      <c r="Z946" s="2">
        <v>17.55</v>
      </c>
    </row>
    <row r="947" spans="1:26" x14ac:dyDescent="0.25">
      <c r="A947" s="1" t="s">
        <v>4069</v>
      </c>
      <c r="B947" s="1" t="s">
        <v>4070</v>
      </c>
      <c r="C947" s="1" t="s">
        <v>16</v>
      </c>
      <c r="D947" s="1" t="s">
        <v>88</v>
      </c>
      <c r="E947" s="1" t="s">
        <v>504</v>
      </c>
      <c r="F947" s="1" t="s">
        <v>4071</v>
      </c>
      <c r="G947" s="1" t="s">
        <v>12480</v>
      </c>
      <c r="H947" s="1" t="s">
        <v>4072</v>
      </c>
      <c r="I947" s="2">
        <v>69.599999999999994</v>
      </c>
      <c r="J947" s="2">
        <v>5.42</v>
      </c>
      <c r="K947" s="2">
        <v>5.8</v>
      </c>
      <c r="L947" s="2">
        <v>6.75</v>
      </c>
      <c r="M947" s="4">
        <f t="shared" si="84"/>
        <v>12</v>
      </c>
      <c r="N947" s="4">
        <f t="shared" si="85"/>
        <v>10.31111111111111</v>
      </c>
      <c r="O947" s="5">
        <f t="shared" si="86"/>
        <v>7.0110701107011009E-2</v>
      </c>
      <c r="P947" s="5">
        <f t="shared" si="87"/>
        <v>0.1637931034482758</v>
      </c>
      <c r="Q947" s="4">
        <f t="shared" si="88"/>
        <v>1.7115789473684226</v>
      </c>
      <c r="R947" s="4">
        <f t="shared" si="89"/>
        <v>0.62952046783625748</v>
      </c>
      <c r="S947" s="4">
        <v>-6.71</v>
      </c>
      <c r="T947" s="2">
        <v>1.2</v>
      </c>
      <c r="U947" s="2">
        <v>98.79</v>
      </c>
      <c r="V947" s="2">
        <v>56.37</v>
      </c>
      <c r="W947" s="2">
        <v>-7.55</v>
      </c>
      <c r="X947" s="2">
        <v>-11.2</v>
      </c>
      <c r="Y947" s="2">
        <v>8.84</v>
      </c>
      <c r="Z947" s="2">
        <v>9.0399999999999991</v>
      </c>
    </row>
    <row r="948" spans="1:26" x14ac:dyDescent="0.25">
      <c r="A948" s="1" t="s">
        <v>4073</v>
      </c>
      <c r="B948" s="1" t="s">
        <v>4074</v>
      </c>
      <c r="C948" s="1" t="s">
        <v>16</v>
      </c>
      <c r="D948" s="1" t="s">
        <v>25</v>
      </c>
      <c r="E948" s="1" t="s">
        <v>106</v>
      </c>
      <c r="F948" s="1" t="s">
        <v>4075</v>
      </c>
      <c r="G948" s="1" t="s">
        <v>12485</v>
      </c>
      <c r="H948" s="1" t="s">
        <v>12655</v>
      </c>
      <c r="I948" s="2">
        <v>141.12</v>
      </c>
      <c r="J948" s="2" t="s">
        <v>12502</v>
      </c>
      <c r="K948" s="2">
        <v>6.5</v>
      </c>
      <c r="L948" s="2">
        <v>7.14</v>
      </c>
      <c r="M948" s="4">
        <f t="shared" si="84"/>
        <v>21.71076923076923</v>
      </c>
      <c r="N948" s="4">
        <f t="shared" si="85"/>
        <v>19.764705882352942</v>
      </c>
      <c r="O948" s="5">
        <f t="shared" si="86"/>
        <v>8.3333333333333259E-2</v>
      </c>
      <c r="P948" s="5">
        <f t="shared" si="87"/>
        <v>9.8461538461538378E-2</v>
      </c>
      <c r="Q948" s="4">
        <f t="shared" si="88"/>
        <v>2.6052923076923102</v>
      </c>
      <c r="R948" s="4">
        <f t="shared" si="89"/>
        <v>2.0073529411764723</v>
      </c>
      <c r="S948" s="4" t="s">
        <v>12490</v>
      </c>
      <c r="T948" s="2">
        <v>1.24</v>
      </c>
      <c r="U948" s="2">
        <v>161.69</v>
      </c>
      <c r="V948" s="2">
        <v>94.15</v>
      </c>
      <c r="W948" s="2">
        <v>-7.21</v>
      </c>
      <c r="X948" s="2">
        <v>-11.81</v>
      </c>
      <c r="Y948" s="2">
        <v>2.81</v>
      </c>
      <c r="Z948" s="2">
        <v>6.33</v>
      </c>
    </row>
    <row r="949" spans="1:26" x14ac:dyDescent="0.25">
      <c r="A949" s="1" t="s">
        <v>4076</v>
      </c>
      <c r="B949" s="1" t="s">
        <v>4077</v>
      </c>
      <c r="C949" s="1" t="s">
        <v>16</v>
      </c>
      <c r="D949" s="1" t="s">
        <v>94</v>
      </c>
      <c r="E949" s="1" t="s">
        <v>4079</v>
      </c>
      <c r="F949" s="1" t="s">
        <v>4078</v>
      </c>
      <c r="G949" s="1" t="s">
        <v>12480</v>
      </c>
      <c r="H949" s="1" t="s">
        <v>4080</v>
      </c>
      <c r="I949" s="2">
        <v>53.94</v>
      </c>
      <c r="J949" s="2">
        <v>2.16</v>
      </c>
      <c r="K949" s="2">
        <v>2.2400000000000002</v>
      </c>
      <c r="L949" s="2">
        <v>2.38</v>
      </c>
      <c r="M949" s="4">
        <f t="shared" si="84"/>
        <v>24.080357142857139</v>
      </c>
      <c r="N949" s="4">
        <f t="shared" si="85"/>
        <v>22.663865546218489</v>
      </c>
      <c r="O949" s="5">
        <f t="shared" si="86"/>
        <v>3.7037037037036979E-2</v>
      </c>
      <c r="P949" s="5">
        <f t="shared" si="87"/>
        <v>6.2499999999999778E-2</v>
      </c>
      <c r="Q949" s="4">
        <f t="shared" si="88"/>
        <v>6.5016964285714378</v>
      </c>
      <c r="R949" s="4">
        <f t="shared" si="89"/>
        <v>3.6262184873949712</v>
      </c>
      <c r="S949" s="4">
        <v>22.08</v>
      </c>
      <c r="T949" s="2">
        <v>0.67</v>
      </c>
      <c r="U949" s="2">
        <v>54.33</v>
      </c>
      <c r="V949" s="2">
        <v>41.09</v>
      </c>
      <c r="W949" s="2">
        <v>-0.04</v>
      </c>
      <c r="X949" s="2">
        <v>6.54</v>
      </c>
      <c r="Y949" s="2">
        <v>13.13</v>
      </c>
      <c r="Z949" s="2">
        <v>12.77</v>
      </c>
    </row>
    <row r="950" spans="1:26" x14ac:dyDescent="0.25">
      <c r="A950" s="1" t="s">
        <v>4081</v>
      </c>
      <c r="B950" s="1" t="s">
        <v>4082</v>
      </c>
      <c r="C950" s="1" t="s">
        <v>31</v>
      </c>
      <c r="D950" s="1" t="s">
        <v>354</v>
      </c>
      <c r="E950" s="1" t="s">
        <v>355</v>
      </c>
      <c r="F950" s="1" t="s">
        <v>4083</v>
      </c>
      <c r="G950" s="1" t="s">
        <v>12480</v>
      </c>
      <c r="H950" s="1" t="s">
        <v>4084</v>
      </c>
      <c r="I950" s="2">
        <v>30.94</v>
      </c>
      <c r="J950" s="2">
        <v>1.71</v>
      </c>
      <c r="K950" s="2">
        <v>2.23</v>
      </c>
      <c r="L950" s="2">
        <v>2.2400000000000002</v>
      </c>
      <c r="M950" s="4">
        <f t="shared" si="84"/>
        <v>13.874439461883409</v>
      </c>
      <c r="N950" s="4">
        <f t="shared" si="85"/>
        <v>13.8125</v>
      </c>
      <c r="O950" s="5">
        <f t="shared" si="86"/>
        <v>0.30409356725146197</v>
      </c>
      <c r="P950" s="5">
        <f t="shared" si="87"/>
        <v>4.484304932735439E-3</v>
      </c>
      <c r="Q950" s="4">
        <f t="shared" si="88"/>
        <v>0.456255605381166</v>
      </c>
      <c r="R950" s="4">
        <f t="shared" si="89"/>
        <v>30.80187499999991</v>
      </c>
      <c r="S950" s="4">
        <v>1.88</v>
      </c>
      <c r="T950" s="2">
        <v>0.5</v>
      </c>
      <c r="U950" s="2">
        <v>34.69</v>
      </c>
      <c r="V950" s="2">
        <v>18.14</v>
      </c>
      <c r="W950" s="2">
        <v>-7.17</v>
      </c>
      <c r="X950" s="2">
        <v>-0.67</v>
      </c>
      <c r="Y950" s="2">
        <v>20.53</v>
      </c>
      <c r="Z950" s="2">
        <v>17.78</v>
      </c>
    </row>
    <row r="951" spans="1:26" x14ac:dyDescent="0.25">
      <c r="A951" s="1" t="s">
        <v>4085</v>
      </c>
      <c r="B951" s="1" t="s">
        <v>4086</v>
      </c>
      <c r="C951" s="1" t="s">
        <v>16</v>
      </c>
      <c r="D951" s="1" t="s">
        <v>18</v>
      </c>
      <c r="E951" s="1" t="s">
        <v>1385</v>
      </c>
      <c r="F951" s="1" t="s">
        <v>4087</v>
      </c>
      <c r="G951" s="1" t="s">
        <v>12480</v>
      </c>
      <c r="H951" s="1" t="s">
        <v>4088</v>
      </c>
      <c r="I951" s="2">
        <v>24.66</v>
      </c>
      <c r="J951" s="2">
        <v>3.3</v>
      </c>
      <c r="K951" s="2">
        <v>3.43</v>
      </c>
      <c r="L951" s="2">
        <v>3.74</v>
      </c>
      <c r="M951" s="4">
        <f t="shared" si="84"/>
        <v>7.1895043731778419</v>
      </c>
      <c r="N951" s="4">
        <f t="shared" si="85"/>
        <v>6.593582887700534</v>
      </c>
      <c r="O951" s="5">
        <f t="shared" si="86"/>
        <v>3.9393939393939537E-2</v>
      </c>
      <c r="P951" s="5">
        <f t="shared" si="87"/>
        <v>9.0379008746355627E-2</v>
      </c>
      <c r="Q951" s="4">
        <f t="shared" si="88"/>
        <v>1.8250280331912918</v>
      </c>
      <c r="R951" s="4">
        <f t="shared" si="89"/>
        <v>0.72954804209073698</v>
      </c>
      <c r="S951" s="4">
        <v>6.66</v>
      </c>
      <c r="T951" s="2">
        <v>1.46</v>
      </c>
      <c r="U951" s="2" t="s">
        <v>12656</v>
      </c>
      <c r="V951" s="2">
        <v>21.46</v>
      </c>
      <c r="W951" s="2">
        <v>-4.05</v>
      </c>
      <c r="X951" s="2">
        <v>10.29</v>
      </c>
      <c r="Y951" s="2">
        <v>-7.08</v>
      </c>
      <c r="Z951" s="2">
        <v>-7.43</v>
      </c>
    </row>
    <row r="952" spans="1:26" x14ac:dyDescent="0.25">
      <c r="A952" s="1" t="s">
        <v>4089</v>
      </c>
      <c r="B952" s="1" t="s">
        <v>4090</v>
      </c>
      <c r="C952" s="1" t="s">
        <v>45</v>
      </c>
      <c r="D952" s="1" t="s">
        <v>94</v>
      </c>
      <c r="E952" s="1" t="s">
        <v>1055</v>
      </c>
      <c r="F952" s="1" t="s">
        <v>4091</v>
      </c>
      <c r="G952" s="1" t="s">
        <v>12480</v>
      </c>
      <c r="H952" s="1" t="s">
        <v>4092</v>
      </c>
      <c r="I952" s="2">
        <v>40.86</v>
      </c>
      <c r="J952" s="2">
        <v>2.96</v>
      </c>
      <c r="K952" s="2">
        <v>2.2000000000000002</v>
      </c>
      <c r="L952" s="2">
        <v>2.66</v>
      </c>
      <c r="M952" s="4">
        <f t="shared" si="84"/>
        <v>18.572727272727271</v>
      </c>
      <c r="N952" s="4">
        <f t="shared" si="85"/>
        <v>15.360902255639097</v>
      </c>
      <c r="O952" s="5">
        <f t="shared" si="86"/>
        <v>-0.25675675675675669</v>
      </c>
      <c r="P952" s="5">
        <f t="shared" si="87"/>
        <v>0.20909090909090899</v>
      </c>
      <c r="Q952" s="4">
        <f t="shared" si="88"/>
        <v>-0.7233588516746412</v>
      </c>
      <c r="R952" s="4">
        <f t="shared" si="89"/>
        <v>0.73465184700882669</v>
      </c>
      <c r="S952" s="4">
        <v>10.72</v>
      </c>
      <c r="T952" s="2">
        <v>1.35</v>
      </c>
      <c r="U952" s="2">
        <v>63.8</v>
      </c>
      <c r="V952" s="2">
        <v>26.12</v>
      </c>
      <c r="W952" s="2">
        <v>-8.61</v>
      </c>
      <c r="X952" s="2">
        <v>-18.77</v>
      </c>
      <c r="Y952" s="2">
        <v>30.25</v>
      </c>
      <c r="Z952" s="2">
        <v>27.49</v>
      </c>
    </row>
    <row r="953" spans="1:26" x14ac:dyDescent="0.25">
      <c r="A953" s="1" t="s">
        <v>4094</v>
      </c>
      <c r="B953" s="1" t="s">
        <v>4095</v>
      </c>
      <c r="C953" s="1" t="s">
        <v>16</v>
      </c>
      <c r="D953" s="1" t="s">
        <v>128</v>
      </c>
      <c r="E953" s="1" t="s">
        <v>210</v>
      </c>
      <c r="F953" s="1" t="s">
        <v>4096</v>
      </c>
      <c r="G953" s="1" t="s">
        <v>12485</v>
      </c>
      <c r="H953" s="1" t="s">
        <v>2485</v>
      </c>
      <c r="I953" s="2">
        <v>18.27</v>
      </c>
      <c r="J953" s="2">
        <v>3.52</v>
      </c>
      <c r="K953" s="2">
        <v>3.37</v>
      </c>
      <c r="L953" s="2">
        <v>3.75</v>
      </c>
      <c r="M953" s="4">
        <f t="shared" si="84"/>
        <v>5.4213649851632049</v>
      </c>
      <c r="N953" s="4">
        <f t="shared" si="85"/>
        <v>4.8719999999999999</v>
      </c>
      <c r="O953" s="5">
        <f t="shared" si="86"/>
        <v>-4.2613636363636354E-2</v>
      </c>
      <c r="P953" s="5">
        <f t="shared" si="87"/>
        <v>0.11275964391691384</v>
      </c>
      <c r="Q953" s="4">
        <f t="shared" si="88"/>
        <v>-1.2722136498516325</v>
      </c>
      <c r="R953" s="4">
        <f t="shared" si="89"/>
        <v>0.43206947368421089</v>
      </c>
      <c r="S953" s="4">
        <v>2.2799999999999998</v>
      </c>
      <c r="T953" s="2">
        <v>0.64</v>
      </c>
      <c r="U953" s="2">
        <v>31.17</v>
      </c>
      <c r="V953" s="2">
        <v>17.02</v>
      </c>
      <c r="W953" s="2">
        <v>-10.88</v>
      </c>
      <c r="X953" s="2">
        <v>-19.02</v>
      </c>
      <c r="Y953" s="2">
        <v>-10.44</v>
      </c>
      <c r="Z953" s="2">
        <v>-8.14</v>
      </c>
    </row>
    <row r="954" spans="1:26" x14ac:dyDescent="0.25">
      <c r="A954" s="1" t="s">
        <v>4098</v>
      </c>
      <c r="B954" s="1" t="s">
        <v>4099</v>
      </c>
      <c r="C954" s="1" t="s">
        <v>16</v>
      </c>
      <c r="D954" s="1" t="s">
        <v>25</v>
      </c>
      <c r="E954" s="1" t="s">
        <v>106</v>
      </c>
      <c r="F954" s="1" t="s">
        <v>4100</v>
      </c>
      <c r="G954" s="1" t="s">
        <v>12490</v>
      </c>
      <c r="H954" s="1" t="s">
        <v>4101</v>
      </c>
      <c r="I954" s="2">
        <v>161.6</v>
      </c>
      <c r="J954" s="2">
        <v>10.15</v>
      </c>
      <c r="K954" s="2">
        <v>10.32</v>
      </c>
      <c r="L954" s="2">
        <v>12.18</v>
      </c>
      <c r="M954" s="4">
        <f t="shared" si="84"/>
        <v>15.65891472868217</v>
      </c>
      <c r="N954" s="4">
        <f t="shared" si="85"/>
        <v>13.267651888341543</v>
      </c>
      <c r="O954" s="5">
        <f t="shared" si="86"/>
        <v>1.6748768472906406E-2</v>
      </c>
      <c r="P954" s="5">
        <f t="shared" si="87"/>
        <v>0.18023255813953476</v>
      </c>
      <c r="Q954" s="4">
        <f t="shared" si="88"/>
        <v>9.3492932056543534</v>
      </c>
      <c r="R954" s="4">
        <f t="shared" si="89"/>
        <v>0.73614068541766031</v>
      </c>
      <c r="S954" s="4" t="s">
        <v>12493</v>
      </c>
      <c r="T954" s="2">
        <v>1.1100000000000001</v>
      </c>
      <c r="U954" s="2">
        <v>189.93</v>
      </c>
      <c r="V954" s="2">
        <v>78.52</v>
      </c>
      <c r="W954" s="2">
        <v>-2.63</v>
      </c>
      <c r="X954" s="2">
        <v>-8.34</v>
      </c>
      <c r="Y954" s="2">
        <v>9.4499999999999993</v>
      </c>
      <c r="Z954" s="2">
        <v>10.119999999999999</v>
      </c>
    </row>
    <row r="955" spans="1:26" x14ac:dyDescent="0.25">
      <c r="A955" s="1" t="s">
        <v>4102</v>
      </c>
      <c r="B955" s="1" t="s">
        <v>4103</v>
      </c>
      <c r="C955" s="1" t="s">
        <v>45</v>
      </c>
      <c r="D955" s="1" t="s">
        <v>18</v>
      </c>
      <c r="E955" s="1" t="s">
        <v>1744</v>
      </c>
      <c r="F955" s="1" t="s">
        <v>4104</v>
      </c>
      <c r="G955" s="1" t="s">
        <v>12480</v>
      </c>
      <c r="H955" s="1" t="s">
        <v>4105</v>
      </c>
      <c r="I955" s="2">
        <v>209.97</v>
      </c>
      <c r="J955" s="2">
        <v>6.57</v>
      </c>
      <c r="K955" s="2">
        <v>7.47</v>
      </c>
      <c r="L955" s="2">
        <v>7.93</v>
      </c>
      <c r="M955" s="4">
        <f t="shared" si="84"/>
        <v>28.108433734939759</v>
      </c>
      <c r="N955" s="4">
        <f t="shared" si="85"/>
        <v>26.477931904161412</v>
      </c>
      <c r="O955" s="5">
        <f t="shared" si="86"/>
        <v>0.1369863013698629</v>
      </c>
      <c r="P955" s="5">
        <f t="shared" si="87"/>
        <v>6.1579651941097824E-2</v>
      </c>
      <c r="Q955" s="4">
        <f t="shared" si="88"/>
        <v>2.0519156626506043</v>
      </c>
      <c r="R955" s="4">
        <f t="shared" si="89"/>
        <v>4.2997858983496835</v>
      </c>
      <c r="S955" s="4">
        <v>18.72</v>
      </c>
      <c r="T955" s="2">
        <v>0.83</v>
      </c>
      <c r="U955" s="2">
        <v>215.83</v>
      </c>
      <c r="V955" s="2">
        <v>119.93</v>
      </c>
      <c r="W955" s="2">
        <v>-2.72</v>
      </c>
      <c r="X955" s="2">
        <v>5.36</v>
      </c>
      <c r="Y955" s="2">
        <v>18.57</v>
      </c>
      <c r="Z955" s="2">
        <v>20.53</v>
      </c>
    </row>
    <row r="956" spans="1:26" x14ac:dyDescent="0.25">
      <c r="A956" s="1" t="s">
        <v>4106</v>
      </c>
      <c r="B956" s="1" t="s">
        <v>4107</v>
      </c>
      <c r="C956" s="1" t="s">
        <v>45</v>
      </c>
      <c r="D956" s="1" t="s">
        <v>32</v>
      </c>
      <c r="E956" s="1" t="s">
        <v>57</v>
      </c>
      <c r="F956" s="1" t="s">
        <v>4108</v>
      </c>
      <c r="G956" s="1" t="s">
        <v>12480</v>
      </c>
      <c r="H956" s="1" t="s">
        <v>12589</v>
      </c>
      <c r="I956" s="2">
        <v>117.34</v>
      </c>
      <c r="J956" s="2">
        <v>2.75</v>
      </c>
      <c r="K956" s="2">
        <v>3.4</v>
      </c>
      <c r="L956" s="2">
        <v>4.2300000000000004</v>
      </c>
      <c r="M956" s="4">
        <f t="shared" si="84"/>
        <v>34.511764705882356</v>
      </c>
      <c r="N956" s="4">
        <f t="shared" si="85"/>
        <v>27.739952718676122</v>
      </c>
      <c r="O956" s="5">
        <f t="shared" si="86"/>
        <v>0.23636363636363633</v>
      </c>
      <c r="P956" s="5">
        <f t="shared" si="87"/>
        <v>0.24411764705882377</v>
      </c>
      <c r="Q956" s="4">
        <f t="shared" si="88"/>
        <v>1.4601131221719461</v>
      </c>
      <c r="R956" s="4">
        <f t="shared" si="89"/>
        <v>1.1363354125722738</v>
      </c>
      <c r="S956" s="4">
        <v>-1.38</v>
      </c>
      <c r="T956" s="2">
        <v>1.3</v>
      </c>
      <c r="U956" s="2">
        <v>137.79</v>
      </c>
      <c r="V956" s="2">
        <v>62.92</v>
      </c>
      <c r="W956" s="2">
        <v>-13.4</v>
      </c>
      <c r="X956" s="2">
        <v>-4.13</v>
      </c>
      <c r="Y956" s="2">
        <v>30.49</v>
      </c>
      <c r="Z956" s="2">
        <v>39.28</v>
      </c>
    </row>
    <row r="957" spans="1:26" x14ac:dyDescent="0.25">
      <c r="A957" s="1" t="s">
        <v>4109</v>
      </c>
      <c r="B957" s="1" t="s">
        <v>4110</v>
      </c>
      <c r="C957" s="1" t="s">
        <v>16</v>
      </c>
      <c r="D957" s="1" t="s">
        <v>38</v>
      </c>
      <c r="E957" s="1" t="s">
        <v>653</v>
      </c>
      <c r="F957" s="1" t="s">
        <v>4111</v>
      </c>
      <c r="G957" s="1" t="s">
        <v>12480</v>
      </c>
      <c r="H957" s="1" t="s">
        <v>12657</v>
      </c>
      <c r="I957" s="2">
        <v>138.91</v>
      </c>
      <c r="J957" s="2">
        <v>12.96</v>
      </c>
      <c r="K957" s="2">
        <v>15.77</v>
      </c>
      <c r="L957" s="2">
        <v>17.95</v>
      </c>
      <c r="M957" s="4">
        <f t="shared" si="84"/>
        <v>8.8084971464806596</v>
      </c>
      <c r="N957" s="4">
        <f t="shared" si="85"/>
        <v>7.7387186629526461</v>
      </c>
      <c r="O957" s="5">
        <f t="shared" si="86"/>
        <v>0.21682098765432078</v>
      </c>
      <c r="P957" s="5">
        <f t="shared" si="87"/>
        <v>0.13823715916296764</v>
      </c>
      <c r="Q957" s="4">
        <f t="shared" si="88"/>
        <v>0.40625666554586992</v>
      </c>
      <c r="R957" s="4">
        <f t="shared" si="89"/>
        <v>0.55981464823285898</v>
      </c>
      <c r="S957" s="4">
        <v>18.579999999999998</v>
      </c>
      <c r="T957" s="2">
        <v>1.24</v>
      </c>
      <c r="U957" s="2">
        <v>172.37</v>
      </c>
      <c r="V957" s="2">
        <v>85.91</v>
      </c>
      <c r="W957" s="2">
        <v>-1.89</v>
      </c>
      <c r="X957" s="2">
        <v>-12.49</v>
      </c>
      <c r="Y957" s="2">
        <v>-13.41</v>
      </c>
      <c r="Z957" s="2">
        <v>-11.64</v>
      </c>
    </row>
    <row r="958" spans="1:26" x14ac:dyDescent="0.25">
      <c r="A958" s="1" t="s">
        <v>4112</v>
      </c>
      <c r="B958" s="1" t="s">
        <v>4113</v>
      </c>
      <c r="C958" s="1" t="s">
        <v>45</v>
      </c>
      <c r="D958" s="1" t="s">
        <v>32</v>
      </c>
      <c r="E958" s="1" t="s">
        <v>1607</v>
      </c>
      <c r="F958" s="1" t="s">
        <v>4114</v>
      </c>
      <c r="G958" s="1" t="s">
        <v>12480</v>
      </c>
      <c r="H958" s="1" t="s">
        <v>4115</v>
      </c>
      <c r="I958" s="2">
        <v>5.09</v>
      </c>
      <c r="J958" s="2">
        <v>-0.54</v>
      </c>
      <c r="K958" s="2">
        <v>-0.6</v>
      </c>
      <c r="L958" s="2">
        <v>-0.47</v>
      </c>
      <c r="M958" s="4">
        <f t="shared" si="84"/>
        <v>-8.4833333333333343</v>
      </c>
      <c r="N958" s="4">
        <f t="shared" si="85"/>
        <v>-10.829787234042554</v>
      </c>
      <c r="O958" s="5">
        <f t="shared" si="86"/>
        <v>0.11111111111111094</v>
      </c>
      <c r="P958" s="5">
        <f t="shared" si="87"/>
        <v>-0.21666666666666667</v>
      </c>
      <c r="Q958" s="4">
        <f t="shared" si="88"/>
        <v>-0.76350000000000129</v>
      </c>
      <c r="R958" s="4">
        <f t="shared" si="89"/>
        <v>0.4998363338788871</v>
      </c>
      <c r="S958" s="4">
        <v>37.909999999999997</v>
      </c>
      <c r="T958" s="2">
        <v>2.15</v>
      </c>
      <c r="U958" s="2">
        <v>15.93</v>
      </c>
      <c r="V958" s="2">
        <v>4.8499999999999996</v>
      </c>
      <c r="W958" s="2">
        <v>-6.61</v>
      </c>
      <c r="X958" s="2">
        <v>-21.45</v>
      </c>
      <c r="Y958" s="2">
        <v>-35.57</v>
      </c>
      <c r="Z958" s="2">
        <v>-30.37</v>
      </c>
    </row>
    <row r="959" spans="1:26" x14ac:dyDescent="0.25">
      <c r="A959" s="1" t="s">
        <v>4116</v>
      </c>
      <c r="B959" s="1" t="s">
        <v>4117</v>
      </c>
      <c r="C959" s="1" t="s">
        <v>16</v>
      </c>
      <c r="D959" s="1" t="s">
        <v>94</v>
      </c>
      <c r="E959" s="1" t="s">
        <v>894</v>
      </c>
      <c r="F959" s="1" t="s">
        <v>4118</v>
      </c>
      <c r="G959" s="1" t="s">
        <v>12480</v>
      </c>
      <c r="H959" s="1" t="s">
        <v>4119</v>
      </c>
      <c r="I959" s="2">
        <v>131.66999999999999</v>
      </c>
      <c r="J959" s="2">
        <v>10.16</v>
      </c>
      <c r="K959" s="2">
        <v>9.0299999999999994</v>
      </c>
      <c r="L959" s="2">
        <v>10.63</v>
      </c>
      <c r="M959" s="4">
        <f t="shared" si="84"/>
        <v>14.581395348837209</v>
      </c>
      <c r="N959" s="4">
        <f t="shared" si="85"/>
        <v>12.386641580432736</v>
      </c>
      <c r="O959" s="5">
        <f t="shared" si="86"/>
        <v>-0.11122047244094491</v>
      </c>
      <c r="P959" s="5">
        <f t="shared" si="87"/>
        <v>0.1771871539313401</v>
      </c>
      <c r="Q959" s="4">
        <f t="shared" si="88"/>
        <v>-1.3110351924264247</v>
      </c>
      <c r="R959" s="4">
        <f t="shared" si="89"/>
        <v>0.69907108419567199</v>
      </c>
      <c r="S959" s="4">
        <v>-4.5</v>
      </c>
      <c r="T959" s="2">
        <v>0.44</v>
      </c>
      <c r="U959" s="2">
        <v>131.66999999999999</v>
      </c>
      <c r="V959" s="2">
        <v>101.78</v>
      </c>
      <c r="W959" s="2">
        <v>2.35</v>
      </c>
      <c r="X959" s="2">
        <v>15.63</v>
      </c>
      <c r="Y959" s="2">
        <v>24.3</v>
      </c>
      <c r="Z959" s="2">
        <v>25.39</v>
      </c>
    </row>
    <row r="960" spans="1:26" x14ac:dyDescent="0.25">
      <c r="A960" s="1" t="s">
        <v>4120</v>
      </c>
      <c r="B960" s="1" t="s">
        <v>4121</v>
      </c>
      <c r="C960" s="1" t="s">
        <v>45</v>
      </c>
      <c r="D960" s="1" t="s">
        <v>25</v>
      </c>
      <c r="E960" s="1" t="s">
        <v>325</v>
      </c>
      <c r="F960" s="1" t="s">
        <v>4122</v>
      </c>
      <c r="G960" s="1" t="s">
        <v>12480</v>
      </c>
      <c r="H960" s="1" t="s">
        <v>4123</v>
      </c>
      <c r="I960" s="2">
        <v>6.17</v>
      </c>
      <c r="J960" s="2">
        <v>-6.69</v>
      </c>
      <c r="K960" s="2">
        <v>-0.66</v>
      </c>
      <c r="L960" s="2">
        <v>-0.12</v>
      </c>
      <c r="M960" s="4">
        <f t="shared" si="84"/>
        <v>-9.3484848484848477</v>
      </c>
      <c r="N960" s="4">
        <f t="shared" si="85"/>
        <v>-51.416666666666671</v>
      </c>
      <c r="O960" s="5">
        <f t="shared" si="86"/>
        <v>-0.90134529147982068</v>
      </c>
      <c r="P960" s="5">
        <f t="shared" si="87"/>
        <v>-0.81818181818181823</v>
      </c>
      <c r="Q960" s="4">
        <f t="shared" si="88"/>
        <v>0.10371702095582691</v>
      </c>
      <c r="R960" s="4">
        <f t="shared" si="89"/>
        <v>0.62842592592592594</v>
      </c>
      <c r="S960" s="4">
        <v>631.79</v>
      </c>
      <c r="T960" s="2">
        <v>2.2599999999999998</v>
      </c>
      <c r="U960" s="2">
        <v>19.190000000000001</v>
      </c>
      <c r="V960" s="2">
        <v>3.3</v>
      </c>
      <c r="W960" s="2">
        <v>4.58</v>
      </c>
      <c r="X960" s="2">
        <v>-53.4</v>
      </c>
      <c r="Y960" s="2">
        <v>-54.73</v>
      </c>
      <c r="Z960" s="2">
        <v>-46.16</v>
      </c>
    </row>
    <row r="961" spans="1:26" x14ac:dyDescent="0.25">
      <c r="A961" s="1" t="s">
        <v>4124</v>
      </c>
      <c r="B961" s="1" t="s">
        <v>4125</v>
      </c>
      <c r="C961" s="1" t="s">
        <v>16</v>
      </c>
      <c r="D961" s="1" t="s">
        <v>25</v>
      </c>
      <c r="E961" s="1" t="s">
        <v>743</v>
      </c>
      <c r="F961" s="1" t="s">
        <v>4126</v>
      </c>
      <c r="G961" s="1" t="s">
        <v>12497</v>
      </c>
      <c r="H961" s="1" t="s">
        <v>4127</v>
      </c>
      <c r="I961" s="2">
        <v>37.03</v>
      </c>
      <c r="J961" s="2">
        <v>1.81</v>
      </c>
      <c r="K961" s="2">
        <v>1.92</v>
      </c>
      <c r="L961" s="2">
        <v>2.19</v>
      </c>
      <c r="M961" s="4">
        <f t="shared" si="84"/>
        <v>19.286458333333336</v>
      </c>
      <c r="N961" s="4">
        <f t="shared" si="85"/>
        <v>16.908675799086758</v>
      </c>
      <c r="O961" s="5">
        <f t="shared" si="86"/>
        <v>6.0773480662983381E-2</v>
      </c>
      <c r="P961" s="5">
        <f t="shared" si="87"/>
        <v>0.140625</v>
      </c>
      <c r="Q961" s="4">
        <f t="shared" si="88"/>
        <v>3.1734990530303056</v>
      </c>
      <c r="R961" s="4">
        <f t="shared" si="89"/>
        <v>1.2023947234906138</v>
      </c>
      <c r="S961" s="4">
        <v>4.6500000000000004</v>
      </c>
      <c r="T961" s="2">
        <v>0.96</v>
      </c>
      <c r="U961" s="2">
        <v>47.02</v>
      </c>
      <c r="V961" s="2">
        <v>35.81</v>
      </c>
      <c r="W961" s="2">
        <v>-9.57</v>
      </c>
      <c r="X961" s="2">
        <v>-12.75</v>
      </c>
      <c r="Y961" s="2">
        <v>-7.38</v>
      </c>
      <c r="Z961" s="2">
        <v>-3.16</v>
      </c>
    </row>
    <row r="962" spans="1:26" x14ac:dyDescent="0.25">
      <c r="A962" s="1" t="s">
        <v>4128</v>
      </c>
      <c r="B962" s="1" t="s">
        <v>4129</v>
      </c>
      <c r="C962" s="1" t="s">
        <v>16</v>
      </c>
      <c r="D962" s="1" t="s">
        <v>32</v>
      </c>
      <c r="E962" s="1" t="s">
        <v>248</v>
      </c>
      <c r="F962" s="1" t="s">
        <v>4130</v>
      </c>
      <c r="G962" s="1" t="s">
        <v>12480</v>
      </c>
      <c r="H962" s="1" t="s">
        <v>4131</v>
      </c>
      <c r="I962" s="2">
        <v>146.26</v>
      </c>
      <c r="J962" s="2">
        <v>11.5</v>
      </c>
      <c r="K962" s="2">
        <v>12.67</v>
      </c>
      <c r="L962" s="2">
        <v>14.04</v>
      </c>
      <c r="M962" s="4">
        <f t="shared" si="84"/>
        <v>11.543804262036305</v>
      </c>
      <c r="N962" s="4">
        <f t="shared" si="85"/>
        <v>10.417378917378917</v>
      </c>
      <c r="O962" s="5">
        <f t="shared" si="86"/>
        <v>0.10173913043478255</v>
      </c>
      <c r="P962" s="5">
        <f t="shared" si="87"/>
        <v>0.10812943962115229</v>
      </c>
      <c r="Q962" s="4">
        <f t="shared" si="88"/>
        <v>1.1346474274651077</v>
      </c>
      <c r="R962" s="4">
        <f t="shared" si="89"/>
        <v>0.96341745170212356</v>
      </c>
      <c r="S962" s="4">
        <v>15.42</v>
      </c>
      <c r="T962" s="2">
        <v>1.77</v>
      </c>
      <c r="U962" s="2">
        <v>221.4</v>
      </c>
      <c r="V962" s="2">
        <v>128.82</v>
      </c>
      <c r="W962" s="2">
        <v>5.0999999999999996</v>
      </c>
      <c r="X962" s="2">
        <v>-23.24</v>
      </c>
      <c r="Y962" s="2">
        <v>-31.06</v>
      </c>
      <c r="Z962" s="2">
        <v>-28.61</v>
      </c>
    </row>
    <row r="963" spans="1:26" x14ac:dyDescent="0.25">
      <c r="A963" s="1" t="s">
        <v>4132</v>
      </c>
      <c r="B963" s="1" t="s">
        <v>4133</v>
      </c>
      <c r="C963" s="1" t="s">
        <v>16</v>
      </c>
      <c r="D963" s="1" t="s">
        <v>94</v>
      </c>
      <c r="E963" s="1" t="s">
        <v>3606</v>
      </c>
      <c r="F963" s="1" t="s">
        <v>4134</v>
      </c>
      <c r="G963" s="1" t="s">
        <v>12480</v>
      </c>
      <c r="H963" s="1" t="s">
        <v>4135</v>
      </c>
      <c r="I963" s="2">
        <v>37.090000000000003</v>
      </c>
      <c r="J963" s="2">
        <v>2.66</v>
      </c>
      <c r="K963" s="2">
        <v>2.81</v>
      </c>
      <c r="L963" s="2">
        <v>3.06</v>
      </c>
      <c r="M963" s="4">
        <f t="shared" ref="M963:M1026" si="90">I963/K963</f>
        <v>13.199288256227758</v>
      </c>
      <c r="N963" s="4">
        <f t="shared" ref="N963:N1026" si="91">I963/L963</f>
        <v>12.12091503267974</v>
      </c>
      <c r="O963" s="5">
        <f t="shared" ref="O963:O1026" si="92">K963/J963-1</f>
        <v>5.6390977443608881E-2</v>
      </c>
      <c r="P963" s="5">
        <f t="shared" ref="P963:P1026" si="93">L963/K963-1</f>
        <v>8.8967971530249157E-2</v>
      </c>
      <c r="Q963" s="4">
        <f t="shared" ref="Q963:Q1026" si="94">M963/(O963*100)</f>
        <v>2.340673784104395</v>
      </c>
      <c r="R963" s="4">
        <f t="shared" ref="R963:R1026" si="95">N963/(P963*100)</f>
        <v>1.362390849673202</v>
      </c>
      <c r="S963" s="4">
        <v>-6.44</v>
      </c>
      <c r="T963" s="2">
        <v>0.59</v>
      </c>
      <c r="U963" s="2">
        <v>37.57</v>
      </c>
      <c r="V963" s="2">
        <v>28.95</v>
      </c>
      <c r="W963" s="2">
        <v>0.54</v>
      </c>
      <c r="X963" s="2">
        <v>5.49</v>
      </c>
      <c r="Y963" s="2">
        <v>14.79</v>
      </c>
      <c r="Z963" s="2">
        <v>15.69</v>
      </c>
    </row>
    <row r="964" spans="1:26" x14ac:dyDescent="0.25">
      <c r="A964" s="1" t="s">
        <v>4136</v>
      </c>
      <c r="B964" s="1" t="s">
        <v>4137</v>
      </c>
      <c r="C964" s="1" t="s">
        <v>16</v>
      </c>
      <c r="D964" s="1" t="s">
        <v>38</v>
      </c>
      <c r="E964" s="1" t="s">
        <v>259</v>
      </c>
      <c r="F964" s="1" t="s">
        <v>4138</v>
      </c>
      <c r="G964" s="1" t="s">
        <v>12480</v>
      </c>
      <c r="H964" s="1" t="s">
        <v>4139</v>
      </c>
      <c r="I964" s="2">
        <v>54.39</v>
      </c>
      <c r="J964" s="2"/>
      <c r="K964" s="2"/>
      <c r="L964" s="2"/>
      <c r="M964" s="4" t="e">
        <f t="shared" si="90"/>
        <v>#DIV/0!</v>
      </c>
      <c r="N964" s="4" t="e">
        <f t="shared" si="91"/>
        <v>#DIV/0!</v>
      </c>
      <c r="O964" s="5" t="e">
        <f t="shared" si="92"/>
        <v>#DIV/0!</v>
      </c>
      <c r="P964" s="5" t="e">
        <f t="shared" si="93"/>
        <v>#DIV/0!</v>
      </c>
      <c r="Q964" s="4" t="e">
        <f t="shared" si="94"/>
        <v>#DIV/0!</v>
      </c>
      <c r="R964" s="4" t="e">
        <f t="shared" si="95"/>
        <v>#DIV/0!</v>
      </c>
      <c r="S964" s="4"/>
      <c r="T964" s="2">
        <v>0.8</v>
      </c>
      <c r="U964" s="2">
        <v>56.86</v>
      </c>
      <c r="V964" s="2">
        <v>38.85</v>
      </c>
      <c r="W964" s="2">
        <v>-3.38</v>
      </c>
      <c r="X964" s="2">
        <v>-1.25</v>
      </c>
      <c r="Y964" s="2">
        <v>6.48</v>
      </c>
      <c r="Z964" s="2">
        <v>7.77</v>
      </c>
    </row>
    <row r="965" spans="1:26" x14ac:dyDescent="0.25">
      <c r="A965" s="1" t="s">
        <v>4140</v>
      </c>
      <c r="B965" s="1" t="s">
        <v>4141</v>
      </c>
      <c r="C965" s="1" t="s">
        <v>16</v>
      </c>
      <c r="D965" s="1" t="s">
        <v>38</v>
      </c>
      <c r="E965" s="1" t="s">
        <v>83</v>
      </c>
      <c r="F965" s="1" t="s">
        <v>4142</v>
      </c>
      <c r="G965" s="1" t="s">
        <v>12480</v>
      </c>
      <c r="H965" s="1" t="s">
        <v>4143</v>
      </c>
      <c r="I965" s="2">
        <v>57.8</v>
      </c>
      <c r="J965" s="2">
        <v>5.14</v>
      </c>
      <c r="K965" s="2">
        <v>5.26</v>
      </c>
      <c r="L965" s="2">
        <v>5.42</v>
      </c>
      <c r="M965" s="4">
        <f t="shared" si="90"/>
        <v>10.988593155893536</v>
      </c>
      <c r="N965" s="4">
        <f t="shared" si="91"/>
        <v>10.66420664206642</v>
      </c>
      <c r="O965" s="5">
        <f t="shared" si="92"/>
        <v>2.3346303501945442E-2</v>
      </c>
      <c r="P965" s="5">
        <f t="shared" si="93"/>
        <v>3.041825095057038E-2</v>
      </c>
      <c r="Q965" s="4">
        <f t="shared" si="94"/>
        <v>4.7067807351077482</v>
      </c>
      <c r="R965" s="4">
        <f t="shared" si="95"/>
        <v>3.505857933579331</v>
      </c>
      <c r="S965" s="4">
        <v>2.91</v>
      </c>
      <c r="T965" s="2">
        <v>0.95</v>
      </c>
      <c r="U965" s="2">
        <v>61.21</v>
      </c>
      <c r="V965" s="2">
        <v>43.53</v>
      </c>
      <c r="W965" s="2">
        <v>-3.57</v>
      </c>
      <c r="X965" s="2">
        <v>2.41</v>
      </c>
      <c r="Y965" s="2">
        <v>15.07</v>
      </c>
      <c r="Z965" s="2">
        <v>15.83</v>
      </c>
    </row>
    <row r="966" spans="1:26" x14ac:dyDescent="0.25">
      <c r="A966" s="1" t="s">
        <v>4144</v>
      </c>
      <c r="B966" s="1" t="s">
        <v>4145</v>
      </c>
      <c r="C966" s="1" t="s">
        <v>16</v>
      </c>
      <c r="D966" s="1" t="s">
        <v>38</v>
      </c>
      <c r="E966" s="1" t="s">
        <v>83</v>
      </c>
      <c r="F966" s="1" t="s">
        <v>4146</v>
      </c>
      <c r="G966" s="1" t="s">
        <v>12480</v>
      </c>
      <c r="H966" s="1" t="s">
        <v>4147</v>
      </c>
      <c r="I966" s="2">
        <v>34.159999999999997</v>
      </c>
      <c r="J966" s="2">
        <v>1.89</v>
      </c>
      <c r="K966" s="2">
        <v>2.04</v>
      </c>
      <c r="L966" s="2">
        <v>2.17</v>
      </c>
      <c r="M966" s="4">
        <f t="shared" si="90"/>
        <v>16.745098039215684</v>
      </c>
      <c r="N966" s="4">
        <f t="shared" si="91"/>
        <v>15.741935483870966</v>
      </c>
      <c r="O966" s="5">
        <f t="shared" si="92"/>
        <v>7.9365079365079527E-2</v>
      </c>
      <c r="P966" s="5">
        <f t="shared" si="93"/>
        <v>6.3725490196078427E-2</v>
      </c>
      <c r="Q966" s="4">
        <f t="shared" si="94"/>
        <v>2.1098823529411717</v>
      </c>
      <c r="R966" s="4">
        <f t="shared" si="95"/>
        <v>2.4702729528535978</v>
      </c>
      <c r="S966" s="4">
        <v>24.82</v>
      </c>
      <c r="T966" s="2">
        <v>0.95</v>
      </c>
      <c r="U966" s="2">
        <v>34.590000000000003</v>
      </c>
      <c r="V966" s="2">
        <v>28.45</v>
      </c>
      <c r="W966" s="2">
        <v>-1.24</v>
      </c>
      <c r="X966" s="2">
        <v>8.5500000000000007</v>
      </c>
      <c r="Y966" s="2">
        <v>11.05</v>
      </c>
      <c r="Z966" s="2">
        <v>15.17</v>
      </c>
    </row>
    <row r="967" spans="1:26" x14ac:dyDescent="0.25">
      <c r="A967" s="1" t="s">
        <v>4148</v>
      </c>
      <c r="B967" s="1" t="s">
        <v>4149</v>
      </c>
      <c r="C967" s="1" t="s">
        <v>16</v>
      </c>
      <c r="D967" s="1" t="s">
        <v>38</v>
      </c>
      <c r="E967" s="1" t="s">
        <v>254</v>
      </c>
      <c r="F967" s="1" t="s">
        <v>4150</v>
      </c>
      <c r="G967" s="1" t="s">
        <v>12480</v>
      </c>
      <c r="H967" s="1" t="s">
        <v>4151</v>
      </c>
      <c r="I967" s="2">
        <v>39.44</v>
      </c>
      <c r="J967" s="2">
        <v>6.21</v>
      </c>
      <c r="K967" s="2">
        <v>7.6</v>
      </c>
      <c r="L967" s="2">
        <v>9.11</v>
      </c>
      <c r="M967" s="4">
        <f t="shared" si="90"/>
        <v>5.189473684210526</v>
      </c>
      <c r="N967" s="4">
        <f t="shared" si="91"/>
        <v>4.3293084522502747</v>
      </c>
      <c r="O967" s="5">
        <f t="shared" si="92"/>
        <v>0.22383252818035415</v>
      </c>
      <c r="P967" s="5">
        <f t="shared" si="93"/>
        <v>0.1986842105263158</v>
      </c>
      <c r="Q967" s="4">
        <f t="shared" si="94"/>
        <v>0.23184627035213945</v>
      </c>
      <c r="R967" s="4">
        <f t="shared" si="95"/>
        <v>0.21789896845762971</v>
      </c>
      <c r="S967" s="4">
        <v>-6.21</v>
      </c>
      <c r="T967" s="2">
        <v>1.1200000000000001</v>
      </c>
      <c r="U967" s="2">
        <v>56.1</v>
      </c>
      <c r="V967" s="2">
        <v>39.26</v>
      </c>
      <c r="W967" s="2">
        <v>-2.59</v>
      </c>
      <c r="X967" s="2">
        <v>-14.28</v>
      </c>
      <c r="Y967" s="2">
        <v>-18.34</v>
      </c>
      <c r="Z967" s="2">
        <v>-17.23</v>
      </c>
    </row>
    <row r="968" spans="1:26" x14ac:dyDescent="0.25">
      <c r="A968" s="1" t="s">
        <v>4152</v>
      </c>
      <c r="B968" s="1" t="s">
        <v>4153</v>
      </c>
      <c r="C968" s="1" t="s">
        <v>45</v>
      </c>
      <c r="D968" s="1" t="s">
        <v>38</v>
      </c>
      <c r="E968" s="1" t="s">
        <v>83</v>
      </c>
      <c r="F968" s="1" t="s">
        <v>4154</v>
      </c>
      <c r="G968" s="1" t="s">
        <v>12480</v>
      </c>
      <c r="H968" s="1" t="s">
        <v>4155</v>
      </c>
      <c r="I968" s="2">
        <v>944.91</v>
      </c>
      <c r="J968" s="2">
        <v>38.33</v>
      </c>
      <c r="K968" s="2">
        <v>41.93</v>
      </c>
      <c r="L968" s="2">
        <v>45.13</v>
      </c>
      <c r="M968" s="4">
        <f t="shared" si="90"/>
        <v>22.535416169806819</v>
      </c>
      <c r="N968" s="4">
        <f t="shared" si="91"/>
        <v>20.937513848881007</v>
      </c>
      <c r="O968" s="5">
        <f t="shared" si="92"/>
        <v>9.3921210540047095E-2</v>
      </c>
      <c r="P968" s="5">
        <f t="shared" si="93"/>
        <v>7.6317672310994622E-2</v>
      </c>
      <c r="Q968" s="4">
        <f t="shared" si="94"/>
        <v>2.399395838301928</v>
      </c>
      <c r="R968" s="4">
        <f t="shared" si="95"/>
        <v>2.7434686115111857</v>
      </c>
      <c r="S968" s="4">
        <v>5.36</v>
      </c>
      <c r="T968" s="2">
        <v>1.04</v>
      </c>
      <c r="U968" s="2">
        <v>974.26</v>
      </c>
      <c r="V968" s="2">
        <v>726.09</v>
      </c>
      <c r="W968" s="2">
        <v>-2.19</v>
      </c>
      <c r="X968" s="2">
        <v>10.16</v>
      </c>
      <c r="Y968" s="2">
        <v>24.1</v>
      </c>
      <c r="Z968" s="2">
        <v>23.33</v>
      </c>
    </row>
    <row r="969" spans="1:26" x14ac:dyDescent="0.25">
      <c r="A969" s="1" t="s">
        <v>4157</v>
      </c>
      <c r="B969" s="1" t="s">
        <v>4158</v>
      </c>
      <c r="C969" s="1" t="s">
        <v>16</v>
      </c>
      <c r="D969" s="1" t="s">
        <v>94</v>
      </c>
      <c r="E969" s="1" t="s">
        <v>3284</v>
      </c>
      <c r="F969" s="1" t="s">
        <v>4159</v>
      </c>
      <c r="G969" s="1" t="s">
        <v>12480</v>
      </c>
      <c r="H969" s="1" t="s">
        <v>4160</v>
      </c>
      <c r="I969" s="2">
        <v>32.43</v>
      </c>
      <c r="J969" s="2">
        <v>2.4700000000000002</v>
      </c>
      <c r="K969" s="2">
        <v>2.73</v>
      </c>
      <c r="L969" s="2">
        <v>2.82</v>
      </c>
      <c r="M969" s="4">
        <f t="shared" si="90"/>
        <v>11.87912087912088</v>
      </c>
      <c r="N969" s="4">
        <f t="shared" si="91"/>
        <v>11.5</v>
      </c>
      <c r="O969" s="5">
        <f t="shared" si="92"/>
        <v>0.10526315789473673</v>
      </c>
      <c r="P969" s="5">
        <f t="shared" si="93"/>
        <v>3.296703296703285E-2</v>
      </c>
      <c r="Q969" s="4">
        <f t="shared" si="94"/>
        <v>1.1285164835164847</v>
      </c>
      <c r="R969" s="4">
        <f t="shared" si="95"/>
        <v>3.4883333333333457</v>
      </c>
      <c r="S969" s="4">
        <v>2.59</v>
      </c>
      <c r="T969" s="2">
        <v>0.35</v>
      </c>
      <c r="U969" s="2">
        <v>33.590000000000003</v>
      </c>
      <c r="V969" s="2">
        <v>22.04</v>
      </c>
      <c r="W969" s="2">
        <v>1.1200000000000001</v>
      </c>
      <c r="X969" s="2">
        <v>17.25</v>
      </c>
      <c r="Y969" s="2">
        <v>41.74</v>
      </c>
      <c r="Z969" s="2">
        <v>37.24</v>
      </c>
    </row>
    <row r="970" spans="1:26" x14ac:dyDescent="0.25">
      <c r="A970" s="1" t="s">
        <v>4161</v>
      </c>
      <c r="B970" s="1" t="s">
        <v>4162</v>
      </c>
      <c r="C970" s="1" t="s">
        <v>45</v>
      </c>
      <c r="D970" s="1" t="s">
        <v>25</v>
      </c>
      <c r="E970" s="1" t="s">
        <v>325</v>
      </c>
      <c r="F970" s="1" t="s">
        <v>4163</v>
      </c>
      <c r="G970" s="1" t="s">
        <v>12480</v>
      </c>
      <c r="H970" s="1" t="s">
        <v>4164</v>
      </c>
      <c r="I970" s="2" t="s">
        <v>12542</v>
      </c>
      <c r="J970" s="2"/>
      <c r="K970" s="2">
        <v>0.45</v>
      </c>
      <c r="L970" s="2">
        <v>1.08</v>
      </c>
      <c r="M970" s="4">
        <f t="shared" si="90"/>
        <v>62.222222222222221</v>
      </c>
      <c r="N970" s="4">
        <f t="shared" si="91"/>
        <v>25.925925925925924</v>
      </c>
      <c r="O970" s="5" t="e">
        <f t="shared" si="92"/>
        <v>#DIV/0!</v>
      </c>
      <c r="P970" s="5">
        <f t="shared" si="93"/>
        <v>1.4</v>
      </c>
      <c r="Q970" s="4" t="e">
        <f t="shared" si="94"/>
        <v>#DIV/0!</v>
      </c>
      <c r="R970" s="4">
        <f t="shared" si="95"/>
        <v>0.18518518518518517</v>
      </c>
      <c r="S970" s="4"/>
      <c r="T970" s="2"/>
      <c r="U970" s="2">
        <v>34.630000000000003</v>
      </c>
      <c r="V970" s="2">
        <v>27.82</v>
      </c>
      <c r="W970" s="2">
        <v>-6.88</v>
      </c>
      <c r="X970" s="2">
        <v>-14.03</v>
      </c>
      <c r="Y970" s="2"/>
      <c r="Z970" s="2"/>
    </row>
    <row r="971" spans="1:26" x14ac:dyDescent="0.25">
      <c r="A971" s="1" t="s">
        <v>4165</v>
      </c>
      <c r="B971" s="1" t="s">
        <v>4166</v>
      </c>
      <c r="C971" s="1" t="s">
        <v>16</v>
      </c>
      <c r="D971" s="1" t="s">
        <v>38</v>
      </c>
      <c r="E971" s="1" t="s">
        <v>765</v>
      </c>
      <c r="F971" s="1" t="s">
        <v>4167</v>
      </c>
      <c r="G971" s="1" t="s">
        <v>12480</v>
      </c>
      <c r="H971" s="1" t="s">
        <v>4168</v>
      </c>
      <c r="I971" s="2">
        <v>62.18</v>
      </c>
      <c r="J971" s="2">
        <v>3.99</v>
      </c>
      <c r="K971" s="2">
        <v>4.0999999999999996</v>
      </c>
      <c r="L971" s="2">
        <v>4.2699999999999996</v>
      </c>
      <c r="M971" s="4">
        <f t="shared" si="90"/>
        <v>15.165853658536587</v>
      </c>
      <c r="N971" s="4">
        <f t="shared" si="91"/>
        <v>14.562060889929743</v>
      </c>
      <c r="O971" s="5">
        <f t="shared" si="92"/>
        <v>2.7568922305764243E-2</v>
      </c>
      <c r="P971" s="5">
        <f t="shared" si="93"/>
        <v>4.1463414634146378E-2</v>
      </c>
      <c r="Q971" s="4">
        <f t="shared" si="94"/>
        <v>5.5010687361419413</v>
      </c>
      <c r="R971" s="4">
        <f t="shared" si="95"/>
        <v>3.5120264499242291</v>
      </c>
      <c r="S971" s="4">
        <v>3.82</v>
      </c>
      <c r="T971" s="2">
        <v>0.75</v>
      </c>
      <c r="U971" s="2">
        <v>71.97</v>
      </c>
      <c r="V971" s="2">
        <v>58.7</v>
      </c>
      <c r="W971" s="2">
        <v>-1.5</v>
      </c>
      <c r="X971" s="2">
        <v>-3.85</v>
      </c>
      <c r="Y971" s="2">
        <v>1.77</v>
      </c>
      <c r="Z971" s="2">
        <v>-1.36</v>
      </c>
    </row>
    <row r="972" spans="1:26" x14ac:dyDescent="0.25">
      <c r="A972" s="1" t="s">
        <v>4170</v>
      </c>
      <c r="B972" s="1" t="s">
        <v>4170</v>
      </c>
      <c r="C972" s="1" t="s">
        <v>16</v>
      </c>
      <c r="D972" s="1" t="s">
        <v>94</v>
      </c>
      <c r="E972" s="1" t="s">
        <v>894</v>
      </c>
      <c r="F972" s="1" t="s">
        <v>4171</v>
      </c>
      <c r="G972" s="1" t="s">
        <v>12480</v>
      </c>
      <c r="H972" s="1" t="s">
        <v>4172</v>
      </c>
      <c r="I972" s="2">
        <v>62.23</v>
      </c>
      <c r="J972" s="2">
        <v>3.05</v>
      </c>
      <c r="K972" s="2">
        <v>4.46</v>
      </c>
      <c r="L972" s="2">
        <v>4.38</v>
      </c>
      <c r="M972" s="4">
        <f t="shared" si="90"/>
        <v>13.952914798206278</v>
      </c>
      <c r="N972" s="4">
        <f t="shared" si="91"/>
        <v>14.207762557077626</v>
      </c>
      <c r="O972" s="5">
        <f t="shared" si="92"/>
        <v>0.46229508196721314</v>
      </c>
      <c r="P972" s="5">
        <f t="shared" si="93"/>
        <v>-1.7937219730941756E-2</v>
      </c>
      <c r="Q972" s="4">
        <f t="shared" si="94"/>
        <v>0.30181836974843368</v>
      </c>
      <c r="R972" s="4">
        <f t="shared" si="95"/>
        <v>-7.9208276255707535</v>
      </c>
      <c r="S972" s="4">
        <v>63.92</v>
      </c>
      <c r="T972" s="2">
        <v>0.72</v>
      </c>
      <c r="U972" s="2">
        <v>62.23</v>
      </c>
      <c r="V972" s="2">
        <v>46.11</v>
      </c>
      <c r="W972" s="2">
        <v>0.96</v>
      </c>
      <c r="X972" s="2">
        <v>10.87</v>
      </c>
      <c r="Y972" s="2">
        <v>12.8</v>
      </c>
      <c r="Z972" s="2">
        <v>16.100000000000001</v>
      </c>
    </row>
    <row r="973" spans="1:26" x14ac:dyDescent="0.25">
      <c r="A973" s="1" t="s">
        <v>4173</v>
      </c>
      <c r="B973" s="1" t="s">
        <v>4174</v>
      </c>
      <c r="C973" s="1" t="s">
        <v>1118</v>
      </c>
      <c r="D973" s="1" t="s">
        <v>88</v>
      </c>
      <c r="E973" s="1" t="s">
        <v>89</v>
      </c>
      <c r="F973" s="1" t="s">
        <v>4175</v>
      </c>
      <c r="G973" s="1" t="s">
        <v>12480</v>
      </c>
      <c r="H973" s="1" t="s">
        <v>4176</v>
      </c>
      <c r="I973" s="2">
        <v>16.510000000000002</v>
      </c>
      <c r="J973" s="2">
        <v>0.3</v>
      </c>
      <c r="K973" s="2">
        <v>1.1100000000000001</v>
      </c>
      <c r="L973" s="2">
        <v>1.28</v>
      </c>
      <c r="M973" s="4">
        <f t="shared" si="90"/>
        <v>14.873873873873874</v>
      </c>
      <c r="N973" s="4">
        <f t="shared" si="91"/>
        <v>12.898437500000002</v>
      </c>
      <c r="O973" s="5">
        <f t="shared" si="92"/>
        <v>2.7000000000000006</v>
      </c>
      <c r="P973" s="5">
        <f t="shared" si="93"/>
        <v>0.15315315315315314</v>
      </c>
      <c r="Q973" s="4">
        <f t="shared" si="94"/>
        <v>5.5088421755088414E-2</v>
      </c>
      <c r="R973" s="4">
        <f t="shared" si="95"/>
        <v>0.84219209558823549</v>
      </c>
      <c r="S973" s="4">
        <v>20.02</v>
      </c>
      <c r="T973" s="2">
        <v>1.2</v>
      </c>
      <c r="U973" s="2">
        <v>18.760000000000002</v>
      </c>
      <c r="V973" s="2">
        <v>5.68</v>
      </c>
      <c r="W973" s="2">
        <v>-11.95</v>
      </c>
      <c r="X973" s="2">
        <v>6.31</v>
      </c>
      <c r="Y973" s="2">
        <v>18.350000000000001</v>
      </c>
      <c r="Z973" s="2">
        <v>17.59</v>
      </c>
    </row>
    <row r="974" spans="1:26" x14ac:dyDescent="0.25">
      <c r="A974" s="1" t="s">
        <v>4177</v>
      </c>
      <c r="B974" s="1" t="s">
        <v>4178</v>
      </c>
      <c r="C974" s="1" t="s">
        <v>45</v>
      </c>
      <c r="D974" s="1" t="s">
        <v>18</v>
      </c>
      <c r="E974" s="1" t="s">
        <v>74</v>
      </c>
      <c r="F974" s="1" t="s">
        <v>4179</v>
      </c>
      <c r="G974" s="1" t="s">
        <v>12480</v>
      </c>
      <c r="H974" s="1" t="s">
        <v>4180</v>
      </c>
      <c r="I974" s="2">
        <v>15.76</v>
      </c>
      <c r="J974" s="2">
        <v>-0.69</v>
      </c>
      <c r="K974" s="2">
        <v>-0.47</v>
      </c>
      <c r="L974" s="2">
        <v>-0.51</v>
      </c>
      <c r="M974" s="4">
        <f t="shared" si="90"/>
        <v>-33.531914893617021</v>
      </c>
      <c r="N974" s="4">
        <f t="shared" si="91"/>
        <v>-30.901960784313726</v>
      </c>
      <c r="O974" s="5">
        <f t="shared" si="92"/>
        <v>-0.3188405797101449</v>
      </c>
      <c r="P974" s="5">
        <f t="shared" si="93"/>
        <v>8.5106382978723527E-2</v>
      </c>
      <c r="Q974" s="4">
        <f t="shared" si="94"/>
        <v>1.0516827852998067</v>
      </c>
      <c r="R974" s="4">
        <f t="shared" si="95"/>
        <v>-3.6309803921568578</v>
      </c>
      <c r="S974" s="4"/>
      <c r="T974" s="2">
        <v>1.1599999999999999</v>
      </c>
      <c r="U974" s="2">
        <v>15.76</v>
      </c>
      <c r="V974" s="2">
        <v>1.06</v>
      </c>
      <c r="W974" s="2">
        <v>8.4700000000000006</v>
      </c>
      <c r="X974" s="2">
        <v>31.22</v>
      </c>
      <c r="Y974" s="2">
        <v>359.48</v>
      </c>
      <c r="Z974" s="2">
        <v>323.66000000000003</v>
      </c>
    </row>
    <row r="975" spans="1:26" x14ac:dyDescent="0.25">
      <c r="A975" s="1" t="s">
        <v>4181</v>
      </c>
      <c r="B975" s="1" t="s">
        <v>4182</v>
      </c>
      <c r="C975" s="1" t="s">
        <v>31</v>
      </c>
      <c r="D975" s="1" t="s">
        <v>18</v>
      </c>
      <c r="E975" s="1" t="s">
        <v>624</v>
      </c>
      <c r="F975" s="1" t="s">
        <v>4183</v>
      </c>
      <c r="G975" s="1" t="s">
        <v>12480</v>
      </c>
      <c r="H975" s="1" t="s">
        <v>4184</v>
      </c>
      <c r="I975" s="2">
        <v>73.5</v>
      </c>
      <c r="J975" s="2">
        <v>4.21</v>
      </c>
      <c r="K975" s="2"/>
      <c r="L975" s="2"/>
      <c r="M975" s="4" t="e">
        <f t="shared" si="90"/>
        <v>#DIV/0!</v>
      </c>
      <c r="N975" s="4" t="e">
        <f t="shared" si="91"/>
        <v>#DIV/0!</v>
      </c>
      <c r="O975" s="5">
        <f t="shared" si="92"/>
        <v>-1</v>
      </c>
      <c r="P975" s="5" t="e">
        <f t="shared" si="93"/>
        <v>#DIV/0!</v>
      </c>
      <c r="Q975" s="4" t="e">
        <f t="shared" si="94"/>
        <v>#DIV/0!</v>
      </c>
      <c r="R975" s="4" t="e">
        <f t="shared" si="95"/>
        <v>#DIV/0!</v>
      </c>
      <c r="S975" s="4">
        <v>9.7100000000000009</v>
      </c>
      <c r="T975" s="2">
        <v>0.67</v>
      </c>
      <c r="U975" s="2">
        <v>85.77</v>
      </c>
      <c r="V975" s="2">
        <v>51.32</v>
      </c>
      <c r="W975" s="2">
        <v>-5.67</v>
      </c>
      <c r="X975" s="2">
        <v>-9.99</v>
      </c>
      <c r="Y975" s="2">
        <v>7.49</v>
      </c>
      <c r="Z975" s="2">
        <v>0.28000000000000003</v>
      </c>
    </row>
    <row r="976" spans="1:26" x14ac:dyDescent="0.25">
      <c r="A976" s="1" t="s">
        <v>4185</v>
      </c>
      <c r="B976" s="1" t="s">
        <v>4186</v>
      </c>
      <c r="C976" s="1" t="s">
        <v>45</v>
      </c>
      <c r="D976" s="1" t="s">
        <v>32</v>
      </c>
      <c r="E976" s="1" t="s">
        <v>1159</v>
      </c>
      <c r="F976" s="1" t="s">
        <v>4187</v>
      </c>
      <c r="G976" s="1" t="s">
        <v>12480</v>
      </c>
      <c r="H976" s="1" t="s">
        <v>12658</v>
      </c>
      <c r="I976" s="2">
        <v>11.34</v>
      </c>
      <c r="J976" s="2">
        <v>0.68</v>
      </c>
      <c r="K976" s="2">
        <v>0.68</v>
      </c>
      <c r="L976" s="2">
        <v>0.71</v>
      </c>
      <c r="M976" s="4">
        <f t="shared" si="90"/>
        <v>16.676470588235293</v>
      </c>
      <c r="N976" s="4">
        <f t="shared" si="91"/>
        <v>15.971830985915494</v>
      </c>
      <c r="O976" s="5">
        <f t="shared" si="92"/>
        <v>0</v>
      </c>
      <c r="P976" s="5">
        <f t="shared" si="93"/>
        <v>4.4117647058823373E-2</v>
      </c>
      <c r="Q976" s="4" t="e">
        <f t="shared" si="94"/>
        <v>#DIV/0!</v>
      </c>
      <c r="R976" s="4">
        <f t="shared" si="95"/>
        <v>3.6202816901408581</v>
      </c>
      <c r="S976" s="4">
        <v>3.17</v>
      </c>
      <c r="T976" s="2">
        <v>0.93</v>
      </c>
      <c r="U976" s="2">
        <v>11.6</v>
      </c>
      <c r="V976" s="2">
        <v>6.77</v>
      </c>
      <c r="W976" s="2">
        <v>-1.22</v>
      </c>
      <c r="X976" s="2">
        <v>0.27</v>
      </c>
      <c r="Y976" s="2">
        <v>18.62</v>
      </c>
      <c r="Z976" s="2">
        <v>17.510000000000002</v>
      </c>
    </row>
    <row r="977" spans="1:26" x14ac:dyDescent="0.25">
      <c r="A977" s="1" t="s">
        <v>4188</v>
      </c>
      <c r="B977" s="1" t="s">
        <v>4189</v>
      </c>
      <c r="C977" s="1" t="s">
        <v>45</v>
      </c>
      <c r="D977" s="1" t="s">
        <v>38</v>
      </c>
      <c r="E977" s="1" t="s">
        <v>551</v>
      </c>
      <c r="F977" s="1" t="s">
        <v>4190</v>
      </c>
      <c r="G977" s="1" t="s">
        <v>12480</v>
      </c>
      <c r="H977" s="1" t="s">
        <v>629</v>
      </c>
      <c r="I977" s="2">
        <v>255.66</v>
      </c>
      <c r="J977" s="2">
        <v>9.15</v>
      </c>
      <c r="K977" s="2">
        <v>13.51</v>
      </c>
      <c r="L977" s="2"/>
      <c r="M977" s="4">
        <f t="shared" si="90"/>
        <v>18.923760177646187</v>
      </c>
      <c r="N977" s="4" t="e">
        <f t="shared" si="91"/>
        <v>#DIV/0!</v>
      </c>
      <c r="O977" s="5">
        <f t="shared" si="92"/>
        <v>0.47650273224043715</v>
      </c>
      <c r="P977" s="5">
        <f t="shared" si="93"/>
        <v>-1</v>
      </c>
      <c r="Q977" s="4">
        <f t="shared" si="94"/>
        <v>0.39713854501252893</v>
      </c>
      <c r="R977" s="4" t="e">
        <f t="shared" si="95"/>
        <v>#DIV/0!</v>
      </c>
      <c r="S977" s="4">
        <v>7.17</v>
      </c>
      <c r="T977" s="2">
        <v>0.39</v>
      </c>
      <c r="U977" s="2">
        <v>450.61</v>
      </c>
      <c r="V977" s="2">
        <v>255.66</v>
      </c>
      <c r="W977" s="2">
        <v>-4.16</v>
      </c>
      <c r="X977" s="2">
        <v>-5.16</v>
      </c>
      <c r="Y977" s="2">
        <v>-10.93</v>
      </c>
      <c r="Z977" s="2">
        <v>-10.81</v>
      </c>
    </row>
    <row r="978" spans="1:26" x14ac:dyDescent="0.25">
      <c r="A978" s="1" t="s">
        <v>4191</v>
      </c>
      <c r="B978" s="1" t="s">
        <v>4192</v>
      </c>
      <c r="C978" s="1" t="s">
        <v>16</v>
      </c>
      <c r="D978" s="1" t="s">
        <v>88</v>
      </c>
      <c r="E978" s="1" t="s">
        <v>2402</v>
      </c>
      <c r="F978" s="1" t="s">
        <v>4193</v>
      </c>
      <c r="G978" s="1" t="s">
        <v>12480</v>
      </c>
      <c r="H978" s="1" t="s">
        <v>4194</v>
      </c>
      <c r="I978" s="2">
        <v>28.2</v>
      </c>
      <c r="J978" s="2">
        <v>2.12</v>
      </c>
      <c r="K978" s="2">
        <v>4.28</v>
      </c>
      <c r="L978" s="2">
        <v>4.66</v>
      </c>
      <c r="M978" s="4">
        <f t="shared" si="90"/>
        <v>6.5887850467289715</v>
      </c>
      <c r="N978" s="4">
        <f t="shared" si="91"/>
        <v>6.051502145922746</v>
      </c>
      <c r="O978" s="5">
        <f t="shared" si="92"/>
        <v>1.0188679245283021</v>
      </c>
      <c r="P978" s="5">
        <f t="shared" si="93"/>
        <v>8.8785046728971917E-2</v>
      </c>
      <c r="Q978" s="4">
        <f t="shared" si="94"/>
        <v>6.4667705088265817E-2</v>
      </c>
      <c r="R978" s="4">
        <f t="shared" si="95"/>
        <v>0.68159024169866755</v>
      </c>
      <c r="S978" s="4">
        <v>67.099999999999994</v>
      </c>
      <c r="T978" s="2">
        <v>1.17</v>
      </c>
      <c r="U978" s="2">
        <v>38.03</v>
      </c>
      <c r="V978" s="2">
        <v>9.65</v>
      </c>
      <c r="W978" s="2">
        <v>-15.54</v>
      </c>
      <c r="X978" s="2">
        <v>-11.24</v>
      </c>
      <c r="Y978" s="2">
        <v>12.04</v>
      </c>
      <c r="Z978" s="2">
        <v>-0.32</v>
      </c>
    </row>
    <row r="979" spans="1:26" x14ac:dyDescent="0.25">
      <c r="A979" s="1" t="s">
        <v>4195</v>
      </c>
      <c r="B979" s="1" t="s">
        <v>4196</v>
      </c>
      <c r="C979" s="1" t="s">
        <v>16</v>
      </c>
      <c r="D979" s="1" t="s">
        <v>354</v>
      </c>
      <c r="E979" s="1" t="s">
        <v>355</v>
      </c>
      <c r="F979" s="1" t="s">
        <v>4197</v>
      </c>
      <c r="G979" s="1" t="s">
        <v>12480</v>
      </c>
      <c r="H979" s="1" t="s">
        <v>4198</v>
      </c>
      <c r="I979" s="2">
        <v>73.849999999999994</v>
      </c>
      <c r="J979" s="2">
        <v>4.76</v>
      </c>
      <c r="K979" s="2">
        <v>4.88</v>
      </c>
      <c r="L979" s="2">
        <v>5.16</v>
      </c>
      <c r="M979" s="4">
        <f t="shared" si="90"/>
        <v>15.133196721311474</v>
      </c>
      <c r="N979" s="4">
        <f t="shared" si="91"/>
        <v>14.312015503875967</v>
      </c>
      <c r="O979" s="5">
        <f t="shared" si="92"/>
        <v>2.5210084033613578E-2</v>
      </c>
      <c r="P979" s="5">
        <f t="shared" si="93"/>
        <v>5.7377049180327822E-2</v>
      </c>
      <c r="Q979" s="4">
        <f t="shared" si="94"/>
        <v>6.00283469945352</v>
      </c>
      <c r="R979" s="4">
        <f t="shared" si="95"/>
        <v>2.4943798449612422</v>
      </c>
      <c r="S979" s="4">
        <v>13.83</v>
      </c>
      <c r="T979" s="2">
        <v>0.76</v>
      </c>
      <c r="U979" s="2">
        <v>76.209999999999994</v>
      </c>
      <c r="V979" s="2">
        <v>54.25</v>
      </c>
      <c r="W979" s="2">
        <v>-0.77</v>
      </c>
      <c r="X979" s="2">
        <v>9.1999999999999993</v>
      </c>
      <c r="Y979" s="2">
        <v>8.02</v>
      </c>
      <c r="Z979" s="2">
        <v>9.68</v>
      </c>
    </row>
    <row r="980" spans="1:26" x14ac:dyDescent="0.25">
      <c r="A980" s="1" t="s">
        <v>4199</v>
      </c>
      <c r="B980" s="1" t="s">
        <v>4200</v>
      </c>
      <c r="C980" s="1" t="s">
        <v>16</v>
      </c>
      <c r="D980" s="1" t="s">
        <v>25</v>
      </c>
      <c r="E980" s="1" t="s">
        <v>2467</v>
      </c>
      <c r="F980" s="1" t="s">
        <v>4201</v>
      </c>
      <c r="G980" s="1" t="s">
        <v>12480</v>
      </c>
      <c r="H980" s="1" t="s">
        <v>4202</v>
      </c>
      <c r="I980" s="2">
        <v>107.02</v>
      </c>
      <c r="J980" s="2">
        <v>5.27</v>
      </c>
      <c r="K980" s="2">
        <v>5.86</v>
      </c>
      <c r="L980" s="2">
        <v>6.62</v>
      </c>
      <c r="M980" s="4">
        <f t="shared" si="90"/>
        <v>18.262798634812285</v>
      </c>
      <c r="N980" s="4">
        <f t="shared" si="91"/>
        <v>16.166163141993955</v>
      </c>
      <c r="O980" s="5">
        <f t="shared" si="92"/>
        <v>0.11195445920303615</v>
      </c>
      <c r="P980" s="5">
        <f t="shared" si="93"/>
        <v>0.12969283276450505</v>
      </c>
      <c r="Q980" s="4">
        <f t="shared" si="94"/>
        <v>1.6312703187366211</v>
      </c>
      <c r="R980" s="4">
        <f t="shared" si="95"/>
        <v>1.246496263316903</v>
      </c>
      <c r="S980" s="4">
        <v>3.71</v>
      </c>
      <c r="T980" s="2">
        <v>1.23</v>
      </c>
      <c r="U980" s="2">
        <v>134.82</v>
      </c>
      <c r="V980" s="2">
        <v>104.39</v>
      </c>
      <c r="W980" s="2">
        <v>-12.02</v>
      </c>
      <c r="X980" s="2">
        <v>-19.420000000000002</v>
      </c>
      <c r="Y980" s="2">
        <v>-7.3</v>
      </c>
      <c r="Z980" s="2">
        <v>-4.21</v>
      </c>
    </row>
    <row r="981" spans="1:26" x14ac:dyDescent="0.25">
      <c r="A981" s="1" t="s">
        <v>4204</v>
      </c>
      <c r="B981" s="1" t="s">
        <v>3991</v>
      </c>
      <c r="C981" s="1" t="s">
        <v>4206</v>
      </c>
      <c r="D981" s="1" t="s">
        <v>24</v>
      </c>
      <c r="E981" s="1" t="s">
        <v>18</v>
      </c>
      <c r="F981" s="1" t="s">
        <v>4205</v>
      </c>
      <c r="G981" s="1" t="s">
        <v>780</v>
      </c>
      <c r="H981" s="1" t="s">
        <v>12490</v>
      </c>
      <c r="I981" s="2">
        <v>5.63</v>
      </c>
      <c r="J981" s="2" t="s">
        <v>12512</v>
      </c>
      <c r="K981" s="2">
        <v>0.25</v>
      </c>
      <c r="L981" s="2"/>
      <c r="M981" s="4">
        <f t="shared" si="90"/>
        <v>22.52</v>
      </c>
      <c r="N981" s="4" t="e">
        <f t="shared" si="91"/>
        <v>#DIV/0!</v>
      </c>
      <c r="O981" s="5">
        <f t="shared" si="92"/>
        <v>-0.99999876545038835</v>
      </c>
      <c r="P981" s="5">
        <f t="shared" si="93"/>
        <v>-1</v>
      </c>
      <c r="Q981" s="4">
        <f t="shared" si="94"/>
        <v>-0.22520027802091577</v>
      </c>
      <c r="R981" s="4" t="e">
        <f t="shared" si="95"/>
        <v>#DIV/0!</v>
      </c>
      <c r="S981" s="4"/>
      <c r="T981" s="2">
        <v>7.68</v>
      </c>
      <c r="U981" s="2">
        <v>1166.5999999999999</v>
      </c>
      <c r="V981" s="2">
        <v>9.19</v>
      </c>
      <c r="W981" s="2">
        <v>0.35</v>
      </c>
      <c r="X981" s="2">
        <v>-4.4800000000000004</v>
      </c>
      <c r="Y981" s="2">
        <v>9.64</v>
      </c>
      <c r="Z981" s="2">
        <v>3.64</v>
      </c>
    </row>
    <row r="982" spans="1:26" x14ac:dyDescent="0.25">
      <c r="A982" s="1" t="s">
        <v>4207</v>
      </c>
      <c r="B982" s="1" t="s">
        <v>4208</v>
      </c>
      <c r="C982" s="1" t="s">
        <v>16</v>
      </c>
      <c r="D982" s="1" t="s">
        <v>140</v>
      </c>
      <c r="E982" s="1" t="s">
        <v>284</v>
      </c>
      <c r="F982" s="1" t="s">
        <v>4209</v>
      </c>
      <c r="G982" s="1" t="s">
        <v>12485</v>
      </c>
      <c r="H982" s="1" t="s">
        <v>12598</v>
      </c>
      <c r="I982" s="2">
        <v>271.08</v>
      </c>
      <c r="J982" s="2">
        <v>6.03</v>
      </c>
      <c r="K982" s="2" t="s">
        <v>12497</v>
      </c>
      <c r="L982" s="2">
        <v>9.1199999999999992</v>
      </c>
      <c r="M982" s="4">
        <f t="shared" si="90"/>
        <v>33.884999999999998</v>
      </c>
      <c r="N982" s="4">
        <f t="shared" si="91"/>
        <v>29.723684210526315</v>
      </c>
      <c r="O982" s="5">
        <f t="shared" si="92"/>
        <v>0.32669983416252069</v>
      </c>
      <c r="P982" s="5">
        <f t="shared" si="93"/>
        <v>0.1399999999999999</v>
      </c>
      <c r="Q982" s="4">
        <f t="shared" si="94"/>
        <v>1.037190609137056</v>
      </c>
      <c r="R982" s="4">
        <f t="shared" si="95"/>
        <v>2.1231203007518813</v>
      </c>
      <c r="S982" s="4">
        <v>6.68</v>
      </c>
      <c r="T982" s="2">
        <v>1.17</v>
      </c>
      <c r="U982" s="2">
        <v>285.79000000000002</v>
      </c>
      <c r="V982" s="2">
        <v>139.86000000000001</v>
      </c>
      <c r="W982" s="2">
        <v>-5.15</v>
      </c>
      <c r="X982" s="2">
        <v>0.8</v>
      </c>
      <c r="Y982" s="2">
        <v>31.33</v>
      </c>
      <c r="Z982" s="2">
        <v>38.74</v>
      </c>
    </row>
    <row r="983" spans="1:26" x14ac:dyDescent="0.25">
      <c r="A983" s="1" t="s">
        <v>4210</v>
      </c>
      <c r="B983" s="1" t="s">
        <v>4211</v>
      </c>
      <c r="C983" s="1" t="s">
        <v>16</v>
      </c>
      <c r="D983" s="1" t="s">
        <v>88</v>
      </c>
      <c r="E983" s="1" t="s">
        <v>1113</v>
      </c>
      <c r="F983" s="1" t="s">
        <v>4212</v>
      </c>
      <c r="G983" s="1" t="s">
        <v>12480</v>
      </c>
      <c r="H983" s="1" t="s">
        <v>4213</v>
      </c>
      <c r="I983" s="2">
        <v>32.270000000000003</v>
      </c>
      <c r="J983" s="2">
        <v>1.49</v>
      </c>
      <c r="K983" s="2">
        <v>1.75</v>
      </c>
      <c r="L983" s="2">
        <v>2.02</v>
      </c>
      <c r="M983" s="4">
        <f t="shared" si="90"/>
        <v>18.440000000000001</v>
      </c>
      <c r="N983" s="4">
        <f t="shared" si="91"/>
        <v>15.975247524752477</v>
      </c>
      <c r="O983" s="5">
        <f t="shared" si="92"/>
        <v>0.17449664429530198</v>
      </c>
      <c r="P983" s="5">
        <f t="shared" si="93"/>
        <v>0.15428571428571436</v>
      </c>
      <c r="Q983" s="4">
        <f t="shared" si="94"/>
        <v>1.0567538461538464</v>
      </c>
      <c r="R983" s="4">
        <f t="shared" si="95"/>
        <v>1.0354327099376601</v>
      </c>
      <c r="S983" s="4">
        <v>3.84</v>
      </c>
      <c r="T983" s="2">
        <v>1.24</v>
      </c>
      <c r="U983" s="2">
        <v>36.71</v>
      </c>
      <c r="V983" s="2">
        <v>17.5</v>
      </c>
      <c r="W983" s="2">
        <v>-6.95</v>
      </c>
      <c r="X983" s="2">
        <v>4.4000000000000004</v>
      </c>
      <c r="Y983" s="2">
        <v>23.83</v>
      </c>
      <c r="Z983" s="2">
        <v>29.13</v>
      </c>
    </row>
    <row r="984" spans="1:26" x14ac:dyDescent="0.25">
      <c r="A984" s="1" t="s">
        <v>4214</v>
      </c>
      <c r="B984" s="1" t="s">
        <v>4215</v>
      </c>
      <c r="C984" s="1" t="s">
        <v>31</v>
      </c>
      <c r="D984" s="1" t="s">
        <v>18</v>
      </c>
      <c r="E984" s="1" t="s">
        <v>19</v>
      </c>
      <c r="F984" s="1" t="s">
        <v>4216</v>
      </c>
      <c r="G984" s="1" t="s">
        <v>12480</v>
      </c>
      <c r="H984" s="1" t="s">
        <v>4217</v>
      </c>
      <c r="I984" s="2">
        <v>122.75</v>
      </c>
      <c r="J984" s="2">
        <v>3.84</v>
      </c>
      <c r="K984" s="2">
        <v>4.45</v>
      </c>
      <c r="L984" s="2">
        <v>5.04</v>
      </c>
      <c r="M984" s="4">
        <f t="shared" si="90"/>
        <v>27.584269662921347</v>
      </c>
      <c r="N984" s="4">
        <f t="shared" si="91"/>
        <v>24.355158730158731</v>
      </c>
      <c r="O984" s="5">
        <f t="shared" si="92"/>
        <v>0.15885416666666674</v>
      </c>
      <c r="P984" s="5">
        <f t="shared" si="93"/>
        <v>0.13258426966292136</v>
      </c>
      <c r="Q984" s="4">
        <f t="shared" si="94"/>
        <v>1.7364523853379987</v>
      </c>
      <c r="R984" s="4">
        <f t="shared" si="95"/>
        <v>1.8369568872746838</v>
      </c>
      <c r="S984" s="4">
        <v>12.34</v>
      </c>
      <c r="T984" s="2">
        <v>1.02</v>
      </c>
      <c r="U984" s="2">
        <v>185.64</v>
      </c>
      <c r="V984" s="2">
        <v>122.75</v>
      </c>
      <c r="W984" s="2">
        <v>-4.29</v>
      </c>
      <c r="X984" s="2">
        <v>-19.21</v>
      </c>
      <c r="Y984" s="2">
        <v>-26.2</v>
      </c>
      <c r="Z984" s="2">
        <v>-22.52</v>
      </c>
    </row>
    <row r="985" spans="1:26" x14ac:dyDescent="0.25">
      <c r="A985" s="1" t="s">
        <v>4218</v>
      </c>
      <c r="B985" s="1" t="s">
        <v>4219</v>
      </c>
      <c r="C985" s="1" t="s">
        <v>45</v>
      </c>
      <c r="D985" s="1" t="s">
        <v>204</v>
      </c>
      <c r="E985" s="1" t="s">
        <v>534</v>
      </c>
      <c r="F985" s="1" t="s">
        <v>4220</v>
      </c>
      <c r="G985" s="1" t="s">
        <v>12480</v>
      </c>
      <c r="H985" s="1" t="s">
        <v>265</v>
      </c>
      <c r="I985" s="2">
        <v>902.58</v>
      </c>
      <c r="J985" s="2">
        <v>8.76</v>
      </c>
      <c r="K985" s="2">
        <v>14.17</v>
      </c>
      <c r="L985" s="2">
        <v>16.2</v>
      </c>
      <c r="M985" s="4">
        <f t="shared" si="90"/>
        <v>63.696541990119975</v>
      </c>
      <c r="N985" s="4">
        <f t="shared" si="91"/>
        <v>55.714814814814822</v>
      </c>
      <c r="O985" s="5">
        <f t="shared" si="92"/>
        <v>0.61757990867579915</v>
      </c>
      <c r="P985" s="5">
        <f t="shared" si="93"/>
        <v>0.14326040931545525</v>
      </c>
      <c r="Q985" s="4">
        <f t="shared" si="94"/>
        <v>1.0313894784352142</v>
      </c>
      <c r="R985" s="4">
        <f t="shared" si="95"/>
        <v>3.889058748403575</v>
      </c>
      <c r="S985" s="4">
        <v>14.28</v>
      </c>
      <c r="T985" s="2">
        <v>0.22</v>
      </c>
      <c r="U985" s="2">
        <v>936.14</v>
      </c>
      <c r="V985" s="2">
        <v>347.85</v>
      </c>
      <c r="W985" s="2">
        <v>8.83</v>
      </c>
      <c r="X985" s="2">
        <v>34.549999999999997</v>
      </c>
      <c r="Y985" s="2">
        <v>75.849999999999994</v>
      </c>
      <c r="Z985" s="2">
        <v>56.23</v>
      </c>
    </row>
    <row r="986" spans="1:26" x14ac:dyDescent="0.25">
      <c r="A986" s="1" t="s">
        <v>4221</v>
      </c>
      <c r="B986" s="1" t="s">
        <v>4222</v>
      </c>
      <c r="C986" s="1" t="s">
        <v>16</v>
      </c>
      <c r="D986" s="1" t="s">
        <v>38</v>
      </c>
      <c r="E986" s="1" t="s">
        <v>194</v>
      </c>
      <c r="F986" s="1" t="s">
        <v>4223</v>
      </c>
      <c r="G986" s="1" t="s">
        <v>12480</v>
      </c>
      <c r="H986" s="1" t="s">
        <v>4224</v>
      </c>
      <c r="I986" s="2">
        <v>59.29</v>
      </c>
      <c r="J986" s="2">
        <v>6.9</v>
      </c>
      <c r="K986" s="2">
        <v>7.33</v>
      </c>
      <c r="L986" s="2">
        <v>7.85</v>
      </c>
      <c r="M986" s="4">
        <f t="shared" si="90"/>
        <v>8.0886766712141878</v>
      </c>
      <c r="N986" s="4">
        <f t="shared" si="91"/>
        <v>7.5528662420382169</v>
      </c>
      <c r="O986" s="5">
        <f t="shared" si="92"/>
        <v>6.2318840579710155E-2</v>
      </c>
      <c r="P986" s="5">
        <f t="shared" si="93"/>
        <v>7.0941336971350522E-2</v>
      </c>
      <c r="Q986" s="4">
        <f t="shared" si="94"/>
        <v>1.2979504425901833</v>
      </c>
      <c r="R986" s="4">
        <f t="shared" si="95"/>
        <v>1.0646636452719269</v>
      </c>
      <c r="S986" s="4">
        <v>1.45</v>
      </c>
      <c r="T986" s="2">
        <v>0.91</v>
      </c>
      <c r="U986" s="2">
        <v>66.819999999999993</v>
      </c>
      <c r="V986" s="2">
        <v>52.78</v>
      </c>
      <c r="W986" s="2">
        <v>-3.33</v>
      </c>
      <c r="X986" s="2">
        <v>-7.27</v>
      </c>
      <c r="Y986" s="2">
        <v>-9.1199999999999992</v>
      </c>
      <c r="Z986" s="2">
        <v>-8.8000000000000007</v>
      </c>
    </row>
    <row r="987" spans="1:26" x14ac:dyDescent="0.25">
      <c r="A987" s="1" t="s">
        <v>4225</v>
      </c>
      <c r="B987" s="1" t="s">
        <v>4226</v>
      </c>
      <c r="C987" s="1" t="s">
        <v>16</v>
      </c>
      <c r="D987" s="1" t="s">
        <v>38</v>
      </c>
      <c r="E987" s="1" t="s">
        <v>765</v>
      </c>
      <c r="F987" s="1" t="s">
        <v>4227</v>
      </c>
      <c r="G987" s="1" t="s">
        <v>12480</v>
      </c>
      <c r="H987" s="1" t="s">
        <v>4228</v>
      </c>
      <c r="I987" s="2">
        <v>255.34</v>
      </c>
      <c r="J987" s="2">
        <v>15.94</v>
      </c>
      <c r="K987" s="2">
        <v>16.11</v>
      </c>
      <c r="L987" s="2">
        <v>16.690000000000001</v>
      </c>
      <c r="M987" s="4">
        <f t="shared" si="90"/>
        <v>15.849782743637492</v>
      </c>
      <c r="N987" s="4">
        <f t="shared" si="91"/>
        <v>15.298981426003595</v>
      </c>
      <c r="O987" s="5">
        <f t="shared" si="92"/>
        <v>1.0664993726474226E-2</v>
      </c>
      <c r="P987" s="5">
        <f t="shared" si="93"/>
        <v>3.6002482929857305E-2</v>
      </c>
      <c r="Q987" s="4">
        <f t="shared" si="94"/>
        <v>14.861502172563698</v>
      </c>
      <c r="R987" s="4">
        <f t="shared" si="95"/>
        <v>4.2494239788434038</v>
      </c>
      <c r="S987" s="4">
        <v>6.36</v>
      </c>
      <c r="T987" s="2">
        <v>0.73</v>
      </c>
      <c r="U987" s="2">
        <v>307.2</v>
      </c>
      <c r="V987" s="2">
        <v>245.48</v>
      </c>
      <c r="W987" s="2">
        <v>-0.27</v>
      </c>
      <c r="X987" s="2">
        <v>-0.95</v>
      </c>
      <c r="Y987" s="2">
        <v>-1.51</v>
      </c>
      <c r="Z987" s="2">
        <v>-2.42</v>
      </c>
    </row>
    <row r="988" spans="1:26" x14ac:dyDescent="0.25">
      <c r="A988" s="1" t="s">
        <v>4229</v>
      </c>
      <c r="B988" s="1" t="s">
        <v>4230</v>
      </c>
      <c r="C988" s="1" t="s">
        <v>45</v>
      </c>
      <c r="D988" s="1" t="s">
        <v>18</v>
      </c>
      <c r="E988" s="1" t="s">
        <v>624</v>
      </c>
      <c r="F988" s="1" t="s">
        <v>4231</v>
      </c>
      <c r="G988" s="1" t="s">
        <v>12480</v>
      </c>
      <c r="H988" s="1" t="s">
        <v>2423</v>
      </c>
      <c r="I988" s="2">
        <v>69.06</v>
      </c>
      <c r="J988" s="2">
        <v>-1.72</v>
      </c>
      <c r="K988" s="2">
        <v>-0.86</v>
      </c>
      <c r="L988" s="2">
        <v>0.41</v>
      </c>
      <c r="M988" s="4">
        <f t="shared" si="90"/>
        <v>-80.302325581395351</v>
      </c>
      <c r="N988" s="4">
        <f t="shared" si="91"/>
        <v>168.43902439024393</v>
      </c>
      <c r="O988" s="5">
        <f t="shared" si="92"/>
        <v>-0.5</v>
      </c>
      <c r="P988" s="5">
        <f t="shared" si="93"/>
        <v>-1.4767441860465116</v>
      </c>
      <c r="Q988" s="4">
        <f t="shared" si="94"/>
        <v>1.606046511627907</v>
      </c>
      <c r="R988" s="4">
        <f t="shared" si="95"/>
        <v>-1.1406107163433841</v>
      </c>
      <c r="S988" s="4">
        <v>27.14</v>
      </c>
      <c r="T988" s="2">
        <v>0.91</v>
      </c>
      <c r="U988" s="2">
        <v>79.67</v>
      </c>
      <c r="V988" s="2">
        <v>27.31</v>
      </c>
      <c r="W988" s="2">
        <v>-9.25</v>
      </c>
      <c r="X988" s="2">
        <v>-0.65</v>
      </c>
      <c r="Y988" s="2">
        <v>-4.12</v>
      </c>
      <c r="Z988" s="2">
        <v>-5.24</v>
      </c>
    </row>
    <row r="989" spans="1:26" x14ac:dyDescent="0.25">
      <c r="A989" s="1" t="s">
        <v>4232</v>
      </c>
      <c r="B989" s="1" t="s">
        <v>4233</v>
      </c>
      <c r="C989" s="1" t="s">
        <v>16</v>
      </c>
      <c r="D989" s="1" t="s">
        <v>32</v>
      </c>
      <c r="E989" s="1" t="s">
        <v>311</v>
      </c>
      <c r="F989" s="1" t="s">
        <v>4234</v>
      </c>
      <c r="G989" s="1" t="s">
        <v>12513</v>
      </c>
      <c r="H989" s="1" t="s">
        <v>4235</v>
      </c>
      <c r="I989" s="2">
        <v>53.25</v>
      </c>
      <c r="J989" s="2">
        <v>2.04</v>
      </c>
      <c r="K989" s="2">
        <v>2.52</v>
      </c>
      <c r="L989" s="2">
        <v>2.89</v>
      </c>
      <c r="M989" s="4">
        <f t="shared" si="90"/>
        <v>21.13095238095238</v>
      </c>
      <c r="N989" s="4">
        <f t="shared" si="91"/>
        <v>18.425605536332178</v>
      </c>
      <c r="O989" s="5">
        <f t="shared" si="92"/>
        <v>0.23529411764705888</v>
      </c>
      <c r="P989" s="5">
        <f t="shared" si="93"/>
        <v>0.14682539682539697</v>
      </c>
      <c r="Q989" s="4">
        <f t="shared" si="94"/>
        <v>0.89806547619047594</v>
      </c>
      <c r="R989" s="4">
        <f t="shared" si="95"/>
        <v>1.254933133825866</v>
      </c>
      <c r="S989" s="4">
        <v>17.04</v>
      </c>
      <c r="T989" s="2">
        <v>0.98</v>
      </c>
      <c r="U989" s="2">
        <v>102.42</v>
      </c>
      <c r="V989" s="2">
        <v>51.85</v>
      </c>
      <c r="W989" s="2">
        <v>0.62</v>
      </c>
      <c r="X989" s="2">
        <v>-13.18</v>
      </c>
      <c r="Y989" s="2">
        <v>-27.77</v>
      </c>
      <c r="Z989" s="2">
        <v>-29.41</v>
      </c>
    </row>
    <row r="990" spans="1:26" x14ac:dyDescent="0.25">
      <c r="A990" s="1" t="s">
        <v>4236</v>
      </c>
      <c r="B990" s="1" t="s">
        <v>4237</v>
      </c>
      <c r="C990" s="1" t="s">
        <v>16</v>
      </c>
      <c r="D990" s="1" t="s">
        <v>94</v>
      </c>
      <c r="E990" s="1" t="s">
        <v>3606</v>
      </c>
      <c r="F990" s="1" t="s">
        <v>4238</v>
      </c>
      <c r="G990" s="1" t="s">
        <v>12480</v>
      </c>
      <c r="H990" s="1" t="s">
        <v>4239</v>
      </c>
      <c r="I990" s="2">
        <v>18.59</v>
      </c>
      <c r="J990" s="2">
        <v>1.21</v>
      </c>
      <c r="K990" s="2">
        <v>1.52</v>
      </c>
      <c r="L990" s="2">
        <v>1.6</v>
      </c>
      <c r="M990" s="4">
        <f t="shared" si="90"/>
        <v>12.230263157894736</v>
      </c>
      <c r="N990" s="4">
        <f t="shared" si="91"/>
        <v>11.618749999999999</v>
      </c>
      <c r="O990" s="5">
        <f t="shared" si="92"/>
        <v>0.25619834710743805</v>
      </c>
      <c r="P990" s="5">
        <f t="shared" si="93"/>
        <v>5.2631578947368363E-2</v>
      </c>
      <c r="Q990" s="4">
        <f t="shared" si="94"/>
        <v>0.47737478777589126</v>
      </c>
      <c r="R990" s="4">
        <f t="shared" si="95"/>
        <v>2.2075625000000021</v>
      </c>
      <c r="S990" s="4">
        <v>3.47</v>
      </c>
      <c r="T990" s="2">
        <v>0.63</v>
      </c>
      <c r="U990" s="2">
        <v>19.100000000000001</v>
      </c>
      <c r="V990" s="2">
        <v>15.65</v>
      </c>
      <c r="W990" s="2">
        <v>-2.67</v>
      </c>
      <c r="X990" s="2">
        <v>2.99</v>
      </c>
      <c r="Y990" s="2">
        <v>12.67</v>
      </c>
      <c r="Z990" s="2">
        <v>12.73</v>
      </c>
    </row>
    <row r="991" spans="1:26" x14ac:dyDescent="0.25">
      <c r="A991" s="1" t="s">
        <v>4240</v>
      </c>
      <c r="B991" s="1" t="s">
        <v>4241</v>
      </c>
      <c r="C991" s="1" t="s">
        <v>16</v>
      </c>
      <c r="D991" s="1" t="s">
        <v>25</v>
      </c>
      <c r="E991" s="1" t="s">
        <v>106</v>
      </c>
      <c r="F991" s="1" t="s">
        <v>4242</v>
      </c>
      <c r="G991" s="1" t="s">
        <v>12480</v>
      </c>
      <c r="H991" s="1" t="s">
        <v>4243</v>
      </c>
      <c r="I991" s="2">
        <v>353.87</v>
      </c>
      <c r="J991" s="2">
        <v>12.07</v>
      </c>
      <c r="K991" s="2">
        <v>13.35</v>
      </c>
      <c r="L991" s="2">
        <v>15.3</v>
      </c>
      <c r="M991" s="4">
        <f t="shared" si="90"/>
        <v>26.507116104868913</v>
      </c>
      <c r="N991" s="4">
        <f t="shared" si="91"/>
        <v>23.128758169934638</v>
      </c>
      <c r="O991" s="5">
        <f t="shared" si="92"/>
        <v>0.10604805302402642</v>
      </c>
      <c r="P991" s="5">
        <f t="shared" si="93"/>
        <v>0.14606741573033721</v>
      </c>
      <c r="Q991" s="4">
        <f t="shared" si="94"/>
        <v>2.4995382139513129</v>
      </c>
      <c r="R991" s="4">
        <f t="shared" si="95"/>
        <v>1.5834303670186007</v>
      </c>
      <c r="S991" s="4">
        <v>10.33</v>
      </c>
      <c r="T991" s="2">
        <v>1.17</v>
      </c>
      <c r="U991" s="2">
        <v>396.09</v>
      </c>
      <c r="V991" s="2">
        <v>246.52</v>
      </c>
      <c r="W991" s="2">
        <v>-6.23</v>
      </c>
      <c r="X991" s="2">
        <v>-6.15</v>
      </c>
      <c r="Y991" s="2">
        <v>6.2</v>
      </c>
      <c r="Z991" s="2">
        <v>11.1</v>
      </c>
    </row>
    <row r="992" spans="1:26" x14ac:dyDescent="0.25">
      <c r="A992" s="1" t="s">
        <v>4244</v>
      </c>
      <c r="B992" s="1" t="s">
        <v>4245</v>
      </c>
      <c r="C992" s="1" t="s">
        <v>45</v>
      </c>
      <c r="D992" s="1" t="s">
        <v>38</v>
      </c>
      <c r="E992" s="1" t="s">
        <v>551</v>
      </c>
      <c r="F992" s="1" t="s">
        <v>4246</v>
      </c>
      <c r="G992" s="1" t="s">
        <v>12480</v>
      </c>
      <c r="H992" s="1" t="s">
        <v>275</v>
      </c>
      <c r="I992" s="2">
        <v>31.58</v>
      </c>
      <c r="J992" s="2">
        <v>2.64</v>
      </c>
      <c r="K992" s="2">
        <v>2.57</v>
      </c>
      <c r="L992" s="2">
        <v>3.02</v>
      </c>
      <c r="M992" s="4">
        <f t="shared" si="90"/>
        <v>12.287937743190662</v>
      </c>
      <c r="N992" s="4">
        <f t="shared" si="91"/>
        <v>10.456953642384105</v>
      </c>
      <c r="O992" s="5">
        <f t="shared" si="92"/>
        <v>-2.6515151515151603E-2</v>
      </c>
      <c r="P992" s="5">
        <f t="shared" si="93"/>
        <v>0.17509727626459148</v>
      </c>
      <c r="Q992" s="4">
        <f t="shared" si="94"/>
        <v>-4.6343079488604628</v>
      </c>
      <c r="R992" s="4">
        <f t="shared" si="95"/>
        <v>0.59720824135393646</v>
      </c>
      <c r="S992" s="4">
        <v>10.33</v>
      </c>
      <c r="T992" s="2"/>
      <c r="U992" s="2">
        <v>75.97</v>
      </c>
      <c r="V992" s="2">
        <v>24.76</v>
      </c>
      <c r="W992" s="2">
        <v>2.97</v>
      </c>
      <c r="X992" s="2">
        <v>11.99</v>
      </c>
      <c r="Y992" s="2">
        <v>-13.6</v>
      </c>
      <c r="Z992" s="2">
        <v>-10.11</v>
      </c>
    </row>
    <row r="993" spans="1:26" x14ac:dyDescent="0.25">
      <c r="A993" s="1" t="s">
        <v>4247</v>
      </c>
      <c r="B993" s="1" t="s">
        <v>4248</v>
      </c>
      <c r="C993" s="1" t="s">
        <v>16</v>
      </c>
      <c r="D993" s="1" t="s">
        <v>354</v>
      </c>
      <c r="E993" s="1" t="s">
        <v>355</v>
      </c>
      <c r="F993" s="1" t="s">
        <v>4249</v>
      </c>
      <c r="G993" s="1" t="s">
        <v>12480</v>
      </c>
      <c r="H993" s="1" t="s">
        <v>4250</v>
      </c>
      <c r="I993" s="2">
        <v>104.65</v>
      </c>
      <c r="J993" s="2">
        <v>3.91</v>
      </c>
      <c r="K993" s="2">
        <v>4.4000000000000004</v>
      </c>
      <c r="L993" s="2">
        <v>4.92</v>
      </c>
      <c r="M993" s="4">
        <f t="shared" si="90"/>
        <v>23.78409090909091</v>
      </c>
      <c r="N993" s="4">
        <f t="shared" si="91"/>
        <v>21.270325203252035</v>
      </c>
      <c r="O993" s="5">
        <f t="shared" si="92"/>
        <v>0.1253196930946292</v>
      </c>
      <c r="P993" s="5">
        <f t="shared" si="93"/>
        <v>0.11818181818181817</v>
      </c>
      <c r="Q993" s="4">
        <f t="shared" si="94"/>
        <v>1.8978733766233762</v>
      </c>
      <c r="R993" s="4">
        <f t="shared" si="95"/>
        <v>1.7997967479674801</v>
      </c>
      <c r="S993" s="4">
        <v>8.98</v>
      </c>
      <c r="T993" s="2">
        <v>0.64</v>
      </c>
      <c r="U993" s="2">
        <v>107.11</v>
      </c>
      <c r="V993" s="2">
        <v>79.010000000000005</v>
      </c>
      <c r="W993" s="2">
        <v>-1.86</v>
      </c>
      <c r="X993" s="2">
        <v>6.62</v>
      </c>
      <c r="Y993" s="2">
        <v>11.63</v>
      </c>
      <c r="Z993" s="2">
        <v>13.22</v>
      </c>
    </row>
    <row r="994" spans="1:26" x14ac:dyDescent="0.25">
      <c r="A994" s="1" t="s">
        <v>4251</v>
      </c>
      <c r="B994" s="1" t="s">
        <v>4252</v>
      </c>
      <c r="C994" s="1" t="s">
        <v>16</v>
      </c>
      <c r="D994" s="1" t="s">
        <v>67</v>
      </c>
      <c r="E994" s="1" t="s">
        <v>833</v>
      </c>
      <c r="F994" s="1" t="s">
        <v>4253</v>
      </c>
      <c r="G994" s="1" t="s">
        <v>12480</v>
      </c>
      <c r="H994" s="1" t="s">
        <v>4254</v>
      </c>
      <c r="I994" s="2">
        <v>55.78</v>
      </c>
      <c r="J994" s="2">
        <v>1.39</v>
      </c>
      <c r="K994" s="2">
        <v>3.51</v>
      </c>
      <c r="L994" s="2">
        <v>4.04</v>
      </c>
      <c r="M994" s="4">
        <f t="shared" si="90"/>
        <v>15.891737891737893</v>
      </c>
      <c r="N994" s="4">
        <f t="shared" si="91"/>
        <v>13.806930693069306</v>
      </c>
      <c r="O994" s="5">
        <f t="shared" si="92"/>
        <v>1.5251798561151078</v>
      </c>
      <c r="P994" s="5">
        <f t="shared" si="93"/>
        <v>0.15099715099715105</v>
      </c>
      <c r="Q994" s="4">
        <f t="shared" si="94"/>
        <v>0.10419582862979092</v>
      </c>
      <c r="R994" s="4">
        <f t="shared" si="95"/>
        <v>0.91438352325798578</v>
      </c>
      <c r="S994" s="4">
        <v>2.68</v>
      </c>
      <c r="T994" s="2">
        <v>1.74</v>
      </c>
      <c r="U994" s="2">
        <v>75.56</v>
      </c>
      <c r="V994" s="2">
        <v>40.799999999999997</v>
      </c>
      <c r="W994" s="2">
        <v>3.35</v>
      </c>
      <c r="X994" s="2">
        <v>1.23</v>
      </c>
      <c r="Y994" s="2">
        <v>4.99</v>
      </c>
      <c r="Z994" s="2">
        <v>0.61</v>
      </c>
    </row>
    <row r="995" spans="1:26" x14ac:dyDescent="0.25">
      <c r="A995" s="1" t="s">
        <v>4256</v>
      </c>
      <c r="B995" s="1" t="s">
        <v>4257</v>
      </c>
      <c r="C995" s="1" t="s">
        <v>45</v>
      </c>
      <c r="D995" s="1" t="s">
        <v>32</v>
      </c>
      <c r="E995" s="1" t="s">
        <v>311</v>
      </c>
      <c r="F995" s="1" t="s">
        <v>4258</v>
      </c>
      <c r="G995" s="1" t="s">
        <v>12480</v>
      </c>
      <c r="H995" s="1" t="s">
        <v>4259</v>
      </c>
      <c r="I995" s="2">
        <v>11.98</v>
      </c>
      <c r="J995" s="2">
        <v>-0.22</v>
      </c>
      <c r="K995" s="2">
        <v>0.26</v>
      </c>
      <c r="L995" s="2">
        <v>0.39</v>
      </c>
      <c r="M995" s="4">
        <f t="shared" si="90"/>
        <v>46.07692307692308</v>
      </c>
      <c r="N995" s="4">
        <f t="shared" si="91"/>
        <v>30.717948717948719</v>
      </c>
      <c r="O995" s="5">
        <f t="shared" si="92"/>
        <v>-2.1818181818181817</v>
      </c>
      <c r="P995" s="5">
        <f t="shared" si="93"/>
        <v>0.5</v>
      </c>
      <c r="Q995" s="4">
        <f t="shared" si="94"/>
        <v>-0.21118589743589747</v>
      </c>
      <c r="R995" s="4">
        <f t="shared" si="95"/>
        <v>0.61435897435897435</v>
      </c>
      <c r="S995" s="4">
        <v>3.46</v>
      </c>
      <c r="T995" s="2">
        <v>1.04</v>
      </c>
      <c r="U995" s="2">
        <v>13.4</v>
      </c>
      <c r="V995" s="2">
        <v>8.0299999999999994</v>
      </c>
      <c r="W995" s="2">
        <v>6.11</v>
      </c>
      <c r="X995" s="2">
        <v>16.760000000000002</v>
      </c>
      <c r="Y995" s="2">
        <v>-10.33</v>
      </c>
      <c r="Z995" s="2">
        <v>-1.07</v>
      </c>
    </row>
    <row r="996" spans="1:26" x14ac:dyDescent="0.25">
      <c r="A996" s="1" t="s">
        <v>4260</v>
      </c>
      <c r="B996" s="1" t="s">
        <v>4261</v>
      </c>
      <c r="C996" s="1" t="s">
        <v>16</v>
      </c>
      <c r="D996" s="1" t="s">
        <v>204</v>
      </c>
      <c r="E996" s="1" t="s">
        <v>205</v>
      </c>
      <c r="F996" s="1" t="s">
        <v>4262</v>
      </c>
      <c r="G996" s="1" t="s">
        <v>12480</v>
      </c>
      <c r="H996" s="1" t="s">
        <v>4263</v>
      </c>
      <c r="I996" s="2">
        <v>3.01</v>
      </c>
      <c r="J996" s="2">
        <v>-0.48</v>
      </c>
      <c r="K996" s="2">
        <v>-0.48</v>
      </c>
      <c r="L996" s="2">
        <v>-0.42</v>
      </c>
      <c r="M996" s="4">
        <f t="shared" si="90"/>
        <v>-6.270833333333333</v>
      </c>
      <c r="N996" s="4">
        <f t="shared" si="91"/>
        <v>-7.1666666666666661</v>
      </c>
      <c r="O996" s="5">
        <f t="shared" si="92"/>
        <v>0</v>
      </c>
      <c r="P996" s="5">
        <f t="shared" si="93"/>
        <v>-0.125</v>
      </c>
      <c r="Q996" s="4" t="e">
        <f t="shared" si="94"/>
        <v>#DIV/0!</v>
      </c>
      <c r="R996" s="4">
        <f t="shared" si="95"/>
        <v>0.57333333333333325</v>
      </c>
      <c r="S996" s="4"/>
      <c r="T996" s="2">
        <v>0.88</v>
      </c>
      <c r="U996" s="2">
        <v>7.51</v>
      </c>
      <c r="V996" s="2">
        <v>2.92</v>
      </c>
      <c r="W996" s="2">
        <v>-3.83</v>
      </c>
      <c r="X996" s="2">
        <v>-7.67</v>
      </c>
      <c r="Y996" s="2">
        <v>-35.549999999999997</v>
      </c>
      <c r="Z996" s="2">
        <v>-24.56</v>
      </c>
    </row>
    <row r="997" spans="1:26" x14ac:dyDescent="0.25">
      <c r="A997" s="1" t="s">
        <v>4264</v>
      </c>
      <c r="B997" s="1" t="s">
        <v>4265</v>
      </c>
      <c r="C997" s="1" t="s">
        <v>45</v>
      </c>
      <c r="D997" s="1" t="s">
        <v>18</v>
      </c>
      <c r="E997" s="1" t="s">
        <v>780</v>
      </c>
      <c r="F997" s="1" t="s">
        <v>4266</v>
      </c>
      <c r="G997" s="1" t="s">
        <v>12480</v>
      </c>
      <c r="H997" s="1" t="s">
        <v>4267</v>
      </c>
      <c r="I997" s="2">
        <v>3.03</v>
      </c>
      <c r="J997" s="2"/>
      <c r="K997" s="2">
        <v>-0.21</v>
      </c>
      <c r="L997" s="2">
        <v>0.65</v>
      </c>
      <c r="M997" s="4">
        <f t="shared" si="90"/>
        <v>-14.428571428571429</v>
      </c>
      <c r="N997" s="4">
        <f t="shared" si="91"/>
        <v>4.661538461538461</v>
      </c>
      <c r="O997" s="5" t="e">
        <f t="shared" si="92"/>
        <v>#DIV/0!</v>
      </c>
      <c r="P997" s="5">
        <f t="shared" si="93"/>
        <v>-4.0952380952380949</v>
      </c>
      <c r="Q997" s="4" t="e">
        <f t="shared" si="94"/>
        <v>#DIV/0!</v>
      </c>
      <c r="R997" s="4">
        <f t="shared" si="95"/>
        <v>-1.138282647584973E-2</v>
      </c>
      <c r="S997" s="4">
        <v>1.97</v>
      </c>
      <c r="T997" s="2">
        <v>1.82</v>
      </c>
      <c r="U997" s="2">
        <v>4.7300000000000004</v>
      </c>
      <c r="V997" s="2">
        <v>2.9</v>
      </c>
      <c r="W997" s="2">
        <v>-7.62</v>
      </c>
      <c r="X997" s="2">
        <v>-17.66</v>
      </c>
      <c r="Y997" s="2">
        <v>1.68</v>
      </c>
      <c r="Z997" s="2">
        <v>-1.62</v>
      </c>
    </row>
    <row r="998" spans="1:26" x14ac:dyDescent="0.25">
      <c r="A998" s="1" t="s">
        <v>4268</v>
      </c>
      <c r="B998" s="1" t="s">
        <v>4269</v>
      </c>
      <c r="C998" s="1" t="s">
        <v>16</v>
      </c>
      <c r="D998" s="1" t="s">
        <v>38</v>
      </c>
      <c r="E998" s="1" t="s">
        <v>1408</v>
      </c>
      <c r="F998" s="1" t="s">
        <v>4270</v>
      </c>
      <c r="G998" s="1" t="s">
        <v>12480</v>
      </c>
      <c r="H998" s="1" t="s">
        <v>4271</v>
      </c>
      <c r="I998" s="2">
        <v>285.77999999999997</v>
      </c>
      <c r="J998" s="2">
        <v>14.56</v>
      </c>
      <c r="K998" s="2">
        <v>18.52</v>
      </c>
      <c r="L998" s="2">
        <v>23.24</v>
      </c>
      <c r="M998" s="4">
        <f t="shared" si="90"/>
        <v>15.430885529157667</v>
      </c>
      <c r="N998" s="4">
        <f t="shared" si="91"/>
        <v>12.296901893287435</v>
      </c>
      <c r="O998" s="5">
        <f t="shared" si="92"/>
        <v>0.2719780219780219</v>
      </c>
      <c r="P998" s="5">
        <f t="shared" si="93"/>
        <v>0.25485961123110146</v>
      </c>
      <c r="Q998" s="4">
        <f t="shared" si="94"/>
        <v>0.56735781137509012</v>
      </c>
      <c r="R998" s="4">
        <f t="shared" si="95"/>
        <v>0.48249708276204101</v>
      </c>
      <c r="S998" s="4">
        <v>29.41</v>
      </c>
      <c r="T998" s="2">
        <v>1.58</v>
      </c>
      <c r="U998" s="2">
        <v>383.12</v>
      </c>
      <c r="V998" s="2">
        <v>163.77000000000001</v>
      </c>
      <c r="W998" s="2">
        <v>-9.1300000000000008</v>
      </c>
      <c r="X998" s="2">
        <v>-20.54</v>
      </c>
      <c r="Y998" s="2">
        <v>-15.12</v>
      </c>
      <c r="Z998" s="2">
        <v>-16.010000000000002</v>
      </c>
    </row>
    <row r="999" spans="1:26" x14ac:dyDescent="0.25">
      <c r="A999" s="1" t="s">
        <v>4272</v>
      </c>
      <c r="B999" s="1" t="s">
        <v>4273</v>
      </c>
      <c r="C999" s="1" t="s">
        <v>45</v>
      </c>
      <c r="D999" s="1" t="s">
        <v>354</v>
      </c>
      <c r="E999" s="1" t="s">
        <v>355</v>
      </c>
      <c r="F999" s="1" t="s">
        <v>4274</v>
      </c>
      <c r="G999" s="1" t="s">
        <v>12480</v>
      </c>
      <c r="H999" s="1" t="s">
        <v>4275</v>
      </c>
      <c r="I999" s="2">
        <v>83.13</v>
      </c>
      <c r="J999" s="2">
        <v>3.83</v>
      </c>
      <c r="K999" s="2">
        <v>4.2699999999999996</v>
      </c>
      <c r="L999" s="2">
        <v>4.53</v>
      </c>
      <c r="M999" s="4">
        <f t="shared" si="90"/>
        <v>19.468384074941454</v>
      </c>
      <c r="N999" s="4">
        <f t="shared" si="91"/>
        <v>18.350993377483441</v>
      </c>
      <c r="O999" s="5">
        <f t="shared" si="92"/>
        <v>0.11488250652741505</v>
      </c>
      <c r="P999" s="5">
        <f t="shared" si="93"/>
        <v>6.0889929742388826E-2</v>
      </c>
      <c r="Q999" s="4">
        <f t="shared" si="94"/>
        <v>1.6946343410687688</v>
      </c>
      <c r="R999" s="4">
        <f t="shared" si="95"/>
        <v>3.0137977585328541</v>
      </c>
      <c r="S999" s="4">
        <v>1.95</v>
      </c>
      <c r="T999" s="2">
        <v>0.65</v>
      </c>
      <c r="U999" s="2">
        <v>84.41</v>
      </c>
      <c r="V999" s="2">
        <v>64.06</v>
      </c>
      <c r="W999" s="2">
        <v>-1.05</v>
      </c>
      <c r="X999" s="2">
        <v>7.75</v>
      </c>
      <c r="Y999" s="2">
        <v>12.16</v>
      </c>
      <c r="Z999" s="2">
        <v>14.68</v>
      </c>
    </row>
    <row r="1000" spans="1:26" x14ac:dyDescent="0.25">
      <c r="A1000" s="1" t="s">
        <v>4276</v>
      </c>
      <c r="B1000" s="1" t="s">
        <v>4277</v>
      </c>
      <c r="C1000" s="1" t="s">
        <v>16</v>
      </c>
      <c r="D1000" s="1" t="s">
        <v>140</v>
      </c>
      <c r="E1000" s="1" t="s">
        <v>1555</v>
      </c>
      <c r="F1000" s="1" t="s">
        <v>4278</v>
      </c>
      <c r="G1000" s="1" t="s">
        <v>12480</v>
      </c>
      <c r="H1000" s="1" t="s">
        <v>4279</v>
      </c>
      <c r="I1000" s="2">
        <v>28.38</v>
      </c>
      <c r="J1000" s="2">
        <v>3.62</v>
      </c>
      <c r="K1000" s="2">
        <v>3.86</v>
      </c>
      <c r="L1000" s="2">
        <v>4.1399999999999997</v>
      </c>
      <c r="M1000" s="4">
        <f t="shared" si="90"/>
        <v>7.3523316062176169</v>
      </c>
      <c r="N1000" s="4">
        <f t="shared" si="91"/>
        <v>6.8550724637681162</v>
      </c>
      <c r="O1000" s="5">
        <f t="shared" si="92"/>
        <v>6.6298342541436295E-2</v>
      </c>
      <c r="P1000" s="5">
        <f t="shared" si="93"/>
        <v>7.2538860103626979E-2</v>
      </c>
      <c r="Q1000" s="4">
        <f t="shared" si="94"/>
        <v>1.1089766839378268</v>
      </c>
      <c r="R1000" s="4">
        <f t="shared" si="95"/>
        <v>0.94502070393374693</v>
      </c>
      <c r="S1000" s="4">
        <v>10.210000000000001</v>
      </c>
      <c r="T1000" s="2">
        <v>0.85</v>
      </c>
      <c r="U1000" s="2">
        <v>38.369999999999997</v>
      </c>
      <c r="V1000" s="2">
        <v>25.19</v>
      </c>
      <c r="W1000" s="2">
        <v>0.11</v>
      </c>
      <c r="X1000" s="2">
        <v>5.31</v>
      </c>
      <c r="Y1000" s="2">
        <v>-4.92</v>
      </c>
      <c r="Z1000" s="2">
        <v>-2.44</v>
      </c>
    </row>
    <row r="1001" spans="1:26" x14ac:dyDescent="0.25">
      <c r="A1001" s="1" t="s">
        <v>4281</v>
      </c>
      <c r="B1001" s="1" t="s">
        <v>4282</v>
      </c>
      <c r="C1001" s="1" t="s">
        <v>16</v>
      </c>
      <c r="D1001" s="1" t="s">
        <v>18</v>
      </c>
      <c r="E1001" s="1" t="s">
        <v>594</v>
      </c>
      <c r="F1001" s="1" t="s">
        <v>4283</v>
      </c>
      <c r="G1001" s="1" t="s">
        <v>12480</v>
      </c>
      <c r="H1001" s="1" t="s">
        <v>4284</v>
      </c>
      <c r="I1001" s="2">
        <v>84.26</v>
      </c>
      <c r="J1001" s="2">
        <v>2.56</v>
      </c>
      <c r="K1001" s="2">
        <v>2.94</v>
      </c>
      <c r="L1001" s="2">
        <v>3.3</v>
      </c>
      <c r="M1001" s="4">
        <f t="shared" si="90"/>
        <v>28.659863945578234</v>
      </c>
      <c r="N1001" s="4">
        <f t="shared" si="91"/>
        <v>25.533333333333335</v>
      </c>
      <c r="O1001" s="5">
        <f t="shared" si="92"/>
        <v>0.1484375</v>
      </c>
      <c r="P1001" s="5">
        <f t="shared" si="93"/>
        <v>0.12244897959183665</v>
      </c>
      <c r="Q1001" s="4">
        <f t="shared" si="94"/>
        <v>1.9307697815968494</v>
      </c>
      <c r="R1001" s="4">
        <f t="shared" si="95"/>
        <v>2.0852222222222241</v>
      </c>
      <c r="S1001" s="4">
        <v>11.55</v>
      </c>
      <c r="T1001" s="2">
        <v>0.93</v>
      </c>
      <c r="U1001" s="2">
        <v>87.18</v>
      </c>
      <c r="V1001" s="2">
        <v>67.069999999999993</v>
      </c>
      <c r="W1001" s="2">
        <v>-3.35</v>
      </c>
      <c r="X1001" s="2">
        <v>9.7100000000000009</v>
      </c>
      <c r="Y1001" s="2">
        <v>1.06</v>
      </c>
      <c r="Z1001" s="2">
        <v>-1.1599999999999999</v>
      </c>
    </row>
    <row r="1002" spans="1:26" x14ac:dyDescent="0.25">
      <c r="A1002" s="1" t="s">
        <v>4285</v>
      </c>
      <c r="B1002" s="1" t="s">
        <v>4286</v>
      </c>
      <c r="C1002" s="1" t="s">
        <v>16</v>
      </c>
      <c r="D1002" s="1" t="s">
        <v>38</v>
      </c>
      <c r="E1002" s="1" t="s">
        <v>259</v>
      </c>
      <c r="F1002" s="1" t="s">
        <v>4287</v>
      </c>
      <c r="G1002" s="1" t="s">
        <v>12480</v>
      </c>
      <c r="H1002" s="1" t="s">
        <v>4288</v>
      </c>
      <c r="I1002" s="2">
        <v>28.86</v>
      </c>
      <c r="J1002" s="2"/>
      <c r="K1002" s="2"/>
      <c r="L1002" s="2"/>
      <c r="M1002" s="4" t="e">
        <f t="shared" si="90"/>
        <v>#DIV/0!</v>
      </c>
      <c r="N1002" s="4" t="e">
        <f t="shared" si="91"/>
        <v>#DIV/0!</v>
      </c>
      <c r="O1002" s="5" t="e">
        <f t="shared" si="92"/>
        <v>#DIV/0!</v>
      </c>
      <c r="P1002" s="5" t="e">
        <f t="shared" si="93"/>
        <v>#DIV/0!</v>
      </c>
      <c r="Q1002" s="4" t="e">
        <f t="shared" si="94"/>
        <v>#DIV/0!</v>
      </c>
      <c r="R1002" s="4" t="e">
        <f t="shared" si="95"/>
        <v>#DIV/0!</v>
      </c>
      <c r="S1002" s="4"/>
      <c r="T1002" s="2">
        <v>0.99</v>
      </c>
      <c r="U1002" s="2">
        <v>30.16</v>
      </c>
      <c r="V1002" s="2">
        <v>20.82</v>
      </c>
      <c r="W1002" s="2">
        <v>-3.58</v>
      </c>
      <c r="X1002" s="2">
        <v>0.1</v>
      </c>
      <c r="Y1002" s="2">
        <v>9.24</v>
      </c>
      <c r="Z1002" s="2">
        <v>10.19</v>
      </c>
    </row>
    <row r="1003" spans="1:26" x14ac:dyDescent="0.25">
      <c r="A1003" s="1" t="s">
        <v>4289</v>
      </c>
      <c r="B1003" s="1" t="s">
        <v>4290</v>
      </c>
      <c r="C1003" s="1" t="s">
        <v>45</v>
      </c>
      <c r="D1003" s="1" t="s">
        <v>38</v>
      </c>
      <c r="E1003" s="1" t="s">
        <v>1909</v>
      </c>
      <c r="F1003" s="1" t="s">
        <v>4291</v>
      </c>
      <c r="G1003" s="1" t="s">
        <v>12480</v>
      </c>
      <c r="H1003" s="1" t="s">
        <v>4292</v>
      </c>
      <c r="I1003" s="2" t="s">
        <v>12659</v>
      </c>
      <c r="J1003" s="2">
        <v>9.49</v>
      </c>
      <c r="K1003" s="2">
        <v>10.31</v>
      </c>
      <c r="L1003" s="2">
        <v>10.93</v>
      </c>
      <c r="M1003" s="4">
        <f t="shared" si="90"/>
        <v>10.37827352085354</v>
      </c>
      <c r="N1003" s="4">
        <f t="shared" si="91"/>
        <v>9.78956999085087</v>
      </c>
      <c r="O1003" s="5">
        <f t="shared" si="92"/>
        <v>8.6406743940990571E-2</v>
      </c>
      <c r="P1003" s="5">
        <f t="shared" si="93"/>
        <v>6.0135790494665331E-2</v>
      </c>
      <c r="Q1003" s="4">
        <f t="shared" si="94"/>
        <v>1.2010953135719515</v>
      </c>
      <c r="R1003" s="4">
        <f t="shared" si="95"/>
        <v>1.6279107517043958</v>
      </c>
      <c r="S1003" s="4">
        <v>3.18</v>
      </c>
      <c r="T1003" s="2">
        <v>0.9</v>
      </c>
      <c r="U1003" s="2">
        <v>122.56</v>
      </c>
      <c r="V1003" s="2">
        <v>71.03</v>
      </c>
      <c r="W1003" s="2">
        <v>-3.53</v>
      </c>
      <c r="X1003" s="2">
        <v>-12.7</v>
      </c>
      <c r="Y1003" s="2">
        <v>-5.83</v>
      </c>
      <c r="Z1003" s="2">
        <v>-4.8</v>
      </c>
    </row>
    <row r="1004" spans="1:26" x14ac:dyDescent="0.25">
      <c r="A1004" s="1" t="s">
        <v>4293</v>
      </c>
      <c r="B1004" s="1" t="s">
        <v>4294</v>
      </c>
      <c r="C1004" s="1" t="s">
        <v>16</v>
      </c>
      <c r="D1004" s="1" t="s">
        <v>38</v>
      </c>
      <c r="E1004" s="1" t="s">
        <v>259</v>
      </c>
      <c r="F1004" s="1" t="s">
        <v>4295</v>
      </c>
      <c r="G1004" s="1" t="s">
        <v>12480</v>
      </c>
      <c r="H1004" s="1" t="s">
        <v>4296</v>
      </c>
      <c r="I1004" s="2">
        <v>41.09</v>
      </c>
      <c r="J1004" s="2"/>
      <c r="K1004" s="2"/>
      <c r="L1004" s="2"/>
      <c r="M1004" s="4" t="e">
        <f t="shared" si="90"/>
        <v>#DIV/0!</v>
      </c>
      <c r="N1004" s="4" t="e">
        <f t="shared" si="91"/>
        <v>#DIV/0!</v>
      </c>
      <c r="O1004" s="5" t="e">
        <f t="shared" si="92"/>
        <v>#DIV/0!</v>
      </c>
      <c r="P1004" s="5" t="e">
        <f t="shared" si="93"/>
        <v>#DIV/0!</v>
      </c>
      <c r="Q1004" s="4" t="e">
        <f t="shared" si="94"/>
        <v>#DIV/0!</v>
      </c>
      <c r="R1004" s="4" t="e">
        <f t="shared" si="95"/>
        <v>#DIV/0!</v>
      </c>
      <c r="S1004" s="4"/>
      <c r="T1004" s="2">
        <v>0.95</v>
      </c>
      <c r="U1004" s="2">
        <v>44.56</v>
      </c>
      <c r="V1004" s="2">
        <v>33.22</v>
      </c>
      <c r="W1004" s="2">
        <v>-4.24</v>
      </c>
      <c r="X1004" s="2">
        <v>-7.29</v>
      </c>
      <c r="Y1004" s="2">
        <v>-2.4</v>
      </c>
      <c r="Z1004" s="2">
        <v>-3.32</v>
      </c>
    </row>
    <row r="1005" spans="1:26" x14ac:dyDescent="0.25">
      <c r="A1005" s="1" t="s">
        <v>4297</v>
      </c>
      <c r="B1005" s="1" t="s">
        <v>4298</v>
      </c>
      <c r="C1005" s="1" t="s">
        <v>16</v>
      </c>
      <c r="D1005" s="1" t="s">
        <v>38</v>
      </c>
      <c r="E1005" s="1" t="s">
        <v>259</v>
      </c>
      <c r="F1005" s="1" t="s">
        <v>12660</v>
      </c>
      <c r="G1005" s="1" t="s">
        <v>12480</v>
      </c>
      <c r="H1005" s="1" t="s">
        <v>4299</v>
      </c>
      <c r="I1005" s="2">
        <v>85.64</v>
      </c>
      <c r="J1005" s="2"/>
      <c r="K1005" s="2"/>
      <c r="L1005" s="2"/>
      <c r="M1005" s="4" t="e">
        <f t="shared" si="90"/>
        <v>#DIV/0!</v>
      </c>
      <c r="N1005" s="4" t="e">
        <f t="shared" si="91"/>
        <v>#DIV/0!</v>
      </c>
      <c r="O1005" s="5" t="e">
        <f t="shared" si="92"/>
        <v>#DIV/0!</v>
      </c>
      <c r="P1005" s="5" t="e">
        <f t="shared" si="93"/>
        <v>#DIV/0!</v>
      </c>
      <c r="Q1005" s="4" t="e">
        <f t="shared" si="94"/>
        <v>#DIV/0!</v>
      </c>
      <c r="R1005" s="4" t="e">
        <f t="shared" si="95"/>
        <v>#DIV/0!</v>
      </c>
      <c r="S1005" s="4"/>
      <c r="T1005" s="2">
        <v>0.63</v>
      </c>
      <c r="U1005" s="2">
        <v>93.97</v>
      </c>
      <c r="V1005" s="2">
        <v>61.32</v>
      </c>
      <c r="W1005" s="2">
        <v>-5.0599999999999996</v>
      </c>
      <c r="X1005" s="2">
        <v>-6.19</v>
      </c>
      <c r="Y1005" s="2">
        <v>0.91</v>
      </c>
      <c r="Z1005" s="2">
        <v>6.07</v>
      </c>
    </row>
    <row r="1006" spans="1:26" x14ac:dyDescent="0.25">
      <c r="A1006" s="1" t="s">
        <v>4300</v>
      </c>
      <c r="B1006" s="1" t="s">
        <v>4301</v>
      </c>
      <c r="C1006" s="1" t="s">
        <v>16</v>
      </c>
      <c r="D1006" s="1" t="s">
        <v>38</v>
      </c>
      <c r="E1006" s="1" t="s">
        <v>259</v>
      </c>
      <c r="F1006" s="1" t="s">
        <v>4302</v>
      </c>
      <c r="G1006" s="1" t="s">
        <v>12480</v>
      </c>
      <c r="H1006" s="1" t="s">
        <v>3594</v>
      </c>
      <c r="I1006" s="2">
        <v>61.01</v>
      </c>
      <c r="J1006" s="2"/>
      <c r="K1006" s="2"/>
      <c r="L1006" s="2"/>
      <c r="M1006" s="4" t="e">
        <f t="shared" si="90"/>
        <v>#DIV/0!</v>
      </c>
      <c r="N1006" s="4" t="e">
        <f t="shared" si="91"/>
        <v>#DIV/0!</v>
      </c>
      <c r="O1006" s="5" t="e">
        <f t="shared" si="92"/>
        <v>#DIV/0!</v>
      </c>
      <c r="P1006" s="5" t="e">
        <f t="shared" si="93"/>
        <v>#DIV/0!</v>
      </c>
      <c r="Q1006" s="4" t="e">
        <f t="shared" si="94"/>
        <v>#DIV/0!</v>
      </c>
      <c r="R1006" s="4" t="e">
        <f t="shared" si="95"/>
        <v>#DIV/0!</v>
      </c>
      <c r="S1006" s="4"/>
      <c r="T1006" s="2">
        <v>0.77</v>
      </c>
      <c r="U1006" s="2">
        <v>65.08</v>
      </c>
      <c r="V1006" s="2">
        <v>47.04</v>
      </c>
      <c r="W1006" s="2">
        <v>-4.0599999999999996</v>
      </c>
      <c r="X1006" s="2">
        <v>-3.85</v>
      </c>
      <c r="Y1006" s="2">
        <v>3.3</v>
      </c>
      <c r="Z1006" s="2">
        <v>1.75</v>
      </c>
    </row>
    <row r="1007" spans="1:26" x14ac:dyDescent="0.25">
      <c r="A1007" s="1" t="s">
        <v>4303</v>
      </c>
      <c r="B1007" s="1" t="s">
        <v>4304</v>
      </c>
      <c r="C1007" s="1" t="s">
        <v>16</v>
      </c>
      <c r="D1007" s="1" t="s">
        <v>38</v>
      </c>
      <c r="E1007" s="1" t="s">
        <v>259</v>
      </c>
      <c r="F1007" s="1" t="s">
        <v>4305</v>
      </c>
      <c r="G1007" s="1" t="s">
        <v>12480</v>
      </c>
      <c r="H1007" s="1" t="s">
        <v>4306</v>
      </c>
      <c r="I1007" s="2">
        <v>53.84</v>
      </c>
      <c r="J1007" s="2"/>
      <c r="K1007" s="2"/>
      <c r="L1007" s="2"/>
      <c r="M1007" s="4" t="e">
        <f t="shared" si="90"/>
        <v>#DIV/0!</v>
      </c>
      <c r="N1007" s="4" t="e">
        <f t="shared" si="91"/>
        <v>#DIV/0!</v>
      </c>
      <c r="O1007" s="5" t="e">
        <f t="shared" si="92"/>
        <v>#DIV/0!</v>
      </c>
      <c r="P1007" s="5" t="e">
        <f t="shared" si="93"/>
        <v>#DIV/0!</v>
      </c>
      <c r="Q1007" s="4" t="e">
        <f t="shared" si="94"/>
        <v>#DIV/0!</v>
      </c>
      <c r="R1007" s="4" t="e">
        <f t="shared" si="95"/>
        <v>#DIV/0!</v>
      </c>
      <c r="S1007" s="4"/>
      <c r="T1007" s="2">
        <v>0.69</v>
      </c>
      <c r="U1007" s="2">
        <v>58.26</v>
      </c>
      <c r="V1007" s="2">
        <v>34.15</v>
      </c>
      <c r="W1007" s="2">
        <v>-3.91</v>
      </c>
      <c r="X1007" s="2">
        <v>-6.38</v>
      </c>
      <c r="Y1007" s="2">
        <v>-0.31</v>
      </c>
      <c r="Z1007" s="2">
        <v>-0.13</v>
      </c>
    </row>
    <row r="1008" spans="1:26" x14ac:dyDescent="0.25">
      <c r="A1008" s="1" t="s">
        <v>4307</v>
      </c>
      <c r="B1008" s="1" t="s">
        <v>4308</v>
      </c>
      <c r="C1008" s="1" t="s">
        <v>45</v>
      </c>
      <c r="D1008" s="1" t="s">
        <v>18</v>
      </c>
      <c r="E1008" s="1" t="s">
        <v>74</v>
      </c>
      <c r="F1008" s="1" t="s">
        <v>4309</v>
      </c>
      <c r="G1008" s="1" t="s">
        <v>12480</v>
      </c>
      <c r="H1008" s="1" t="s">
        <v>4310</v>
      </c>
      <c r="I1008" s="2">
        <v>28.66</v>
      </c>
      <c r="J1008" s="2">
        <v>-1.63</v>
      </c>
      <c r="K1008" s="2">
        <v>-2.12</v>
      </c>
      <c r="L1008" s="2">
        <v>-2.2799999999999998</v>
      </c>
      <c r="M1008" s="4">
        <f t="shared" si="90"/>
        <v>-13.518867924528301</v>
      </c>
      <c r="N1008" s="4">
        <f t="shared" si="91"/>
        <v>-12.570175438596493</v>
      </c>
      <c r="O1008" s="5">
        <f t="shared" si="92"/>
        <v>0.30061349693251538</v>
      </c>
      <c r="P1008" s="5">
        <f t="shared" si="93"/>
        <v>7.5471698113207308E-2</v>
      </c>
      <c r="Q1008" s="4">
        <f t="shared" si="94"/>
        <v>-0.44970927993839038</v>
      </c>
      <c r="R1008" s="4">
        <f t="shared" si="95"/>
        <v>-1.6655482456140407</v>
      </c>
      <c r="S1008" s="4"/>
      <c r="T1008" s="2">
        <v>0.26</v>
      </c>
      <c r="U1008" s="2" t="s">
        <v>12661</v>
      </c>
      <c r="V1008" s="2">
        <v>11.42</v>
      </c>
      <c r="W1008" s="2">
        <v>-3.5</v>
      </c>
      <c r="X1008" s="2">
        <v>-5.26</v>
      </c>
      <c r="Y1008" s="2">
        <v>19.72</v>
      </c>
      <c r="Z1008" s="2">
        <v>15.49</v>
      </c>
    </row>
    <row r="1009" spans="1:26" x14ac:dyDescent="0.25">
      <c r="A1009" s="1" t="s">
        <v>4311</v>
      </c>
      <c r="B1009" s="1" t="s">
        <v>4312</v>
      </c>
      <c r="C1009" s="1" t="s">
        <v>16</v>
      </c>
      <c r="D1009" s="1" t="s">
        <v>38</v>
      </c>
      <c r="E1009" s="1" t="s">
        <v>259</v>
      </c>
      <c r="F1009" s="1" t="s">
        <v>4313</v>
      </c>
      <c r="G1009" s="1" t="s">
        <v>12480</v>
      </c>
      <c r="H1009" s="1" t="s">
        <v>4314</v>
      </c>
      <c r="I1009" s="2">
        <v>46.29</v>
      </c>
      <c r="J1009" s="2"/>
      <c r="K1009" s="2"/>
      <c r="L1009" s="2"/>
      <c r="M1009" s="4" t="e">
        <f t="shared" si="90"/>
        <v>#DIV/0!</v>
      </c>
      <c r="N1009" s="4" t="e">
        <f t="shared" si="91"/>
        <v>#DIV/0!</v>
      </c>
      <c r="O1009" s="5" t="e">
        <f t="shared" si="92"/>
        <v>#DIV/0!</v>
      </c>
      <c r="P1009" s="5" t="e">
        <f t="shared" si="93"/>
        <v>#DIV/0!</v>
      </c>
      <c r="Q1009" s="4" t="e">
        <f t="shared" si="94"/>
        <v>#DIV/0!</v>
      </c>
      <c r="R1009" s="4" t="e">
        <f t="shared" si="95"/>
        <v>#DIV/0!</v>
      </c>
      <c r="S1009" s="4"/>
      <c r="T1009" s="2">
        <v>0.61</v>
      </c>
      <c r="U1009" s="2">
        <v>48.68</v>
      </c>
      <c r="V1009" s="2">
        <v>33.19</v>
      </c>
      <c r="W1009" s="2">
        <v>-3.8</v>
      </c>
      <c r="X1009" s="2">
        <v>-1.55</v>
      </c>
      <c r="Y1009" s="2">
        <v>5.81</v>
      </c>
      <c r="Z1009" s="2">
        <v>5.25</v>
      </c>
    </row>
    <row r="1010" spans="1:26" x14ac:dyDescent="0.25">
      <c r="A1010" s="1" t="s">
        <v>4316</v>
      </c>
      <c r="B1010" s="1" t="s">
        <v>4317</v>
      </c>
      <c r="C1010" s="1" t="s">
        <v>16</v>
      </c>
      <c r="D1010" s="1" t="s">
        <v>38</v>
      </c>
      <c r="E1010" s="1" t="s">
        <v>259</v>
      </c>
      <c r="F1010" s="1" t="s">
        <v>12662</v>
      </c>
      <c r="G1010" s="1" t="s">
        <v>12480</v>
      </c>
      <c r="H1010" s="1" t="s">
        <v>4318</v>
      </c>
      <c r="I1010" s="2">
        <v>133.88999999999999</v>
      </c>
      <c r="J1010" s="2"/>
      <c r="K1010" s="2"/>
      <c r="L1010" s="2"/>
      <c r="M1010" s="4" t="e">
        <f t="shared" si="90"/>
        <v>#DIV/0!</v>
      </c>
      <c r="N1010" s="4" t="e">
        <f t="shared" si="91"/>
        <v>#DIV/0!</v>
      </c>
      <c r="O1010" s="5" t="e">
        <f t="shared" si="92"/>
        <v>#DIV/0!</v>
      </c>
      <c r="P1010" s="5" t="e">
        <f t="shared" si="93"/>
        <v>#DIV/0!</v>
      </c>
      <c r="Q1010" s="4" t="e">
        <f t="shared" si="94"/>
        <v>#DIV/0!</v>
      </c>
      <c r="R1010" s="4" t="e">
        <f t="shared" si="95"/>
        <v>#DIV/0!</v>
      </c>
      <c r="S1010" s="4"/>
      <c r="T1010" s="2">
        <v>1.1499999999999999</v>
      </c>
      <c r="U1010" s="2">
        <v>151.37</v>
      </c>
      <c r="V1010" s="2">
        <v>48.92</v>
      </c>
      <c r="W1010" s="2">
        <v>-9.25</v>
      </c>
      <c r="X1010" s="2">
        <v>6.22</v>
      </c>
      <c r="Y1010" s="2">
        <v>44.39</v>
      </c>
      <c r="Z1010" s="2">
        <v>37.72</v>
      </c>
    </row>
    <row r="1011" spans="1:26" x14ac:dyDescent="0.25">
      <c r="A1011" s="1" t="s">
        <v>4319</v>
      </c>
      <c r="B1011" s="1" t="s">
        <v>4320</v>
      </c>
      <c r="C1011" s="1" t="s">
        <v>16</v>
      </c>
      <c r="D1011" s="1" t="s">
        <v>38</v>
      </c>
      <c r="E1011" s="1" t="s">
        <v>259</v>
      </c>
      <c r="F1011" s="1" t="s">
        <v>4321</v>
      </c>
      <c r="G1011" s="1" t="s">
        <v>12480</v>
      </c>
      <c r="H1011" s="1" t="s">
        <v>4322</v>
      </c>
      <c r="I1011" s="2">
        <v>37.1</v>
      </c>
      <c r="J1011" s="2"/>
      <c r="K1011" s="2"/>
      <c r="L1011" s="2"/>
      <c r="M1011" s="4" t="e">
        <f t="shared" si="90"/>
        <v>#DIV/0!</v>
      </c>
      <c r="N1011" s="4" t="e">
        <f t="shared" si="91"/>
        <v>#DIV/0!</v>
      </c>
      <c r="O1011" s="5" t="e">
        <f t="shared" si="92"/>
        <v>#DIV/0!</v>
      </c>
      <c r="P1011" s="5" t="e">
        <f t="shared" si="93"/>
        <v>#DIV/0!</v>
      </c>
      <c r="Q1011" s="4" t="e">
        <f t="shared" si="94"/>
        <v>#DIV/0!</v>
      </c>
      <c r="R1011" s="4" t="e">
        <f t="shared" si="95"/>
        <v>#DIV/0!</v>
      </c>
      <c r="S1011" s="4"/>
      <c r="T1011" s="2">
        <v>0.71</v>
      </c>
      <c r="U1011" s="2">
        <v>39.590000000000003</v>
      </c>
      <c r="V1011" s="2">
        <v>23.44</v>
      </c>
      <c r="W1011" s="2">
        <v>-3.99</v>
      </c>
      <c r="X1011" s="2">
        <v>-3.44</v>
      </c>
      <c r="Y1011" s="2">
        <v>10.48</v>
      </c>
      <c r="Z1011" s="2">
        <v>16.78</v>
      </c>
    </row>
    <row r="1012" spans="1:26" x14ac:dyDescent="0.25">
      <c r="A1012" s="1" t="s">
        <v>4324</v>
      </c>
      <c r="B1012" s="1" t="s">
        <v>4325</v>
      </c>
      <c r="C1012" s="1" t="s">
        <v>45</v>
      </c>
      <c r="D1012" s="1" t="s">
        <v>18</v>
      </c>
      <c r="E1012" s="1" t="s">
        <v>74</v>
      </c>
      <c r="F1012" s="1" t="s">
        <v>4326</v>
      </c>
      <c r="G1012" s="1" t="s">
        <v>12480</v>
      </c>
      <c r="H1012" s="1" t="s">
        <v>4327</v>
      </c>
      <c r="I1012" s="2">
        <v>103.71</v>
      </c>
      <c r="J1012" s="2">
        <v>7.0000000000000007E-2</v>
      </c>
      <c r="K1012" s="2">
        <v>1.45</v>
      </c>
      <c r="L1012" s="2">
        <v>1.95</v>
      </c>
      <c r="M1012" s="4">
        <f t="shared" si="90"/>
        <v>71.524137931034474</v>
      </c>
      <c r="N1012" s="4">
        <f t="shared" si="91"/>
        <v>53.184615384615384</v>
      </c>
      <c r="O1012" s="5">
        <f t="shared" si="92"/>
        <v>19.714285714285712</v>
      </c>
      <c r="P1012" s="5">
        <f t="shared" si="93"/>
        <v>0.34482758620689657</v>
      </c>
      <c r="Q1012" s="4">
        <f t="shared" si="94"/>
        <v>3.6280359820089959E-2</v>
      </c>
      <c r="R1012" s="4">
        <f t="shared" si="95"/>
        <v>1.542353846153846</v>
      </c>
      <c r="S1012" s="4">
        <v>17.690000000000001</v>
      </c>
      <c r="T1012" s="2">
        <v>1.41</v>
      </c>
      <c r="U1012" s="2">
        <v>103.71</v>
      </c>
      <c r="V1012" s="2">
        <v>40.31</v>
      </c>
      <c r="W1012" s="2">
        <v>0.35</v>
      </c>
      <c r="X1012" s="2">
        <v>0.38</v>
      </c>
      <c r="Y1012" s="2">
        <v>1.94</v>
      </c>
      <c r="Z1012" s="2">
        <v>2.12</v>
      </c>
    </row>
    <row r="1013" spans="1:26" x14ac:dyDescent="0.25">
      <c r="A1013" s="1" t="s">
        <v>4328</v>
      </c>
      <c r="B1013" s="1" t="s">
        <v>4329</v>
      </c>
      <c r="C1013" s="1" t="s">
        <v>45</v>
      </c>
      <c r="D1013" s="1" t="s">
        <v>354</v>
      </c>
      <c r="E1013" s="1" t="s">
        <v>355</v>
      </c>
      <c r="F1013" s="1" t="s">
        <v>4330</v>
      </c>
      <c r="G1013" s="1" t="s">
        <v>12480</v>
      </c>
      <c r="H1013" s="1" t="s">
        <v>4331</v>
      </c>
      <c r="I1013" s="2">
        <v>49.14</v>
      </c>
      <c r="J1013" s="2">
        <v>2.77</v>
      </c>
      <c r="K1013" s="2">
        <v>2.84</v>
      </c>
      <c r="L1013" s="2">
        <v>3.04</v>
      </c>
      <c r="M1013" s="4">
        <f t="shared" si="90"/>
        <v>17.302816901408452</v>
      </c>
      <c r="N1013" s="4">
        <f t="shared" si="91"/>
        <v>16.164473684210527</v>
      </c>
      <c r="O1013" s="5">
        <f t="shared" si="92"/>
        <v>2.5270758122743597E-2</v>
      </c>
      <c r="P1013" s="5">
        <f t="shared" si="93"/>
        <v>7.0422535211267734E-2</v>
      </c>
      <c r="Q1013" s="4">
        <f t="shared" si="94"/>
        <v>6.8469718309859386</v>
      </c>
      <c r="R1013" s="4">
        <f t="shared" si="95"/>
        <v>2.2953552631578908</v>
      </c>
      <c r="S1013" s="4">
        <v>5.34</v>
      </c>
      <c r="T1013" s="2">
        <v>0.45</v>
      </c>
      <c r="U1013" s="2">
        <v>49.47</v>
      </c>
      <c r="V1013" s="2">
        <v>42.2</v>
      </c>
      <c r="W1013" s="2">
        <v>-0.06</v>
      </c>
      <c r="X1013" s="2">
        <v>11.76</v>
      </c>
      <c r="Y1013" s="2">
        <v>12.01</v>
      </c>
      <c r="Z1013" s="2">
        <v>12.73</v>
      </c>
    </row>
    <row r="1014" spans="1:26" x14ac:dyDescent="0.25">
      <c r="A1014" s="1" t="s">
        <v>4332</v>
      </c>
      <c r="B1014" s="1" t="s">
        <v>4333</v>
      </c>
      <c r="C1014" s="1" t="s">
        <v>45</v>
      </c>
      <c r="D1014" s="1" t="s">
        <v>94</v>
      </c>
      <c r="E1014" s="1" t="s">
        <v>95</v>
      </c>
      <c r="F1014" s="1" t="s">
        <v>4334</v>
      </c>
      <c r="G1014" s="1" t="s">
        <v>12480</v>
      </c>
      <c r="H1014" s="1" t="s">
        <v>4335</v>
      </c>
      <c r="I1014" s="2">
        <v>107.87</v>
      </c>
      <c r="J1014" s="2">
        <v>6.1</v>
      </c>
      <c r="K1014" s="2">
        <v>8.49</v>
      </c>
      <c r="L1014" s="2">
        <v>8.7799999999999994</v>
      </c>
      <c r="M1014" s="4">
        <f t="shared" si="90"/>
        <v>12.705535924617196</v>
      </c>
      <c r="N1014" s="4">
        <f t="shared" si="91"/>
        <v>12.285876993166289</v>
      </c>
      <c r="O1014" s="5">
        <f t="shared" si="92"/>
        <v>0.3918032786885246</v>
      </c>
      <c r="P1014" s="5">
        <f t="shared" si="93"/>
        <v>3.4157832744404981E-2</v>
      </c>
      <c r="Q1014" s="4">
        <f t="shared" si="94"/>
        <v>0.32428355288771926</v>
      </c>
      <c r="R1014" s="4">
        <f t="shared" si="95"/>
        <v>3.5967964024821519</v>
      </c>
      <c r="S1014" s="4">
        <v>186.28</v>
      </c>
      <c r="T1014" s="2">
        <v>0.47</v>
      </c>
      <c r="U1014" s="2">
        <v>122.89</v>
      </c>
      <c r="V1014" s="2">
        <v>93.03</v>
      </c>
      <c r="W1014" s="2">
        <v>-0.56999999999999995</v>
      </c>
      <c r="X1014" s="2">
        <v>4.4800000000000004</v>
      </c>
      <c r="Y1014" s="2">
        <v>-2.42</v>
      </c>
      <c r="Z1014" s="2">
        <v>-2.2599999999999998</v>
      </c>
    </row>
    <row r="1015" spans="1:26" x14ac:dyDescent="0.25">
      <c r="A1015" s="1" t="s">
        <v>4336</v>
      </c>
      <c r="B1015" s="1" t="s">
        <v>4337</v>
      </c>
      <c r="C1015" s="1" t="s">
        <v>45</v>
      </c>
      <c r="D1015" s="1" t="s">
        <v>18</v>
      </c>
      <c r="E1015" s="1" t="s">
        <v>74</v>
      </c>
      <c r="F1015" s="1" t="s">
        <v>4338</v>
      </c>
      <c r="G1015" s="1" t="s">
        <v>12480</v>
      </c>
      <c r="H1015" s="1" t="s">
        <v>4339</v>
      </c>
      <c r="I1015" s="2">
        <v>42.37</v>
      </c>
      <c r="J1015" s="2">
        <v>3.08</v>
      </c>
      <c r="K1015" s="2">
        <v>3.4</v>
      </c>
      <c r="L1015" s="2">
        <v>3.96</v>
      </c>
      <c r="M1015" s="4">
        <f t="shared" si="90"/>
        <v>12.461764705882352</v>
      </c>
      <c r="N1015" s="4">
        <f t="shared" si="91"/>
        <v>10.699494949494948</v>
      </c>
      <c r="O1015" s="5">
        <f t="shared" si="92"/>
        <v>0.10389610389610393</v>
      </c>
      <c r="P1015" s="5">
        <f t="shared" si="93"/>
        <v>0.16470588235294126</v>
      </c>
      <c r="Q1015" s="4">
        <f t="shared" si="94"/>
        <v>1.1994448529411761</v>
      </c>
      <c r="R1015" s="4">
        <f t="shared" si="95"/>
        <v>0.64961219336219289</v>
      </c>
      <c r="S1015" s="4">
        <v>6.98</v>
      </c>
      <c r="T1015" s="2">
        <v>0.41</v>
      </c>
      <c r="U1015" s="2">
        <v>46.61</v>
      </c>
      <c r="V1015" s="2">
        <v>34.130000000000003</v>
      </c>
      <c r="W1015" s="2">
        <v>3.27</v>
      </c>
      <c r="X1015" s="2">
        <v>-3.6</v>
      </c>
      <c r="Y1015" s="2">
        <v>2.39</v>
      </c>
      <c r="Z1015" s="2">
        <v>-3.33</v>
      </c>
    </row>
    <row r="1016" spans="1:26" x14ac:dyDescent="0.25">
      <c r="A1016" s="1" t="s">
        <v>4340</v>
      </c>
      <c r="B1016" s="1" t="s">
        <v>4341</v>
      </c>
      <c r="C1016" s="1" t="s">
        <v>16</v>
      </c>
      <c r="D1016" s="1" t="s">
        <v>88</v>
      </c>
      <c r="E1016" s="1" t="s">
        <v>440</v>
      </c>
      <c r="F1016" s="1" t="s">
        <v>4342</v>
      </c>
      <c r="G1016" s="1" t="s">
        <v>12480</v>
      </c>
      <c r="H1016" s="1" t="s">
        <v>4343</v>
      </c>
      <c r="I1016" s="2">
        <v>11.26</v>
      </c>
      <c r="J1016" s="2">
        <v>-0.02</v>
      </c>
      <c r="K1016" s="2">
        <v>0.56000000000000005</v>
      </c>
      <c r="L1016" s="2">
        <v>0.77</v>
      </c>
      <c r="M1016" s="4">
        <f t="shared" si="90"/>
        <v>20.107142857142854</v>
      </c>
      <c r="N1016" s="4">
        <f t="shared" si="91"/>
        <v>14.623376623376624</v>
      </c>
      <c r="O1016" s="5">
        <f t="shared" si="92"/>
        <v>-29.000000000000004</v>
      </c>
      <c r="P1016" s="5">
        <f t="shared" si="93"/>
        <v>0.375</v>
      </c>
      <c r="Q1016" s="4">
        <f t="shared" si="94"/>
        <v>-6.933497536945811E-3</v>
      </c>
      <c r="R1016" s="4">
        <f t="shared" si="95"/>
        <v>0.38995670995670995</v>
      </c>
      <c r="S1016" s="4">
        <v>98.9</v>
      </c>
      <c r="T1016" s="2">
        <v>1.1599999999999999</v>
      </c>
      <c r="U1016" s="2">
        <v>14.12</v>
      </c>
      <c r="V1016" s="2">
        <v>3.15</v>
      </c>
      <c r="W1016" s="2">
        <v>-14.31</v>
      </c>
      <c r="X1016" s="2">
        <v>-7.7</v>
      </c>
      <c r="Y1016" s="2">
        <v>23.33</v>
      </c>
      <c r="Z1016" s="2">
        <v>19.79</v>
      </c>
    </row>
    <row r="1017" spans="1:26" x14ac:dyDescent="0.25">
      <c r="A1017" s="1" t="s">
        <v>4344</v>
      </c>
      <c r="B1017" s="1" t="s">
        <v>4345</v>
      </c>
      <c r="C1017" s="1" t="s">
        <v>45</v>
      </c>
      <c r="D1017" s="1" t="s">
        <v>32</v>
      </c>
      <c r="E1017" s="1" t="s">
        <v>248</v>
      </c>
      <c r="F1017" s="1" t="s">
        <v>4346</v>
      </c>
      <c r="G1017" s="1" t="s">
        <v>12480</v>
      </c>
      <c r="H1017" s="1" t="s">
        <v>4347</v>
      </c>
      <c r="I1017" s="2">
        <v>32.229999999999997</v>
      </c>
      <c r="J1017" s="2">
        <v>1.95</v>
      </c>
      <c r="K1017" s="2">
        <v>2.19</v>
      </c>
      <c r="L1017" s="2">
        <v>2.4700000000000002</v>
      </c>
      <c r="M1017" s="4">
        <f t="shared" si="90"/>
        <v>14.716894977168948</v>
      </c>
      <c r="N1017" s="4">
        <f t="shared" si="91"/>
        <v>13.048582995951415</v>
      </c>
      <c r="O1017" s="5">
        <f t="shared" si="92"/>
        <v>0.12307692307692308</v>
      </c>
      <c r="P1017" s="5">
        <f t="shared" si="93"/>
        <v>0.12785388127853903</v>
      </c>
      <c r="Q1017" s="4">
        <f t="shared" si="94"/>
        <v>1.1957477168949771</v>
      </c>
      <c r="R1017" s="4">
        <f t="shared" si="95"/>
        <v>1.0205855986119126</v>
      </c>
      <c r="S1017" s="4">
        <v>13.56</v>
      </c>
      <c r="T1017" s="2">
        <v>0.91</v>
      </c>
      <c r="U1017" s="2">
        <v>48.48</v>
      </c>
      <c r="V1017" s="2">
        <v>28.51</v>
      </c>
      <c r="W1017" s="2">
        <v>3.27</v>
      </c>
      <c r="X1017" s="2">
        <v>3.63</v>
      </c>
      <c r="Y1017" s="2">
        <v>-22.38</v>
      </c>
      <c r="Z1017" s="2">
        <v>-24.06</v>
      </c>
    </row>
    <row r="1018" spans="1:26" x14ac:dyDescent="0.25">
      <c r="A1018" s="1" t="s">
        <v>4348</v>
      </c>
      <c r="B1018" s="1" t="s">
        <v>4349</v>
      </c>
      <c r="C1018" s="1" t="s">
        <v>16</v>
      </c>
      <c r="D1018" s="1" t="s">
        <v>61</v>
      </c>
      <c r="E1018" s="1" t="s">
        <v>2186</v>
      </c>
      <c r="F1018" s="1" t="s">
        <v>4350</v>
      </c>
      <c r="G1018" s="1" t="s">
        <v>12490</v>
      </c>
      <c r="H1018" s="1" t="s">
        <v>4351</v>
      </c>
      <c r="I1018" s="2">
        <v>196.49</v>
      </c>
      <c r="J1018" s="2">
        <v>13.94</v>
      </c>
      <c r="K1018" s="2">
        <v>12.74</v>
      </c>
      <c r="L1018" s="2">
        <v>12.56</v>
      </c>
      <c r="M1018" s="4">
        <f t="shared" si="90"/>
        <v>15.423076923076923</v>
      </c>
      <c r="N1018" s="4">
        <f t="shared" si="91"/>
        <v>15.644108280254777</v>
      </c>
      <c r="O1018" s="5">
        <f t="shared" si="92"/>
        <v>-8.6083213773314182E-2</v>
      </c>
      <c r="P1018" s="5">
        <f t="shared" si="93"/>
        <v>-1.4128728414442682E-2</v>
      </c>
      <c r="Q1018" s="4">
        <f t="shared" si="94"/>
        <v>-1.7916474358974366</v>
      </c>
      <c r="R1018" s="4">
        <f t="shared" si="95"/>
        <v>-11.072552193913673</v>
      </c>
      <c r="S1018" s="4">
        <v>0.05</v>
      </c>
      <c r="T1018" s="2">
        <v>1.35</v>
      </c>
      <c r="U1018" s="2">
        <v>242.26</v>
      </c>
      <c r="V1018" s="2">
        <v>193.68</v>
      </c>
      <c r="W1018" s="2">
        <v>-10.34</v>
      </c>
      <c r="X1018" s="2">
        <v>-13.44</v>
      </c>
      <c r="Y1018" s="2">
        <v>-11.87</v>
      </c>
      <c r="Z1018" s="2">
        <v>-4.93</v>
      </c>
    </row>
    <row r="1019" spans="1:26" x14ac:dyDescent="0.25">
      <c r="A1019" s="1" t="s">
        <v>4352</v>
      </c>
      <c r="B1019" s="1" t="s">
        <v>4353</v>
      </c>
      <c r="C1019" s="1" t="s">
        <v>16</v>
      </c>
      <c r="D1019" s="1" t="s">
        <v>46</v>
      </c>
      <c r="E1019" s="1" t="s">
        <v>1142</v>
      </c>
      <c r="F1019" s="1" t="s">
        <v>4354</v>
      </c>
      <c r="G1019" s="1" t="s">
        <v>12480</v>
      </c>
      <c r="H1019" s="1" t="s">
        <v>4355</v>
      </c>
      <c r="I1019" s="2">
        <v>145.24</v>
      </c>
      <c r="J1019" s="2">
        <v>5.95</v>
      </c>
      <c r="K1019" s="2">
        <v>5.97</v>
      </c>
      <c r="L1019" s="2">
        <v>6.36</v>
      </c>
      <c r="M1019" s="4">
        <f t="shared" si="90"/>
        <v>24.328308207705195</v>
      </c>
      <c r="N1019" s="4">
        <f t="shared" si="91"/>
        <v>22.836477987421382</v>
      </c>
      <c r="O1019" s="5">
        <f t="shared" si="92"/>
        <v>3.3613445378151141E-3</v>
      </c>
      <c r="P1019" s="5">
        <f t="shared" si="93"/>
        <v>6.5326633165829318E-2</v>
      </c>
      <c r="Q1019" s="4">
        <f t="shared" si="94"/>
        <v>72.376716917923218</v>
      </c>
      <c r="R1019" s="4">
        <f t="shared" si="95"/>
        <v>3.495737784228341</v>
      </c>
      <c r="S1019" s="4">
        <v>4.42</v>
      </c>
      <c r="T1019" s="2">
        <v>1.1499999999999999</v>
      </c>
      <c r="U1019" s="2">
        <v>165.04</v>
      </c>
      <c r="V1019" s="2">
        <v>102.84</v>
      </c>
      <c r="W1019" s="2">
        <v>-0.27</v>
      </c>
      <c r="X1019" s="2">
        <v>-11.24</v>
      </c>
      <c r="Y1019" s="2">
        <v>-4.18</v>
      </c>
      <c r="Z1019" s="2">
        <v>-2.5299999999999998</v>
      </c>
    </row>
    <row r="1020" spans="1:26" x14ac:dyDescent="0.25">
      <c r="A1020" s="1" t="s">
        <v>4357</v>
      </c>
      <c r="B1020" s="1" t="s">
        <v>4358</v>
      </c>
      <c r="C1020" s="1" t="s">
        <v>45</v>
      </c>
      <c r="D1020" s="1" t="s">
        <v>147</v>
      </c>
      <c r="E1020" s="1" t="s">
        <v>148</v>
      </c>
      <c r="F1020" s="1" t="s">
        <v>4359</v>
      </c>
      <c r="G1020" s="1" t="s">
        <v>12480</v>
      </c>
      <c r="H1020" s="1" t="s">
        <v>4360</v>
      </c>
      <c r="I1020" s="2">
        <v>241.54</v>
      </c>
      <c r="J1020" s="2">
        <v>15.86</v>
      </c>
      <c r="K1020" s="2">
        <v>19.149999999999999</v>
      </c>
      <c r="L1020" s="2">
        <v>22.5</v>
      </c>
      <c r="M1020" s="4">
        <f t="shared" si="90"/>
        <v>12.613054830287206</v>
      </c>
      <c r="N1020" s="4">
        <f t="shared" si="91"/>
        <v>10.735111111111111</v>
      </c>
      <c r="O1020" s="5">
        <f t="shared" si="92"/>
        <v>0.2074401008827238</v>
      </c>
      <c r="P1020" s="5">
        <f t="shared" si="93"/>
        <v>0.17493472584856407</v>
      </c>
      <c r="Q1020" s="4">
        <f t="shared" si="94"/>
        <v>0.60803358543572983</v>
      </c>
      <c r="R1020" s="4">
        <f t="shared" si="95"/>
        <v>0.61366381426202288</v>
      </c>
      <c r="S1020" s="4">
        <v>7.61</v>
      </c>
      <c r="T1020" s="2">
        <v>1.41</v>
      </c>
      <c r="U1020" s="2">
        <v>301.31</v>
      </c>
      <c r="V1020" s="2">
        <v>136.63</v>
      </c>
      <c r="W1020" s="2">
        <v>13.27</v>
      </c>
      <c r="X1020" s="2">
        <v>2.15</v>
      </c>
      <c r="Y1020" s="2">
        <v>-14.79</v>
      </c>
      <c r="Z1020" s="2">
        <v>-14.74</v>
      </c>
    </row>
    <row r="1021" spans="1:26" x14ac:dyDescent="0.25">
      <c r="A1021" s="1" t="s">
        <v>4361</v>
      </c>
      <c r="B1021" s="1" t="s">
        <v>4362</v>
      </c>
      <c r="C1021" s="1" t="s">
        <v>31</v>
      </c>
      <c r="D1021" s="1" t="s">
        <v>140</v>
      </c>
      <c r="E1021" s="1" t="s">
        <v>4364</v>
      </c>
      <c r="F1021" s="1" t="s">
        <v>4363</v>
      </c>
      <c r="G1021" s="1" t="s">
        <v>12490</v>
      </c>
      <c r="H1021" s="1" t="s">
        <v>4365</v>
      </c>
      <c r="I1021" s="2">
        <v>37.81</v>
      </c>
      <c r="J1021" s="2">
        <v>1.56</v>
      </c>
      <c r="K1021" s="2">
        <v>1.76</v>
      </c>
      <c r="L1021" s="2">
        <v>1.98</v>
      </c>
      <c r="M1021" s="4">
        <f t="shared" si="90"/>
        <v>21.482954545454547</v>
      </c>
      <c r="N1021" s="4">
        <f t="shared" si="91"/>
        <v>19.095959595959599</v>
      </c>
      <c r="O1021" s="5">
        <f t="shared" si="92"/>
        <v>0.12820512820512819</v>
      </c>
      <c r="P1021" s="5">
        <f t="shared" si="93"/>
        <v>0.125</v>
      </c>
      <c r="Q1021" s="4">
        <f t="shared" si="94"/>
        <v>1.6756704545454548</v>
      </c>
      <c r="R1021" s="4">
        <f t="shared" si="95"/>
        <v>1.527676767676768</v>
      </c>
      <c r="S1021" s="4" t="s">
        <v>12502</v>
      </c>
      <c r="T1021" s="2">
        <v>1.4</v>
      </c>
      <c r="U1021" s="2">
        <v>54.84</v>
      </c>
      <c r="V1021" s="2">
        <v>32.479999999999997</v>
      </c>
      <c r="W1021" s="2">
        <v>3.11</v>
      </c>
      <c r="X1021" s="2">
        <v>10.85</v>
      </c>
      <c r="Y1021" s="2">
        <v>-16.18</v>
      </c>
      <c r="Z1021" s="2">
        <v>-16.29</v>
      </c>
    </row>
    <row r="1022" spans="1:26" x14ac:dyDescent="0.25">
      <c r="A1022" s="1" t="s">
        <v>4366</v>
      </c>
      <c r="B1022" s="1" t="s">
        <v>4367</v>
      </c>
      <c r="C1022" s="1" t="s">
        <v>45</v>
      </c>
      <c r="D1022" s="1" t="s">
        <v>38</v>
      </c>
      <c r="E1022" s="1" t="s">
        <v>1806</v>
      </c>
      <c r="F1022" s="1" t="s">
        <v>4368</v>
      </c>
      <c r="G1022" s="1" t="s">
        <v>12480</v>
      </c>
      <c r="H1022" s="1" t="s">
        <v>4369</v>
      </c>
      <c r="I1022" s="2">
        <v>6.36</v>
      </c>
      <c r="J1022" s="2">
        <v>0.11</v>
      </c>
      <c r="K1022" s="2">
        <v>0.06</v>
      </c>
      <c r="L1022" s="2">
        <v>0.15</v>
      </c>
      <c r="M1022" s="4">
        <f t="shared" si="90"/>
        <v>106.00000000000001</v>
      </c>
      <c r="N1022" s="4">
        <f t="shared" si="91"/>
        <v>42.400000000000006</v>
      </c>
      <c r="O1022" s="5">
        <f t="shared" si="92"/>
        <v>-0.45454545454545459</v>
      </c>
      <c r="P1022" s="5">
        <f t="shared" si="93"/>
        <v>1.5</v>
      </c>
      <c r="Q1022" s="4">
        <f t="shared" si="94"/>
        <v>-2.3319999999999999</v>
      </c>
      <c r="R1022" s="4">
        <f t="shared" si="95"/>
        <v>0.28266666666666668</v>
      </c>
      <c r="S1022" s="4">
        <v>4.4800000000000004</v>
      </c>
      <c r="T1022" s="2">
        <v>2.13</v>
      </c>
      <c r="U1022" s="2">
        <v>11.8</v>
      </c>
      <c r="V1022" s="2">
        <v>6.36</v>
      </c>
      <c r="W1022" s="2">
        <v>-7.56</v>
      </c>
      <c r="X1022" s="2">
        <v>-25.18</v>
      </c>
      <c r="Y1022" s="2">
        <v>-36.53</v>
      </c>
      <c r="Z1022" s="2">
        <v>-29.72</v>
      </c>
    </row>
    <row r="1023" spans="1:26" x14ac:dyDescent="0.25">
      <c r="A1023" s="1" t="s">
        <v>4370</v>
      </c>
      <c r="B1023" s="1" t="s">
        <v>4371</v>
      </c>
      <c r="C1023" s="1" t="s">
        <v>45</v>
      </c>
      <c r="D1023" s="1" t="s">
        <v>140</v>
      </c>
      <c r="E1023" s="1" t="s">
        <v>1421</v>
      </c>
      <c r="F1023" s="1" t="s">
        <v>4372</v>
      </c>
      <c r="G1023" s="1" t="s">
        <v>12480</v>
      </c>
      <c r="H1023" s="1" t="s">
        <v>4373</v>
      </c>
      <c r="I1023" s="2">
        <v>71.88</v>
      </c>
      <c r="J1023" s="2">
        <v>2.0699999999999998</v>
      </c>
      <c r="K1023" s="2">
        <v>2.29</v>
      </c>
      <c r="L1023" s="2">
        <v>2.57</v>
      </c>
      <c r="M1023" s="4">
        <f t="shared" si="90"/>
        <v>31.388646288209603</v>
      </c>
      <c r="N1023" s="4">
        <f t="shared" si="91"/>
        <v>27.968871595330739</v>
      </c>
      <c r="O1023" s="5">
        <f t="shared" si="92"/>
        <v>0.106280193236715</v>
      </c>
      <c r="P1023" s="5">
        <f t="shared" si="93"/>
        <v>0.12227074235807844</v>
      </c>
      <c r="Q1023" s="4">
        <f t="shared" si="94"/>
        <v>2.9533862643906299</v>
      </c>
      <c r="R1023" s="4">
        <f t="shared" si="95"/>
        <v>2.2874541411895528</v>
      </c>
      <c r="S1023" s="4">
        <v>4.21</v>
      </c>
      <c r="T1023" s="2">
        <v>0.77</v>
      </c>
      <c r="U1023" s="2">
        <v>85.54</v>
      </c>
      <c r="V1023" s="2">
        <v>65.27</v>
      </c>
      <c r="W1023" s="2">
        <v>-2.58</v>
      </c>
      <c r="X1023" s="2">
        <v>-8.25</v>
      </c>
      <c r="Y1023" s="2">
        <v>-3.74</v>
      </c>
      <c r="Z1023" s="2">
        <v>3.48</v>
      </c>
    </row>
    <row r="1024" spans="1:26" x14ac:dyDescent="0.25">
      <c r="A1024" s="1" t="s">
        <v>4374</v>
      </c>
      <c r="B1024" s="1" t="s">
        <v>4375</v>
      </c>
      <c r="C1024" s="1" t="s">
        <v>16</v>
      </c>
      <c r="D1024" s="1" t="s">
        <v>38</v>
      </c>
      <c r="E1024" s="1" t="s">
        <v>510</v>
      </c>
      <c r="F1024" s="1" t="s">
        <v>4376</v>
      </c>
      <c r="G1024" s="1" t="s">
        <v>12480</v>
      </c>
      <c r="H1024" s="1" t="s">
        <v>4377</v>
      </c>
      <c r="I1024" s="2">
        <v>146.29</v>
      </c>
      <c r="J1024" s="2">
        <v>8.2100000000000009</v>
      </c>
      <c r="K1024" s="2">
        <v>8.25</v>
      </c>
      <c r="L1024" s="2">
        <v>8.49</v>
      </c>
      <c r="M1024" s="4">
        <f t="shared" si="90"/>
        <v>17.732121212121211</v>
      </c>
      <c r="N1024" s="4">
        <f t="shared" si="91"/>
        <v>17.230859835100116</v>
      </c>
      <c r="O1024" s="5">
        <f t="shared" si="92"/>
        <v>4.872107186357999E-3</v>
      </c>
      <c r="P1024" s="5">
        <f t="shared" si="93"/>
        <v>2.9090909090909056E-2</v>
      </c>
      <c r="Q1024" s="4">
        <f t="shared" si="94"/>
        <v>36.395178787879537</v>
      </c>
      <c r="R1024" s="4">
        <f t="shared" si="95"/>
        <v>5.9231080683156723</v>
      </c>
      <c r="S1024" s="4">
        <v>3.7</v>
      </c>
      <c r="T1024" s="2">
        <v>1.24</v>
      </c>
      <c r="U1024" s="2">
        <v>157.27000000000001</v>
      </c>
      <c r="V1024" s="2">
        <v>126.61</v>
      </c>
      <c r="W1024" s="2">
        <v>-4.17</v>
      </c>
      <c r="X1024" s="2">
        <v>4.22</v>
      </c>
      <c r="Y1024" s="2">
        <v>9.74</v>
      </c>
      <c r="Z1024" s="2">
        <v>12.34</v>
      </c>
    </row>
    <row r="1025" spans="1:26" x14ac:dyDescent="0.25">
      <c r="A1025" s="1" t="s">
        <v>4378</v>
      </c>
      <c r="B1025" s="1" t="s">
        <v>4379</v>
      </c>
      <c r="C1025" s="1" t="s">
        <v>45</v>
      </c>
      <c r="D1025" s="1" t="s">
        <v>32</v>
      </c>
      <c r="E1025" s="1" t="s">
        <v>3149</v>
      </c>
      <c r="F1025" s="1" t="s">
        <v>4380</v>
      </c>
      <c r="G1025" s="1" t="s">
        <v>12502</v>
      </c>
      <c r="H1025" s="1" t="s">
        <v>4381</v>
      </c>
      <c r="I1025" s="2">
        <v>14.03</v>
      </c>
      <c r="J1025" s="2">
        <v>0.84</v>
      </c>
      <c r="K1025" s="2">
        <v>0.99</v>
      </c>
      <c r="L1025" s="2">
        <v>1.27</v>
      </c>
      <c r="M1025" s="4">
        <f t="shared" si="90"/>
        <v>14.171717171717171</v>
      </c>
      <c r="N1025" s="4">
        <f t="shared" si="91"/>
        <v>11.047244094488189</v>
      </c>
      <c r="O1025" s="5">
        <f t="shared" si="92"/>
        <v>0.1785714285714286</v>
      </c>
      <c r="P1025" s="5">
        <f t="shared" si="93"/>
        <v>0.28282828282828287</v>
      </c>
      <c r="Q1025" s="4">
        <f t="shared" si="94"/>
        <v>0.79361616161616144</v>
      </c>
      <c r="R1025" s="4">
        <f t="shared" si="95"/>
        <v>0.3905989876265466</v>
      </c>
      <c r="S1025" s="4">
        <v>2.0499999999999998</v>
      </c>
      <c r="T1025" s="2">
        <v>1.67</v>
      </c>
      <c r="U1025" s="2">
        <v>22.85</v>
      </c>
      <c r="V1025" s="2">
        <v>10.84</v>
      </c>
      <c r="W1025" s="2">
        <v>-1.54</v>
      </c>
      <c r="X1025" s="2">
        <v>-9.1300000000000008</v>
      </c>
      <c r="Y1025" s="2">
        <v>-17.079999999999998</v>
      </c>
      <c r="Z1025" s="2">
        <v>-15.74</v>
      </c>
    </row>
    <row r="1026" spans="1:26" x14ac:dyDescent="0.25">
      <c r="A1026" s="1" t="s">
        <v>4382</v>
      </c>
      <c r="B1026" s="1" t="s">
        <v>4383</v>
      </c>
      <c r="C1026" s="1" t="s">
        <v>45</v>
      </c>
      <c r="D1026" s="1" t="s">
        <v>128</v>
      </c>
      <c r="E1026" s="1" t="s">
        <v>210</v>
      </c>
      <c r="F1026" s="1" t="s">
        <v>4384</v>
      </c>
      <c r="G1026" s="1" t="s">
        <v>12480</v>
      </c>
      <c r="H1026" s="1" t="s">
        <v>4385</v>
      </c>
      <c r="I1026" s="2">
        <v>26.78</v>
      </c>
      <c r="J1026" s="2">
        <v>0.8</v>
      </c>
      <c r="K1026" s="2">
        <v>0.91</v>
      </c>
      <c r="L1026" s="2">
        <v>1.1399999999999999</v>
      </c>
      <c r="M1026" s="4">
        <f t="shared" si="90"/>
        <v>29.428571428571427</v>
      </c>
      <c r="N1026" s="4">
        <f t="shared" si="91"/>
        <v>23.491228070175442</v>
      </c>
      <c r="O1026" s="5">
        <f t="shared" si="92"/>
        <v>0.13749999999999996</v>
      </c>
      <c r="P1026" s="5">
        <f t="shared" si="93"/>
        <v>0.25274725274725252</v>
      </c>
      <c r="Q1026" s="4">
        <f t="shared" si="94"/>
        <v>2.1402597402597405</v>
      </c>
      <c r="R1026" s="4">
        <f t="shared" si="95"/>
        <v>0.92943554538520312</v>
      </c>
      <c r="S1026" s="4" t="s">
        <v>12485</v>
      </c>
      <c r="T1026" s="2">
        <v>1.38</v>
      </c>
      <c r="U1026" s="2">
        <v>29.46</v>
      </c>
      <c r="V1026" s="2">
        <v>10.88</v>
      </c>
      <c r="W1026" s="2">
        <v>-0.56000000000000005</v>
      </c>
      <c r="X1026" s="2">
        <v>-6.69</v>
      </c>
      <c r="Y1026" s="2">
        <v>-7.4</v>
      </c>
      <c r="Z1026" s="2">
        <v>3.72</v>
      </c>
    </row>
    <row r="1027" spans="1:26" x14ac:dyDescent="0.25">
      <c r="A1027" s="1" t="s">
        <v>4386</v>
      </c>
      <c r="B1027" s="1" t="s">
        <v>4387</v>
      </c>
      <c r="C1027" s="1" t="s">
        <v>45</v>
      </c>
      <c r="D1027" s="1" t="s">
        <v>18</v>
      </c>
      <c r="E1027" s="1" t="s">
        <v>74</v>
      </c>
      <c r="F1027" s="1" t="s">
        <v>4388</v>
      </c>
      <c r="G1027" s="1" t="s">
        <v>12480</v>
      </c>
      <c r="H1027" s="1" t="s">
        <v>4389</v>
      </c>
      <c r="I1027" s="2">
        <v>15.67</v>
      </c>
      <c r="J1027" s="2">
        <v>-3.17</v>
      </c>
      <c r="K1027" s="2">
        <v>-2.97</v>
      </c>
      <c r="L1027" s="2">
        <v>-1.43</v>
      </c>
      <c r="M1027" s="4">
        <f t="shared" ref="M1027:M1090" si="96">I1027/K1027</f>
        <v>-5.2760942760942759</v>
      </c>
      <c r="N1027" s="4">
        <f t="shared" ref="N1027:N1090" si="97">I1027/L1027</f>
        <v>-10.958041958041958</v>
      </c>
      <c r="O1027" s="5">
        <f t="shared" ref="O1027:O1090" si="98">K1027/J1027-1</f>
        <v>-6.3091482649842212E-2</v>
      </c>
      <c r="P1027" s="5">
        <f t="shared" ref="P1027:P1090" si="99">L1027/K1027-1</f>
        <v>-0.5185185185185186</v>
      </c>
      <c r="Q1027" s="4">
        <f t="shared" ref="Q1027:Q1090" si="100">M1027/(O1027*100)</f>
        <v>0.83626094276094343</v>
      </c>
      <c r="R1027" s="4">
        <f t="shared" ref="R1027:R1090" si="101">N1027/(P1027*100)</f>
        <v>0.21133366633366629</v>
      </c>
      <c r="S1027" s="4">
        <v>-27.5</v>
      </c>
      <c r="T1027" s="2">
        <v>1.72</v>
      </c>
      <c r="U1027" s="2">
        <v>18.850000000000001</v>
      </c>
      <c r="V1027" s="2">
        <v>4.13</v>
      </c>
      <c r="W1027" s="2">
        <v>-14.56</v>
      </c>
      <c r="X1027" s="2">
        <v>11.37</v>
      </c>
      <c r="Y1027" s="2">
        <v>-4.45</v>
      </c>
      <c r="Z1027" s="2">
        <v>-14.23</v>
      </c>
    </row>
    <row r="1028" spans="1:26" x14ac:dyDescent="0.25">
      <c r="A1028" s="1" t="s">
        <v>4390</v>
      </c>
      <c r="B1028" s="1" t="s">
        <v>4391</v>
      </c>
      <c r="C1028" s="1" t="s">
        <v>45</v>
      </c>
      <c r="D1028" s="1" t="s">
        <v>38</v>
      </c>
      <c r="E1028" s="1" t="s">
        <v>653</v>
      </c>
      <c r="F1028" s="1" t="s">
        <v>4392</v>
      </c>
      <c r="G1028" s="1" t="s">
        <v>12485</v>
      </c>
      <c r="H1028" s="1" t="s">
        <v>4393</v>
      </c>
      <c r="I1028" s="2">
        <v>26.69</v>
      </c>
      <c r="J1028" s="2">
        <v>1.43</v>
      </c>
      <c r="K1028" s="2">
        <v>1.8</v>
      </c>
      <c r="L1028" s="2" t="s">
        <v>12487</v>
      </c>
      <c r="M1028" s="4">
        <f t="shared" si="96"/>
        <v>14.827777777777778</v>
      </c>
      <c r="N1028" s="4">
        <f t="shared" si="97"/>
        <v>13.345000000000001</v>
      </c>
      <c r="O1028" s="5">
        <f t="shared" si="98"/>
        <v>0.25874125874125875</v>
      </c>
      <c r="P1028" s="5">
        <f t="shared" si="99"/>
        <v>0.11111111111111116</v>
      </c>
      <c r="Q1028" s="4">
        <f t="shared" si="100"/>
        <v>0.57307357357357358</v>
      </c>
      <c r="R1028" s="4">
        <f t="shared" si="101"/>
        <v>1.2010499999999995</v>
      </c>
      <c r="S1028" s="4">
        <v>9.6999999999999993</v>
      </c>
      <c r="T1028" s="2">
        <v>0.49</v>
      </c>
      <c r="U1028" s="2">
        <v>27.17</v>
      </c>
      <c r="V1028" s="2">
        <v>13.02</v>
      </c>
      <c r="W1028" s="2">
        <v>-1.77</v>
      </c>
      <c r="X1028" s="2" t="s">
        <v>12502</v>
      </c>
      <c r="Y1028" s="2" t="s">
        <v>12482</v>
      </c>
      <c r="Z1028" s="2">
        <v>37.44</v>
      </c>
    </row>
    <row r="1029" spans="1:26" x14ac:dyDescent="0.25">
      <c r="A1029" s="1" t="s">
        <v>4394</v>
      </c>
      <c r="B1029" s="1" t="s">
        <v>4395</v>
      </c>
      <c r="C1029" s="1" t="s">
        <v>1118</v>
      </c>
      <c r="D1029" s="1" t="s">
        <v>38</v>
      </c>
      <c r="E1029" s="1" t="s">
        <v>259</v>
      </c>
      <c r="F1029" s="1" t="s">
        <v>4396</v>
      </c>
      <c r="G1029" s="1" t="s">
        <v>12480</v>
      </c>
      <c r="H1029" s="1" t="s">
        <v>12663</v>
      </c>
      <c r="I1029" s="2">
        <v>63.87</v>
      </c>
      <c r="J1029" s="2"/>
      <c r="K1029" s="2"/>
      <c r="L1029" s="2"/>
      <c r="M1029" s="4" t="e">
        <f t="shared" si="96"/>
        <v>#DIV/0!</v>
      </c>
      <c r="N1029" s="4" t="e">
        <f t="shared" si="97"/>
        <v>#DIV/0!</v>
      </c>
      <c r="O1029" s="5" t="e">
        <f t="shared" si="98"/>
        <v>#DIV/0!</v>
      </c>
      <c r="P1029" s="5" t="e">
        <f t="shared" si="99"/>
        <v>#DIV/0!</v>
      </c>
      <c r="Q1029" s="4" t="e">
        <f t="shared" si="100"/>
        <v>#DIV/0!</v>
      </c>
      <c r="R1029" s="4" t="e">
        <f t="shared" si="101"/>
        <v>#DIV/0!</v>
      </c>
      <c r="S1029" s="4"/>
      <c r="T1029" s="2">
        <v>0.92</v>
      </c>
      <c r="U1029" s="2">
        <v>69.23</v>
      </c>
      <c r="V1029" s="2">
        <v>47.63</v>
      </c>
      <c r="W1029" s="2">
        <v>-4.3899999999999997</v>
      </c>
      <c r="X1029" s="2">
        <v>-6.61</v>
      </c>
      <c r="Y1029" s="2">
        <v>-0.72</v>
      </c>
      <c r="Z1029" s="2">
        <v>-0.36</v>
      </c>
    </row>
    <row r="1030" spans="1:26" x14ac:dyDescent="0.25">
      <c r="A1030" s="1" t="s">
        <v>4398</v>
      </c>
      <c r="B1030" s="1" t="s">
        <v>4399</v>
      </c>
      <c r="C1030" s="1" t="s">
        <v>16</v>
      </c>
      <c r="D1030" s="1" t="s">
        <v>305</v>
      </c>
      <c r="E1030" s="1" t="s">
        <v>349</v>
      </c>
      <c r="F1030" s="1" t="s">
        <v>4400</v>
      </c>
      <c r="G1030" s="1" t="s">
        <v>12480</v>
      </c>
      <c r="H1030" s="1" t="s">
        <v>4401</v>
      </c>
      <c r="I1030" s="2">
        <v>12.19</v>
      </c>
      <c r="J1030" s="2">
        <v>1.0900000000000001</v>
      </c>
      <c r="K1030" s="2">
        <v>1.52</v>
      </c>
      <c r="L1030" s="2">
        <v>1.84</v>
      </c>
      <c r="M1030" s="4">
        <f t="shared" si="96"/>
        <v>8.0197368421052619</v>
      </c>
      <c r="N1030" s="4">
        <f t="shared" si="97"/>
        <v>6.6249999999999991</v>
      </c>
      <c r="O1030" s="5">
        <f t="shared" si="98"/>
        <v>0.39449541284403655</v>
      </c>
      <c r="P1030" s="5">
        <f t="shared" si="99"/>
        <v>0.21052631578947367</v>
      </c>
      <c r="Q1030" s="4">
        <f t="shared" si="100"/>
        <v>0.20329100367197064</v>
      </c>
      <c r="R1030" s="4">
        <f t="shared" si="101"/>
        <v>0.31468750000000001</v>
      </c>
      <c r="S1030" s="4">
        <v>1.23</v>
      </c>
      <c r="T1030" s="2">
        <v>1.65</v>
      </c>
      <c r="U1030" s="2">
        <v>14.43</v>
      </c>
      <c r="V1030" s="2">
        <v>8.69</v>
      </c>
      <c r="W1030" s="2">
        <v>-8.9600000000000009</v>
      </c>
      <c r="X1030" s="2">
        <v>-10.3</v>
      </c>
      <c r="Y1030" s="2">
        <v>-10.7</v>
      </c>
      <c r="Z1030" s="2">
        <v>-7.09</v>
      </c>
    </row>
    <row r="1031" spans="1:26" x14ac:dyDescent="0.25">
      <c r="A1031" s="1" t="s">
        <v>4403</v>
      </c>
      <c r="B1031" s="1" t="s">
        <v>4404</v>
      </c>
      <c r="C1031" s="1" t="s">
        <v>45</v>
      </c>
      <c r="D1031" s="1" t="s">
        <v>32</v>
      </c>
      <c r="E1031" s="1" t="s">
        <v>311</v>
      </c>
      <c r="F1031" s="1" t="s">
        <v>4405</v>
      </c>
      <c r="G1031" s="1" t="s">
        <v>12480</v>
      </c>
      <c r="H1031" s="1" t="s">
        <v>4406</v>
      </c>
      <c r="I1031" s="2">
        <v>11.63</v>
      </c>
      <c r="J1031" s="2">
        <v>1.04</v>
      </c>
      <c r="K1031" s="2">
        <v>1.21</v>
      </c>
      <c r="L1031" s="2">
        <v>1.43</v>
      </c>
      <c r="M1031" s="4">
        <f t="shared" si="96"/>
        <v>9.6115702479338854</v>
      </c>
      <c r="N1031" s="4">
        <f t="shared" si="97"/>
        <v>8.1328671328671334</v>
      </c>
      <c r="O1031" s="5">
        <f t="shared" si="98"/>
        <v>0.16346153846153832</v>
      </c>
      <c r="P1031" s="5">
        <f t="shared" si="99"/>
        <v>0.18181818181818188</v>
      </c>
      <c r="Q1031" s="4">
        <f t="shared" si="100"/>
        <v>0.58800194457948529</v>
      </c>
      <c r="R1031" s="4">
        <f t="shared" si="101"/>
        <v>0.44730769230769218</v>
      </c>
      <c r="S1031" s="4">
        <v>83.02</v>
      </c>
      <c r="T1031" s="2">
        <v>1.19</v>
      </c>
      <c r="U1031" s="2">
        <v>18.59</v>
      </c>
      <c r="V1031" s="2">
        <v>8.9499999999999993</v>
      </c>
      <c r="W1031" s="2">
        <v>-1.1100000000000001</v>
      </c>
      <c r="X1031" s="2">
        <v>3.47</v>
      </c>
      <c r="Y1031" s="2">
        <v>-22.57</v>
      </c>
      <c r="Z1031" s="2">
        <v>-19.96</v>
      </c>
    </row>
    <row r="1032" spans="1:26" x14ac:dyDescent="0.25">
      <c r="A1032" s="1" t="s">
        <v>4407</v>
      </c>
      <c r="B1032" s="1" t="s">
        <v>4408</v>
      </c>
      <c r="C1032" s="1" t="s">
        <v>16</v>
      </c>
      <c r="D1032" s="1" t="s">
        <v>38</v>
      </c>
      <c r="E1032" s="1" t="s">
        <v>194</v>
      </c>
      <c r="F1032" s="1" t="s">
        <v>4409</v>
      </c>
      <c r="G1032" s="1" t="s">
        <v>12480</v>
      </c>
      <c r="H1032" s="1" t="s">
        <v>4410</v>
      </c>
      <c r="I1032" s="2">
        <v>66.319999999999993</v>
      </c>
      <c r="J1032" s="2">
        <v>6.05</v>
      </c>
      <c r="K1032" s="2">
        <v>6.35</v>
      </c>
      <c r="L1032" s="2">
        <v>6.84</v>
      </c>
      <c r="M1032" s="4">
        <f t="shared" si="96"/>
        <v>10.444094488188975</v>
      </c>
      <c r="N1032" s="4">
        <f t="shared" si="97"/>
        <v>9.6959064327485365</v>
      </c>
      <c r="O1032" s="5">
        <f t="shared" si="98"/>
        <v>4.9586776859504189E-2</v>
      </c>
      <c r="P1032" s="5">
        <f t="shared" si="99"/>
        <v>7.7165354330708702E-2</v>
      </c>
      <c r="Q1032" s="4">
        <f t="shared" si="100"/>
        <v>2.1062257217847744</v>
      </c>
      <c r="R1032" s="4">
        <f t="shared" si="101"/>
        <v>1.2565103234276158</v>
      </c>
      <c r="S1032" s="4">
        <v>21.61</v>
      </c>
      <c r="T1032" s="2">
        <v>1.25</v>
      </c>
      <c r="U1032" s="2">
        <v>70.290000000000006</v>
      </c>
      <c r="V1032" s="2">
        <v>54.11</v>
      </c>
      <c r="W1032" s="2">
        <v>-5.65</v>
      </c>
      <c r="X1032" s="2">
        <v>1.02</v>
      </c>
      <c r="Y1032" s="2">
        <v>2.41</v>
      </c>
      <c r="Z1032" s="2">
        <v>7.94</v>
      </c>
    </row>
    <row r="1033" spans="1:26" x14ac:dyDescent="0.25">
      <c r="A1033" s="1" t="s">
        <v>4411</v>
      </c>
      <c r="B1033" s="1" t="s">
        <v>4412</v>
      </c>
      <c r="C1033" s="1" t="s">
        <v>45</v>
      </c>
      <c r="D1033" s="1" t="s">
        <v>94</v>
      </c>
      <c r="E1033" s="1" t="s">
        <v>894</v>
      </c>
      <c r="F1033" s="1" t="s">
        <v>4413</v>
      </c>
      <c r="G1033" s="1" t="s">
        <v>12480</v>
      </c>
      <c r="H1033" s="1" t="s">
        <v>4414</v>
      </c>
      <c r="I1033" s="2">
        <v>182.86</v>
      </c>
      <c r="J1033" s="2">
        <v>13.37</v>
      </c>
      <c r="K1033" s="2">
        <v>9.2799999999999994</v>
      </c>
      <c r="L1033" s="2">
        <v>11.59</v>
      </c>
      <c r="M1033" s="4">
        <f t="shared" si="96"/>
        <v>19.704741379310349</v>
      </c>
      <c r="N1033" s="4">
        <f t="shared" si="97"/>
        <v>15.777394305435722</v>
      </c>
      <c r="O1033" s="5">
        <f t="shared" si="98"/>
        <v>-0.30590875093492897</v>
      </c>
      <c r="P1033" s="5">
        <f t="shared" si="99"/>
        <v>0.24892241379310343</v>
      </c>
      <c r="Q1033" s="4">
        <f t="shared" si="100"/>
        <v>-0.64413787834078073</v>
      </c>
      <c r="R1033" s="4">
        <f t="shared" si="101"/>
        <v>0.63382778854737454</v>
      </c>
      <c r="S1033" s="4">
        <v>35.79</v>
      </c>
      <c r="T1033" s="2">
        <v>0.59</v>
      </c>
      <c r="U1033" s="2">
        <v>182.86</v>
      </c>
      <c r="V1033" s="2">
        <v>119.25</v>
      </c>
      <c r="W1033" s="2">
        <v>2.1800000000000002</v>
      </c>
      <c r="X1033" s="2">
        <v>10.18</v>
      </c>
      <c r="Y1033" s="2">
        <v>18.690000000000001</v>
      </c>
      <c r="Z1033" s="2">
        <v>21.64</v>
      </c>
    </row>
    <row r="1034" spans="1:26" x14ac:dyDescent="0.25">
      <c r="A1034" s="1" t="s">
        <v>4415</v>
      </c>
      <c r="B1034" s="1" t="s">
        <v>4416</v>
      </c>
      <c r="C1034" s="1" t="s">
        <v>31</v>
      </c>
      <c r="D1034" s="1" t="s">
        <v>25</v>
      </c>
      <c r="E1034" s="1" t="s">
        <v>4418</v>
      </c>
      <c r="F1034" s="1" t="s">
        <v>4417</v>
      </c>
      <c r="G1034" s="1" t="s">
        <v>12490</v>
      </c>
      <c r="H1034" s="1" t="s">
        <v>4419</v>
      </c>
      <c r="I1034" s="2">
        <v>19.5</v>
      </c>
      <c r="J1034" s="2">
        <v>0.52</v>
      </c>
      <c r="K1034" s="2">
        <v>0.56000000000000005</v>
      </c>
      <c r="L1034" s="2">
        <v>0.65</v>
      </c>
      <c r="M1034" s="4">
        <f t="shared" si="96"/>
        <v>34.821428571428569</v>
      </c>
      <c r="N1034" s="4">
        <f t="shared" si="97"/>
        <v>30</v>
      </c>
      <c r="O1034" s="5">
        <f t="shared" si="98"/>
        <v>7.6923076923077094E-2</v>
      </c>
      <c r="P1034" s="5">
        <f t="shared" si="99"/>
        <v>0.16071428571428559</v>
      </c>
      <c r="Q1034" s="4">
        <f t="shared" si="100"/>
        <v>4.5267857142857038</v>
      </c>
      <c r="R1034" s="4">
        <f t="shared" si="101"/>
        <v>1.8666666666666683</v>
      </c>
      <c r="S1034" s="4">
        <v>-4.9800000000000004</v>
      </c>
      <c r="T1034" s="2">
        <v>0.68</v>
      </c>
      <c r="U1034" s="2">
        <v>22.65</v>
      </c>
      <c r="V1034" s="2">
        <v>10.91</v>
      </c>
      <c r="W1034" s="2">
        <v>-11.44</v>
      </c>
      <c r="X1034" s="2">
        <v>-11.48</v>
      </c>
      <c r="Y1034" s="2">
        <v>0.1</v>
      </c>
      <c r="Z1034" s="2">
        <v>0.15</v>
      </c>
    </row>
    <row r="1035" spans="1:26" x14ac:dyDescent="0.25">
      <c r="A1035" s="1" t="s">
        <v>4420</v>
      </c>
      <c r="B1035" s="1" t="s">
        <v>4421</v>
      </c>
      <c r="C1035" s="1" t="s">
        <v>16</v>
      </c>
      <c r="D1035" s="1" t="s">
        <v>38</v>
      </c>
      <c r="E1035" s="1" t="s">
        <v>259</v>
      </c>
      <c r="F1035" s="1" t="s">
        <v>4422</v>
      </c>
      <c r="G1035" s="1" t="s">
        <v>12480</v>
      </c>
      <c r="H1035" s="1" t="s">
        <v>12597</v>
      </c>
      <c r="I1035" s="2">
        <v>125.65</v>
      </c>
      <c r="J1035" s="2"/>
      <c r="K1035" s="2"/>
      <c r="L1035" s="2"/>
      <c r="M1035" s="4" t="e">
        <f t="shared" si="96"/>
        <v>#DIV/0!</v>
      </c>
      <c r="N1035" s="4" t="e">
        <f t="shared" si="97"/>
        <v>#DIV/0!</v>
      </c>
      <c r="O1035" s="5" t="e">
        <f t="shared" si="98"/>
        <v>#DIV/0!</v>
      </c>
      <c r="P1035" s="5" t="e">
        <f t="shared" si="99"/>
        <v>#DIV/0!</v>
      </c>
      <c r="Q1035" s="4" t="e">
        <f t="shared" si="100"/>
        <v>#DIV/0!</v>
      </c>
      <c r="R1035" s="4" t="e">
        <f t="shared" si="101"/>
        <v>#DIV/0!</v>
      </c>
      <c r="S1035" s="4"/>
      <c r="T1035" s="2">
        <v>2.8</v>
      </c>
      <c r="U1035" s="2">
        <v>183.46</v>
      </c>
      <c r="V1035" s="2">
        <v>105.31</v>
      </c>
      <c r="W1035" s="2">
        <v>-5.94</v>
      </c>
      <c r="X1035" s="2">
        <v>-20.27</v>
      </c>
      <c r="Y1035" s="2">
        <v>-26.21</v>
      </c>
      <c r="Z1035" s="2">
        <v>-25.36</v>
      </c>
    </row>
    <row r="1036" spans="1:26" x14ac:dyDescent="0.25">
      <c r="A1036" s="1" t="s">
        <v>4423</v>
      </c>
      <c r="B1036" s="1" t="s">
        <v>4424</v>
      </c>
      <c r="C1036" s="1" t="s">
        <v>45</v>
      </c>
      <c r="D1036" s="1" t="s">
        <v>25</v>
      </c>
      <c r="E1036" s="1" t="s">
        <v>325</v>
      </c>
      <c r="F1036" s="1" t="s">
        <v>4425</v>
      </c>
      <c r="G1036" s="1" t="s">
        <v>12480</v>
      </c>
      <c r="H1036" s="1" t="s">
        <v>4426</v>
      </c>
      <c r="I1036" s="2">
        <v>46.8</v>
      </c>
      <c r="J1036" s="2">
        <v>1.0900000000000001</v>
      </c>
      <c r="K1036" s="2">
        <v>1.23</v>
      </c>
      <c r="L1036" s="2">
        <v>1.35</v>
      </c>
      <c r="M1036" s="4">
        <f t="shared" si="96"/>
        <v>38.048780487804876</v>
      </c>
      <c r="N1036" s="4">
        <f t="shared" si="97"/>
        <v>34.666666666666664</v>
      </c>
      <c r="O1036" s="5">
        <f t="shared" si="98"/>
        <v>0.12844036697247696</v>
      </c>
      <c r="P1036" s="5">
        <f t="shared" si="99"/>
        <v>9.7560975609756184E-2</v>
      </c>
      <c r="Q1036" s="4">
        <f t="shared" si="100"/>
        <v>2.9623693379790965</v>
      </c>
      <c r="R1036" s="4">
        <f t="shared" si="101"/>
        <v>3.5533333333333301</v>
      </c>
      <c r="S1036" s="4">
        <v>8.67</v>
      </c>
      <c r="T1036" s="2">
        <v>0.88</v>
      </c>
      <c r="U1036" s="2">
        <v>50.39</v>
      </c>
      <c r="V1036" s="2">
        <v>35.6</v>
      </c>
      <c r="W1036" s="2">
        <v>1.01</v>
      </c>
      <c r="X1036" s="2">
        <v>0.6</v>
      </c>
      <c r="Y1036" s="2">
        <v>9.91</v>
      </c>
      <c r="Z1036" s="2">
        <v>16.62</v>
      </c>
    </row>
    <row r="1037" spans="1:26" x14ac:dyDescent="0.25">
      <c r="A1037" s="1" t="s">
        <v>4427</v>
      </c>
      <c r="B1037" s="1" t="s">
        <v>4428</v>
      </c>
      <c r="C1037" s="1" t="s">
        <v>1118</v>
      </c>
      <c r="D1037" s="1" t="s">
        <v>38</v>
      </c>
      <c r="E1037" s="1" t="s">
        <v>259</v>
      </c>
      <c r="F1037" s="1" t="s">
        <v>4429</v>
      </c>
      <c r="G1037" s="1" t="s">
        <v>12479</v>
      </c>
      <c r="H1037" s="1" t="s">
        <v>4430</v>
      </c>
      <c r="I1037" s="2">
        <v>14.95</v>
      </c>
      <c r="J1037" s="2"/>
      <c r="K1037" s="2"/>
      <c r="L1037" s="2"/>
      <c r="M1037" s="4" t="e">
        <f t="shared" si="96"/>
        <v>#DIV/0!</v>
      </c>
      <c r="N1037" s="4" t="e">
        <f t="shared" si="97"/>
        <v>#DIV/0!</v>
      </c>
      <c r="O1037" s="5" t="e">
        <f t="shared" si="98"/>
        <v>#DIV/0!</v>
      </c>
      <c r="P1037" s="5" t="e">
        <f t="shared" si="99"/>
        <v>#DIV/0!</v>
      </c>
      <c r="Q1037" s="4" t="e">
        <f t="shared" si="100"/>
        <v>#DIV/0!</v>
      </c>
      <c r="R1037" s="4" t="e">
        <f t="shared" si="101"/>
        <v>#DIV/0!</v>
      </c>
      <c r="S1037" s="4"/>
      <c r="T1037" s="2">
        <v>0.51</v>
      </c>
      <c r="U1037" s="2">
        <v>16.8</v>
      </c>
      <c r="V1037" s="2">
        <v>14.49</v>
      </c>
      <c r="W1037" s="2">
        <v>-6.85</v>
      </c>
      <c r="X1037" s="2">
        <v>-5.26</v>
      </c>
      <c r="Y1037" s="2">
        <v>-1.97</v>
      </c>
      <c r="Z1037" s="2">
        <v>-2.54</v>
      </c>
    </row>
    <row r="1038" spans="1:26" x14ac:dyDescent="0.25">
      <c r="A1038" s="1" t="s">
        <v>4431</v>
      </c>
      <c r="B1038" s="1" t="s">
        <v>4432</v>
      </c>
      <c r="C1038" s="1" t="s">
        <v>16</v>
      </c>
      <c r="D1038" s="1" t="s">
        <v>61</v>
      </c>
      <c r="E1038" s="1" t="s">
        <v>62</v>
      </c>
      <c r="F1038" s="1" t="s">
        <v>4433</v>
      </c>
      <c r="G1038" s="1" t="s">
        <v>12480</v>
      </c>
      <c r="H1038" s="1" t="s">
        <v>4434</v>
      </c>
      <c r="I1038" s="2">
        <v>45.6</v>
      </c>
      <c r="J1038" s="2">
        <v>3.61</v>
      </c>
      <c r="K1038" s="2">
        <v>3.64</v>
      </c>
      <c r="L1038" s="2">
        <v>3.97</v>
      </c>
      <c r="M1038" s="4">
        <f t="shared" si="96"/>
        <v>12.527472527472527</v>
      </c>
      <c r="N1038" s="4">
        <f t="shared" si="97"/>
        <v>11.486146095717883</v>
      </c>
      <c r="O1038" s="5">
        <f t="shared" si="98"/>
        <v>8.3102493074793671E-3</v>
      </c>
      <c r="P1038" s="5">
        <f t="shared" si="99"/>
        <v>9.0659340659340781E-2</v>
      </c>
      <c r="Q1038" s="4">
        <f t="shared" si="100"/>
        <v>15.074725274725015</v>
      </c>
      <c r="R1038" s="4">
        <f t="shared" si="101"/>
        <v>1.2669567208610011</v>
      </c>
      <c r="S1038" s="4">
        <v>-3.16</v>
      </c>
      <c r="T1038" s="2">
        <v>1.41</v>
      </c>
      <c r="U1038" s="2">
        <v>64.44</v>
      </c>
      <c r="V1038" s="2">
        <v>44.49</v>
      </c>
      <c r="W1038" s="2">
        <v>-12.93</v>
      </c>
      <c r="X1038" s="2">
        <v>-24.88</v>
      </c>
      <c r="Y1038" s="2">
        <v>-11.97</v>
      </c>
      <c r="Z1038" s="2">
        <v>-8.84</v>
      </c>
    </row>
    <row r="1039" spans="1:26" x14ac:dyDescent="0.25">
      <c r="A1039" s="1" t="s">
        <v>4435</v>
      </c>
      <c r="B1039" s="1" t="s">
        <v>4436</v>
      </c>
      <c r="C1039" s="1" t="s">
        <v>16</v>
      </c>
      <c r="D1039" s="1" t="s">
        <v>38</v>
      </c>
      <c r="E1039" s="1" t="s">
        <v>1244</v>
      </c>
      <c r="F1039" s="1" t="s">
        <v>4437</v>
      </c>
      <c r="G1039" s="1" t="s">
        <v>12480</v>
      </c>
      <c r="H1039" s="1" t="s">
        <v>3558</v>
      </c>
      <c r="I1039" s="2">
        <v>51.28</v>
      </c>
      <c r="J1039" s="2">
        <v>3.99</v>
      </c>
      <c r="K1039" s="2">
        <v>4.82</v>
      </c>
      <c r="L1039" s="2">
        <v>5.27</v>
      </c>
      <c r="M1039" s="4">
        <f t="shared" si="96"/>
        <v>10.639004149377593</v>
      </c>
      <c r="N1039" s="4">
        <f t="shared" si="97"/>
        <v>9.7305502846299827</v>
      </c>
      <c r="O1039" s="5">
        <f t="shared" si="98"/>
        <v>0.20802005012531333</v>
      </c>
      <c r="P1039" s="5">
        <f t="shared" si="99"/>
        <v>9.3360995850622297E-2</v>
      </c>
      <c r="Q1039" s="4">
        <f t="shared" si="100"/>
        <v>0.51144128380742881</v>
      </c>
      <c r="R1039" s="4">
        <f t="shared" si="101"/>
        <v>1.0422500527092573</v>
      </c>
      <c r="S1039" s="4">
        <v>14.81</v>
      </c>
      <c r="T1039" s="2">
        <v>0.99</v>
      </c>
      <c r="U1039" s="2">
        <v>61.62</v>
      </c>
      <c r="V1039" s="2">
        <v>39.93</v>
      </c>
      <c r="W1039" s="2">
        <v>-6.46</v>
      </c>
      <c r="X1039" s="2">
        <v>-16.36</v>
      </c>
      <c r="Y1039" s="2">
        <v>-12.83</v>
      </c>
      <c r="Z1039" s="2">
        <v>-8.1</v>
      </c>
    </row>
    <row r="1040" spans="1:26" x14ac:dyDescent="0.25">
      <c r="A1040" s="1" t="s">
        <v>4439</v>
      </c>
      <c r="B1040" s="1" t="s">
        <v>4440</v>
      </c>
      <c r="C1040" s="1" t="s">
        <v>45</v>
      </c>
      <c r="D1040" s="1" t="s">
        <v>38</v>
      </c>
      <c r="E1040" s="1" t="s">
        <v>119</v>
      </c>
      <c r="F1040" s="1" t="s">
        <v>4441</v>
      </c>
      <c r="G1040" s="1" t="s">
        <v>12480</v>
      </c>
      <c r="H1040" s="1" t="s">
        <v>4442</v>
      </c>
      <c r="I1040" s="2">
        <v>55.23</v>
      </c>
      <c r="J1040" s="2">
        <v>4.01</v>
      </c>
      <c r="K1040" s="2">
        <v>4.63</v>
      </c>
      <c r="L1040" s="2">
        <v>5.01</v>
      </c>
      <c r="M1040" s="4">
        <f t="shared" si="96"/>
        <v>11.928725701943844</v>
      </c>
      <c r="N1040" s="4">
        <f t="shared" si="97"/>
        <v>11.023952095808383</v>
      </c>
      <c r="O1040" s="5">
        <f t="shared" si="98"/>
        <v>0.15461346633416473</v>
      </c>
      <c r="P1040" s="5">
        <f t="shared" si="99"/>
        <v>8.2073434125270017E-2</v>
      </c>
      <c r="Q1040" s="4">
        <f t="shared" si="100"/>
        <v>0.77151919459346407</v>
      </c>
      <c r="R1040" s="4">
        <f t="shared" si="101"/>
        <v>1.3431815316734943</v>
      </c>
      <c r="S1040" s="4">
        <v>2.2599999999999998</v>
      </c>
      <c r="T1040" s="2">
        <v>0.88</v>
      </c>
      <c r="U1040" s="2">
        <v>62.23</v>
      </c>
      <c r="V1040" s="2">
        <v>36.020000000000003</v>
      </c>
      <c r="W1040" s="2">
        <v>-4.76</v>
      </c>
      <c r="X1040" s="2">
        <v>-10.57</v>
      </c>
      <c r="Y1040" s="2">
        <v>3.29</v>
      </c>
      <c r="Z1040" s="2">
        <v>8.74</v>
      </c>
    </row>
    <row r="1041" spans="1:26" x14ac:dyDescent="0.25">
      <c r="A1041" s="1" t="s">
        <v>4443</v>
      </c>
      <c r="B1041" s="1" t="s">
        <v>4444</v>
      </c>
      <c r="C1041" s="1" t="s">
        <v>16</v>
      </c>
      <c r="D1041" s="1" t="s">
        <v>38</v>
      </c>
      <c r="E1041" s="1" t="s">
        <v>189</v>
      </c>
      <c r="F1041" s="1" t="s">
        <v>4445</v>
      </c>
      <c r="G1041" s="1" t="s">
        <v>12480</v>
      </c>
      <c r="H1041" s="1" t="s">
        <v>4446</v>
      </c>
      <c r="I1041" s="2">
        <v>20.39</v>
      </c>
      <c r="J1041" s="2">
        <v>2.0299999999999998</v>
      </c>
      <c r="K1041" s="2">
        <v>2.1800000000000002</v>
      </c>
      <c r="L1041" s="2">
        <v>2.36</v>
      </c>
      <c r="M1041" s="4">
        <f t="shared" si="96"/>
        <v>9.353211009174311</v>
      </c>
      <c r="N1041" s="4">
        <f t="shared" si="97"/>
        <v>8.6398305084745761</v>
      </c>
      <c r="O1041" s="5">
        <f t="shared" si="98"/>
        <v>7.389162561576379E-2</v>
      </c>
      <c r="P1041" s="5">
        <f t="shared" si="99"/>
        <v>8.256880733944949E-2</v>
      </c>
      <c r="Q1041" s="4">
        <f t="shared" si="100"/>
        <v>1.2658012232415858</v>
      </c>
      <c r="R1041" s="4">
        <f t="shared" si="101"/>
        <v>1.0463794726930324</v>
      </c>
      <c r="S1041" s="4">
        <v>2.38</v>
      </c>
      <c r="T1041" s="2">
        <v>0.87</v>
      </c>
      <c r="U1041" s="2">
        <v>23.22</v>
      </c>
      <c r="V1041" s="2">
        <v>16.84</v>
      </c>
      <c r="W1041" s="2">
        <v>-4.9000000000000004</v>
      </c>
      <c r="X1041" s="2">
        <v>-11.96</v>
      </c>
      <c r="Y1041" s="2">
        <v>-4.45</v>
      </c>
      <c r="Z1041" s="2">
        <v>-1.64</v>
      </c>
    </row>
    <row r="1042" spans="1:26" x14ac:dyDescent="0.25">
      <c r="A1042" s="1" t="s">
        <v>4447</v>
      </c>
      <c r="B1042" s="1" t="s">
        <v>4448</v>
      </c>
      <c r="C1042" s="1" t="s">
        <v>16</v>
      </c>
      <c r="D1042" s="1" t="s">
        <v>38</v>
      </c>
      <c r="E1042" s="1" t="s">
        <v>1244</v>
      </c>
      <c r="F1042" s="1" t="s">
        <v>4449</v>
      </c>
      <c r="G1042" s="1" t="s">
        <v>12480</v>
      </c>
      <c r="H1042" s="1" t="s">
        <v>4450</v>
      </c>
      <c r="I1042" s="2">
        <v>16.98</v>
      </c>
      <c r="J1042" s="2">
        <v>1.53</v>
      </c>
      <c r="K1042" s="2">
        <v>1.75</v>
      </c>
      <c r="L1042" s="2">
        <v>1.96</v>
      </c>
      <c r="M1042" s="4">
        <f t="shared" si="96"/>
        <v>9.7028571428571428</v>
      </c>
      <c r="N1042" s="4">
        <f t="shared" si="97"/>
        <v>8.6632653061224492</v>
      </c>
      <c r="O1042" s="5">
        <f t="shared" si="98"/>
        <v>0.14379084967320255</v>
      </c>
      <c r="P1042" s="5">
        <f t="shared" si="99"/>
        <v>0.11999999999999988</v>
      </c>
      <c r="Q1042" s="4">
        <f t="shared" si="100"/>
        <v>0.67478961038961072</v>
      </c>
      <c r="R1042" s="4">
        <f t="shared" si="101"/>
        <v>0.72193877551020469</v>
      </c>
      <c r="S1042" s="4">
        <v>4.26</v>
      </c>
      <c r="T1042" s="2">
        <v>0.79</v>
      </c>
      <c r="U1042" s="2">
        <v>18.89</v>
      </c>
      <c r="V1042" s="2">
        <v>14.08</v>
      </c>
      <c r="W1042" s="2">
        <v>-4.71</v>
      </c>
      <c r="X1042" s="2">
        <v>-8.91</v>
      </c>
      <c r="Y1042" s="2">
        <v>-1.74</v>
      </c>
      <c r="Z1042" s="2">
        <v>0.71</v>
      </c>
    </row>
    <row r="1043" spans="1:26" x14ac:dyDescent="0.25">
      <c r="A1043" s="1" t="s">
        <v>4451</v>
      </c>
      <c r="B1043" s="1" t="s">
        <v>4452</v>
      </c>
      <c r="C1043" s="1" t="s">
        <v>45</v>
      </c>
      <c r="D1043" s="1" t="s">
        <v>140</v>
      </c>
      <c r="E1043" s="1" t="s">
        <v>1555</v>
      </c>
      <c r="F1043" s="1" t="s">
        <v>4453</v>
      </c>
      <c r="G1043" s="1" t="s">
        <v>12480</v>
      </c>
      <c r="H1043" s="1" t="s">
        <v>1468</v>
      </c>
      <c r="I1043" s="2">
        <v>196.21</v>
      </c>
      <c r="J1043" s="2">
        <v>8.76</v>
      </c>
      <c r="K1043" s="2">
        <v>10.68</v>
      </c>
      <c r="L1043" s="2">
        <v>11.89</v>
      </c>
      <c r="M1043" s="4">
        <f t="shared" si="96"/>
        <v>18.371722846441948</v>
      </c>
      <c r="N1043" s="4">
        <f t="shared" si="97"/>
        <v>16.50210260723297</v>
      </c>
      <c r="O1043" s="5">
        <f t="shared" si="98"/>
        <v>0.21917808219178081</v>
      </c>
      <c r="P1043" s="5">
        <f t="shared" si="99"/>
        <v>0.11329588014981273</v>
      </c>
      <c r="Q1043" s="4">
        <f t="shared" si="100"/>
        <v>0.83820985486891386</v>
      </c>
      <c r="R1043" s="4">
        <f t="shared" si="101"/>
        <v>1.4565492218615548</v>
      </c>
      <c r="S1043" s="4">
        <v>8.0399999999999991</v>
      </c>
      <c r="T1043" s="2">
        <v>0.46</v>
      </c>
      <c r="U1043" s="2">
        <v>197.09</v>
      </c>
      <c r="V1043" s="2">
        <v>113.04</v>
      </c>
      <c r="W1043" s="2">
        <v>-0.45</v>
      </c>
      <c r="X1043" s="2">
        <v>7.1</v>
      </c>
      <c r="Y1043" s="2">
        <v>19.2</v>
      </c>
      <c r="Z1043" s="2">
        <v>23.11</v>
      </c>
    </row>
    <row r="1044" spans="1:26" x14ac:dyDescent="0.25">
      <c r="A1044" s="1" t="s">
        <v>4455</v>
      </c>
      <c r="B1044" s="1" t="s">
        <v>4456</v>
      </c>
      <c r="C1044" s="1" t="s">
        <v>16</v>
      </c>
      <c r="D1044" s="1" t="s">
        <v>140</v>
      </c>
      <c r="E1044" s="1" t="s">
        <v>1421</v>
      </c>
      <c r="F1044" s="1" t="s">
        <v>4457</v>
      </c>
      <c r="G1044" s="1" t="s">
        <v>12480</v>
      </c>
      <c r="H1044" s="1" t="s">
        <v>4458</v>
      </c>
      <c r="I1044" s="2">
        <v>167.57</v>
      </c>
      <c r="J1044" s="2">
        <v>8.83</v>
      </c>
      <c r="K1044" s="2">
        <v>9.3000000000000007</v>
      </c>
      <c r="L1044" s="2">
        <v>11.35</v>
      </c>
      <c r="M1044" s="4">
        <f t="shared" si="96"/>
        <v>18.018279569892471</v>
      </c>
      <c r="N1044" s="4">
        <f t="shared" si="97"/>
        <v>14.763876651982379</v>
      </c>
      <c r="O1044" s="5">
        <f t="shared" si="98"/>
        <v>5.3227633069082847E-2</v>
      </c>
      <c r="P1044" s="5">
        <f t="shared" si="99"/>
        <v>0.22043010752688152</v>
      </c>
      <c r="Q1044" s="4">
        <f t="shared" si="100"/>
        <v>3.3851363532372338</v>
      </c>
      <c r="R1044" s="4">
        <f t="shared" si="101"/>
        <v>0.6697758676265182</v>
      </c>
      <c r="S1044" s="4">
        <v>2.44</v>
      </c>
      <c r="T1044" s="2">
        <v>0.09</v>
      </c>
      <c r="U1044" s="2">
        <v>183.5</v>
      </c>
      <c r="V1044" s="2">
        <v>151.68</v>
      </c>
      <c r="W1044" s="2">
        <v>2.19</v>
      </c>
      <c r="X1044" s="2">
        <v>-5.0599999999999996</v>
      </c>
      <c r="Y1044" s="2">
        <v>-1.77</v>
      </c>
      <c r="Z1044" s="2">
        <v>-1.91</v>
      </c>
    </row>
    <row r="1045" spans="1:26" x14ac:dyDescent="0.25">
      <c r="A1045" s="1" t="s">
        <v>4459</v>
      </c>
      <c r="B1045" s="1" t="s">
        <v>4460</v>
      </c>
      <c r="C1045" s="1" t="s">
        <v>45</v>
      </c>
      <c r="D1045" s="1" t="s">
        <v>38</v>
      </c>
      <c r="E1045" s="1" t="s">
        <v>119</v>
      </c>
      <c r="F1045" s="1" t="s">
        <v>4461</v>
      </c>
      <c r="G1045" s="1" t="s">
        <v>12480</v>
      </c>
      <c r="H1045" s="1" t="s">
        <v>12616</v>
      </c>
      <c r="I1045" s="2">
        <v>1907.53</v>
      </c>
      <c r="J1045" s="2">
        <v>177.88</v>
      </c>
      <c r="K1045" s="2">
        <v>179.93</v>
      </c>
      <c r="L1045" s="2">
        <v>204.41</v>
      </c>
      <c r="M1045" s="4">
        <f t="shared" si="96"/>
        <v>10.601511698994052</v>
      </c>
      <c r="N1045" s="4">
        <f t="shared" si="97"/>
        <v>9.3318820018590092</v>
      </c>
      <c r="O1045" s="5">
        <f t="shared" si="98"/>
        <v>1.1524623341578666E-2</v>
      </c>
      <c r="P1045" s="5">
        <f t="shared" si="99"/>
        <v>0.13605290946479176</v>
      </c>
      <c r="Q1045" s="4">
        <f t="shared" si="100"/>
        <v>9.1990092732539033</v>
      </c>
      <c r="R1045" s="4">
        <f t="shared" si="101"/>
        <v>0.68590095122324057</v>
      </c>
      <c r="S1045" s="4">
        <v>-3.09</v>
      </c>
      <c r="T1045" s="2">
        <v>0.68</v>
      </c>
      <c r="U1045" s="2">
        <v>2203.5300000000002</v>
      </c>
      <c r="V1045" s="2">
        <v>1561.69</v>
      </c>
      <c r="W1045" s="2">
        <v>-2.1800000000000002</v>
      </c>
      <c r="X1045" s="2">
        <v>-11.46</v>
      </c>
      <c r="Y1045" s="2">
        <v>-8.06</v>
      </c>
      <c r="Z1045" s="2">
        <v>-11.12</v>
      </c>
    </row>
    <row r="1046" spans="1:26" x14ac:dyDescent="0.25">
      <c r="A1046" s="1" t="s">
        <v>4462</v>
      </c>
      <c r="B1046" s="1" t="s">
        <v>4463</v>
      </c>
      <c r="C1046" s="1" t="s">
        <v>16</v>
      </c>
      <c r="D1046" s="1" t="s">
        <v>38</v>
      </c>
      <c r="E1046" s="1" t="s">
        <v>510</v>
      </c>
      <c r="F1046" s="1" t="s">
        <v>4464</v>
      </c>
      <c r="G1046" s="1" t="s">
        <v>12480</v>
      </c>
      <c r="H1046" s="1" t="s">
        <v>4465</v>
      </c>
      <c r="I1046" s="2">
        <v>25.67</v>
      </c>
      <c r="J1046" s="2">
        <v>1.78</v>
      </c>
      <c r="K1046" s="2">
        <v>1.85</v>
      </c>
      <c r="L1046" s="2">
        <v>1.9</v>
      </c>
      <c r="M1046" s="4">
        <f t="shared" si="96"/>
        <v>13.875675675675677</v>
      </c>
      <c r="N1046" s="4">
        <f t="shared" si="97"/>
        <v>13.510526315789475</v>
      </c>
      <c r="O1046" s="5">
        <f t="shared" si="98"/>
        <v>3.9325842696629199E-2</v>
      </c>
      <c r="P1046" s="5">
        <f t="shared" si="99"/>
        <v>2.7027027027026973E-2</v>
      </c>
      <c r="Q1046" s="4">
        <f t="shared" si="100"/>
        <v>3.5283861003861019</v>
      </c>
      <c r="R1046" s="4">
        <f t="shared" si="101"/>
        <v>4.9988947368421162</v>
      </c>
      <c r="S1046" s="4">
        <v>9.7200000000000006</v>
      </c>
      <c r="T1046" s="2">
        <v>0.82</v>
      </c>
      <c r="U1046" s="2">
        <v>29.31</v>
      </c>
      <c r="V1046" s="2">
        <v>22.89</v>
      </c>
      <c r="W1046" s="2" t="s">
        <v>12489</v>
      </c>
      <c r="X1046" s="2">
        <v>1.7</v>
      </c>
      <c r="Y1046" s="2">
        <v>10.31</v>
      </c>
      <c r="Z1046" s="2">
        <v>11.32</v>
      </c>
    </row>
    <row r="1047" spans="1:26" x14ac:dyDescent="0.25">
      <c r="A1047" s="1" t="s">
        <v>4466</v>
      </c>
      <c r="B1047" s="1" t="s">
        <v>4467</v>
      </c>
      <c r="C1047" s="1" t="s">
        <v>16</v>
      </c>
      <c r="D1047" s="1" t="s">
        <v>88</v>
      </c>
      <c r="E1047" s="1" t="s">
        <v>2402</v>
      </c>
      <c r="F1047" s="1" t="s">
        <v>4468</v>
      </c>
      <c r="G1047" s="1" t="s">
        <v>12480</v>
      </c>
      <c r="H1047" s="1" t="s">
        <v>4469</v>
      </c>
      <c r="I1047" s="2">
        <v>60.49</v>
      </c>
      <c r="J1047" s="2">
        <v>1.77</v>
      </c>
      <c r="K1047" s="2">
        <v>2.5499999999999998</v>
      </c>
      <c r="L1047" s="2">
        <v>3.12</v>
      </c>
      <c r="M1047" s="4">
        <f t="shared" si="96"/>
        <v>23.721568627450981</v>
      </c>
      <c r="N1047" s="4">
        <f t="shared" si="97"/>
        <v>19.387820512820515</v>
      </c>
      <c r="O1047" s="5">
        <f t="shared" si="98"/>
        <v>0.44067796610169485</v>
      </c>
      <c r="P1047" s="5">
        <f t="shared" si="99"/>
        <v>0.22352941176470598</v>
      </c>
      <c r="Q1047" s="4">
        <f t="shared" si="100"/>
        <v>0.53829713423831083</v>
      </c>
      <c r="R1047" s="4">
        <f t="shared" si="101"/>
        <v>0.86734986504723321</v>
      </c>
      <c r="S1047" s="4">
        <v>1.81</v>
      </c>
      <c r="T1047" s="2">
        <v>1.41</v>
      </c>
      <c r="U1047" s="2">
        <v>68.819999999999993</v>
      </c>
      <c r="V1047" s="2">
        <v>29.15</v>
      </c>
      <c r="W1047" s="2">
        <v>-11.42</v>
      </c>
      <c r="X1047" s="2">
        <v>-4.9000000000000004</v>
      </c>
      <c r="Y1047" s="2">
        <v>27.29</v>
      </c>
      <c r="Z1047" s="2">
        <v>19.100000000000001</v>
      </c>
    </row>
    <row r="1048" spans="1:26" x14ac:dyDescent="0.25">
      <c r="A1048" s="1" t="s">
        <v>4470</v>
      </c>
      <c r="B1048" s="1" t="s">
        <v>4471</v>
      </c>
      <c r="C1048" s="1" t="s">
        <v>16</v>
      </c>
      <c r="D1048" s="1" t="s">
        <v>38</v>
      </c>
      <c r="E1048" s="1" t="s">
        <v>259</v>
      </c>
      <c r="F1048" s="1" t="s">
        <v>4472</v>
      </c>
      <c r="G1048" s="1" t="s">
        <v>12480</v>
      </c>
      <c r="H1048" s="1" t="s">
        <v>12525</v>
      </c>
      <c r="I1048" s="2">
        <v>247.05</v>
      </c>
      <c r="J1048" s="2"/>
      <c r="K1048" s="2"/>
      <c r="L1048" s="2"/>
      <c r="M1048" s="4" t="e">
        <f t="shared" si="96"/>
        <v>#DIV/0!</v>
      </c>
      <c r="N1048" s="4" t="e">
        <f t="shared" si="97"/>
        <v>#DIV/0!</v>
      </c>
      <c r="O1048" s="5" t="e">
        <f t="shared" si="98"/>
        <v>#DIV/0!</v>
      </c>
      <c r="P1048" s="5" t="e">
        <f t="shared" si="99"/>
        <v>#DIV/0!</v>
      </c>
      <c r="Q1048" s="4" t="e">
        <f t="shared" si="100"/>
        <v>#DIV/0!</v>
      </c>
      <c r="R1048" s="4" t="e">
        <f t="shared" si="101"/>
        <v>#DIV/0!</v>
      </c>
      <c r="S1048" s="4"/>
      <c r="T1048" s="2">
        <v>1.2</v>
      </c>
      <c r="U1048" s="2">
        <v>287.33999999999997</v>
      </c>
      <c r="V1048" s="2">
        <v>200.29</v>
      </c>
      <c r="W1048" s="2">
        <v>1.88</v>
      </c>
      <c r="X1048" s="2">
        <v>-0.44</v>
      </c>
      <c r="Y1048" s="2">
        <v>-7.59</v>
      </c>
      <c r="Z1048" s="2">
        <v>-8.2200000000000006</v>
      </c>
    </row>
    <row r="1049" spans="1:26" x14ac:dyDescent="0.25">
      <c r="A1049" s="1" t="s">
        <v>4473</v>
      </c>
      <c r="B1049" s="1" t="s">
        <v>4474</v>
      </c>
      <c r="C1049" s="1" t="s">
        <v>16</v>
      </c>
      <c r="D1049" s="1" t="s">
        <v>128</v>
      </c>
      <c r="E1049" s="1" t="s">
        <v>296</v>
      </c>
      <c r="F1049" s="1" t="s">
        <v>4475</v>
      </c>
      <c r="G1049" s="1" t="s">
        <v>12480</v>
      </c>
      <c r="H1049" s="1" t="s">
        <v>4476</v>
      </c>
      <c r="I1049" s="2">
        <v>41.92</v>
      </c>
      <c r="J1049" s="2">
        <v>3.68</v>
      </c>
      <c r="K1049" s="2"/>
      <c r="L1049" s="2"/>
      <c r="M1049" s="4" t="e">
        <f t="shared" si="96"/>
        <v>#DIV/0!</v>
      </c>
      <c r="N1049" s="4" t="e">
        <f t="shared" si="97"/>
        <v>#DIV/0!</v>
      </c>
      <c r="O1049" s="5">
        <f t="shared" si="98"/>
        <v>-1</v>
      </c>
      <c r="P1049" s="5" t="e">
        <f t="shared" si="99"/>
        <v>#DIV/0!</v>
      </c>
      <c r="Q1049" s="4" t="e">
        <f t="shared" si="100"/>
        <v>#DIV/0!</v>
      </c>
      <c r="R1049" s="4" t="e">
        <f t="shared" si="101"/>
        <v>#DIV/0!</v>
      </c>
      <c r="S1049" s="4">
        <v>0.98</v>
      </c>
      <c r="T1049" s="2">
        <v>0.28000000000000003</v>
      </c>
      <c r="U1049" s="2">
        <v>43.02</v>
      </c>
      <c r="V1049" s="2">
        <v>29.2</v>
      </c>
      <c r="W1049" s="2">
        <v>-2.56</v>
      </c>
      <c r="X1049" s="2">
        <v>9.57</v>
      </c>
      <c r="Y1049" s="2">
        <v>8.77</v>
      </c>
      <c r="Z1049" s="2">
        <v>17.649999999999999</v>
      </c>
    </row>
    <row r="1050" spans="1:26" x14ac:dyDescent="0.25">
      <c r="A1050" s="1" t="s">
        <v>4478</v>
      </c>
      <c r="B1050" s="1" t="s">
        <v>4479</v>
      </c>
      <c r="C1050" s="1" t="s">
        <v>16</v>
      </c>
      <c r="D1050" s="1" t="s">
        <v>140</v>
      </c>
      <c r="E1050" s="1" t="s">
        <v>4364</v>
      </c>
      <c r="F1050" s="1" t="s">
        <v>4480</v>
      </c>
      <c r="G1050" s="1" t="s">
        <v>12497</v>
      </c>
      <c r="H1050" s="1" t="s">
        <v>4323</v>
      </c>
      <c r="I1050" s="2">
        <v>221.04</v>
      </c>
      <c r="J1050" s="2">
        <v>16.98</v>
      </c>
      <c r="K1050" s="2">
        <v>17.41</v>
      </c>
      <c r="L1050" s="2">
        <v>18.98</v>
      </c>
      <c r="M1050" s="4">
        <f t="shared" si="96"/>
        <v>12.696151636990235</v>
      </c>
      <c r="N1050" s="4">
        <f t="shared" si="97"/>
        <v>11.645943097997892</v>
      </c>
      <c r="O1050" s="5">
        <f t="shared" si="98"/>
        <v>2.5323910482921042E-2</v>
      </c>
      <c r="P1050" s="5">
        <f t="shared" si="99"/>
        <v>9.0178058587018883E-2</v>
      </c>
      <c r="Q1050" s="4">
        <f t="shared" si="100"/>
        <v>5.0135035999091757</v>
      </c>
      <c r="R1050" s="4">
        <f t="shared" si="101"/>
        <v>1.2914386581919965</v>
      </c>
      <c r="S1050" s="4">
        <v>5.39</v>
      </c>
      <c r="T1050" s="2">
        <v>0.75</v>
      </c>
      <c r="U1050" s="2">
        <v>473.32</v>
      </c>
      <c r="V1050" s="2">
        <v>190.06</v>
      </c>
      <c r="W1050" s="2">
        <v>0.5</v>
      </c>
      <c r="X1050" s="2">
        <v>8.77</v>
      </c>
      <c r="Y1050" s="2">
        <v>-24.31</v>
      </c>
      <c r="Z1050" s="2">
        <v>-23.83</v>
      </c>
    </row>
    <row r="1051" spans="1:26" x14ac:dyDescent="0.25">
      <c r="A1051" s="1" t="s">
        <v>4481</v>
      </c>
      <c r="B1051" s="1" t="s">
        <v>4482</v>
      </c>
      <c r="C1051" s="1" t="s">
        <v>16</v>
      </c>
      <c r="D1051" s="1" t="s">
        <v>46</v>
      </c>
      <c r="E1051" s="1" t="s">
        <v>4484</v>
      </c>
      <c r="F1051" s="1" t="s">
        <v>4483</v>
      </c>
      <c r="G1051" s="1" t="s">
        <v>12508</v>
      </c>
      <c r="H1051" s="1" t="s">
        <v>4485</v>
      </c>
      <c r="I1051" s="2">
        <v>361.1</v>
      </c>
      <c r="J1051" s="2">
        <v>18.190000000000001</v>
      </c>
      <c r="K1051" s="2">
        <v>18.510000000000002</v>
      </c>
      <c r="L1051" s="2">
        <v>21.42</v>
      </c>
      <c r="M1051" s="4">
        <f t="shared" si="96"/>
        <v>19.508373851971907</v>
      </c>
      <c r="N1051" s="4">
        <f t="shared" si="97"/>
        <v>16.858076563958917</v>
      </c>
      <c r="O1051" s="5">
        <f t="shared" si="98"/>
        <v>1.7592083562396832E-2</v>
      </c>
      <c r="P1051" s="5">
        <f t="shared" si="99"/>
        <v>0.15721231766612642</v>
      </c>
      <c r="Q1051" s="4">
        <f t="shared" si="100"/>
        <v>11.089291261480337</v>
      </c>
      <c r="R1051" s="4">
        <f t="shared" si="101"/>
        <v>1.0723127051507888</v>
      </c>
      <c r="S1051" s="4">
        <v>0.27</v>
      </c>
      <c r="T1051" s="2">
        <v>1.29</v>
      </c>
      <c r="U1051" s="2">
        <v>388.48</v>
      </c>
      <c r="V1051" s="2">
        <v>198.07</v>
      </c>
      <c r="W1051" s="2">
        <v>-6.75</v>
      </c>
      <c r="X1051" s="2">
        <v>-0.96</v>
      </c>
      <c r="Y1051" s="2">
        <v>28.4</v>
      </c>
      <c r="Z1051" s="2">
        <v>25.01</v>
      </c>
    </row>
    <row r="1052" spans="1:26" x14ac:dyDescent="0.25">
      <c r="A1052" s="1" t="s">
        <v>4486</v>
      </c>
      <c r="B1052" s="1" t="s">
        <v>4487</v>
      </c>
      <c r="C1052" s="1" t="s">
        <v>16</v>
      </c>
      <c r="D1052" s="1" t="s">
        <v>354</v>
      </c>
      <c r="E1052" s="1" t="s">
        <v>355</v>
      </c>
      <c r="F1052" s="1" t="s">
        <v>4488</v>
      </c>
      <c r="G1052" s="1" t="s">
        <v>12480</v>
      </c>
      <c r="H1052" s="1" t="s">
        <v>4489</v>
      </c>
      <c r="I1052" s="2">
        <v>50.96</v>
      </c>
      <c r="J1052" s="2">
        <v>2.5499999999999998</v>
      </c>
      <c r="K1052" s="2">
        <v>2.72</v>
      </c>
      <c r="L1052" s="2">
        <v>2.94</v>
      </c>
      <c r="M1052" s="4">
        <f t="shared" si="96"/>
        <v>18.735294117647058</v>
      </c>
      <c r="N1052" s="4">
        <f t="shared" si="97"/>
        <v>17.333333333333336</v>
      </c>
      <c r="O1052" s="5">
        <f t="shared" si="98"/>
        <v>6.6666666666666874E-2</v>
      </c>
      <c r="P1052" s="5">
        <f t="shared" si="99"/>
        <v>8.0882352941176405E-2</v>
      </c>
      <c r="Q1052" s="4">
        <f t="shared" si="100"/>
        <v>2.8102941176470502</v>
      </c>
      <c r="R1052" s="4">
        <f t="shared" si="101"/>
        <v>2.1430303030303048</v>
      </c>
      <c r="S1052" s="4">
        <v>12.01</v>
      </c>
      <c r="T1052" s="2">
        <v>0.61</v>
      </c>
      <c r="U1052" s="2">
        <v>51.16</v>
      </c>
      <c r="V1052" s="2">
        <v>37.950000000000003</v>
      </c>
      <c r="W1052" s="2">
        <v>-0.04</v>
      </c>
      <c r="X1052" s="2">
        <v>8.84</v>
      </c>
      <c r="Y1052" s="2">
        <v>14.23</v>
      </c>
      <c r="Z1052" s="2">
        <v>13.83</v>
      </c>
    </row>
    <row r="1053" spans="1:26" x14ac:dyDescent="0.25">
      <c r="A1053" s="1" t="s">
        <v>4490</v>
      </c>
      <c r="B1053" s="1" t="s">
        <v>4491</v>
      </c>
      <c r="C1053" s="1" t="s">
        <v>45</v>
      </c>
      <c r="D1053" s="1" t="s">
        <v>25</v>
      </c>
      <c r="E1053" s="1" t="s">
        <v>106</v>
      </c>
      <c r="F1053" s="1" t="s">
        <v>4492</v>
      </c>
      <c r="G1053" s="1" t="s">
        <v>12480</v>
      </c>
      <c r="H1053" s="1" t="s">
        <v>1284</v>
      </c>
      <c r="I1053" s="2">
        <v>95.29</v>
      </c>
      <c r="J1053" s="2">
        <v>4.1399999999999997</v>
      </c>
      <c r="K1053" s="2">
        <v>4.54</v>
      </c>
      <c r="L1053" s="2">
        <v>5.1100000000000003</v>
      </c>
      <c r="M1053" s="4">
        <f t="shared" si="96"/>
        <v>20.98898678414097</v>
      </c>
      <c r="N1053" s="4">
        <f t="shared" si="97"/>
        <v>18.647749510763209</v>
      </c>
      <c r="O1053" s="5">
        <f t="shared" si="98"/>
        <v>9.661835748792269E-2</v>
      </c>
      <c r="P1053" s="5">
        <f t="shared" si="99"/>
        <v>0.12555066079295152</v>
      </c>
      <c r="Q1053" s="4">
        <f t="shared" si="100"/>
        <v>2.1723601321585906</v>
      </c>
      <c r="R1053" s="4">
        <f t="shared" si="101"/>
        <v>1.4852768908572804</v>
      </c>
      <c r="S1053" s="4">
        <v>5.44</v>
      </c>
      <c r="T1053" s="2">
        <v>1.07</v>
      </c>
      <c r="U1053" s="2">
        <v>109.86</v>
      </c>
      <c r="V1053" s="2">
        <v>84.21</v>
      </c>
      <c r="W1053" s="2">
        <v>-4.22</v>
      </c>
      <c r="X1053" s="2">
        <v>-11.72</v>
      </c>
      <c r="Y1053" s="2">
        <v>-2.5299999999999998</v>
      </c>
      <c r="Z1053" s="2">
        <v>-0.25</v>
      </c>
    </row>
    <row r="1054" spans="1:26" x14ac:dyDescent="0.25">
      <c r="A1054" s="1" t="s">
        <v>4493</v>
      </c>
      <c r="B1054" s="1" t="s">
        <v>4494</v>
      </c>
      <c r="C1054" s="1" t="s">
        <v>4496</v>
      </c>
      <c r="D1054" s="1" t="s">
        <v>24</v>
      </c>
      <c r="E1054" s="1" t="s">
        <v>32</v>
      </c>
      <c r="F1054" s="1" t="s">
        <v>4495</v>
      </c>
      <c r="G1054" s="1" t="s">
        <v>1607</v>
      </c>
      <c r="H1054" s="1" t="s">
        <v>12490</v>
      </c>
      <c r="I1054" s="2">
        <v>11.16</v>
      </c>
      <c r="J1054" s="2" t="s">
        <v>12512</v>
      </c>
      <c r="K1054" s="2"/>
      <c r="L1054" s="2"/>
      <c r="M1054" s="4" t="e">
        <f t="shared" si="96"/>
        <v>#DIV/0!</v>
      </c>
      <c r="N1054" s="4" t="e">
        <f t="shared" si="97"/>
        <v>#DIV/0!</v>
      </c>
      <c r="O1054" s="5">
        <f t="shared" si="98"/>
        <v>-1</v>
      </c>
      <c r="P1054" s="5" t="e">
        <f t="shared" si="99"/>
        <v>#DIV/0!</v>
      </c>
      <c r="Q1054" s="4" t="e">
        <f t="shared" si="100"/>
        <v>#DIV/0!</v>
      </c>
      <c r="R1054" s="4" t="e">
        <f t="shared" si="101"/>
        <v>#DIV/0!</v>
      </c>
      <c r="S1054" s="4"/>
      <c r="T1054" s="2">
        <v>17.23</v>
      </c>
      <c r="U1054" s="2">
        <v>589.29</v>
      </c>
      <c r="V1054" s="2">
        <v>22.19</v>
      </c>
      <c r="W1054" s="2"/>
      <c r="X1054" s="2">
        <v>-19.670000000000002</v>
      </c>
      <c r="Y1054" s="2">
        <v>-3.85</v>
      </c>
      <c r="Z1054" s="2">
        <v>-6.71</v>
      </c>
    </row>
    <row r="1055" spans="1:26" x14ac:dyDescent="0.25">
      <c r="A1055" s="1" t="s">
        <v>4497</v>
      </c>
      <c r="B1055" s="1" t="s">
        <v>4498</v>
      </c>
      <c r="C1055" s="1" t="s">
        <v>45</v>
      </c>
      <c r="D1055" s="1" t="s">
        <v>38</v>
      </c>
      <c r="E1055" s="1" t="s">
        <v>1806</v>
      </c>
      <c r="F1055" s="1" t="s">
        <v>4499</v>
      </c>
      <c r="G1055" s="1" t="s">
        <v>12480</v>
      </c>
      <c r="H1055" s="1" t="s">
        <v>4500</v>
      </c>
      <c r="I1055" s="2">
        <v>65.930000000000007</v>
      </c>
      <c r="J1055" s="2">
        <v>1.37</v>
      </c>
      <c r="K1055" s="2"/>
      <c r="L1055" s="2"/>
      <c r="M1055" s="4" t="e">
        <f t="shared" si="96"/>
        <v>#DIV/0!</v>
      </c>
      <c r="N1055" s="4" t="e">
        <f t="shared" si="97"/>
        <v>#DIV/0!</v>
      </c>
      <c r="O1055" s="5">
        <f t="shared" si="98"/>
        <v>-1</v>
      </c>
      <c r="P1055" s="5" t="e">
        <f t="shared" si="99"/>
        <v>#DIV/0!</v>
      </c>
      <c r="Q1055" s="4" t="e">
        <f t="shared" si="100"/>
        <v>#DIV/0!</v>
      </c>
      <c r="R1055" s="4" t="e">
        <f t="shared" si="101"/>
        <v>#DIV/0!</v>
      </c>
      <c r="S1055" s="4">
        <v>9.99</v>
      </c>
      <c r="T1055" s="2">
        <v>0.15</v>
      </c>
      <c r="U1055" s="2">
        <v>74.38</v>
      </c>
      <c r="V1055" s="2">
        <v>40.64</v>
      </c>
      <c r="W1055" s="2">
        <v>-9.6</v>
      </c>
      <c r="X1055" s="2">
        <v>-10.35</v>
      </c>
      <c r="Y1055" s="2">
        <v>-2.25</v>
      </c>
      <c r="Z1055" s="2">
        <v>2.04</v>
      </c>
    </row>
    <row r="1056" spans="1:26" x14ac:dyDescent="0.25">
      <c r="A1056" s="1" t="s">
        <v>4501</v>
      </c>
      <c r="B1056" s="1" t="s">
        <v>4502</v>
      </c>
      <c r="C1056" s="1" t="s">
        <v>16</v>
      </c>
      <c r="D1056" s="1" t="s">
        <v>25</v>
      </c>
      <c r="E1056" s="1" t="s">
        <v>220</v>
      </c>
      <c r="F1056" s="1" t="s">
        <v>4503</v>
      </c>
      <c r="G1056" s="1" t="s">
        <v>12480</v>
      </c>
      <c r="H1056" s="1" t="s">
        <v>4504</v>
      </c>
      <c r="I1056" s="2">
        <v>230.58</v>
      </c>
      <c r="J1056" s="2">
        <v>9.94</v>
      </c>
      <c r="K1056" s="2">
        <v>11.26</v>
      </c>
      <c r="L1056" s="2">
        <v>12.27</v>
      </c>
      <c r="M1056" s="4">
        <f t="shared" si="96"/>
        <v>20.477797513321494</v>
      </c>
      <c r="N1056" s="4">
        <f t="shared" si="97"/>
        <v>18.792176039119806</v>
      </c>
      <c r="O1056" s="5">
        <f t="shared" si="98"/>
        <v>0.13279678068410461</v>
      </c>
      <c r="P1056" s="5">
        <f t="shared" si="99"/>
        <v>8.9698046181172275E-2</v>
      </c>
      <c r="Q1056" s="4">
        <f t="shared" si="100"/>
        <v>1.5420402066849672</v>
      </c>
      <c r="R1056" s="4">
        <f t="shared" si="101"/>
        <v>2.0950485366385054</v>
      </c>
      <c r="S1056" s="4">
        <v>3.8</v>
      </c>
      <c r="T1056" s="2">
        <v>1.17</v>
      </c>
      <c r="U1056" s="2">
        <v>267.36</v>
      </c>
      <c r="V1056" s="2">
        <v>148.02000000000001</v>
      </c>
      <c r="W1056" s="2">
        <v>-10.33</v>
      </c>
      <c r="X1056" s="2">
        <v>-11.86</v>
      </c>
      <c r="Y1056" s="2">
        <v>2.27</v>
      </c>
      <c r="Z1056" s="2">
        <v>3.57</v>
      </c>
    </row>
    <row r="1057" spans="1:26" x14ac:dyDescent="0.25">
      <c r="A1057" s="1" t="s">
        <v>4505</v>
      </c>
      <c r="B1057" s="1" t="s">
        <v>4506</v>
      </c>
      <c r="C1057" s="1" t="s">
        <v>45</v>
      </c>
      <c r="D1057" s="1" t="s">
        <v>38</v>
      </c>
      <c r="E1057" s="1" t="s">
        <v>1093</v>
      </c>
      <c r="F1057" s="1" t="s">
        <v>4507</v>
      </c>
      <c r="G1057" s="1" t="s">
        <v>12480</v>
      </c>
      <c r="H1057" s="1" t="s">
        <v>4508</v>
      </c>
      <c r="I1057" s="2">
        <v>27.12</v>
      </c>
      <c r="J1057" s="2">
        <v>2.93</v>
      </c>
      <c r="K1057" s="2">
        <v>3.04</v>
      </c>
      <c r="L1057" s="2">
        <v>3.3</v>
      </c>
      <c r="M1057" s="4">
        <f t="shared" si="96"/>
        <v>8.9210526315789469</v>
      </c>
      <c r="N1057" s="4">
        <f t="shared" si="97"/>
        <v>8.2181818181818187</v>
      </c>
      <c r="O1057" s="5">
        <f t="shared" si="98"/>
        <v>3.7542662116040848E-2</v>
      </c>
      <c r="P1057" s="5">
        <f t="shared" si="99"/>
        <v>8.5526315789473673E-2</v>
      </c>
      <c r="Q1057" s="4">
        <f t="shared" si="100"/>
        <v>2.3762440191387628</v>
      </c>
      <c r="R1057" s="4">
        <f t="shared" si="101"/>
        <v>0.96089510489510521</v>
      </c>
      <c r="S1057" s="4">
        <v>-22.25</v>
      </c>
      <c r="T1057" s="2">
        <v>0.97</v>
      </c>
      <c r="U1057" s="2">
        <v>31.16</v>
      </c>
      <c r="V1057" s="2">
        <v>22.05</v>
      </c>
      <c r="W1057" s="2">
        <v>-3.83</v>
      </c>
      <c r="X1057" s="2">
        <v>-12.97</v>
      </c>
      <c r="Y1057" s="2">
        <v>0.52</v>
      </c>
      <c r="Z1057" s="2">
        <v>8.39</v>
      </c>
    </row>
    <row r="1058" spans="1:26" x14ac:dyDescent="0.25">
      <c r="A1058" s="1" t="s">
        <v>4509</v>
      </c>
      <c r="B1058" s="1" t="s">
        <v>4510</v>
      </c>
      <c r="C1058" s="1" t="s">
        <v>45</v>
      </c>
      <c r="D1058" s="1" t="s">
        <v>38</v>
      </c>
      <c r="E1058" s="1" t="s">
        <v>1440</v>
      </c>
      <c r="F1058" s="1" t="s">
        <v>4511</v>
      </c>
      <c r="G1058" s="1" t="s">
        <v>12480</v>
      </c>
      <c r="H1058" s="1" t="s">
        <v>1945</v>
      </c>
      <c r="I1058" s="2">
        <v>30.26</v>
      </c>
      <c r="J1058" s="2">
        <v>1.77</v>
      </c>
      <c r="K1058" s="2">
        <v>1.95</v>
      </c>
      <c r="L1058" s="2">
        <v>2.0699999999999998</v>
      </c>
      <c r="M1058" s="4">
        <f t="shared" si="96"/>
        <v>15.51794871794872</v>
      </c>
      <c r="N1058" s="4">
        <f t="shared" si="97"/>
        <v>14.618357487922708</v>
      </c>
      <c r="O1058" s="5">
        <f t="shared" si="98"/>
        <v>0.10169491525423724</v>
      </c>
      <c r="P1058" s="5">
        <f t="shared" si="99"/>
        <v>6.1538461538461542E-2</v>
      </c>
      <c r="Q1058" s="4">
        <f t="shared" si="100"/>
        <v>1.525931623931625</v>
      </c>
      <c r="R1058" s="4">
        <f t="shared" si="101"/>
        <v>2.3754830917874399</v>
      </c>
      <c r="S1058" s="4">
        <v>10.66</v>
      </c>
      <c r="T1058" s="2">
        <v>0.83</v>
      </c>
      <c r="U1058" s="2">
        <v>37.979999999999997</v>
      </c>
      <c r="V1058" s="2">
        <v>29.86</v>
      </c>
      <c r="W1058" s="2">
        <v>-1.98</v>
      </c>
      <c r="X1058" s="2">
        <v>-12.39</v>
      </c>
      <c r="Y1058" s="2">
        <v>-3.54</v>
      </c>
      <c r="Z1058" s="2">
        <v>1.31</v>
      </c>
    </row>
    <row r="1059" spans="1:26" x14ac:dyDescent="0.25">
      <c r="A1059" s="1" t="s">
        <v>4512</v>
      </c>
      <c r="B1059" s="1" t="s">
        <v>4513</v>
      </c>
      <c r="C1059" s="1" t="s">
        <v>45</v>
      </c>
      <c r="D1059" s="1" t="s">
        <v>32</v>
      </c>
      <c r="E1059" s="1" t="s">
        <v>311</v>
      </c>
      <c r="F1059" s="1" t="s">
        <v>4514</v>
      </c>
      <c r="G1059" s="1" t="s">
        <v>12485</v>
      </c>
      <c r="H1059" s="1" t="s">
        <v>4515</v>
      </c>
      <c r="I1059" s="2">
        <v>285.33</v>
      </c>
      <c r="J1059" s="2">
        <v>15.81</v>
      </c>
      <c r="K1059" s="2">
        <v>15.77</v>
      </c>
      <c r="L1059" s="2">
        <v>16.37</v>
      </c>
      <c r="M1059" s="4">
        <f t="shared" si="96"/>
        <v>18.093214965123654</v>
      </c>
      <c r="N1059" s="4">
        <f t="shared" si="97"/>
        <v>17.430054978619424</v>
      </c>
      <c r="O1059" s="5">
        <f t="shared" si="98"/>
        <v>-2.5300442757748565E-3</v>
      </c>
      <c r="P1059" s="5">
        <f t="shared" si="99"/>
        <v>3.8046924540266369E-2</v>
      </c>
      <c r="Q1059" s="4">
        <f t="shared" si="100"/>
        <v>-71.513432149650384</v>
      </c>
      <c r="R1059" s="4">
        <f t="shared" si="101"/>
        <v>4.5811994502138003</v>
      </c>
      <c r="S1059" s="4">
        <v>9.66</v>
      </c>
      <c r="T1059" s="2">
        <v>1.01</v>
      </c>
      <c r="U1059" s="2">
        <v>343.17</v>
      </c>
      <c r="V1059" s="2">
        <v>223.99</v>
      </c>
      <c r="W1059" s="2">
        <v>2.64</v>
      </c>
      <c r="X1059" s="2">
        <v>2.36</v>
      </c>
      <c r="Y1059" s="2">
        <v>8.49</v>
      </c>
      <c r="Z1059" s="2">
        <v>11.78</v>
      </c>
    </row>
    <row r="1060" spans="1:26" x14ac:dyDescent="0.25">
      <c r="A1060" s="1" t="s">
        <v>4516</v>
      </c>
      <c r="B1060" s="1" t="s">
        <v>4517</v>
      </c>
      <c r="C1060" s="1" t="s">
        <v>31</v>
      </c>
      <c r="D1060" s="1" t="s">
        <v>38</v>
      </c>
      <c r="E1060" s="1" t="s">
        <v>101</v>
      </c>
      <c r="F1060" s="1" t="s">
        <v>4518</v>
      </c>
      <c r="G1060" s="1" t="s">
        <v>12480</v>
      </c>
      <c r="H1060" s="1" t="s">
        <v>4519</v>
      </c>
      <c r="I1060" s="2">
        <v>17.32</v>
      </c>
      <c r="J1060" s="2">
        <v>3.05</v>
      </c>
      <c r="K1060" s="2"/>
      <c r="L1060" s="2"/>
      <c r="M1060" s="4" t="e">
        <f t="shared" si="96"/>
        <v>#DIV/0!</v>
      </c>
      <c r="N1060" s="4" t="e">
        <f t="shared" si="97"/>
        <v>#DIV/0!</v>
      </c>
      <c r="O1060" s="5">
        <f t="shared" si="98"/>
        <v>-1</v>
      </c>
      <c r="P1060" s="5" t="e">
        <f t="shared" si="99"/>
        <v>#DIV/0!</v>
      </c>
      <c r="Q1060" s="4" t="e">
        <f t="shared" si="100"/>
        <v>#DIV/0!</v>
      </c>
      <c r="R1060" s="4" t="e">
        <f t="shared" si="101"/>
        <v>#DIV/0!</v>
      </c>
      <c r="S1060" s="4">
        <v>-83.29</v>
      </c>
      <c r="T1060" s="2">
        <v>0.8</v>
      </c>
      <c r="U1060" s="2">
        <v>20.170000000000002</v>
      </c>
      <c r="V1060" s="2" t="s">
        <v>12665</v>
      </c>
      <c r="W1060" s="2">
        <v>-5.0999999999999996</v>
      </c>
      <c r="X1060" s="2">
        <v>0.12</v>
      </c>
      <c r="Y1060" s="2">
        <v>1.94</v>
      </c>
      <c r="Z1060" s="2">
        <v>-1.03</v>
      </c>
    </row>
    <row r="1061" spans="1:26" x14ac:dyDescent="0.25">
      <c r="A1061" s="1" t="s">
        <v>4520</v>
      </c>
      <c r="B1061" s="1" t="s">
        <v>4521</v>
      </c>
      <c r="C1061" s="1" t="s">
        <v>16</v>
      </c>
      <c r="D1061" s="1" t="s">
        <v>38</v>
      </c>
      <c r="E1061" s="1" t="s">
        <v>39</v>
      </c>
      <c r="F1061" s="1" t="s">
        <v>4522</v>
      </c>
      <c r="G1061" s="1" t="s">
        <v>12480</v>
      </c>
      <c r="H1061" s="1" t="s">
        <v>4523</v>
      </c>
      <c r="I1061" s="2">
        <v>22.41</v>
      </c>
      <c r="J1061" s="2">
        <v>3.64</v>
      </c>
      <c r="K1061" s="2">
        <v>5.4</v>
      </c>
      <c r="L1061" s="2">
        <v>6.15</v>
      </c>
      <c r="M1061" s="4">
        <f t="shared" si="96"/>
        <v>4.1499999999999995</v>
      </c>
      <c r="N1061" s="4">
        <f t="shared" si="97"/>
        <v>3.6439024390243899</v>
      </c>
      <c r="O1061" s="5">
        <f t="shared" si="98"/>
        <v>0.48351648351648358</v>
      </c>
      <c r="P1061" s="5">
        <f t="shared" si="99"/>
        <v>0.13888888888888884</v>
      </c>
      <c r="Q1061" s="4">
        <f t="shared" si="100"/>
        <v>8.5829545454545436E-2</v>
      </c>
      <c r="R1061" s="4">
        <f t="shared" si="101"/>
        <v>0.26236097560975619</v>
      </c>
      <c r="S1061" s="4">
        <v>-0.23</v>
      </c>
      <c r="T1061" s="2">
        <v>1.59</v>
      </c>
      <c r="U1061" s="2">
        <v>42.74</v>
      </c>
      <c r="V1061" s="2">
        <v>22.41</v>
      </c>
      <c r="W1061" s="2">
        <v>-0.04</v>
      </c>
      <c r="X1061" s="2">
        <v>-19.59</v>
      </c>
      <c r="Y1061" s="2">
        <v>-35.549999999999997</v>
      </c>
      <c r="Z1061" s="2">
        <v>-27.36</v>
      </c>
    </row>
    <row r="1062" spans="1:26" x14ac:dyDescent="0.25">
      <c r="A1062" s="1" t="s">
        <v>4525</v>
      </c>
      <c r="B1062" s="1" t="s">
        <v>4526</v>
      </c>
      <c r="C1062" s="1" t="s">
        <v>31</v>
      </c>
      <c r="D1062" s="1" t="s">
        <v>46</v>
      </c>
      <c r="E1062" s="1" t="s">
        <v>1142</v>
      </c>
      <c r="F1062" s="1" t="s">
        <v>4527</v>
      </c>
      <c r="G1062" s="1" t="s">
        <v>12490</v>
      </c>
      <c r="H1062" s="1" t="s">
        <v>4528</v>
      </c>
      <c r="I1062" s="2">
        <v>2.46</v>
      </c>
      <c r="J1062" s="2">
        <v>0.24</v>
      </c>
      <c r="K1062" s="2"/>
      <c r="L1062" s="2"/>
      <c r="M1062" s="4" t="e">
        <f t="shared" si="96"/>
        <v>#DIV/0!</v>
      </c>
      <c r="N1062" s="4" t="e">
        <f t="shared" si="97"/>
        <v>#DIV/0!</v>
      </c>
      <c r="O1062" s="5">
        <f t="shared" si="98"/>
        <v>-1</v>
      </c>
      <c r="P1062" s="5" t="e">
        <f t="shared" si="99"/>
        <v>#DIV/0!</v>
      </c>
      <c r="Q1062" s="4" t="e">
        <f t="shared" si="100"/>
        <v>#DIV/0!</v>
      </c>
      <c r="R1062" s="4" t="e">
        <f t="shared" si="101"/>
        <v>#DIV/0!</v>
      </c>
      <c r="S1062" s="4">
        <v>9.0500000000000007</v>
      </c>
      <c r="T1062" s="2">
        <v>0.39</v>
      </c>
      <c r="U1062" s="2">
        <v>3.25</v>
      </c>
      <c r="V1062" s="2">
        <v>1.6</v>
      </c>
      <c r="W1062" s="2" t="s">
        <v>12489</v>
      </c>
      <c r="X1062" s="2" t="s">
        <v>12489</v>
      </c>
      <c r="Y1062" s="2">
        <v>-1.6</v>
      </c>
      <c r="Z1062" s="2" t="s">
        <v>12489</v>
      </c>
    </row>
    <row r="1063" spans="1:26" x14ac:dyDescent="0.25">
      <c r="A1063" s="1" t="s">
        <v>4529</v>
      </c>
      <c r="B1063" s="1" t="s">
        <v>4530</v>
      </c>
      <c r="C1063" s="1" t="s">
        <v>45</v>
      </c>
      <c r="D1063" s="1" t="s">
        <v>38</v>
      </c>
      <c r="E1063" s="1" t="s">
        <v>1909</v>
      </c>
      <c r="F1063" s="1" t="s">
        <v>4531</v>
      </c>
      <c r="G1063" s="1" t="s">
        <v>12480</v>
      </c>
      <c r="H1063" s="1" t="s">
        <v>4532</v>
      </c>
      <c r="I1063" s="2">
        <v>24.41</v>
      </c>
      <c r="J1063" s="2">
        <v>2.2000000000000002</v>
      </c>
      <c r="K1063" s="2">
        <v>2.2200000000000002</v>
      </c>
      <c r="L1063" s="2">
        <v>2.38</v>
      </c>
      <c r="M1063" s="4">
        <f t="shared" si="96"/>
        <v>10.995495495495495</v>
      </c>
      <c r="N1063" s="4">
        <f t="shared" si="97"/>
        <v>10.256302521008404</v>
      </c>
      <c r="O1063" s="5">
        <f t="shared" si="98"/>
        <v>9.0909090909090384E-3</v>
      </c>
      <c r="P1063" s="5">
        <f t="shared" si="99"/>
        <v>7.2072072072072002E-2</v>
      </c>
      <c r="Q1063" s="4">
        <f t="shared" si="100"/>
        <v>12.095045045045115</v>
      </c>
      <c r="R1063" s="4">
        <f t="shared" si="101"/>
        <v>1.4230619747899174</v>
      </c>
      <c r="S1063" s="4">
        <v>0.21</v>
      </c>
      <c r="T1063" s="2">
        <v>0.71</v>
      </c>
      <c r="U1063" s="2">
        <v>27.93</v>
      </c>
      <c r="V1063" s="2">
        <v>21.14</v>
      </c>
      <c r="W1063" s="2">
        <v>-2.87</v>
      </c>
      <c r="X1063" s="2">
        <v>-10.26</v>
      </c>
      <c r="Y1063" s="2">
        <v>-6.33</v>
      </c>
      <c r="Z1063" s="2">
        <v>-3.52</v>
      </c>
    </row>
    <row r="1064" spans="1:26" x14ac:dyDescent="0.25">
      <c r="A1064" s="1" t="s">
        <v>4533</v>
      </c>
      <c r="B1064" s="1" t="s">
        <v>4534</v>
      </c>
      <c r="C1064" s="1" t="s">
        <v>16</v>
      </c>
      <c r="D1064" s="1" t="s">
        <v>38</v>
      </c>
      <c r="E1064" s="1" t="s">
        <v>101</v>
      </c>
      <c r="F1064" s="1" t="s">
        <v>4535</v>
      </c>
      <c r="G1064" s="1" t="s">
        <v>12480</v>
      </c>
      <c r="H1064" s="1" t="s">
        <v>4536</v>
      </c>
      <c r="I1064" s="2">
        <v>55.34</v>
      </c>
      <c r="J1064" s="2">
        <v>4.9800000000000004</v>
      </c>
      <c r="K1064" s="2">
        <v>5.07</v>
      </c>
      <c r="L1064" s="2">
        <v>5.63</v>
      </c>
      <c r="M1064" s="4">
        <f t="shared" si="96"/>
        <v>10.915187376725838</v>
      </c>
      <c r="N1064" s="4">
        <f t="shared" si="97"/>
        <v>9.8294849023090602</v>
      </c>
      <c r="O1064" s="5">
        <f t="shared" si="98"/>
        <v>1.8072289156626509E-2</v>
      </c>
      <c r="P1064" s="5">
        <f t="shared" si="99"/>
        <v>0.11045364891518727</v>
      </c>
      <c r="Q1064" s="4">
        <f t="shared" si="100"/>
        <v>6.039737015121629</v>
      </c>
      <c r="R1064" s="4">
        <f t="shared" si="101"/>
        <v>0.88991943669119622</v>
      </c>
      <c r="S1064" s="4">
        <v>10.33</v>
      </c>
      <c r="T1064" s="2">
        <v>0.73</v>
      </c>
      <c r="U1064" s="2">
        <v>57.2</v>
      </c>
      <c r="V1064" s="2">
        <v>35.85</v>
      </c>
      <c r="W1064" s="2">
        <v>-2.86</v>
      </c>
      <c r="X1064" s="2">
        <v>3.77</v>
      </c>
      <c r="Y1064" s="2">
        <v>6.61</v>
      </c>
      <c r="Z1064" s="2">
        <v>6.28</v>
      </c>
    </row>
    <row r="1065" spans="1:26" x14ac:dyDescent="0.25">
      <c r="A1065" s="1" t="s">
        <v>4537</v>
      </c>
      <c r="B1065" s="1" t="s">
        <v>4538</v>
      </c>
      <c r="C1065" s="1" t="s">
        <v>16</v>
      </c>
      <c r="D1065" s="1" t="s">
        <v>38</v>
      </c>
      <c r="E1065" s="1" t="s">
        <v>1440</v>
      </c>
      <c r="F1065" s="1" t="s">
        <v>4539</v>
      </c>
      <c r="G1065" s="1" t="s">
        <v>12480</v>
      </c>
      <c r="H1065" s="1" t="s">
        <v>4540</v>
      </c>
      <c r="I1065" s="2">
        <v>22.83</v>
      </c>
      <c r="J1065" s="2">
        <v>1.89</v>
      </c>
      <c r="K1065" s="2">
        <v>2.13</v>
      </c>
      <c r="L1065" s="2">
        <v>2.33</v>
      </c>
      <c r="M1065" s="4">
        <f t="shared" si="96"/>
        <v>10.71830985915493</v>
      </c>
      <c r="N1065" s="4">
        <f t="shared" si="97"/>
        <v>9.7982832618025739</v>
      </c>
      <c r="O1065" s="5">
        <f t="shared" si="98"/>
        <v>0.12698412698412698</v>
      </c>
      <c r="P1065" s="5">
        <f t="shared" si="99"/>
        <v>9.3896713615023497E-2</v>
      </c>
      <c r="Q1065" s="4">
        <f t="shared" si="100"/>
        <v>0.84406690140845075</v>
      </c>
      <c r="R1065" s="4">
        <f t="shared" si="101"/>
        <v>1.0435171673819739</v>
      </c>
      <c r="S1065" s="4">
        <v>-0.68</v>
      </c>
      <c r="T1065" s="2">
        <v>0.61</v>
      </c>
      <c r="U1065" s="2">
        <v>26.23</v>
      </c>
      <c r="V1065" s="2">
        <v>16.21</v>
      </c>
      <c r="W1065" s="2">
        <v>-5.51</v>
      </c>
      <c r="X1065" s="2">
        <v>-12.29</v>
      </c>
      <c r="Y1065" s="2">
        <v>-3.79</v>
      </c>
      <c r="Z1065" s="2">
        <v>-4.4800000000000004</v>
      </c>
    </row>
    <row r="1066" spans="1:26" x14ac:dyDescent="0.25">
      <c r="A1066" s="1" t="s">
        <v>4541</v>
      </c>
      <c r="B1066" s="1" t="s">
        <v>4542</v>
      </c>
      <c r="C1066" s="1" t="s">
        <v>45</v>
      </c>
      <c r="D1066" s="1" t="s">
        <v>38</v>
      </c>
      <c r="E1066" s="1" t="s">
        <v>1093</v>
      </c>
      <c r="F1066" s="1" t="s">
        <v>4543</v>
      </c>
      <c r="G1066" s="1" t="s">
        <v>12480</v>
      </c>
      <c r="H1066" s="1" t="s">
        <v>4544</v>
      </c>
      <c r="I1066" s="2">
        <v>34.020000000000003</v>
      </c>
      <c r="J1066" s="2">
        <v>2.94</v>
      </c>
      <c r="K1066" s="2">
        <v>2.71</v>
      </c>
      <c r="L1066" s="2">
        <v>2.98</v>
      </c>
      <c r="M1066" s="4">
        <f t="shared" si="96"/>
        <v>12.553505535055352</v>
      </c>
      <c r="N1066" s="4">
        <f t="shared" si="97"/>
        <v>11.416107382550337</v>
      </c>
      <c r="O1066" s="5">
        <f t="shared" si="98"/>
        <v>-7.8231292517006779E-2</v>
      </c>
      <c r="P1066" s="5">
        <f t="shared" si="99"/>
        <v>9.9630996309963082E-2</v>
      </c>
      <c r="Q1066" s="4">
        <f t="shared" si="100"/>
        <v>-1.604665490133163</v>
      </c>
      <c r="R1066" s="4">
        <f t="shared" si="101"/>
        <v>1.145838926174497</v>
      </c>
      <c r="S1066" s="4">
        <v>-4.67</v>
      </c>
      <c r="T1066" s="2">
        <v>0.77</v>
      </c>
      <c r="U1066" s="2" t="s">
        <v>12516</v>
      </c>
      <c r="V1066" s="2">
        <v>23.86</v>
      </c>
      <c r="W1066" s="2">
        <v>-3.3</v>
      </c>
      <c r="X1066" s="2">
        <v>-12.77</v>
      </c>
      <c r="Y1066" s="2">
        <v>-4.55</v>
      </c>
      <c r="Z1066" s="2">
        <v>-1.68</v>
      </c>
    </row>
    <row r="1067" spans="1:26" x14ac:dyDescent="0.25">
      <c r="A1067" s="1" t="s">
        <v>4545</v>
      </c>
      <c r="B1067" s="1" t="s">
        <v>4546</v>
      </c>
      <c r="C1067" s="1" t="s">
        <v>16</v>
      </c>
      <c r="D1067" s="1" t="s">
        <v>32</v>
      </c>
      <c r="E1067" s="1" t="s">
        <v>248</v>
      </c>
      <c r="F1067" s="1" t="s">
        <v>4547</v>
      </c>
      <c r="G1067" s="1" t="s">
        <v>12485</v>
      </c>
      <c r="H1067" s="1" t="s">
        <v>3191</v>
      </c>
      <c r="I1067" s="2">
        <v>1441.2</v>
      </c>
      <c r="J1067" s="2">
        <v>29.88</v>
      </c>
      <c r="K1067" s="2">
        <v>41.93</v>
      </c>
      <c r="L1067" s="2">
        <v>52.89</v>
      </c>
      <c r="M1067" s="4">
        <f t="shared" si="96"/>
        <v>34.371571667064153</v>
      </c>
      <c r="N1067" s="4">
        <f t="shared" si="97"/>
        <v>27.249007373794669</v>
      </c>
      <c r="O1067" s="5">
        <f t="shared" si="98"/>
        <v>0.40327978580990642</v>
      </c>
      <c r="P1067" s="5">
        <f t="shared" si="99"/>
        <v>0.26138802766515634</v>
      </c>
      <c r="Q1067" s="4">
        <f t="shared" si="100"/>
        <v>0.85230088083973155</v>
      </c>
      <c r="R1067" s="4">
        <f t="shared" si="101"/>
        <v>1.0424734299116878</v>
      </c>
      <c r="S1067" s="4">
        <v>15.91</v>
      </c>
      <c r="T1067" s="2">
        <v>1.28</v>
      </c>
      <c r="U1067" s="2">
        <v>2206.0100000000002</v>
      </c>
      <c r="V1067" s="2">
        <v>1227.6300000000001</v>
      </c>
      <c r="W1067" s="2">
        <v>2.39</v>
      </c>
      <c r="X1067" s="2">
        <v>4.99</v>
      </c>
      <c r="Y1067" s="2">
        <v>-20.28</v>
      </c>
      <c r="Z1067" s="2">
        <v>-14.75</v>
      </c>
    </row>
    <row r="1068" spans="1:26" x14ac:dyDescent="0.25">
      <c r="A1068" s="1" t="s">
        <v>4548</v>
      </c>
      <c r="B1068" s="1" t="s">
        <v>4549</v>
      </c>
      <c r="C1068" s="1" t="s">
        <v>16</v>
      </c>
      <c r="D1068" s="1" t="s">
        <v>32</v>
      </c>
      <c r="E1068" s="1" t="s">
        <v>311</v>
      </c>
      <c r="F1068" s="1" t="s">
        <v>4550</v>
      </c>
      <c r="G1068" s="1" t="s">
        <v>12480</v>
      </c>
      <c r="H1068" s="1" t="s">
        <v>4551</v>
      </c>
      <c r="I1068" s="2">
        <v>30.48</v>
      </c>
      <c r="J1068" s="2">
        <v>0.3</v>
      </c>
      <c r="K1068" s="2">
        <v>0.23</v>
      </c>
      <c r="L1068" s="2">
        <v>0.28000000000000003</v>
      </c>
      <c r="M1068" s="4">
        <f t="shared" si="96"/>
        <v>132.52173913043478</v>
      </c>
      <c r="N1068" s="4">
        <f t="shared" si="97"/>
        <v>108.85714285714285</v>
      </c>
      <c r="O1068" s="5">
        <f t="shared" si="98"/>
        <v>-0.23333333333333328</v>
      </c>
      <c r="P1068" s="5">
        <f t="shared" si="99"/>
        <v>0.21739130434782616</v>
      </c>
      <c r="Q1068" s="4">
        <f t="shared" si="100"/>
        <v>-5.6795031055900633</v>
      </c>
      <c r="R1068" s="4">
        <f t="shared" si="101"/>
        <v>5.0074285714285693</v>
      </c>
      <c r="S1068" s="4">
        <v>40.96</v>
      </c>
      <c r="T1068" s="2"/>
      <c r="U1068" s="2" t="s">
        <v>12666</v>
      </c>
      <c r="V1068" s="2">
        <v>21.39</v>
      </c>
      <c r="W1068" s="2">
        <v>4.0599999999999996</v>
      </c>
      <c r="X1068" s="2">
        <v>37.729999999999997</v>
      </c>
      <c r="Y1068" s="2">
        <v>-13.11</v>
      </c>
      <c r="Z1068" s="2">
        <v>-18.440000000000001</v>
      </c>
    </row>
    <row r="1069" spans="1:26" x14ac:dyDescent="0.25">
      <c r="A1069" s="1" t="s">
        <v>4552</v>
      </c>
      <c r="B1069" s="1" t="s">
        <v>4553</v>
      </c>
      <c r="C1069" s="1" t="s">
        <v>45</v>
      </c>
      <c r="D1069" s="1" t="s">
        <v>140</v>
      </c>
      <c r="E1069" s="1" t="s">
        <v>284</v>
      </c>
      <c r="F1069" s="1" t="s">
        <v>4554</v>
      </c>
      <c r="G1069" s="1" t="s">
        <v>12480</v>
      </c>
      <c r="H1069" s="1" t="s">
        <v>4555</v>
      </c>
      <c r="I1069" s="2">
        <v>32.64</v>
      </c>
      <c r="J1069" s="2">
        <v>0.44</v>
      </c>
      <c r="K1069" s="2">
        <v>0.86</v>
      </c>
      <c r="L1069" s="2">
        <v>1.1100000000000001</v>
      </c>
      <c r="M1069" s="4">
        <f t="shared" si="96"/>
        <v>37.953488372093027</v>
      </c>
      <c r="N1069" s="4">
        <f t="shared" si="97"/>
        <v>29.405405405405403</v>
      </c>
      <c r="O1069" s="5">
        <f t="shared" si="98"/>
        <v>0.95454545454545459</v>
      </c>
      <c r="P1069" s="5">
        <f t="shared" si="99"/>
        <v>0.29069767441860472</v>
      </c>
      <c r="Q1069" s="4">
        <f t="shared" si="100"/>
        <v>0.39760797342192694</v>
      </c>
      <c r="R1069" s="4">
        <f t="shared" si="101"/>
        <v>1.0115459459459457</v>
      </c>
      <c r="S1069" s="4"/>
      <c r="T1069" s="2"/>
      <c r="U1069" s="2">
        <v>73.91</v>
      </c>
      <c r="V1069" s="2">
        <v>25.28</v>
      </c>
      <c r="W1069" s="2">
        <v>9.82</v>
      </c>
      <c r="X1069" s="2">
        <v>-19.329999999999998</v>
      </c>
      <c r="Y1069" s="2">
        <v>-14.29</v>
      </c>
      <c r="Z1069" s="2">
        <v>-20.079999999999998</v>
      </c>
    </row>
    <row r="1070" spans="1:26" x14ac:dyDescent="0.25">
      <c r="A1070" s="1" t="s">
        <v>4556</v>
      </c>
      <c r="B1070" s="1" t="s">
        <v>4556</v>
      </c>
      <c r="C1070" s="1" t="s">
        <v>16</v>
      </c>
      <c r="D1070" s="1" t="s">
        <v>67</v>
      </c>
      <c r="E1070" s="1" t="s">
        <v>381</v>
      </c>
      <c r="F1070" s="1" t="s">
        <v>4557</v>
      </c>
      <c r="G1070" s="1" t="s">
        <v>12480</v>
      </c>
      <c r="H1070" s="1" t="s">
        <v>4558</v>
      </c>
      <c r="I1070" s="2">
        <v>15.47</v>
      </c>
      <c r="J1070" s="2">
        <v>0.19</v>
      </c>
      <c r="K1070" s="2">
        <v>0.19</v>
      </c>
      <c r="L1070" s="2">
        <v>0.28999999999999998</v>
      </c>
      <c r="M1070" s="4">
        <f t="shared" si="96"/>
        <v>81.421052631578945</v>
      </c>
      <c r="N1070" s="4">
        <f t="shared" si="97"/>
        <v>53.344827586206904</v>
      </c>
      <c r="O1070" s="5">
        <f t="shared" si="98"/>
        <v>0</v>
      </c>
      <c r="P1070" s="5">
        <f t="shared" si="99"/>
        <v>0.52631578947368407</v>
      </c>
      <c r="Q1070" s="4" t="e">
        <f t="shared" si="100"/>
        <v>#DIV/0!</v>
      </c>
      <c r="R1070" s="4">
        <f t="shared" si="101"/>
        <v>1.0135517241379315</v>
      </c>
      <c r="S1070" s="4">
        <v>13.6</v>
      </c>
      <c r="T1070" s="2">
        <v>1.22</v>
      </c>
      <c r="U1070" s="2">
        <v>17.12</v>
      </c>
      <c r="V1070" s="2">
        <v>3.62</v>
      </c>
      <c r="W1070" s="2">
        <v>-9.64</v>
      </c>
      <c r="X1070" s="2">
        <v>44.04</v>
      </c>
      <c r="Y1070" s="2">
        <v>31.32</v>
      </c>
      <c r="Z1070" s="2">
        <v>36.18</v>
      </c>
    </row>
    <row r="1071" spans="1:26" x14ac:dyDescent="0.25">
      <c r="A1071" s="1" t="s">
        <v>4559</v>
      </c>
      <c r="B1071" s="1" t="s">
        <v>4560</v>
      </c>
      <c r="C1071" s="1" t="s">
        <v>16</v>
      </c>
      <c r="D1071" s="1" t="s">
        <v>38</v>
      </c>
      <c r="E1071" s="1" t="s">
        <v>254</v>
      </c>
      <c r="F1071" s="1" t="s">
        <v>4561</v>
      </c>
      <c r="G1071" s="1" t="s">
        <v>12480</v>
      </c>
      <c r="H1071" s="1" t="s">
        <v>4562</v>
      </c>
      <c r="I1071" s="2">
        <v>18.760000000000002</v>
      </c>
      <c r="J1071" s="2">
        <v>1.92</v>
      </c>
      <c r="K1071" s="2">
        <v>3.29</v>
      </c>
      <c r="L1071" s="2">
        <v>4.24</v>
      </c>
      <c r="M1071" s="4">
        <f t="shared" si="96"/>
        <v>5.7021276595744688</v>
      </c>
      <c r="N1071" s="4">
        <f t="shared" si="97"/>
        <v>4.4245283018867925</v>
      </c>
      <c r="O1071" s="5">
        <f t="shared" si="98"/>
        <v>0.71354166666666674</v>
      </c>
      <c r="P1071" s="5">
        <f t="shared" si="99"/>
        <v>0.28875379939209722</v>
      </c>
      <c r="Q1071" s="4">
        <f t="shared" si="100"/>
        <v>7.9913029973598393E-2</v>
      </c>
      <c r="R1071" s="4">
        <f t="shared" si="101"/>
        <v>0.15322840119165843</v>
      </c>
      <c r="S1071" s="4">
        <v>3.33</v>
      </c>
      <c r="T1071" s="2">
        <v>0.25</v>
      </c>
      <c r="U1071" s="2">
        <v>20.11</v>
      </c>
      <c r="V1071" s="2">
        <v>14.53</v>
      </c>
      <c r="W1071" s="2">
        <v>-4.09</v>
      </c>
      <c r="X1071" s="2">
        <v>-0.9</v>
      </c>
      <c r="Y1071" s="2">
        <v>-1.68</v>
      </c>
      <c r="Z1071" s="2">
        <v>-4.1399999999999997</v>
      </c>
    </row>
    <row r="1072" spans="1:26" x14ac:dyDescent="0.25">
      <c r="A1072" s="1" t="s">
        <v>4563</v>
      </c>
      <c r="B1072" s="1" t="s">
        <v>4564</v>
      </c>
      <c r="C1072" s="1" t="s">
        <v>31</v>
      </c>
      <c r="D1072" s="1" t="s">
        <v>25</v>
      </c>
      <c r="E1072" s="1" t="s">
        <v>743</v>
      </c>
      <c r="F1072" s="1" t="s">
        <v>4565</v>
      </c>
      <c r="G1072" s="1" t="s">
        <v>12480</v>
      </c>
      <c r="H1072" s="1" t="s">
        <v>4566</v>
      </c>
      <c r="I1072" s="2">
        <v>62.664999999999999</v>
      </c>
      <c r="J1072" s="2">
        <v>2.95</v>
      </c>
      <c r="K1072" s="2"/>
      <c r="L1072" s="2"/>
      <c r="M1072" s="4" t="e">
        <f t="shared" si="96"/>
        <v>#DIV/0!</v>
      </c>
      <c r="N1072" s="4" t="e">
        <f t="shared" si="97"/>
        <v>#DIV/0!</v>
      </c>
      <c r="O1072" s="5">
        <f t="shared" si="98"/>
        <v>-1</v>
      </c>
      <c r="P1072" s="5" t="e">
        <f t="shared" si="99"/>
        <v>#DIV/0!</v>
      </c>
      <c r="Q1072" s="4" t="e">
        <f t="shared" si="100"/>
        <v>#DIV/0!</v>
      </c>
      <c r="R1072" s="4" t="e">
        <f t="shared" si="101"/>
        <v>#DIV/0!</v>
      </c>
      <c r="S1072" s="4"/>
      <c r="T1072" s="2"/>
      <c r="U1072" s="2">
        <v>71.89</v>
      </c>
      <c r="V1072" s="2">
        <v>50.75</v>
      </c>
      <c r="W1072" s="2">
        <v>-12.83</v>
      </c>
      <c r="X1072" s="2">
        <v>-5.8</v>
      </c>
      <c r="Y1072" s="2">
        <v>14.55</v>
      </c>
      <c r="Z1072" s="2">
        <v>14.75</v>
      </c>
    </row>
    <row r="1073" spans="1:26" x14ac:dyDescent="0.25">
      <c r="A1073" s="1" t="s">
        <v>4567</v>
      </c>
      <c r="B1073" s="1" t="s">
        <v>4568</v>
      </c>
      <c r="C1073" s="1" t="s">
        <v>31</v>
      </c>
      <c r="D1073" s="1" t="s">
        <v>204</v>
      </c>
      <c r="E1073" s="1" t="s">
        <v>205</v>
      </c>
      <c r="F1073" s="1" t="s">
        <v>4569</v>
      </c>
      <c r="G1073" s="1" t="s">
        <v>12480</v>
      </c>
      <c r="H1073" s="1" t="s">
        <v>4570</v>
      </c>
      <c r="I1073" s="2">
        <v>36.450000000000003</v>
      </c>
      <c r="J1073" s="2">
        <v>1.01</v>
      </c>
      <c r="K1073" s="2"/>
      <c r="L1073" s="2"/>
      <c r="M1073" s="4" t="e">
        <f t="shared" si="96"/>
        <v>#DIV/0!</v>
      </c>
      <c r="N1073" s="4" t="e">
        <f t="shared" si="97"/>
        <v>#DIV/0!</v>
      </c>
      <c r="O1073" s="5">
        <f t="shared" si="98"/>
        <v>-1</v>
      </c>
      <c r="P1073" s="5" t="e">
        <f t="shared" si="99"/>
        <v>#DIV/0!</v>
      </c>
      <c r="Q1073" s="4" t="e">
        <f t="shared" si="100"/>
        <v>#DIV/0!</v>
      </c>
      <c r="R1073" s="4" t="e">
        <f t="shared" si="101"/>
        <v>#DIV/0!</v>
      </c>
      <c r="S1073" s="4">
        <v>16.170000000000002</v>
      </c>
      <c r="T1073" s="2">
        <v>0.38</v>
      </c>
      <c r="U1073" s="2">
        <v>36.450000000000003</v>
      </c>
      <c r="V1073" s="2">
        <v>21.47</v>
      </c>
      <c r="W1073" s="2">
        <v>7.78</v>
      </c>
      <c r="X1073" s="2">
        <v>12.15</v>
      </c>
      <c r="Y1073" s="2">
        <v>30.41</v>
      </c>
      <c r="Z1073" s="2">
        <v>27.49</v>
      </c>
    </row>
    <row r="1074" spans="1:26" x14ac:dyDescent="0.25">
      <c r="A1074" s="1" t="s">
        <v>4571</v>
      </c>
      <c r="B1074" s="1" t="s">
        <v>4572</v>
      </c>
      <c r="C1074" s="1" t="s">
        <v>31</v>
      </c>
      <c r="D1074" s="1" t="s">
        <v>38</v>
      </c>
      <c r="E1074" s="1" t="s">
        <v>1909</v>
      </c>
      <c r="F1074" s="1" t="s">
        <v>4573</v>
      </c>
      <c r="G1074" s="1" t="s">
        <v>12480</v>
      </c>
      <c r="H1074" s="1" t="s">
        <v>460</v>
      </c>
      <c r="I1074" s="2">
        <v>16810.800800000001</v>
      </c>
      <c r="J1074" s="2" t="s">
        <v>12670</v>
      </c>
      <c r="K1074" s="2"/>
      <c r="L1074" s="2"/>
      <c r="M1074" s="4" t="e">
        <f t="shared" si="96"/>
        <v>#DIV/0!</v>
      </c>
      <c r="N1074" s="4" t="e">
        <f t="shared" si="97"/>
        <v>#DIV/0!</v>
      </c>
      <c r="O1074" s="5">
        <f t="shared" si="98"/>
        <v>-1</v>
      </c>
      <c r="P1074" s="5" t="e">
        <f t="shared" si="99"/>
        <v>#DIV/0!</v>
      </c>
      <c r="Q1074" s="4" t="e">
        <f t="shared" si="100"/>
        <v>#DIV/0!</v>
      </c>
      <c r="R1074" s="4" t="e">
        <f t="shared" si="101"/>
        <v>#DIV/0!</v>
      </c>
      <c r="S1074" s="4">
        <v>16.440000000000001</v>
      </c>
      <c r="T1074" s="2">
        <v>0.13</v>
      </c>
      <c r="U1074" s="2" t="s">
        <v>12668</v>
      </c>
      <c r="V1074" s="2" t="s">
        <v>12669</v>
      </c>
      <c r="W1074" s="2">
        <v>-0.53</v>
      </c>
      <c r="X1074" s="2">
        <v>3.13</v>
      </c>
      <c r="Y1074" s="2">
        <v>15.94</v>
      </c>
      <c r="Z1074" s="2">
        <v>8.4600000000000009</v>
      </c>
    </row>
    <row r="1075" spans="1:26" x14ac:dyDescent="0.25">
      <c r="A1075" s="1" t="s">
        <v>4574</v>
      </c>
      <c r="B1075" s="1" t="s">
        <v>4575</v>
      </c>
      <c r="C1075" s="1" t="s">
        <v>16</v>
      </c>
      <c r="D1075" s="1" t="s">
        <v>38</v>
      </c>
      <c r="E1075" s="1" t="s">
        <v>52</v>
      </c>
      <c r="F1075" s="1" t="s">
        <v>4576</v>
      </c>
      <c r="G1075" s="1" t="s">
        <v>12480</v>
      </c>
      <c r="H1075" s="1" t="s">
        <v>1143</v>
      </c>
      <c r="I1075" s="2">
        <v>5.35</v>
      </c>
      <c r="J1075" s="2">
        <v>1.31</v>
      </c>
      <c r="K1075" s="2"/>
      <c r="L1075" s="2"/>
      <c r="M1075" s="4" t="e">
        <f t="shared" si="96"/>
        <v>#DIV/0!</v>
      </c>
      <c r="N1075" s="4" t="e">
        <f t="shared" si="97"/>
        <v>#DIV/0!</v>
      </c>
      <c r="O1075" s="5">
        <f t="shared" si="98"/>
        <v>-1</v>
      </c>
      <c r="P1075" s="5" t="e">
        <f t="shared" si="99"/>
        <v>#DIV/0!</v>
      </c>
      <c r="Q1075" s="4" t="e">
        <f t="shared" si="100"/>
        <v>#DIV/0!</v>
      </c>
      <c r="R1075" s="4" t="e">
        <f t="shared" si="101"/>
        <v>#DIV/0!</v>
      </c>
      <c r="S1075" s="4">
        <v>1.29</v>
      </c>
      <c r="T1075" s="2">
        <v>0.3</v>
      </c>
      <c r="U1075" s="2">
        <v>10.72</v>
      </c>
      <c r="V1075" s="2">
        <v>4.74</v>
      </c>
      <c r="W1075" s="2">
        <v>-6.63</v>
      </c>
      <c r="X1075" s="2">
        <v>-3.6</v>
      </c>
      <c r="Y1075" s="2">
        <v>3.48</v>
      </c>
      <c r="Z1075" s="2">
        <v>2.29</v>
      </c>
    </row>
    <row r="1076" spans="1:26" x14ac:dyDescent="0.25">
      <c r="A1076" s="1" t="s">
        <v>4577</v>
      </c>
      <c r="B1076" s="1" t="s">
        <v>4578</v>
      </c>
      <c r="C1076" s="1" t="s">
        <v>16</v>
      </c>
      <c r="D1076" s="1" t="s">
        <v>140</v>
      </c>
      <c r="E1076" s="1" t="s">
        <v>1555</v>
      </c>
      <c r="F1076" s="1" t="s">
        <v>4579</v>
      </c>
      <c r="G1076" s="1" t="s">
        <v>12480</v>
      </c>
      <c r="H1076" s="1" t="s">
        <v>4580</v>
      </c>
      <c r="I1076" s="2">
        <v>51.62</v>
      </c>
      <c r="J1076" s="2">
        <v>5.75</v>
      </c>
      <c r="K1076" s="2">
        <v>6.27</v>
      </c>
      <c r="L1076" s="2">
        <v>6.96</v>
      </c>
      <c r="M1076" s="4">
        <f t="shared" si="96"/>
        <v>8.2328548644338113</v>
      </c>
      <c r="N1076" s="4">
        <f t="shared" si="97"/>
        <v>7.4166666666666661</v>
      </c>
      <c r="O1076" s="5">
        <f t="shared" si="98"/>
        <v>9.043478260869553E-2</v>
      </c>
      <c r="P1076" s="5">
        <f t="shared" si="99"/>
        <v>0.11004784688995217</v>
      </c>
      <c r="Q1076" s="4">
        <f t="shared" si="100"/>
        <v>0.91036375904797084</v>
      </c>
      <c r="R1076" s="4">
        <f t="shared" si="101"/>
        <v>0.67394927536231863</v>
      </c>
      <c r="S1076" s="4">
        <v>5.43</v>
      </c>
      <c r="T1076" s="2">
        <v>0.9</v>
      </c>
      <c r="U1076" s="2">
        <v>82.35</v>
      </c>
      <c r="V1076" s="2">
        <v>46.8</v>
      </c>
      <c r="W1076" s="2">
        <v>3.24</v>
      </c>
      <c r="X1076" s="2">
        <v>2.04</v>
      </c>
      <c r="Y1076" s="2">
        <v>-22.5</v>
      </c>
      <c r="Z1076" s="2">
        <v>-22.33</v>
      </c>
    </row>
    <row r="1077" spans="1:26" x14ac:dyDescent="0.25">
      <c r="A1077" s="1" t="s">
        <v>4581</v>
      </c>
      <c r="B1077" s="1" t="s">
        <v>4582</v>
      </c>
      <c r="C1077" s="1" t="s">
        <v>45</v>
      </c>
      <c r="D1077" s="1" t="s">
        <v>140</v>
      </c>
      <c r="E1077" s="1" t="s">
        <v>1555</v>
      </c>
      <c r="F1077" s="1" t="s">
        <v>4583</v>
      </c>
      <c r="G1077" s="1" t="s">
        <v>12480</v>
      </c>
      <c r="H1077" s="1" t="s">
        <v>4584</v>
      </c>
      <c r="I1077" s="2">
        <v>61.29</v>
      </c>
      <c r="J1077" s="2">
        <v>8.64</v>
      </c>
      <c r="K1077" s="2">
        <v>8.14</v>
      </c>
      <c r="L1077" s="2">
        <v>9.08</v>
      </c>
      <c r="M1077" s="4">
        <f t="shared" si="96"/>
        <v>7.5294840294840286</v>
      </c>
      <c r="N1077" s="4">
        <f t="shared" si="97"/>
        <v>6.75</v>
      </c>
      <c r="O1077" s="5">
        <f t="shared" si="98"/>
        <v>-5.787037037037035E-2</v>
      </c>
      <c r="P1077" s="5">
        <f t="shared" si="99"/>
        <v>0.11547911547911549</v>
      </c>
      <c r="Q1077" s="4">
        <f t="shared" si="100"/>
        <v>-1.3010948402948408</v>
      </c>
      <c r="R1077" s="4">
        <f t="shared" si="101"/>
        <v>0.5845212765957446</v>
      </c>
      <c r="S1077" s="4">
        <v>3.6</v>
      </c>
      <c r="T1077" s="2">
        <v>0.77</v>
      </c>
      <c r="U1077" s="2">
        <v>226.15</v>
      </c>
      <c r="V1077" s="2">
        <v>58.12</v>
      </c>
      <c r="W1077" s="2">
        <v>-0.91</v>
      </c>
      <c r="X1077" s="2">
        <v>1.91</v>
      </c>
      <c r="Y1077" s="2">
        <v>-11.14</v>
      </c>
      <c r="Z1077" s="2">
        <v>-8.75</v>
      </c>
    </row>
    <row r="1078" spans="1:26" x14ac:dyDescent="0.25">
      <c r="A1078" s="1" t="s">
        <v>4586</v>
      </c>
      <c r="B1078" s="1" t="s">
        <v>4587</v>
      </c>
      <c r="C1078" s="1" t="s">
        <v>45</v>
      </c>
      <c r="D1078" s="1" t="s">
        <v>38</v>
      </c>
      <c r="E1078" s="1" t="s">
        <v>1739</v>
      </c>
      <c r="F1078" s="1" t="s">
        <v>4588</v>
      </c>
      <c r="G1078" s="1" t="s">
        <v>12480</v>
      </c>
      <c r="H1078" s="1" t="s">
        <v>4589</v>
      </c>
      <c r="I1078" s="2">
        <v>46.98</v>
      </c>
      <c r="J1078" s="2">
        <v>3.63</v>
      </c>
      <c r="K1078" s="2">
        <v>4.01</v>
      </c>
      <c r="L1078" s="2">
        <v>4.8499999999999996</v>
      </c>
      <c r="M1078" s="4">
        <f t="shared" si="96"/>
        <v>11.71571072319202</v>
      </c>
      <c r="N1078" s="4">
        <f t="shared" si="97"/>
        <v>9.6865979381443292</v>
      </c>
      <c r="O1078" s="5">
        <f t="shared" si="98"/>
        <v>0.10468319559228645</v>
      </c>
      <c r="P1078" s="5">
        <f t="shared" si="99"/>
        <v>0.20947630922693272</v>
      </c>
      <c r="Q1078" s="4">
        <f t="shared" si="100"/>
        <v>1.1191586822417645</v>
      </c>
      <c r="R1078" s="4">
        <f t="shared" si="101"/>
        <v>0.46241973490427085</v>
      </c>
      <c r="S1078" s="4">
        <v>-2.54</v>
      </c>
      <c r="T1078" s="2">
        <v>0.96</v>
      </c>
      <c r="U1078" s="2">
        <v>55.08</v>
      </c>
      <c r="V1078" s="2">
        <v>33.32</v>
      </c>
      <c r="W1078" s="2">
        <v>-5.74</v>
      </c>
      <c r="X1078" s="2">
        <v>-13.53</v>
      </c>
      <c r="Y1078" s="2">
        <v>-1.78</v>
      </c>
      <c r="Z1078" s="2">
        <v>0.36</v>
      </c>
    </row>
    <row r="1079" spans="1:26" x14ac:dyDescent="0.25">
      <c r="A1079" s="1" t="s">
        <v>4590</v>
      </c>
      <c r="B1079" s="1" t="s">
        <v>4591</v>
      </c>
      <c r="C1079" s="1" t="s">
        <v>45</v>
      </c>
      <c r="D1079" s="1" t="s">
        <v>67</v>
      </c>
      <c r="E1079" s="1" t="s">
        <v>882</v>
      </c>
      <c r="F1079" s="1" t="s">
        <v>4592</v>
      </c>
      <c r="G1079" s="1" t="s">
        <v>12493</v>
      </c>
      <c r="H1079" s="1" t="s">
        <v>4593</v>
      </c>
      <c r="I1079" s="2">
        <v>219.82</v>
      </c>
      <c r="J1079" s="2">
        <v>5.04</v>
      </c>
      <c r="K1079" s="2">
        <v>6.94</v>
      </c>
      <c r="L1079" s="2">
        <v>7.66</v>
      </c>
      <c r="M1079" s="4">
        <f t="shared" si="96"/>
        <v>31.674351585014406</v>
      </c>
      <c r="N1079" s="4">
        <f t="shared" si="97"/>
        <v>28.697127937336813</v>
      </c>
      <c r="O1079" s="5">
        <f t="shared" si="98"/>
        <v>0.37698412698412698</v>
      </c>
      <c r="P1079" s="5">
        <f t="shared" si="99"/>
        <v>0.10374639769452454</v>
      </c>
      <c r="Q1079" s="4">
        <f t="shared" si="100"/>
        <v>0.84020385257090857</v>
      </c>
      <c r="R1079" s="4">
        <f t="shared" si="101"/>
        <v>2.7660842761821862</v>
      </c>
      <c r="S1079" s="4">
        <v>8.91</v>
      </c>
      <c r="T1079" s="2">
        <v>1.1000000000000001</v>
      </c>
      <c r="U1079" s="2">
        <v>225.12</v>
      </c>
      <c r="V1079" s="2">
        <v>55.75</v>
      </c>
      <c r="W1079" s="2">
        <v>-1.64</v>
      </c>
      <c r="X1079" s="2">
        <v>4.96</v>
      </c>
      <c r="Y1079" s="2">
        <v>21.01</v>
      </c>
      <c r="Z1079" s="2">
        <v>16.7</v>
      </c>
    </row>
    <row r="1080" spans="1:26" x14ac:dyDescent="0.25">
      <c r="A1080" s="1" t="s">
        <v>4594</v>
      </c>
      <c r="B1080" s="1" t="s">
        <v>4595</v>
      </c>
      <c r="C1080" s="1" t="s">
        <v>45</v>
      </c>
      <c r="D1080" s="1" t="s">
        <v>32</v>
      </c>
      <c r="E1080" s="1" t="s">
        <v>311</v>
      </c>
      <c r="F1080" s="1" t="s">
        <v>4596</v>
      </c>
      <c r="G1080" s="1" t="s">
        <v>12480</v>
      </c>
      <c r="H1080" s="1" t="s">
        <v>4597</v>
      </c>
      <c r="I1080" s="2">
        <v>18.04</v>
      </c>
      <c r="J1080" s="2">
        <v>2.96</v>
      </c>
      <c r="K1080" s="2">
        <v>3.18</v>
      </c>
      <c r="L1080" s="2">
        <v>3.53</v>
      </c>
      <c r="M1080" s="4">
        <f t="shared" si="96"/>
        <v>5.6729559748427665</v>
      </c>
      <c r="N1080" s="4">
        <f t="shared" si="97"/>
        <v>5.1104815864022664</v>
      </c>
      <c r="O1080" s="5">
        <f t="shared" si="98"/>
        <v>7.4324324324324342E-2</v>
      </c>
      <c r="P1080" s="5">
        <f t="shared" si="99"/>
        <v>0.11006289308176087</v>
      </c>
      <c r="Q1080" s="4">
        <f t="shared" si="100"/>
        <v>0.76327044025157198</v>
      </c>
      <c r="R1080" s="4">
        <f t="shared" si="101"/>
        <v>0.46432375556454936</v>
      </c>
      <c r="S1080" s="4">
        <v>10.28</v>
      </c>
      <c r="T1080" s="2">
        <v>1.3</v>
      </c>
      <c r="U1080" s="2">
        <v>32.89</v>
      </c>
      <c r="V1080" s="2">
        <v>16.010000000000002</v>
      </c>
      <c r="W1080" s="2">
        <v>3.26</v>
      </c>
      <c r="X1080" s="2">
        <v>5.87</v>
      </c>
      <c r="Y1080" s="2">
        <v>-12.43</v>
      </c>
      <c r="Z1080" s="2">
        <v>-10.029999999999999</v>
      </c>
    </row>
    <row r="1081" spans="1:26" x14ac:dyDescent="0.25">
      <c r="A1081" s="1" t="s">
        <v>4598</v>
      </c>
      <c r="B1081" s="1" t="s">
        <v>4599</v>
      </c>
      <c r="C1081" s="1" t="s">
        <v>16</v>
      </c>
      <c r="D1081" s="1" t="s">
        <v>61</v>
      </c>
      <c r="E1081" s="1" t="s">
        <v>62</v>
      </c>
      <c r="F1081" s="1" t="s">
        <v>4600</v>
      </c>
      <c r="G1081" s="1" t="s">
        <v>12480</v>
      </c>
      <c r="H1081" s="1" t="s">
        <v>2828</v>
      </c>
      <c r="I1081" s="2">
        <v>1372.4</v>
      </c>
      <c r="J1081" s="2">
        <v>28.88</v>
      </c>
      <c r="K1081" s="2">
        <v>37.01</v>
      </c>
      <c r="L1081" s="2">
        <v>42.99</v>
      </c>
      <c r="M1081" s="4">
        <f t="shared" si="96"/>
        <v>37.081869764928399</v>
      </c>
      <c r="N1081" s="4">
        <f t="shared" si="97"/>
        <v>31.923703186787627</v>
      </c>
      <c r="O1081" s="5">
        <f t="shared" si="98"/>
        <v>0.28150969529085867</v>
      </c>
      <c r="P1081" s="5">
        <f t="shared" si="99"/>
        <v>0.16157795190489077</v>
      </c>
      <c r="Q1081" s="4">
        <f t="shared" si="100"/>
        <v>1.3172501830395233</v>
      </c>
      <c r="R1081" s="4">
        <f t="shared" si="101"/>
        <v>1.9757462457240949</v>
      </c>
      <c r="S1081" s="4">
        <v>29.52</v>
      </c>
      <c r="T1081" s="2">
        <v>1.63</v>
      </c>
      <c r="U1081" s="2">
        <v>1468.58</v>
      </c>
      <c r="V1081" s="2">
        <v>296.51</v>
      </c>
      <c r="W1081" s="2">
        <v>-4.58</v>
      </c>
      <c r="X1081" s="2">
        <v>6.91</v>
      </c>
      <c r="Y1081" s="2">
        <v>41.71</v>
      </c>
      <c r="Z1081" s="2">
        <v>47.05</v>
      </c>
    </row>
    <row r="1082" spans="1:26" x14ac:dyDescent="0.25">
      <c r="A1082" s="1" t="s">
        <v>4602</v>
      </c>
      <c r="B1082" s="1" t="s">
        <v>4603</v>
      </c>
      <c r="C1082" s="1" t="s">
        <v>45</v>
      </c>
      <c r="D1082" s="1" t="s">
        <v>128</v>
      </c>
      <c r="E1082" s="1" t="s">
        <v>2351</v>
      </c>
      <c r="F1082" s="1" t="s">
        <v>4604</v>
      </c>
      <c r="G1082" s="1" t="s">
        <v>12513</v>
      </c>
      <c r="H1082" s="1" t="s">
        <v>4605</v>
      </c>
      <c r="I1082" s="2">
        <v>35.44</v>
      </c>
      <c r="J1082" s="2">
        <v>1.99</v>
      </c>
      <c r="K1082" s="2"/>
      <c r="L1082" s="2"/>
      <c r="M1082" s="4" t="e">
        <f t="shared" si="96"/>
        <v>#DIV/0!</v>
      </c>
      <c r="N1082" s="4" t="e">
        <f t="shared" si="97"/>
        <v>#DIV/0!</v>
      </c>
      <c r="O1082" s="5">
        <f t="shared" si="98"/>
        <v>-1</v>
      </c>
      <c r="P1082" s="5" t="e">
        <f t="shared" si="99"/>
        <v>#DIV/0!</v>
      </c>
      <c r="Q1082" s="4" t="e">
        <f t="shared" si="100"/>
        <v>#DIV/0!</v>
      </c>
      <c r="R1082" s="4" t="e">
        <f t="shared" si="101"/>
        <v>#DIV/0!</v>
      </c>
      <c r="S1082" s="4">
        <v>0.81</v>
      </c>
      <c r="T1082" s="2">
        <v>0.75</v>
      </c>
      <c r="U1082" s="2">
        <v>47.69</v>
      </c>
      <c r="V1082" s="2">
        <v>31.66</v>
      </c>
      <c r="W1082" s="2">
        <v>-3.96</v>
      </c>
      <c r="X1082" s="2">
        <v>0.85</v>
      </c>
      <c r="Y1082" s="2">
        <v>4.51</v>
      </c>
      <c r="Z1082" s="2">
        <v>11.13</v>
      </c>
    </row>
    <row r="1083" spans="1:26" x14ac:dyDescent="0.25">
      <c r="A1083" s="1" t="s">
        <v>4606</v>
      </c>
      <c r="B1083" s="1" t="s">
        <v>4607</v>
      </c>
      <c r="C1083" s="1" t="s">
        <v>45</v>
      </c>
      <c r="D1083" s="1" t="s">
        <v>32</v>
      </c>
      <c r="E1083" s="1" t="s">
        <v>1607</v>
      </c>
      <c r="F1083" s="1" t="s">
        <v>4608</v>
      </c>
      <c r="G1083" s="1" t="s">
        <v>12490</v>
      </c>
      <c r="H1083" s="1" t="s">
        <v>4609</v>
      </c>
      <c r="I1083" s="2">
        <v>61.33</v>
      </c>
      <c r="J1083" s="2">
        <v>2.65</v>
      </c>
      <c r="K1083" s="2">
        <v>3.23</v>
      </c>
      <c r="L1083" s="2">
        <v>3.56</v>
      </c>
      <c r="M1083" s="4">
        <f t="shared" si="96"/>
        <v>18.987616099071207</v>
      </c>
      <c r="N1083" s="4">
        <f t="shared" si="97"/>
        <v>17.227528089887638</v>
      </c>
      <c r="O1083" s="5">
        <f t="shared" si="98"/>
        <v>0.21886792452830184</v>
      </c>
      <c r="P1083" s="5">
        <f t="shared" si="99"/>
        <v>0.10216718266253877</v>
      </c>
      <c r="Q1083" s="4">
        <f t="shared" si="100"/>
        <v>0.86753763211273627</v>
      </c>
      <c r="R1083" s="4">
        <f t="shared" si="101"/>
        <v>1.6862095675859705</v>
      </c>
      <c r="S1083" s="4">
        <v>-2.2799999999999998</v>
      </c>
      <c r="T1083" s="2">
        <v>1.24</v>
      </c>
      <c r="U1083" s="2">
        <v>72.08</v>
      </c>
      <c r="V1083" s="2">
        <v>26.68</v>
      </c>
      <c r="W1083" s="2">
        <v>-6.35</v>
      </c>
      <c r="X1083" s="2">
        <v>-7.17</v>
      </c>
      <c r="Y1083" s="2">
        <v>-9.56</v>
      </c>
      <c r="Z1083" s="2">
        <v>1.51</v>
      </c>
    </row>
    <row r="1084" spans="1:26" x14ac:dyDescent="0.25">
      <c r="A1084" s="1" t="s">
        <v>4611</v>
      </c>
      <c r="B1084" s="1" t="s">
        <v>4612</v>
      </c>
      <c r="C1084" s="1" t="s">
        <v>4614</v>
      </c>
      <c r="D1084" s="1" t="s">
        <v>24</v>
      </c>
      <c r="E1084" s="1" t="s">
        <v>38</v>
      </c>
      <c r="F1084" s="1" t="s">
        <v>4613</v>
      </c>
      <c r="G1084" s="1" t="s">
        <v>119</v>
      </c>
      <c r="H1084" s="1" t="s">
        <v>12480</v>
      </c>
      <c r="I1084" s="2">
        <v>9.94</v>
      </c>
      <c r="J1084" s="2" t="s">
        <v>12481</v>
      </c>
      <c r="K1084" s="2">
        <v>-0.37</v>
      </c>
      <c r="L1084" s="2">
        <v>0.56000000000000005</v>
      </c>
      <c r="M1084" s="4">
        <f t="shared" si="96"/>
        <v>-26.864864864864863</v>
      </c>
      <c r="N1084" s="4">
        <f t="shared" si="97"/>
        <v>17.749999999999996</v>
      </c>
      <c r="O1084" s="5">
        <f t="shared" si="98"/>
        <v>-1.000001827052224</v>
      </c>
      <c r="P1084" s="5">
        <f t="shared" si="99"/>
        <v>-2.5135135135135136</v>
      </c>
      <c r="Q1084" s="4">
        <f t="shared" si="100"/>
        <v>0.26864815781443441</v>
      </c>
      <c r="R1084" s="4">
        <f t="shared" si="101"/>
        <v>-7.0618279569892459E-2</v>
      </c>
      <c r="S1084" s="4">
        <v>1.64</v>
      </c>
      <c r="T1084" s="2">
        <v>12.53</v>
      </c>
      <c r="U1084" s="2">
        <v>415.99</v>
      </c>
      <c r="V1084" s="2">
        <v>14.27</v>
      </c>
      <c r="W1084" s="2">
        <v>1.08</v>
      </c>
      <c r="X1084" s="2">
        <v>-2.72</v>
      </c>
      <c r="Y1084" s="2">
        <v>-11.76</v>
      </c>
      <c r="Z1084" s="2">
        <v>-4.28</v>
      </c>
    </row>
    <row r="1085" spans="1:26" x14ac:dyDescent="0.25">
      <c r="A1085" s="1" t="s">
        <v>4615</v>
      </c>
      <c r="B1085" s="1" t="s">
        <v>4616</v>
      </c>
      <c r="C1085" s="1" t="s">
        <v>45</v>
      </c>
      <c r="D1085" s="1" t="s">
        <v>94</v>
      </c>
      <c r="E1085" s="1" t="s">
        <v>95</v>
      </c>
      <c r="F1085" s="1" t="s">
        <v>4617</v>
      </c>
      <c r="G1085" s="1" t="s">
        <v>12485</v>
      </c>
      <c r="H1085" s="1" t="s">
        <v>4618</v>
      </c>
      <c r="I1085" s="2">
        <v>15.7</v>
      </c>
      <c r="J1085" s="2">
        <v>-0.37</v>
      </c>
      <c r="K1085" s="2">
        <v>-0.19</v>
      </c>
      <c r="L1085" s="2">
        <v>0.13</v>
      </c>
      <c r="M1085" s="4">
        <f t="shared" si="96"/>
        <v>-82.631578947368411</v>
      </c>
      <c r="N1085" s="4">
        <f t="shared" si="97"/>
        <v>120.76923076923076</v>
      </c>
      <c r="O1085" s="5">
        <f t="shared" si="98"/>
        <v>-0.48648648648648651</v>
      </c>
      <c r="P1085" s="5">
        <f t="shared" si="99"/>
        <v>-1.6842105263157894</v>
      </c>
      <c r="Q1085" s="4">
        <f t="shared" si="100"/>
        <v>1.6985380116959061</v>
      </c>
      <c r="R1085" s="4">
        <f t="shared" si="101"/>
        <v>-0.71706730769230775</v>
      </c>
      <c r="S1085" s="4">
        <v>-16.149999999999999</v>
      </c>
      <c r="T1085" s="2">
        <v>2.99</v>
      </c>
      <c r="U1085" s="2">
        <v>32.229999999999997</v>
      </c>
      <c r="V1085" s="2">
        <v>3.61</v>
      </c>
      <c r="W1085" s="2">
        <v>3.84</v>
      </c>
      <c r="X1085" s="2">
        <v>-19.07</v>
      </c>
      <c r="Y1085" s="2">
        <v>-27.05</v>
      </c>
      <c r="Z1085" s="2">
        <v>-20.63</v>
      </c>
    </row>
    <row r="1086" spans="1:26" x14ac:dyDescent="0.25">
      <c r="A1086" s="1" t="s">
        <v>4619</v>
      </c>
      <c r="B1086" s="1" t="s">
        <v>4620</v>
      </c>
      <c r="C1086" s="1" t="s">
        <v>16</v>
      </c>
      <c r="D1086" s="1" t="s">
        <v>46</v>
      </c>
      <c r="E1086" s="1" t="s">
        <v>770</v>
      </c>
      <c r="F1086" s="1" t="s">
        <v>4621</v>
      </c>
      <c r="G1086" s="1" t="s">
        <v>12480</v>
      </c>
      <c r="H1086" s="1" t="s">
        <v>4622</v>
      </c>
      <c r="I1086" s="2">
        <v>29.5</v>
      </c>
      <c r="J1086" s="2">
        <v>1.87</v>
      </c>
      <c r="K1086" s="2"/>
      <c r="L1086" s="2"/>
      <c r="M1086" s="4" t="e">
        <f t="shared" si="96"/>
        <v>#DIV/0!</v>
      </c>
      <c r="N1086" s="4" t="e">
        <f t="shared" si="97"/>
        <v>#DIV/0!</v>
      </c>
      <c r="O1086" s="5">
        <f t="shared" si="98"/>
        <v>-1</v>
      </c>
      <c r="P1086" s="5" t="e">
        <f t="shared" si="99"/>
        <v>#DIV/0!</v>
      </c>
      <c r="Q1086" s="4" t="e">
        <f t="shared" si="100"/>
        <v>#DIV/0!</v>
      </c>
      <c r="R1086" s="4" t="e">
        <f t="shared" si="101"/>
        <v>#DIV/0!</v>
      </c>
      <c r="S1086" s="4">
        <v>-2.44</v>
      </c>
      <c r="T1086" s="2">
        <v>0.31</v>
      </c>
      <c r="U1086" s="2">
        <v>30.23</v>
      </c>
      <c r="V1086" s="2">
        <v>20.21</v>
      </c>
      <c r="W1086" s="2">
        <v>4.57</v>
      </c>
      <c r="X1086" s="2">
        <v>11.62</v>
      </c>
      <c r="Y1086" s="2">
        <v>15.82</v>
      </c>
      <c r="Z1086" s="2">
        <v>18.239999999999998</v>
      </c>
    </row>
    <row r="1087" spans="1:26" x14ac:dyDescent="0.25">
      <c r="A1087" s="1" t="s">
        <v>4624</v>
      </c>
      <c r="B1087" s="1" t="s">
        <v>4625</v>
      </c>
      <c r="C1087" s="1" t="s">
        <v>16</v>
      </c>
      <c r="D1087" s="1" t="s">
        <v>128</v>
      </c>
      <c r="E1087" s="1" t="s">
        <v>556</v>
      </c>
      <c r="F1087" s="1" t="s">
        <v>4626</v>
      </c>
      <c r="G1087" s="1" t="s">
        <v>12480</v>
      </c>
      <c r="H1087" s="1" t="s">
        <v>4627</v>
      </c>
      <c r="I1087" s="2">
        <v>8.85</v>
      </c>
      <c r="J1087" s="2">
        <v>1.1000000000000001</v>
      </c>
      <c r="K1087" s="2">
        <v>0.86</v>
      </c>
      <c r="L1087" s="2">
        <v>0.91</v>
      </c>
      <c r="M1087" s="4">
        <f t="shared" si="96"/>
        <v>10.290697674418604</v>
      </c>
      <c r="N1087" s="4">
        <f t="shared" si="97"/>
        <v>9.7252747252747245</v>
      </c>
      <c r="O1087" s="5">
        <f t="shared" si="98"/>
        <v>-0.21818181818181825</v>
      </c>
      <c r="P1087" s="5">
        <f t="shared" si="99"/>
        <v>5.8139534883721034E-2</v>
      </c>
      <c r="Q1087" s="4">
        <f t="shared" si="100"/>
        <v>-0.47165697674418583</v>
      </c>
      <c r="R1087" s="4">
        <f t="shared" si="101"/>
        <v>1.6727472527472496</v>
      </c>
      <c r="S1087" s="4" t="s">
        <v>12490</v>
      </c>
      <c r="T1087" s="2">
        <v>0.36</v>
      </c>
      <c r="U1087" s="2">
        <v>19.62</v>
      </c>
      <c r="V1087" s="2">
        <v>8.85</v>
      </c>
      <c r="W1087" s="2">
        <v>-7.04</v>
      </c>
      <c r="X1087" s="2">
        <v>-25.13</v>
      </c>
      <c r="Y1087" s="2">
        <v>-19.100000000000001</v>
      </c>
      <c r="Z1087" s="2">
        <v>-18.66</v>
      </c>
    </row>
    <row r="1088" spans="1:26" x14ac:dyDescent="0.25">
      <c r="A1088" s="1" t="s">
        <v>4628</v>
      </c>
      <c r="B1088" s="1" t="s">
        <v>4629</v>
      </c>
      <c r="C1088" s="1" t="s">
        <v>16</v>
      </c>
      <c r="D1088" s="1" t="s">
        <v>94</v>
      </c>
      <c r="E1088" s="1" t="s">
        <v>1948</v>
      </c>
      <c r="F1088" s="1" t="s">
        <v>4630</v>
      </c>
      <c r="G1088" s="1" t="s">
        <v>12480</v>
      </c>
      <c r="H1088" s="1" t="s">
        <v>4631</v>
      </c>
      <c r="I1088" s="2">
        <v>23.43</v>
      </c>
      <c r="J1088" s="2">
        <v>2.42</v>
      </c>
      <c r="K1088" s="2">
        <v>1.1100000000000001</v>
      </c>
      <c r="L1088" s="2">
        <v>1.96</v>
      </c>
      <c r="M1088" s="4">
        <f t="shared" si="96"/>
        <v>21.108108108108105</v>
      </c>
      <c r="N1088" s="4">
        <f t="shared" si="97"/>
        <v>11.954081632653061</v>
      </c>
      <c r="O1088" s="5">
        <f t="shared" si="98"/>
        <v>-0.54132231404958675</v>
      </c>
      <c r="P1088" s="5">
        <f t="shared" si="99"/>
        <v>0.76576576576576549</v>
      </c>
      <c r="Q1088" s="4">
        <f t="shared" si="100"/>
        <v>-0.3899360429131421</v>
      </c>
      <c r="R1088" s="4">
        <f t="shared" si="101"/>
        <v>0.15610624249699886</v>
      </c>
      <c r="S1088" s="4">
        <v>41.93</v>
      </c>
      <c r="T1088" s="2">
        <v>-0.16</v>
      </c>
      <c r="U1088" s="2">
        <v>26.09</v>
      </c>
      <c r="V1088" s="2">
        <v>14.25</v>
      </c>
      <c r="W1088" s="2">
        <v>-0.55000000000000004</v>
      </c>
      <c r="X1088" s="2">
        <v>3.63</v>
      </c>
      <c r="Y1088" s="2">
        <v>29.52</v>
      </c>
      <c r="Z1088" s="2">
        <v>25.03</v>
      </c>
    </row>
    <row r="1089" spans="1:26" x14ac:dyDescent="0.25">
      <c r="A1089" s="1" t="s">
        <v>4632</v>
      </c>
      <c r="B1089" s="1" t="s">
        <v>4633</v>
      </c>
      <c r="C1089" s="1" t="s">
        <v>16</v>
      </c>
      <c r="D1089" s="1" t="s">
        <v>61</v>
      </c>
      <c r="E1089" s="1" t="s">
        <v>237</v>
      </c>
      <c r="F1089" s="1" t="s">
        <v>4634</v>
      </c>
      <c r="G1089" s="1" t="s">
        <v>12480</v>
      </c>
      <c r="H1089" s="1" t="s">
        <v>4635</v>
      </c>
      <c r="I1089" s="2">
        <v>45.82</v>
      </c>
      <c r="J1089" s="2">
        <v>2.19</v>
      </c>
      <c r="K1089" s="2">
        <v>2.7</v>
      </c>
      <c r="L1089" s="2">
        <v>3.15</v>
      </c>
      <c r="M1089" s="4">
        <f t="shared" si="96"/>
        <v>16.970370370370368</v>
      </c>
      <c r="N1089" s="4">
        <f t="shared" si="97"/>
        <v>14.546031746031746</v>
      </c>
      <c r="O1089" s="5">
        <f t="shared" si="98"/>
        <v>0.23287671232876717</v>
      </c>
      <c r="P1089" s="5">
        <f t="shared" si="99"/>
        <v>0.16666666666666652</v>
      </c>
      <c r="Q1089" s="4">
        <f t="shared" si="100"/>
        <v>0.72872766884531559</v>
      </c>
      <c r="R1089" s="4">
        <f t="shared" si="101"/>
        <v>0.87276190476190563</v>
      </c>
      <c r="S1089" s="4">
        <v>-4.9800000000000004</v>
      </c>
      <c r="T1089" s="2">
        <v>1.36</v>
      </c>
      <c r="U1089" s="2">
        <v>56.77</v>
      </c>
      <c r="V1089" s="2">
        <v>30.86</v>
      </c>
      <c r="W1089" s="2" t="s">
        <v>12522</v>
      </c>
      <c r="X1089" s="2">
        <v>-5.04</v>
      </c>
      <c r="Y1089" s="2">
        <v>5.72</v>
      </c>
      <c r="Z1089" s="2">
        <v>15.62</v>
      </c>
    </row>
    <row r="1090" spans="1:26" x14ac:dyDescent="0.25">
      <c r="A1090" s="1" t="s">
        <v>4636</v>
      </c>
      <c r="B1090" s="1" t="s">
        <v>4637</v>
      </c>
      <c r="C1090" s="1" t="s">
        <v>16</v>
      </c>
      <c r="D1090" s="1" t="s">
        <v>25</v>
      </c>
      <c r="E1090" s="1" t="s">
        <v>220</v>
      </c>
      <c r="F1090" s="1" t="s">
        <v>4638</v>
      </c>
      <c r="G1090" s="1" t="s">
        <v>12480</v>
      </c>
      <c r="H1090" s="1" t="s">
        <v>4639</v>
      </c>
      <c r="I1090" s="2">
        <v>77.12</v>
      </c>
      <c r="J1090" s="2">
        <v>3.64</v>
      </c>
      <c r="K1090" s="2">
        <v>4.1100000000000003</v>
      </c>
      <c r="L1090" s="2">
        <v>4.67</v>
      </c>
      <c r="M1090" s="4">
        <f t="shared" si="96"/>
        <v>18.763990267639901</v>
      </c>
      <c r="N1090" s="4">
        <f t="shared" si="97"/>
        <v>16.513918629550322</v>
      </c>
      <c r="O1090" s="5">
        <f t="shared" si="98"/>
        <v>0.12912087912087911</v>
      </c>
      <c r="P1090" s="5">
        <f t="shared" si="99"/>
        <v>0.13625304136253025</v>
      </c>
      <c r="Q1090" s="4">
        <f t="shared" si="100"/>
        <v>1.4532111611533882</v>
      </c>
      <c r="R1090" s="4">
        <f t="shared" si="101"/>
        <v>1.2120036708473554</v>
      </c>
      <c r="S1090" s="4">
        <v>3.76</v>
      </c>
      <c r="T1090" s="2">
        <v>1.27</v>
      </c>
      <c r="U1090" s="2">
        <v>92.04</v>
      </c>
      <c r="V1090" s="2">
        <v>39.49</v>
      </c>
      <c r="W1090" s="2">
        <v>-11.87</v>
      </c>
      <c r="X1090" s="2">
        <v>-9.92</v>
      </c>
      <c r="Y1090" s="2">
        <v>7.38</v>
      </c>
      <c r="Z1090" s="2">
        <v>11.16</v>
      </c>
    </row>
    <row r="1091" spans="1:26" x14ac:dyDescent="0.25">
      <c r="A1091" s="1" t="s">
        <v>4640</v>
      </c>
      <c r="B1091" s="1" t="s">
        <v>4641</v>
      </c>
      <c r="C1091" s="1" t="s">
        <v>16</v>
      </c>
      <c r="D1091" s="1" t="s">
        <v>147</v>
      </c>
      <c r="E1091" s="1" t="s">
        <v>2000</v>
      </c>
      <c r="F1091" s="1" t="s">
        <v>4642</v>
      </c>
      <c r="G1091" s="1" t="s">
        <v>12480</v>
      </c>
      <c r="H1091" s="1" t="s">
        <v>4643</v>
      </c>
      <c r="I1091" s="2">
        <v>109.41</v>
      </c>
      <c r="J1091" s="2">
        <v>7.94</v>
      </c>
      <c r="K1091" s="2">
        <v>6.62</v>
      </c>
      <c r="L1091" s="2">
        <v>10.37</v>
      </c>
      <c r="M1091" s="4">
        <f t="shared" ref="M1091:M1154" si="102">I1091/K1091</f>
        <v>16.527190332326285</v>
      </c>
      <c r="N1091" s="4">
        <f t="shared" ref="N1091:N1154" si="103">I1091/L1091</f>
        <v>10.55062680810029</v>
      </c>
      <c r="O1091" s="5">
        <f t="shared" ref="O1091:O1154" si="104">K1091/J1091-1</f>
        <v>-0.16624685138539042</v>
      </c>
      <c r="P1091" s="5">
        <f t="shared" ref="P1091:P1154" si="105">L1091/K1091-1</f>
        <v>0.56646525679758297</v>
      </c>
      <c r="Q1091" s="4">
        <f t="shared" ref="Q1091:Q1154" si="106">M1091/(O1091*100)</f>
        <v>-0.99413553968689927</v>
      </c>
      <c r="R1091" s="4">
        <f t="shared" ref="R1091:R1154" si="107">N1091/(P1091*100)</f>
        <v>0.18625373191899716</v>
      </c>
      <c r="S1091" s="4">
        <v>16.62</v>
      </c>
      <c r="T1091" s="2">
        <v>2.2999999999999998</v>
      </c>
      <c r="U1091" s="2">
        <v>308.60000000000002</v>
      </c>
      <c r="V1091" s="2">
        <v>106.08</v>
      </c>
      <c r="W1091" s="2">
        <v>3.14</v>
      </c>
      <c r="X1091" s="2">
        <v>-29.19</v>
      </c>
      <c r="Y1091" s="2">
        <v>-50.2</v>
      </c>
      <c r="Z1091" s="2">
        <v>-49.12</v>
      </c>
    </row>
    <row r="1092" spans="1:26" x14ac:dyDescent="0.25">
      <c r="A1092" s="1" t="s">
        <v>4644</v>
      </c>
      <c r="B1092" s="1" t="s">
        <v>4645</v>
      </c>
      <c r="C1092" s="1" t="s">
        <v>45</v>
      </c>
      <c r="D1092" s="1" t="s">
        <v>204</v>
      </c>
      <c r="E1092" s="1" t="s">
        <v>205</v>
      </c>
      <c r="F1092" s="1" t="s">
        <v>4646</v>
      </c>
      <c r="G1092" s="1" t="s">
        <v>12480</v>
      </c>
      <c r="H1092" s="1" t="s">
        <v>4647</v>
      </c>
      <c r="I1092" s="2">
        <v>20.75</v>
      </c>
      <c r="J1092" s="2">
        <v>-6.37</v>
      </c>
      <c r="K1092" s="2">
        <v>-1.21</v>
      </c>
      <c r="L1092" s="2">
        <v>-0.26</v>
      </c>
      <c r="M1092" s="4">
        <f t="shared" si="102"/>
        <v>-17.148760330578511</v>
      </c>
      <c r="N1092" s="4">
        <f t="shared" si="103"/>
        <v>-79.807692307692307</v>
      </c>
      <c r="O1092" s="5">
        <f t="shared" si="104"/>
        <v>-0.81004709576138145</v>
      </c>
      <c r="P1092" s="5">
        <f t="shared" si="105"/>
        <v>-0.78512396694214881</v>
      </c>
      <c r="Q1092" s="4">
        <f t="shared" si="106"/>
        <v>0.21170078160035877</v>
      </c>
      <c r="R1092" s="4">
        <f t="shared" si="107"/>
        <v>1.016497975708502</v>
      </c>
      <c r="S1092" s="4" t="s">
        <v>12848</v>
      </c>
      <c r="T1092" s="2"/>
      <c r="U1092" s="2">
        <v>60.35</v>
      </c>
      <c r="V1092" s="2">
        <v>16.78</v>
      </c>
      <c r="W1092" s="2">
        <v>-0.81</v>
      </c>
      <c r="X1092" s="2">
        <v>-16.03</v>
      </c>
      <c r="Y1092" s="2">
        <v>1.92</v>
      </c>
      <c r="Z1092" s="2">
        <v>-7.24</v>
      </c>
    </row>
    <row r="1093" spans="1:26" x14ac:dyDescent="0.25">
      <c r="A1093" s="1" t="s">
        <v>4648</v>
      </c>
      <c r="B1093" s="1" t="s">
        <v>4649</v>
      </c>
      <c r="C1093" s="1" t="s">
        <v>45</v>
      </c>
      <c r="D1093" s="1" t="s">
        <v>32</v>
      </c>
      <c r="E1093" s="1" t="s">
        <v>311</v>
      </c>
      <c r="F1093" s="1" t="s">
        <v>4650</v>
      </c>
      <c r="G1093" s="1" t="s">
        <v>12480</v>
      </c>
      <c r="H1093" s="1" t="s">
        <v>4651</v>
      </c>
      <c r="I1093" s="2">
        <v>13.56</v>
      </c>
      <c r="J1093" s="2">
        <v>0.11</v>
      </c>
      <c r="K1093" s="2">
        <v>0.34</v>
      </c>
      <c r="L1093" s="2">
        <v>0.55000000000000004</v>
      </c>
      <c r="M1093" s="4">
        <f t="shared" si="102"/>
        <v>39.882352941176471</v>
      </c>
      <c r="N1093" s="4">
        <f t="shared" si="103"/>
        <v>24.654545454545453</v>
      </c>
      <c r="O1093" s="5">
        <f t="shared" si="104"/>
        <v>2.0909090909090913</v>
      </c>
      <c r="P1093" s="5">
        <f t="shared" si="105"/>
        <v>0.61764705882352944</v>
      </c>
      <c r="Q1093" s="4">
        <f t="shared" si="106"/>
        <v>0.19074168797953961</v>
      </c>
      <c r="R1093" s="4">
        <f t="shared" si="107"/>
        <v>0.39916883116883112</v>
      </c>
      <c r="S1093" s="4">
        <v>26.59</v>
      </c>
      <c r="T1093" s="2">
        <v>1.28</v>
      </c>
      <c r="U1093" s="2">
        <v>14.81</v>
      </c>
      <c r="V1093" s="2">
        <v>8.42</v>
      </c>
      <c r="W1093" s="2">
        <v>9.09</v>
      </c>
      <c r="X1093" s="2">
        <v>20.11</v>
      </c>
      <c r="Y1093" s="2">
        <v>-5.44</v>
      </c>
      <c r="Z1093" s="2">
        <v>-4.24</v>
      </c>
    </row>
    <row r="1094" spans="1:26" x14ac:dyDescent="0.25">
      <c r="A1094" s="1" t="s">
        <v>4652</v>
      </c>
      <c r="B1094" s="1" t="s">
        <v>4653</v>
      </c>
      <c r="C1094" s="1" t="s">
        <v>31</v>
      </c>
      <c r="D1094" s="1" t="s">
        <v>38</v>
      </c>
      <c r="E1094" s="1" t="s">
        <v>1909</v>
      </c>
      <c r="F1094" s="1" t="s">
        <v>4654</v>
      </c>
      <c r="G1094" s="1" t="s">
        <v>12480</v>
      </c>
      <c r="H1094" s="1" t="s">
        <v>581</v>
      </c>
      <c r="I1094" s="2" t="s">
        <v>12672</v>
      </c>
      <c r="J1094" s="2">
        <v>537.62</v>
      </c>
      <c r="K1094" s="2"/>
      <c r="L1094" s="2"/>
      <c r="M1094" s="4" t="e">
        <f t="shared" si="102"/>
        <v>#DIV/0!</v>
      </c>
      <c r="N1094" s="4" t="e">
        <f t="shared" si="103"/>
        <v>#DIV/0!</v>
      </c>
      <c r="O1094" s="5">
        <f t="shared" si="104"/>
        <v>-1</v>
      </c>
      <c r="P1094" s="5" t="e">
        <f t="shared" si="105"/>
        <v>#DIV/0!</v>
      </c>
      <c r="Q1094" s="4" t="e">
        <f t="shared" si="106"/>
        <v>#DIV/0!</v>
      </c>
      <c r="R1094" s="4" t="e">
        <f t="shared" si="107"/>
        <v>#DIV/0!</v>
      </c>
      <c r="S1094" s="4">
        <v>-2.21</v>
      </c>
      <c r="T1094" s="2">
        <v>0.28000000000000003</v>
      </c>
      <c r="U1094" s="2">
        <v>8499.99</v>
      </c>
      <c r="V1094" s="2" t="s">
        <v>12671</v>
      </c>
      <c r="W1094" s="2">
        <v>-1.41</v>
      </c>
      <c r="X1094" s="2">
        <v>-0.89</v>
      </c>
      <c r="Y1094" s="2">
        <v>2.0699999999999998</v>
      </c>
      <c r="Z1094" s="2">
        <v>0.25</v>
      </c>
    </row>
    <row r="1095" spans="1:26" x14ac:dyDescent="0.25">
      <c r="A1095" s="1" t="s">
        <v>4655</v>
      </c>
      <c r="B1095" s="1" t="s">
        <v>4655</v>
      </c>
      <c r="C1095" s="1" t="s">
        <v>16</v>
      </c>
      <c r="D1095" s="1" t="s">
        <v>128</v>
      </c>
      <c r="E1095" s="1" t="s">
        <v>296</v>
      </c>
      <c r="F1095" s="1" t="s">
        <v>4656</v>
      </c>
      <c r="G1095" s="1" t="s">
        <v>12480</v>
      </c>
      <c r="H1095" s="1" t="s">
        <v>4657</v>
      </c>
      <c r="I1095" s="2">
        <v>14.12</v>
      </c>
      <c r="J1095" s="2">
        <v>2.96</v>
      </c>
      <c r="K1095" s="2">
        <v>1.72</v>
      </c>
      <c r="L1095" s="2">
        <v>2.23</v>
      </c>
      <c r="M1095" s="4">
        <f t="shared" si="102"/>
        <v>8.2093023255813957</v>
      </c>
      <c r="N1095" s="4">
        <f t="shared" si="103"/>
        <v>6.3318385650224212</v>
      </c>
      <c r="O1095" s="5">
        <f t="shared" si="104"/>
        <v>-0.41891891891891897</v>
      </c>
      <c r="P1095" s="5">
        <f t="shared" si="105"/>
        <v>0.29651162790697683</v>
      </c>
      <c r="Q1095" s="4">
        <f t="shared" si="106"/>
        <v>-0.19596399099774944</v>
      </c>
      <c r="R1095" s="4">
        <f t="shared" si="107"/>
        <v>0.21354435944781494</v>
      </c>
      <c r="S1095" s="4">
        <v>-18.34</v>
      </c>
      <c r="T1095" s="2">
        <v>0.66</v>
      </c>
      <c r="U1095" s="2">
        <v>44.45</v>
      </c>
      <c r="V1095" s="2">
        <v>12.18</v>
      </c>
      <c r="W1095" s="2">
        <v>-1.94</v>
      </c>
      <c r="X1095" s="2">
        <v>-8.25</v>
      </c>
      <c r="Y1095" s="2">
        <v>7.62</v>
      </c>
      <c r="Z1095" s="2">
        <v>1.8</v>
      </c>
    </row>
    <row r="1096" spans="1:26" x14ac:dyDescent="0.25">
      <c r="A1096" s="1" t="s">
        <v>4658</v>
      </c>
      <c r="B1096" s="1" t="s">
        <v>4659</v>
      </c>
      <c r="C1096" s="1" t="s">
        <v>31</v>
      </c>
      <c r="D1096" s="1" t="s">
        <v>38</v>
      </c>
      <c r="E1096" s="1" t="s">
        <v>473</v>
      </c>
      <c r="F1096" s="1" t="s">
        <v>4660</v>
      </c>
      <c r="G1096" s="1" t="s">
        <v>12480</v>
      </c>
      <c r="H1096" s="1" t="s">
        <v>4661</v>
      </c>
      <c r="I1096" s="2">
        <v>5.45</v>
      </c>
      <c r="J1096" s="2">
        <v>-0.02</v>
      </c>
      <c r="K1096" s="2">
        <v>3.94</v>
      </c>
      <c r="L1096" s="2"/>
      <c r="M1096" s="4">
        <f t="shared" si="102"/>
        <v>1.383248730964467</v>
      </c>
      <c r="N1096" s="4" t="e">
        <f t="shared" si="103"/>
        <v>#DIV/0!</v>
      </c>
      <c r="O1096" s="5">
        <f t="shared" si="104"/>
        <v>-198</v>
      </c>
      <c r="P1096" s="5">
        <f t="shared" si="105"/>
        <v>-1</v>
      </c>
      <c r="Q1096" s="4">
        <f t="shared" si="106"/>
        <v>-6.9861047018407425E-5</v>
      </c>
      <c r="R1096" s="4" t="e">
        <f t="shared" si="107"/>
        <v>#DIV/0!</v>
      </c>
      <c r="S1096" s="4">
        <v>6.36</v>
      </c>
      <c r="T1096" s="2">
        <v>1.83</v>
      </c>
      <c r="U1096" s="2">
        <v>14.15</v>
      </c>
      <c r="V1096" s="2">
        <v>4.12</v>
      </c>
      <c r="W1096" s="2">
        <v>-12.66</v>
      </c>
      <c r="X1096" s="2">
        <v>-24.62</v>
      </c>
      <c r="Y1096" s="2">
        <v>-46.52</v>
      </c>
      <c r="Z1096" s="2">
        <v>-46.25</v>
      </c>
    </row>
    <row r="1097" spans="1:26" x14ac:dyDescent="0.25">
      <c r="A1097" s="1" t="s">
        <v>4662</v>
      </c>
      <c r="B1097" s="1" t="s">
        <v>4663</v>
      </c>
      <c r="C1097" s="1" t="s">
        <v>16</v>
      </c>
      <c r="D1097" s="1" t="s">
        <v>18</v>
      </c>
      <c r="E1097" s="1" t="s">
        <v>594</v>
      </c>
      <c r="F1097" s="1" t="s">
        <v>4664</v>
      </c>
      <c r="G1097" s="1" t="s">
        <v>12480</v>
      </c>
      <c r="H1097" s="1" t="s">
        <v>4665</v>
      </c>
      <c r="I1097" s="2">
        <v>23.41</v>
      </c>
      <c r="J1097" s="2">
        <v>2.42</v>
      </c>
      <c r="K1097" s="2">
        <v>2.48</v>
      </c>
      <c r="L1097" s="2">
        <v>2.61</v>
      </c>
      <c r="M1097" s="4">
        <f t="shared" si="102"/>
        <v>9.439516129032258</v>
      </c>
      <c r="N1097" s="4">
        <f t="shared" si="103"/>
        <v>8.9693486590038312</v>
      </c>
      <c r="O1097" s="5">
        <f t="shared" si="104"/>
        <v>2.4793388429751984E-2</v>
      </c>
      <c r="P1097" s="5">
        <f t="shared" si="105"/>
        <v>5.2419354838709742E-2</v>
      </c>
      <c r="Q1097" s="4">
        <f t="shared" si="106"/>
        <v>3.8072715053763568</v>
      </c>
      <c r="R1097" s="4">
        <f t="shared" si="107"/>
        <v>1.7110757441791904</v>
      </c>
      <c r="S1097" s="4">
        <v>7.63</v>
      </c>
      <c r="T1097" s="2">
        <v>0.91</v>
      </c>
      <c r="U1097" s="2">
        <v>29.85</v>
      </c>
      <c r="V1097" s="2">
        <v>21.11</v>
      </c>
      <c r="W1097" s="2">
        <v>-0.26</v>
      </c>
      <c r="X1097" s="2">
        <v>-2.0099999999999998</v>
      </c>
      <c r="Y1097" s="2">
        <v>-0.97</v>
      </c>
      <c r="Z1097" s="2">
        <v>-1.72</v>
      </c>
    </row>
    <row r="1098" spans="1:26" x14ac:dyDescent="0.25">
      <c r="A1098" s="1" t="s">
        <v>4666</v>
      </c>
      <c r="B1098" s="1" t="s">
        <v>4667</v>
      </c>
      <c r="C1098" s="1" t="s">
        <v>16</v>
      </c>
      <c r="D1098" s="1" t="s">
        <v>128</v>
      </c>
      <c r="E1098" s="1" t="s">
        <v>2351</v>
      </c>
      <c r="F1098" s="1" t="s">
        <v>4668</v>
      </c>
      <c r="G1098" s="1" t="s">
        <v>12480</v>
      </c>
      <c r="H1098" s="1" t="s">
        <v>4669</v>
      </c>
      <c r="I1098" s="2">
        <v>109.31</v>
      </c>
      <c r="J1098" s="2">
        <v>2.68</v>
      </c>
      <c r="K1098" s="2">
        <v>4.5599999999999996</v>
      </c>
      <c r="L1098" s="2">
        <v>5.01</v>
      </c>
      <c r="M1098" s="4">
        <f t="shared" si="102"/>
        <v>23.971491228070178</v>
      </c>
      <c r="N1098" s="4">
        <f t="shared" si="103"/>
        <v>21.818363273453095</v>
      </c>
      <c r="O1098" s="5">
        <f t="shared" si="104"/>
        <v>0.70149253731343264</v>
      </c>
      <c r="P1098" s="5">
        <f t="shared" si="105"/>
        <v>9.868421052631593E-2</v>
      </c>
      <c r="Q1098" s="4">
        <f t="shared" si="106"/>
        <v>0.34172125793206432</v>
      </c>
      <c r="R1098" s="4">
        <f t="shared" si="107"/>
        <v>2.2109274783765773</v>
      </c>
      <c r="S1098" s="4">
        <v>2.29</v>
      </c>
      <c r="T1098" s="2">
        <v>0.42</v>
      </c>
      <c r="U1098" s="2">
        <v>114.65</v>
      </c>
      <c r="V1098" s="2">
        <v>83.67</v>
      </c>
      <c r="W1098" s="2">
        <v>-2.69</v>
      </c>
      <c r="X1098" s="2">
        <v>-1.91</v>
      </c>
      <c r="Y1098" s="2">
        <v>6.16</v>
      </c>
      <c r="Z1098" s="2">
        <v>8.15</v>
      </c>
    </row>
    <row r="1099" spans="1:26" x14ac:dyDescent="0.25">
      <c r="A1099" s="1" t="s">
        <v>4670</v>
      </c>
      <c r="B1099" s="1" t="s">
        <v>4671</v>
      </c>
      <c r="C1099" s="1" t="s">
        <v>16</v>
      </c>
      <c r="D1099" s="1" t="s">
        <v>32</v>
      </c>
      <c r="E1099" s="1" t="s">
        <v>33</v>
      </c>
      <c r="F1099" s="1" t="s">
        <v>4672</v>
      </c>
      <c r="G1099" s="1" t="s">
        <v>12502</v>
      </c>
      <c r="H1099" s="1" t="s">
        <v>4673</v>
      </c>
      <c r="I1099" s="2">
        <v>527.53</v>
      </c>
      <c r="J1099" s="2">
        <v>10.17</v>
      </c>
      <c r="K1099" s="2">
        <v>13.58</v>
      </c>
      <c r="L1099" s="2">
        <v>16.18</v>
      </c>
      <c r="M1099" s="4">
        <f t="shared" si="102"/>
        <v>38.8460972017673</v>
      </c>
      <c r="N1099" s="4">
        <f t="shared" si="103"/>
        <v>32.603831891223734</v>
      </c>
      <c r="O1099" s="5">
        <f t="shared" si="104"/>
        <v>0.33529990167158319</v>
      </c>
      <c r="P1099" s="5">
        <f t="shared" si="105"/>
        <v>0.19145802650957289</v>
      </c>
      <c r="Q1099" s="4">
        <f t="shared" si="106"/>
        <v>1.1585478256362856</v>
      </c>
      <c r="R1099" s="4">
        <f t="shared" si="107"/>
        <v>1.7029232195493011</v>
      </c>
      <c r="S1099" s="4">
        <v>18.600000000000001</v>
      </c>
      <c r="T1099" s="2">
        <v>1.01</v>
      </c>
      <c r="U1099" s="2">
        <v>615.99</v>
      </c>
      <c r="V1099" s="2">
        <v>171.03</v>
      </c>
      <c r="W1099" s="2">
        <v>-9.26</v>
      </c>
      <c r="X1099" s="2">
        <v>5.1100000000000003</v>
      </c>
      <c r="Y1099" s="2">
        <v>12.24</v>
      </c>
      <c r="Z1099" s="2">
        <v>15.87</v>
      </c>
    </row>
    <row r="1100" spans="1:26" x14ac:dyDescent="0.25">
      <c r="A1100" s="1" t="s">
        <v>4674</v>
      </c>
      <c r="B1100" s="1" t="s">
        <v>4675</v>
      </c>
      <c r="C1100" s="1" t="s">
        <v>16</v>
      </c>
      <c r="D1100" s="1" t="s">
        <v>38</v>
      </c>
      <c r="E1100" s="1" t="s">
        <v>119</v>
      </c>
      <c r="F1100" s="1" t="s">
        <v>4676</v>
      </c>
      <c r="G1100" s="1" t="s">
        <v>12480</v>
      </c>
      <c r="H1100" s="1" t="s">
        <v>4677</v>
      </c>
      <c r="I1100" s="2">
        <v>16.41</v>
      </c>
      <c r="J1100" s="2">
        <v>1.59</v>
      </c>
      <c r="K1100" s="2">
        <v>1.72</v>
      </c>
      <c r="L1100" s="2">
        <v>1.95</v>
      </c>
      <c r="M1100" s="4">
        <f t="shared" si="102"/>
        <v>9.5406976744186043</v>
      </c>
      <c r="N1100" s="4">
        <f t="shared" si="103"/>
        <v>8.4153846153846157</v>
      </c>
      <c r="O1100" s="5">
        <f t="shared" si="104"/>
        <v>8.1761006289308158E-2</v>
      </c>
      <c r="P1100" s="5">
        <f t="shared" si="105"/>
        <v>0.13372093023255816</v>
      </c>
      <c r="Q1100" s="4">
        <f t="shared" si="106"/>
        <v>1.1669007155635065</v>
      </c>
      <c r="R1100" s="4">
        <f t="shared" si="107"/>
        <v>0.62932441471571909</v>
      </c>
      <c r="S1100" s="4">
        <v>4.92</v>
      </c>
      <c r="T1100" s="2">
        <v>0.9</v>
      </c>
      <c r="U1100" s="2">
        <v>18.920000000000002</v>
      </c>
      <c r="V1100" s="2">
        <v>11.48</v>
      </c>
      <c r="W1100" s="2">
        <v>-4.76</v>
      </c>
      <c r="X1100" s="2">
        <v>-13.27</v>
      </c>
      <c r="Y1100" s="2">
        <v>-6.18</v>
      </c>
      <c r="Z1100" s="2">
        <v>-4.04</v>
      </c>
    </row>
    <row r="1101" spans="1:26" x14ac:dyDescent="0.25">
      <c r="A1101" s="1" t="s">
        <v>4678</v>
      </c>
      <c r="B1101" s="1" t="s">
        <v>4679</v>
      </c>
      <c r="C1101" s="1" t="s">
        <v>16</v>
      </c>
      <c r="D1101" s="1" t="s">
        <v>67</v>
      </c>
      <c r="E1101" s="1" t="s">
        <v>619</v>
      </c>
      <c r="F1101" s="1" t="s">
        <v>4680</v>
      </c>
      <c r="G1101" s="1" t="s">
        <v>12480</v>
      </c>
      <c r="H1101" s="1" t="s">
        <v>4681</v>
      </c>
      <c r="I1101" s="2">
        <v>59.81</v>
      </c>
      <c r="J1101" s="2">
        <v>1.92</v>
      </c>
      <c r="K1101" s="2">
        <v>2.09</v>
      </c>
      <c r="L1101" s="2">
        <v>2.48</v>
      </c>
      <c r="M1101" s="4">
        <f t="shared" si="102"/>
        <v>28.617224880382778</v>
      </c>
      <c r="N1101" s="4">
        <f t="shared" si="103"/>
        <v>24.116935483870968</v>
      </c>
      <c r="O1101" s="5">
        <f t="shared" si="104"/>
        <v>8.8541666666666741E-2</v>
      </c>
      <c r="P1101" s="5">
        <f t="shared" si="105"/>
        <v>0.1866028708133971</v>
      </c>
      <c r="Q1101" s="4">
        <f t="shared" si="106"/>
        <v>3.2320630453138168</v>
      </c>
      <c r="R1101" s="4">
        <f t="shared" si="107"/>
        <v>1.2924203887510342</v>
      </c>
      <c r="S1101" s="4">
        <v>5.12</v>
      </c>
      <c r="T1101" s="2">
        <v>1.72</v>
      </c>
      <c r="U1101" s="2">
        <v>92.89</v>
      </c>
      <c r="V1101" s="2">
        <v>56.79</v>
      </c>
      <c r="W1101" s="2">
        <v>-10.38</v>
      </c>
      <c r="X1101" s="2">
        <v>-12.17</v>
      </c>
      <c r="Y1101" s="2">
        <v>-3.87</v>
      </c>
      <c r="Z1101" s="2">
        <v>-1.77</v>
      </c>
    </row>
    <row r="1102" spans="1:26" x14ac:dyDescent="0.25">
      <c r="A1102" s="1" t="s">
        <v>4682</v>
      </c>
      <c r="B1102" s="1" t="s">
        <v>4683</v>
      </c>
      <c r="C1102" s="1" t="s">
        <v>16</v>
      </c>
      <c r="D1102" s="1" t="s">
        <v>38</v>
      </c>
      <c r="E1102" s="1" t="s">
        <v>254</v>
      </c>
      <c r="F1102" s="1" t="s">
        <v>4684</v>
      </c>
      <c r="G1102" s="1" t="s">
        <v>12480</v>
      </c>
      <c r="H1102" s="1" t="s">
        <v>4685</v>
      </c>
      <c r="I1102" s="2">
        <v>49.45</v>
      </c>
      <c r="J1102" s="2">
        <v>4.97</v>
      </c>
      <c r="K1102" s="2">
        <v>6.05</v>
      </c>
      <c r="L1102" s="2">
        <v>6.65</v>
      </c>
      <c r="M1102" s="4">
        <f t="shared" si="102"/>
        <v>8.1735537190082646</v>
      </c>
      <c r="N1102" s="4">
        <f t="shared" si="103"/>
        <v>7.4360902255639099</v>
      </c>
      <c r="O1102" s="5">
        <f t="shared" si="104"/>
        <v>0.21730382293762585</v>
      </c>
      <c r="P1102" s="5">
        <f t="shared" si="105"/>
        <v>9.9173553719008378E-2</v>
      </c>
      <c r="Q1102" s="4">
        <f t="shared" si="106"/>
        <v>0.37613483318028756</v>
      </c>
      <c r="R1102" s="4">
        <f t="shared" si="107"/>
        <v>0.74980576441102675</v>
      </c>
      <c r="S1102" s="4">
        <v>5.58</v>
      </c>
      <c r="T1102" s="2">
        <v>0.99</v>
      </c>
      <c r="U1102" s="2">
        <v>64.209999999999994</v>
      </c>
      <c r="V1102" s="2">
        <v>49.39</v>
      </c>
      <c r="W1102" s="2">
        <v>-4.28</v>
      </c>
      <c r="X1102" s="2">
        <v>-12.12</v>
      </c>
      <c r="Y1102" s="2">
        <v>-12.57</v>
      </c>
      <c r="Z1102" s="2">
        <v>-9.42</v>
      </c>
    </row>
    <row r="1103" spans="1:26" x14ac:dyDescent="0.25">
      <c r="A1103" s="1" t="s">
        <v>4686</v>
      </c>
      <c r="B1103" s="1" t="s">
        <v>4687</v>
      </c>
      <c r="C1103" s="1" t="s">
        <v>31</v>
      </c>
      <c r="D1103" s="1" t="s">
        <v>88</v>
      </c>
      <c r="E1103" s="1" t="s">
        <v>440</v>
      </c>
      <c r="F1103" s="1" t="s">
        <v>4688</v>
      </c>
      <c r="G1103" s="1" t="s">
        <v>12480</v>
      </c>
      <c r="H1103" s="1" t="s">
        <v>4689</v>
      </c>
      <c r="I1103" s="2">
        <v>47.959499999999998</v>
      </c>
      <c r="J1103" s="2">
        <v>2.06</v>
      </c>
      <c r="K1103" s="2">
        <v>3.38</v>
      </c>
      <c r="L1103" s="2">
        <v>3.57</v>
      </c>
      <c r="M1103" s="4">
        <f t="shared" si="102"/>
        <v>14.189201183431953</v>
      </c>
      <c r="N1103" s="4">
        <f t="shared" si="103"/>
        <v>13.434033613445377</v>
      </c>
      <c r="O1103" s="5">
        <f t="shared" si="104"/>
        <v>0.64077669902912615</v>
      </c>
      <c r="P1103" s="5">
        <f t="shared" si="105"/>
        <v>5.6213017751479244E-2</v>
      </c>
      <c r="Q1103" s="4">
        <f t="shared" si="106"/>
        <v>0.22143753362022595</v>
      </c>
      <c r="R1103" s="4">
        <f t="shared" si="107"/>
        <v>2.3898438743918637</v>
      </c>
      <c r="S1103" s="4">
        <v>30.46</v>
      </c>
      <c r="T1103" s="2">
        <v>0.24</v>
      </c>
      <c r="U1103" s="2">
        <v>58.84</v>
      </c>
      <c r="V1103" s="2">
        <v>10.25</v>
      </c>
      <c r="W1103" s="2">
        <v>-14.48</v>
      </c>
      <c r="X1103" s="2">
        <v>-10.44</v>
      </c>
      <c r="Y1103" s="2">
        <v>25.84</v>
      </c>
      <c r="Z1103" s="2">
        <v>7.26</v>
      </c>
    </row>
    <row r="1104" spans="1:26" x14ac:dyDescent="0.25">
      <c r="A1104" s="1" t="s">
        <v>4690</v>
      </c>
      <c r="B1104" s="1" t="s">
        <v>4691</v>
      </c>
      <c r="C1104" s="1" t="s">
        <v>31</v>
      </c>
      <c r="D1104" s="1" t="s">
        <v>38</v>
      </c>
      <c r="E1104" s="1" t="s">
        <v>473</v>
      </c>
      <c r="F1104" s="1" t="s">
        <v>4692</v>
      </c>
      <c r="G1104" s="1" t="s">
        <v>12480</v>
      </c>
      <c r="H1104" s="1" t="s">
        <v>4693</v>
      </c>
      <c r="I1104" s="2">
        <v>6.22</v>
      </c>
      <c r="J1104" s="2">
        <v>2.44</v>
      </c>
      <c r="K1104" s="2">
        <v>2.61</v>
      </c>
      <c r="L1104" s="2">
        <v>2.79</v>
      </c>
      <c r="M1104" s="4">
        <f t="shared" si="102"/>
        <v>2.3831417624521074</v>
      </c>
      <c r="N1104" s="4">
        <f t="shared" si="103"/>
        <v>2.2293906810035842</v>
      </c>
      <c r="O1104" s="5">
        <f t="shared" si="104"/>
        <v>6.9672131147541005E-2</v>
      </c>
      <c r="P1104" s="5">
        <f t="shared" si="105"/>
        <v>6.8965517241379448E-2</v>
      </c>
      <c r="Q1104" s="4">
        <f t="shared" si="106"/>
        <v>0.34205093531665531</v>
      </c>
      <c r="R1104" s="4">
        <f t="shared" si="107"/>
        <v>0.32326164874551905</v>
      </c>
      <c r="S1104" s="4">
        <v>4.26</v>
      </c>
      <c r="T1104" s="2">
        <v>1.78</v>
      </c>
      <c r="U1104" s="2">
        <v>15.31</v>
      </c>
      <c r="V1104" s="2">
        <v>4.91</v>
      </c>
      <c r="W1104" s="2">
        <v>-12.15</v>
      </c>
      <c r="X1104" s="2">
        <v>-24.52</v>
      </c>
      <c r="Y1104" s="2">
        <v>-42.09</v>
      </c>
      <c r="Z1104" s="2">
        <v>-42.03</v>
      </c>
    </row>
    <row r="1105" spans="1:26" x14ac:dyDescent="0.25">
      <c r="A1105" s="1" t="s">
        <v>4694</v>
      </c>
      <c r="B1105" s="1" t="s">
        <v>4695</v>
      </c>
      <c r="C1105" s="1" t="s">
        <v>16</v>
      </c>
      <c r="D1105" s="1" t="s">
        <v>88</v>
      </c>
      <c r="E1105" s="1" t="s">
        <v>89</v>
      </c>
      <c r="F1105" s="1" t="s">
        <v>4696</v>
      </c>
      <c r="G1105" s="1" t="s">
        <v>12480</v>
      </c>
      <c r="H1105" s="1" t="s">
        <v>4697</v>
      </c>
      <c r="I1105" s="2">
        <v>263.02</v>
      </c>
      <c r="J1105" s="2">
        <v>3.21</v>
      </c>
      <c r="K1105" s="2">
        <v>8.41</v>
      </c>
      <c r="L1105" s="2">
        <v>8.5</v>
      </c>
      <c r="M1105" s="4">
        <f t="shared" si="102"/>
        <v>31.274673008323422</v>
      </c>
      <c r="N1105" s="4">
        <f t="shared" si="103"/>
        <v>30.943529411764704</v>
      </c>
      <c r="O1105" s="5">
        <f t="shared" si="104"/>
        <v>1.61993769470405</v>
      </c>
      <c r="P1105" s="5">
        <f t="shared" si="105"/>
        <v>1.0701545778834642E-2</v>
      </c>
      <c r="Q1105" s="4">
        <f t="shared" si="106"/>
        <v>0.19306096222445804</v>
      </c>
      <c r="R1105" s="4">
        <f t="shared" si="107"/>
        <v>28.915009150327005</v>
      </c>
      <c r="S1105" s="4">
        <v>-8.65</v>
      </c>
      <c r="T1105" s="2">
        <v>0.45</v>
      </c>
      <c r="U1105" s="2">
        <v>280.82</v>
      </c>
      <c r="V1105" s="2">
        <v>142.66999999999999</v>
      </c>
      <c r="W1105" s="2">
        <v>-5.36</v>
      </c>
      <c r="X1105" s="2">
        <v>5.92</v>
      </c>
      <c r="Y1105" s="2">
        <v>23.98</v>
      </c>
      <c r="Z1105" s="2">
        <v>26.89</v>
      </c>
    </row>
    <row r="1106" spans="1:26" x14ac:dyDescent="0.25">
      <c r="A1106" s="1" t="s">
        <v>4698</v>
      </c>
      <c r="B1106" s="1" t="s">
        <v>4699</v>
      </c>
      <c r="C1106" s="1" t="s">
        <v>45</v>
      </c>
      <c r="D1106" s="1" t="s">
        <v>18</v>
      </c>
      <c r="E1106" s="1" t="s">
        <v>74</v>
      </c>
      <c r="F1106" s="1" t="s">
        <v>4700</v>
      </c>
      <c r="G1106" s="1" t="s">
        <v>12480</v>
      </c>
      <c r="H1106" s="1" t="s">
        <v>12673</v>
      </c>
      <c r="I1106" s="2">
        <v>14.37</v>
      </c>
      <c r="J1106" s="2">
        <v>0.31</v>
      </c>
      <c r="K1106" s="2">
        <v>0.65</v>
      </c>
      <c r="L1106" s="2">
        <v>0.94</v>
      </c>
      <c r="M1106" s="4">
        <f t="shared" si="102"/>
        <v>22.107692307692307</v>
      </c>
      <c r="N1106" s="4">
        <f t="shared" si="103"/>
        <v>15.287234042553191</v>
      </c>
      <c r="O1106" s="5">
        <f t="shared" si="104"/>
        <v>1.096774193548387</v>
      </c>
      <c r="P1106" s="5">
        <f t="shared" si="105"/>
        <v>0.44615384615384612</v>
      </c>
      <c r="Q1106" s="4">
        <f t="shared" si="106"/>
        <v>0.20157013574660634</v>
      </c>
      <c r="R1106" s="4">
        <f t="shared" si="107"/>
        <v>0.34264490095377842</v>
      </c>
      <c r="S1106" s="4">
        <v>20.05</v>
      </c>
      <c r="T1106" s="2">
        <v>0.43</v>
      </c>
      <c r="U1106" s="2">
        <v>14.38</v>
      </c>
      <c r="V1106" s="2">
        <v>5.64</v>
      </c>
      <c r="W1106" s="2">
        <v>7.0000000000000007E-2</v>
      </c>
      <c r="X1106" s="2">
        <v>0.49</v>
      </c>
      <c r="Y1106" s="2">
        <v>32.08</v>
      </c>
      <c r="Z1106" s="2">
        <v>0.91</v>
      </c>
    </row>
    <row r="1107" spans="1:26" x14ac:dyDescent="0.25">
      <c r="A1107" s="1" t="s">
        <v>4701</v>
      </c>
      <c r="B1107" s="1" t="s">
        <v>4702</v>
      </c>
      <c r="C1107" s="1" t="s">
        <v>16</v>
      </c>
      <c r="D1107" s="1" t="s">
        <v>38</v>
      </c>
      <c r="E1107" s="1" t="s">
        <v>1755</v>
      </c>
      <c r="F1107" s="1" t="s">
        <v>4703</v>
      </c>
      <c r="G1107" s="1" t="s">
        <v>12485</v>
      </c>
      <c r="H1107" s="1" t="s">
        <v>4704</v>
      </c>
      <c r="I1107" s="2">
        <v>25.57</v>
      </c>
      <c r="J1107" s="2">
        <v>3.31</v>
      </c>
      <c r="K1107" s="2">
        <v>3.06</v>
      </c>
      <c r="L1107" s="2">
        <v>3.27</v>
      </c>
      <c r="M1107" s="4">
        <f t="shared" si="102"/>
        <v>8.3562091503267979</v>
      </c>
      <c r="N1107" s="4">
        <f t="shared" si="103"/>
        <v>7.8195718654434252</v>
      </c>
      <c r="O1107" s="5">
        <f t="shared" si="104"/>
        <v>-7.5528700906344448E-2</v>
      </c>
      <c r="P1107" s="5">
        <f t="shared" si="105"/>
        <v>6.8627450980392135E-2</v>
      </c>
      <c r="Q1107" s="4">
        <f t="shared" si="106"/>
        <v>-1.1063620915032675</v>
      </c>
      <c r="R1107" s="4">
        <f t="shared" si="107"/>
        <v>1.1394233289646138</v>
      </c>
      <c r="S1107" s="4">
        <v>10.14</v>
      </c>
      <c r="T1107" s="2">
        <v>1.42</v>
      </c>
      <c r="U1107" s="2">
        <v>30.31</v>
      </c>
      <c r="V1107" s="2">
        <v>18.45</v>
      </c>
      <c r="W1107" s="2">
        <v>-8.68</v>
      </c>
      <c r="X1107" s="2">
        <v>-11.55</v>
      </c>
      <c r="Y1107" s="2">
        <v>-4.09</v>
      </c>
      <c r="Z1107" s="2">
        <v>3.82</v>
      </c>
    </row>
    <row r="1108" spans="1:26" x14ac:dyDescent="0.25">
      <c r="A1108" s="1" t="s">
        <v>4705</v>
      </c>
      <c r="B1108" s="1" t="s">
        <v>4706</v>
      </c>
      <c r="C1108" s="1" t="s">
        <v>45</v>
      </c>
      <c r="D1108" s="1" t="s">
        <v>32</v>
      </c>
      <c r="E1108" s="1" t="s">
        <v>57</v>
      </c>
      <c r="F1108" s="1" t="s">
        <v>4707</v>
      </c>
      <c r="G1108" s="1" t="s">
        <v>12480</v>
      </c>
      <c r="H1108" s="1" t="s">
        <v>4708</v>
      </c>
      <c r="I1108" s="2">
        <v>89.04</v>
      </c>
      <c r="J1108" s="2">
        <v>1.3</v>
      </c>
      <c r="K1108" s="2">
        <v>1.8</v>
      </c>
      <c r="L1108" s="2">
        <v>2.1</v>
      </c>
      <c r="M1108" s="4">
        <f t="shared" si="102"/>
        <v>49.466666666666669</v>
      </c>
      <c r="N1108" s="4">
        <f t="shared" si="103"/>
        <v>42.4</v>
      </c>
      <c r="O1108" s="5">
        <f t="shared" si="104"/>
        <v>0.38461538461538458</v>
      </c>
      <c r="P1108" s="5">
        <f t="shared" si="105"/>
        <v>0.16666666666666674</v>
      </c>
      <c r="Q1108" s="4">
        <f t="shared" si="106"/>
        <v>1.2861333333333334</v>
      </c>
      <c r="R1108" s="4">
        <f t="shared" si="107"/>
        <v>2.5439999999999987</v>
      </c>
      <c r="S1108" s="4">
        <v>2.8</v>
      </c>
      <c r="T1108" s="2">
        <v>1.03</v>
      </c>
      <c r="U1108" s="2">
        <v>105.83</v>
      </c>
      <c r="V1108" s="2">
        <v>23.18</v>
      </c>
      <c r="W1108" s="2">
        <v>-10.69</v>
      </c>
      <c r="X1108" s="2">
        <v>-6.16</v>
      </c>
      <c r="Y1108" s="2">
        <v>58.26</v>
      </c>
      <c r="Z1108" s="2">
        <v>59.63</v>
      </c>
    </row>
    <row r="1109" spans="1:26" x14ac:dyDescent="0.25">
      <c r="A1109" s="1" t="s">
        <v>4710</v>
      </c>
      <c r="B1109" s="1" t="s">
        <v>4711</v>
      </c>
      <c r="C1109" s="1" t="s">
        <v>45</v>
      </c>
      <c r="D1109" s="1" t="s">
        <v>32</v>
      </c>
      <c r="E1109" s="1" t="s">
        <v>2203</v>
      </c>
      <c r="F1109" s="1" t="s">
        <v>4712</v>
      </c>
      <c r="G1109" s="1" t="s">
        <v>12480</v>
      </c>
      <c r="H1109" s="1" t="s">
        <v>4713</v>
      </c>
      <c r="I1109" s="2">
        <v>128.19999999999999</v>
      </c>
      <c r="J1109" s="2">
        <v>5.09</v>
      </c>
      <c r="K1109" s="2"/>
      <c r="L1109" s="2"/>
      <c r="M1109" s="4" t="e">
        <f t="shared" si="102"/>
        <v>#DIV/0!</v>
      </c>
      <c r="N1109" s="4" t="e">
        <f t="shared" si="103"/>
        <v>#DIV/0!</v>
      </c>
      <c r="O1109" s="5">
        <f t="shared" si="104"/>
        <v>-1</v>
      </c>
      <c r="P1109" s="5" t="e">
        <f t="shared" si="105"/>
        <v>#DIV/0!</v>
      </c>
      <c r="Q1109" s="4" t="e">
        <f t="shared" si="106"/>
        <v>#DIV/0!</v>
      </c>
      <c r="R1109" s="4" t="e">
        <f t="shared" si="107"/>
        <v>#DIV/0!</v>
      </c>
      <c r="S1109" s="4">
        <v>5.21</v>
      </c>
      <c r="T1109" s="2">
        <v>1.1200000000000001</v>
      </c>
      <c r="U1109" s="2">
        <v>190.56</v>
      </c>
      <c r="V1109" s="2">
        <v>83.8</v>
      </c>
      <c r="W1109" s="2">
        <v>10.68</v>
      </c>
      <c r="X1109" s="2">
        <v>-3.14</v>
      </c>
      <c r="Y1109" s="2">
        <v>-26.62</v>
      </c>
      <c r="Z1109" s="2">
        <v>-23.24</v>
      </c>
    </row>
    <row r="1110" spans="1:26" x14ac:dyDescent="0.25">
      <c r="A1110" s="1" t="s">
        <v>4715</v>
      </c>
      <c r="B1110" s="1" t="s">
        <v>4716</v>
      </c>
      <c r="C1110" s="1" t="s">
        <v>16</v>
      </c>
      <c r="D1110" s="1" t="s">
        <v>140</v>
      </c>
      <c r="E1110" s="1" t="s">
        <v>1555</v>
      </c>
      <c r="F1110" s="1" t="s">
        <v>4717</v>
      </c>
      <c r="G1110" s="1" t="s">
        <v>12480</v>
      </c>
      <c r="H1110" s="1" t="s">
        <v>4718</v>
      </c>
      <c r="I1110" s="2">
        <v>47.24</v>
      </c>
      <c r="J1110" s="2">
        <v>5.17</v>
      </c>
      <c r="K1110" s="2">
        <v>6.36</v>
      </c>
      <c r="L1110" s="2">
        <v>7.47</v>
      </c>
      <c r="M1110" s="4">
        <f t="shared" si="102"/>
        <v>7.4276729559748427</v>
      </c>
      <c r="N1110" s="4">
        <f t="shared" si="103"/>
        <v>6.3239625167336015</v>
      </c>
      <c r="O1110" s="5">
        <f t="shared" si="104"/>
        <v>0.23017408123791117</v>
      </c>
      <c r="P1110" s="5">
        <f t="shared" si="105"/>
        <v>0.17452830188679225</v>
      </c>
      <c r="Q1110" s="4">
        <f t="shared" si="106"/>
        <v>0.32269806035621773</v>
      </c>
      <c r="R1110" s="4">
        <f t="shared" si="107"/>
        <v>0.36234596041825001</v>
      </c>
      <c r="S1110" s="4">
        <v>25.5</v>
      </c>
      <c r="T1110" s="2">
        <v>1.65</v>
      </c>
      <c r="U1110" s="2">
        <v>106.81</v>
      </c>
      <c r="V1110" s="2">
        <v>44.07</v>
      </c>
      <c r="W1110" s="2">
        <v>0.64</v>
      </c>
      <c r="X1110" s="2">
        <v>-19.399999999999999</v>
      </c>
      <c r="Y1110" s="2">
        <v>-28.55</v>
      </c>
      <c r="Z1110" s="2">
        <v>-24.98</v>
      </c>
    </row>
    <row r="1111" spans="1:26" x14ac:dyDescent="0.25">
      <c r="A1111" s="1" t="s">
        <v>4719</v>
      </c>
      <c r="B1111" s="1" t="s">
        <v>4720</v>
      </c>
      <c r="C1111" s="1" t="s">
        <v>45</v>
      </c>
      <c r="D1111" s="1" t="s">
        <v>147</v>
      </c>
      <c r="E1111" s="1" t="s">
        <v>1695</v>
      </c>
      <c r="F1111" s="1" t="s">
        <v>4721</v>
      </c>
      <c r="G1111" s="1" t="s">
        <v>12502</v>
      </c>
      <c r="H1111" s="1" t="s">
        <v>4722</v>
      </c>
      <c r="I1111" s="2">
        <v>54.04</v>
      </c>
      <c r="J1111" s="2">
        <v>4.78</v>
      </c>
      <c r="K1111" s="2">
        <v>4.58</v>
      </c>
      <c r="L1111" s="2">
        <v>5.05</v>
      </c>
      <c r="M1111" s="4">
        <f t="shared" si="102"/>
        <v>11.799126637554584</v>
      </c>
      <c r="N1111" s="4">
        <f t="shared" si="103"/>
        <v>10.700990099009902</v>
      </c>
      <c r="O1111" s="5">
        <f t="shared" si="104"/>
        <v>-4.1841004184100417E-2</v>
      </c>
      <c r="P1111" s="5">
        <f t="shared" si="105"/>
        <v>0.10262008733624439</v>
      </c>
      <c r="Q1111" s="4">
        <f t="shared" si="106"/>
        <v>-2.819991266375546</v>
      </c>
      <c r="R1111" s="4">
        <f t="shared" si="107"/>
        <v>1.0427773330524557</v>
      </c>
      <c r="S1111" s="4">
        <v>16.600000000000001</v>
      </c>
      <c r="T1111" s="2">
        <v>0.59</v>
      </c>
      <c r="U1111" s="2">
        <v>67.760000000000005</v>
      </c>
      <c r="V1111" s="2">
        <v>43.81</v>
      </c>
      <c r="W1111" s="2">
        <v>3.94</v>
      </c>
      <c r="X1111" s="2">
        <v>-4.78</v>
      </c>
      <c r="Y1111" s="2">
        <v>-14.51</v>
      </c>
      <c r="Z1111" s="2">
        <v>-16.77</v>
      </c>
    </row>
    <row r="1112" spans="1:26" x14ac:dyDescent="0.25">
      <c r="A1112" s="1" t="s">
        <v>4719</v>
      </c>
      <c r="B1112" s="1" t="s">
        <v>4723</v>
      </c>
      <c r="C1112" s="1" t="s">
        <v>45</v>
      </c>
      <c r="D1112" s="1" t="s">
        <v>147</v>
      </c>
      <c r="E1112" s="1" t="s">
        <v>1695</v>
      </c>
      <c r="F1112" s="1" t="s">
        <v>4724</v>
      </c>
      <c r="G1112" s="1" t="s">
        <v>12502</v>
      </c>
      <c r="H1112" s="1" t="s">
        <v>4722</v>
      </c>
      <c r="I1112" s="2">
        <v>59.26</v>
      </c>
      <c r="J1112" s="2">
        <v>4.78</v>
      </c>
      <c r="K1112" s="2">
        <v>4.5999999999999996</v>
      </c>
      <c r="L1112" s="2">
        <v>5.24</v>
      </c>
      <c r="M1112" s="4">
        <f t="shared" si="102"/>
        <v>12.882608695652175</v>
      </c>
      <c r="N1112" s="4">
        <f t="shared" si="103"/>
        <v>11.309160305343511</v>
      </c>
      <c r="O1112" s="5">
        <f t="shared" si="104"/>
        <v>-3.765690376569053E-2</v>
      </c>
      <c r="P1112" s="5">
        <f t="shared" si="105"/>
        <v>0.13913043478260878</v>
      </c>
      <c r="Q1112" s="4">
        <f t="shared" si="106"/>
        <v>-3.4210483091787305</v>
      </c>
      <c r="R1112" s="4">
        <f t="shared" si="107"/>
        <v>0.81284589694656439</v>
      </c>
      <c r="S1112" s="4">
        <v>16.600000000000001</v>
      </c>
      <c r="T1112" s="2">
        <v>0.55000000000000004</v>
      </c>
      <c r="U1112" s="2">
        <v>76.11</v>
      </c>
      <c r="V1112" s="2">
        <v>47.21</v>
      </c>
      <c r="W1112" s="2">
        <v>4.3499999999999996</v>
      </c>
      <c r="X1112" s="2">
        <v>-5.71</v>
      </c>
      <c r="Y1112" s="2">
        <v>-16.809999999999999</v>
      </c>
      <c r="Z1112" s="2">
        <v>-18.899999999999999</v>
      </c>
    </row>
    <row r="1113" spans="1:26" x14ac:dyDescent="0.25">
      <c r="A1113" s="1" t="s">
        <v>4725</v>
      </c>
      <c r="B1113" s="1" t="s">
        <v>4726</v>
      </c>
      <c r="C1113" s="1" t="s">
        <v>31</v>
      </c>
      <c r="D1113" s="1" t="s">
        <v>2417</v>
      </c>
      <c r="E1113" s="1" t="s">
        <v>2418</v>
      </c>
      <c r="F1113" s="1" t="s">
        <v>4727</v>
      </c>
      <c r="G1113" s="1" t="s">
        <v>12480</v>
      </c>
      <c r="H1113" s="1" t="s">
        <v>4728</v>
      </c>
      <c r="I1113" s="2">
        <v>3.9</v>
      </c>
      <c r="J1113" s="2">
        <v>0.8</v>
      </c>
      <c r="K1113" s="2"/>
      <c r="L1113" s="2"/>
      <c r="M1113" s="4" t="e">
        <f t="shared" si="102"/>
        <v>#DIV/0!</v>
      </c>
      <c r="N1113" s="4" t="e">
        <f t="shared" si="103"/>
        <v>#DIV/0!</v>
      </c>
      <c r="O1113" s="5">
        <f t="shared" si="104"/>
        <v>-1</v>
      </c>
      <c r="P1113" s="5" t="e">
        <f t="shared" si="105"/>
        <v>#DIV/0!</v>
      </c>
      <c r="Q1113" s="4" t="e">
        <f t="shared" si="106"/>
        <v>#DIV/0!</v>
      </c>
      <c r="R1113" s="4" t="e">
        <f t="shared" si="107"/>
        <v>#DIV/0!</v>
      </c>
      <c r="S1113" s="4">
        <v>-4.3099999999999996</v>
      </c>
      <c r="T1113" s="2">
        <v>0.62</v>
      </c>
      <c r="U1113" s="2">
        <v>4.43</v>
      </c>
      <c r="V1113" s="2">
        <v>2.81</v>
      </c>
      <c r="W1113" s="2">
        <v>-4.88</v>
      </c>
      <c r="X1113" s="2">
        <v>-6.02</v>
      </c>
      <c r="Y1113" s="2">
        <v>-1.02</v>
      </c>
      <c r="Z1113" s="2">
        <v>-1.27</v>
      </c>
    </row>
    <row r="1114" spans="1:26" x14ac:dyDescent="0.25">
      <c r="A1114" s="1" t="s">
        <v>4729</v>
      </c>
      <c r="B1114" s="1" t="s">
        <v>4730</v>
      </c>
      <c r="C1114" s="1" t="s">
        <v>31</v>
      </c>
      <c r="D1114" s="1" t="s">
        <v>88</v>
      </c>
      <c r="E1114" s="1" t="s">
        <v>2402</v>
      </c>
      <c r="F1114" s="1" t="s">
        <v>4731</v>
      </c>
      <c r="G1114" s="1" t="s">
        <v>12480</v>
      </c>
      <c r="H1114" s="1" t="s">
        <v>4732</v>
      </c>
      <c r="I1114" s="2">
        <v>20.75</v>
      </c>
      <c r="J1114" s="2">
        <v>0.57999999999999996</v>
      </c>
      <c r="K1114" s="2"/>
      <c r="L1114" s="2"/>
      <c r="M1114" s="4" t="e">
        <f t="shared" si="102"/>
        <v>#DIV/0!</v>
      </c>
      <c r="N1114" s="4" t="e">
        <f t="shared" si="103"/>
        <v>#DIV/0!</v>
      </c>
      <c r="O1114" s="5">
        <f t="shared" si="104"/>
        <v>-1</v>
      </c>
      <c r="P1114" s="5" t="e">
        <f t="shared" si="105"/>
        <v>#DIV/0!</v>
      </c>
      <c r="Q1114" s="4" t="e">
        <f t="shared" si="106"/>
        <v>#DIV/0!</v>
      </c>
      <c r="R1114" s="4" t="e">
        <f t="shared" si="107"/>
        <v>#DIV/0!</v>
      </c>
      <c r="S1114" s="4">
        <v>35.18</v>
      </c>
      <c r="T1114" s="2">
        <v>1.91</v>
      </c>
      <c r="U1114" s="2">
        <v>22.7</v>
      </c>
      <c r="V1114" s="2" t="s">
        <v>12487</v>
      </c>
      <c r="W1114" s="2">
        <v>-7.86</v>
      </c>
      <c r="X1114" s="2">
        <v>2.93</v>
      </c>
      <c r="Y1114" s="2">
        <v>54.51</v>
      </c>
      <c r="Z1114" s="2">
        <v>57.2</v>
      </c>
    </row>
    <row r="1115" spans="1:26" x14ac:dyDescent="0.25">
      <c r="A1115" s="1" t="s">
        <v>4733</v>
      </c>
      <c r="B1115" s="1" t="s">
        <v>4734</v>
      </c>
      <c r="C1115" s="1" t="s">
        <v>16</v>
      </c>
      <c r="D1115" s="1" t="s">
        <v>32</v>
      </c>
      <c r="E1115" s="1" t="s">
        <v>33</v>
      </c>
      <c r="F1115" s="1" t="s">
        <v>4735</v>
      </c>
      <c r="G1115" s="1" t="s">
        <v>12502</v>
      </c>
      <c r="H1115" s="1" t="s">
        <v>2306</v>
      </c>
      <c r="I1115" s="2">
        <v>34.479999999999997</v>
      </c>
      <c r="J1115" s="2"/>
      <c r="K1115" s="2"/>
      <c r="L1115" s="2">
        <v>0.95</v>
      </c>
      <c r="M1115" s="4" t="e">
        <f t="shared" si="102"/>
        <v>#DIV/0!</v>
      </c>
      <c r="N1115" s="4">
        <f t="shared" si="103"/>
        <v>36.294736842105259</v>
      </c>
      <c r="O1115" s="5" t="e">
        <f t="shared" si="104"/>
        <v>#DIV/0!</v>
      </c>
      <c r="P1115" s="5" t="e">
        <f t="shared" si="105"/>
        <v>#DIV/0!</v>
      </c>
      <c r="Q1115" s="4" t="e">
        <f t="shared" si="106"/>
        <v>#DIV/0!</v>
      </c>
      <c r="R1115" s="4" t="e">
        <f t="shared" si="107"/>
        <v>#DIV/0!</v>
      </c>
      <c r="S1115" s="4"/>
      <c r="T1115" s="2"/>
      <c r="U1115" s="2">
        <v>35.99</v>
      </c>
      <c r="V1115" s="2" t="s">
        <v>12674</v>
      </c>
      <c r="W1115" s="2">
        <v>-4.2</v>
      </c>
      <c r="X1115" s="2">
        <v>2.93</v>
      </c>
      <c r="Y1115" s="2"/>
      <c r="Z1115" s="2"/>
    </row>
    <row r="1116" spans="1:26" x14ac:dyDescent="0.25">
      <c r="A1116" s="1" t="s">
        <v>4736</v>
      </c>
      <c r="B1116" s="1" t="s">
        <v>4737</v>
      </c>
      <c r="C1116" s="1" t="s">
        <v>31</v>
      </c>
      <c r="D1116" s="1" t="s">
        <v>88</v>
      </c>
      <c r="E1116" s="1" t="s">
        <v>2402</v>
      </c>
      <c r="F1116" s="1" t="s">
        <v>4738</v>
      </c>
      <c r="G1116" s="1" t="s">
        <v>12480</v>
      </c>
      <c r="H1116" s="1" t="s">
        <v>4739</v>
      </c>
      <c r="I1116" s="2">
        <v>23.93</v>
      </c>
      <c r="J1116" s="2">
        <v>0.01</v>
      </c>
      <c r="K1116" s="2">
        <v>0.97</v>
      </c>
      <c r="L1116" s="2">
        <v>2.09</v>
      </c>
      <c r="M1116" s="4">
        <f t="shared" si="102"/>
        <v>24.670103092783506</v>
      </c>
      <c r="N1116" s="4">
        <f t="shared" si="103"/>
        <v>11.44976076555024</v>
      </c>
      <c r="O1116" s="5">
        <f t="shared" si="104"/>
        <v>96</v>
      </c>
      <c r="P1116" s="5">
        <f t="shared" si="105"/>
        <v>1.1546391752577319</v>
      </c>
      <c r="Q1116" s="4">
        <f t="shared" si="106"/>
        <v>2.569802405498282E-3</v>
      </c>
      <c r="R1116" s="4">
        <f t="shared" si="107"/>
        <v>9.9163106630211911E-2</v>
      </c>
      <c r="S1116" s="4">
        <v>9.06</v>
      </c>
      <c r="T1116" s="2">
        <v>1.27</v>
      </c>
      <c r="U1116" s="2">
        <v>30.95</v>
      </c>
      <c r="V1116" s="2">
        <v>10.54</v>
      </c>
      <c r="W1116" s="2">
        <v>-18.47</v>
      </c>
      <c r="X1116" s="2">
        <v>-16.149999999999999</v>
      </c>
      <c r="Y1116" s="2">
        <v>-2.68</v>
      </c>
      <c r="Z1116" s="2">
        <v>-10.8</v>
      </c>
    </row>
    <row r="1117" spans="1:26" x14ac:dyDescent="0.25">
      <c r="A1117" s="1" t="s">
        <v>4740</v>
      </c>
      <c r="B1117" s="1" t="s">
        <v>4741</v>
      </c>
      <c r="C1117" s="1" t="s">
        <v>16</v>
      </c>
      <c r="D1117" s="1" t="s">
        <v>38</v>
      </c>
      <c r="E1117" s="1" t="s">
        <v>510</v>
      </c>
      <c r="F1117" s="1" t="s">
        <v>4742</v>
      </c>
      <c r="G1117" s="1" t="s">
        <v>12480</v>
      </c>
      <c r="H1117" s="1" t="s">
        <v>4743</v>
      </c>
      <c r="I1117" s="2">
        <v>60.52</v>
      </c>
      <c r="J1117" s="2">
        <v>2.96</v>
      </c>
      <c r="K1117" s="2">
        <v>3.17</v>
      </c>
      <c r="L1117" s="2">
        <v>3.44</v>
      </c>
      <c r="M1117" s="4">
        <f t="shared" si="102"/>
        <v>19.091482649842273</v>
      </c>
      <c r="N1117" s="4">
        <f t="shared" si="103"/>
        <v>17.593023255813954</v>
      </c>
      <c r="O1117" s="5">
        <f t="shared" si="104"/>
        <v>7.0945945945945832E-2</v>
      </c>
      <c r="P1117" s="5">
        <f t="shared" si="105"/>
        <v>8.5173501577286981E-2</v>
      </c>
      <c r="Q1117" s="4">
        <f t="shared" si="106"/>
        <v>2.690989935406344</v>
      </c>
      <c r="R1117" s="4">
        <f t="shared" si="107"/>
        <v>2.0655512489233439</v>
      </c>
      <c r="S1117" s="4">
        <v>8.58</v>
      </c>
      <c r="T1117" s="2">
        <v>1.1100000000000001</v>
      </c>
      <c r="U1117" s="2">
        <v>63.5</v>
      </c>
      <c r="V1117" s="2">
        <v>43.07</v>
      </c>
      <c r="W1117" s="2">
        <v>-4.6900000000000004</v>
      </c>
      <c r="X1117" s="2">
        <v>1.51</v>
      </c>
      <c r="Y1117" s="2">
        <v>3.75</v>
      </c>
      <c r="Z1117" s="2">
        <v>5.67</v>
      </c>
    </row>
    <row r="1118" spans="1:26" x14ac:dyDescent="0.25">
      <c r="A1118" s="1" t="s">
        <v>4745</v>
      </c>
      <c r="B1118" s="1" t="s">
        <v>4746</v>
      </c>
      <c r="C1118" s="1" t="s">
        <v>31</v>
      </c>
      <c r="D1118" s="1" t="s">
        <v>38</v>
      </c>
      <c r="E1118" s="1" t="s">
        <v>194</v>
      </c>
      <c r="F1118" s="1" t="s">
        <v>4747</v>
      </c>
      <c r="G1118" s="1" t="s">
        <v>12480</v>
      </c>
      <c r="H1118" s="1" t="s">
        <v>4748</v>
      </c>
      <c r="I1118" s="2" t="s">
        <v>12676</v>
      </c>
      <c r="J1118" s="2">
        <v>213.78</v>
      </c>
      <c r="K1118" s="2">
        <v>191.34</v>
      </c>
      <c r="L1118" s="2">
        <v>185.53</v>
      </c>
      <c r="M1118" s="4">
        <f t="shared" si="102"/>
        <v>8.5972614194627361</v>
      </c>
      <c r="N1118" s="4">
        <f t="shared" si="103"/>
        <v>8.8664905945130172</v>
      </c>
      <c r="O1118" s="5">
        <f t="shared" si="104"/>
        <v>-0.1049677238282346</v>
      </c>
      <c r="P1118" s="5">
        <f t="shared" si="105"/>
        <v>-3.0364795651719456E-2</v>
      </c>
      <c r="Q1118" s="4">
        <f t="shared" si="106"/>
        <v>-0.81903856784881657</v>
      </c>
      <c r="R1118" s="4">
        <f t="shared" si="107"/>
        <v>-2.9199902071499491</v>
      </c>
      <c r="S1118" s="4">
        <v>1.71</v>
      </c>
      <c r="T1118" s="2">
        <v>0.59</v>
      </c>
      <c r="U1118" s="2">
        <v>1916.53</v>
      </c>
      <c r="V1118" s="2" t="s">
        <v>12675</v>
      </c>
      <c r="W1118" s="2">
        <v>-3.94</v>
      </c>
      <c r="X1118" s="2">
        <v>-3.91</v>
      </c>
      <c r="Y1118" s="2">
        <v>-9.32</v>
      </c>
      <c r="Z1118" s="2">
        <v>-13.79</v>
      </c>
    </row>
    <row r="1119" spans="1:26" x14ac:dyDescent="0.25">
      <c r="A1119" s="1" t="s">
        <v>4749</v>
      </c>
      <c r="B1119" s="1" t="s">
        <v>4750</v>
      </c>
      <c r="C1119" s="1" t="s">
        <v>45</v>
      </c>
      <c r="D1119" s="1" t="s">
        <v>38</v>
      </c>
      <c r="E1119" s="1" t="s">
        <v>52</v>
      </c>
      <c r="F1119" s="1" t="s">
        <v>4751</v>
      </c>
      <c r="G1119" s="1" t="s">
        <v>12490</v>
      </c>
      <c r="H1119" s="1" t="s">
        <v>1137</v>
      </c>
      <c r="I1119" s="2">
        <v>132.19999999999999</v>
      </c>
      <c r="J1119" s="2">
        <v>1.4</v>
      </c>
      <c r="K1119" s="2"/>
      <c r="L1119" s="2"/>
      <c r="M1119" s="4" t="e">
        <f t="shared" si="102"/>
        <v>#DIV/0!</v>
      </c>
      <c r="N1119" s="4" t="e">
        <f t="shared" si="103"/>
        <v>#DIV/0!</v>
      </c>
      <c r="O1119" s="5">
        <f t="shared" si="104"/>
        <v>-1</v>
      </c>
      <c r="P1119" s="5" t="e">
        <f t="shared" si="105"/>
        <v>#DIV/0!</v>
      </c>
      <c r="Q1119" s="4" t="e">
        <f t="shared" si="106"/>
        <v>#DIV/0!</v>
      </c>
      <c r="R1119" s="4" t="e">
        <f t="shared" si="107"/>
        <v>#DIV/0!</v>
      </c>
      <c r="S1119" s="4">
        <v>25.41</v>
      </c>
      <c r="T1119" s="2">
        <v>0.84</v>
      </c>
      <c r="U1119" s="2">
        <v>190.14</v>
      </c>
      <c r="V1119" s="2">
        <v>112.03</v>
      </c>
      <c r="W1119" s="2">
        <v>5.46</v>
      </c>
      <c r="X1119" s="2">
        <v>8.2200000000000006</v>
      </c>
      <c r="Y1119" s="2">
        <v>0.24</v>
      </c>
      <c r="Z1119" s="2">
        <v>8.65</v>
      </c>
    </row>
    <row r="1120" spans="1:26" x14ac:dyDescent="0.25">
      <c r="A1120" s="1" t="s">
        <v>4752</v>
      </c>
      <c r="B1120" s="1" t="s">
        <v>4753</v>
      </c>
      <c r="C1120" s="1" t="s">
        <v>31</v>
      </c>
      <c r="D1120" s="1" t="s">
        <v>94</v>
      </c>
      <c r="E1120" s="1" t="s">
        <v>3650</v>
      </c>
      <c r="F1120" s="1" t="s">
        <v>4754</v>
      </c>
      <c r="G1120" s="1" t="s">
        <v>12480</v>
      </c>
      <c r="H1120" s="1" t="s">
        <v>4755</v>
      </c>
      <c r="I1120" s="2">
        <v>12.996499999999999</v>
      </c>
      <c r="J1120" s="2">
        <v>0.72</v>
      </c>
      <c r="K1120" s="2"/>
      <c r="L1120" s="2"/>
      <c r="M1120" s="4" t="e">
        <f t="shared" si="102"/>
        <v>#DIV/0!</v>
      </c>
      <c r="N1120" s="4" t="e">
        <f t="shared" si="103"/>
        <v>#DIV/0!</v>
      </c>
      <c r="O1120" s="5">
        <f t="shared" si="104"/>
        <v>-1</v>
      </c>
      <c r="P1120" s="5" t="e">
        <f t="shared" si="105"/>
        <v>#DIV/0!</v>
      </c>
      <c r="Q1120" s="4" t="e">
        <f t="shared" si="106"/>
        <v>#DIV/0!</v>
      </c>
      <c r="R1120" s="4" t="e">
        <f t="shared" si="107"/>
        <v>#DIV/0!</v>
      </c>
      <c r="S1120" s="4">
        <v>-3.06</v>
      </c>
      <c r="T1120" s="2"/>
      <c r="U1120" s="2">
        <v>13.15</v>
      </c>
      <c r="V1120" s="2">
        <v>9.67</v>
      </c>
      <c r="W1120" s="2">
        <v>0.9</v>
      </c>
      <c r="X1120" s="2">
        <v>5.49</v>
      </c>
      <c r="Y1120" s="2">
        <v>17.760000000000002</v>
      </c>
      <c r="Z1120" s="2">
        <v>17.190000000000001</v>
      </c>
    </row>
    <row r="1121" spans="1:26" x14ac:dyDescent="0.25">
      <c r="A1121" s="1" t="s">
        <v>4756</v>
      </c>
      <c r="B1121" s="1" t="s">
        <v>4757</v>
      </c>
      <c r="C1121" s="1" t="s">
        <v>45</v>
      </c>
      <c r="D1121" s="1" t="s">
        <v>38</v>
      </c>
      <c r="E1121" s="1" t="s">
        <v>1093</v>
      </c>
      <c r="F1121" s="1" t="s">
        <v>4758</v>
      </c>
      <c r="G1121" s="1" t="s">
        <v>12480</v>
      </c>
      <c r="H1121" s="1" t="s">
        <v>4759</v>
      </c>
      <c r="I1121" s="2">
        <v>36.92</v>
      </c>
      <c r="J1121" s="2">
        <v>3.89</v>
      </c>
      <c r="K1121" s="2">
        <v>4.1900000000000004</v>
      </c>
      <c r="L1121" s="2">
        <v>4.5</v>
      </c>
      <c r="M1121" s="4">
        <f t="shared" si="102"/>
        <v>8.8114558472553703</v>
      </c>
      <c r="N1121" s="4">
        <f t="shared" si="103"/>
        <v>8.2044444444444444</v>
      </c>
      <c r="O1121" s="5">
        <f t="shared" si="104"/>
        <v>7.7120822622108065E-2</v>
      </c>
      <c r="P1121" s="5">
        <f t="shared" si="105"/>
        <v>7.3985680190930658E-2</v>
      </c>
      <c r="Q1121" s="4">
        <f t="shared" si="106"/>
        <v>1.1425521081941117</v>
      </c>
      <c r="R1121" s="4">
        <f t="shared" si="107"/>
        <v>1.1089232974910415</v>
      </c>
      <c r="S1121" s="4">
        <v>-2.04</v>
      </c>
      <c r="T1121" s="2">
        <v>0.93</v>
      </c>
      <c r="U1121" s="2">
        <v>42.54</v>
      </c>
      <c r="V1121" s="2">
        <v>34.130000000000003</v>
      </c>
      <c r="W1121" s="2">
        <v>-6.18</v>
      </c>
      <c r="X1121" s="2">
        <v>-12.16</v>
      </c>
      <c r="Y1121" s="2">
        <v>-5.31</v>
      </c>
      <c r="Z1121" s="2">
        <v>-1.49</v>
      </c>
    </row>
    <row r="1122" spans="1:26" x14ac:dyDescent="0.25">
      <c r="A1122" s="1" t="s">
        <v>4761</v>
      </c>
      <c r="B1122" s="1" t="s">
        <v>4762</v>
      </c>
      <c r="C1122" s="1" t="s">
        <v>45</v>
      </c>
      <c r="D1122" s="1" t="s">
        <v>94</v>
      </c>
      <c r="E1122" s="1" t="s">
        <v>95</v>
      </c>
      <c r="F1122" s="1" t="s">
        <v>4763</v>
      </c>
      <c r="G1122" s="1" t="s">
        <v>12480</v>
      </c>
      <c r="H1122" s="1" t="s">
        <v>4764</v>
      </c>
      <c r="I1122" s="2">
        <v>7.98</v>
      </c>
      <c r="J1122" s="2"/>
      <c r="K1122" s="2">
        <v>0.44</v>
      </c>
      <c r="L1122" s="2">
        <v>1.58</v>
      </c>
      <c r="M1122" s="4">
        <f t="shared" si="102"/>
        <v>18.136363636363637</v>
      </c>
      <c r="N1122" s="4">
        <f t="shared" si="103"/>
        <v>5.0506329113924053</v>
      </c>
      <c r="O1122" s="5" t="e">
        <f t="shared" si="104"/>
        <v>#DIV/0!</v>
      </c>
      <c r="P1122" s="5">
        <f t="shared" si="105"/>
        <v>2.5909090909090913</v>
      </c>
      <c r="Q1122" s="4" t="e">
        <f t="shared" si="106"/>
        <v>#DIV/0!</v>
      </c>
      <c r="R1122" s="4">
        <f t="shared" si="107"/>
        <v>1.9493670886075946E-2</v>
      </c>
      <c r="S1122" s="4"/>
      <c r="T1122" s="2"/>
      <c r="U1122" s="2">
        <v>32.53</v>
      </c>
      <c r="V1122" s="2">
        <v>7.2</v>
      </c>
      <c r="W1122" s="2">
        <v>-21.84</v>
      </c>
      <c r="X1122" s="2">
        <v>-8.17</v>
      </c>
      <c r="Y1122" s="2">
        <v>-7.1</v>
      </c>
      <c r="Z1122" s="2">
        <v>-0.25</v>
      </c>
    </row>
    <row r="1123" spans="1:26" x14ac:dyDescent="0.25">
      <c r="A1123" s="1" t="s">
        <v>4765</v>
      </c>
      <c r="B1123" s="1" t="s">
        <v>4766</v>
      </c>
      <c r="C1123" s="1" t="s">
        <v>16</v>
      </c>
      <c r="D1123" s="1" t="s">
        <v>46</v>
      </c>
      <c r="E1123" s="1" t="s">
        <v>770</v>
      </c>
      <c r="F1123" s="1" t="s">
        <v>4767</v>
      </c>
      <c r="G1123" s="1" t="s">
        <v>12480</v>
      </c>
      <c r="H1123" s="1" t="s">
        <v>4768</v>
      </c>
      <c r="I1123" s="2">
        <v>35.49</v>
      </c>
      <c r="J1123" s="2">
        <v>1.77</v>
      </c>
      <c r="K1123" s="2"/>
      <c r="L1123" s="2"/>
      <c r="M1123" s="4" t="e">
        <f t="shared" si="102"/>
        <v>#DIV/0!</v>
      </c>
      <c r="N1123" s="4" t="e">
        <f t="shared" si="103"/>
        <v>#DIV/0!</v>
      </c>
      <c r="O1123" s="5">
        <f t="shared" si="104"/>
        <v>-1</v>
      </c>
      <c r="P1123" s="5" t="e">
        <f t="shared" si="105"/>
        <v>#DIV/0!</v>
      </c>
      <c r="Q1123" s="4" t="e">
        <f t="shared" si="106"/>
        <v>#DIV/0!</v>
      </c>
      <c r="R1123" s="4" t="e">
        <f t="shared" si="107"/>
        <v>#DIV/0!</v>
      </c>
      <c r="S1123" s="4">
        <v>-8.85</v>
      </c>
      <c r="T1123" s="2" t="s">
        <v>12489</v>
      </c>
      <c r="U1123" s="2">
        <v>39.619999999999997</v>
      </c>
      <c r="V1123" s="2">
        <v>12.83</v>
      </c>
      <c r="W1123" s="2">
        <v>-10.42</v>
      </c>
      <c r="X1123" s="2">
        <v>21.96</v>
      </c>
      <c r="Y1123" s="2" t="s">
        <v>12677</v>
      </c>
      <c r="Z1123" s="2">
        <v>62.65</v>
      </c>
    </row>
    <row r="1124" spans="1:26" x14ac:dyDescent="0.25">
      <c r="A1124" s="1" t="s">
        <v>4769</v>
      </c>
      <c r="B1124" s="1" t="s">
        <v>4770</v>
      </c>
      <c r="C1124" s="1" t="s">
        <v>45</v>
      </c>
      <c r="D1124" s="1" t="s">
        <v>32</v>
      </c>
      <c r="E1124" s="1" t="s">
        <v>311</v>
      </c>
      <c r="F1124" s="1" t="s">
        <v>4771</v>
      </c>
      <c r="G1124" s="1" t="s">
        <v>12480</v>
      </c>
      <c r="H1124" s="1" t="s">
        <v>4772</v>
      </c>
      <c r="I1124" s="2">
        <v>42.18</v>
      </c>
      <c r="J1124" s="2">
        <v>0.82</v>
      </c>
      <c r="K1124" s="2">
        <v>0.9</v>
      </c>
      <c r="L1124" s="2">
        <v>1.1299999999999999</v>
      </c>
      <c r="M1124" s="4">
        <f t="shared" si="102"/>
        <v>46.866666666666667</v>
      </c>
      <c r="N1124" s="4">
        <f t="shared" si="103"/>
        <v>37.327433628318587</v>
      </c>
      <c r="O1124" s="5">
        <f t="shared" si="104"/>
        <v>9.7560975609756184E-2</v>
      </c>
      <c r="P1124" s="5">
        <f t="shared" si="105"/>
        <v>0.25555555555555531</v>
      </c>
      <c r="Q1124" s="4">
        <f t="shared" si="106"/>
        <v>4.803833333333329</v>
      </c>
      <c r="R1124" s="4">
        <f t="shared" si="107"/>
        <v>1.4606387071950766</v>
      </c>
      <c r="S1124" s="4">
        <v>24.12</v>
      </c>
      <c r="T1124" s="2">
        <v>1.2</v>
      </c>
      <c r="U1124" s="2">
        <v>68.98</v>
      </c>
      <c r="V1124" s="2">
        <v>27.99</v>
      </c>
      <c r="W1124" s="2">
        <v>1.44</v>
      </c>
      <c r="X1124" s="2">
        <v>-17.7</v>
      </c>
      <c r="Y1124" s="2">
        <v>-36.24</v>
      </c>
      <c r="Z1124" s="2">
        <v>-32.47</v>
      </c>
    </row>
    <row r="1125" spans="1:26" x14ac:dyDescent="0.25">
      <c r="A1125" s="1" t="s">
        <v>4774</v>
      </c>
      <c r="B1125" s="1" t="s">
        <v>4775</v>
      </c>
      <c r="C1125" s="1" t="s">
        <v>45</v>
      </c>
      <c r="D1125" s="1" t="s">
        <v>128</v>
      </c>
      <c r="E1125" s="1" t="s">
        <v>556</v>
      </c>
      <c r="F1125" s="1" t="s">
        <v>4776</v>
      </c>
      <c r="G1125" s="1" t="s">
        <v>12480</v>
      </c>
      <c r="H1125" s="1" t="s">
        <v>266</v>
      </c>
      <c r="I1125" s="2">
        <v>82.83</v>
      </c>
      <c r="J1125" s="2">
        <v>2.64</v>
      </c>
      <c r="K1125" s="2">
        <v>1.36</v>
      </c>
      <c r="L1125" s="2">
        <v>1.83</v>
      </c>
      <c r="M1125" s="4">
        <f t="shared" si="102"/>
        <v>60.904411764705877</v>
      </c>
      <c r="N1125" s="4">
        <f t="shared" si="103"/>
        <v>45.26229508196721</v>
      </c>
      <c r="O1125" s="5">
        <f t="shared" si="104"/>
        <v>-0.48484848484848486</v>
      </c>
      <c r="P1125" s="5">
        <f t="shared" si="105"/>
        <v>0.34558823529411753</v>
      </c>
      <c r="Q1125" s="4">
        <f t="shared" si="106"/>
        <v>-1.2561534926470588</v>
      </c>
      <c r="R1125" s="4">
        <f t="shared" si="107"/>
        <v>1.3097174747122431</v>
      </c>
      <c r="S1125" s="4">
        <v>13.01</v>
      </c>
      <c r="T1125" s="2">
        <v>1.66</v>
      </c>
      <c r="U1125" s="2">
        <v>96.86</v>
      </c>
      <c r="V1125" s="2">
        <v>48.35</v>
      </c>
      <c r="W1125" s="2">
        <v>-1.81</v>
      </c>
      <c r="X1125" s="2">
        <v>18.46</v>
      </c>
      <c r="Y1125" s="2">
        <v>30.32</v>
      </c>
      <c r="Z1125" s="2">
        <v>35.94</v>
      </c>
    </row>
    <row r="1126" spans="1:26" x14ac:dyDescent="0.25">
      <c r="A1126" s="1" t="s">
        <v>4777</v>
      </c>
      <c r="B1126" s="1" t="s">
        <v>4778</v>
      </c>
      <c r="C1126" s="1" t="s">
        <v>45</v>
      </c>
      <c r="D1126" s="1" t="s">
        <v>32</v>
      </c>
      <c r="E1126" s="1" t="s">
        <v>311</v>
      </c>
      <c r="F1126" s="1" t="s">
        <v>4779</v>
      </c>
      <c r="G1126" s="1" t="s">
        <v>12480</v>
      </c>
      <c r="H1126" s="1" t="s">
        <v>3936</v>
      </c>
      <c r="I1126" s="2">
        <v>8.39</v>
      </c>
      <c r="J1126" s="2">
        <v>0.66</v>
      </c>
      <c r="K1126" s="2">
        <v>0.56000000000000005</v>
      </c>
      <c r="L1126" s="2">
        <v>0.68</v>
      </c>
      <c r="M1126" s="4">
        <f t="shared" si="102"/>
        <v>14.982142857142856</v>
      </c>
      <c r="N1126" s="4">
        <f t="shared" si="103"/>
        <v>12.338235294117647</v>
      </c>
      <c r="O1126" s="5">
        <f t="shared" si="104"/>
        <v>-0.15151515151515149</v>
      </c>
      <c r="P1126" s="5">
        <f t="shared" si="105"/>
        <v>0.21428571428571419</v>
      </c>
      <c r="Q1126" s="4">
        <f t="shared" si="106"/>
        <v>-0.98882142857142863</v>
      </c>
      <c r="R1126" s="4">
        <f t="shared" si="107"/>
        <v>0.57578431372549044</v>
      </c>
      <c r="S1126" s="4">
        <v>16.43</v>
      </c>
      <c r="T1126" s="2">
        <v>0.93</v>
      </c>
      <c r="U1126" s="2">
        <v>16.45</v>
      </c>
      <c r="V1126" s="2">
        <v>6.88</v>
      </c>
      <c r="W1126" s="2">
        <v>3.84</v>
      </c>
      <c r="X1126" s="2">
        <v>-2.78</v>
      </c>
      <c r="Y1126" s="2">
        <v>-32.72</v>
      </c>
      <c r="Z1126" s="2">
        <v>-31.51</v>
      </c>
    </row>
    <row r="1127" spans="1:26" x14ac:dyDescent="0.25">
      <c r="A1127" s="1" t="s">
        <v>4780</v>
      </c>
      <c r="B1127" s="1" t="s">
        <v>4781</v>
      </c>
      <c r="C1127" s="1" t="s">
        <v>16</v>
      </c>
      <c r="D1127" s="1" t="s">
        <v>38</v>
      </c>
      <c r="E1127" s="1" t="s">
        <v>83</v>
      </c>
      <c r="F1127" s="1" t="s">
        <v>4782</v>
      </c>
      <c r="G1127" s="1" t="s">
        <v>12480</v>
      </c>
      <c r="H1127" s="1" t="s">
        <v>4783</v>
      </c>
      <c r="I1127" s="2">
        <v>106.54</v>
      </c>
      <c r="J1127" s="2">
        <v>7.22</v>
      </c>
      <c r="K1127" s="2">
        <v>7.45</v>
      </c>
      <c r="L1127" s="2">
        <v>7.79</v>
      </c>
      <c r="M1127" s="4">
        <f t="shared" si="102"/>
        <v>14.300671140939597</v>
      </c>
      <c r="N1127" s="4">
        <f t="shared" si="103"/>
        <v>13.676508344030809</v>
      </c>
      <c r="O1127" s="5">
        <f t="shared" si="104"/>
        <v>3.1855955678670389E-2</v>
      </c>
      <c r="P1127" s="5">
        <f t="shared" si="105"/>
        <v>4.5637583892617517E-2</v>
      </c>
      <c r="Q1127" s="4">
        <f t="shared" si="106"/>
        <v>4.4891672016340785</v>
      </c>
      <c r="R1127" s="4">
        <f t="shared" si="107"/>
        <v>2.9967643283243937</v>
      </c>
      <c r="S1127" s="4">
        <v>6.36</v>
      </c>
      <c r="T1127" s="2">
        <v>0.99</v>
      </c>
      <c r="U1127" s="2">
        <v>110.57</v>
      </c>
      <c r="V1127" s="2">
        <v>83.56</v>
      </c>
      <c r="W1127" s="2">
        <v>-3.44</v>
      </c>
      <c r="X1127" s="2">
        <v>0.41</v>
      </c>
      <c r="Y1127" s="2">
        <v>5.58</v>
      </c>
      <c r="Z1127" s="2">
        <v>5.69</v>
      </c>
    </row>
    <row r="1128" spans="1:26" x14ac:dyDescent="0.25">
      <c r="A1128" s="1" t="s">
        <v>4784</v>
      </c>
      <c r="B1128" s="1" t="s">
        <v>4785</v>
      </c>
      <c r="C1128" s="1" t="s">
        <v>31</v>
      </c>
      <c r="D1128" s="1" t="s">
        <v>32</v>
      </c>
      <c r="E1128" s="1" t="s">
        <v>4787</v>
      </c>
      <c r="F1128" s="1" t="s">
        <v>4786</v>
      </c>
      <c r="G1128" s="1" t="s">
        <v>12480</v>
      </c>
      <c r="H1128" s="1" t="s">
        <v>4788</v>
      </c>
      <c r="I1128" s="2">
        <v>32.038600000000002</v>
      </c>
      <c r="J1128" s="2">
        <v>2.71</v>
      </c>
      <c r="K1128" s="2"/>
      <c r="L1128" s="2"/>
      <c r="M1128" s="4" t="e">
        <f t="shared" si="102"/>
        <v>#DIV/0!</v>
      </c>
      <c r="N1128" s="4" t="e">
        <f t="shared" si="103"/>
        <v>#DIV/0!</v>
      </c>
      <c r="O1128" s="5">
        <f t="shared" si="104"/>
        <v>-1</v>
      </c>
      <c r="P1128" s="5" t="e">
        <f t="shared" si="105"/>
        <v>#DIV/0!</v>
      </c>
      <c r="Q1128" s="4" t="e">
        <f t="shared" si="106"/>
        <v>#DIV/0!</v>
      </c>
      <c r="R1128" s="4" t="e">
        <f t="shared" si="107"/>
        <v>#DIV/0!</v>
      </c>
      <c r="S1128" s="4">
        <v>-5.69</v>
      </c>
      <c r="T1128" s="2">
        <v>-0.11</v>
      </c>
      <c r="U1128" s="2" t="s">
        <v>12656</v>
      </c>
      <c r="V1128" s="2">
        <v>26.87</v>
      </c>
      <c r="W1128" s="2">
        <v>-7.88</v>
      </c>
      <c r="X1128" s="2">
        <v>-9.52</v>
      </c>
      <c r="Y1128" s="2">
        <v>4.09</v>
      </c>
      <c r="Z1128" s="2">
        <v>4.09</v>
      </c>
    </row>
    <row r="1129" spans="1:26" x14ac:dyDescent="0.25">
      <c r="A1129" s="1" t="s">
        <v>4789</v>
      </c>
      <c r="B1129" s="1" t="s">
        <v>4790</v>
      </c>
      <c r="C1129" s="1" t="s">
        <v>45</v>
      </c>
      <c r="D1129" s="1" t="s">
        <v>94</v>
      </c>
      <c r="E1129" s="1" t="s">
        <v>1055</v>
      </c>
      <c r="F1129" s="1" t="s">
        <v>4791</v>
      </c>
      <c r="G1129" s="1" t="s">
        <v>12480</v>
      </c>
      <c r="H1129" s="1" t="s">
        <v>4792</v>
      </c>
      <c r="I1129" s="2">
        <v>195.38</v>
      </c>
      <c r="J1129" s="2">
        <v>14.21</v>
      </c>
      <c r="K1129" s="2">
        <v>18.57</v>
      </c>
      <c r="L1129" s="2">
        <v>25.23</v>
      </c>
      <c r="M1129" s="4">
        <f t="shared" si="102"/>
        <v>10.521270866989768</v>
      </c>
      <c r="N1129" s="4">
        <f t="shared" si="103"/>
        <v>7.743955608402695</v>
      </c>
      <c r="O1129" s="5">
        <f t="shared" si="104"/>
        <v>0.30682617874736096</v>
      </c>
      <c r="P1129" s="5">
        <f t="shared" si="105"/>
        <v>0.35864297253634891</v>
      </c>
      <c r="Q1129" s="4">
        <f t="shared" si="106"/>
        <v>0.34290655738514825</v>
      </c>
      <c r="R1129" s="4">
        <f t="shared" si="107"/>
        <v>0.21592380727933644</v>
      </c>
      <c r="S1129" s="4">
        <v>24.09</v>
      </c>
      <c r="T1129" s="2">
        <v>1.65</v>
      </c>
      <c r="U1129" s="2">
        <v>284.58999999999997</v>
      </c>
      <c r="V1129" s="2">
        <v>120.38</v>
      </c>
      <c r="W1129" s="2">
        <v>-2.2400000000000002</v>
      </c>
      <c r="X1129" s="2">
        <v>-12.04</v>
      </c>
      <c r="Y1129" s="2">
        <v>-23.65</v>
      </c>
      <c r="Z1129" s="2">
        <v>-25.21</v>
      </c>
    </row>
    <row r="1130" spans="1:26" x14ac:dyDescent="0.25">
      <c r="A1130" s="1" t="s">
        <v>4793</v>
      </c>
      <c r="B1130" s="1" t="s">
        <v>4794</v>
      </c>
      <c r="C1130" s="1" t="s">
        <v>45</v>
      </c>
      <c r="D1130" s="1" t="s">
        <v>32</v>
      </c>
      <c r="E1130" s="1" t="s">
        <v>311</v>
      </c>
      <c r="F1130" s="1" t="s">
        <v>4795</v>
      </c>
      <c r="G1130" s="1" t="s">
        <v>12480</v>
      </c>
      <c r="H1130" s="1" t="s">
        <v>4796</v>
      </c>
      <c r="I1130" s="2">
        <v>21.83</v>
      </c>
      <c r="J1130" s="2">
        <v>0.13</v>
      </c>
      <c r="K1130" s="2">
        <v>0.26</v>
      </c>
      <c r="L1130" s="2">
        <v>0.37</v>
      </c>
      <c r="M1130" s="4">
        <f t="shared" si="102"/>
        <v>83.961538461538453</v>
      </c>
      <c r="N1130" s="4">
        <f t="shared" si="103"/>
        <v>58.999999999999993</v>
      </c>
      <c r="O1130" s="5">
        <f t="shared" si="104"/>
        <v>1</v>
      </c>
      <c r="P1130" s="5">
        <f t="shared" si="105"/>
        <v>0.42307692307692291</v>
      </c>
      <c r="Q1130" s="4">
        <f t="shared" si="106"/>
        <v>0.83961538461538454</v>
      </c>
      <c r="R1130" s="4">
        <f t="shared" si="107"/>
        <v>1.394545454545455</v>
      </c>
      <c r="S1130" s="4">
        <v>14.78</v>
      </c>
      <c r="T1130" s="2">
        <v>0.88</v>
      </c>
      <c r="U1130" s="2">
        <v>21.83</v>
      </c>
      <c r="V1130" s="2" t="s">
        <v>12508</v>
      </c>
      <c r="W1130" s="2">
        <v>3.12</v>
      </c>
      <c r="X1130" s="2">
        <v>150.34</v>
      </c>
      <c r="Y1130" s="2">
        <v>111.53</v>
      </c>
      <c r="Z1130" s="2">
        <v>114.44</v>
      </c>
    </row>
    <row r="1131" spans="1:26" x14ac:dyDescent="0.25">
      <c r="A1131" s="1" t="s">
        <v>4797</v>
      </c>
      <c r="B1131" s="1" t="s">
        <v>4798</v>
      </c>
      <c r="C1131" s="1" t="s">
        <v>16</v>
      </c>
      <c r="D1131" s="1" t="s">
        <v>88</v>
      </c>
      <c r="E1131" s="1" t="s">
        <v>658</v>
      </c>
      <c r="F1131" s="1" t="s">
        <v>4799</v>
      </c>
      <c r="G1131" s="1" t="s">
        <v>12480</v>
      </c>
      <c r="H1131" s="1" t="s">
        <v>4800</v>
      </c>
      <c r="I1131" s="2">
        <v>11.63</v>
      </c>
      <c r="J1131" s="2">
        <v>0.66</v>
      </c>
      <c r="K1131" s="2">
        <v>1.85</v>
      </c>
      <c r="L1131" s="2">
        <v>1.71</v>
      </c>
      <c r="M1131" s="4">
        <f t="shared" si="102"/>
        <v>6.2864864864864867</v>
      </c>
      <c r="N1131" s="4">
        <f t="shared" si="103"/>
        <v>6.8011695906432754</v>
      </c>
      <c r="O1131" s="5">
        <f t="shared" si="104"/>
        <v>1.8030303030303032</v>
      </c>
      <c r="P1131" s="5">
        <f t="shared" si="105"/>
        <v>-7.5675675675675791E-2</v>
      </c>
      <c r="Q1131" s="4">
        <f t="shared" si="106"/>
        <v>3.4866227572109922E-2</v>
      </c>
      <c r="R1131" s="4">
        <f t="shared" si="107"/>
        <v>-0.89872598162071715</v>
      </c>
      <c r="S1131" s="4">
        <v>-10.83</v>
      </c>
      <c r="T1131" s="2">
        <v>0.82</v>
      </c>
      <c r="U1131" s="2">
        <v>13.66</v>
      </c>
      <c r="V1131" s="2">
        <v>4.63</v>
      </c>
      <c r="W1131" s="2">
        <v>-14.23</v>
      </c>
      <c r="X1131" s="2">
        <v>5.54</v>
      </c>
      <c r="Y1131" s="2">
        <v>21.4</v>
      </c>
      <c r="Z1131" s="2">
        <v>18.55</v>
      </c>
    </row>
    <row r="1132" spans="1:26" x14ac:dyDescent="0.25">
      <c r="A1132" s="1" t="s">
        <v>4801</v>
      </c>
      <c r="B1132" s="1" t="s">
        <v>4802</v>
      </c>
      <c r="C1132" s="1" t="s">
        <v>31</v>
      </c>
      <c r="D1132" s="1" t="s">
        <v>18</v>
      </c>
      <c r="E1132" s="1" t="s">
        <v>336</v>
      </c>
      <c r="F1132" s="1" t="s">
        <v>4803</v>
      </c>
      <c r="G1132" s="1" t="s">
        <v>12480</v>
      </c>
      <c r="H1132" s="1" t="s">
        <v>4804</v>
      </c>
      <c r="I1132" s="2">
        <v>13.97</v>
      </c>
      <c r="J1132" s="2" t="s">
        <v>12493</v>
      </c>
      <c r="K1132" s="2">
        <v>1.08</v>
      </c>
      <c r="L1132" s="2">
        <v>1.17</v>
      </c>
      <c r="M1132" s="4">
        <f t="shared" si="102"/>
        <v>12.935185185185185</v>
      </c>
      <c r="N1132" s="4">
        <f t="shared" si="103"/>
        <v>11.940170940170942</v>
      </c>
      <c r="O1132" s="5">
        <f t="shared" si="104"/>
        <v>8.0000000000000071E-2</v>
      </c>
      <c r="P1132" s="5">
        <f t="shared" si="105"/>
        <v>8.3333333333333259E-2</v>
      </c>
      <c r="Q1132" s="4">
        <f t="shared" si="106"/>
        <v>1.6168981481481468</v>
      </c>
      <c r="R1132" s="4">
        <f t="shared" si="107"/>
        <v>1.4328205128205145</v>
      </c>
      <c r="S1132" s="4">
        <v>9.5</v>
      </c>
      <c r="T1132" s="2">
        <v>0.75</v>
      </c>
      <c r="U1132" s="2">
        <v>22.45</v>
      </c>
      <c r="V1132" s="2">
        <v>9.9600000000000009</v>
      </c>
      <c r="W1132" s="2">
        <v>-5.29</v>
      </c>
      <c r="X1132" s="2">
        <v>-6.56</v>
      </c>
      <c r="Y1132" s="2">
        <v>-2.5099999999999998</v>
      </c>
      <c r="Z1132" s="2">
        <v>-2.5099999999999998</v>
      </c>
    </row>
    <row r="1133" spans="1:26" x14ac:dyDescent="0.25">
      <c r="A1133" s="1" t="s">
        <v>4805</v>
      </c>
      <c r="B1133" s="1" t="s">
        <v>4806</v>
      </c>
      <c r="C1133" s="1" t="s">
        <v>16</v>
      </c>
      <c r="D1133" s="1" t="s">
        <v>305</v>
      </c>
      <c r="E1133" s="1" t="s">
        <v>349</v>
      </c>
      <c r="F1133" s="1" t="s">
        <v>4807</v>
      </c>
      <c r="G1133" s="1" t="s">
        <v>12480</v>
      </c>
      <c r="H1133" s="1" t="s">
        <v>4808</v>
      </c>
      <c r="I1133" s="2">
        <v>106.19</v>
      </c>
      <c r="J1133" s="2">
        <v>4.2300000000000004</v>
      </c>
      <c r="K1133" s="2">
        <v>4.6900000000000004</v>
      </c>
      <c r="L1133" s="2">
        <v>5.32</v>
      </c>
      <c r="M1133" s="4">
        <f t="shared" si="102"/>
        <v>22.641791044776117</v>
      </c>
      <c r="N1133" s="4">
        <f t="shared" si="103"/>
        <v>19.960526315789473</v>
      </c>
      <c r="O1133" s="5">
        <f t="shared" si="104"/>
        <v>0.10874704491725762</v>
      </c>
      <c r="P1133" s="5">
        <f t="shared" si="105"/>
        <v>0.13432835820895517</v>
      </c>
      <c r="Q1133" s="4">
        <f t="shared" si="106"/>
        <v>2.0820603504218052</v>
      </c>
      <c r="R1133" s="4">
        <f t="shared" si="107"/>
        <v>1.4859502923976615</v>
      </c>
      <c r="S1133" s="4">
        <v>17.14</v>
      </c>
      <c r="T1133" s="2">
        <v>1.32</v>
      </c>
      <c r="U1133" s="2">
        <v>129.80000000000001</v>
      </c>
      <c r="V1133" s="2">
        <v>69.23</v>
      </c>
      <c r="W1133" s="2">
        <v>-11.19</v>
      </c>
      <c r="X1133" s="2">
        <v>-9.0500000000000007</v>
      </c>
      <c r="Y1133" s="2">
        <v>-3.51</v>
      </c>
      <c r="Z1133" s="2">
        <v>-2.21</v>
      </c>
    </row>
    <row r="1134" spans="1:26" x14ac:dyDescent="0.25">
      <c r="A1134" s="1" t="s">
        <v>4809</v>
      </c>
      <c r="B1134" s="1" t="s">
        <v>4810</v>
      </c>
      <c r="C1134" s="1" t="s">
        <v>31</v>
      </c>
      <c r="D1134" s="1" t="s">
        <v>88</v>
      </c>
      <c r="E1134" s="1" t="s">
        <v>658</v>
      </c>
      <c r="F1134" s="1" t="s">
        <v>4811</v>
      </c>
      <c r="G1134" s="1" t="s">
        <v>12502</v>
      </c>
      <c r="H1134" s="1" t="s">
        <v>4812</v>
      </c>
      <c r="I1134" s="2">
        <v>27.441500000000001</v>
      </c>
      <c r="J1134" s="2">
        <v>2.2000000000000002</v>
      </c>
      <c r="K1134" s="2">
        <v>2.34</v>
      </c>
      <c r="L1134" s="2">
        <v>1.74</v>
      </c>
      <c r="M1134" s="4">
        <f t="shared" si="102"/>
        <v>11.727136752136753</v>
      </c>
      <c r="N1134" s="4">
        <f t="shared" si="103"/>
        <v>15.770977011494253</v>
      </c>
      <c r="O1134" s="5">
        <f t="shared" si="104"/>
        <v>6.3636363636363491E-2</v>
      </c>
      <c r="P1134" s="5">
        <f t="shared" si="105"/>
        <v>-0.25641025641025639</v>
      </c>
      <c r="Q1134" s="4">
        <f t="shared" si="106"/>
        <v>1.8428357753357796</v>
      </c>
      <c r="R1134" s="4">
        <f t="shared" si="107"/>
        <v>-0.61506810344827589</v>
      </c>
      <c r="S1134" s="4">
        <v>-14.7</v>
      </c>
      <c r="T1134" s="2">
        <v>0.9</v>
      </c>
      <c r="U1134" s="2">
        <v>31.5</v>
      </c>
      <c r="V1134" s="2">
        <v>16.95</v>
      </c>
      <c r="W1134" s="2">
        <v>-8.3800000000000008</v>
      </c>
      <c r="X1134" s="2">
        <v>-11.62</v>
      </c>
      <c r="Y1134" s="2">
        <v>-8.65</v>
      </c>
      <c r="Z1134" s="2">
        <v>-5.73</v>
      </c>
    </row>
    <row r="1135" spans="1:26" x14ac:dyDescent="0.25">
      <c r="A1135" s="1" t="s">
        <v>4813</v>
      </c>
      <c r="B1135" s="1" t="s">
        <v>4814</v>
      </c>
      <c r="C1135" s="1" t="s">
        <v>45</v>
      </c>
      <c r="D1135" s="1" t="s">
        <v>38</v>
      </c>
      <c r="E1135" s="1" t="s">
        <v>1093</v>
      </c>
      <c r="F1135" s="1" t="s">
        <v>4815</v>
      </c>
      <c r="G1135" s="1" t="s">
        <v>12480</v>
      </c>
      <c r="H1135" s="1" t="s">
        <v>4816</v>
      </c>
      <c r="I1135" s="2">
        <v>36.08</v>
      </c>
      <c r="J1135" s="2">
        <v>3.56</v>
      </c>
      <c r="K1135" s="2">
        <v>4.05</v>
      </c>
      <c r="L1135" s="2">
        <v>5.03</v>
      </c>
      <c r="M1135" s="4">
        <f t="shared" si="102"/>
        <v>8.9086419753086421</v>
      </c>
      <c r="N1135" s="4">
        <f t="shared" si="103"/>
        <v>7.1729622266401583</v>
      </c>
      <c r="O1135" s="5">
        <f t="shared" si="104"/>
        <v>0.13764044943820219</v>
      </c>
      <c r="P1135" s="5">
        <f t="shared" si="105"/>
        <v>0.24197530864197536</v>
      </c>
      <c r="Q1135" s="4">
        <f t="shared" si="106"/>
        <v>0.64724011085915867</v>
      </c>
      <c r="R1135" s="4">
        <f t="shared" si="107"/>
        <v>0.29643364303972075</v>
      </c>
      <c r="S1135" s="4">
        <v>3.7</v>
      </c>
      <c r="T1135" s="2">
        <v>0.89</v>
      </c>
      <c r="U1135" s="2">
        <v>41.4</v>
      </c>
      <c r="V1135" s="2">
        <v>30.16</v>
      </c>
      <c r="W1135" s="2">
        <v>-2.8</v>
      </c>
      <c r="X1135" s="2">
        <v>-10.85</v>
      </c>
      <c r="Y1135" s="2">
        <v>-6.21</v>
      </c>
      <c r="Z1135" s="2">
        <v>-4.13</v>
      </c>
    </row>
    <row r="1136" spans="1:26" x14ac:dyDescent="0.25">
      <c r="A1136" s="1" t="s">
        <v>4817</v>
      </c>
      <c r="B1136" s="1" t="s">
        <v>4818</v>
      </c>
      <c r="C1136" s="1" t="s">
        <v>45</v>
      </c>
      <c r="D1136" s="1" t="s">
        <v>38</v>
      </c>
      <c r="E1136" s="1" t="s">
        <v>1806</v>
      </c>
      <c r="F1136" s="1" t="s">
        <v>4819</v>
      </c>
      <c r="G1136" s="1" t="s">
        <v>12480</v>
      </c>
      <c r="H1136" s="1" t="s">
        <v>4820</v>
      </c>
      <c r="I1136" s="2">
        <v>150.06</v>
      </c>
      <c r="J1136" s="2">
        <v>5.75</v>
      </c>
      <c r="K1136" s="2">
        <v>6.15</v>
      </c>
      <c r="L1136" s="2">
        <v>6.82</v>
      </c>
      <c r="M1136" s="4">
        <f t="shared" si="102"/>
        <v>24.4</v>
      </c>
      <c r="N1136" s="4">
        <f t="shared" si="103"/>
        <v>22.002932551319649</v>
      </c>
      <c r="O1136" s="5">
        <f t="shared" si="104"/>
        <v>6.956521739130439E-2</v>
      </c>
      <c r="P1136" s="5">
        <f t="shared" si="105"/>
        <v>0.10894308943089426</v>
      </c>
      <c r="Q1136" s="4">
        <f t="shared" si="106"/>
        <v>3.5074999999999976</v>
      </c>
      <c r="R1136" s="4">
        <f t="shared" si="107"/>
        <v>2.019672167024118</v>
      </c>
      <c r="S1136" s="4">
        <v>5.38</v>
      </c>
      <c r="T1136" s="2">
        <v>1.05</v>
      </c>
      <c r="U1136" s="2">
        <v>208.43</v>
      </c>
      <c r="V1136" s="2">
        <v>148.81</v>
      </c>
      <c r="W1136" s="2">
        <v>-3.51</v>
      </c>
      <c r="X1136" s="2">
        <v>-8.66</v>
      </c>
      <c r="Y1136" s="2">
        <v>-1.9</v>
      </c>
      <c r="Z1136" s="2">
        <v>-3.52</v>
      </c>
    </row>
    <row r="1137" spans="1:26" x14ac:dyDescent="0.25">
      <c r="A1137" s="1" t="s">
        <v>4822</v>
      </c>
      <c r="B1137" s="1" t="s">
        <v>4823</v>
      </c>
      <c r="C1137" s="1" t="s">
        <v>45</v>
      </c>
      <c r="D1137" s="1" t="s">
        <v>204</v>
      </c>
      <c r="E1137" s="1" t="s">
        <v>534</v>
      </c>
      <c r="F1137" s="1" t="s">
        <v>4824</v>
      </c>
      <c r="G1137" s="1" t="s">
        <v>12480</v>
      </c>
      <c r="H1137" s="1" t="s">
        <v>4825</v>
      </c>
      <c r="I1137" s="2">
        <v>276.33999999999997</v>
      </c>
      <c r="J1137" s="2">
        <v>4.5999999999999996</v>
      </c>
      <c r="K1137" s="2">
        <v>6.75</v>
      </c>
      <c r="L1137" s="2">
        <v>9.4</v>
      </c>
      <c r="M1137" s="4">
        <f t="shared" si="102"/>
        <v>40.939259259259252</v>
      </c>
      <c r="N1137" s="4">
        <f t="shared" si="103"/>
        <v>29.397872340425529</v>
      </c>
      <c r="O1137" s="5">
        <f t="shared" si="104"/>
        <v>0.46739130434782616</v>
      </c>
      <c r="P1137" s="5">
        <f t="shared" si="105"/>
        <v>0.3925925925925926</v>
      </c>
      <c r="Q1137" s="4">
        <f t="shared" si="106"/>
        <v>0.87590973298880248</v>
      </c>
      <c r="R1137" s="4">
        <f t="shared" si="107"/>
        <v>0.74881372942593327</v>
      </c>
      <c r="S1137" s="4">
        <v>44.53</v>
      </c>
      <c r="T1137" s="2">
        <v>1.5</v>
      </c>
      <c r="U1137" s="2">
        <v>310.04000000000002</v>
      </c>
      <c r="V1137" s="2">
        <v>86.9</v>
      </c>
      <c r="W1137" s="2">
        <v>-7.31</v>
      </c>
      <c r="X1137" s="2">
        <v>0.35</v>
      </c>
      <c r="Y1137" s="2">
        <v>61.9</v>
      </c>
      <c r="Z1137" s="2">
        <v>40.380000000000003</v>
      </c>
    </row>
    <row r="1138" spans="1:26" x14ac:dyDescent="0.25">
      <c r="A1138" s="1" t="s">
        <v>4826</v>
      </c>
      <c r="B1138" s="1" t="s">
        <v>4827</v>
      </c>
      <c r="C1138" s="1" t="s">
        <v>45</v>
      </c>
      <c r="D1138" s="1" t="s">
        <v>61</v>
      </c>
      <c r="E1138" s="1" t="s">
        <v>170</v>
      </c>
      <c r="F1138" s="1" t="s">
        <v>4828</v>
      </c>
      <c r="G1138" s="1" t="s">
        <v>12480</v>
      </c>
      <c r="H1138" s="1" t="s">
        <v>4829</v>
      </c>
      <c r="I1138" s="2">
        <v>66.37</v>
      </c>
      <c r="J1138" s="2">
        <v>4.09</v>
      </c>
      <c r="K1138" s="2">
        <v>4.3</v>
      </c>
      <c r="L1138" s="2">
        <v>4.79</v>
      </c>
      <c r="M1138" s="4">
        <f t="shared" si="102"/>
        <v>15.434883720930234</v>
      </c>
      <c r="N1138" s="4">
        <f t="shared" si="103"/>
        <v>13.855949895615867</v>
      </c>
      <c r="O1138" s="5">
        <f t="shared" si="104"/>
        <v>5.1344743276283689E-2</v>
      </c>
      <c r="P1138" s="5">
        <f t="shared" si="105"/>
        <v>0.11395348837209318</v>
      </c>
      <c r="Q1138" s="4">
        <f t="shared" si="106"/>
        <v>3.0061273532668844</v>
      </c>
      <c r="R1138" s="4">
        <f t="shared" si="107"/>
        <v>1.215930296962207</v>
      </c>
      <c r="S1138" s="4">
        <v>13.56</v>
      </c>
      <c r="T1138" s="2">
        <v>1.31</v>
      </c>
      <c r="U1138" s="2">
        <v>69.38</v>
      </c>
      <c r="V1138" s="2">
        <v>37.07</v>
      </c>
      <c r="W1138" s="2">
        <v>-1.62</v>
      </c>
      <c r="X1138" s="2">
        <v>19.11</v>
      </c>
      <c r="Y1138" s="2">
        <v>19.48</v>
      </c>
      <c r="Z1138" s="2">
        <v>15.05</v>
      </c>
    </row>
    <row r="1139" spans="1:26" x14ac:dyDescent="0.25">
      <c r="A1139" s="1" t="s">
        <v>4830</v>
      </c>
      <c r="B1139" s="1" t="s">
        <v>4831</v>
      </c>
      <c r="C1139" s="1" t="s">
        <v>16</v>
      </c>
      <c r="D1139" s="1" t="s">
        <v>94</v>
      </c>
      <c r="E1139" s="1" t="s">
        <v>1042</v>
      </c>
      <c r="F1139" s="1" t="s">
        <v>4832</v>
      </c>
      <c r="G1139" s="1" t="s">
        <v>12480</v>
      </c>
      <c r="H1139" s="1" t="s">
        <v>4833</v>
      </c>
      <c r="I1139" s="2">
        <v>63.45</v>
      </c>
      <c r="J1139" s="2">
        <v>2.4500000000000002</v>
      </c>
      <c r="K1139" s="2">
        <v>2.89</v>
      </c>
      <c r="L1139" s="2">
        <v>3.43</v>
      </c>
      <c r="M1139" s="4">
        <f t="shared" si="102"/>
        <v>21.955017301038062</v>
      </c>
      <c r="N1139" s="4">
        <f t="shared" si="103"/>
        <v>18.498542274052479</v>
      </c>
      <c r="O1139" s="5">
        <f t="shared" si="104"/>
        <v>0.17959183673469381</v>
      </c>
      <c r="P1139" s="5">
        <f t="shared" si="105"/>
        <v>0.18685121107266434</v>
      </c>
      <c r="Q1139" s="4">
        <f t="shared" si="106"/>
        <v>1.2224952815350743</v>
      </c>
      <c r="R1139" s="4">
        <f t="shared" si="107"/>
        <v>0.99001457725947539</v>
      </c>
      <c r="S1139" s="4">
        <v>9.35</v>
      </c>
      <c r="T1139" s="2">
        <v>0.7</v>
      </c>
      <c r="U1139" s="2">
        <v>67.5</v>
      </c>
      <c r="V1139" s="2">
        <v>23.18</v>
      </c>
      <c r="W1139" s="2" t="s">
        <v>12534</v>
      </c>
      <c r="X1139" s="2">
        <v>5.8</v>
      </c>
      <c r="Y1139" s="2">
        <v>37.340000000000003</v>
      </c>
      <c r="Z1139" s="2">
        <v>42.39</v>
      </c>
    </row>
    <row r="1140" spans="1:26" x14ac:dyDescent="0.25">
      <c r="A1140" s="1" t="s">
        <v>4834</v>
      </c>
      <c r="B1140" s="1" t="s">
        <v>4835</v>
      </c>
      <c r="C1140" s="1" t="s">
        <v>45</v>
      </c>
      <c r="D1140" s="1" t="s">
        <v>32</v>
      </c>
      <c r="E1140" s="1" t="s">
        <v>2571</v>
      </c>
      <c r="F1140" s="1" t="s">
        <v>4836</v>
      </c>
      <c r="G1140" s="1" t="s">
        <v>12480</v>
      </c>
      <c r="H1140" s="1" t="s">
        <v>4837</v>
      </c>
      <c r="I1140" s="2">
        <v>83.81</v>
      </c>
      <c r="J1140" s="2">
        <v>2.76</v>
      </c>
      <c r="K1140" s="2">
        <v>2.96</v>
      </c>
      <c r="L1140" s="2">
        <v>3.25</v>
      </c>
      <c r="M1140" s="4">
        <f t="shared" si="102"/>
        <v>28.314189189189189</v>
      </c>
      <c r="N1140" s="4">
        <f t="shared" si="103"/>
        <v>25.787692307692307</v>
      </c>
      <c r="O1140" s="5">
        <f t="shared" si="104"/>
        <v>7.2463768115942129E-2</v>
      </c>
      <c r="P1140" s="5">
        <f t="shared" si="105"/>
        <v>9.7972972972973027E-2</v>
      </c>
      <c r="Q1140" s="4">
        <f t="shared" si="106"/>
        <v>3.9073581081081028</v>
      </c>
      <c r="R1140" s="4">
        <f t="shared" si="107"/>
        <v>2.6321230769230755</v>
      </c>
      <c r="S1140" s="4">
        <v>14.17</v>
      </c>
      <c r="T1140" s="2">
        <v>1.05</v>
      </c>
      <c r="U1140" s="2">
        <v>108.69</v>
      </c>
      <c r="V1140" s="2">
        <v>74.39</v>
      </c>
      <c r="W1140" s="2">
        <v>5.85</v>
      </c>
      <c r="X1140" s="2">
        <v>-2.4700000000000002</v>
      </c>
      <c r="Y1140" s="2">
        <v>2.81</v>
      </c>
      <c r="Z1140" s="2">
        <v>5.54</v>
      </c>
    </row>
    <row r="1141" spans="1:26" x14ac:dyDescent="0.25">
      <c r="A1141" s="1" t="s">
        <v>4838</v>
      </c>
      <c r="B1141" s="1" t="s">
        <v>4839</v>
      </c>
      <c r="C1141" s="1" t="s">
        <v>16</v>
      </c>
      <c r="D1141" s="1" t="s">
        <v>354</v>
      </c>
      <c r="E1141" s="1" t="s">
        <v>355</v>
      </c>
      <c r="F1141" s="1" t="s">
        <v>4840</v>
      </c>
      <c r="G1141" s="1" t="s">
        <v>12480</v>
      </c>
      <c r="H1141" s="1" t="s">
        <v>4841</v>
      </c>
      <c r="I1141" s="2">
        <v>57.82</v>
      </c>
      <c r="J1141" s="2">
        <v>2.5299999999999998</v>
      </c>
      <c r="K1141" s="2">
        <v>2.66</v>
      </c>
      <c r="L1141" s="2">
        <v>2.82</v>
      </c>
      <c r="M1141" s="4">
        <f t="shared" si="102"/>
        <v>21.736842105263158</v>
      </c>
      <c r="N1141" s="4">
        <f t="shared" si="103"/>
        <v>20.50354609929078</v>
      </c>
      <c r="O1141" s="5">
        <f t="shared" si="104"/>
        <v>5.1383399209486313E-2</v>
      </c>
      <c r="P1141" s="5">
        <f t="shared" si="105"/>
        <v>6.0150375939849399E-2</v>
      </c>
      <c r="Q1141" s="4">
        <f t="shared" si="106"/>
        <v>4.2303238866396642</v>
      </c>
      <c r="R1141" s="4">
        <f t="shared" si="107"/>
        <v>3.408714539007105</v>
      </c>
      <c r="S1141" s="4">
        <v>3.7</v>
      </c>
      <c r="T1141" s="2">
        <v>0.49</v>
      </c>
      <c r="U1141" s="2">
        <v>57.82</v>
      </c>
      <c r="V1141" s="2">
        <v>43.68</v>
      </c>
      <c r="W1141" s="2">
        <v>1.31</v>
      </c>
      <c r="X1141" s="2">
        <v>6.84</v>
      </c>
      <c r="Y1141" s="2">
        <v>12.03</v>
      </c>
      <c r="Z1141" s="2">
        <v>11.32</v>
      </c>
    </row>
    <row r="1142" spans="1:26" x14ac:dyDescent="0.25">
      <c r="A1142" s="1" t="s">
        <v>4842</v>
      </c>
      <c r="B1142" s="1" t="s">
        <v>4843</v>
      </c>
      <c r="C1142" s="1" t="s">
        <v>16</v>
      </c>
      <c r="D1142" s="1" t="s">
        <v>32</v>
      </c>
      <c r="E1142" s="1" t="s">
        <v>748</v>
      </c>
      <c r="F1142" s="1" t="s">
        <v>4844</v>
      </c>
      <c r="G1142" s="1" t="s">
        <v>12480</v>
      </c>
      <c r="H1142" s="1" t="s">
        <v>4845</v>
      </c>
      <c r="I1142" s="2">
        <v>56.35</v>
      </c>
      <c r="J1142" s="2">
        <v>2.71</v>
      </c>
      <c r="K1142" s="2">
        <v>2.93</v>
      </c>
      <c r="L1142" s="2">
        <v>3.14</v>
      </c>
      <c r="M1142" s="4">
        <f t="shared" si="102"/>
        <v>19.232081911262799</v>
      </c>
      <c r="N1142" s="4">
        <f t="shared" si="103"/>
        <v>17.945859872611464</v>
      </c>
      <c r="O1142" s="5">
        <f t="shared" si="104"/>
        <v>8.1180811808118092E-2</v>
      </c>
      <c r="P1142" s="5">
        <f t="shared" si="105"/>
        <v>7.1672354948805417E-2</v>
      </c>
      <c r="Q1142" s="4">
        <f t="shared" si="106"/>
        <v>2.3690428172510081</v>
      </c>
      <c r="R1142" s="4">
        <f t="shared" si="107"/>
        <v>2.5038747346072201</v>
      </c>
      <c r="S1142" s="4">
        <v>-33.26</v>
      </c>
      <c r="T1142" s="2">
        <v>1.1000000000000001</v>
      </c>
      <c r="U1142" s="2">
        <v>77.2</v>
      </c>
      <c r="V1142" s="2">
        <v>46.55</v>
      </c>
      <c r="W1142" s="2">
        <v>-3.81</v>
      </c>
      <c r="X1142" s="2">
        <v>-7.17</v>
      </c>
      <c r="Y1142" s="2">
        <v>1.81</v>
      </c>
      <c r="Z1142" s="2">
        <v>2.06</v>
      </c>
    </row>
    <row r="1143" spans="1:26" x14ac:dyDescent="0.25">
      <c r="A1143" s="1" t="s">
        <v>4846</v>
      </c>
      <c r="B1143" s="1" t="s">
        <v>4847</v>
      </c>
      <c r="C1143" s="1" t="s">
        <v>31</v>
      </c>
      <c r="D1143" s="1" t="s">
        <v>305</v>
      </c>
      <c r="E1143" s="1" t="s">
        <v>1176</v>
      </c>
      <c r="F1143" s="1" t="s">
        <v>4848</v>
      </c>
      <c r="G1143" s="1" t="s">
        <v>12490</v>
      </c>
      <c r="H1143" s="1" t="s">
        <v>4849</v>
      </c>
      <c r="I1143" s="2">
        <v>8.56</v>
      </c>
      <c r="J1143" s="2">
        <v>1.5</v>
      </c>
      <c r="K1143" s="2">
        <v>0.68</v>
      </c>
      <c r="L1143" s="2">
        <v>1.03</v>
      </c>
      <c r="M1143" s="4">
        <f t="shared" si="102"/>
        <v>12.588235294117647</v>
      </c>
      <c r="N1143" s="4">
        <f t="shared" si="103"/>
        <v>8.3106796116504853</v>
      </c>
      <c r="O1143" s="5">
        <f t="shared" si="104"/>
        <v>-0.54666666666666663</v>
      </c>
      <c r="P1143" s="5">
        <f t="shared" si="105"/>
        <v>0.51470588235294112</v>
      </c>
      <c r="Q1143" s="4">
        <f t="shared" si="106"/>
        <v>-0.23027259684361551</v>
      </c>
      <c r="R1143" s="4">
        <f t="shared" si="107"/>
        <v>0.16146463245492371</v>
      </c>
      <c r="S1143" s="4">
        <v>-5.55</v>
      </c>
      <c r="T1143" s="2">
        <v>0.36</v>
      </c>
      <c r="U1143" s="2">
        <v>11.49</v>
      </c>
      <c r="V1143" s="2">
        <v>7.8</v>
      </c>
      <c r="W1143" s="2">
        <v>-5.83</v>
      </c>
      <c r="X1143" s="2">
        <v>-13.1</v>
      </c>
      <c r="Y1143" s="2">
        <v>-25.5</v>
      </c>
      <c r="Z1143" s="2">
        <v>-20.22</v>
      </c>
    </row>
    <row r="1144" spans="1:26" x14ac:dyDescent="0.25">
      <c r="A1144" s="1" t="s">
        <v>4850</v>
      </c>
      <c r="B1144" s="1" t="s">
        <v>4851</v>
      </c>
      <c r="C1144" s="1" t="s">
        <v>31</v>
      </c>
      <c r="D1144" s="1" t="s">
        <v>32</v>
      </c>
      <c r="E1144" s="1" t="s">
        <v>4853</v>
      </c>
      <c r="F1144" s="1" t="s">
        <v>4852</v>
      </c>
      <c r="G1144" s="1" t="s">
        <v>12490</v>
      </c>
      <c r="H1144" s="1" t="s">
        <v>4854</v>
      </c>
      <c r="I1144" s="2">
        <v>9.69</v>
      </c>
      <c r="J1144" s="2">
        <v>0.71</v>
      </c>
      <c r="K1144" s="2">
        <v>0.7</v>
      </c>
      <c r="L1144" s="2">
        <v>0.75</v>
      </c>
      <c r="M1144" s="4">
        <f t="shared" si="102"/>
        <v>13.842857142857143</v>
      </c>
      <c r="N1144" s="4">
        <f t="shared" si="103"/>
        <v>12.92</v>
      </c>
      <c r="O1144" s="5">
        <f t="shared" si="104"/>
        <v>-1.4084507042253502E-2</v>
      </c>
      <c r="P1144" s="5">
        <f t="shared" si="105"/>
        <v>7.1428571428571397E-2</v>
      </c>
      <c r="Q1144" s="4">
        <f t="shared" si="106"/>
        <v>-9.8284285714285851</v>
      </c>
      <c r="R1144" s="4">
        <f t="shared" si="107"/>
        <v>1.8088000000000009</v>
      </c>
      <c r="S1144" s="4">
        <v>2.33</v>
      </c>
      <c r="T1144" s="2">
        <v>0.77</v>
      </c>
      <c r="U1144" s="2">
        <v>12.51</v>
      </c>
      <c r="V1144" s="2">
        <v>9.0399999999999991</v>
      </c>
      <c r="W1144" s="2">
        <v>-2.61</v>
      </c>
      <c r="X1144" s="2">
        <v>-0.82</v>
      </c>
      <c r="Y1144" s="2">
        <v>-12.94</v>
      </c>
      <c r="Z1144" s="2">
        <v>-8.33</v>
      </c>
    </row>
    <row r="1145" spans="1:26" x14ac:dyDescent="0.25">
      <c r="A1145" s="1" t="s">
        <v>4855</v>
      </c>
      <c r="B1145" s="1" t="s">
        <v>4856</v>
      </c>
      <c r="C1145" s="1" t="s">
        <v>16</v>
      </c>
      <c r="D1145" s="1" t="s">
        <v>88</v>
      </c>
      <c r="E1145" s="1" t="s">
        <v>1113</v>
      </c>
      <c r="F1145" s="1" t="s">
        <v>4857</v>
      </c>
      <c r="G1145" s="1" t="s">
        <v>12499</v>
      </c>
      <c r="H1145" s="1" t="s">
        <v>4858</v>
      </c>
      <c r="I1145" s="2">
        <v>58.56</v>
      </c>
      <c r="J1145" s="2">
        <v>4.24</v>
      </c>
      <c r="K1145" s="2">
        <v>4.62</v>
      </c>
      <c r="L1145" s="2">
        <v>5.25</v>
      </c>
      <c r="M1145" s="4">
        <f t="shared" si="102"/>
        <v>12.675324675324676</v>
      </c>
      <c r="N1145" s="4">
        <f t="shared" si="103"/>
        <v>11.154285714285715</v>
      </c>
      <c r="O1145" s="5">
        <f t="shared" si="104"/>
        <v>8.9622641509433887E-2</v>
      </c>
      <c r="P1145" s="5">
        <f t="shared" si="105"/>
        <v>0.13636363636363624</v>
      </c>
      <c r="Q1145" s="4">
        <f t="shared" si="106"/>
        <v>1.4142993848257019</v>
      </c>
      <c r="R1145" s="4">
        <f t="shared" si="107"/>
        <v>0.81798095238095314</v>
      </c>
      <c r="S1145" s="4">
        <v>-2.67</v>
      </c>
      <c r="T1145" s="2">
        <v>1.07</v>
      </c>
      <c r="U1145" s="2">
        <v>67.489999999999995</v>
      </c>
      <c r="V1145" s="2">
        <v>48.43</v>
      </c>
      <c r="W1145" s="2">
        <v>-9.81</v>
      </c>
      <c r="X1145" s="2">
        <v>-10.68</v>
      </c>
      <c r="Y1145" s="2">
        <v>-3.24</v>
      </c>
      <c r="Z1145" s="2">
        <v>-1.51</v>
      </c>
    </row>
    <row r="1146" spans="1:26" x14ac:dyDescent="0.25">
      <c r="A1146" s="1" t="s">
        <v>4860</v>
      </c>
      <c r="B1146" s="1" t="s">
        <v>4861</v>
      </c>
      <c r="C1146" s="1" t="s">
        <v>45</v>
      </c>
      <c r="D1146" s="1" t="s">
        <v>38</v>
      </c>
      <c r="E1146" s="1" t="s">
        <v>1244</v>
      </c>
      <c r="F1146" s="1" t="s">
        <v>4862</v>
      </c>
      <c r="G1146" s="1" t="s">
        <v>12480</v>
      </c>
      <c r="H1146" s="1" t="s">
        <v>4863</v>
      </c>
      <c r="I1146" s="2">
        <v>19.97</v>
      </c>
      <c r="J1146" s="2">
        <v>2.16</v>
      </c>
      <c r="K1146" s="2">
        <v>2.09</v>
      </c>
      <c r="L1146" s="2">
        <v>2.27</v>
      </c>
      <c r="M1146" s="4">
        <f t="shared" si="102"/>
        <v>9.5550239234449759</v>
      </c>
      <c r="N1146" s="4">
        <f t="shared" si="103"/>
        <v>8.7973568281938324</v>
      </c>
      <c r="O1146" s="5">
        <f t="shared" si="104"/>
        <v>-3.2407407407407551E-2</v>
      </c>
      <c r="P1146" s="5">
        <f t="shared" si="105"/>
        <v>8.6124401913875603E-2</v>
      </c>
      <c r="Q1146" s="4">
        <f t="shared" si="106"/>
        <v>-2.9484073820915793</v>
      </c>
      <c r="R1146" s="4">
        <f t="shared" si="107"/>
        <v>1.0214708761625062</v>
      </c>
      <c r="S1146" s="4">
        <v>1.92</v>
      </c>
      <c r="T1146" s="2">
        <v>0.85</v>
      </c>
      <c r="U1146" s="2">
        <v>22.75</v>
      </c>
      <c r="V1146" s="2">
        <v>15.13</v>
      </c>
      <c r="W1146" s="2">
        <v>-4.4000000000000004</v>
      </c>
      <c r="X1146" s="2">
        <v>-12.1</v>
      </c>
      <c r="Y1146" s="2">
        <v>0.3</v>
      </c>
      <c r="Z1146" s="2">
        <v>3.31</v>
      </c>
    </row>
    <row r="1147" spans="1:26" x14ac:dyDescent="0.25">
      <c r="A1147" s="1" t="s">
        <v>4864</v>
      </c>
      <c r="B1147" s="1" t="s">
        <v>4865</v>
      </c>
      <c r="C1147" s="1" t="s">
        <v>16</v>
      </c>
      <c r="D1147" s="1" t="s">
        <v>147</v>
      </c>
      <c r="E1147" s="1" t="s">
        <v>148</v>
      </c>
      <c r="F1147" s="1" t="s">
        <v>4866</v>
      </c>
      <c r="G1147" s="1" t="s">
        <v>12480</v>
      </c>
      <c r="H1147" s="1" t="s">
        <v>4867</v>
      </c>
      <c r="I1147" s="2">
        <v>16.239999999999998</v>
      </c>
      <c r="J1147" s="2">
        <v>-15.87</v>
      </c>
      <c r="K1147" s="2">
        <v>-0.28000000000000003</v>
      </c>
      <c r="L1147" s="2">
        <v>0.45</v>
      </c>
      <c r="M1147" s="4">
        <f t="shared" si="102"/>
        <v>-57.999999999999986</v>
      </c>
      <c r="N1147" s="4">
        <f t="shared" si="103"/>
        <v>36.088888888888881</v>
      </c>
      <c r="O1147" s="5">
        <f t="shared" si="104"/>
        <v>-0.98235664776307496</v>
      </c>
      <c r="P1147" s="5">
        <f t="shared" si="105"/>
        <v>-2.6071428571428568</v>
      </c>
      <c r="Q1147" s="4">
        <f t="shared" si="106"/>
        <v>0.59041693393200756</v>
      </c>
      <c r="R1147" s="4">
        <f t="shared" si="107"/>
        <v>-0.13842313546423135</v>
      </c>
      <c r="S1147" s="4">
        <v>14.45</v>
      </c>
      <c r="T1147" s="2">
        <v>0.36</v>
      </c>
      <c r="U1147" s="2">
        <v>39.01</v>
      </c>
      <c r="V1147" s="2">
        <v>12.83</v>
      </c>
      <c r="W1147" s="2">
        <v>-5.42</v>
      </c>
      <c r="X1147" s="2">
        <v>-12.64</v>
      </c>
      <c r="Y1147" s="2">
        <v>10.85</v>
      </c>
      <c r="Z1147" s="2">
        <v>5.87</v>
      </c>
    </row>
    <row r="1148" spans="1:26" x14ac:dyDescent="0.25">
      <c r="A1148" s="1" t="s">
        <v>4868</v>
      </c>
      <c r="B1148" s="1" t="s">
        <v>4869</v>
      </c>
      <c r="C1148" s="1" t="s">
        <v>31</v>
      </c>
      <c r="D1148" s="1" t="s">
        <v>88</v>
      </c>
      <c r="E1148" s="1" t="s">
        <v>1113</v>
      </c>
      <c r="F1148" s="1" t="s">
        <v>4870</v>
      </c>
      <c r="G1148" s="1" t="s">
        <v>12480</v>
      </c>
      <c r="H1148" s="1" t="s">
        <v>12678</v>
      </c>
      <c r="I1148" s="2">
        <v>10.27</v>
      </c>
      <c r="J1148" s="2">
        <v>0.62</v>
      </c>
      <c r="K1148" s="2">
        <v>0.74</v>
      </c>
      <c r="L1148" s="2"/>
      <c r="M1148" s="4">
        <f t="shared" si="102"/>
        <v>13.878378378378377</v>
      </c>
      <c r="N1148" s="4" t="e">
        <f t="shared" si="103"/>
        <v>#DIV/0!</v>
      </c>
      <c r="O1148" s="5">
        <f t="shared" si="104"/>
        <v>0.19354838709677424</v>
      </c>
      <c r="P1148" s="5">
        <f t="shared" si="105"/>
        <v>-1</v>
      </c>
      <c r="Q1148" s="4">
        <f t="shared" si="106"/>
        <v>0.71704954954954936</v>
      </c>
      <c r="R1148" s="4" t="e">
        <f t="shared" si="107"/>
        <v>#DIV/0!</v>
      </c>
      <c r="S1148" s="4">
        <v>-0.45</v>
      </c>
      <c r="T1148" s="2">
        <v>0.91</v>
      </c>
      <c r="U1148" s="2">
        <v>14.29</v>
      </c>
      <c r="V1148" s="2">
        <v>10.27</v>
      </c>
      <c r="W1148" s="2">
        <v>-3.79</v>
      </c>
      <c r="X1148" s="2">
        <v>-9.24</v>
      </c>
      <c r="Y1148" s="2">
        <v>-9.9499999999999993</v>
      </c>
      <c r="Z1148" s="2">
        <v>-8.67</v>
      </c>
    </row>
    <row r="1149" spans="1:26" x14ac:dyDescent="0.25">
      <c r="A1149" s="1" t="s">
        <v>4871</v>
      </c>
      <c r="B1149" s="1" t="s">
        <v>4872</v>
      </c>
      <c r="C1149" s="1" t="s">
        <v>45</v>
      </c>
      <c r="D1149" s="1" t="s">
        <v>38</v>
      </c>
      <c r="E1149" s="1" t="s">
        <v>52</v>
      </c>
      <c r="F1149" s="1" t="s">
        <v>4873</v>
      </c>
      <c r="G1149" s="1" t="s">
        <v>12480</v>
      </c>
      <c r="H1149" s="1" t="s">
        <v>4874</v>
      </c>
      <c r="I1149" s="2">
        <v>143.26</v>
      </c>
      <c r="J1149" s="2">
        <v>5.01</v>
      </c>
      <c r="K1149" s="2">
        <v>11.11</v>
      </c>
      <c r="L1149" s="2">
        <v>12.84</v>
      </c>
      <c r="M1149" s="4">
        <f t="shared" si="102"/>
        <v>12.894689468946895</v>
      </c>
      <c r="N1149" s="4">
        <f t="shared" si="103"/>
        <v>11.157320872274143</v>
      </c>
      <c r="O1149" s="5">
        <f t="shared" si="104"/>
        <v>1.2175648702594812</v>
      </c>
      <c r="P1149" s="5">
        <f t="shared" si="105"/>
        <v>0.15571557155715565</v>
      </c>
      <c r="Q1149" s="4">
        <f t="shared" si="106"/>
        <v>0.10590556432692448</v>
      </c>
      <c r="R1149" s="4">
        <f t="shared" si="107"/>
        <v>0.71651927682639183</v>
      </c>
      <c r="S1149" s="4">
        <v>36.54</v>
      </c>
      <c r="T1149" s="2">
        <v>0.38</v>
      </c>
      <c r="U1149" s="2">
        <v>199.04</v>
      </c>
      <c r="V1149" s="2">
        <v>74.81</v>
      </c>
      <c r="W1149" s="2">
        <v>-4.26</v>
      </c>
      <c r="X1149" s="2">
        <v>-8.27</v>
      </c>
      <c r="Y1149" s="2">
        <v>-11.51</v>
      </c>
      <c r="Z1149" s="2">
        <v>-12.76</v>
      </c>
    </row>
    <row r="1150" spans="1:26" x14ac:dyDescent="0.25">
      <c r="A1150" s="1" t="s">
        <v>4875</v>
      </c>
      <c r="B1150" s="1" t="s">
        <v>4876</v>
      </c>
      <c r="C1150" s="1" t="s">
        <v>45</v>
      </c>
      <c r="D1150" s="1" t="s">
        <v>147</v>
      </c>
      <c r="E1150" s="1" t="s">
        <v>1460</v>
      </c>
      <c r="F1150" s="1" t="s">
        <v>4877</v>
      </c>
      <c r="G1150" s="1" t="s">
        <v>12480</v>
      </c>
      <c r="H1150" s="1" t="s">
        <v>4878</v>
      </c>
      <c r="I1150" s="2">
        <v>77.569999999999993</v>
      </c>
      <c r="J1150" s="2">
        <v>2.17</v>
      </c>
      <c r="K1150" s="2">
        <v>2.66</v>
      </c>
      <c r="L1150" s="2">
        <v>3.19</v>
      </c>
      <c r="M1150" s="4">
        <f t="shared" si="102"/>
        <v>29.161654135338342</v>
      </c>
      <c r="N1150" s="4">
        <f t="shared" si="103"/>
        <v>24.316614420062695</v>
      </c>
      <c r="O1150" s="5">
        <f t="shared" si="104"/>
        <v>0.22580645161290325</v>
      </c>
      <c r="P1150" s="5">
        <f t="shared" si="105"/>
        <v>0.1992481203007519</v>
      </c>
      <c r="Q1150" s="4">
        <f t="shared" si="106"/>
        <v>1.2914446831364121</v>
      </c>
      <c r="R1150" s="4">
        <f t="shared" si="107"/>
        <v>1.2204187614597504</v>
      </c>
      <c r="S1150" s="4">
        <v>35.08</v>
      </c>
      <c r="T1150" s="2">
        <v>0.5</v>
      </c>
      <c r="U1150" s="2">
        <v>99.33</v>
      </c>
      <c r="V1150" s="2">
        <v>70.23</v>
      </c>
      <c r="W1150" s="2">
        <v>-7.58</v>
      </c>
      <c r="X1150" s="2">
        <v>0.77</v>
      </c>
      <c r="Y1150" s="2">
        <v>-10.96</v>
      </c>
      <c r="Z1150" s="2">
        <v>-13.21</v>
      </c>
    </row>
    <row r="1151" spans="1:26" x14ac:dyDescent="0.25">
      <c r="A1151" s="1" t="s">
        <v>4881</v>
      </c>
      <c r="B1151" s="1" t="s">
        <v>4882</v>
      </c>
      <c r="C1151" s="1" t="s">
        <v>31</v>
      </c>
      <c r="D1151" s="1" t="s">
        <v>147</v>
      </c>
      <c r="E1151" s="1" t="s">
        <v>1460</v>
      </c>
      <c r="F1151" s="1" t="s">
        <v>4883</v>
      </c>
      <c r="G1151" s="1" t="s">
        <v>12480</v>
      </c>
      <c r="H1151" s="1" t="s">
        <v>4878</v>
      </c>
      <c r="I1151" s="2">
        <v>81.400000000000006</v>
      </c>
      <c r="J1151" s="2">
        <v>2.17</v>
      </c>
      <c r="K1151" s="2"/>
      <c r="L1151" s="2"/>
      <c r="M1151" s="4" t="e">
        <f t="shared" si="102"/>
        <v>#DIV/0!</v>
      </c>
      <c r="N1151" s="4" t="e">
        <f t="shared" si="103"/>
        <v>#DIV/0!</v>
      </c>
      <c r="O1151" s="5">
        <f t="shared" si="104"/>
        <v>-1</v>
      </c>
      <c r="P1151" s="5" t="e">
        <f t="shared" si="105"/>
        <v>#DIV/0!</v>
      </c>
      <c r="Q1151" s="4" t="e">
        <f t="shared" si="106"/>
        <v>#DIV/0!</v>
      </c>
      <c r="R1151" s="4" t="e">
        <f t="shared" si="107"/>
        <v>#DIV/0!</v>
      </c>
      <c r="S1151" s="4">
        <v>35.08</v>
      </c>
      <c r="T1151" s="2">
        <v>0.23</v>
      </c>
      <c r="U1151" s="2" t="s">
        <v>12679</v>
      </c>
      <c r="V1151" s="2" t="s">
        <v>12680</v>
      </c>
      <c r="W1151" s="2">
        <v>-7.55</v>
      </c>
      <c r="X1151" s="2">
        <v>3.04</v>
      </c>
      <c r="Y1151" s="2">
        <v>-3.05</v>
      </c>
      <c r="Z1151" s="2">
        <v>-7.71</v>
      </c>
    </row>
    <row r="1152" spans="1:26" x14ac:dyDescent="0.25">
      <c r="A1152" s="1" t="s">
        <v>4884</v>
      </c>
      <c r="B1152" s="1" t="s">
        <v>4885</v>
      </c>
      <c r="C1152" s="1" t="s">
        <v>45</v>
      </c>
      <c r="D1152" s="1" t="s">
        <v>147</v>
      </c>
      <c r="E1152" s="1" t="s">
        <v>1460</v>
      </c>
      <c r="F1152" s="1" t="s">
        <v>4886</v>
      </c>
      <c r="G1152" s="1" t="s">
        <v>12480</v>
      </c>
      <c r="H1152" s="1" t="s">
        <v>4887</v>
      </c>
      <c r="I1152" s="2">
        <v>84.42</v>
      </c>
      <c r="J1152" s="2">
        <v>2.17</v>
      </c>
      <c r="K1152" s="2">
        <v>2.13</v>
      </c>
      <c r="L1152" s="2">
        <v>2.6</v>
      </c>
      <c r="M1152" s="4">
        <f t="shared" si="102"/>
        <v>39.633802816901408</v>
      </c>
      <c r="N1152" s="4">
        <f t="shared" si="103"/>
        <v>32.469230769230769</v>
      </c>
      <c r="O1152" s="5">
        <f t="shared" si="104"/>
        <v>-1.8433179723502335E-2</v>
      </c>
      <c r="P1152" s="5">
        <f t="shared" si="105"/>
        <v>0.22065727699530524</v>
      </c>
      <c r="Q1152" s="4">
        <f t="shared" si="106"/>
        <v>-21.501338028168977</v>
      </c>
      <c r="R1152" s="4">
        <f t="shared" si="107"/>
        <v>1.4714779050736493</v>
      </c>
      <c r="S1152" s="4">
        <v>35.08</v>
      </c>
      <c r="T1152" s="2">
        <v>0.44</v>
      </c>
      <c r="U1152" s="2">
        <v>108.33</v>
      </c>
      <c r="V1152" s="2">
        <v>77.19</v>
      </c>
      <c r="W1152" s="2">
        <v>-7.32</v>
      </c>
      <c r="X1152" s="2">
        <v>0.01</v>
      </c>
      <c r="Y1152" s="2">
        <v>-10.99</v>
      </c>
      <c r="Z1152" s="2">
        <v>-14.3</v>
      </c>
    </row>
    <row r="1153" spans="1:26" x14ac:dyDescent="0.25">
      <c r="A1153" s="1" t="s">
        <v>4888</v>
      </c>
      <c r="B1153" s="1" t="s">
        <v>4889</v>
      </c>
      <c r="C1153" s="1" t="s">
        <v>31</v>
      </c>
      <c r="D1153" s="1" t="s">
        <v>128</v>
      </c>
      <c r="E1153" s="1" t="s">
        <v>210</v>
      </c>
      <c r="F1153" s="1" t="s">
        <v>4890</v>
      </c>
      <c r="G1153" s="1" t="s">
        <v>12480</v>
      </c>
      <c r="H1153" s="1" t="s">
        <v>4891</v>
      </c>
      <c r="I1153" s="2">
        <v>27.7</v>
      </c>
      <c r="J1153" s="2">
        <v>-0.25</v>
      </c>
      <c r="K1153" s="2"/>
      <c r="L1153" s="2"/>
      <c r="M1153" s="4" t="e">
        <f t="shared" si="102"/>
        <v>#DIV/0!</v>
      </c>
      <c r="N1153" s="4" t="e">
        <f t="shared" si="103"/>
        <v>#DIV/0!</v>
      </c>
      <c r="O1153" s="5">
        <f t="shared" si="104"/>
        <v>-1</v>
      </c>
      <c r="P1153" s="5" t="e">
        <f t="shared" si="105"/>
        <v>#DIV/0!</v>
      </c>
      <c r="Q1153" s="4" t="e">
        <f t="shared" si="106"/>
        <v>#DIV/0!</v>
      </c>
      <c r="R1153" s="4" t="e">
        <f t="shared" si="107"/>
        <v>#DIV/0!</v>
      </c>
      <c r="S1153" s="4">
        <v>-11.52</v>
      </c>
      <c r="T1153" s="2">
        <v>0.25</v>
      </c>
      <c r="U1153" s="2">
        <v>27.7</v>
      </c>
      <c r="V1153" s="2">
        <v>4.32</v>
      </c>
      <c r="W1153" s="2" t="s">
        <v>12489</v>
      </c>
      <c r="X1153" s="2">
        <v>25.17</v>
      </c>
      <c r="Y1153" s="2">
        <v>9.83</v>
      </c>
      <c r="Z1153" s="2">
        <v>9.83</v>
      </c>
    </row>
    <row r="1154" spans="1:26" x14ac:dyDescent="0.25">
      <c r="A1154" s="1" t="s">
        <v>4892</v>
      </c>
      <c r="B1154" s="1" t="s">
        <v>4893</v>
      </c>
      <c r="C1154" s="1" t="s">
        <v>16</v>
      </c>
      <c r="D1154" s="1" t="s">
        <v>38</v>
      </c>
      <c r="E1154" s="1" t="s">
        <v>259</v>
      </c>
      <c r="F1154" s="1" t="s">
        <v>4894</v>
      </c>
      <c r="G1154" s="1" t="s">
        <v>12480</v>
      </c>
      <c r="H1154" s="1" t="s">
        <v>4895</v>
      </c>
      <c r="I1154" s="2">
        <v>36.479999999999997</v>
      </c>
      <c r="J1154" s="2"/>
      <c r="K1154" s="2"/>
      <c r="L1154" s="2"/>
      <c r="M1154" s="4" t="e">
        <f t="shared" si="102"/>
        <v>#DIV/0!</v>
      </c>
      <c r="N1154" s="4" t="e">
        <f t="shared" si="103"/>
        <v>#DIV/0!</v>
      </c>
      <c r="O1154" s="5" t="e">
        <f t="shared" si="104"/>
        <v>#DIV/0!</v>
      </c>
      <c r="P1154" s="5" t="e">
        <f t="shared" si="105"/>
        <v>#DIV/0!</v>
      </c>
      <c r="Q1154" s="4" t="e">
        <f t="shared" si="106"/>
        <v>#DIV/0!</v>
      </c>
      <c r="R1154" s="4" t="e">
        <f t="shared" si="107"/>
        <v>#DIV/0!</v>
      </c>
      <c r="S1154" s="4"/>
      <c r="T1154" s="2">
        <v>0.28999999999999998</v>
      </c>
      <c r="U1154" s="2">
        <v>41.75</v>
      </c>
      <c r="V1154" s="2">
        <v>29.59</v>
      </c>
      <c r="W1154" s="2">
        <v>-1.1399999999999999</v>
      </c>
      <c r="X1154" s="2">
        <v>-7.41</v>
      </c>
      <c r="Y1154" s="2">
        <v>-5.83</v>
      </c>
      <c r="Z1154" s="2">
        <v>-4.7300000000000004</v>
      </c>
    </row>
    <row r="1155" spans="1:26" x14ac:dyDescent="0.25">
      <c r="A1155" s="1" t="s">
        <v>4896</v>
      </c>
      <c r="B1155" s="1" t="s">
        <v>4897</v>
      </c>
      <c r="C1155" s="1" t="s">
        <v>16</v>
      </c>
      <c r="D1155" s="1" t="s">
        <v>32</v>
      </c>
      <c r="E1155" s="1" t="s">
        <v>248</v>
      </c>
      <c r="F1155" s="1" t="s">
        <v>4898</v>
      </c>
      <c r="G1155" s="1" t="s">
        <v>12480</v>
      </c>
      <c r="H1155" s="1" t="s">
        <v>4899</v>
      </c>
      <c r="I1155" s="2">
        <v>40.86</v>
      </c>
      <c r="J1155" s="2">
        <v>3.65</v>
      </c>
      <c r="K1155" s="2">
        <v>4.01</v>
      </c>
      <c r="L1155" s="2">
        <v>4.41</v>
      </c>
      <c r="M1155" s="4">
        <f t="shared" ref="M1155:M1218" si="108">I1155/K1155</f>
        <v>10.189526184538654</v>
      </c>
      <c r="N1155" s="4">
        <f t="shared" ref="N1155:N1218" si="109">I1155/L1155</f>
        <v>9.2653061224489797</v>
      </c>
      <c r="O1155" s="5">
        <f t="shared" ref="O1155:O1218" si="110">K1155/J1155-1</f>
        <v>9.8630136986301409E-2</v>
      </c>
      <c r="P1155" s="5">
        <f t="shared" ref="P1155:P1218" si="111">L1155/K1155-1</f>
        <v>9.9750623441396513E-2</v>
      </c>
      <c r="Q1155" s="4">
        <f t="shared" ref="Q1155:Q1218" si="112">M1155/(O1155*100)</f>
        <v>1.033104738154613</v>
      </c>
      <c r="R1155" s="4">
        <f t="shared" ref="R1155:R1218" si="113">N1155/(P1155*100)</f>
        <v>0.92884693877551017</v>
      </c>
      <c r="S1155" s="4">
        <v>6.56</v>
      </c>
      <c r="T1155" s="2">
        <v>0.75</v>
      </c>
      <c r="U1155" s="2">
        <v>51.64</v>
      </c>
      <c r="V1155" s="2">
        <v>36.31</v>
      </c>
      <c r="W1155" s="2">
        <v>1.62</v>
      </c>
      <c r="X1155" s="2">
        <v>3.47</v>
      </c>
      <c r="Y1155" s="2">
        <v>-13.71</v>
      </c>
      <c r="Z1155" s="2">
        <v>-12.66</v>
      </c>
    </row>
    <row r="1156" spans="1:26" x14ac:dyDescent="0.25">
      <c r="A1156" s="1" t="s">
        <v>4900</v>
      </c>
      <c r="B1156" s="1" t="s">
        <v>4901</v>
      </c>
      <c r="C1156" s="1" t="s">
        <v>16</v>
      </c>
      <c r="D1156" s="1" t="s">
        <v>38</v>
      </c>
      <c r="E1156" s="1" t="s">
        <v>259</v>
      </c>
      <c r="F1156" s="1" t="s">
        <v>4902</v>
      </c>
      <c r="G1156" s="1" t="s">
        <v>12480</v>
      </c>
      <c r="H1156" s="1" t="s">
        <v>4903</v>
      </c>
      <c r="I1156" s="2">
        <v>5.77</v>
      </c>
      <c r="J1156" s="2"/>
      <c r="K1156" s="2"/>
      <c r="L1156" s="2"/>
      <c r="M1156" s="4" t="e">
        <f t="shared" si="108"/>
        <v>#DIV/0!</v>
      </c>
      <c r="N1156" s="4" t="e">
        <f t="shared" si="109"/>
        <v>#DIV/0!</v>
      </c>
      <c r="O1156" s="5" t="e">
        <f t="shared" si="110"/>
        <v>#DIV/0!</v>
      </c>
      <c r="P1156" s="5" t="e">
        <f t="shared" si="111"/>
        <v>#DIV/0!</v>
      </c>
      <c r="Q1156" s="4" t="e">
        <f t="shared" si="112"/>
        <v>#DIV/0!</v>
      </c>
      <c r="R1156" s="4" t="e">
        <f t="shared" si="113"/>
        <v>#DIV/0!</v>
      </c>
      <c r="S1156" s="4"/>
      <c r="T1156" s="2">
        <v>0.74</v>
      </c>
      <c r="U1156" s="2">
        <v>6.36</v>
      </c>
      <c r="V1156" s="2">
        <v>4.97</v>
      </c>
      <c r="W1156" s="2">
        <v>-4.47</v>
      </c>
      <c r="X1156" s="2">
        <v>-7.97</v>
      </c>
      <c r="Y1156" s="2">
        <v>-4.3099999999999996</v>
      </c>
      <c r="Z1156" s="2">
        <v>-6.48</v>
      </c>
    </row>
    <row r="1157" spans="1:26" x14ac:dyDescent="0.25">
      <c r="A1157" s="1" t="s">
        <v>4904</v>
      </c>
      <c r="B1157" s="1" t="s">
        <v>4905</v>
      </c>
      <c r="C1157" s="1" t="s">
        <v>45</v>
      </c>
      <c r="D1157" s="1" t="s">
        <v>38</v>
      </c>
      <c r="E1157" s="1" t="s">
        <v>1093</v>
      </c>
      <c r="F1157" s="1" t="s">
        <v>4906</v>
      </c>
      <c r="G1157" s="1" t="s">
        <v>12480</v>
      </c>
      <c r="H1157" s="1" t="s">
        <v>4907</v>
      </c>
      <c r="I1157" s="2">
        <v>40.04</v>
      </c>
      <c r="J1157" s="2">
        <v>3.52</v>
      </c>
      <c r="K1157" s="2">
        <v>3.76</v>
      </c>
      <c r="L1157" s="2">
        <v>3.97</v>
      </c>
      <c r="M1157" s="4">
        <f t="shared" si="108"/>
        <v>10.648936170212766</v>
      </c>
      <c r="N1157" s="4">
        <f t="shared" si="109"/>
        <v>10.085642317380351</v>
      </c>
      <c r="O1157" s="5">
        <f t="shared" si="110"/>
        <v>6.8181818181818121E-2</v>
      </c>
      <c r="P1157" s="5">
        <f t="shared" si="111"/>
        <v>5.5851063829787329E-2</v>
      </c>
      <c r="Q1157" s="4">
        <f t="shared" si="112"/>
        <v>1.5618439716312069</v>
      </c>
      <c r="R1157" s="4">
        <f t="shared" si="113"/>
        <v>1.8058102434928598</v>
      </c>
      <c r="S1157" s="4">
        <v>37.799999999999997</v>
      </c>
      <c r="T1157" s="2">
        <v>0.65</v>
      </c>
      <c r="U1157" s="2">
        <v>44.37</v>
      </c>
      <c r="V1157" s="2">
        <v>34.32</v>
      </c>
      <c r="W1157" s="2">
        <v>-4.4800000000000004</v>
      </c>
      <c r="X1157" s="2">
        <v>-9.2100000000000009</v>
      </c>
      <c r="Y1157" s="2">
        <v>-3.96</v>
      </c>
      <c r="Z1157" s="2">
        <v>2.19</v>
      </c>
    </row>
    <row r="1158" spans="1:26" x14ac:dyDescent="0.25">
      <c r="A1158" s="1" t="s">
        <v>4908</v>
      </c>
      <c r="B1158" s="1" t="s">
        <v>4909</v>
      </c>
      <c r="C1158" s="1" t="s">
        <v>16</v>
      </c>
      <c r="D1158" s="1" t="s">
        <v>38</v>
      </c>
      <c r="E1158" s="1" t="s">
        <v>259</v>
      </c>
      <c r="F1158" s="1" t="s">
        <v>4910</v>
      </c>
      <c r="G1158" s="1" t="s">
        <v>12480</v>
      </c>
      <c r="H1158" s="1" t="s">
        <v>2196</v>
      </c>
      <c r="I1158" s="2">
        <v>59.79</v>
      </c>
      <c r="J1158" s="2"/>
      <c r="K1158" s="2"/>
      <c r="L1158" s="2"/>
      <c r="M1158" s="4" t="e">
        <f t="shared" si="108"/>
        <v>#DIV/0!</v>
      </c>
      <c r="N1158" s="4" t="e">
        <f t="shared" si="109"/>
        <v>#DIV/0!</v>
      </c>
      <c r="O1158" s="5" t="e">
        <f t="shared" si="110"/>
        <v>#DIV/0!</v>
      </c>
      <c r="P1158" s="5" t="e">
        <f t="shared" si="111"/>
        <v>#DIV/0!</v>
      </c>
      <c r="Q1158" s="4" t="e">
        <f t="shared" si="112"/>
        <v>#DIV/0!</v>
      </c>
      <c r="R1158" s="4" t="e">
        <f t="shared" si="113"/>
        <v>#DIV/0!</v>
      </c>
      <c r="S1158" s="4"/>
      <c r="T1158" s="2">
        <v>0.9</v>
      </c>
      <c r="U1158" s="2">
        <v>63.77</v>
      </c>
      <c r="V1158" s="2">
        <v>45.31</v>
      </c>
      <c r="W1158" s="2">
        <v>-3.63</v>
      </c>
      <c r="X1158" s="2">
        <v>-2.94</v>
      </c>
      <c r="Y1158" s="2">
        <v>2.19</v>
      </c>
      <c r="Z1158" s="2">
        <v>1.8</v>
      </c>
    </row>
    <row r="1159" spans="1:26" x14ac:dyDescent="0.25">
      <c r="A1159" s="1" t="s">
        <v>4911</v>
      </c>
      <c r="B1159" s="1" t="s">
        <v>4912</v>
      </c>
      <c r="C1159" s="1" t="s">
        <v>16</v>
      </c>
      <c r="D1159" s="1" t="s">
        <v>67</v>
      </c>
      <c r="E1159" s="1" t="s">
        <v>381</v>
      </c>
      <c r="F1159" s="1" t="s">
        <v>4913</v>
      </c>
      <c r="G1159" s="1" t="s">
        <v>12493</v>
      </c>
      <c r="H1159" s="1" t="s">
        <v>4914</v>
      </c>
      <c r="I1159" s="2">
        <v>22.85</v>
      </c>
      <c r="J1159" s="2">
        <v>2.13</v>
      </c>
      <c r="K1159" s="2">
        <v>2.33</v>
      </c>
      <c r="L1159" s="2">
        <v>2.62</v>
      </c>
      <c r="M1159" s="4">
        <f t="shared" si="108"/>
        <v>9.806866952789699</v>
      </c>
      <c r="N1159" s="4">
        <f t="shared" si="109"/>
        <v>8.721374045801527</v>
      </c>
      <c r="O1159" s="5">
        <f t="shared" si="110"/>
        <v>9.3896713615023497E-2</v>
      </c>
      <c r="P1159" s="5">
        <f t="shared" si="111"/>
        <v>0.12446351931330479</v>
      </c>
      <c r="Q1159" s="4">
        <f t="shared" si="112"/>
        <v>1.0444313304721027</v>
      </c>
      <c r="R1159" s="4">
        <f t="shared" si="113"/>
        <v>0.70071729402474292</v>
      </c>
      <c r="S1159" s="4">
        <v>1.86</v>
      </c>
      <c r="T1159" s="2">
        <v>2.29</v>
      </c>
      <c r="U1159" s="2">
        <v>29.13</v>
      </c>
      <c r="V1159" s="2">
        <v>17.64</v>
      </c>
      <c r="W1159" s="2">
        <v>-18.829999999999998</v>
      </c>
      <c r="X1159" s="2">
        <v>-17.420000000000002</v>
      </c>
      <c r="Y1159" s="2">
        <v>-14.8</v>
      </c>
      <c r="Z1159" s="2">
        <v>-10.74</v>
      </c>
    </row>
    <row r="1160" spans="1:26" x14ac:dyDescent="0.25">
      <c r="A1160" s="1" t="s">
        <v>4915</v>
      </c>
      <c r="B1160" s="1" t="s">
        <v>4915</v>
      </c>
      <c r="C1160" s="1" t="s">
        <v>16</v>
      </c>
      <c r="D1160" s="1" t="s">
        <v>46</v>
      </c>
      <c r="E1160" s="1" t="s">
        <v>391</v>
      </c>
      <c r="F1160" s="1" t="s">
        <v>4916</v>
      </c>
      <c r="G1160" s="1" t="s">
        <v>12480</v>
      </c>
      <c r="H1160" s="1" t="s">
        <v>4917</v>
      </c>
      <c r="I1160" s="2">
        <v>178.57</v>
      </c>
      <c r="J1160" s="2">
        <v>8.75</v>
      </c>
      <c r="K1160" s="2">
        <v>9.8000000000000007</v>
      </c>
      <c r="L1160" s="2"/>
      <c r="M1160" s="4">
        <f t="shared" si="108"/>
        <v>18.221428571428568</v>
      </c>
      <c r="N1160" s="4" t="e">
        <f t="shared" si="109"/>
        <v>#DIV/0!</v>
      </c>
      <c r="O1160" s="5">
        <f t="shared" si="110"/>
        <v>0.12000000000000011</v>
      </c>
      <c r="P1160" s="5">
        <f t="shared" si="111"/>
        <v>-1</v>
      </c>
      <c r="Q1160" s="4">
        <f t="shared" si="112"/>
        <v>1.5184523809523793</v>
      </c>
      <c r="R1160" s="4" t="e">
        <f t="shared" si="113"/>
        <v>#DIV/0!</v>
      </c>
      <c r="S1160" s="4">
        <v>9.77</v>
      </c>
      <c r="T1160" s="2">
        <v>1.19</v>
      </c>
      <c r="U1160" s="2">
        <v>198.52</v>
      </c>
      <c r="V1160" s="2">
        <v>141.27000000000001</v>
      </c>
      <c r="W1160" s="2">
        <v>-3.72</v>
      </c>
      <c r="X1160" s="2">
        <v>-5.58</v>
      </c>
      <c r="Y1160" s="2">
        <v>5.23</v>
      </c>
      <c r="Z1160" s="2">
        <v>5.29</v>
      </c>
    </row>
    <row r="1161" spans="1:26" x14ac:dyDescent="0.25">
      <c r="A1161" s="1" t="s">
        <v>4918</v>
      </c>
      <c r="B1161" s="1" t="s">
        <v>4919</v>
      </c>
      <c r="C1161" s="1" t="s">
        <v>16</v>
      </c>
      <c r="D1161" s="1" t="s">
        <v>38</v>
      </c>
      <c r="E1161" s="1" t="s">
        <v>1909</v>
      </c>
      <c r="F1161" s="1" t="s">
        <v>4920</v>
      </c>
      <c r="G1161" s="1" t="s">
        <v>12480</v>
      </c>
      <c r="H1161" s="1" t="s">
        <v>4921</v>
      </c>
      <c r="I1161" s="2">
        <v>44.14</v>
      </c>
      <c r="J1161" s="2">
        <v>2.04</v>
      </c>
      <c r="K1161" s="2">
        <v>3.17</v>
      </c>
      <c r="L1161" s="2">
        <v>3.62</v>
      </c>
      <c r="M1161" s="4">
        <f t="shared" si="108"/>
        <v>13.92429022082019</v>
      </c>
      <c r="N1161" s="4">
        <f t="shared" si="109"/>
        <v>12.193370165745856</v>
      </c>
      <c r="O1161" s="5">
        <f t="shared" si="110"/>
        <v>0.55392156862745101</v>
      </c>
      <c r="P1161" s="5">
        <f t="shared" si="111"/>
        <v>0.14195583596214512</v>
      </c>
      <c r="Q1161" s="4">
        <f t="shared" si="112"/>
        <v>0.25137656681834675</v>
      </c>
      <c r="R1161" s="4">
        <f t="shared" si="113"/>
        <v>0.85895518723143027</v>
      </c>
      <c r="S1161" s="4">
        <v>13.32</v>
      </c>
      <c r="T1161" s="2">
        <v>0.75</v>
      </c>
      <c r="U1161" s="2">
        <v>53.21</v>
      </c>
      <c r="V1161" s="2">
        <v>37.85</v>
      </c>
      <c r="W1161" s="2">
        <v>-3.79</v>
      </c>
      <c r="X1161" s="2">
        <v>-17.05</v>
      </c>
      <c r="Y1161" s="2">
        <v>-0.76</v>
      </c>
      <c r="Z1161" s="2">
        <v>0.2</v>
      </c>
    </row>
    <row r="1162" spans="1:26" x14ac:dyDescent="0.25">
      <c r="A1162" s="1" t="s">
        <v>4922</v>
      </c>
      <c r="B1162" s="1" t="s">
        <v>4923</v>
      </c>
      <c r="C1162" s="1" t="s">
        <v>45</v>
      </c>
      <c r="D1162" s="1" t="s">
        <v>38</v>
      </c>
      <c r="E1162" s="1" t="s">
        <v>712</v>
      </c>
      <c r="F1162" s="1" t="s">
        <v>4924</v>
      </c>
      <c r="G1162" s="1" t="s">
        <v>12485</v>
      </c>
      <c r="H1162" s="1" t="s">
        <v>4925</v>
      </c>
      <c r="I1162" s="2">
        <v>12.23</v>
      </c>
      <c r="J1162" s="2">
        <v>1.56</v>
      </c>
      <c r="K1162" s="2">
        <v>1.44</v>
      </c>
      <c r="L1162" s="2">
        <v>1.32</v>
      </c>
      <c r="M1162" s="4">
        <f t="shared" si="108"/>
        <v>8.4930555555555554</v>
      </c>
      <c r="N1162" s="4">
        <f t="shared" si="109"/>
        <v>9.2651515151515156</v>
      </c>
      <c r="O1162" s="5">
        <f t="shared" si="110"/>
        <v>-7.6923076923076983E-2</v>
      </c>
      <c r="P1162" s="5">
        <f t="shared" si="111"/>
        <v>-8.3333333333333259E-2</v>
      </c>
      <c r="Q1162" s="4">
        <f t="shared" si="112"/>
        <v>-1.1040972222222212</v>
      </c>
      <c r="R1162" s="4">
        <f t="shared" si="113"/>
        <v>-1.1118181818181829</v>
      </c>
      <c r="S1162" s="4">
        <v>20.16</v>
      </c>
      <c r="T1162" s="2">
        <v>0.45</v>
      </c>
      <c r="U1162" s="2">
        <v>15.48</v>
      </c>
      <c r="V1162" s="2">
        <v>11.99</v>
      </c>
      <c r="W1162" s="2">
        <v>-0.41</v>
      </c>
      <c r="X1162" s="2">
        <v>-3.09</v>
      </c>
      <c r="Y1162" s="2">
        <v>-10.53</v>
      </c>
      <c r="Z1162" s="2">
        <v>-9.8699999999999992</v>
      </c>
    </row>
    <row r="1163" spans="1:26" x14ac:dyDescent="0.25">
      <c r="A1163" s="1" t="s">
        <v>4926</v>
      </c>
      <c r="B1163" s="1" t="s">
        <v>4927</v>
      </c>
      <c r="C1163" s="1" t="s">
        <v>31</v>
      </c>
      <c r="D1163" s="1" t="s">
        <v>94</v>
      </c>
      <c r="E1163" s="1" t="s">
        <v>3279</v>
      </c>
      <c r="F1163" s="1" t="s">
        <v>4928</v>
      </c>
      <c r="G1163" s="1" t="s">
        <v>12480</v>
      </c>
      <c r="H1163" s="1" t="s">
        <v>4929</v>
      </c>
      <c r="I1163" s="2">
        <v>21.77</v>
      </c>
      <c r="J1163" s="2">
        <v>0.86</v>
      </c>
      <c r="K1163" s="2">
        <v>1.01</v>
      </c>
      <c r="L1163" s="2">
        <v>1.23</v>
      </c>
      <c r="M1163" s="4">
        <f t="shared" si="108"/>
        <v>21.554455445544555</v>
      </c>
      <c r="N1163" s="4">
        <f t="shared" si="109"/>
        <v>17.699186991869919</v>
      </c>
      <c r="O1163" s="5">
        <f t="shared" si="110"/>
        <v>0.17441860465116288</v>
      </c>
      <c r="P1163" s="5">
        <f t="shared" si="111"/>
        <v>0.21782178217821779</v>
      </c>
      <c r="Q1163" s="4">
        <f t="shared" si="112"/>
        <v>1.2357887788778872</v>
      </c>
      <c r="R1163" s="4">
        <f t="shared" si="113"/>
        <v>0.81255358462675542</v>
      </c>
      <c r="S1163" s="4">
        <v>-11.02</v>
      </c>
      <c r="T1163" s="2">
        <v>0.71</v>
      </c>
      <c r="U1163" s="2">
        <v>21.79</v>
      </c>
      <c r="V1163" s="2">
        <v>14.25</v>
      </c>
      <c r="W1163" s="2">
        <v>0.09</v>
      </c>
      <c r="X1163" s="2">
        <v>7.61</v>
      </c>
      <c r="Y1163" s="2">
        <v>16.190000000000001</v>
      </c>
      <c r="Z1163" s="2">
        <v>17.68</v>
      </c>
    </row>
    <row r="1164" spans="1:26" x14ac:dyDescent="0.25">
      <c r="A1164" s="1" t="s">
        <v>4930</v>
      </c>
      <c r="B1164" s="1" t="s">
        <v>4931</v>
      </c>
      <c r="C1164" s="1" t="s">
        <v>31</v>
      </c>
      <c r="D1164" s="1" t="s">
        <v>38</v>
      </c>
      <c r="E1164" s="1" t="s">
        <v>52</v>
      </c>
      <c r="F1164" s="1" t="s">
        <v>4932</v>
      </c>
      <c r="G1164" s="1" t="s">
        <v>12480</v>
      </c>
      <c r="H1164" s="1" t="s">
        <v>4933</v>
      </c>
      <c r="I1164" s="2">
        <v>53.603000000000002</v>
      </c>
      <c r="J1164" s="2">
        <v>5.66</v>
      </c>
      <c r="K1164" s="2">
        <v>6.53</v>
      </c>
      <c r="L1164" s="2">
        <v>7.13</v>
      </c>
      <c r="M1164" s="4">
        <f t="shared" si="108"/>
        <v>8.2087289433384374</v>
      </c>
      <c r="N1164" s="4">
        <f t="shared" si="109"/>
        <v>7.5179523141654983</v>
      </c>
      <c r="O1164" s="5">
        <f t="shared" si="110"/>
        <v>0.1537102473498233</v>
      </c>
      <c r="P1164" s="5">
        <f t="shared" si="111"/>
        <v>9.1883614088820842E-2</v>
      </c>
      <c r="Q1164" s="4">
        <f t="shared" si="112"/>
        <v>0.53403914734822477</v>
      </c>
      <c r="R1164" s="4">
        <f t="shared" si="113"/>
        <v>0.8182038101916782</v>
      </c>
      <c r="S1164" s="4">
        <v>-3.65</v>
      </c>
      <c r="T1164" s="2">
        <v>0.81</v>
      </c>
      <c r="U1164" s="2">
        <v>60.48</v>
      </c>
      <c r="V1164" s="2">
        <v>32.840000000000003</v>
      </c>
      <c r="W1164" s="2">
        <v>-2.93</v>
      </c>
      <c r="X1164" s="2">
        <v>-10.84</v>
      </c>
      <c r="Y1164" s="2">
        <v>10.39</v>
      </c>
      <c r="Z1164" s="2">
        <v>15.47</v>
      </c>
    </row>
    <row r="1165" spans="1:26" x14ac:dyDescent="0.25">
      <c r="A1165" s="1" t="s">
        <v>4934</v>
      </c>
      <c r="B1165" s="1" t="s">
        <v>4935</v>
      </c>
      <c r="C1165" s="1" t="s">
        <v>16</v>
      </c>
      <c r="D1165" s="1" t="s">
        <v>32</v>
      </c>
      <c r="E1165" s="1" t="s">
        <v>311</v>
      </c>
      <c r="F1165" s="1" t="s">
        <v>4936</v>
      </c>
      <c r="G1165" s="1" t="s">
        <v>12480</v>
      </c>
      <c r="H1165" s="1" t="s">
        <v>4937</v>
      </c>
      <c r="I1165" s="2">
        <v>5.76</v>
      </c>
      <c r="J1165" s="2">
        <v>0.17</v>
      </c>
      <c r="K1165" s="2">
        <v>0.22</v>
      </c>
      <c r="L1165" s="2">
        <v>0.33</v>
      </c>
      <c r="M1165" s="4">
        <f t="shared" si="108"/>
        <v>26.18181818181818</v>
      </c>
      <c r="N1165" s="4">
        <f t="shared" si="109"/>
        <v>17.454545454545453</v>
      </c>
      <c r="O1165" s="5">
        <f t="shared" si="110"/>
        <v>0.29411764705882337</v>
      </c>
      <c r="P1165" s="5">
        <f t="shared" si="111"/>
        <v>0.5</v>
      </c>
      <c r="Q1165" s="4">
        <f t="shared" si="112"/>
        <v>0.89018181818181863</v>
      </c>
      <c r="R1165" s="4">
        <f t="shared" si="113"/>
        <v>0.34909090909090906</v>
      </c>
      <c r="S1165" s="4" t="s">
        <v>12849</v>
      </c>
      <c r="T1165" s="2">
        <v>0.77</v>
      </c>
      <c r="U1165" s="2">
        <v>8.34</v>
      </c>
      <c r="V1165" s="2">
        <v>4.97</v>
      </c>
      <c r="W1165" s="2">
        <v>3.6</v>
      </c>
      <c r="X1165" s="2">
        <v>4.92</v>
      </c>
      <c r="Y1165" s="2">
        <v>-27.36</v>
      </c>
      <c r="Z1165" s="2">
        <v>-24.71</v>
      </c>
    </row>
    <row r="1166" spans="1:26" x14ac:dyDescent="0.25">
      <c r="A1166" s="1" t="s">
        <v>4938</v>
      </c>
      <c r="B1166" s="1" t="s">
        <v>4939</v>
      </c>
      <c r="C1166" s="1" t="s">
        <v>16</v>
      </c>
      <c r="D1166" s="1" t="s">
        <v>46</v>
      </c>
      <c r="E1166" s="1" t="s">
        <v>391</v>
      </c>
      <c r="F1166" s="1" t="s">
        <v>4940</v>
      </c>
      <c r="G1166" s="1" t="s">
        <v>12497</v>
      </c>
      <c r="H1166" s="1" t="s">
        <v>4941</v>
      </c>
      <c r="I1166" s="2">
        <v>54.69</v>
      </c>
      <c r="J1166" s="2">
        <v>6.59</v>
      </c>
      <c r="K1166" s="2">
        <v>4.4000000000000004</v>
      </c>
      <c r="L1166" s="2">
        <v>4.4000000000000004</v>
      </c>
      <c r="M1166" s="4">
        <f t="shared" si="108"/>
        <v>12.429545454545453</v>
      </c>
      <c r="N1166" s="4">
        <f t="shared" si="109"/>
        <v>12.429545454545453</v>
      </c>
      <c r="O1166" s="5">
        <f t="shared" si="110"/>
        <v>-0.33232169954476476</v>
      </c>
      <c r="P1166" s="5">
        <f t="shared" si="111"/>
        <v>0</v>
      </c>
      <c r="Q1166" s="4">
        <f t="shared" si="112"/>
        <v>-0.37402148194271484</v>
      </c>
      <c r="R1166" s="4" t="e">
        <f t="shared" si="113"/>
        <v>#DIV/0!</v>
      </c>
      <c r="S1166" s="4">
        <v>-8.59</v>
      </c>
      <c r="T1166" s="2">
        <v>1.62</v>
      </c>
      <c r="U1166" s="2">
        <v>58.87</v>
      </c>
      <c r="V1166" s="2">
        <v>39.630000000000003</v>
      </c>
      <c r="W1166" s="2">
        <v>-4.05</v>
      </c>
      <c r="X1166" s="2">
        <v>0.92</v>
      </c>
      <c r="Y1166" s="2">
        <v>15.84</v>
      </c>
      <c r="Z1166" s="2">
        <v>17.010000000000002</v>
      </c>
    </row>
    <row r="1167" spans="1:26" x14ac:dyDescent="0.25">
      <c r="A1167" s="1" t="s">
        <v>4943</v>
      </c>
      <c r="B1167" s="1" t="s">
        <v>4944</v>
      </c>
      <c r="C1167" s="1" t="s">
        <v>45</v>
      </c>
      <c r="D1167" s="1" t="s">
        <v>38</v>
      </c>
      <c r="E1167" s="1" t="s">
        <v>101</v>
      </c>
      <c r="F1167" s="1" t="s">
        <v>4945</v>
      </c>
      <c r="G1167" s="1" t="s">
        <v>12480</v>
      </c>
      <c r="H1167" s="1" t="s">
        <v>4946</v>
      </c>
      <c r="I1167" s="2">
        <v>11.22</v>
      </c>
      <c r="J1167" s="2">
        <v>0.84</v>
      </c>
      <c r="K1167" s="2">
        <v>0.89</v>
      </c>
      <c r="L1167" s="2">
        <v>1.06</v>
      </c>
      <c r="M1167" s="4">
        <f t="shared" si="108"/>
        <v>12.606741573033709</v>
      </c>
      <c r="N1167" s="4">
        <f t="shared" si="109"/>
        <v>10.584905660377359</v>
      </c>
      <c r="O1167" s="5">
        <f t="shared" si="110"/>
        <v>5.9523809523809534E-2</v>
      </c>
      <c r="P1167" s="5">
        <f t="shared" si="111"/>
        <v>0.1910112359550562</v>
      </c>
      <c r="Q1167" s="4">
        <f t="shared" si="112"/>
        <v>2.1179325842696626</v>
      </c>
      <c r="R1167" s="4">
        <f t="shared" si="113"/>
        <v>0.55415094339622639</v>
      </c>
      <c r="S1167" s="4">
        <v>8.4700000000000006</v>
      </c>
      <c r="T1167" s="2">
        <v>0.8</v>
      </c>
      <c r="U1167" s="2">
        <v>13.44</v>
      </c>
      <c r="V1167" s="2">
        <v>9.89</v>
      </c>
      <c r="W1167" s="2">
        <v>-4.0999999999999996</v>
      </c>
      <c r="X1167" s="2">
        <v>13.33</v>
      </c>
      <c r="Y1167" s="2">
        <v>-3.94</v>
      </c>
      <c r="Z1167" s="2">
        <v>-0.88</v>
      </c>
    </row>
    <row r="1168" spans="1:26" x14ac:dyDescent="0.25">
      <c r="A1168" s="1" t="s">
        <v>4947</v>
      </c>
      <c r="B1168" s="1" t="s">
        <v>4948</v>
      </c>
      <c r="C1168" s="1" t="s">
        <v>45</v>
      </c>
      <c r="D1168" s="1" t="s">
        <v>140</v>
      </c>
      <c r="E1168" s="1" t="s">
        <v>284</v>
      </c>
      <c r="F1168" s="1" t="s">
        <v>4949</v>
      </c>
      <c r="G1168" s="1" t="s">
        <v>12480</v>
      </c>
      <c r="H1168" s="1" t="s">
        <v>1228</v>
      </c>
      <c r="I1168" s="2">
        <v>44.09</v>
      </c>
      <c r="J1168" s="2">
        <v>3.59</v>
      </c>
      <c r="K1168" s="2">
        <v>3.75</v>
      </c>
      <c r="L1168" s="2">
        <v>4.1100000000000003</v>
      </c>
      <c r="M1168" s="4">
        <f t="shared" si="108"/>
        <v>11.757333333333333</v>
      </c>
      <c r="N1168" s="4">
        <f t="shared" si="109"/>
        <v>10.72749391727494</v>
      </c>
      <c r="O1168" s="5">
        <f t="shared" si="110"/>
        <v>4.4568245125348183E-2</v>
      </c>
      <c r="P1168" s="5">
        <f t="shared" si="111"/>
        <v>9.6000000000000085E-2</v>
      </c>
      <c r="Q1168" s="4">
        <f t="shared" si="112"/>
        <v>2.6380516666666671</v>
      </c>
      <c r="R1168" s="4">
        <f t="shared" si="113"/>
        <v>1.1174472830494719</v>
      </c>
      <c r="S1168" s="4">
        <v>11.1</v>
      </c>
      <c r="T1168" s="2">
        <v>2.2400000000000002</v>
      </c>
      <c r="U1168" s="2">
        <v>46.98</v>
      </c>
      <c r="V1168" s="2">
        <v>11.58</v>
      </c>
      <c r="W1168" s="2">
        <v>2.5099999999999998</v>
      </c>
      <c r="X1168" s="2">
        <v>11.96</v>
      </c>
      <c r="Y1168" s="2">
        <v>14.07</v>
      </c>
      <c r="Z1168" s="2">
        <v>12.24</v>
      </c>
    </row>
    <row r="1169" spans="1:26" x14ac:dyDescent="0.25">
      <c r="A1169" s="1" t="s">
        <v>4950</v>
      </c>
      <c r="B1169" s="1" t="s">
        <v>4951</v>
      </c>
      <c r="C1169" s="1" t="s">
        <v>16</v>
      </c>
      <c r="D1169" s="1" t="s">
        <v>204</v>
      </c>
      <c r="E1169" s="1" t="s">
        <v>205</v>
      </c>
      <c r="F1169" s="1" t="s">
        <v>4952</v>
      </c>
      <c r="G1169" s="1" t="s">
        <v>12480</v>
      </c>
      <c r="H1169" s="1" t="s">
        <v>4953</v>
      </c>
      <c r="I1169" s="2">
        <v>361.98</v>
      </c>
      <c r="J1169" s="2">
        <v>15.46</v>
      </c>
      <c r="K1169" s="2">
        <v>16.57</v>
      </c>
      <c r="L1169" s="2">
        <v>18.34</v>
      </c>
      <c r="M1169" s="4">
        <f t="shared" si="108"/>
        <v>21.845503922751963</v>
      </c>
      <c r="N1169" s="4">
        <f t="shared" si="109"/>
        <v>19.737186477644492</v>
      </c>
      <c r="O1169" s="5">
        <f t="shared" si="110"/>
        <v>7.1798188874514945E-2</v>
      </c>
      <c r="P1169" s="5">
        <f t="shared" si="111"/>
        <v>0.10681955340977667</v>
      </c>
      <c r="Q1169" s="4">
        <f t="shared" si="112"/>
        <v>3.0426260418535587</v>
      </c>
      <c r="R1169" s="4">
        <f t="shared" si="113"/>
        <v>1.8477128809862677</v>
      </c>
      <c r="S1169" s="4">
        <v>10.130000000000001</v>
      </c>
      <c r="T1169" s="2">
        <v>0.39</v>
      </c>
      <c r="U1169" s="2">
        <v>368.69</v>
      </c>
      <c r="V1169" s="2">
        <v>247.68</v>
      </c>
      <c r="W1169" s="2">
        <v>-0.77</v>
      </c>
      <c r="X1169" s="2">
        <v>0.52</v>
      </c>
      <c r="Y1169" s="2">
        <v>6.25</v>
      </c>
      <c r="Z1169" s="2">
        <v>7.52</v>
      </c>
    </row>
    <row r="1170" spans="1:26" x14ac:dyDescent="0.25">
      <c r="A1170" s="1" t="s">
        <v>4954</v>
      </c>
      <c r="B1170" s="1" t="s">
        <v>4955</v>
      </c>
      <c r="C1170" s="1" t="s">
        <v>16</v>
      </c>
      <c r="D1170" s="1" t="s">
        <v>32</v>
      </c>
      <c r="E1170" s="1" t="s">
        <v>4957</v>
      </c>
      <c r="F1170" s="1" t="s">
        <v>4956</v>
      </c>
      <c r="G1170" s="1" t="s">
        <v>12480</v>
      </c>
      <c r="H1170" s="1" t="s">
        <v>4958</v>
      </c>
      <c r="I1170" s="2">
        <v>91.69</v>
      </c>
      <c r="J1170" s="2">
        <v>6.22</v>
      </c>
      <c r="K1170" s="2">
        <v>7.06</v>
      </c>
      <c r="L1170" s="2">
        <v>8.89</v>
      </c>
      <c r="M1170" s="4">
        <f t="shared" si="108"/>
        <v>12.987252124645893</v>
      </c>
      <c r="N1170" s="4">
        <f t="shared" si="109"/>
        <v>10.313835770528684</v>
      </c>
      <c r="O1170" s="5">
        <f t="shared" si="110"/>
        <v>0.135048231511254</v>
      </c>
      <c r="P1170" s="5">
        <f t="shared" si="111"/>
        <v>0.2592067988668556</v>
      </c>
      <c r="Q1170" s="4">
        <f t="shared" si="112"/>
        <v>0.96167509780116034</v>
      </c>
      <c r="R1170" s="4">
        <f t="shared" si="113"/>
        <v>0.39789989366083323</v>
      </c>
      <c r="S1170" s="4">
        <v>8.26</v>
      </c>
      <c r="T1170" s="2">
        <v>0.96</v>
      </c>
      <c r="U1170" s="2">
        <v>192.36</v>
      </c>
      <c r="V1170" s="2">
        <v>79.12</v>
      </c>
      <c r="W1170" s="2">
        <v>3.93</v>
      </c>
      <c r="X1170" s="2">
        <v>-6.51</v>
      </c>
      <c r="Y1170" s="2">
        <v>-25.94</v>
      </c>
      <c r="Z1170" s="2">
        <v>-26.1</v>
      </c>
    </row>
    <row r="1171" spans="1:26" x14ac:dyDescent="0.25">
      <c r="A1171" s="1" t="s">
        <v>4959</v>
      </c>
      <c r="B1171" s="1" t="s">
        <v>4960</v>
      </c>
      <c r="C1171" s="1" t="s">
        <v>16</v>
      </c>
      <c r="D1171" s="1" t="s">
        <v>204</v>
      </c>
      <c r="E1171" s="1" t="s">
        <v>205</v>
      </c>
      <c r="F1171" s="1" t="s">
        <v>4961</v>
      </c>
      <c r="G1171" s="1" t="s">
        <v>12480</v>
      </c>
      <c r="H1171" s="1" t="s">
        <v>4962</v>
      </c>
      <c r="I1171" s="2">
        <v>321.93</v>
      </c>
      <c r="J1171" s="2">
        <v>6.37</v>
      </c>
      <c r="K1171" s="2">
        <v>7.44</v>
      </c>
      <c r="L1171" s="2">
        <v>8.61</v>
      </c>
      <c r="M1171" s="4">
        <f t="shared" si="108"/>
        <v>43.270161290322577</v>
      </c>
      <c r="N1171" s="4">
        <f t="shared" si="109"/>
        <v>37.390243902439025</v>
      </c>
      <c r="O1171" s="5">
        <f t="shared" si="110"/>
        <v>0.16797488226059665</v>
      </c>
      <c r="P1171" s="5">
        <f t="shared" si="111"/>
        <v>0.157258064516129</v>
      </c>
      <c r="Q1171" s="4">
        <f t="shared" si="112"/>
        <v>2.5759899758818192</v>
      </c>
      <c r="R1171" s="4">
        <f t="shared" si="113"/>
        <v>2.3776360225140718</v>
      </c>
      <c r="S1171" s="4">
        <v>18.48</v>
      </c>
      <c r="T1171" s="2">
        <v>1.36</v>
      </c>
      <c r="U1171" s="2">
        <v>345.74</v>
      </c>
      <c r="V1171" s="2">
        <v>166.81</v>
      </c>
      <c r="W1171" s="2">
        <v>-6.89</v>
      </c>
      <c r="X1171" s="2">
        <v>1.64</v>
      </c>
      <c r="Y1171" s="2">
        <v>6.96</v>
      </c>
      <c r="Z1171" s="2">
        <v>4.51</v>
      </c>
    </row>
    <row r="1172" spans="1:26" x14ac:dyDescent="0.25">
      <c r="A1172" s="1" t="s">
        <v>4963</v>
      </c>
      <c r="B1172" s="1" t="s">
        <v>4964</v>
      </c>
      <c r="C1172" s="1" t="s">
        <v>16</v>
      </c>
      <c r="D1172" s="1" t="s">
        <v>25</v>
      </c>
      <c r="E1172" s="1" t="s">
        <v>734</v>
      </c>
      <c r="F1172" s="1" t="s">
        <v>4965</v>
      </c>
      <c r="G1172" s="1" t="s">
        <v>12485</v>
      </c>
      <c r="H1172" s="1" t="s">
        <v>4315</v>
      </c>
      <c r="I1172" s="2">
        <v>69.69</v>
      </c>
      <c r="J1172" s="2">
        <v>4.3099999999999996</v>
      </c>
      <c r="K1172" s="2">
        <v>4.2</v>
      </c>
      <c r="L1172" s="2">
        <v>4.88</v>
      </c>
      <c r="M1172" s="4">
        <f t="shared" si="108"/>
        <v>16.592857142857142</v>
      </c>
      <c r="N1172" s="4">
        <f t="shared" si="109"/>
        <v>14.280737704918034</v>
      </c>
      <c r="O1172" s="5">
        <f t="shared" si="110"/>
        <v>-2.5522041763340941E-2</v>
      </c>
      <c r="P1172" s="5">
        <f t="shared" si="111"/>
        <v>0.16190476190476177</v>
      </c>
      <c r="Q1172" s="4">
        <f t="shared" si="112"/>
        <v>-6.5013831168831482</v>
      </c>
      <c r="R1172" s="4">
        <f t="shared" si="113"/>
        <v>0.88204556412729107</v>
      </c>
      <c r="S1172" s="4">
        <v>4.4000000000000004</v>
      </c>
      <c r="T1172" s="2">
        <v>0.95</v>
      </c>
      <c r="U1172" s="2">
        <v>76.819999999999993</v>
      </c>
      <c r="V1172" s="2">
        <v>49.01</v>
      </c>
      <c r="W1172" s="2">
        <v>-4.74</v>
      </c>
      <c r="X1172" s="2">
        <v>-6.1</v>
      </c>
      <c r="Y1172" s="2">
        <v>-0.6</v>
      </c>
      <c r="Z1172" s="2">
        <v>2.94</v>
      </c>
    </row>
    <row r="1173" spans="1:26" x14ac:dyDescent="0.25">
      <c r="A1173" s="1" t="s">
        <v>4966</v>
      </c>
      <c r="B1173" s="1" t="s">
        <v>4967</v>
      </c>
      <c r="C1173" s="1" t="s">
        <v>16</v>
      </c>
      <c r="D1173" s="1" t="s">
        <v>25</v>
      </c>
      <c r="E1173" s="1" t="s">
        <v>734</v>
      </c>
      <c r="F1173" s="1" t="s">
        <v>4968</v>
      </c>
      <c r="G1173" s="1" t="s">
        <v>12479</v>
      </c>
      <c r="H1173" s="1" t="s">
        <v>4315</v>
      </c>
      <c r="I1173" s="2">
        <v>85.15</v>
      </c>
      <c r="J1173" s="2">
        <v>4.3099999999999996</v>
      </c>
      <c r="K1173" s="2"/>
      <c r="L1173" s="2"/>
      <c r="M1173" s="4" t="e">
        <f t="shared" si="108"/>
        <v>#DIV/0!</v>
      </c>
      <c r="N1173" s="4" t="e">
        <f t="shared" si="109"/>
        <v>#DIV/0!</v>
      </c>
      <c r="O1173" s="5">
        <f t="shared" si="110"/>
        <v>-1</v>
      </c>
      <c r="P1173" s="5" t="e">
        <f t="shared" si="111"/>
        <v>#DIV/0!</v>
      </c>
      <c r="Q1173" s="4" t="e">
        <f t="shared" si="112"/>
        <v>#DIV/0!</v>
      </c>
      <c r="R1173" s="4" t="e">
        <f t="shared" si="113"/>
        <v>#DIV/0!</v>
      </c>
      <c r="S1173" s="4">
        <v>4.4000000000000004</v>
      </c>
      <c r="T1173" s="2">
        <v>0.83</v>
      </c>
      <c r="U1173" s="2">
        <v>91.35</v>
      </c>
      <c r="V1173" s="2">
        <v>53.49</v>
      </c>
      <c r="W1173" s="2">
        <v>-3.7</v>
      </c>
      <c r="X1173" s="2">
        <v>-0.92</v>
      </c>
      <c r="Y1173" s="2">
        <v>13.4</v>
      </c>
      <c r="Z1173" s="2">
        <v>14.01</v>
      </c>
    </row>
    <row r="1174" spans="1:26" x14ac:dyDescent="0.25">
      <c r="A1174" s="1" t="s">
        <v>4969</v>
      </c>
      <c r="B1174" s="1" t="s">
        <v>4970</v>
      </c>
      <c r="C1174" s="1" t="s">
        <v>45</v>
      </c>
      <c r="D1174" s="1" t="s">
        <v>18</v>
      </c>
      <c r="E1174" s="1" t="s">
        <v>19</v>
      </c>
      <c r="F1174" s="1" t="s">
        <v>4971</v>
      </c>
      <c r="G1174" s="1" t="s">
        <v>12480</v>
      </c>
      <c r="H1174" s="1" t="s">
        <v>4972</v>
      </c>
      <c r="I1174" s="2">
        <v>75.63</v>
      </c>
      <c r="J1174" s="2">
        <v>4.59</v>
      </c>
      <c r="K1174" s="2">
        <v>5.01</v>
      </c>
      <c r="L1174" s="2">
        <v>5.55</v>
      </c>
      <c r="M1174" s="4">
        <f t="shared" si="108"/>
        <v>15.095808383233532</v>
      </c>
      <c r="N1174" s="4">
        <f t="shared" si="109"/>
        <v>13.627027027027026</v>
      </c>
      <c r="O1174" s="5">
        <f t="shared" si="110"/>
        <v>9.1503267973856106E-2</v>
      </c>
      <c r="P1174" s="5">
        <f t="shared" si="111"/>
        <v>0.10778443113772451</v>
      </c>
      <c r="Q1174" s="4">
        <f t="shared" si="112"/>
        <v>1.6497562018819523</v>
      </c>
      <c r="R1174" s="4">
        <f t="shared" si="113"/>
        <v>1.2642852852852857</v>
      </c>
      <c r="S1174" s="4">
        <v>4.84</v>
      </c>
      <c r="T1174" s="2">
        <v>1.03</v>
      </c>
      <c r="U1174" s="2">
        <v>88.16</v>
      </c>
      <c r="V1174" s="2">
        <v>58.75</v>
      </c>
      <c r="W1174" s="2">
        <v>-5.65</v>
      </c>
      <c r="X1174" s="2">
        <v>-4.3600000000000003</v>
      </c>
      <c r="Y1174" s="2">
        <v>-10.44</v>
      </c>
      <c r="Z1174" s="2">
        <v>-7.79</v>
      </c>
    </row>
    <row r="1175" spans="1:26" x14ac:dyDescent="0.25">
      <c r="A1175" s="1" t="s">
        <v>4973</v>
      </c>
      <c r="B1175" s="1" t="s">
        <v>4974</v>
      </c>
      <c r="C1175" s="1" t="s">
        <v>16</v>
      </c>
      <c r="D1175" s="1" t="s">
        <v>94</v>
      </c>
      <c r="E1175" s="1" t="s">
        <v>4976</v>
      </c>
      <c r="F1175" s="1" t="s">
        <v>4975</v>
      </c>
      <c r="G1175" s="1" t="s">
        <v>12480</v>
      </c>
      <c r="H1175" s="1" t="s">
        <v>4977</v>
      </c>
      <c r="I1175" s="2">
        <v>17.95</v>
      </c>
      <c r="J1175" s="2">
        <v>-0.73</v>
      </c>
      <c r="K1175" s="2"/>
      <c r="L1175" s="2"/>
      <c r="M1175" s="4" t="e">
        <f t="shared" si="108"/>
        <v>#DIV/0!</v>
      </c>
      <c r="N1175" s="4" t="e">
        <f t="shared" si="109"/>
        <v>#DIV/0!</v>
      </c>
      <c r="O1175" s="5">
        <f t="shared" si="110"/>
        <v>-1</v>
      </c>
      <c r="P1175" s="5" t="e">
        <f t="shared" si="111"/>
        <v>#DIV/0!</v>
      </c>
      <c r="Q1175" s="4" t="e">
        <f t="shared" si="112"/>
        <v>#DIV/0!</v>
      </c>
      <c r="R1175" s="4" t="e">
        <f t="shared" si="113"/>
        <v>#DIV/0!</v>
      </c>
      <c r="S1175" s="4">
        <v>-45.03</v>
      </c>
      <c r="T1175" s="2">
        <v>0.8</v>
      </c>
      <c r="U1175" s="2">
        <v>18.489999999999998</v>
      </c>
      <c r="V1175" s="2">
        <v>12.5</v>
      </c>
      <c r="W1175" s="2">
        <v>-1.1000000000000001</v>
      </c>
      <c r="X1175" s="2">
        <v>3.88</v>
      </c>
      <c r="Y1175" s="2">
        <v>14.77</v>
      </c>
      <c r="Z1175" s="2">
        <v>15.06</v>
      </c>
    </row>
    <row r="1176" spans="1:26" x14ac:dyDescent="0.25">
      <c r="A1176" s="1" t="s">
        <v>4978</v>
      </c>
      <c r="B1176" s="1" t="s">
        <v>4979</v>
      </c>
      <c r="C1176" s="1" t="s">
        <v>45</v>
      </c>
      <c r="D1176" s="1" t="s">
        <v>38</v>
      </c>
      <c r="E1176" s="1" t="s">
        <v>52</v>
      </c>
      <c r="F1176" s="1" t="s">
        <v>4980</v>
      </c>
      <c r="G1176" s="1" t="s">
        <v>12480</v>
      </c>
      <c r="H1176" s="1" t="s">
        <v>4981</v>
      </c>
      <c r="I1176" s="2">
        <v>8.7100000000000009</v>
      </c>
      <c r="J1176" s="2"/>
      <c r="K1176" s="2">
        <v>-3.2</v>
      </c>
      <c r="L1176" s="2">
        <v>-1.83</v>
      </c>
      <c r="M1176" s="4">
        <f t="shared" si="108"/>
        <v>-2.7218750000000003</v>
      </c>
      <c r="N1176" s="4">
        <f t="shared" si="109"/>
        <v>-4.7595628415300553</v>
      </c>
      <c r="O1176" s="5" t="e">
        <f t="shared" si="110"/>
        <v>#DIV/0!</v>
      </c>
      <c r="P1176" s="5">
        <f t="shared" si="111"/>
        <v>-0.42812499999999998</v>
      </c>
      <c r="Q1176" s="4" t="e">
        <f t="shared" si="112"/>
        <v>#DIV/0!</v>
      </c>
      <c r="R1176" s="4">
        <f t="shared" si="113"/>
        <v>0.11117227075106699</v>
      </c>
      <c r="S1176" s="4"/>
      <c r="T1176" s="2"/>
      <c r="U1176" s="2">
        <v>32.520000000000003</v>
      </c>
      <c r="V1176" s="2">
        <v>5.82</v>
      </c>
      <c r="W1176" s="2">
        <v>31.97</v>
      </c>
      <c r="X1176" s="2">
        <v>10.25</v>
      </c>
      <c r="Y1176" s="2">
        <v>-25.01</v>
      </c>
      <c r="Z1176" s="2">
        <v>-12.2</v>
      </c>
    </row>
    <row r="1177" spans="1:26" x14ac:dyDescent="0.25">
      <c r="A1177" s="1" t="s">
        <v>4982</v>
      </c>
      <c r="B1177" s="1" t="s">
        <v>4983</v>
      </c>
      <c r="C1177" s="1" t="s">
        <v>45</v>
      </c>
      <c r="D1177" s="1" t="s">
        <v>140</v>
      </c>
      <c r="E1177" s="1" t="s">
        <v>284</v>
      </c>
      <c r="F1177" s="1" t="s">
        <v>4984</v>
      </c>
      <c r="G1177" s="1" t="s">
        <v>12490</v>
      </c>
      <c r="H1177" s="1" t="s">
        <v>4985</v>
      </c>
      <c r="I1177" s="2">
        <v>22.55</v>
      </c>
      <c r="J1177" s="2">
        <v>2.2200000000000002</v>
      </c>
      <c r="K1177" s="2">
        <v>2.54</v>
      </c>
      <c r="L1177" s="2">
        <v>2.91</v>
      </c>
      <c r="M1177" s="4">
        <f t="shared" si="108"/>
        <v>8.8779527559055111</v>
      </c>
      <c r="N1177" s="4">
        <f t="shared" si="109"/>
        <v>7.7491408934707904</v>
      </c>
      <c r="O1177" s="5">
        <f t="shared" si="110"/>
        <v>0.144144144144144</v>
      </c>
      <c r="P1177" s="5">
        <f t="shared" si="111"/>
        <v>0.14566929133858264</v>
      </c>
      <c r="Q1177" s="4">
        <f t="shared" si="112"/>
        <v>0.61590797244094542</v>
      </c>
      <c r="R1177" s="4">
        <f t="shared" si="113"/>
        <v>0.53196805052475171</v>
      </c>
      <c r="S1177" s="4">
        <v>3.23</v>
      </c>
      <c r="T1177" s="2">
        <v>1.1100000000000001</v>
      </c>
      <c r="U1177" s="2">
        <v>32.159999999999997</v>
      </c>
      <c r="V1177" s="2">
        <v>21.65</v>
      </c>
      <c r="W1177" s="2">
        <v>0.89</v>
      </c>
      <c r="X1177" s="2">
        <v>-8.33</v>
      </c>
      <c r="Y1177" s="2">
        <v>-17.97</v>
      </c>
      <c r="Z1177" s="2">
        <v>-17.07</v>
      </c>
    </row>
    <row r="1178" spans="1:26" x14ac:dyDescent="0.25">
      <c r="A1178" s="1" t="s">
        <v>4986</v>
      </c>
      <c r="B1178" s="1" t="s">
        <v>4987</v>
      </c>
      <c r="C1178" s="1" t="s">
        <v>16</v>
      </c>
      <c r="D1178" s="1" t="s">
        <v>32</v>
      </c>
      <c r="E1178" s="1" t="s">
        <v>4989</v>
      </c>
      <c r="F1178" s="1" t="s">
        <v>4988</v>
      </c>
      <c r="G1178" s="1" t="s">
        <v>12480</v>
      </c>
      <c r="H1178" s="1" t="s">
        <v>4990</v>
      </c>
      <c r="I1178" s="2">
        <v>5.39</v>
      </c>
      <c r="J1178" s="2">
        <v>-0.3</v>
      </c>
      <c r="K1178" s="2" t="s">
        <v>12489</v>
      </c>
      <c r="L1178" s="2">
        <v>0.28000000000000003</v>
      </c>
      <c r="M1178" s="4" t="e">
        <f t="shared" si="108"/>
        <v>#DIV/0!</v>
      </c>
      <c r="N1178" s="4">
        <f t="shared" si="109"/>
        <v>19.249999999999996</v>
      </c>
      <c r="O1178" s="5">
        <f t="shared" si="110"/>
        <v>-1</v>
      </c>
      <c r="P1178" s="5" t="e">
        <f t="shared" si="111"/>
        <v>#DIV/0!</v>
      </c>
      <c r="Q1178" s="4" t="e">
        <f t="shared" si="112"/>
        <v>#DIV/0!</v>
      </c>
      <c r="R1178" s="4" t="e">
        <f t="shared" si="113"/>
        <v>#DIV/0!</v>
      </c>
      <c r="S1178" s="4">
        <v>31.04</v>
      </c>
      <c r="T1178" s="2">
        <v>1.91</v>
      </c>
      <c r="U1178" s="2">
        <v>13.55</v>
      </c>
      <c r="V1178" s="2">
        <v>5.39</v>
      </c>
      <c r="W1178" s="2">
        <v>-15.39</v>
      </c>
      <c r="X1178" s="2">
        <v>-14.98</v>
      </c>
      <c r="Y1178" s="2">
        <v>-49.44</v>
      </c>
      <c r="Z1178" s="2">
        <v>-51.09</v>
      </c>
    </row>
    <row r="1179" spans="1:26" x14ac:dyDescent="0.25">
      <c r="A1179" s="1" t="s">
        <v>4991</v>
      </c>
      <c r="B1179" s="1" t="s">
        <v>4992</v>
      </c>
      <c r="C1179" s="1" t="s">
        <v>16</v>
      </c>
      <c r="D1179" s="1" t="s">
        <v>140</v>
      </c>
      <c r="E1179" s="1" t="s">
        <v>4994</v>
      </c>
      <c r="F1179" s="1" t="s">
        <v>4993</v>
      </c>
      <c r="G1179" s="1" t="s">
        <v>12480</v>
      </c>
      <c r="H1179" s="1" t="s">
        <v>4995</v>
      </c>
      <c r="I1179" s="2">
        <v>13.76</v>
      </c>
      <c r="J1179" s="2">
        <v>0.86</v>
      </c>
      <c r="K1179" s="2">
        <v>1.18</v>
      </c>
      <c r="L1179" s="2">
        <v>1.45</v>
      </c>
      <c r="M1179" s="4">
        <f t="shared" si="108"/>
        <v>11.661016949152543</v>
      </c>
      <c r="N1179" s="4">
        <f t="shared" si="109"/>
        <v>9.4896551724137925</v>
      </c>
      <c r="O1179" s="5">
        <f t="shared" si="110"/>
        <v>0.37209302325581395</v>
      </c>
      <c r="P1179" s="5">
        <f t="shared" si="111"/>
        <v>0.22881355932203395</v>
      </c>
      <c r="Q1179" s="4">
        <f t="shared" si="112"/>
        <v>0.31338983050847458</v>
      </c>
      <c r="R1179" s="4">
        <f t="shared" si="113"/>
        <v>0.41473307790549158</v>
      </c>
      <c r="S1179" s="4">
        <v>8.58</v>
      </c>
      <c r="T1179" s="2">
        <v>0.77</v>
      </c>
      <c r="U1179" s="2">
        <v>31.67</v>
      </c>
      <c r="V1179" s="2">
        <v>13.26</v>
      </c>
      <c r="W1179" s="2">
        <v>-10.01</v>
      </c>
      <c r="X1179" s="2">
        <v>-14.38</v>
      </c>
      <c r="Y1179" s="2">
        <v>-17.36</v>
      </c>
      <c r="Z1179" s="2">
        <v>-14.64</v>
      </c>
    </row>
    <row r="1180" spans="1:26" x14ac:dyDescent="0.25">
      <c r="A1180" s="1" t="s">
        <v>4996</v>
      </c>
      <c r="B1180" s="1" t="s">
        <v>4997</v>
      </c>
      <c r="C1180" s="1" t="s">
        <v>45</v>
      </c>
      <c r="D1180" s="1" t="s">
        <v>18</v>
      </c>
      <c r="E1180" s="1" t="s">
        <v>74</v>
      </c>
      <c r="F1180" s="1" t="s">
        <v>4998</v>
      </c>
      <c r="G1180" s="1" t="s">
        <v>12480</v>
      </c>
      <c r="H1180" s="1" t="s">
        <v>4999</v>
      </c>
      <c r="I1180" s="2">
        <v>1.62</v>
      </c>
      <c r="J1180" s="2">
        <v>-0.11</v>
      </c>
      <c r="K1180" s="2">
        <v>-0.05</v>
      </c>
      <c r="L1180" s="2">
        <v>0.04</v>
      </c>
      <c r="M1180" s="4">
        <f t="shared" si="108"/>
        <v>-32.4</v>
      </c>
      <c r="N1180" s="4">
        <f t="shared" si="109"/>
        <v>40.5</v>
      </c>
      <c r="O1180" s="5">
        <f t="shared" si="110"/>
        <v>-0.54545454545454541</v>
      </c>
      <c r="P1180" s="5">
        <f t="shared" si="111"/>
        <v>-1.7999999999999998</v>
      </c>
      <c r="Q1180" s="4">
        <f t="shared" si="112"/>
        <v>0.59400000000000008</v>
      </c>
      <c r="R1180" s="4">
        <f t="shared" si="113"/>
        <v>-0.22500000000000003</v>
      </c>
      <c r="S1180" s="4">
        <v>138.83000000000001</v>
      </c>
      <c r="T1180" s="2">
        <v>0.57999999999999996</v>
      </c>
      <c r="U1180" s="2">
        <v>1.95</v>
      </c>
      <c r="V1180" s="2">
        <v>1.07</v>
      </c>
      <c r="W1180" s="2">
        <v>4.5199999999999996</v>
      </c>
      <c r="X1180" s="2">
        <v>0.62</v>
      </c>
      <c r="Y1180" s="2">
        <v>21.81</v>
      </c>
      <c r="Z1180" s="2">
        <v>22.73</v>
      </c>
    </row>
    <row r="1181" spans="1:26" x14ac:dyDescent="0.25">
      <c r="A1181" s="1" t="s">
        <v>5000</v>
      </c>
      <c r="B1181" s="1" t="s">
        <v>5001</v>
      </c>
      <c r="C1181" s="1" t="s">
        <v>16</v>
      </c>
      <c r="D1181" s="1" t="s">
        <v>94</v>
      </c>
      <c r="E1181" s="1" t="s">
        <v>95</v>
      </c>
      <c r="F1181" s="1" t="s">
        <v>5002</v>
      </c>
      <c r="G1181" s="1" t="s">
        <v>12480</v>
      </c>
      <c r="H1181" s="1" t="s">
        <v>5003</v>
      </c>
      <c r="I1181" s="2">
        <v>830.1</v>
      </c>
      <c r="J1181" s="2">
        <v>17.690000000000001</v>
      </c>
      <c r="K1181" s="2">
        <v>13.96</v>
      </c>
      <c r="L1181" s="2">
        <v>21.64</v>
      </c>
      <c r="M1181" s="4">
        <f t="shared" si="108"/>
        <v>59.462750716332373</v>
      </c>
      <c r="N1181" s="4">
        <f t="shared" si="109"/>
        <v>38.35951940850277</v>
      </c>
      <c r="O1181" s="5">
        <f t="shared" si="110"/>
        <v>-0.21085358959864331</v>
      </c>
      <c r="P1181" s="5">
        <f t="shared" si="111"/>
        <v>0.55014326647564471</v>
      </c>
      <c r="Q1181" s="4">
        <f t="shared" si="112"/>
        <v>-2.8200966760641277</v>
      </c>
      <c r="R1181" s="4">
        <f t="shared" si="113"/>
        <v>0.69726418091497222</v>
      </c>
      <c r="S1181" s="4">
        <v>8.9700000000000006</v>
      </c>
      <c r="T1181" s="2">
        <v>1.45</v>
      </c>
      <c r="U1181" s="2">
        <v>881.18</v>
      </c>
      <c r="V1181" s="2">
        <v>270.13</v>
      </c>
      <c r="W1181" s="2">
        <v>-5.8</v>
      </c>
      <c r="X1181" s="2">
        <v>3.56</v>
      </c>
      <c r="Y1181" s="2">
        <v>21.83</v>
      </c>
      <c r="Z1181" s="2">
        <v>27.01</v>
      </c>
    </row>
    <row r="1182" spans="1:26" x14ac:dyDescent="0.25">
      <c r="A1182" s="1" t="s">
        <v>5004</v>
      </c>
      <c r="B1182" s="1" t="s">
        <v>5005</v>
      </c>
      <c r="C1182" s="1" t="s">
        <v>16</v>
      </c>
      <c r="D1182" s="1" t="s">
        <v>2417</v>
      </c>
      <c r="E1182" s="1" t="s">
        <v>2418</v>
      </c>
      <c r="F1182" s="1" t="s">
        <v>5006</v>
      </c>
      <c r="G1182" s="1" t="s">
        <v>12485</v>
      </c>
      <c r="H1182" s="1" t="s">
        <v>5007</v>
      </c>
      <c r="I1182" s="2">
        <v>76.47</v>
      </c>
      <c r="J1182" s="2">
        <v>5.65</v>
      </c>
      <c r="K1182" s="2">
        <v>5.19</v>
      </c>
      <c r="L1182" s="2">
        <v>5.58</v>
      </c>
      <c r="M1182" s="4">
        <f t="shared" si="108"/>
        <v>14.734104046242773</v>
      </c>
      <c r="N1182" s="4">
        <f t="shared" si="109"/>
        <v>13.704301075268816</v>
      </c>
      <c r="O1182" s="5">
        <f t="shared" si="110"/>
        <v>-8.1415929203539794E-2</v>
      </c>
      <c r="P1182" s="5">
        <f t="shared" si="111"/>
        <v>7.5144508670520249E-2</v>
      </c>
      <c r="Q1182" s="4">
        <f t="shared" si="112"/>
        <v>-1.8097323448102545</v>
      </c>
      <c r="R1182" s="4">
        <f t="shared" si="113"/>
        <v>1.8237262200165421</v>
      </c>
      <c r="S1182" s="4">
        <v>-3.95</v>
      </c>
      <c r="T1182" s="2">
        <v>1.31</v>
      </c>
      <c r="U1182" s="2">
        <v>94.84</v>
      </c>
      <c r="V1182" s="2">
        <v>64.73</v>
      </c>
      <c r="W1182" s="2">
        <v>-9.57</v>
      </c>
      <c r="X1182" s="2">
        <v>-19.350000000000001</v>
      </c>
      <c r="Y1182" s="2">
        <v>-0.48</v>
      </c>
      <c r="Z1182" s="2">
        <v>3.83</v>
      </c>
    </row>
    <row r="1183" spans="1:26" x14ac:dyDescent="0.25">
      <c r="A1183" s="1" t="s">
        <v>5008</v>
      </c>
      <c r="B1183" s="1" t="s">
        <v>5009</v>
      </c>
      <c r="C1183" s="1" t="s">
        <v>16</v>
      </c>
      <c r="D1183" s="1" t="s">
        <v>88</v>
      </c>
      <c r="E1183" s="1" t="s">
        <v>89</v>
      </c>
      <c r="F1183" s="1" t="s">
        <v>5010</v>
      </c>
      <c r="G1183" s="1" t="s">
        <v>12480</v>
      </c>
      <c r="H1183" s="1" t="s">
        <v>5011</v>
      </c>
      <c r="I1183" s="2">
        <v>52.13</v>
      </c>
      <c r="J1183" s="2">
        <v>2.88</v>
      </c>
      <c r="K1183" s="2">
        <v>5.65</v>
      </c>
      <c r="L1183" s="2">
        <v>5.54</v>
      </c>
      <c r="M1183" s="4">
        <f t="shared" si="108"/>
        <v>9.2265486725663717</v>
      </c>
      <c r="N1183" s="4">
        <f t="shared" si="109"/>
        <v>9.4097472924187731</v>
      </c>
      <c r="O1183" s="5">
        <f t="shared" si="110"/>
        <v>0.9618055555555558</v>
      </c>
      <c r="P1183" s="5">
        <f t="shared" si="111"/>
        <v>-1.9469026548672663E-2</v>
      </c>
      <c r="Q1183" s="4">
        <f t="shared" si="112"/>
        <v>9.592945912271171E-2</v>
      </c>
      <c r="R1183" s="4">
        <f t="shared" si="113"/>
        <v>-4.8331883820150727</v>
      </c>
      <c r="S1183" s="4">
        <v>68.239999999999995</v>
      </c>
      <c r="T1183" s="2">
        <v>0.66</v>
      </c>
      <c r="U1183" s="2">
        <v>61.51</v>
      </c>
      <c r="V1183" s="2">
        <v>19.32</v>
      </c>
      <c r="W1183" s="2" t="s">
        <v>12522</v>
      </c>
      <c r="X1183" s="2">
        <v>-6.83</v>
      </c>
      <c r="Y1183" s="2">
        <v>18.64</v>
      </c>
      <c r="Z1183" s="2">
        <v>19.399999999999999</v>
      </c>
    </row>
    <row r="1184" spans="1:26" x14ac:dyDescent="0.25">
      <c r="A1184" s="1" t="s">
        <v>5012</v>
      </c>
      <c r="B1184" s="1" t="s">
        <v>5013</v>
      </c>
      <c r="C1184" s="1" t="s">
        <v>16</v>
      </c>
      <c r="D1184" s="1" t="s">
        <v>140</v>
      </c>
      <c r="E1184" s="1" t="s">
        <v>2558</v>
      </c>
      <c r="F1184" s="1" t="s">
        <v>5014</v>
      </c>
      <c r="G1184" s="1" t="s">
        <v>12480</v>
      </c>
      <c r="H1184" s="1" t="s">
        <v>5015</v>
      </c>
      <c r="I1184" s="2">
        <v>45.03</v>
      </c>
      <c r="J1184" s="2">
        <v>0.54</v>
      </c>
      <c r="K1184" s="2">
        <v>0.63</v>
      </c>
      <c r="L1184" s="2">
        <v>0.89</v>
      </c>
      <c r="M1184" s="4">
        <f t="shared" si="108"/>
        <v>71.476190476190482</v>
      </c>
      <c r="N1184" s="4">
        <f t="shared" si="109"/>
        <v>50.59550561797753</v>
      </c>
      <c r="O1184" s="5">
        <f t="shared" si="110"/>
        <v>0.16666666666666652</v>
      </c>
      <c r="P1184" s="5">
        <f t="shared" si="111"/>
        <v>0.41269841269841279</v>
      </c>
      <c r="Q1184" s="4">
        <f t="shared" si="112"/>
        <v>4.2885714285714336</v>
      </c>
      <c r="R1184" s="4">
        <f t="shared" si="113"/>
        <v>1.2259680207433015</v>
      </c>
      <c r="S1184" s="4">
        <v>-15.74</v>
      </c>
      <c r="T1184" s="2">
        <v>0.86</v>
      </c>
      <c r="U1184" s="2">
        <v>51.58</v>
      </c>
      <c r="V1184" s="2">
        <v>41.33</v>
      </c>
      <c r="W1184" s="2">
        <v>-0.4</v>
      </c>
      <c r="X1184" s="2">
        <v>4.5</v>
      </c>
      <c r="Y1184" s="2">
        <v>2.13</v>
      </c>
      <c r="Z1184" s="2">
        <v>4.84</v>
      </c>
    </row>
    <row r="1185" spans="1:26" x14ac:dyDescent="0.25">
      <c r="A1185" s="1" t="s">
        <v>5016</v>
      </c>
      <c r="B1185" s="1" t="s">
        <v>5017</v>
      </c>
      <c r="C1185" s="1" t="s">
        <v>45</v>
      </c>
      <c r="D1185" s="1" t="s">
        <v>32</v>
      </c>
      <c r="E1185" s="1" t="s">
        <v>57</v>
      </c>
      <c r="F1185" s="1" t="s">
        <v>5018</v>
      </c>
      <c r="G1185" s="1" t="s">
        <v>12480</v>
      </c>
      <c r="H1185" s="1" t="s">
        <v>5019</v>
      </c>
      <c r="I1185" s="2">
        <v>47.38</v>
      </c>
      <c r="J1185" s="2">
        <v>1.72</v>
      </c>
      <c r="K1185" s="2">
        <v>1.83</v>
      </c>
      <c r="L1185" s="2">
        <v>2.39</v>
      </c>
      <c r="M1185" s="4">
        <f t="shared" si="108"/>
        <v>25.89071038251366</v>
      </c>
      <c r="N1185" s="4">
        <f t="shared" si="109"/>
        <v>19.824267782426777</v>
      </c>
      <c r="O1185" s="5">
        <f t="shared" si="110"/>
        <v>6.3953488372093137E-2</v>
      </c>
      <c r="P1185" s="5">
        <f t="shared" si="111"/>
        <v>0.30601092896174875</v>
      </c>
      <c r="Q1185" s="4">
        <f t="shared" si="112"/>
        <v>4.0483656234475829</v>
      </c>
      <c r="R1185" s="4">
        <f t="shared" si="113"/>
        <v>0.64782875074716051</v>
      </c>
      <c r="S1185" s="4">
        <v>0.61</v>
      </c>
      <c r="T1185" s="2">
        <v>1.47</v>
      </c>
      <c r="U1185" s="2">
        <v>49.87</v>
      </c>
      <c r="V1185" s="2">
        <v>30.37</v>
      </c>
      <c r="W1185" s="2">
        <v>-4.99</v>
      </c>
      <c r="X1185" s="2">
        <v>8.86</v>
      </c>
      <c r="Y1185" s="2">
        <v>27.23</v>
      </c>
      <c r="Z1185" s="2">
        <v>35.68</v>
      </c>
    </row>
    <row r="1186" spans="1:26" x14ac:dyDescent="0.25">
      <c r="A1186" s="1" t="s">
        <v>5020</v>
      </c>
      <c r="B1186" s="1" t="s">
        <v>5021</v>
      </c>
      <c r="C1186" s="1" t="s">
        <v>45</v>
      </c>
      <c r="D1186" s="1" t="s">
        <v>38</v>
      </c>
      <c r="E1186" s="1" t="s">
        <v>189</v>
      </c>
      <c r="F1186" s="1" t="s">
        <v>5022</v>
      </c>
      <c r="G1186" s="1" t="s">
        <v>12480</v>
      </c>
      <c r="H1186" s="1" t="s">
        <v>5023</v>
      </c>
      <c r="I1186" s="2">
        <v>42.47</v>
      </c>
      <c r="J1186" s="2">
        <v>12.03</v>
      </c>
      <c r="K1186" s="2">
        <v>3.3</v>
      </c>
      <c r="L1186" s="2">
        <v>5.61</v>
      </c>
      <c r="M1186" s="4">
        <f t="shared" si="108"/>
        <v>12.869696969696969</v>
      </c>
      <c r="N1186" s="4">
        <f t="shared" si="109"/>
        <v>7.5704099821746871</v>
      </c>
      <c r="O1186" s="5">
        <f t="shared" si="110"/>
        <v>-0.72568578553615959</v>
      </c>
      <c r="P1186" s="5">
        <f t="shared" si="111"/>
        <v>0.70000000000000018</v>
      </c>
      <c r="Q1186" s="4">
        <f t="shared" si="112"/>
        <v>-0.17734530875767987</v>
      </c>
      <c r="R1186" s="4">
        <f t="shared" si="113"/>
        <v>0.10814871403106693</v>
      </c>
      <c r="S1186" s="4">
        <v>-49.56</v>
      </c>
      <c r="T1186" s="2">
        <v>1.48</v>
      </c>
      <c r="U1186" s="2">
        <v>64.39</v>
      </c>
      <c r="V1186" s="2">
        <v>26.45</v>
      </c>
      <c r="W1186" s="2">
        <v>-4.17</v>
      </c>
      <c r="X1186" s="2">
        <v>-15.06</v>
      </c>
      <c r="Y1186" s="2">
        <v>-14.84</v>
      </c>
      <c r="Z1186" s="2">
        <v>-21.26</v>
      </c>
    </row>
    <row r="1187" spans="1:26" x14ac:dyDescent="0.25">
      <c r="A1187" s="1" t="s">
        <v>5024</v>
      </c>
      <c r="B1187" s="1" t="s">
        <v>5025</v>
      </c>
      <c r="C1187" s="1" t="s">
        <v>16</v>
      </c>
      <c r="D1187" s="1" t="s">
        <v>88</v>
      </c>
      <c r="E1187" s="1" t="s">
        <v>912</v>
      </c>
      <c r="F1187" s="1" t="s">
        <v>5026</v>
      </c>
      <c r="G1187" s="1" t="s">
        <v>12480</v>
      </c>
      <c r="H1187" s="1" t="s">
        <v>5027</v>
      </c>
      <c r="I1187" s="2">
        <v>3.58</v>
      </c>
      <c r="J1187" s="2">
        <v>0.28999999999999998</v>
      </c>
      <c r="K1187" s="2">
        <v>0.5</v>
      </c>
      <c r="L1187" s="2">
        <v>0.59</v>
      </c>
      <c r="M1187" s="4">
        <f t="shared" si="108"/>
        <v>7.16</v>
      </c>
      <c r="N1187" s="4">
        <f t="shared" si="109"/>
        <v>6.0677966101694922</v>
      </c>
      <c r="O1187" s="5">
        <f t="shared" si="110"/>
        <v>0.72413793103448287</v>
      </c>
      <c r="P1187" s="5">
        <f t="shared" si="111"/>
        <v>0.17999999999999994</v>
      </c>
      <c r="Q1187" s="4">
        <f t="shared" si="112"/>
        <v>9.8876190476190465E-2</v>
      </c>
      <c r="R1187" s="4">
        <f t="shared" si="113"/>
        <v>0.33709981167608305</v>
      </c>
      <c r="S1187" s="4">
        <v>0.63</v>
      </c>
      <c r="T1187" s="2">
        <v>1.46</v>
      </c>
      <c r="U1187" s="2">
        <v>4.57</v>
      </c>
      <c r="V1187" s="2">
        <v>2.2999999999999998</v>
      </c>
      <c r="W1187" s="2">
        <v>-10.050000000000001</v>
      </c>
      <c r="X1187" s="2">
        <v>-16.36</v>
      </c>
      <c r="Y1187" s="2">
        <v>-5.29</v>
      </c>
      <c r="Z1187" s="2">
        <v>-2.98</v>
      </c>
    </row>
    <row r="1188" spans="1:26" x14ac:dyDescent="0.25">
      <c r="A1188" s="1" t="s">
        <v>5028</v>
      </c>
      <c r="B1188" s="1" t="s">
        <v>5029</v>
      </c>
      <c r="C1188" s="1" t="s">
        <v>16</v>
      </c>
      <c r="D1188" s="1" t="s">
        <v>25</v>
      </c>
      <c r="E1188" s="1" t="s">
        <v>220</v>
      </c>
      <c r="F1188" s="1" t="s">
        <v>5030</v>
      </c>
      <c r="G1188" s="1" t="s">
        <v>12480</v>
      </c>
      <c r="H1188" s="1" t="s">
        <v>5031</v>
      </c>
      <c r="I1188" s="2">
        <v>88.47</v>
      </c>
      <c r="J1188" s="2">
        <v>2.95</v>
      </c>
      <c r="K1188" s="2">
        <v>3.18</v>
      </c>
      <c r="L1188" s="2">
        <v>3.44</v>
      </c>
      <c r="M1188" s="4">
        <f t="shared" si="108"/>
        <v>27.820754716981131</v>
      </c>
      <c r="N1188" s="4">
        <f t="shared" si="109"/>
        <v>25.718023255813954</v>
      </c>
      <c r="O1188" s="5">
        <f t="shared" si="110"/>
        <v>7.7966101694915135E-2</v>
      </c>
      <c r="P1188" s="5">
        <f t="shared" si="111"/>
        <v>8.1761006289308158E-2</v>
      </c>
      <c r="Q1188" s="4">
        <f t="shared" si="112"/>
        <v>3.5683141919606287</v>
      </c>
      <c r="R1188" s="4">
        <f t="shared" si="113"/>
        <v>3.1455120751341692</v>
      </c>
      <c r="S1188" s="4">
        <v>5.83</v>
      </c>
      <c r="T1188" s="2">
        <v>1.07</v>
      </c>
      <c r="U1188" s="2">
        <v>94.82</v>
      </c>
      <c r="V1188" s="2">
        <v>74.02</v>
      </c>
      <c r="W1188" s="2">
        <v>-6.7</v>
      </c>
      <c r="X1188" s="2">
        <v>-4.6100000000000003</v>
      </c>
      <c r="Y1188" s="2">
        <v>4.76</v>
      </c>
      <c r="Z1188" s="2">
        <v>7.93</v>
      </c>
    </row>
    <row r="1189" spans="1:26" x14ac:dyDescent="0.25">
      <c r="A1189" s="1" t="s">
        <v>5032</v>
      </c>
      <c r="B1189" s="1" t="s">
        <v>5033</v>
      </c>
      <c r="C1189" s="1" t="s">
        <v>45</v>
      </c>
      <c r="D1189" s="1" t="s">
        <v>18</v>
      </c>
      <c r="E1189" s="1" t="s">
        <v>74</v>
      </c>
      <c r="F1189" s="1" t="s">
        <v>5034</v>
      </c>
      <c r="G1189" s="1" t="s">
        <v>12480</v>
      </c>
      <c r="H1189" s="1" t="s">
        <v>5035</v>
      </c>
      <c r="I1189" s="2">
        <v>91.2</v>
      </c>
      <c r="J1189" s="2">
        <v>-1.82</v>
      </c>
      <c r="K1189" s="2">
        <v>-1.5</v>
      </c>
      <c r="L1189" s="2">
        <v>-0.57999999999999996</v>
      </c>
      <c r="M1189" s="4">
        <f t="shared" si="108"/>
        <v>-60.800000000000004</v>
      </c>
      <c r="N1189" s="4">
        <f t="shared" si="109"/>
        <v>-157.24137931034485</v>
      </c>
      <c r="O1189" s="5">
        <f t="shared" si="110"/>
        <v>-0.17582417582417587</v>
      </c>
      <c r="P1189" s="5">
        <f t="shared" si="111"/>
        <v>-0.61333333333333329</v>
      </c>
      <c r="Q1189" s="4">
        <f t="shared" si="112"/>
        <v>3.4579999999999993</v>
      </c>
      <c r="R1189" s="4">
        <f t="shared" si="113"/>
        <v>2.5637181409295358</v>
      </c>
      <c r="S1189" s="4">
        <v>32.880000000000003</v>
      </c>
      <c r="T1189" s="2">
        <v>1.67</v>
      </c>
      <c r="U1189" s="2">
        <v>117.28</v>
      </c>
      <c r="V1189" s="2">
        <v>35.840000000000003</v>
      </c>
      <c r="W1189" s="2">
        <v>-1.1200000000000001</v>
      </c>
      <c r="X1189" s="2">
        <v>-13.42</v>
      </c>
      <c r="Y1189" s="2">
        <v>-11.17</v>
      </c>
      <c r="Z1189" s="2">
        <v>-10.71</v>
      </c>
    </row>
    <row r="1190" spans="1:26" x14ac:dyDescent="0.25">
      <c r="A1190" s="1" t="s">
        <v>5036</v>
      </c>
      <c r="B1190" s="1" t="s">
        <v>5037</v>
      </c>
      <c r="C1190" s="1" t="s">
        <v>16</v>
      </c>
      <c r="D1190" s="1" t="s">
        <v>147</v>
      </c>
      <c r="E1190" s="1" t="s">
        <v>435</v>
      </c>
      <c r="F1190" s="1" t="s">
        <v>5038</v>
      </c>
      <c r="G1190" s="1" t="s">
        <v>12480</v>
      </c>
      <c r="H1190" s="1" t="s">
        <v>12491</v>
      </c>
      <c r="I1190" s="2">
        <v>1077.53</v>
      </c>
      <c r="J1190" s="2">
        <v>51.5</v>
      </c>
      <c r="K1190" s="2"/>
      <c r="L1190" s="2"/>
      <c r="M1190" s="4" t="e">
        <f t="shared" si="108"/>
        <v>#DIV/0!</v>
      </c>
      <c r="N1190" s="4" t="e">
        <f t="shared" si="109"/>
        <v>#DIV/0!</v>
      </c>
      <c r="O1190" s="5">
        <f t="shared" si="110"/>
        <v>-1</v>
      </c>
      <c r="P1190" s="5" t="e">
        <f t="shared" si="111"/>
        <v>#DIV/0!</v>
      </c>
      <c r="Q1190" s="4" t="e">
        <f t="shared" si="112"/>
        <v>#DIV/0!</v>
      </c>
      <c r="R1190" s="4" t="e">
        <f t="shared" si="113"/>
        <v>#DIV/0!</v>
      </c>
      <c r="S1190" s="4">
        <v>2.52</v>
      </c>
      <c r="T1190" s="2">
        <v>0.78</v>
      </c>
      <c r="U1190" s="2">
        <v>1193.76</v>
      </c>
      <c r="V1190" s="2">
        <v>876.56</v>
      </c>
      <c r="W1190" s="2">
        <v>2.7</v>
      </c>
      <c r="X1190" s="2">
        <v>-3.67</v>
      </c>
      <c r="Y1190" s="2">
        <v>-3.35</v>
      </c>
      <c r="Z1190" s="2">
        <v>-1.92</v>
      </c>
    </row>
    <row r="1191" spans="1:26" x14ac:dyDescent="0.25">
      <c r="A1191" s="1" t="s">
        <v>5040</v>
      </c>
      <c r="B1191" s="1" t="s">
        <v>5041</v>
      </c>
      <c r="C1191" s="1" t="s">
        <v>16</v>
      </c>
      <c r="D1191" s="1" t="s">
        <v>32</v>
      </c>
      <c r="E1191" s="1" t="s">
        <v>2203</v>
      </c>
      <c r="F1191" s="1" t="s">
        <v>5042</v>
      </c>
      <c r="G1191" s="1" t="s">
        <v>12485</v>
      </c>
      <c r="H1191" s="1" t="s">
        <v>5043</v>
      </c>
      <c r="I1191" s="2">
        <v>75.75</v>
      </c>
      <c r="J1191" s="2">
        <v>5.93</v>
      </c>
      <c r="K1191" s="2">
        <v>6.52</v>
      </c>
      <c r="L1191" s="2">
        <v>7.1</v>
      </c>
      <c r="M1191" s="4">
        <f t="shared" si="108"/>
        <v>11.618098159509204</v>
      </c>
      <c r="N1191" s="4">
        <f t="shared" si="109"/>
        <v>10.669014084507042</v>
      </c>
      <c r="O1191" s="5">
        <f t="shared" si="110"/>
        <v>9.9494097807757198E-2</v>
      </c>
      <c r="P1191" s="5">
        <f t="shared" si="111"/>
        <v>8.8957055214723857E-2</v>
      </c>
      <c r="Q1191" s="4">
        <f t="shared" si="112"/>
        <v>1.1677173234896534</v>
      </c>
      <c r="R1191" s="4">
        <f t="shared" si="113"/>
        <v>1.199344341913551</v>
      </c>
      <c r="S1191" s="4">
        <v>5.47</v>
      </c>
      <c r="T1191" s="2">
        <v>0.63</v>
      </c>
      <c r="U1191" s="2">
        <v>109.59</v>
      </c>
      <c r="V1191" s="2">
        <v>70.599999999999994</v>
      </c>
      <c r="W1191" s="2">
        <v>4.66</v>
      </c>
      <c r="X1191" s="2">
        <v>-6.55</v>
      </c>
      <c r="Y1191" s="2">
        <v>-16.739999999999998</v>
      </c>
      <c r="Z1191" s="2">
        <v>-17.93</v>
      </c>
    </row>
    <row r="1192" spans="1:26" x14ac:dyDescent="0.25">
      <c r="A1192" s="1" t="s">
        <v>5044</v>
      </c>
      <c r="B1192" s="1" t="s">
        <v>5045</v>
      </c>
      <c r="C1192" s="1" t="s">
        <v>16</v>
      </c>
      <c r="D1192" s="1" t="s">
        <v>25</v>
      </c>
      <c r="E1192" s="1" t="s">
        <v>325</v>
      </c>
      <c r="F1192" s="1" t="s">
        <v>5046</v>
      </c>
      <c r="G1192" s="1" t="s">
        <v>12480</v>
      </c>
      <c r="H1192" s="1" t="s">
        <v>3107</v>
      </c>
      <c r="I1192" s="2">
        <v>31.72</v>
      </c>
      <c r="J1192" s="2">
        <v>1.85</v>
      </c>
      <c r="K1192" s="2" t="s">
        <v>12487</v>
      </c>
      <c r="L1192" s="2">
        <v>2.21</v>
      </c>
      <c r="M1192" s="4">
        <f t="shared" si="108"/>
        <v>15.86</v>
      </c>
      <c r="N1192" s="4">
        <f t="shared" si="109"/>
        <v>14.352941176470589</v>
      </c>
      <c r="O1192" s="5">
        <f t="shared" si="110"/>
        <v>8.1081081081080919E-2</v>
      </c>
      <c r="P1192" s="5">
        <f t="shared" si="111"/>
        <v>0.10499999999999998</v>
      </c>
      <c r="Q1192" s="4">
        <f t="shared" si="112"/>
        <v>1.9560666666666706</v>
      </c>
      <c r="R1192" s="4">
        <f t="shared" si="113"/>
        <v>1.3669467787114848</v>
      </c>
      <c r="S1192" s="4">
        <v>4.8</v>
      </c>
      <c r="T1192" s="2">
        <v>0.9</v>
      </c>
      <c r="U1192" s="2">
        <v>38.46</v>
      </c>
      <c r="V1192" s="2">
        <v>21.07</v>
      </c>
      <c r="W1192" s="2">
        <v>-5.85</v>
      </c>
      <c r="X1192" s="2">
        <v>-2.34</v>
      </c>
      <c r="Y1192" s="2">
        <v>6.41</v>
      </c>
      <c r="Z1192" s="2">
        <v>8.56</v>
      </c>
    </row>
    <row r="1193" spans="1:26" x14ac:dyDescent="0.25">
      <c r="A1193" s="1" t="s">
        <v>5047</v>
      </c>
      <c r="B1193" s="1" t="s">
        <v>5048</v>
      </c>
      <c r="C1193" s="1" t="s">
        <v>45</v>
      </c>
      <c r="D1193" s="1" t="s">
        <v>147</v>
      </c>
      <c r="E1193" s="1" t="s">
        <v>1931</v>
      </c>
      <c r="F1193" s="1" t="s">
        <v>5049</v>
      </c>
      <c r="G1193" s="1" t="s">
        <v>12493</v>
      </c>
      <c r="H1193" s="1" t="s">
        <v>5050</v>
      </c>
      <c r="I1193" s="2">
        <v>29.26</v>
      </c>
      <c r="J1193" s="2">
        <v>4.42</v>
      </c>
      <c r="K1193" s="2">
        <v>3.08</v>
      </c>
      <c r="L1193" s="2"/>
      <c r="M1193" s="4">
        <f t="shared" si="108"/>
        <v>9.5</v>
      </c>
      <c r="N1193" s="4" t="e">
        <f t="shared" si="109"/>
        <v>#DIV/0!</v>
      </c>
      <c r="O1193" s="5">
        <f t="shared" si="110"/>
        <v>-0.30316742081447956</v>
      </c>
      <c r="P1193" s="5">
        <f t="shared" si="111"/>
        <v>-1</v>
      </c>
      <c r="Q1193" s="4">
        <f t="shared" si="112"/>
        <v>-0.31335820895522398</v>
      </c>
      <c r="R1193" s="4" t="e">
        <f t="shared" si="113"/>
        <v>#DIV/0!</v>
      </c>
      <c r="S1193" s="4">
        <v>2.66</v>
      </c>
      <c r="T1193" s="2">
        <v>1.29</v>
      </c>
      <c r="U1193" s="2">
        <v>32.07</v>
      </c>
      <c r="V1193" s="2">
        <v>20.54</v>
      </c>
      <c r="W1193" s="2">
        <v>-4.25</v>
      </c>
      <c r="X1193" s="2">
        <v>-2.5299999999999998</v>
      </c>
      <c r="Y1193" s="2">
        <v>-8.02</v>
      </c>
      <c r="Z1193" s="2">
        <v>1.04</v>
      </c>
    </row>
    <row r="1194" spans="1:26" x14ac:dyDescent="0.25">
      <c r="A1194" s="1" t="s">
        <v>5051</v>
      </c>
      <c r="B1194" s="1" t="s">
        <v>5052</v>
      </c>
      <c r="C1194" s="1" t="s">
        <v>16</v>
      </c>
      <c r="D1194" s="1" t="s">
        <v>147</v>
      </c>
      <c r="E1194" s="1" t="s">
        <v>1931</v>
      </c>
      <c r="F1194" s="1" t="s">
        <v>5053</v>
      </c>
      <c r="G1194" s="1" t="s">
        <v>12480</v>
      </c>
      <c r="H1194" s="1" t="s">
        <v>5054</v>
      </c>
      <c r="I1194" s="2">
        <v>61.62</v>
      </c>
      <c r="J1194" s="2">
        <v>3.51</v>
      </c>
      <c r="K1194" s="2">
        <v>4.26</v>
      </c>
      <c r="L1194" s="2">
        <v>5.17</v>
      </c>
      <c r="M1194" s="4">
        <f t="shared" si="108"/>
        <v>14.464788732394366</v>
      </c>
      <c r="N1194" s="4">
        <f t="shared" si="109"/>
        <v>11.918762088974855</v>
      </c>
      <c r="O1194" s="5">
        <f t="shared" si="110"/>
        <v>0.21367521367521358</v>
      </c>
      <c r="P1194" s="5">
        <f t="shared" si="111"/>
        <v>0.21361502347417849</v>
      </c>
      <c r="Q1194" s="4">
        <f t="shared" si="112"/>
        <v>0.67695211267605659</v>
      </c>
      <c r="R1194" s="4">
        <f t="shared" si="113"/>
        <v>0.55795523625310839</v>
      </c>
      <c r="S1194" s="4">
        <v>10.66</v>
      </c>
      <c r="T1194" s="2">
        <v>1.05</v>
      </c>
      <c r="U1194" s="2">
        <v>72.58</v>
      </c>
      <c r="V1194" s="2">
        <v>37.68</v>
      </c>
      <c r="W1194" s="2">
        <v>-8.2899999999999991</v>
      </c>
      <c r="X1194" s="2">
        <v>-15.04</v>
      </c>
      <c r="Y1194" s="2">
        <v>2.77</v>
      </c>
      <c r="Z1194" s="2">
        <v>-1.34</v>
      </c>
    </row>
    <row r="1195" spans="1:26" x14ac:dyDescent="0.25">
      <c r="A1195" s="1" t="s">
        <v>5055</v>
      </c>
      <c r="B1195" s="1" t="s">
        <v>5056</v>
      </c>
      <c r="C1195" s="1" t="s">
        <v>45</v>
      </c>
      <c r="D1195" s="1" t="s">
        <v>18</v>
      </c>
      <c r="E1195" s="1" t="s">
        <v>74</v>
      </c>
      <c r="F1195" s="1" t="s">
        <v>5057</v>
      </c>
      <c r="G1195" s="1" t="s">
        <v>12480</v>
      </c>
      <c r="H1195" s="1" t="s">
        <v>5058</v>
      </c>
      <c r="I1195" s="2">
        <v>146.63</v>
      </c>
      <c r="J1195" s="2">
        <v>8.15</v>
      </c>
      <c r="K1195" s="2">
        <v>8.66</v>
      </c>
      <c r="L1195" s="2">
        <v>9.6300000000000008</v>
      </c>
      <c r="M1195" s="4">
        <f t="shared" si="108"/>
        <v>16.931870669745958</v>
      </c>
      <c r="N1195" s="4">
        <f t="shared" si="109"/>
        <v>15.226375908618898</v>
      </c>
      <c r="O1195" s="5">
        <f t="shared" si="110"/>
        <v>6.2576687116564278E-2</v>
      </c>
      <c r="P1195" s="5">
        <f t="shared" si="111"/>
        <v>0.11200923787528883</v>
      </c>
      <c r="Q1195" s="4">
        <f t="shared" si="112"/>
        <v>2.7057793325182327</v>
      </c>
      <c r="R1195" s="4">
        <f t="shared" si="113"/>
        <v>1.3593857254498918</v>
      </c>
      <c r="S1195" s="4">
        <v>2.4</v>
      </c>
      <c r="T1195" s="2">
        <v>0.37</v>
      </c>
      <c r="U1195" s="2">
        <v>155.80000000000001</v>
      </c>
      <c r="V1195" s="2">
        <v>96.91</v>
      </c>
      <c r="W1195" s="2">
        <v>-2.27</v>
      </c>
      <c r="X1195" s="2">
        <v>-3.33</v>
      </c>
      <c r="Y1195" s="2">
        <v>22.42</v>
      </c>
      <c r="Z1195" s="2">
        <v>19.46</v>
      </c>
    </row>
    <row r="1196" spans="1:26" x14ac:dyDescent="0.25">
      <c r="A1196" s="1" t="s">
        <v>5059</v>
      </c>
      <c r="B1196" s="1" t="s">
        <v>5060</v>
      </c>
      <c r="C1196" s="1" t="s">
        <v>45</v>
      </c>
      <c r="D1196" s="1" t="s">
        <v>32</v>
      </c>
      <c r="E1196" s="1" t="s">
        <v>5062</v>
      </c>
      <c r="F1196" s="1" t="s">
        <v>5061</v>
      </c>
      <c r="G1196" s="1" t="s">
        <v>12480</v>
      </c>
      <c r="H1196" s="1" t="s">
        <v>1149</v>
      </c>
      <c r="I1196" s="2">
        <v>17.559999999999999</v>
      </c>
      <c r="J1196" s="2">
        <v>0.64</v>
      </c>
      <c r="K1196" s="2">
        <v>0.47</v>
      </c>
      <c r="L1196" s="2">
        <v>0.9</v>
      </c>
      <c r="M1196" s="4">
        <f t="shared" si="108"/>
        <v>37.361702127659576</v>
      </c>
      <c r="N1196" s="4">
        <f t="shared" si="109"/>
        <v>19.511111111111109</v>
      </c>
      <c r="O1196" s="5">
        <f t="shared" si="110"/>
        <v>-0.26562500000000011</v>
      </c>
      <c r="P1196" s="5">
        <f t="shared" si="111"/>
        <v>0.91489361702127669</v>
      </c>
      <c r="Q1196" s="4">
        <f t="shared" si="112"/>
        <v>-1.4065581977471835</v>
      </c>
      <c r="R1196" s="4">
        <f t="shared" si="113"/>
        <v>0.21326098191214465</v>
      </c>
      <c r="S1196" s="4">
        <v>47.87</v>
      </c>
      <c r="T1196" s="2">
        <v>0.82</v>
      </c>
      <c r="U1196" s="2">
        <v>19.97</v>
      </c>
      <c r="V1196" s="2">
        <v>5.47</v>
      </c>
      <c r="W1196" s="2">
        <v>1.39</v>
      </c>
      <c r="X1196" s="2">
        <v>-8.8699999999999992</v>
      </c>
      <c r="Y1196" s="2">
        <v>43.11</v>
      </c>
      <c r="Z1196" s="2">
        <v>35.700000000000003</v>
      </c>
    </row>
    <row r="1197" spans="1:26" x14ac:dyDescent="0.25">
      <c r="A1197" s="1" t="s">
        <v>5064</v>
      </c>
      <c r="B1197" s="1" t="s">
        <v>5065</v>
      </c>
      <c r="C1197" s="1" t="s">
        <v>16</v>
      </c>
      <c r="D1197" s="1" t="s">
        <v>128</v>
      </c>
      <c r="E1197" s="1" t="s">
        <v>556</v>
      </c>
      <c r="F1197" s="1" t="s">
        <v>5066</v>
      </c>
      <c r="G1197" s="1" t="s">
        <v>12508</v>
      </c>
      <c r="H1197" s="1" t="s">
        <v>5067</v>
      </c>
      <c r="I1197" s="2">
        <v>43.4</v>
      </c>
      <c r="J1197" s="2">
        <v>4.21</v>
      </c>
      <c r="K1197" s="2">
        <v>3.55</v>
      </c>
      <c r="L1197" s="2">
        <v>3.58</v>
      </c>
      <c r="M1197" s="4">
        <f t="shared" si="108"/>
        <v>12.225352112676056</v>
      </c>
      <c r="N1197" s="4">
        <f t="shared" si="109"/>
        <v>12.12290502793296</v>
      </c>
      <c r="O1197" s="5">
        <f t="shared" si="110"/>
        <v>-0.15676959619952502</v>
      </c>
      <c r="P1197" s="5">
        <f t="shared" si="111"/>
        <v>8.4507042253521014E-3</v>
      </c>
      <c r="Q1197" s="4">
        <f t="shared" si="112"/>
        <v>-0.77982927870251773</v>
      </c>
      <c r="R1197" s="4">
        <f t="shared" si="113"/>
        <v>14.345437616387356</v>
      </c>
      <c r="S1197" s="4">
        <v>-1.87</v>
      </c>
      <c r="T1197" s="2">
        <v>-0.05</v>
      </c>
      <c r="U1197" s="2">
        <v>65.3</v>
      </c>
      <c r="V1197" s="2">
        <v>42.95</v>
      </c>
      <c r="W1197" s="2">
        <v>-3.81</v>
      </c>
      <c r="X1197" s="2">
        <v>-9.77</v>
      </c>
      <c r="Y1197" s="2">
        <v>-7.78</v>
      </c>
      <c r="Z1197" s="2">
        <v>-6.67</v>
      </c>
    </row>
    <row r="1198" spans="1:26" x14ac:dyDescent="0.25">
      <c r="A1198" s="1" t="s">
        <v>5068</v>
      </c>
      <c r="B1198" s="1" t="s">
        <v>5069</v>
      </c>
      <c r="C1198" s="1" t="s">
        <v>16</v>
      </c>
      <c r="D1198" s="1" t="s">
        <v>18</v>
      </c>
      <c r="E1198" s="1" t="s">
        <v>594</v>
      </c>
      <c r="F1198" s="1" t="s">
        <v>5070</v>
      </c>
      <c r="G1198" s="1" t="s">
        <v>12480</v>
      </c>
      <c r="H1198" s="1" t="s">
        <v>5071</v>
      </c>
      <c r="I1198" s="2">
        <v>105.78</v>
      </c>
      <c r="J1198" s="2">
        <v>-0.9</v>
      </c>
      <c r="K1198" s="2">
        <v>-0.59</v>
      </c>
      <c r="L1198" s="2">
        <v>0.47</v>
      </c>
      <c r="M1198" s="4">
        <f t="shared" si="108"/>
        <v>-179.28813559322035</v>
      </c>
      <c r="N1198" s="4">
        <f t="shared" si="109"/>
        <v>225.06382978723406</v>
      </c>
      <c r="O1198" s="5">
        <f t="shared" si="110"/>
        <v>-0.34444444444444444</v>
      </c>
      <c r="P1198" s="5">
        <f t="shared" si="111"/>
        <v>-1.7966101694915255</v>
      </c>
      <c r="Q1198" s="4">
        <f t="shared" si="112"/>
        <v>5.205139420448333</v>
      </c>
      <c r="R1198" s="4">
        <f t="shared" si="113"/>
        <v>-1.2527137695704536</v>
      </c>
      <c r="S1198" s="4">
        <v>32.33</v>
      </c>
      <c r="T1198" s="2">
        <v>0.7</v>
      </c>
      <c r="U1198" s="2">
        <v>125.9</v>
      </c>
      <c r="V1198" s="2">
        <v>74.67</v>
      </c>
      <c r="W1198" s="2">
        <v>-12.67</v>
      </c>
      <c r="X1198" s="2">
        <v>-6.61</v>
      </c>
      <c r="Y1198" s="2">
        <v>-5.33</v>
      </c>
      <c r="Z1198" s="2">
        <v>-6.31</v>
      </c>
    </row>
    <row r="1199" spans="1:26" x14ac:dyDescent="0.25">
      <c r="A1199" s="1" t="s">
        <v>5072</v>
      </c>
      <c r="B1199" s="1" t="s">
        <v>5073</v>
      </c>
      <c r="C1199" s="1" t="s">
        <v>16</v>
      </c>
      <c r="D1199" s="1" t="s">
        <v>38</v>
      </c>
      <c r="E1199" s="1" t="s">
        <v>420</v>
      </c>
      <c r="F1199" s="1" t="s">
        <v>5074</v>
      </c>
      <c r="G1199" s="1" t="s">
        <v>12480</v>
      </c>
      <c r="H1199" s="1" t="s">
        <v>5075</v>
      </c>
      <c r="I1199" s="2">
        <v>142.01</v>
      </c>
      <c r="J1199" s="2">
        <v>14.52</v>
      </c>
      <c r="K1199" s="2">
        <v>15.23</v>
      </c>
      <c r="L1199" s="2">
        <v>16.53</v>
      </c>
      <c r="M1199" s="4">
        <f t="shared" si="108"/>
        <v>9.3243598161523309</v>
      </c>
      <c r="N1199" s="4">
        <f t="shared" si="109"/>
        <v>8.5910465819721704</v>
      </c>
      <c r="O1199" s="5">
        <f t="shared" si="110"/>
        <v>4.889807162534443E-2</v>
      </c>
      <c r="P1199" s="5">
        <f t="shared" si="111"/>
        <v>8.5357846355876621E-2</v>
      </c>
      <c r="Q1199" s="4">
        <f t="shared" si="112"/>
        <v>1.9068972469088963</v>
      </c>
      <c r="R1199" s="4">
        <f t="shared" si="113"/>
        <v>1.0064741495648928</v>
      </c>
      <c r="S1199" s="4">
        <v>3.74</v>
      </c>
      <c r="T1199" s="2">
        <v>0.46</v>
      </c>
      <c r="U1199" s="2">
        <v>146.94999999999999</v>
      </c>
      <c r="V1199" s="2">
        <v>113.29</v>
      </c>
      <c r="W1199" s="2">
        <v>-2.95</v>
      </c>
      <c r="X1199" s="2">
        <v>0.42</v>
      </c>
      <c r="Y1199" s="2">
        <v>0.97</v>
      </c>
      <c r="Z1199" s="2">
        <v>1.54</v>
      </c>
    </row>
    <row r="1200" spans="1:26" x14ac:dyDescent="0.25">
      <c r="A1200" s="1" t="s">
        <v>5076</v>
      </c>
      <c r="B1200" s="1" t="s">
        <v>5077</v>
      </c>
      <c r="C1200" s="1" t="s">
        <v>31</v>
      </c>
      <c r="D1200" s="1" t="s">
        <v>128</v>
      </c>
      <c r="E1200" s="1" t="s">
        <v>2611</v>
      </c>
      <c r="F1200" s="1" t="s">
        <v>5078</v>
      </c>
      <c r="G1200" s="1" t="s">
        <v>12480</v>
      </c>
      <c r="H1200" s="1" t="s">
        <v>5079</v>
      </c>
      <c r="I1200" s="2">
        <v>98.24</v>
      </c>
      <c r="J1200" s="2">
        <v>6.75</v>
      </c>
      <c r="K1200" s="2">
        <v>1.47</v>
      </c>
      <c r="L1200" s="2">
        <v>1.6</v>
      </c>
      <c r="M1200" s="4">
        <f t="shared" si="108"/>
        <v>66.829931972789112</v>
      </c>
      <c r="N1200" s="4">
        <f t="shared" si="109"/>
        <v>61.399999999999991</v>
      </c>
      <c r="O1200" s="5">
        <f t="shared" si="110"/>
        <v>-0.78222222222222226</v>
      </c>
      <c r="P1200" s="5">
        <f t="shared" si="111"/>
        <v>8.8435374149659962E-2</v>
      </c>
      <c r="Q1200" s="4">
        <f t="shared" si="112"/>
        <v>-0.85435992578849707</v>
      </c>
      <c r="R1200" s="4">
        <f t="shared" si="113"/>
        <v>6.9429230769230674</v>
      </c>
      <c r="S1200" s="4">
        <v>2.78</v>
      </c>
      <c r="T1200" s="2">
        <v>0.14000000000000001</v>
      </c>
      <c r="U1200" s="2">
        <v>102.52</v>
      </c>
      <c r="V1200" s="2">
        <v>52.4</v>
      </c>
      <c r="W1200" s="2" t="s">
        <v>12489</v>
      </c>
      <c r="X1200" s="2">
        <v>-4.17</v>
      </c>
      <c r="Y1200" s="2">
        <v>13.61</v>
      </c>
      <c r="Z1200" s="2">
        <v>13.61</v>
      </c>
    </row>
    <row r="1201" spans="1:26" x14ac:dyDescent="0.25">
      <c r="A1201" s="1" t="s">
        <v>5080</v>
      </c>
      <c r="B1201" s="1" t="s">
        <v>5081</v>
      </c>
      <c r="C1201" s="1" t="s">
        <v>45</v>
      </c>
      <c r="D1201" s="1" t="s">
        <v>67</v>
      </c>
      <c r="E1201" s="1" t="s">
        <v>833</v>
      </c>
      <c r="F1201" s="1" t="s">
        <v>5082</v>
      </c>
      <c r="G1201" s="1" t="s">
        <v>12480</v>
      </c>
      <c r="H1201" s="1" t="s">
        <v>5083</v>
      </c>
      <c r="I1201" s="2">
        <v>35.090000000000003</v>
      </c>
      <c r="J1201" s="2">
        <v>0.39</v>
      </c>
      <c r="K1201" s="2">
        <v>1.08</v>
      </c>
      <c r="L1201" s="2">
        <v>1.43</v>
      </c>
      <c r="M1201" s="4">
        <f t="shared" si="108"/>
        <v>32.49074074074074</v>
      </c>
      <c r="N1201" s="4">
        <f t="shared" si="109"/>
        <v>24.538461538461544</v>
      </c>
      <c r="O1201" s="5">
        <f t="shared" si="110"/>
        <v>1.7692307692307692</v>
      </c>
      <c r="P1201" s="5">
        <f t="shared" si="111"/>
        <v>0.32407407407407396</v>
      </c>
      <c r="Q1201" s="4">
        <f t="shared" si="112"/>
        <v>0.18364331723027377</v>
      </c>
      <c r="R1201" s="4">
        <f t="shared" si="113"/>
        <v>0.75718681318681358</v>
      </c>
      <c r="S1201" s="4">
        <v>27.82</v>
      </c>
      <c r="T1201" s="2">
        <v>1.24</v>
      </c>
      <c r="U1201" s="2">
        <v>42.39</v>
      </c>
      <c r="V1201" s="2">
        <v>29.18</v>
      </c>
      <c r="W1201" s="2">
        <v>1.33</v>
      </c>
      <c r="X1201" s="2">
        <v>6.92</v>
      </c>
      <c r="Y1201" s="2">
        <v>-8.86</v>
      </c>
      <c r="Z1201" s="2">
        <v>-10.74</v>
      </c>
    </row>
    <row r="1202" spans="1:26" x14ac:dyDescent="0.25">
      <c r="A1202" s="1" t="s">
        <v>5084</v>
      </c>
      <c r="B1202" s="1" t="s">
        <v>5085</v>
      </c>
      <c r="C1202" s="1" t="s">
        <v>16</v>
      </c>
      <c r="D1202" s="1" t="s">
        <v>38</v>
      </c>
      <c r="E1202" s="1" t="s">
        <v>259</v>
      </c>
      <c r="F1202" s="1" t="s">
        <v>5086</v>
      </c>
      <c r="G1202" s="1" t="s">
        <v>12485</v>
      </c>
      <c r="H1202" s="1" t="s">
        <v>5087</v>
      </c>
      <c r="I1202" s="2">
        <v>472.53</v>
      </c>
      <c r="J1202" s="2"/>
      <c r="K1202" s="2"/>
      <c r="L1202" s="2"/>
      <c r="M1202" s="4" t="e">
        <f t="shared" si="108"/>
        <v>#DIV/0!</v>
      </c>
      <c r="N1202" s="4" t="e">
        <f t="shared" si="109"/>
        <v>#DIV/0!</v>
      </c>
      <c r="O1202" s="5" t="e">
        <f t="shared" si="110"/>
        <v>#DIV/0!</v>
      </c>
      <c r="P1202" s="5" t="e">
        <f t="shared" si="111"/>
        <v>#DIV/0!</v>
      </c>
      <c r="Q1202" s="4" t="e">
        <f t="shared" si="112"/>
        <v>#DIV/0!</v>
      </c>
      <c r="R1202" s="4" t="e">
        <f t="shared" si="113"/>
        <v>#DIV/0!</v>
      </c>
      <c r="S1202" s="4"/>
      <c r="T1202" s="2">
        <v>0.12</v>
      </c>
      <c r="U1202" s="2">
        <v>495.9</v>
      </c>
      <c r="V1202" s="2">
        <v>266.04000000000002</v>
      </c>
      <c r="W1202" s="2">
        <v>-3.57</v>
      </c>
      <c r="X1202" s="2">
        <v>1.18</v>
      </c>
      <c r="Y1202" s="2">
        <v>19.39</v>
      </c>
      <c r="Z1202" s="2">
        <v>19.23</v>
      </c>
    </row>
    <row r="1203" spans="1:26" x14ac:dyDescent="0.25">
      <c r="A1203" s="1" t="s">
        <v>5088</v>
      </c>
      <c r="B1203" s="1" t="s">
        <v>5089</v>
      </c>
      <c r="C1203" s="1" t="s">
        <v>45</v>
      </c>
      <c r="D1203" s="1" t="s">
        <v>61</v>
      </c>
      <c r="E1203" s="1" t="s">
        <v>3884</v>
      </c>
      <c r="F1203" s="1" t="s">
        <v>5090</v>
      </c>
      <c r="G1203" s="1" t="s">
        <v>12480</v>
      </c>
      <c r="H1203" s="1" t="s">
        <v>5091</v>
      </c>
      <c r="I1203" s="2">
        <v>16.95</v>
      </c>
      <c r="J1203" s="2">
        <v>1.2</v>
      </c>
      <c r="K1203" s="2">
        <v>1.1299999999999999</v>
      </c>
      <c r="L1203" s="2">
        <v>1.33</v>
      </c>
      <c r="M1203" s="4">
        <f t="shared" si="108"/>
        <v>15</v>
      </c>
      <c r="N1203" s="4">
        <f t="shared" si="109"/>
        <v>12.744360902255638</v>
      </c>
      <c r="O1203" s="5">
        <f t="shared" si="110"/>
        <v>-5.8333333333333348E-2</v>
      </c>
      <c r="P1203" s="5">
        <f t="shared" si="111"/>
        <v>0.17699115044247815</v>
      </c>
      <c r="Q1203" s="4">
        <f t="shared" si="112"/>
        <v>-2.5714285714285707</v>
      </c>
      <c r="R1203" s="4">
        <f t="shared" si="113"/>
        <v>0.72005639097744245</v>
      </c>
      <c r="S1203" s="4">
        <v>16.47</v>
      </c>
      <c r="T1203" s="2">
        <v>1.38</v>
      </c>
      <c r="U1203" s="2">
        <v>16.98</v>
      </c>
      <c r="V1203" s="2">
        <v>7.67</v>
      </c>
      <c r="W1203" s="2">
        <v>0.24</v>
      </c>
      <c r="X1203" s="2">
        <v>5.54</v>
      </c>
      <c r="Y1203" s="2">
        <v>22.03</v>
      </c>
      <c r="Z1203" s="2">
        <v>29.19</v>
      </c>
    </row>
    <row r="1204" spans="1:26" x14ac:dyDescent="0.25">
      <c r="A1204" s="1" t="s">
        <v>5093</v>
      </c>
      <c r="B1204" s="1" t="s">
        <v>5094</v>
      </c>
      <c r="C1204" s="1" t="s">
        <v>45</v>
      </c>
      <c r="D1204" s="1" t="s">
        <v>354</v>
      </c>
      <c r="E1204" s="1" t="s">
        <v>5096</v>
      </c>
      <c r="F1204" s="1" t="s">
        <v>5095</v>
      </c>
      <c r="G1204" s="1" t="s">
        <v>12480</v>
      </c>
      <c r="H1204" s="1" t="s">
        <v>12515</v>
      </c>
      <c r="I1204" s="2">
        <v>37.54</v>
      </c>
      <c r="J1204" s="2">
        <v>8.1300000000000008</v>
      </c>
      <c r="K1204" s="2">
        <v>4.16</v>
      </c>
      <c r="L1204" s="2">
        <v>4.67</v>
      </c>
      <c r="M1204" s="4">
        <f t="shared" si="108"/>
        <v>9.0240384615384617</v>
      </c>
      <c r="N1204" s="4">
        <f t="shared" si="109"/>
        <v>8.0385438972162735</v>
      </c>
      <c r="O1204" s="5">
        <f t="shared" si="110"/>
        <v>-0.48831488314883154</v>
      </c>
      <c r="P1204" s="5">
        <f t="shared" si="111"/>
        <v>0.12259615384615374</v>
      </c>
      <c r="Q1204" s="4">
        <f t="shared" si="112"/>
        <v>-0.18479957857004456</v>
      </c>
      <c r="R1204" s="4">
        <f t="shared" si="113"/>
        <v>0.65569299240038681</v>
      </c>
      <c r="S1204" s="4" t="s">
        <v>12850</v>
      </c>
      <c r="T1204" s="2"/>
      <c r="U1204" s="2">
        <v>40.229999999999997</v>
      </c>
      <c r="V1204" s="2">
        <v>30.36</v>
      </c>
      <c r="W1204" s="2">
        <v>-4.6500000000000004</v>
      </c>
      <c r="X1204" s="2">
        <v>-3.82</v>
      </c>
      <c r="Y1204" s="2">
        <v>13.86</v>
      </c>
      <c r="Z1204" s="2">
        <v>1.82</v>
      </c>
    </row>
    <row r="1205" spans="1:26" x14ac:dyDescent="0.25">
      <c r="A1205" s="1" t="s">
        <v>5093</v>
      </c>
      <c r="B1205" s="1" t="s">
        <v>5097</v>
      </c>
      <c r="C1205" s="1" t="s">
        <v>45</v>
      </c>
      <c r="D1205" s="1" t="s">
        <v>354</v>
      </c>
      <c r="E1205" s="1" t="s">
        <v>5096</v>
      </c>
      <c r="F1205" s="1" t="s">
        <v>5098</v>
      </c>
      <c r="G1205" s="1" t="s">
        <v>12480</v>
      </c>
      <c r="H1205" s="1" t="s">
        <v>5099</v>
      </c>
      <c r="I1205" s="2">
        <v>37.28</v>
      </c>
      <c r="J1205" s="2">
        <v>8.1300000000000008</v>
      </c>
      <c r="K1205" s="2">
        <v>4.16</v>
      </c>
      <c r="L1205" s="2">
        <v>4.67</v>
      </c>
      <c r="M1205" s="4">
        <f t="shared" si="108"/>
        <v>8.9615384615384617</v>
      </c>
      <c r="N1205" s="4">
        <f t="shared" si="109"/>
        <v>7.9828693790149901</v>
      </c>
      <c r="O1205" s="5">
        <f t="shared" si="110"/>
        <v>-0.48831488314883154</v>
      </c>
      <c r="P1205" s="5">
        <f t="shared" si="111"/>
        <v>0.12259615384615374</v>
      </c>
      <c r="Q1205" s="4">
        <f t="shared" si="112"/>
        <v>-0.18351966673125361</v>
      </c>
      <c r="R1205" s="4">
        <f t="shared" si="113"/>
        <v>0.65115169836671349</v>
      </c>
      <c r="S1205" s="4" t="s">
        <v>12850</v>
      </c>
      <c r="T1205" s="2"/>
      <c r="U1205" s="2">
        <v>40.04</v>
      </c>
      <c r="V1205" s="2">
        <v>30.14</v>
      </c>
      <c r="W1205" s="2">
        <v>-4.97</v>
      </c>
      <c r="X1205" s="2">
        <v>-4.3600000000000003</v>
      </c>
      <c r="Y1205" s="2" t="s">
        <v>12633</v>
      </c>
      <c r="Z1205" s="2">
        <v>0.19</v>
      </c>
    </row>
    <row r="1206" spans="1:26" x14ac:dyDescent="0.25">
      <c r="A1206" s="1" t="s">
        <v>5100</v>
      </c>
      <c r="B1206" s="1" t="s">
        <v>5101</v>
      </c>
      <c r="C1206" s="1" t="s">
        <v>31</v>
      </c>
      <c r="D1206" s="1" t="s">
        <v>88</v>
      </c>
      <c r="E1206" s="1" t="s">
        <v>658</v>
      </c>
      <c r="F1206" s="1" t="s">
        <v>5102</v>
      </c>
      <c r="G1206" s="1" t="s">
        <v>12480</v>
      </c>
      <c r="H1206" s="1" t="s">
        <v>5103</v>
      </c>
      <c r="I1206" s="2">
        <v>13.78</v>
      </c>
      <c r="J1206" s="2">
        <v>0.12</v>
      </c>
      <c r="K1206" s="2">
        <v>0.8</v>
      </c>
      <c r="L1206" s="2">
        <v>0.94</v>
      </c>
      <c r="M1206" s="4">
        <f t="shared" si="108"/>
        <v>17.224999999999998</v>
      </c>
      <c r="N1206" s="4">
        <f t="shared" si="109"/>
        <v>14.659574468085106</v>
      </c>
      <c r="O1206" s="5">
        <f t="shared" si="110"/>
        <v>5.666666666666667</v>
      </c>
      <c r="P1206" s="5">
        <f t="shared" si="111"/>
        <v>0.17499999999999982</v>
      </c>
      <c r="Q1206" s="4">
        <f t="shared" si="112"/>
        <v>3.0397058823529405E-2</v>
      </c>
      <c r="R1206" s="4">
        <f t="shared" si="113"/>
        <v>0.83768996960486408</v>
      </c>
      <c r="S1206" s="4">
        <v>7.18</v>
      </c>
      <c r="T1206" s="2">
        <v>0.69</v>
      </c>
      <c r="U1206" s="2">
        <v>14.48</v>
      </c>
      <c r="V1206" s="2">
        <v>5.84</v>
      </c>
      <c r="W1206" s="2">
        <v>-4.24</v>
      </c>
      <c r="X1206" s="2">
        <v>0.84</v>
      </c>
      <c r="Y1206" s="2">
        <v>36.17</v>
      </c>
      <c r="Z1206" s="2">
        <v>26.08</v>
      </c>
    </row>
    <row r="1207" spans="1:26" x14ac:dyDescent="0.25">
      <c r="A1207" s="1" t="s">
        <v>5104</v>
      </c>
      <c r="B1207" s="1" t="s">
        <v>5105</v>
      </c>
      <c r="C1207" s="1" t="s">
        <v>45</v>
      </c>
      <c r="D1207" s="1" t="s">
        <v>94</v>
      </c>
      <c r="E1207" s="1" t="s">
        <v>1948</v>
      </c>
      <c r="F1207" s="1" t="s">
        <v>5106</v>
      </c>
      <c r="G1207" s="1" t="s">
        <v>12480</v>
      </c>
      <c r="H1207" s="1" t="s">
        <v>5107</v>
      </c>
      <c r="I1207" s="2">
        <v>45.55</v>
      </c>
      <c r="J1207" s="2">
        <v>1.57</v>
      </c>
      <c r="K1207" s="2">
        <v>0.57999999999999996</v>
      </c>
      <c r="L1207" s="2">
        <v>0.69</v>
      </c>
      <c r="M1207" s="4">
        <f t="shared" si="108"/>
        <v>78.534482758620683</v>
      </c>
      <c r="N1207" s="4">
        <f t="shared" si="109"/>
        <v>66.014492753623188</v>
      </c>
      <c r="O1207" s="5">
        <f t="shared" si="110"/>
        <v>-0.63057324840764339</v>
      </c>
      <c r="P1207" s="5">
        <f t="shared" si="111"/>
        <v>0.18965517241379315</v>
      </c>
      <c r="Q1207" s="4">
        <f t="shared" si="112"/>
        <v>-1.2454458376872168</v>
      </c>
      <c r="R1207" s="4">
        <f t="shared" si="113"/>
        <v>3.4807641633728577</v>
      </c>
      <c r="S1207" s="4">
        <v>51.14</v>
      </c>
      <c r="T1207" s="2">
        <v>0.18</v>
      </c>
      <c r="U1207" s="2">
        <v>47.08</v>
      </c>
      <c r="V1207" s="2">
        <v>30.7</v>
      </c>
      <c r="W1207" s="2">
        <v>-1.28</v>
      </c>
      <c r="X1207" s="2">
        <v>5.49</v>
      </c>
      <c r="Y1207" s="2">
        <v>23.61</v>
      </c>
      <c r="Z1207" s="2">
        <v>22.41</v>
      </c>
    </row>
    <row r="1208" spans="1:26" x14ac:dyDescent="0.25">
      <c r="A1208" s="1" t="s">
        <v>5108</v>
      </c>
      <c r="B1208" s="1" t="s">
        <v>5109</v>
      </c>
      <c r="C1208" s="1" t="s">
        <v>16</v>
      </c>
      <c r="D1208" s="1" t="s">
        <v>32</v>
      </c>
      <c r="E1208" s="1" t="s">
        <v>3521</v>
      </c>
      <c r="F1208" s="1" t="s">
        <v>5110</v>
      </c>
      <c r="G1208" s="1" t="s">
        <v>12480</v>
      </c>
      <c r="H1208" s="1" t="s">
        <v>5111</v>
      </c>
      <c r="I1208" s="2">
        <v>50.43</v>
      </c>
      <c r="J1208" s="2">
        <v>6.14</v>
      </c>
      <c r="K1208" s="2">
        <v>6.33</v>
      </c>
      <c r="L1208" s="2">
        <v>6.82</v>
      </c>
      <c r="M1208" s="4">
        <f t="shared" si="108"/>
        <v>7.9668246445497628</v>
      </c>
      <c r="N1208" s="4">
        <f t="shared" si="109"/>
        <v>7.3944281524926687</v>
      </c>
      <c r="O1208" s="5">
        <f t="shared" si="110"/>
        <v>3.0944625407166138E-2</v>
      </c>
      <c r="P1208" s="5">
        <f t="shared" si="111"/>
        <v>7.7409162717219537E-2</v>
      </c>
      <c r="Q1208" s="4">
        <f t="shared" si="112"/>
        <v>2.5745422798702906</v>
      </c>
      <c r="R1208" s="4">
        <f t="shared" si="113"/>
        <v>0.95523939194446172</v>
      </c>
      <c r="S1208" s="4">
        <v>1.62</v>
      </c>
      <c r="T1208" s="2">
        <v>1.21</v>
      </c>
      <c r="U1208" s="2">
        <v>140.71</v>
      </c>
      <c r="V1208" s="2">
        <v>41.56</v>
      </c>
      <c r="W1208" s="2">
        <v>3.98</v>
      </c>
      <c r="X1208" s="2">
        <v>-16.149999999999999</v>
      </c>
      <c r="Y1208" s="2">
        <v>-25.19</v>
      </c>
      <c r="Z1208" s="2">
        <v>-22.86</v>
      </c>
    </row>
    <row r="1209" spans="1:26" x14ac:dyDescent="0.25">
      <c r="A1209" s="1" t="s">
        <v>5113</v>
      </c>
      <c r="B1209" s="1" t="s">
        <v>5114</v>
      </c>
      <c r="C1209" s="1" t="s">
        <v>16</v>
      </c>
      <c r="D1209" s="1" t="s">
        <v>94</v>
      </c>
      <c r="E1209" s="1" t="s">
        <v>4976</v>
      </c>
      <c r="F1209" s="1" t="s">
        <v>5115</v>
      </c>
      <c r="G1209" s="1" t="s">
        <v>12480</v>
      </c>
      <c r="H1209" s="1" t="s">
        <v>12548</v>
      </c>
      <c r="I1209" s="2" t="s">
        <v>12529</v>
      </c>
      <c r="J1209" s="2">
        <v>2.21</v>
      </c>
      <c r="K1209" s="2">
        <v>3.19</v>
      </c>
      <c r="L1209" s="2">
        <v>3.24</v>
      </c>
      <c r="M1209" s="4">
        <f t="shared" si="108"/>
        <v>15.047021943573668</v>
      </c>
      <c r="N1209" s="4">
        <f t="shared" si="109"/>
        <v>14.814814814814813</v>
      </c>
      <c r="O1209" s="5">
        <f t="shared" si="110"/>
        <v>0.4434389140271493</v>
      </c>
      <c r="P1209" s="5">
        <f t="shared" si="111"/>
        <v>1.5673981191222763E-2</v>
      </c>
      <c r="Q1209" s="4">
        <f t="shared" si="112"/>
        <v>0.3393256989316103</v>
      </c>
      <c r="R1209" s="4">
        <f t="shared" si="113"/>
        <v>9.4518518518517354</v>
      </c>
      <c r="S1209" s="4">
        <v>8.14</v>
      </c>
      <c r="T1209" s="2" t="s">
        <v>12493</v>
      </c>
      <c r="U1209" s="2">
        <v>56.21</v>
      </c>
      <c r="V1209" s="2">
        <v>39.58</v>
      </c>
      <c r="W1209" s="2">
        <v>-1.52</v>
      </c>
      <c r="X1209" s="2">
        <v>3.63</v>
      </c>
      <c r="Y1209" s="2">
        <v>9.41</v>
      </c>
      <c r="Z1209" s="2">
        <v>14.69</v>
      </c>
    </row>
    <row r="1210" spans="1:26" x14ac:dyDescent="0.25">
      <c r="A1210" s="1" t="s">
        <v>5117</v>
      </c>
      <c r="B1210" s="1" t="s">
        <v>5118</v>
      </c>
      <c r="C1210" s="1" t="s">
        <v>31</v>
      </c>
      <c r="D1210" s="1" t="s">
        <v>94</v>
      </c>
      <c r="E1210" s="1" t="s">
        <v>3284</v>
      </c>
      <c r="F1210" s="1" t="s">
        <v>5119</v>
      </c>
      <c r="G1210" s="1" t="s">
        <v>12480</v>
      </c>
      <c r="H1210" s="1" t="s">
        <v>5120</v>
      </c>
      <c r="I1210" s="2">
        <v>11.185</v>
      </c>
      <c r="J1210" s="2">
        <v>0.74</v>
      </c>
      <c r="K1210" s="2">
        <v>0.81</v>
      </c>
      <c r="L1210" s="2">
        <v>0.91</v>
      </c>
      <c r="M1210" s="4">
        <f t="shared" si="108"/>
        <v>13.808641975308642</v>
      </c>
      <c r="N1210" s="4">
        <f t="shared" si="109"/>
        <v>12.291208791208792</v>
      </c>
      <c r="O1210" s="5">
        <f t="shared" si="110"/>
        <v>9.4594594594594739E-2</v>
      </c>
      <c r="P1210" s="5">
        <f t="shared" si="111"/>
        <v>0.12345679012345667</v>
      </c>
      <c r="Q1210" s="4">
        <f t="shared" si="112"/>
        <v>1.4597707231040542</v>
      </c>
      <c r="R1210" s="4">
        <f t="shared" si="113"/>
        <v>0.9955879120879132</v>
      </c>
      <c r="S1210" s="4">
        <v>2.29</v>
      </c>
      <c r="T1210" s="2">
        <v>0.03</v>
      </c>
      <c r="U1210" s="2">
        <v>11.53</v>
      </c>
      <c r="V1210" s="2" t="s">
        <v>12496</v>
      </c>
      <c r="W1210" s="2">
        <v>-2.99</v>
      </c>
      <c r="X1210" s="2">
        <v>7.24</v>
      </c>
      <c r="Y1210" s="2">
        <v>33.47</v>
      </c>
      <c r="Z1210" s="2" t="s">
        <v>12488</v>
      </c>
    </row>
    <row r="1211" spans="1:26" x14ac:dyDescent="0.25">
      <c r="A1211" s="1" t="s">
        <v>5121</v>
      </c>
      <c r="B1211" s="1" t="s">
        <v>5122</v>
      </c>
      <c r="C1211" s="1" t="s">
        <v>45</v>
      </c>
      <c r="D1211" s="1" t="s">
        <v>38</v>
      </c>
      <c r="E1211" s="1" t="s">
        <v>510</v>
      </c>
      <c r="F1211" s="1" t="s">
        <v>5123</v>
      </c>
      <c r="G1211" s="1" t="s">
        <v>12480</v>
      </c>
      <c r="H1211" s="1" t="s">
        <v>5124</v>
      </c>
      <c r="I1211" s="2">
        <v>48.95</v>
      </c>
      <c r="J1211" s="2">
        <v>3.88</v>
      </c>
      <c r="K1211" s="2">
        <v>4.05</v>
      </c>
      <c r="L1211" s="2">
        <v>4.26</v>
      </c>
      <c r="M1211" s="4">
        <f t="shared" si="108"/>
        <v>12.086419753086421</v>
      </c>
      <c r="N1211" s="4">
        <f t="shared" si="109"/>
        <v>11.4906103286385</v>
      </c>
      <c r="O1211" s="5">
        <f t="shared" si="110"/>
        <v>4.3814432989690788E-2</v>
      </c>
      <c r="P1211" s="5">
        <f t="shared" si="111"/>
        <v>5.1851851851851816E-2</v>
      </c>
      <c r="Q1211" s="4">
        <f t="shared" si="112"/>
        <v>2.7585475671750141</v>
      </c>
      <c r="R1211" s="4">
        <f t="shared" si="113"/>
        <v>2.2160462776659977</v>
      </c>
      <c r="S1211" s="4">
        <v>4.13</v>
      </c>
      <c r="T1211" s="2">
        <v>0.64</v>
      </c>
      <c r="U1211" s="2">
        <v>51.12</v>
      </c>
      <c r="V1211" s="2">
        <v>41.33</v>
      </c>
      <c r="W1211" s="2">
        <v>-1.75</v>
      </c>
      <c r="X1211" s="2">
        <v>6.78</v>
      </c>
      <c r="Y1211" s="2">
        <v>11.17</v>
      </c>
      <c r="Z1211" s="2">
        <v>9.5299999999999994</v>
      </c>
    </row>
    <row r="1212" spans="1:26" x14ac:dyDescent="0.25">
      <c r="A1212" s="1" t="s">
        <v>5125</v>
      </c>
      <c r="B1212" s="1" t="s">
        <v>5126</v>
      </c>
      <c r="C1212" s="1" t="s">
        <v>45</v>
      </c>
      <c r="D1212" s="1" t="s">
        <v>18</v>
      </c>
      <c r="E1212" s="1" t="s">
        <v>74</v>
      </c>
      <c r="F1212" s="1" t="s">
        <v>5127</v>
      </c>
      <c r="G1212" s="1" t="s">
        <v>12480</v>
      </c>
      <c r="H1212" s="1" t="s">
        <v>5128</v>
      </c>
      <c r="I1212" s="2">
        <v>17.66</v>
      </c>
      <c r="J1212" s="2">
        <v>-0.98</v>
      </c>
      <c r="K1212" s="2">
        <v>-0.94</v>
      </c>
      <c r="L1212" s="2">
        <v>-0.69</v>
      </c>
      <c r="M1212" s="4">
        <f t="shared" si="108"/>
        <v>-18.787234042553191</v>
      </c>
      <c r="N1212" s="4">
        <f t="shared" si="109"/>
        <v>-25.594202898550726</v>
      </c>
      <c r="O1212" s="5">
        <f t="shared" si="110"/>
        <v>-4.081632653061229E-2</v>
      </c>
      <c r="P1212" s="5">
        <f t="shared" si="111"/>
        <v>-0.26595744680851063</v>
      </c>
      <c r="Q1212" s="4">
        <f t="shared" si="112"/>
        <v>4.6028723404255265</v>
      </c>
      <c r="R1212" s="4">
        <f t="shared" si="113"/>
        <v>0.96234202898550736</v>
      </c>
      <c r="S1212" s="4"/>
      <c r="T1212" s="2">
        <v>1.63</v>
      </c>
      <c r="U1212" s="2">
        <v>25.31</v>
      </c>
      <c r="V1212" s="2">
        <v>3.7</v>
      </c>
      <c r="W1212" s="2">
        <v>-4.54</v>
      </c>
      <c r="X1212" s="2">
        <v>-9.85</v>
      </c>
      <c r="Y1212" s="2">
        <v>7.36</v>
      </c>
      <c r="Z1212" s="2">
        <v>12.63</v>
      </c>
    </row>
    <row r="1213" spans="1:26" x14ac:dyDescent="0.25">
      <c r="A1213" s="1" t="s">
        <v>5129</v>
      </c>
      <c r="B1213" s="1" t="s">
        <v>5130</v>
      </c>
      <c r="C1213" s="1" t="s">
        <v>16</v>
      </c>
      <c r="D1213" s="1" t="s">
        <v>32</v>
      </c>
      <c r="E1213" s="1" t="s">
        <v>1572</v>
      </c>
      <c r="F1213" s="1" t="s">
        <v>5131</v>
      </c>
      <c r="G1213" s="1" t="s">
        <v>12480</v>
      </c>
      <c r="H1213" s="1" t="s">
        <v>5132</v>
      </c>
      <c r="I1213" s="2">
        <v>129.05000000000001</v>
      </c>
      <c r="J1213" s="2">
        <v>2.52</v>
      </c>
      <c r="K1213" s="2">
        <v>3.07</v>
      </c>
      <c r="L1213" s="2">
        <v>3.69</v>
      </c>
      <c r="M1213" s="4">
        <f t="shared" si="108"/>
        <v>42.035830618892511</v>
      </c>
      <c r="N1213" s="4">
        <f t="shared" si="109"/>
        <v>34.972899728997291</v>
      </c>
      <c r="O1213" s="5">
        <f t="shared" si="110"/>
        <v>0.21825396825396814</v>
      </c>
      <c r="P1213" s="5">
        <f t="shared" si="111"/>
        <v>0.2019543973941369</v>
      </c>
      <c r="Q1213" s="4">
        <f t="shared" si="112"/>
        <v>1.9260053301747122</v>
      </c>
      <c r="R1213" s="4">
        <f t="shared" si="113"/>
        <v>1.7317226156132521</v>
      </c>
      <c r="S1213" s="4">
        <v>19.14</v>
      </c>
      <c r="T1213" s="2">
        <v>1.05</v>
      </c>
      <c r="U1213" s="2">
        <v>160.43</v>
      </c>
      <c r="V1213" s="2">
        <v>39.07</v>
      </c>
      <c r="W1213" s="2">
        <v>-18.25</v>
      </c>
      <c r="X1213" s="2">
        <v>-1.78</v>
      </c>
      <c r="Y1213" s="2">
        <v>46.47</v>
      </c>
      <c r="Z1213" s="2">
        <v>47.38</v>
      </c>
    </row>
    <row r="1214" spans="1:26" x14ac:dyDescent="0.25">
      <c r="A1214" s="1" t="s">
        <v>5134</v>
      </c>
      <c r="B1214" s="1" t="s">
        <v>5135</v>
      </c>
      <c r="C1214" s="1" t="s">
        <v>45</v>
      </c>
      <c r="D1214" s="1" t="s">
        <v>38</v>
      </c>
      <c r="E1214" s="1" t="s">
        <v>52</v>
      </c>
      <c r="F1214" s="1" t="s">
        <v>5136</v>
      </c>
      <c r="G1214" s="1" t="s">
        <v>12480</v>
      </c>
      <c r="H1214" s="1" t="s">
        <v>5137</v>
      </c>
      <c r="I1214" s="2">
        <v>21.495000000000001</v>
      </c>
      <c r="J1214" s="2">
        <v>-0.61</v>
      </c>
      <c r="K1214" s="2">
        <v>-0.4</v>
      </c>
      <c r="L1214" s="2">
        <v>0.54</v>
      </c>
      <c r="M1214" s="4">
        <f t="shared" si="108"/>
        <v>-53.737499999999997</v>
      </c>
      <c r="N1214" s="4">
        <f t="shared" si="109"/>
        <v>39.805555555555557</v>
      </c>
      <c r="O1214" s="5">
        <f t="shared" si="110"/>
        <v>-0.34426229508196715</v>
      </c>
      <c r="P1214" s="5">
        <f t="shared" si="111"/>
        <v>-2.35</v>
      </c>
      <c r="Q1214" s="4">
        <f t="shared" si="112"/>
        <v>1.560946428571429</v>
      </c>
      <c r="R1214" s="4">
        <f t="shared" si="113"/>
        <v>-0.1693853427895981</v>
      </c>
      <c r="S1214" s="4">
        <v>44.04</v>
      </c>
      <c r="T1214" s="2"/>
      <c r="U1214" s="2">
        <v>42.86</v>
      </c>
      <c r="V1214" s="2">
        <v>16.84</v>
      </c>
      <c r="W1214" s="2">
        <v>-1.08</v>
      </c>
      <c r="X1214" s="2">
        <v>1.63</v>
      </c>
      <c r="Y1214" s="2">
        <v>-12.41</v>
      </c>
      <c r="Z1214" s="2">
        <v>-3.87</v>
      </c>
    </row>
    <row r="1215" spans="1:26" x14ac:dyDescent="0.25">
      <c r="A1215" s="1" t="s">
        <v>5138</v>
      </c>
      <c r="B1215" s="1" t="s">
        <v>5139</v>
      </c>
      <c r="C1215" s="1" t="s">
        <v>16</v>
      </c>
      <c r="D1215" s="1" t="s">
        <v>305</v>
      </c>
      <c r="E1215" s="1" t="s">
        <v>349</v>
      </c>
      <c r="F1215" s="1" t="s">
        <v>5140</v>
      </c>
      <c r="G1215" s="1" t="s">
        <v>12480</v>
      </c>
      <c r="H1215" s="1" t="s">
        <v>5141</v>
      </c>
      <c r="I1215" s="2">
        <v>74.69</v>
      </c>
      <c r="J1215" s="2">
        <v>10.6</v>
      </c>
      <c r="K1215" s="2">
        <v>12.26</v>
      </c>
      <c r="L1215" s="2">
        <v>13.16</v>
      </c>
      <c r="M1215" s="4">
        <f t="shared" si="108"/>
        <v>6.0921696574225122</v>
      </c>
      <c r="N1215" s="4">
        <f t="shared" si="109"/>
        <v>5.6755319148936172</v>
      </c>
      <c r="O1215" s="5">
        <f t="shared" si="110"/>
        <v>0.15660377358490574</v>
      </c>
      <c r="P1215" s="5">
        <f t="shared" si="111"/>
        <v>7.3409461663947795E-2</v>
      </c>
      <c r="Q1215" s="4">
        <f t="shared" si="112"/>
        <v>0.38901806246191922</v>
      </c>
      <c r="R1215" s="4">
        <f t="shared" si="113"/>
        <v>0.77313356973995273</v>
      </c>
      <c r="S1215" s="4">
        <v>-1.29</v>
      </c>
      <c r="T1215" s="2">
        <v>1.37</v>
      </c>
      <c r="U1215" s="2">
        <v>86.38</v>
      </c>
      <c r="V1215" s="2">
        <v>42.48</v>
      </c>
      <c r="W1215" s="2">
        <v>-3.95</v>
      </c>
      <c r="X1215" s="2">
        <v>-7.42</v>
      </c>
      <c r="Y1215" s="2">
        <v>-8.89</v>
      </c>
      <c r="Z1215" s="2">
        <v>-8.15</v>
      </c>
    </row>
    <row r="1216" spans="1:26" x14ac:dyDescent="0.25">
      <c r="A1216" s="1" t="s">
        <v>5143</v>
      </c>
      <c r="B1216" s="1" t="s">
        <v>5144</v>
      </c>
      <c r="C1216" s="1" t="s">
        <v>45</v>
      </c>
      <c r="D1216" s="1" t="s">
        <v>18</v>
      </c>
      <c r="E1216" s="1" t="s">
        <v>74</v>
      </c>
      <c r="F1216" s="1" t="s">
        <v>5145</v>
      </c>
      <c r="G1216" s="1" t="s">
        <v>12480</v>
      </c>
      <c r="H1216" s="1" t="s">
        <v>5146</v>
      </c>
      <c r="I1216" s="2">
        <v>27.24</v>
      </c>
      <c r="J1216" s="2">
        <v>1.54</v>
      </c>
      <c r="K1216" s="2">
        <v>1.2</v>
      </c>
      <c r="L1216" s="2">
        <v>1.68</v>
      </c>
      <c r="M1216" s="4">
        <f t="shared" si="108"/>
        <v>22.7</v>
      </c>
      <c r="N1216" s="4">
        <f t="shared" si="109"/>
        <v>16.214285714285715</v>
      </c>
      <c r="O1216" s="5">
        <f t="shared" si="110"/>
        <v>-0.22077922077922085</v>
      </c>
      <c r="P1216" s="5">
        <f t="shared" si="111"/>
        <v>0.39999999999999991</v>
      </c>
      <c r="Q1216" s="4">
        <f t="shared" si="112"/>
        <v>-1.0281764705882348</v>
      </c>
      <c r="R1216" s="4">
        <f t="shared" si="113"/>
        <v>0.40535714285714297</v>
      </c>
      <c r="S1216" s="4">
        <v>19.14</v>
      </c>
      <c r="T1216" s="2">
        <v>0.94</v>
      </c>
      <c r="U1216" s="2">
        <v>35.340000000000003</v>
      </c>
      <c r="V1216" s="2">
        <v>17.98</v>
      </c>
      <c r="W1216" s="2">
        <v>-8.1300000000000008</v>
      </c>
      <c r="X1216" s="2">
        <v>-11.76</v>
      </c>
      <c r="Y1216" s="2">
        <v>-13.72</v>
      </c>
      <c r="Z1216" s="2">
        <v>-11.56</v>
      </c>
    </row>
    <row r="1217" spans="1:26" x14ac:dyDescent="0.25">
      <c r="A1217" s="1" t="s">
        <v>5147</v>
      </c>
      <c r="B1217" s="1" t="s">
        <v>5148</v>
      </c>
      <c r="C1217" s="1" t="s">
        <v>5150</v>
      </c>
      <c r="D1217" s="1" t="s">
        <v>24</v>
      </c>
      <c r="E1217" s="1" t="s">
        <v>2417</v>
      </c>
      <c r="F1217" s="1" t="s">
        <v>5149</v>
      </c>
      <c r="G1217" s="1" t="s">
        <v>2418</v>
      </c>
      <c r="H1217" s="1" t="s">
        <v>12480</v>
      </c>
      <c r="I1217" s="2">
        <v>4.3899999999999997</v>
      </c>
      <c r="J1217" s="2" t="s">
        <v>12481</v>
      </c>
      <c r="K1217" s="2"/>
      <c r="L1217" s="2">
        <v>0.76</v>
      </c>
      <c r="M1217" s="4" t="e">
        <f t="shared" si="108"/>
        <v>#DIV/0!</v>
      </c>
      <c r="N1217" s="4">
        <f t="shared" si="109"/>
        <v>5.7763157894736841</v>
      </c>
      <c r="O1217" s="5">
        <f t="shared" si="110"/>
        <v>-1</v>
      </c>
      <c r="P1217" s="5" t="e">
        <f t="shared" si="111"/>
        <v>#DIV/0!</v>
      </c>
      <c r="Q1217" s="4" t="e">
        <f t="shared" si="112"/>
        <v>#DIV/0!</v>
      </c>
      <c r="R1217" s="4" t="e">
        <f t="shared" si="113"/>
        <v>#DIV/0!</v>
      </c>
      <c r="S1217" s="4">
        <v>0.72</v>
      </c>
      <c r="T1217" s="2">
        <v>11.0625</v>
      </c>
      <c r="U1217" s="2" t="s">
        <v>12681</v>
      </c>
      <c r="V1217" s="2">
        <v>12.7</v>
      </c>
      <c r="W1217" s="2">
        <v>0.54</v>
      </c>
      <c r="X1217" s="2">
        <v>-12.93</v>
      </c>
      <c r="Y1217" s="2">
        <v>-8.9499999999999993</v>
      </c>
      <c r="Z1217" s="2">
        <v>15.11</v>
      </c>
    </row>
    <row r="1218" spans="1:26" x14ac:dyDescent="0.25">
      <c r="A1218" s="1" t="s">
        <v>5151</v>
      </c>
      <c r="B1218" s="1" t="s">
        <v>5152</v>
      </c>
      <c r="C1218" s="1" t="s">
        <v>16</v>
      </c>
      <c r="D1218" s="1" t="s">
        <v>147</v>
      </c>
      <c r="E1218" s="1" t="s">
        <v>2000</v>
      </c>
      <c r="F1218" s="1" t="s">
        <v>5153</v>
      </c>
      <c r="G1218" s="1" t="s">
        <v>12493</v>
      </c>
      <c r="H1218" s="1" t="s">
        <v>5154</v>
      </c>
      <c r="I1218" s="2">
        <v>24.8</v>
      </c>
      <c r="J1218" s="2">
        <v>0.33</v>
      </c>
      <c r="K1218" s="2"/>
      <c r="L1218" s="2"/>
      <c r="M1218" s="4" t="e">
        <f t="shared" si="108"/>
        <v>#DIV/0!</v>
      </c>
      <c r="N1218" s="4" t="e">
        <f t="shared" si="109"/>
        <v>#DIV/0!</v>
      </c>
      <c r="O1218" s="5">
        <f t="shared" si="110"/>
        <v>-1</v>
      </c>
      <c r="P1218" s="5" t="e">
        <f t="shared" si="111"/>
        <v>#DIV/0!</v>
      </c>
      <c r="Q1218" s="4" t="e">
        <f t="shared" si="112"/>
        <v>#DIV/0!</v>
      </c>
      <c r="R1218" s="4" t="e">
        <f t="shared" si="113"/>
        <v>#DIV/0!</v>
      </c>
      <c r="S1218" s="4">
        <v>-27.5</v>
      </c>
      <c r="T1218" s="2">
        <v>2.12</v>
      </c>
      <c r="U1218" s="2">
        <v>35.01</v>
      </c>
      <c r="V1218" s="2">
        <v>19.940000000000001</v>
      </c>
      <c r="W1218" s="2">
        <v>2.48</v>
      </c>
      <c r="X1218" s="2">
        <v>0.65</v>
      </c>
      <c r="Y1218" s="2">
        <v>12.27</v>
      </c>
      <c r="Z1218" s="2">
        <v>23.51</v>
      </c>
    </row>
    <row r="1219" spans="1:26" x14ac:dyDescent="0.25">
      <c r="A1219" s="1" t="s">
        <v>5156</v>
      </c>
      <c r="B1219" s="1" t="s">
        <v>5157</v>
      </c>
      <c r="C1219" s="1" t="s">
        <v>16</v>
      </c>
      <c r="D1219" s="1" t="s">
        <v>18</v>
      </c>
      <c r="E1219" s="1" t="s">
        <v>594</v>
      </c>
      <c r="F1219" s="1" t="s">
        <v>5158</v>
      </c>
      <c r="G1219" s="1" t="s">
        <v>12480</v>
      </c>
      <c r="H1219" s="1" t="s">
        <v>5159</v>
      </c>
      <c r="I1219" s="2">
        <v>87.81</v>
      </c>
      <c r="J1219" s="2">
        <v>3.98</v>
      </c>
      <c r="K1219" s="2">
        <v>4.34</v>
      </c>
      <c r="L1219" s="2">
        <v>4.78</v>
      </c>
      <c r="M1219" s="4">
        <f t="shared" ref="M1219:M1282" si="114">I1219/K1219</f>
        <v>20.232718894009217</v>
      </c>
      <c r="N1219" s="4">
        <f t="shared" ref="N1219:N1282" si="115">I1219/L1219</f>
        <v>18.370292887029287</v>
      </c>
      <c r="O1219" s="5">
        <f t="shared" ref="O1219:O1282" si="116">K1219/J1219-1</f>
        <v>9.0452261306532611E-2</v>
      </c>
      <c r="P1219" s="5">
        <f t="shared" ref="P1219:P1282" si="117">L1219/K1219-1</f>
        <v>0.10138248847926268</v>
      </c>
      <c r="Q1219" s="4">
        <f t="shared" ref="Q1219:Q1282" si="118">M1219/(O1219*100)</f>
        <v>2.2368394777265754</v>
      </c>
      <c r="R1219" s="4">
        <f t="shared" ref="R1219:R1282" si="119">N1219/(P1219*100)</f>
        <v>1.8119788893115252</v>
      </c>
      <c r="S1219" s="4">
        <v>16.649999999999999</v>
      </c>
      <c r="T1219" s="2">
        <v>1.05</v>
      </c>
      <c r="U1219" s="2">
        <v>96.71</v>
      </c>
      <c r="V1219" s="2">
        <v>51.89</v>
      </c>
      <c r="W1219" s="2">
        <v>-6.39</v>
      </c>
      <c r="X1219" s="2">
        <v>0.25</v>
      </c>
      <c r="Y1219" s="2">
        <v>1.51</v>
      </c>
      <c r="Z1219" s="2">
        <v>0.56999999999999995</v>
      </c>
    </row>
    <row r="1220" spans="1:26" x14ac:dyDescent="0.25">
      <c r="A1220" s="1" t="s">
        <v>5161</v>
      </c>
      <c r="B1220" s="1" t="s">
        <v>5162</v>
      </c>
      <c r="C1220" s="1" t="s">
        <v>31</v>
      </c>
      <c r="D1220" s="1" t="s">
        <v>128</v>
      </c>
      <c r="E1220" s="1" t="s">
        <v>556</v>
      </c>
      <c r="F1220" s="1" t="s">
        <v>5163</v>
      </c>
      <c r="G1220" s="1" t="s">
        <v>12485</v>
      </c>
      <c r="H1220" s="1" t="s">
        <v>5164</v>
      </c>
      <c r="I1220" s="2">
        <v>14.1</v>
      </c>
      <c r="J1220" s="2">
        <v>0.94</v>
      </c>
      <c r="K1220" s="2"/>
      <c r="L1220" s="2"/>
      <c r="M1220" s="4" t="e">
        <f t="shared" si="114"/>
        <v>#DIV/0!</v>
      </c>
      <c r="N1220" s="4" t="e">
        <f t="shared" si="115"/>
        <v>#DIV/0!</v>
      </c>
      <c r="O1220" s="5">
        <f t="shared" si="116"/>
        <v>-1</v>
      </c>
      <c r="P1220" s="5" t="e">
        <f t="shared" si="117"/>
        <v>#DIV/0!</v>
      </c>
      <c r="Q1220" s="4" t="e">
        <f t="shared" si="118"/>
        <v>#DIV/0!</v>
      </c>
      <c r="R1220" s="4" t="e">
        <f t="shared" si="119"/>
        <v>#DIV/0!</v>
      </c>
      <c r="S1220" s="4">
        <v>10.97</v>
      </c>
      <c r="T1220" s="2">
        <v>0.61</v>
      </c>
      <c r="U1220" s="2">
        <v>15.04</v>
      </c>
      <c r="V1220" s="2">
        <v>8.56</v>
      </c>
      <c r="W1220" s="2" t="s">
        <v>12489</v>
      </c>
      <c r="X1220" s="2">
        <v>8.4600000000000009</v>
      </c>
      <c r="Y1220" s="2">
        <v>8.4600000000000009</v>
      </c>
      <c r="Z1220" s="2">
        <v>8.4600000000000009</v>
      </c>
    </row>
    <row r="1221" spans="1:26" x14ac:dyDescent="0.25">
      <c r="A1221" s="1" t="s">
        <v>5165</v>
      </c>
      <c r="B1221" s="1" t="s">
        <v>5166</v>
      </c>
      <c r="C1221" s="1" t="s">
        <v>16</v>
      </c>
      <c r="D1221" s="1" t="s">
        <v>38</v>
      </c>
      <c r="E1221" s="1" t="s">
        <v>510</v>
      </c>
      <c r="F1221" s="1" t="s">
        <v>5167</v>
      </c>
      <c r="G1221" s="1" t="s">
        <v>12480</v>
      </c>
      <c r="H1221" s="1" t="s">
        <v>5168</v>
      </c>
      <c r="I1221" s="2">
        <v>9.4</v>
      </c>
      <c r="J1221" s="2">
        <v>0.99</v>
      </c>
      <c r="K1221" s="2"/>
      <c r="L1221" s="2"/>
      <c r="M1221" s="4" t="e">
        <f t="shared" si="114"/>
        <v>#DIV/0!</v>
      </c>
      <c r="N1221" s="4" t="e">
        <f t="shared" si="115"/>
        <v>#DIV/0!</v>
      </c>
      <c r="O1221" s="5">
        <f t="shared" si="116"/>
        <v>-1</v>
      </c>
      <c r="P1221" s="5" t="e">
        <f t="shared" si="117"/>
        <v>#DIV/0!</v>
      </c>
      <c r="Q1221" s="4" t="e">
        <f t="shared" si="118"/>
        <v>#DIV/0!</v>
      </c>
      <c r="R1221" s="4" t="e">
        <f t="shared" si="119"/>
        <v>#DIV/0!</v>
      </c>
      <c r="S1221" s="4">
        <v>-38.47</v>
      </c>
      <c r="T1221" s="2">
        <v>1.1100000000000001</v>
      </c>
      <c r="U1221" s="2">
        <v>9.9600000000000009</v>
      </c>
      <c r="V1221" s="2">
        <v>6.82</v>
      </c>
      <c r="W1221" s="2">
        <v>-2.89</v>
      </c>
      <c r="X1221" s="2">
        <v>-3.89</v>
      </c>
      <c r="Y1221" s="2">
        <v>11.9</v>
      </c>
      <c r="Z1221" s="2">
        <v>9.3000000000000007</v>
      </c>
    </row>
    <row r="1222" spans="1:26" x14ac:dyDescent="0.25">
      <c r="A1222" s="1" t="s">
        <v>5143</v>
      </c>
      <c r="B1222" s="1" t="s">
        <v>5169</v>
      </c>
      <c r="C1222" s="1" t="s">
        <v>31</v>
      </c>
      <c r="D1222" s="1" t="s">
        <v>18</v>
      </c>
      <c r="E1222" s="1" t="s">
        <v>74</v>
      </c>
      <c r="F1222" s="1" t="s">
        <v>5170</v>
      </c>
      <c r="G1222" s="1" t="s">
        <v>12480</v>
      </c>
      <c r="H1222" s="1" t="s">
        <v>5171</v>
      </c>
      <c r="I1222" s="2" t="s">
        <v>12683</v>
      </c>
      <c r="J1222" s="2">
        <v>15.37</v>
      </c>
      <c r="K1222" s="2"/>
      <c r="L1222" s="2"/>
      <c r="M1222" s="4" t="e">
        <f t="shared" si="114"/>
        <v>#DIV/0!</v>
      </c>
      <c r="N1222" s="4" t="e">
        <f t="shared" si="115"/>
        <v>#DIV/0!</v>
      </c>
      <c r="O1222" s="5">
        <f t="shared" si="116"/>
        <v>-1</v>
      </c>
      <c r="P1222" s="5" t="e">
        <f t="shared" si="117"/>
        <v>#DIV/0!</v>
      </c>
      <c r="Q1222" s="4" t="e">
        <f t="shared" si="118"/>
        <v>#DIV/0!</v>
      </c>
      <c r="R1222" s="4" t="e">
        <f t="shared" si="119"/>
        <v>#DIV/0!</v>
      </c>
      <c r="S1222" s="4">
        <v>19.14</v>
      </c>
      <c r="T1222" s="2">
        <v>0.92</v>
      </c>
      <c r="U1222" s="2" t="s">
        <v>12682</v>
      </c>
      <c r="V1222" s="2">
        <v>178.74</v>
      </c>
      <c r="W1222" s="2" t="s">
        <v>12489</v>
      </c>
      <c r="X1222" s="2">
        <v>-12.29</v>
      </c>
      <c r="Y1222" s="2">
        <v>-9.1300000000000008</v>
      </c>
      <c r="Z1222" s="2">
        <v>-7.64</v>
      </c>
    </row>
    <row r="1223" spans="1:26" x14ac:dyDescent="0.25">
      <c r="A1223" s="1" t="s">
        <v>5172</v>
      </c>
      <c r="B1223" s="1" t="s">
        <v>5173</v>
      </c>
      <c r="C1223" s="1" t="s">
        <v>16</v>
      </c>
      <c r="D1223" s="1" t="s">
        <v>25</v>
      </c>
      <c r="E1223" s="1" t="s">
        <v>220</v>
      </c>
      <c r="F1223" s="1" t="s">
        <v>5174</v>
      </c>
      <c r="G1223" s="1" t="s">
        <v>12480</v>
      </c>
      <c r="H1223" s="1" t="s">
        <v>5175</v>
      </c>
      <c r="I1223" s="2">
        <v>207.11</v>
      </c>
      <c r="J1223" s="2">
        <v>6.34</v>
      </c>
      <c r="K1223" s="2">
        <v>8.41</v>
      </c>
      <c r="L1223" s="2">
        <v>9.89</v>
      </c>
      <c r="M1223" s="4">
        <f t="shared" si="114"/>
        <v>24.62663495838288</v>
      </c>
      <c r="N1223" s="4">
        <f t="shared" si="115"/>
        <v>20.941354903943378</v>
      </c>
      <c r="O1223" s="5">
        <f t="shared" si="116"/>
        <v>0.32649842271293372</v>
      </c>
      <c r="P1223" s="5">
        <f t="shared" si="117"/>
        <v>0.17598097502972654</v>
      </c>
      <c r="Q1223" s="4">
        <f t="shared" si="118"/>
        <v>0.75426505138235489</v>
      </c>
      <c r="R1223" s="4">
        <f t="shared" si="119"/>
        <v>1.189978342852458</v>
      </c>
      <c r="S1223" s="4">
        <v>-2.02</v>
      </c>
      <c r="T1223" s="2">
        <v>1.74</v>
      </c>
      <c r="U1223" s="2">
        <v>236.58</v>
      </c>
      <c r="V1223" s="2">
        <v>101.92</v>
      </c>
      <c r="W1223" s="2">
        <v>-10.1</v>
      </c>
      <c r="X1223" s="2">
        <v>11.45</v>
      </c>
      <c r="Y1223" s="2">
        <v>30.73</v>
      </c>
      <c r="Z1223" s="2">
        <v>51.87</v>
      </c>
    </row>
    <row r="1224" spans="1:26" x14ac:dyDescent="0.25">
      <c r="A1224" s="1" t="s">
        <v>5176</v>
      </c>
      <c r="B1224" s="1" t="s">
        <v>5177</v>
      </c>
      <c r="C1224" s="1" t="s">
        <v>45</v>
      </c>
      <c r="D1224" s="1" t="s">
        <v>305</v>
      </c>
      <c r="E1224" s="1" t="s">
        <v>306</v>
      </c>
      <c r="F1224" s="1" t="s">
        <v>12684</v>
      </c>
      <c r="G1224" s="1" t="s">
        <v>12480</v>
      </c>
      <c r="H1224" s="1" t="s">
        <v>5178</v>
      </c>
      <c r="I1224" s="2">
        <v>21.75</v>
      </c>
      <c r="J1224" s="2">
        <v>1.81</v>
      </c>
      <c r="K1224" s="2">
        <v>1.93</v>
      </c>
      <c r="L1224" s="2">
        <v>2.19</v>
      </c>
      <c r="M1224" s="4">
        <f t="shared" si="114"/>
        <v>11.269430051813472</v>
      </c>
      <c r="N1224" s="4">
        <f t="shared" si="115"/>
        <v>9.9315068493150687</v>
      </c>
      <c r="O1224" s="5">
        <f t="shared" si="116"/>
        <v>6.6298342541436295E-2</v>
      </c>
      <c r="P1224" s="5">
        <f t="shared" si="117"/>
        <v>0.13471502590673579</v>
      </c>
      <c r="Q1224" s="4">
        <f t="shared" si="118"/>
        <v>1.6998056994818698</v>
      </c>
      <c r="R1224" s="4">
        <f t="shared" si="119"/>
        <v>0.7372233930453107</v>
      </c>
      <c r="S1224" s="4">
        <v>9.5500000000000007</v>
      </c>
      <c r="T1224" s="2">
        <v>0.76</v>
      </c>
      <c r="U1224" s="2">
        <v>29.06</v>
      </c>
      <c r="V1224" s="2">
        <v>20.83</v>
      </c>
      <c r="W1224" s="2">
        <v>-6.65</v>
      </c>
      <c r="X1224" s="2">
        <v>-8.3800000000000008</v>
      </c>
      <c r="Y1224" s="2">
        <v>-8.0299999999999994</v>
      </c>
      <c r="Z1224" s="2">
        <v>-6.53</v>
      </c>
    </row>
    <row r="1225" spans="1:26" x14ac:dyDescent="0.25">
      <c r="A1225" s="1" t="s">
        <v>5179</v>
      </c>
      <c r="B1225" s="1" t="s">
        <v>5180</v>
      </c>
      <c r="C1225" s="1" t="s">
        <v>16</v>
      </c>
      <c r="D1225" s="1" t="s">
        <v>38</v>
      </c>
      <c r="E1225" s="1" t="s">
        <v>39</v>
      </c>
      <c r="F1225" s="1" t="s">
        <v>5181</v>
      </c>
      <c r="G1225" s="1" t="s">
        <v>12480</v>
      </c>
      <c r="H1225" s="1" t="s">
        <v>5182</v>
      </c>
      <c r="I1225" s="2">
        <v>8.35</v>
      </c>
      <c r="J1225" s="2">
        <v>0.35</v>
      </c>
      <c r="K1225" s="2"/>
      <c r="L1225" s="2"/>
      <c r="M1225" s="4" t="e">
        <f t="shared" si="114"/>
        <v>#DIV/0!</v>
      </c>
      <c r="N1225" s="4" t="e">
        <f t="shared" si="115"/>
        <v>#DIV/0!</v>
      </c>
      <c r="O1225" s="5">
        <f t="shared" si="116"/>
        <v>-1</v>
      </c>
      <c r="P1225" s="5" t="e">
        <f t="shared" si="117"/>
        <v>#DIV/0!</v>
      </c>
      <c r="Q1225" s="4" t="e">
        <f t="shared" si="118"/>
        <v>#DIV/0!</v>
      </c>
      <c r="R1225" s="4" t="e">
        <f t="shared" si="119"/>
        <v>#DIV/0!</v>
      </c>
      <c r="S1225" s="4">
        <v>0.08</v>
      </c>
      <c r="T1225" s="2" t="s">
        <v>12493</v>
      </c>
      <c r="U1225" s="2">
        <v>9.24</v>
      </c>
      <c r="V1225" s="2">
        <v>6.12</v>
      </c>
      <c r="W1225" s="2">
        <v>-2.34</v>
      </c>
      <c r="X1225" s="2">
        <v>-5.97</v>
      </c>
      <c r="Y1225" s="2">
        <v>-7.12</v>
      </c>
      <c r="Z1225" s="2">
        <v>-7.53</v>
      </c>
    </row>
    <row r="1226" spans="1:26" x14ac:dyDescent="0.25">
      <c r="A1226" s="1" t="s">
        <v>5183</v>
      </c>
      <c r="B1226" s="1" t="s">
        <v>5184</v>
      </c>
      <c r="C1226" s="1" t="s">
        <v>16</v>
      </c>
      <c r="D1226" s="1" t="s">
        <v>38</v>
      </c>
      <c r="E1226" s="1" t="s">
        <v>52</v>
      </c>
      <c r="F1226" s="1" t="s">
        <v>5185</v>
      </c>
      <c r="G1226" s="1" t="s">
        <v>12502</v>
      </c>
      <c r="H1226" s="1" t="s">
        <v>12685</v>
      </c>
      <c r="I1226" s="2">
        <v>50.1</v>
      </c>
      <c r="J1226" s="2">
        <v>2.17</v>
      </c>
      <c r="K1226" s="2">
        <v>3.54</v>
      </c>
      <c r="L1226" s="2">
        <v>4.09</v>
      </c>
      <c r="M1226" s="4">
        <f t="shared" si="114"/>
        <v>14.152542372881356</v>
      </c>
      <c r="N1226" s="4">
        <f t="shared" si="115"/>
        <v>12.249388753056236</v>
      </c>
      <c r="O1226" s="5">
        <f t="shared" si="116"/>
        <v>0.63133640552995396</v>
      </c>
      <c r="P1226" s="5">
        <f t="shared" si="117"/>
        <v>0.15536723163841804</v>
      </c>
      <c r="Q1226" s="4">
        <f t="shared" si="118"/>
        <v>0.22416800692812075</v>
      </c>
      <c r="R1226" s="4">
        <f t="shared" si="119"/>
        <v>0.78841520337852888</v>
      </c>
      <c r="S1226" s="4">
        <v>13.19</v>
      </c>
      <c r="T1226" s="2">
        <v>0.4</v>
      </c>
      <c r="U1226" s="2">
        <v>64.14</v>
      </c>
      <c r="V1226" s="2">
        <v>19.73</v>
      </c>
      <c r="W1226" s="2">
        <v>-11.89</v>
      </c>
      <c r="X1226" s="2">
        <v>-21.89</v>
      </c>
      <c r="Y1226" s="2">
        <v>57.79</v>
      </c>
      <c r="Z1226" s="2">
        <v>47.14</v>
      </c>
    </row>
    <row r="1227" spans="1:26" x14ac:dyDescent="0.25">
      <c r="A1227" s="1" t="s">
        <v>5186</v>
      </c>
      <c r="B1227" s="1" t="s">
        <v>5187</v>
      </c>
      <c r="C1227" s="1" t="s">
        <v>16</v>
      </c>
      <c r="D1227" s="1" t="s">
        <v>147</v>
      </c>
      <c r="E1227" s="1" t="s">
        <v>1073</v>
      </c>
      <c r="F1227" s="1" t="s">
        <v>5188</v>
      </c>
      <c r="G1227" s="1" t="s">
        <v>12480</v>
      </c>
      <c r="H1227" s="1" t="s">
        <v>4859</v>
      </c>
      <c r="I1227" s="2">
        <v>95.75</v>
      </c>
      <c r="J1227" s="2">
        <v>3.39</v>
      </c>
      <c r="K1227" s="2">
        <v>3.75</v>
      </c>
      <c r="L1227" s="2">
        <v>4.0199999999999996</v>
      </c>
      <c r="M1227" s="4">
        <f t="shared" si="114"/>
        <v>25.533333333333335</v>
      </c>
      <c r="N1227" s="4">
        <f t="shared" si="115"/>
        <v>23.818407960199007</v>
      </c>
      <c r="O1227" s="5">
        <f t="shared" si="116"/>
        <v>0.10619469026548667</v>
      </c>
      <c r="P1227" s="5">
        <f t="shared" si="117"/>
        <v>7.1999999999999842E-2</v>
      </c>
      <c r="Q1227" s="4">
        <f t="shared" si="118"/>
        <v>2.40438888888889</v>
      </c>
      <c r="R1227" s="4">
        <f t="shared" si="119"/>
        <v>3.308112216694314</v>
      </c>
      <c r="S1227" s="4">
        <v>4.1399999999999997</v>
      </c>
      <c r="T1227" s="2">
        <v>0.88</v>
      </c>
      <c r="U1227" s="2">
        <v>103.29</v>
      </c>
      <c r="V1227" s="2">
        <v>56.27</v>
      </c>
      <c r="W1227" s="2">
        <v>-5.5</v>
      </c>
      <c r="X1227" s="2">
        <v>-7.3</v>
      </c>
      <c r="Y1227" s="2">
        <v>11.94</v>
      </c>
      <c r="Z1227" s="2">
        <v>19.96</v>
      </c>
    </row>
    <row r="1228" spans="1:26" x14ac:dyDescent="0.25">
      <c r="A1228" s="1" t="s">
        <v>5189</v>
      </c>
      <c r="B1228" s="1" t="s">
        <v>5190</v>
      </c>
      <c r="C1228" s="1" t="s">
        <v>45</v>
      </c>
      <c r="D1228" s="1" t="s">
        <v>32</v>
      </c>
      <c r="E1228" s="1" t="s">
        <v>565</v>
      </c>
      <c r="F1228" s="1" t="s">
        <v>12686</v>
      </c>
      <c r="G1228" s="1" t="s">
        <v>12480</v>
      </c>
      <c r="H1228" s="1" t="s">
        <v>12687</v>
      </c>
      <c r="I1228" s="2">
        <v>306.01</v>
      </c>
      <c r="J1228" s="2">
        <v>10.81</v>
      </c>
      <c r="K1228" s="2">
        <v>11.6</v>
      </c>
      <c r="L1228" s="2">
        <v>13.31</v>
      </c>
      <c r="M1228" s="4">
        <f t="shared" si="114"/>
        <v>26.380172413793105</v>
      </c>
      <c r="N1228" s="4">
        <f t="shared" si="115"/>
        <v>22.99098422238918</v>
      </c>
      <c r="O1228" s="5">
        <f t="shared" si="116"/>
        <v>7.3080481036077671E-2</v>
      </c>
      <c r="P1228" s="5">
        <f t="shared" si="117"/>
        <v>0.14741379310344827</v>
      </c>
      <c r="Q1228" s="4">
        <f t="shared" si="118"/>
        <v>3.6097425796595393</v>
      </c>
      <c r="R1228" s="4">
        <f t="shared" si="119"/>
        <v>1.5596223215187983</v>
      </c>
      <c r="S1228" s="4">
        <v>15.09</v>
      </c>
      <c r="T1228" s="2">
        <v>1.1000000000000001</v>
      </c>
      <c r="U1228" s="2">
        <v>344.9</v>
      </c>
      <c r="V1228" s="2">
        <v>146.58000000000001</v>
      </c>
      <c r="W1228" s="2">
        <v>-0.11</v>
      </c>
      <c r="X1228" s="2">
        <v>-5.67</v>
      </c>
      <c r="Y1228" s="2">
        <v>-1.07</v>
      </c>
      <c r="Z1228" s="2">
        <v>-2.48</v>
      </c>
    </row>
    <row r="1229" spans="1:26" x14ac:dyDescent="0.25">
      <c r="A1229" s="1" t="s">
        <v>5189</v>
      </c>
      <c r="B1229" s="1" t="s">
        <v>5191</v>
      </c>
      <c r="C1229" s="1" t="s">
        <v>45</v>
      </c>
      <c r="D1229" s="1" t="s">
        <v>32</v>
      </c>
      <c r="E1229" s="1" t="s">
        <v>565</v>
      </c>
      <c r="F1229" s="1" t="s">
        <v>5192</v>
      </c>
      <c r="G1229" s="1" t="s">
        <v>12480</v>
      </c>
      <c r="H1229" s="1" t="s">
        <v>12687</v>
      </c>
      <c r="I1229" s="2">
        <v>306.36</v>
      </c>
      <c r="J1229" s="2">
        <v>10.81</v>
      </c>
      <c r="K1229" s="2">
        <v>11.6</v>
      </c>
      <c r="L1229" s="2">
        <v>13.31</v>
      </c>
      <c r="M1229" s="4">
        <f t="shared" si="114"/>
        <v>26.410344827586208</v>
      </c>
      <c r="N1229" s="4">
        <f t="shared" si="115"/>
        <v>23.017280240420735</v>
      </c>
      <c r="O1229" s="5">
        <f t="shared" si="116"/>
        <v>7.3080481036077671E-2</v>
      </c>
      <c r="P1229" s="5">
        <f t="shared" si="117"/>
        <v>0.14741379310344827</v>
      </c>
      <c r="Q1229" s="4">
        <f t="shared" si="118"/>
        <v>3.6138712352684434</v>
      </c>
      <c r="R1229" s="4">
        <f t="shared" si="119"/>
        <v>1.5614061449642138</v>
      </c>
      <c r="S1229" s="4">
        <v>15.09</v>
      </c>
      <c r="T1229" s="2">
        <v>1.1000000000000001</v>
      </c>
      <c r="U1229" s="2">
        <v>343.69</v>
      </c>
      <c r="V1229" s="2">
        <v>144.69999999999999</v>
      </c>
      <c r="W1229" s="2">
        <v>-0.05</v>
      </c>
      <c r="X1229" s="2">
        <v>-5.54</v>
      </c>
      <c r="Y1229" s="2">
        <v>-0.6</v>
      </c>
      <c r="Z1229" s="2">
        <v>-2.12</v>
      </c>
    </row>
    <row r="1230" spans="1:26" x14ac:dyDescent="0.25">
      <c r="A1230" s="1" t="s">
        <v>5193</v>
      </c>
      <c r="B1230" s="1" t="s">
        <v>5194</v>
      </c>
      <c r="C1230" s="1" t="s">
        <v>16</v>
      </c>
      <c r="D1230" s="1" t="s">
        <v>67</v>
      </c>
      <c r="E1230" s="1" t="s">
        <v>381</v>
      </c>
      <c r="F1230" s="1" t="s">
        <v>5195</v>
      </c>
      <c r="G1230" s="1" t="s">
        <v>12490</v>
      </c>
      <c r="H1230" s="1" t="s">
        <v>5196</v>
      </c>
      <c r="I1230" s="2">
        <v>11.15</v>
      </c>
      <c r="J1230" s="2">
        <v>0.8</v>
      </c>
      <c r="K1230" s="2">
        <v>0.57999999999999996</v>
      </c>
      <c r="L1230" s="2">
        <v>0.72</v>
      </c>
      <c r="M1230" s="4">
        <f t="shared" si="114"/>
        <v>19.224137931034484</v>
      </c>
      <c r="N1230" s="4">
        <f t="shared" si="115"/>
        <v>15.486111111111112</v>
      </c>
      <c r="O1230" s="5">
        <f t="shared" si="116"/>
        <v>-0.27500000000000013</v>
      </c>
      <c r="P1230" s="5">
        <f t="shared" si="117"/>
        <v>0.24137931034482762</v>
      </c>
      <c r="Q1230" s="4">
        <f t="shared" si="118"/>
        <v>-0.6990595611285263</v>
      </c>
      <c r="R1230" s="4">
        <f t="shared" si="119"/>
        <v>0.64156746031746026</v>
      </c>
      <c r="S1230" s="4">
        <v>-1.99</v>
      </c>
      <c r="T1230" s="2">
        <v>1.72</v>
      </c>
      <c r="U1230" s="2">
        <v>15.24</v>
      </c>
      <c r="V1230" s="2">
        <v>6.88</v>
      </c>
      <c r="W1230" s="2">
        <v>-6.77</v>
      </c>
      <c r="X1230" s="2">
        <v>-6.3</v>
      </c>
      <c r="Y1230" s="2">
        <v>-11.86</v>
      </c>
      <c r="Z1230" s="2">
        <v>-13.9</v>
      </c>
    </row>
    <row r="1231" spans="1:26" x14ac:dyDescent="0.25">
      <c r="A1231" s="1" t="s">
        <v>5197</v>
      </c>
      <c r="B1231" s="1" t="s">
        <v>5198</v>
      </c>
      <c r="C1231" s="1" t="s">
        <v>16</v>
      </c>
      <c r="D1231" s="1" t="s">
        <v>67</v>
      </c>
      <c r="E1231" s="1" t="s">
        <v>68</v>
      </c>
      <c r="F1231" s="1" t="s">
        <v>5199</v>
      </c>
      <c r="G1231" s="1" t="s">
        <v>12480</v>
      </c>
      <c r="H1231" s="1" t="s">
        <v>5200</v>
      </c>
      <c r="I1231" s="2">
        <v>111.84</v>
      </c>
      <c r="J1231" s="2">
        <v>7.37</v>
      </c>
      <c r="K1231" s="2">
        <v>8.01</v>
      </c>
      <c r="L1231" s="2">
        <v>8.68</v>
      </c>
      <c r="M1231" s="4">
        <f t="shared" si="114"/>
        <v>13.962546816479401</v>
      </c>
      <c r="N1231" s="4">
        <f t="shared" si="115"/>
        <v>12.884792626728112</v>
      </c>
      <c r="O1231" s="5">
        <f t="shared" si="116"/>
        <v>8.6838534599728678E-2</v>
      </c>
      <c r="P1231" s="5">
        <f t="shared" si="117"/>
        <v>8.3645443196004976E-2</v>
      </c>
      <c r="Q1231" s="4">
        <f t="shared" si="118"/>
        <v>1.6078745318352052</v>
      </c>
      <c r="R1231" s="4">
        <f t="shared" si="119"/>
        <v>1.540405805076003</v>
      </c>
      <c r="S1231" s="4">
        <v>3.46</v>
      </c>
      <c r="T1231" s="2">
        <v>0.75</v>
      </c>
      <c r="U1231" s="2">
        <v>149.26</v>
      </c>
      <c r="V1231" s="2">
        <v>105.54</v>
      </c>
      <c r="W1231" s="2">
        <v>-5.66</v>
      </c>
      <c r="X1231" s="2">
        <v>-23.41</v>
      </c>
      <c r="Y1231" s="2">
        <v>-15.22</v>
      </c>
      <c r="Z1231" s="2">
        <v>-9.0399999999999991</v>
      </c>
    </row>
    <row r="1232" spans="1:26" x14ac:dyDescent="0.25">
      <c r="A1232" s="1" t="s">
        <v>5201</v>
      </c>
      <c r="B1232" s="1" t="s">
        <v>5202</v>
      </c>
      <c r="C1232" s="1" t="s">
        <v>45</v>
      </c>
      <c r="D1232" s="1" t="s">
        <v>18</v>
      </c>
      <c r="E1232" s="1" t="s">
        <v>74</v>
      </c>
      <c r="F1232" s="1" t="s">
        <v>5203</v>
      </c>
      <c r="G1232" s="1" t="s">
        <v>12480</v>
      </c>
      <c r="H1232" s="1" t="s">
        <v>5204</v>
      </c>
      <c r="I1232" s="2">
        <v>56.5</v>
      </c>
      <c r="J1232" s="2">
        <v>-1.42</v>
      </c>
      <c r="K1232" s="2">
        <v>-1.36</v>
      </c>
      <c r="L1232" s="2">
        <v>-1.81</v>
      </c>
      <c r="M1232" s="4">
        <f t="shared" si="114"/>
        <v>-41.544117647058819</v>
      </c>
      <c r="N1232" s="4">
        <f t="shared" si="115"/>
        <v>-31.215469613259668</v>
      </c>
      <c r="O1232" s="5">
        <f t="shared" si="116"/>
        <v>-4.2253521126760396E-2</v>
      </c>
      <c r="P1232" s="5">
        <f t="shared" si="117"/>
        <v>0.33088235294117641</v>
      </c>
      <c r="Q1232" s="4">
        <f t="shared" si="118"/>
        <v>9.8321078431372921</v>
      </c>
      <c r="R1232" s="4">
        <f t="shared" si="119"/>
        <v>-0.94340085942295915</v>
      </c>
      <c r="S1232" s="4"/>
      <c r="T1232" s="2">
        <v>-1.8</v>
      </c>
      <c r="U1232" s="2">
        <v>93.79</v>
      </c>
      <c r="V1232" s="2">
        <v>14.15</v>
      </c>
      <c r="W1232" s="2">
        <v>-10.18</v>
      </c>
      <c r="X1232" s="2">
        <v>-28.42</v>
      </c>
      <c r="Y1232" s="2">
        <v>-12.81</v>
      </c>
      <c r="Z1232" s="2">
        <v>-18.760000000000002</v>
      </c>
    </row>
    <row r="1233" spans="1:26" x14ac:dyDescent="0.25">
      <c r="A1233" s="1" t="s">
        <v>5205</v>
      </c>
      <c r="B1233" s="1" t="s">
        <v>5206</v>
      </c>
      <c r="C1233" s="1" t="s">
        <v>31</v>
      </c>
      <c r="D1233" s="1" t="s">
        <v>38</v>
      </c>
      <c r="E1233" s="1" t="s">
        <v>1755</v>
      </c>
      <c r="F1233" s="1" t="s">
        <v>5207</v>
      </c>
      <c r="G1233" s="1" t="s">
        <v>12490</v>
      </c>
      <c r="H1233" s="1" t="s">
        <v>5208</v>
      </c>
      <c r="I1233" s="2">
        <v>4.2575000000000003</v>
      </c>
      <c r="J1233" s="2"/>
      <c r="K1233" s="2"/>
      <c r="L1233" s="2"/>
      <c r="M1233" s="4" t="e">
        <f t="shared" si="114"/>
        <v>#DIV/0!</v>
      </c>
      <c r="N1233" s="4" t="e">
        <f t="shared" si="115"/>
        <v>#DIV/0!</v>
      </c>
      <c r="O1233" s="5" t="e">
        <f t="shared" si="116"/>
        <v>#DIV/0!</v>
      </c>
      <c r="P1233" s="5" t="e">
        <f t="shared" si="117"/>
        <v>#DIV/0!</v>
      </c>
      <c r="Q1233" s="4" t="e">
        <f t="shared" si="118"/>
        <v>#DIV/0!</v>
      </c>
      <c r="R1233" s="4" t="e">
        <f t="shared" si="119"/>
        <v>#DIV/0!</v>
      </c>
      <c r="S1233" s="4"/>
      <c r="T1233" s="2">
        <v>0.47</v>
      </c>
      <c r="U1233" s="2">
        <v>5.23</v>
      </c>
      <c r="V1233" s="2">
        <v>3.33</v>
      </c>
      <c r="W1233" s="2">
        <v>-7.95</v>
      </c>
      <c r="X1233" s="2">
        <v>-7.95</v>
      </c>
      <c r="Y1233" s="2">
        <v>-0.64</v>
      </c>
      <c r="Z1233" s="2">
        <v>-4.58</v>
      </c>
    </row>
    <row r="1234" spans="1:26" x14ac:dyDescent="0.25">
      <c r="A1234" s="1" t="s">
        <v>5209</v>
      </c>
      <c r="B1234" s="1" t="s">
        <v>5210</v>
      </c>
      <c r="C1234" s="1" t="s">
        <v>16</v>
      </c>
      <c r="D1234" s="1" t="s">
        <v>2417</v>
      </c>
      <c r="E1234" s="1" t="s">
        <v>2418</v>
      </c>
      <c r="F1234" s="1" t="s">
        <v>5211</v>
      </c>
      <c r="G1234" s="1" t="s">
        <v>12480</v>
      </c>
      <c r="H1234" s="1" t="s">
        <v>5212</v>
      </c>
      <c r="I1234" s="2">
        <v>20.65</v>
      </c>
      <c r="J1234" s="2">
        <v>0.95</v>
      </c>
      <c r="K1234" s="2">
        <v>0.79</v>
      </c>
      <c r="L1234" s="2">
        <v>0.9</v>
      </c>
      <c r="M1234" s="4">
        <f t="shared" si="114"/>
        <v>26.139240506329109</v>
      </c>
      <c r="N1234" s="4">
        <f t="shared" si="115"/>
        <v>22.944444444444443</v>
      </c>
      <c r="O1234" s="5">
        <f t="shared" si="116"/>
        <v>-0.16842105263157892</v>
      </c>
      <c r="P1234" s="5">
        <f t="shared" si="117"/>
        <v>0.139240506329114</v>
      </c>
      <c r="Q1234" s="4">
        <f t="shared" si="118"/>
        <v>-1.5520174050632913</v>
      </c>
      <c r="R1234" s="4">
        <f t="shared" si="119"/>
        <v>1.647828282828282</v>
      </c>
      <c r="S1234" s="4">
        <v>7.67</v>
      </c>
      <c r="T1234" s="2" t="s">
        <v>12493</v>
      </c>
      <c r="U1234" s="2" t="s">
        <v>12688</v>
      </c>
      <c r="V1234" s="2">
        <v>9.65</v>
      </c>
      <c r="W1234" s="2">
        <v>-8.39</v>
      </c>
      <c r="X1234" s="2">
        <v>-18.440000000000001</v>
      </c>
      <c r="Y1234" s="2">
        <v>5.14</v>
      </c>
      <c r="Z1234" s="2">
        <v>7.11</v>
      </c>
    </row>
    <row r="1235" spans="1:26" x14ac:dyDescent="0.25">
      <c r="A1235" s="1" t="s">
        <v>5213</v>
      </c>
      <c r="B1235" s="1" t="s">
        <v>5214</v>
      </c>
      <c r="C1235" s="1" t="s">
        <v>16</v>
      </c>
      <c r="D1235" s="1" t="s">
        <v>67</v>
      </c>
      <c r="E1235" s="1" t="s">
        <v>134</v>
      </c>
      <c r="F1235" s="1" t="s">
        <v>5215</v>
      </c>
      <c r="G1235" s="1" t="s">
        <v>12480</v>
      </c>
      <c r="H1235" s="1" t="s">
        <v>12591</v>
      </c>
      <c r="I1235" s="2">
        <v>318.07</v>
      </c>
      <c r="J1235" s="2">
        <v>40.71</v>
      </c>
      <c r="K1235" s="2">
        <v>42.82</v>
      </c>
      <c r="L1235" s="2">
        <v>49.06</v>
      </c>
      <c r="M1235" s="4">
        <f t="shared" si="114"/>
        <v>7.4280709948622139</v>
      </c>
      <c r="N1235" s="4">
        <f t="shared" si="115"/>
        <v>6.4832857725234403</v>
      </c>
      <c r="O1235" s="5">
        <f t="shared" si="116"/>
        <v>5.1830017194792521E-2</v>
      </c>
      <c r="P1235" s="5">
        <f t="shared" si="117"/>
        <v>0.14572629612330701</v>
      </c>
      <c r="Q1235" s="4">
        <f t="shared" si="118"/>
        <v>1.4331600483452143</v>
      </c>
      <c r="R1235" s="4">
        <f t="shared" si="119"/>
        <v>0.44489470637732925</v>
      </c>
      <c r="S1235" s="4">
        <v>13.23</v>
      </c>
      <c r="T1235" s="2">
        <v>0.91</v>
      </c>
      <c r="U1235" s="2">
        <v>488.25</v>
      </c>
      <c r="V1235" s="2">
        <v>318.07</v>
      </c>
      <c r="W1235" s="2">
        <v>-0.7</v>
      </c>
      <c r="X1235" s="2">
        <v>-6.01</v>
      </c>
      <c r="Y1235" s="2">
        <v>-22.2</v>
      </c>
      <c r="Z1235" s="2">
        <v>-19.13</v>
      </c>
    </row>
    <row r="1236" spans="1:26" x14ac:dyDescent="0.25">
      <c r="A1236" s="1" t="s">
        <v>5216</v>
      </c>
      <c r="B1236" s="1" t="s">
        <v>5217</v>
      </c>
      <c r="C1236" s="1" t="s">
        <v>16</v>
      </c>
      <c r="D1236" s="1" t="s">
        <v>25</v>
      </c>
      <c r="E1236" s="1" t="s">
        <v>734</v>
      </c>
      <c r="F1236" s="1" t="s">
        <v>5218</v>
      </c>
      <c r="G1236" s="1" t="s">
        <v>12480</v>
      </c>
      <c r="H1236" s="1" t="s">
        <v>5219</v>
      </c>
      <c r="I1236" s="2">
        <v>10.77</v>
      </c>
      <c r="J1236" s="2">
        <v>1.8</v>
      </c>
      <c r="K1236" s="2">
        <v>1.1000000000000001</v>
      </c>
      <c r="L1236" s="2">
        <v>1.24</v>
      </c>
      <c r="M1236" s="4">
        <f t="shared" si="114"/>
        <v>9.7909090909090892</v>
      </c>
      <c r="N1236" s="4">
        <f t="shared" si="115"/>
        <v>8.685483870967742</v>
      </c>
      <c r="O1236" s="5">
        <f t="shared" si="116"/>
        <v>-0.38888888888888884</v>
      </c>
      <c r="P1236" s="5">
        <f t="shared" si="117"/>
        <v>0.1272727272727272</v>
      </c>
      <c r="Q1236" s="4">
        <f t="shared" si="118"/>
        <v>-0.25176623376623375</v>
      </c>
      <c r="R1236" s="4">
        <f t="shared" si="119"/>
        <v>0.68243087557603732</v>
      </c>
      <c r="S1236" s="4">
        <v>-2.16</v>
      </c>
      <c r="T1236" s="2">
        <v>0.65</v>
      </c>
      <c r="U1236" s="2">
        <v>27.73</v>
      </c>
      <c r="V1236" s="2">
        <v>10.77</v>
      </c>
      <c r="W1236" s="2">
        <v>-8.5</v>
      </c>
      <c r="X1236" s="2">
        <v>-18.899999999999999</v>
      </c>
      <c r="Y1236" s="2">
        <v>-30.07</v>
      </c>
      <c r="Z1236" s="2">
        <v>-28.49</v>
      </c>
    </row>
    <row r="1237" spans="1:26" x14ac:dyDescent="0.25">
      <c r="A1237" s="1" t="s">
        <v>5220</v>
      </c>
      <c r="B1237" s="1" t="s">
        <v>5221</v>
      </c>
      <c r="C1237" s="1" t="s">
        <v>16</v>
      </c>
      <c r="D1237" s="1" t="s">
        <v>140</v>
      </c>
      <c r="E1237" s="1" t="s">
        <v>1555</v>
      </c>
      <c r="F1237" s="1" t="s">
        <v>5222</v>
      </c>
      <c r="G1237" s="1" t="s">
        <v>12480</v>
      </c>
      <c r="H1237" s="1" t="s">
        <v>5223</v>
      </c>
      <c r="I1237" s="2">
        <v>74.8</v>
      </c>
      <c r="J1237" s="2">
        <v>12.22</v>
      </c>
      <c r="K1237" s="2">
        <v>13.87</v>
      </c>
      <c r="L1237" s="2">
        <v>16.46</v>
      </c>
      <c r="M1237" s="4">
        <f t="shared" si="114"/>
        <v>5.3929343907714493</v>
      </c>
      <c r="N1237" s="4">
        <f t="shared" si="115"/>
        <v>4.5443499392466578</v>
      </c>
      <c r="O1237" s="5">
        <f t="shared" si="116"/>
        <v>0.13502454991816681</v>
      </c>
      <c r="P1237" s="5">
        <f t="shared" si="117"/>
        <v>0.1867339581831291</v>
      </c>
      <c r="Q1237" s="4">
        <f t="shared" si="118"/>
        <v>0.39940398942561928</v>
      </c>
      <c r="R1237" s="4">
        <f t="shared" si="119"/>
        <v>0.24335958941062208</v>
      </c>
      <c r="S1237" s="4">
        <v>-23.75</v>
      </c>
      <c r="T1237" s="2">
        <v>0.73</v>
      </c>
      <c r="U1237" s="2">
        <v>100.77</v>
      </c>
      <c r="V1237" s="2">
        <v>67.209999999999994</v>
      </c>
      <c r="W1237" s="2">
        <v>-3.97</v>
      </c>
      <c r="X1237" s="2">
        <v>4.24</v>
      </c>
      <c r="Y1237" s="2">
        <v>-8.3699999999999992</v>
      </c>
      <c r="Z1237" s="2">
        <v>-3.36</v>
      </c>
    </row>
    <row r="1238" spans="1:26" x14ac:dyDescent="0.25">
      <c r="A1238" s="1" t="s">
        <v>5224</v>
      </c>
      <c r="B1238" s="1" t="s">
        <v>5225</v>
      </c>
      <c r="C1238" s="1" t="s">
        <v>16</v>
      </c>
      <c r="D1238" s="1" t="s">
        <v>94</v>
      </c>
      <c r="E1238" s="1" t="s">
        <v>894</v>
      </c>
      <c r="F1238" s="1" t="s">
        <v>5226</v>
      </c>
      <c r="G1238" s="1" t="s">
        <v>12480</v>
      </c>
      <c r="H1238" s="1" t="s">
        <v>2681</v>
      </c>
      <c r="I1238" s="2">
        <v>197.06</v>
      </c>
      <c r="J1238" s="2">
        <v>20.38</v>
      </c>
      <c r="K1238" s="2">
        <v>23.2</v>
      </c>
      <c r="L1238" s="2">
        <v>27.73</v>
      </c>
      <c r="M1238" s="4">
        <f t="shared" si="114"/>
        <v>8.4939655172413797</v>
      </c>
      <c r="N1238" s="4">
        <f t="shared" si="115"/>
        <v>7.1063829787234045</v>
      </c>
      <c r="O1238" s="5">
        <f t="shared" si="116"/>
        <v>0.1383709519136409</v>
      </c>
      <c r="P1238" s="5">
        <f t="shared" si="117"/>
        <v>0.19525862068965516</v>
      </c>
      <c r="Q1238" s="4">
        <f t="shared" si="118"/>
        <v>0.6138546710687206</v>
      </c>
      <c r="R1238" s="4">
        <f t="shared" si="119"/>
        <v>0.36394720774035982</v>
      </c>
      <c r="S1238" s="4">
        <v>48.47</v>
      </c>
      <c r="T1238" s="2">
        <v>0.61</v>
      </c>
      <c r="U1238" s="2">
        <v>222.49</v>
      </c>
      <c r="V1238" s="2">
        <v>158.62</v>
      </c>
      <c r="W1238" s="2">
        <v>-5.77</v>
      </c>
      <c r="X1238" s="2">
        <v>-4.91</v>
      </c>
      <c r="Y1238" s="2">
        <v>-3.63</v>
      </c>
      <c r="Z1238" s="2">
        <v>-5.26</v>
      </c>
    </row>
    <row r="1239" spans="1:26" x14ac:dyDescent="0.25">
      <c r="A1239" s="1" t="s">
        <v>5227</v>
      </c>
      <c r="B1239" s="1" t="s">
        <v>5228</v>
      </c>
      <c r="C1239" s="1" t="s">
        <v>45</v>
      </c>
      <c r="D1239" s="1" t="s">
        <v>88</v>
      </c>
      <c r="E1239" s="1" t="s">
        <v>1113</v>
      </c>
      <c r="F1239" s="1" t="s">
        <v>5229</v>
      </c>
      <c r="G1239" s="1" t="s">
        <v>12480</v>
      </c>
      <c r="H1239" s="1" t="s">
        <v>5230</v>
      </c>
      <c r="I1239" s="2">
        <v>14.94</v>
      </c>
      <c r="J1239" s="2">
        <v>-1.8</v>
      </c>
      <c r="K1239" s="2">
        <v>0.46</v>
      </c>
      <c r="L1239" s="2">
        <v>0.66</v>
      </c>
      <c r="M1239" s="4">
        <f t="shared" si="114"/>
        <v>32.478260869565212</v>
      </c>
      <c r="N1239" s="4">
        <f t="shared" si="115"/>
        <v>22.636363636363633</v>
      </c>
      <c r="O1239" s="5">
        <f t="shared" si="116"/>
        <v>-1.2555555555555555</v>
      </c>
      <c r="P1239" s="5">
        <f t="shared" si="117"/>
        <v>0.43478260869565211</v>
      </c>
      <c r="Q1239" s="4">
        <f t="shared" si="118"/>
        <v>-0.25867641400538666</v>
      </c>
      <c r="R1239" s="4">
        <f t="shared" si="119"/>
        <v>0.52063636363636367</v>
      </c>
      <c r="S1239" s="4">
        <v>-14.93</v>
      </c>
      <c r="T1239" s="2">
        <v>1.46</v>
      </c>
      <c r="U1239" s="2">
        <v>15.83</v>
      </c>
      <c r="V1239" s="2">
        <v>3.3</v>
      </c>
      <c r="W1239" s="2">
        <v>7.17</v>
      </c>
      <c r="X1239" s="2">
        <v>4.7</v>
      </c>
      <c r="Y1239" s="2">
        <v>52.45</v>
      </c>
      <c r="Z1239" s="2">
        <v>52.45</v>
      </c>
    </row>
    <row r="1240" spans="1:26" x14ac:dyDescent="0.25">
      <c r="A1240" s="1" t="s">
        <v>5231</v>
      </c>
      <c r="B1240" s="1" t="s">
        <v>5232</v>
      </c>
      <c r="C1240" s="1" t="s">
        <v>45</v>
      </c>
      <c r="D1240" s="1" t="s">
        <v>32</v>
      </c>
      <c r="E1240" s="1" t="s">
        <v>311</v>
      </c>
      <c r="F1240" s="1" t="s">
        <v>5233</v>
      </c>
      <c r="G1240" s="1" t="s">
        <v>12480</v>
      </c>
      <c r="H1240" s="1" t="s">
        <v>12689</v>
      </c>
      <c r="I1240" s="2">
        <v>3.96</v>
      </c>
      <c r="J1240" s="2">
        <v>0.06</v>
      </c>
      <c r="K1240" s="2">
        <v>0.09</v>
      </c>
      <c r="L1240" s="2">
        <v>0.16</v>
      </c>
      <c r="M1240" s="4">
        <f t="shared" si="114"/>
        <v>44</v>
      </c>
      <c r="N1240" s="4">
        <f t="shared" si="115"/>
        <v>24.75</v>
      </c>
      <c r="O1240" s="5">
        <f t="shared" si="116"/>
        <v>0.5</v>
      </c>
      <c r="P1240" s="5">
        <f t="shared" si="117"/>
        <v>0.7777777777777779</v>
      </c>
      <c r="Q1240" s="4">
        <f t="shared" si="118"/>
        <v>0.88</v>
      </c>
      <c r="R1240" s="4">
        <f t="shared" si="119"/>
        <v>0.31821428571428567</v>
      </c>
      <c r="S1240" s="4">
        <v>20.49</v>
      </c>
      <c r="T1240" s="2">
        <v>0.93</v>
      </c>
      <c r="U1240" s="2">
        <v>6.45</v>
      </c>
      <c r="V1240" s="2">
        <v>3.48</v>
      </c>
      <c r="W1240" s="2">
        <v>-5.26</v>
      </c>
      <c r="X1240" s="2">
        <v>-7.04</v>
      </c>
      <c r="Y1240" s="2">
        <v>-21.12</v>
      </c>
      <c r="Z1240" s="2">
        <v>-20.64</v>
      </c>
    </row>
    <row r="1241" spans="1:26" x14ac:dyDescent="0.25">
      <c r="A1241" s="1" t="s">
        <v>5234</v>
      </c>
      <c r="B1241" s="1" t="s">
        <v>5235</v>
      </c>
      <c r="C1241" s="1" t="s">
        <v>45</v>
      </c>
      <c r="D1241" s="1" t="s">
        <v>18</v>
      </c>
      <c r="E1241" s="1" t="s">
        <v>74</v>
      </c>
      <c r="F1241" s="1" t="s">
        <v>5236</v>
      </c>
      <c r="G1241" s="1" t="s">
        <v>12480</v>
      </c>
      <c r="H1241" s="1" t="s">
        <v>5237</v>
      </c>
      <c r="I1241" s="2">
        <v>49.82</v>
      </c>
      <c r="J1241" s="2">
        <v>-11.11</v>
      </c>
      <c r="K1241" s="2">
        <v>-11.52</v>
      </c>
      <c r="L1241" s="2">
        <v>-10.52</v>
      </c>
      <c r="M1241" s="4">
        <f t="shared" si="114"/>
        <v>-4.3246527777777777</v>
      </c>
      <c r="N1241" s="4">
        <f t="shared" si="115"/>
        <v>-4.7357414448669202</v>
      </c>
      <c r="O1241" s="5">
        <f t="shared" si="116"/>
        <v>3.6903690369036957E-2</v>
      </c>
      <c r="P1241" s="5">
        <f t="shared" si="117"/>
        <v>-8.680555555555558E-2</v>
      </c>
      <c r="Q1241" s="4">
        <f t="shared" si="118"/>
        <v>-1.1718754234417328</v>
      </c>
      <c r="R1241" s="4">
        <f t="shared" si="119"/>
        <v>0.54555741444866912</v>
      </c>
      <c r="S1241" s="4">
        <v>17.18</v>
      </c>
      <c r="T1241" s="2">
        <v>5.18</v>
      </c>
      <c r="U1241" s="2">
        <v>116.06</v>
      </c>
      <c r="V1241" s="2">
        <v>21.39</v>
      </c>
      <c r="W1241" s="2">
        <v>-5.34</v>
      </c>
      <c r="X1241" s="2">
        <v>-50.38</v>
      </c>
      <c r="Y1241" s="2">
        <v>-45.28</v>
      </c>
      <c r="Z1241" s="2">
        <v>-41.79</v>
      </c>
    </row>
    <row r="1242" spans="1:26" x14ac:dyDescent="0.25">
      <c r="A1242" s="1" t="s">
        <v>5238</v>
      </c>
      <c r="B1242" s="1" t="s">
        <v>5239</v>
      </c>
      <c r="C1242" s="1" t="s">
        <v>16</v>
      </c>
      <c r="D1242" s="1" t="s">
        <v>61</v>
      </c>
      <c r="E1242" s="1" t="s">
        <v>2394</v>
      </c>
      <c r="F1242" s="1" t="s">
        <v>5240</v>
      </c>
      <c r="G1242" s="1" t="s">
        <v>12480</v>
      </c>
      <c r="H1242" s="1" t="s">
        <v>2586</v>
      </c>
      <c r="I1242" s="2">
        <v>66.98</v>
      </c>
      <c r="J1242" s="2">
        <v>7.07</v>
      </c>
      <c r="K1242" s="2">
        <v>6.89</v>
      </c>
      <c r="L1242" s="2"/>
      <c r="M1242" s="4">
        <f t="shared" si="114"/>
        <v>9.7213352685050811</v>
      </c>
      <c r="N1242" s="4" t="e">
        <f t="shared" si="115"/>
        <v>#DIV/0!</v>
      </c>
      <c r="O1242" s="5">
        <f t="shared" si="116"/>
        <v>-2.5459688826025562E-2</v>
      </c>
      <c r="P1242" s="5">
        <f t="shared" si="117"/>
        <v>-1</v>
      </c>
      <c r="Q1242" s="4">
        <f t="shared" si="118"/>
        <v>-3.8183244637961473</v>
      </c>
      <c r="R1242" s="4" t="e">
        <f t="shared" si="119"/>
        <v>#DIV/0!</v>
      </c>
      <c r="S1242" s="4">
        <v>-0.02</v>
      </c>
      <c r="T1242" s="2">
        <v>1.99</v>
      </c>
      <c r="U1242" s="2">
        <v>80.59</v>
      </c>
      <c r="V1242" s="2">
        <v>53.49</v>
      </c>
      <c r="W1242" s="2">
        <v>-7.49</v>
      </c>
      <c r="X1242" s="2">
        <v>-10.42</v>
      </c>
      <c r="Y1242" s="2">
        <v>1.36</v>
      </c>
      <c r="Z1242" s="2">
        <v>6.89</v>
      </c>
    </row>
    <row r="1243" spans="1:26" x14ac:dyDescent="0.25">
      <c r="A1243" s="1" t="s">
        <v>5241</v>
      </c>
      <c r="B1243" s="1" t="s">
        <v>5242</v>
      </c>
      <c r="C1243" s="1" t="s">
        <v>16</v>
      </c>
      <c r="D1243" s="1" t="s">
        <v>25</v>
      </c>
      <c r="E1243" s="1" t="s">
        <v>220</v>
      </c>
      <c r="F1243" s="1" t="s">
        <v>5243</v>
      </c>
      <c r="G1243" s="1" t="s">
        <v>12480</v>
      </c>
      <c r="H1243" s="1" t="s">
        <v>3024</v>
      </c>
      <c r="I1243" s="2">
        <v>61.68</v>
      </c>
      <c r="J1243" s="2">
        <v>2.14</v>
      </c>
      <c r="K1243" s="2">
        <v>2.3199999999999998</v>
      </c>
      <c r="L1243" s="2">
        <v>2.59</v>
      </c>
      <c r="M1243" s="4">
        <f t="shared" si="114"/>
        <v>26.586206896551726</v>
      </c>
      <c r="N1243" s="4">
        <f t="shared" si="115"/>
        <v>23.814671814671815</v>
      </c>
      <c r="O1243" s="5">
        <f t="shared" si="116"/>
        <v>8.4112149532710179E-2</v>
      </c>
      <c r="P1243" s="5">
        <f t="shared" si="117"/>
        <v>0.11637931034482762</v>
      </c>
      <c r="Q1243" s="4">
        <f t="shared" si="118"/>
        <v>3.1608045977011536</v>
      </c>
      <c r="R1243" s="4">
        <f t="shared" si="119"/>
        <v>2.046297726297726</v>
      </c>
      <c r="S1243" s="4">
        <v>3.44</v>
      </c>
      <c r="T1243" s="2">
        <v>1.27</v>
      </c>
      <c r="U1243" s="2">
        <v>67.400000000000006</v>
      </c>
      <c r="V1243" s="2">
        <v>31.36</v>
      </c>
      <c r="W1243" s="2">
        <v>-5.57</v>
      </c>
      <c r="X1243" s="2">
        <v>-6.45</v>
      </c>
      <c r="Y1243" s="2">
        <v>22.31</v>
      </c>
      <c r="Z1243" s="2">
        <v>29.17</v>
      </c>
    </row>
    <row r="1244" spans="1:26" x14ac:dyDescent="0.25">
      <c r="A1244" s="1" t="s">
        <v>5244</v>
      </c>
      <c r="B1244" s="1" t="s">
        <v>5245</v>
      </c>
      <c r="C1244" s="1" t="s">
        <v>16</v>
      </c>
      <c r="D1244" s="1" t="s">
        <v>18</v>
      </c>
      <c r="E1244" s="1" t="s">
        <v>780</v>
      </c>
      <c r="F1244" s="1" t="s">
        <v>5246</v>
      </c>
      <c r="G1244" s="1" t="s">
        <v>12480</v>
      </c>
      <c r="H1244" s="1" t="s">
        <v>5247</v>
      </c>
      <c r="I1244" s="2">
        <v>32.340000000000003</v>
      </c>
      <c r="J1244" s="2">
        <v>-0.06</v>
      </c>
      <c r="K1244" s="2">
        <v>1.1000000000000001</v>
      </c>
      <c r="L1244" s="2">
        <v>1.24</v>
      </c>
      <c r="M1244" s="4">
        <f t="shared" si="114"/>
        <v>29.400000000000002</v>
      </c>
      <c r="N1244" s="4">
        <f t="shared" si="115"/>
        <v>26.080645161290324</v>
      </c>
      <c r="O1244" s="5">
        <f t="shared" si="116"/>
        <v>-19.333333333333336</v>
      </c>
      <c r="P1244" s="5">
        <f t="shared" si="117"/>
        <v>0.1272727272727272</v>
      </c>
      <c r="Q1244" s="4">
        <f t="shared" si="118"/>
        <v>-1.5206896551724138E-2</v>
      </c>
      <c r="R1244" s="4">
        <f t="shared" si="119"/>
        <v>2.0491935483870982</v>
      </c>
      <c r="S1244" s="4">
        <v>17.420000000000002</v>
      </c>
      <c r="T1244" s="2">
        <v>0.86</v>
      </c>
      <c r="U1244" s="2">
        <v>34.76</v>
      </c>
      <c r="V1244" s="2">
        <v>18.32</v>
      </c>
      <c r="W1244" s="2">
        <v>-3.92</v>
      </c>
      <c r="X1244" s="2">
        <v>-5.13</v>
      </c>
      <c r="Y1244" s="2">
        <v>6.24</v>
      </c>
      <c r="Z1244" s="2">
        <v>7.48</v>
      </c>
    </row>
    <row r="1245" spans="1:26" x14ac:dyDescent="0.25">
      <c r="A1245" s="1" t="s">
        <v>5248</v>
      </c>
      <c r="B1245" s="1" t="s">
        <v>5249</v>
      </c>
      <c r="C1245" s="1" t="s">
        <v>16</v>
      </c>
      <c r="D1245" s="1" t="s">
        <v>32</v>
      </c>
      <c r="E1245" s="1" t="s">
        <v>1607</v>
      </c>
      <c r="F1245" s="1" t="s">
        <v>5250</v>
      </c>
      <c r="G1245" s="1" t="s">
        <v>12480</v>
      </c>
      <c r="H1245" s="1" t="s">
        <v>5251</v>
      </c>
      <c r="I1245" s="2">
        <v>242.63</v>
      </c>
      <c r="J1245" s="2">
        <v>8.56</v>
      </c>
      <c r="K1245" s="2">
        <v>9.4</v>
      </c>
      <c r="L1245" s="2">
        <v>10.09</v>
      </c>
      <c r="M1245" s="4">
        <f t="shared" si="114"/>
        <v>25.811702127659572</v>
      </c>
      <c r="N1245" s="4">
        <f t="shared" si="115"/>
        <v>24.046580773042617</v>
      </c>
      <c r="O1245" s="5">
        <f t="shared" si="116"/>
        <v>9.8130841121495394E-2</v>
      </c>
      <c r="P1245" s="5">
        <f t="shared" si="117"/>
        <v>7.3404255319148959E-2</v>
      </c>
      <c r="Q1245" s="4">
        <f t="shared" si="118"/>
        <v>2.630335359675783</v>
      </c>
      <c r="R1245" s="4">
        <f t="shared" si="119"/>
        <v>3.2759110038637758</v>
      </c>
      <c r="S1245" s="4">
        <v>15.06</v>
      </c>
      <c r="T1245" s="2">
        <v>0.94</v>
      </c>
      <c r="U1245" s="2">
        <v>259.77</v>
      </c>
      <c r="V1245" s="2">
        <v>173.63</v>
      </c>
      <c r="W1245" s="2">
        <v>-4.91</v>
      </c>
      <c r="X1245" s="2">
        <v>17.760000000000002</v>
      </c>
      <c r="Y1245" s="2">
        <v>17.079999999999998</v>
      </c>
      <c r="Z1245" s="2">
        <v>19.61</v>
      </c>
    </row>
    <row r="1246" spans="1:26" x14ac:dyDescent="0.25">
      <c r="A1246" s="1" t="s">
        <v>5252</v>
      </c>
      <c r="B1246" s="1" t="s">
        <v>5253</v>
      </c>
      <c r="C1246" s="1" t="s">
        <v>16</v>
      </c>
      <c r="D1246" s="1" t="s">
        <v>32</v>
      </c>
      <c r="E1246" s="1" t="s">
        <v>311</v>
      </c>
      <c r="F1246" s="1" t="s">
        <v>5254</v>
      </c>
      <c r="G1246" s="1" t="s">
        <v>12480</v>
      </c>
      <c r="H1246" s="1" t="s">
        <v>5255</v>
      </c>
      <c r="I1246" s="2">
        <v>11.98</v>
      </c>
      <c r="J1246" s="2">
        <v>0.43</v>
      </c>
      <c r="K1246" s="2">
        <v>0.55000000000000004</v>
      </c>
      <c r="L1246" s="2">
        <v>0.67</v>
      </c>
      <c r="M1246" s="4">
        <f t="shared" si="114"/>
        <v>21.781818181818181</v>
      </c>
      <c r="N1246" s="4">
        <f t="shared" si="115"/>
        <v>17.880597014925371</v>
      </c>
      <c r="O1246" s="5">
        <f t="shared" si="116"/>
        <v>0.27906976744186052</v>
      </c>
      <c r="P1246" s="5">
        <f t="shared" si="117"/>
        <v>0.21818181818181825</v>
      </c>
      <c r="Q1246" s="4">
        <f t="shared" si="118"/>
        <v>0.78051515151515127</v>
      </c>
      <c r="R1246" s="4">
        <f t="shared" si="119"/>
        <v>0.81952736318407915</v>
      </c>
      <c r="S1246" s="4">
        <v>27.64</v>
      </c>
      <c r="T1246" s="2">
        <v>0.23</v>
      </c>
      <c r="U1246" s="2">
        <v>24.73</v>
      </c>
      <c r="V1246" s="2">
        <v>9.85</v>
      </c>
      <c r="W1246" s="2">
        <v>4.08</v>
      </c>
      <c r="X1246" s="2">
        <v>13.99</v>
      </c>
      <c r="Y1246" s="2">
        <v>-8.41</v>
      </c>
      <c r="Z1246" s="2">
        <v>-11.52</v>
      </c>
    </row>
    <row r="1247" spans="1:26" x14ac:dyDescent="0.25">
      <c r="A1247" s="1" t="s">
        <v>5256</v>
      </c>
      <c r="B1247" s="1" t="s">
        <v>5257</v>
      </c>
      <c r="C1247" s="1" t="s">
        <v>31</v>
      </c>
      <c r="D1247" s="1" t="s">
        <v>147</v>
      </c>
      <c r="E1247" s="1" t="s">
        <v>1931</v>
      </c>
      <c r="F1247" s="1" t="s">
        <v>5258</v>
      </c>
      <c r="G1247" s="1" t="s">
        <v>12490</v>
      </c>
      <c r="H1247" s="1" t="s">
        <v>5259</v>
      </c>
      <c r="I1247" s="2">
        <v>19.61</v>
      </c>
      <c r="J1247" s="2">
        <v>0.66</v>
      </c>
      <c r="K1247" s="2"/>
      <c r="L1247" s="2"/>
      <c r="M1247" s="4" t="e">
        <f t="shared" si="114"/>
        <v>#DIV/0!</v>
      </c>
      <c r="N1247" s="4" t="e">
        <f t="shared" si="115"/>
        <v>#DIV/0!</v>
      </c>
      <c r="O1247" s="5">
        <f t="shared" si="116"/>
        <v>-1</v>
      </c>
      <c r="P1247" s="5" t="e">
        <f t="shared" si="117"/>
        <v>#DIV/0!</v>
      </c>
      <c r="Q1247" s="4" t="e">
        <f t="shared" si="118"/>
        <v>#DIV/0!</v>
      </c>
      <c r="R1247" s="4" t="e">
        <f t="shared" si="119"/>
        <v>#DIV/0!</v>
      </c>
      <c r="S1247" s="4">
        <v>11.02</v>
      </c>
      <c r="T1247" s="2">
        <v>-0.24</v>
      </c>
      <c r="U1247" s="2">
        <v>19.61</v>
      </c>
      <c r="V1247" s="2">
        <v>19.61</v>
      </c>
      <c r="W1247" s="2" t="s">
        <v>12489</v>
      </c>
      <c r="X1247" s="2" t="s">
        <v>12489</v>
      </c>
      <c r="Y1247" s="2" t="s">
        <v>12489</v>
      </c>
      <c r="Z1247" s="2" t="s">
        <v>12489</v>
      </c>
    </row>
    <row r="1248" spans="1:26" x14ac:dyDescent="0.25">
      <c r="A1248" s="1" t="s">
        <v>5260</v>
      </c>
      <c r="B1248" s="1" t="s">
        <v>5261</v>
      </c>
      <c r="C1248" s="1" t="s">
        <v>16</v>
      </c>
      <c r="D1248" s="1" t="s">
        <v>38</v>
      </c>
      <c r="E1248" s="1" t="s">
        <v>1408</v>
      </c>
      <c r="F1248" s="1" t="s">
        <v>5262</v>
      </c>
      <c r="G1248" s="1" t="s">
        <v>12480</v>
      </c>
      <c r="H1248" s="1" t="s">
        <v>5263</v>
      </c>
      <c r="I1248" s="2">
        <v>832.03</v>
      </c>
      <c r="J1248" s="2">
        <v>51.32</v>
      </c>
      <c r="K1248" s="2">
        <v>56.6</v>
      </c>
      <c r="L1248" s="2">
        <v>62.65</v>
      </c>
      <c r="M1248" s="4">
        <f t="shared" si="114"/>
        <v>14.70017667844523</v>
      </c>
      <c r="N1248" s="4">
        <f t="shared" si="115"/>
        <v>13.280606544293695</v>
      </c>
      <c r="O1248" s="5">
        <f t="shared" si="116"/>
        <v>0.10288386593920507</v>
      </c>
      <c r="P1248" s="5">
        <f t="shared" si="117"/>
        <v>0.10689045936395747</v>
      </c>
      <c r="Q1248" s="4">
        <f t="shared" si="118"/>
        <v>1.4288126271549406</v>
      </c>
      <c r="R1248" s="4">
        <f t="shared" si="119"/>
        <v>1.2424501329041719</v>
      </c>
      <c r="S1248" s="4">
        <v>-1.38</v>
      </c>
      <c r="T1248" s="2">
        <v>1.34</v>
      </c>
      <c r="U1248" s="2">
        <v>975.86</v>
      </c>
      <c r="V1248" s="2">
        <v>462.22</v>
      </c>
      <c r="W1248" s="2">
        <v>-3.44</v>
      </c>
      <c r="X1248" s="2">
        <v>-11.83</v>
      </c>
      <c r="Y1248" s="2">
        <v>-6.47</v>
      </c>
      <c r="Z1248" s="2">
        <v>-5.34</v>
      </c>
    </row>
    <row r="1249" spans="1:26" x14ac:dyDescent="0.25">
      <c r="A1249" s="1" t="s">
        <v>5265</v>
      </c>
      <c r="B1249" s="1" t="s">
        <v>5266</v>
      </c>
      <c r="C1249" s="1" t="s">
        <v>45</v>
      </c>
      <c r="D1249" s="1" t="s">
        <v>32</v>
      </c>
      <c r="E1249" s="1" t="s">
        <v>5062</v>
      </c>
      <c r="F1249" s="1" t="s">
        <v>5267</v>
      </c>
      <c r="G1249" s="1" t="s">
        <v>12480</v>
      </c>
      <c r="H1249" s="1" t="s">
        <v>5268</v>
      </c>
      <c r="I1249" s="2">
        <v>56.66</v>
      </c>
      <c r="J1249" s="2">
        <v>-0.1</v>
      </c>
      <c r="K1249" s="2">
        <v>0.03</v>
      </c>
      <c r="L1249" s="2">
        <v>0.28999999999999998</v>
      </c>
      <c r="M1249" s="4">
        <f t="shared" si="114"/>
        <v>1888.6666666666665</v>
      </c>
      <c r="N1249" s="4">
        <f t="shared" si="115"/>
        <v>195.37931034482759</v>
      </c>
      <c r="O1249" s="5">
        <f t="shared" si="116"/>
        <v>-1.3</v>
      </c>
      <c r="P1249" s="5">
        <f t="shared" si="117"/>
        <v>8.6666666666666661</v>
      </c>
      <c r="Q1249" s="4">
        <f t="shared" si="118"/>
        <v>-14.528205128205126</v>
      </c>
      <c r="R1249" s="4">
        <f t="shared" si="119"/>
        <v>0.22543766578249338</v>
      </c>
      <c r="S1249" s="4">
        <v>9.0399999999999991</v>
      </c>
      <c r="T1249" s="2">
        <v>1.43</v>
      </c>
      <c r="U1249" s="2">
        <v>73.680000000000007</v>
      </c>
      <c r="V1249" s="2">
        <v>17.579999999999998</v>
      </c>
      <c r="W1249" s="2">
        <v>-8.61</v>
      </c>
      <c r="X1249" s="2">
        <v>-3.77</v>
      </c>
      <c r="Y1249" s="2">
        <v>-17.940000000000001</v>
      </c>
      <c r="Z1249" s="2">
        <v>-7.18</v>
      </c>
    </row>
    <row r="1250" spans="1:26" x14ac:dyDescent="0.25">
      <c r="A1250" s="1" t="s">
        <v>5270</v>
      </c>
      <c r="B1250" s="1" t="s">
        <v>5271</v>
      </c>
      <c r="C1250" s="1" t="s">
        <v>16</v>
      </c>
      <c r="D1250" s="1" t="s">
        <v>38</v>
      </c>
      <c r="E1250" s="1" t="s">
        <v>712</v>
      </c>
      <c r="F1250" s="1" t="s">
        <v>5272</v>
      </c>
      <c r="G1250" s="1" t="s">
        <v>12480</v>
      </c>
      <c r="H1250" s="1" t="s">
        <v>5273</v>
      </c>
      <c r="I1250" s="2">
        <v>9.15</v>
      </c>
      <c r="J1250" s="2">
        <v>1.57</v>
      </c>
      <c r="K1250" s="2">
        <v>1.27</v>
      </c>
      <c r="L1250" s="2">
        <v>1.2</v>
      </c>
      <c r="M1250" s="4">
        <f t="shared" si="114"/>
        <v>7.2047244094488194</v>
      </c>
      <c r="N1250" s="4">
        <f t="shared" si="115"/>
        <v>7.6250000000000009</v>
      </c>
      <c r="O1250" s="5">
        <f t="shared" si="116"/>
        <v>-0.19108280254777077</v>
      </c>
      <c r="P1250" s="5">
        <f t="shared" si="117"/>
        <v>-5.5118110236220486E-2</v>
      </c>
      <c r="Q1250" s="4">
        <f t="shared" si="118"/>
        <v>-0.37704724409448803</v>
      </c>
      <c r="R1250" s="4">
        <f t="shared" si="119"/>
        <v>-1.3833928571428571</v>
      </c>
      <c r="S1250" s="4">
        <v>-15.84</v>
      </c>
      <c r="T1250" s="2">
        <v>0.62</v>
      </c>
      <c r="U1250" s="2">
        <v>12.4</v>
      </c>
      <c r="V1250" s="2">
        <v>8.9600000000000009</v>
      </c>
      <c r="W1250" s="2">
        <v>-0.11</v>
      </c>
      <c r="X1250" s="2">
        <v>-2.0299999999999998</v>
      </c>
      <c r="Y1250" s="2">
        <v>-6.82</v>
      </c>
      <c r="Z1250" s="2">
        <v>-1.4</v>
      </c>
    </row>
    <row r="1251" spans="1:26" x14ac:dyDescent="0.25">
      <c r="A1251" s="1" t="s">
        <v>5274</v>
      </c>
      <c r="B1251" s="1" t="s">
        <v>5275</v>
      </c>
      <c r="C1251" s="1" t="s">
        <v>45</v>
      </c>
      <c r="D1251" s="1" t="s">
        <v>38</v>
      </c>
      <c r="E1251" s="1" t="s">
        <v>254</v>
      </c>
      <c r="F1251" s="1" t="s">
        <v>5276</v>
      </c>
      <c r="G1251" s="1" t="s">
        <v>12480</v>
      </c>
      <c r="H1251" s="1" t="s">
        <v>5277</v>
      </c>
      <c r="I1251" s="2">
        <v>47.89</v>
      </c>
      <c r="J1251" s="2">
        <v>1.86</v>
      </c>
      <c r="K1251" s="2">
        <v>2.0699999999999998</v>
      </c>
      <c r="L1251" s="2">
        <v>2.61</v>
      </c>
      <c r="M1251" s="4">
        <f t="shared" si="114"/>
        <v>23.135265700483092</v>
      </c>
      <c r="N1251" s="4">
        <f t="shared" si="115"/>
        <v>18.348659003831418</v>
      </c>
      <c r="O1251" s="5">
        <f t="shared" si="116"/>
        <v>0.11290322580645151</v>
      </c>
      <c r="P1251" s="5">
        <f t="shared" si="117"/>
        <v>0.26086956521739135</v>
      </c>
      <c r="Q1251" s="4">
        <f t="shared" si="118"/>
        <v>2.0491235334713616</v>
      </c>
      <c r="R1251" s="4">
        <f t="shared" si="119"/>
        <v>0.70336526181353753</v>
      </c>
      <c r="S1251" s="4">
        <v>16.149999999999999</v>
      </c>
      <c r="T1251" s="2">
        <v>1.57</v>
      </c>
      <c r="U1251" s="2">
        <v>121.83</v>
      </c>
      <c r="V1251" s="2">
        <v>43.75</v>
      </c>
      <c r="W1251" s="2">
        <v>-13.45</v>
      </c>
      <c r="X1251" s="2">
        <v>-16.64</v>
      </c>
      <c r="Y1251" s="2">
        <v>-37.29</v>
      </c>
      <c r="Z1251" s="2">
        <v>-34.979999999999997</v>
      </c>
    </row>
    <row r="1252" spans="1:26" x14ac:dyDescent="0.25">
      <c r="A1252" s="1" t="s">
        <v>5278</v>
      </c>
      <c r="B1252" s="1" t="s">
        <v>5279</v>
      </c>
      <c r="C1252" s="1" t="s">
        <v>16</v>
      </c>
      <c r="D1252" s="1" t="s">
        <v>18</v>
      </c>
      <c r="E1252" s="1" t="s">
        <v>74</v>
      </c>
      <c r="F1252" s="1" t="s">
        <v>5280</v>
      </c>
      <c r="G1252" s="1" t="s">
        <v>12480</v>
      </c>
      <c r="H1252" s="1" t="s">
        <v>5281</v>
      </c>
      <c r="I1252" s="2">
        <v>55.51</v>
      </c>
      <c r="J1252" s="2">
        <v>4.54</v>
      </c>
      <c r="K1252" s="2">
        <v>4.84</v>
      </c>
      <c r="L1252" s="2">
        <v>5.09</v>
      </c>
      <c r="M1252" s="4">
        <f t="shared" si="114"/>
        <v>11.46900826446281</v>
      </c>
      <c r="N1252" s="4">
        <f t="shared" si="115"/>
        <v>10.905697445972494</v>
      </c>
      <c r="O1252" s="5">
        <f t="shared" si="116"/>
        <v>6.6079295154185091E-2</v>
      </c>
      <c r="P1252" s="5">
        <f t="shared" si="117"/>
        <v>5.1652892561983466E-2</v>
      </c>
      <c r="Q1252" s="4">
        <f t="shared" si="118"/>
        <v>1.7356432506887034</v>
      </c>
      <c r="R1252" s="4">
        <f t="shared" si="119"/>
        <v>2.111343025540275</v>
      </c>
      <c r="S1252" s="4">
        <v>7.42</v>
      </c>
      <c r="T1252" s="2">
        <v>0.44</v>
      </c>
      <c r="U1252" s="2">
        <v>61.18</v>
      </c>
      <c r="V1252" s="2">
        <v>33.6</v>
      </c>
      <c r="W1252" s="2">
        <v>-4.7699999999999996</v>
      </c>
      <c r="X1252" s="2">
        <v>-5.93</v>
      </c>
      <c r="Y1252" s="2">
        <v>12.73</v>
      </c>
      <c r="Z1252" s="2">
        <v>13.19</v>
      </c>
    </row>
    <row r="1253" spans="1:26" x14ac:dyDescent="0.25">
      <c r="A1253" s="1" t="s">
        <v>5282</v>
      </c>
      <c r="B1253" s="1" t="s">
        <v>5283</v>
      </c>
      <c r="C1253" s="1" t="s">
        <v>16</v>
      </c>
      <c r="D1253" s="1" t="s">
        <v>46</v>
      </c>
      <c r="E1253" s="1" t="s">
        <v>770</v>
      </c>
      <c r="F1253" s="1" t="s">
        <v>5284</v>
      </c>
      <c r="G1253" s="1" t="s">
        <v>12480</v>
      </c>
      <c r="H1253" s="1" t="s">
        <v>5285</v>
      </c>
      <c r="I1253" s="2">
        <v>39.15</v>
      </c>
      <c r="J1253" s="2">
        <v>10.26</v>
      </c>
      <c r="K1253" s="2">
        <v>9.68</v>
      </c>
      <c r="L1253" s="2">
        <v>10.93</v>
      </c>
      <c r="M1253" s="4">
        <f t="shared" si="114"/>
        <v>4.044421487603306</v>
      </c>
      <c r="N1253" s="4">
        <f t="shared" si="115"/>
        <v>3.5818847209515097</v>
      </c>
      <c r="O1253" s="5">
        <f t="shared" si="116"/>
        <v>-5.6530214424951319E-2</v>
      </c>
      <c r="P1253" s="5">
        <f t="shared" si="117"/>
        <v>0.12913223140495877</v>
      </c>
      <c r="Q1253" s="4">
        <f t="shared" si="118"/>
        <v>-0.71544421487603238</v>
      </c>
      <c r="R1253" s="4">
        <f t="shared" si="119"/>
        <v>0.2773811527904847</v>
      </c>
      <c r="S1253" s="4">
        <v>7.79</v>
      </c>
      <c r="T1253" s="2">
        <v>0.88</v>
      </c>
      <c r="U1253" s="2">
        <v>41.1</v>
      </c>
      <c r="V1253" s="2">
        <v>18.25</v>
      </c>
      <c r="W1253" s="2">
        <v>-4.74</v>
      </c>
      <c r="X1253" s="2">
        <v>4.96</v>
      </c>
      <c r="Y1253" s="2">
        <v>18.100000000000001</v>
      </c>
      <c r="Z1253" s="2">
        <v>11.73</v>
      </c>
    </row>
    <row r="1254" spans="1:26" x14ac:dyDescent="0.25">
      <c r="A1254" s="1" t="s">
        <v>5286</v>
      </c>
      <c r="B1254" s="1" t="s">
        <v>5287</v>
      </c>
      <c r="C1254" s="1" t="s">
        <v>45</v>
      </c>
      <c r="D1254" s="1" t="s">
        <v>305</v>
      </c>
      <c r="E1254" s="1" t="s">
        <v>5289</v>
      </c>
      <c r="F1254" s="1" t="s">
        <v>5288</v>
      </c>
      <c r="G1254" s="1" t="s">
        <v>12480</v>
      </c>
      <c r="H1254" s="1" t="s">
        <v>5290</v>
      </c>
      <c r="I1254" s="2">
        <v>7.37</v>
      </c>
      <c r="J1254" s="2">
        <v>0.47</v>
      </c>
      <c r="K1254" s="2">
        <v>0.62</v>
      </c>
      <c r="L1254" s="2">
        <v>1.19</v>
      </c>
      <c r="M1254" s="4">
        <f t="shared" si="114"/>
        <v>11.887096774193548</v>
      </c>
      <c r="N1254" s="4">
        <f t="shared" si="115"/>
        <v>6.1932773109243699</v>
      </c>
      <c r="O1254" s="5">
        <f t="shared" si="116"/>
        <v>0.31914893617021289</v>
      </c>
      <c r="P1254" s="5">
        <f t="shared" si="117"/>
        <v>0.91935483870967727</v>
      </c>
      <c r="Q1254" s="4">
        <f t="shared" si="118"/>
        <v>0.37246236559139773</v>
      </c>
      <c r="R1254" s="4">
        <f t="shared" si="119"/>
        <v>6.7365472504791399E-2</v>
      </c>
      <c r="S1254" s="4">
        <v>-3.17</v>
      </c>
      <c r="T1254" s="2">
        <v>1.1200000000000001</v>
      </c>
      <c r="U1254" s="2">
        <v>11.94</v>
      </c>
      <c r="V1254" s="2">
        <v>6.71</v>
      </c>
      <c r="W1254" s="2">
        <v>-10.67</v>
      </c>
      <c r="X1254" s="2">
        <v>-29.94</v>
      </c>
      <c r="Y1254" s="2">
        <v>-18.2</v>
      </c>
      <c r="Z1254" s="2">
        <v>-15.87</v>
      </c>
    </row>
    <row r="1255" spans="1:26" x14ac:dyDescent="0.25">
      <c r="A1255" s="1" t="s">
        <v>5291</v>
      </c>
      <c r="B1255" s="1" t="s">
        <v>5292</v>
      </c>
      <c r="C1255" s="1" t="s">
        <v>31</v>
      </c>
      <c r="D1255" s="1" t="s">
        <v>18</v>
      </c>
      <c r="E1255" s="1" t="s">
        <v>19</v>
      </c>
      <c r="F1255" s="1" t="s">
        <v>5293</v>
      </c>
      <c r="G1255" s="1" t="s">
        <v>12480</v>
      </c>
      <c r="H1255" s="1" t="s">
        <v>5294</v>
      </c>
      <c r="I1255" s="2">
        <v>6.5</v>
      </c>
      <c r="J1255" s="2">
        <v>0.48</v>
      </c>
      <c r="K1255" s="2">
        <v>0.06</v>
      </c>
      <c r="L1255" s="2">
        <v>0.22</v>
      </c>
      <c r="M1255" s="4">
        <f t="shared" si="114"/>
        <v>108.33333333333334</v>
      </c>
      <c r="N1255" s="4">
        <f t="shared" si="115"/>
        <v>29.545454545454547</v>
      </c>
      <c r="O1255" s="5">
        <f t="shared" si="116"/>
        <v>-0.875</v>
      </c>
      <c r="P1255" s="5">
        <f t="shared" si="117"/>
        <v>2.666666666666667</v>
      </c>
      <c r="Q1255" s="4">
        <f t="shared" si="118"/>
        <v>-1.2380952380952381</v>
      </c>
      <c r="R1255" s="4">
        <f t="shared" si="119"/>
        <v>0.11079545454545454</v>
      </c>
      <c r="S1255" s="4">
        <v>3.36</v>
      </c>
      <c r="T1255" s="2">
        <v>1.1499999999999999</v>
      </c>
      <c r="U1255" s="2">
        <v>9.69</v>
      </c>
      <c r="V1255" s="2">
        <v>4.8099999999999996</v>
      </c>
      <c r="W1255" s="2">
        <v>1.72</v>
      </c>
      <c r="X1255" s="2">
        <v>-7.14</v>
      </c>
      <c r="Y1255" s="2">
        <v>-22.57</v>
      </c>
      <c r="Z1255" s="2">
        <v>-19.12</v>
      </c>
    </row>
    <row r="1256" spans="1:26" x14ac:dyDescent="0.25">
      <c r="A1256" s="1" t="s">
        <v>5295</v>
      </c>
      <c r="B1256" s="1" t="s">
        <v>5296</v>
      </c>
      <c r="C1256" s="1" t="s">
        <v>16</v>
      </c>
      <c r="D1256" s="1" t="s">
        <v>25</v>
      </c>
      <c r="E1256" s="1" t="s">
        <v>220</v>
      </c>
      <c r="F1256" s="1" t="s">
        <v>5297</v>
      </c>
      <c r="G1256" s="1" t="s">
        <v>12480</v>
      </c>
      <c r="H1256" s="1" t="s">
        <v>5298</v>
      </c>
      <c r="I1256" s="2">
        <v>24.11</v>
      </c>
      <c r="J1256" s="2">
        <v>1.52</v>
      </c>
      <c r="K1256" s="2">
        <v>1.6</v>
      </c>
      <c r="L1256" s="2">
        <v>1.85</v>
      </c>
      <c r="M1256" s="4">
        <f t="shared" si="114"/>
        <v>15.06875</v>
      </c>
      <c r="N1256" s="4">
        <f t="shared" si="115"/>
        <v>13.032432432432431</v>
      </c>
      <c r="O1256" s="5">
        <f t="shared" si="116"/>
        <v>5.2631578947368363E-2</v>
      </c>
      <c r="P1256" s="5">
        <f t="shared" si="117"/>
        <v>0.15625</v>
      </c>
      <c r="Q1256" s="4">
        <f t="shared" si="118"/>
        <v>2.863062500000003</v>
      </c>
      <c r="R1256" s="4">
        <f t="shared" si="119"/>
        <v>0.83407567567567564</v>
      </c>
      <c r="S1256" s="4">
        <v>1.03</v>
      </c>
      <c r="T1256" s="2">
        <v>1.23</v>
      </c>
      <c r="U1256" s="2">
        <v>28.05</v>
      </c>
      <c r="V1256" s="2">
        <v>15.56</v>
      </c>
      <c r="W1256" s="2">
        <v>-12.65</v>
      </c>
      <c r="X1256" s="2">
        <v>-10.74</v>
      </c>
      <c r="Y1256" s="2">
        <v>10.6</v>
      </c>
      <c r="Z1256" s="2">
        <v>12.3</v>
      </c>
    </row>
    <row r="1257" spans="1:26" x14ac:dyDescent="0.25">
      <c r="A1257" s="1" t="s">
        <v>5299</v>
      </c>
      <c r="B1257" s="1" t="s">
        <v>5300</v>
      </c>
      <c r="C1257" s="1" t="s">
        <v>45</v>
      </c>
      <c r="D1257" s="1" t="s">
        <v>32</v>
      </c>
      <c r="E1257" s="1" t="s">
        <v>311</v>
      </c>
      <c r="F1257" s="1" t="s">
        <v>5301</v>
      </c>
      <c r="G1257" s="1" t="s">
        <v>12493</v>
      </c>
      <c r="H1257" s="1" t="s">
        <v>5302</v>
      </c>
      <c r="I1257" s="2">
        <v>24.58</v>
      </c>
      <c r="J1257" s="2">
        <v>0.96</v>
      </c>
      <c r="K1257" s="2">
        <v>0.98</v>
      </c>
      <c r="L1257" s="2">
        <v>1.19</v>
      </c>
      <c r="M1257" s="4">
        <f t="shared" si="114"/>
        <v>25.081632653061224</v>
      </c>
      <c r="N1257" s="4">
        <f t="shared" si="115"/>
        <v>20.655462184873951</v>
      </c>
      <c r="O1257" s="5">
        <f t="shared" si="116"/>
        <v>2.0833333333333259E-2</v>
      </c>
      <c r="P1257" s="5">
        <f t="shared" si="117"/>
        <v>0.21428571428571419</v>
      </c>
      <c r="Q1257" s="4">
        <f t="shared" si="118"/>
        <v>12.039183673469431</v>
      </c>
      <c r="R1257" s="4">
        <f t="shared" si="119"/>
        <v>0.96392156862745138</v>
      </c>
      <c r="S1257" s="4">
        <v>25.81</v>
      </c>
      <c r="T1257" s="2">
        <v>0.79</v>
      </c>
      <c r="U1257" s="2">
        <v>58.25</v>
      </c>
      <c r="V1257" s="2">
        <v>24.03</v>
      </c>
      <c r="W1257" s="2">
        <v>-6.15</v>
      </c>
      <c r="X1257" s="2">
        <v>-24.28</v>
      </c>
      <c r="Y1257" s="2">
        <v>-36.31</v>
      </c>
      <c r="Z1257" s="2">
        <v>-34.51</v>
      </c>
    </row>
    <row r="1258" spans="1:26" x14ac:dyDescent="0.25">
      <c r="A1258" s="1" t="s">
        <v>5303</v>
      </c>
      <c r="B1258" s="1" t="s">
        <v>5304</v>
      </c>
      <c r="C1258" s="1" t="s">
        <v>16</v>
      </c>
      <c r="D1258" s="1" t="s">
        <v>25</v>
      </c>
      <c r="E1258" s="1" t="s">
        <v>220</v>
      </c>
      <c r="F1258" s="1" t="s">
        <v>5305</v>
      </c>
      <c r="G1258" s="1" t="s">
        <v>12480</v>
      </c>
      <c r="H1258" s="1" t="s">
        <v>5063</v>
      </c>
      <c r="I1258" s="2">
        <v>207.2</v>
      </c>
      <c r="J1258" s="2">
        <v>9.7200000000000006</v>
      </c>
      <c r="K1258" s="2">
        <v>13.67</v>
      </c>
      <c r="L1258" s="2">
        <v>14.93</v>
      </c>
      <c r="M1258" s="4">
        <f t="shared" si="114"/>
        <v>15.157278712509143</v>
      </c>
      <c r="N1258" s="4">
        <f t="shared" si="115"/>
        <v>13.878097789685198</v>
      </c>
      <c r="O1258" s="5">
        <f t="shared" si="116"/>
        <v>0.40637860082304522</v>
      </c>
      <c r="P1258" s="5">
        <f t="shared" si="117"/>
        <v>9.2172640819312424E-2</v>
      </c>
      <c r="Q1258" s="4">
        <f t="shared" si="118"/>
        <v>0.37298417490022506</v>
      </c>
      <c r="R1258" s="4">
        <f t="shared" si="119"/>
        <v>1.5056634665475914</v>
      </c>
      <c r="S1258" s="4">
        <v>2.4900000000000002</v>
      </c>
      <c r="T1258" s="2">
        <v>1.73</v>
      </c>
      <c r="U1258" s="2">
        <v>207.58</v>
      </c>
      <c r="V1258" s="2">
        <v>115.08</v>
      </c>
      <c r="W1258" s="2">
        <v>7.0000000000000007E-2</v>
      </c>
      <c r="X1258" s="2">
        <v>-0.16</v>
      </c>
      <c r="Y1258" s="2">
        <v>0.61</v>
      </c>
      <c r="Z1258" s="2">
        <v>0.47</v>
      </c>
    </row>
    <row r="1259" spans="1:26" x14ac:dyDescent="0.25">
      <c r="A1259" s="1" t="s">
        <v>5306</v>
      </c>
      <c r="B1259" s="1" t="s">
        <v>5307</v>
      </c>
      <c r="C1259" s="1" t="s">
        <v>45</v>
      </c>
      <c r="D1259" s="1" t="s">
        <v>32</v>
      </c>
      <c r="E1259" s="1" t="s">
        <v>311</v>
      </c>
      <c r="F1259" s="1" t="s">
        <v>5308</v>
      </c>
      <c r="G1259" s="1" t="s">
        <v>12480</v>
      </c>
      <c r="H1259" s="1" t="s">
        <v>5309</v>
      </c>
      <c r="I1259" s="2">
        <v>6.5</v>
      </c>
      <c r="J1259" s="2">
        <v>1.0900000000000001</v>
      </c>
      <c r="K1259" s="2">
        <v>1.1100000000000001</v>
      </c>
      <c r="L1259" s="2">
        <v>1.1599999999999999</v>
      </c>
      <c r="M1259" s="4">
        <f t="shared" si="114"/>
        <v>5.8558558558558556</v>
      </c>
      <c r="N1259" s="4">
        <f t="shared" si="115"/>
        <v>5.6034482758620694</v>
      </c>
      <c r="O1259" s="5">
        <f t="shared" si="116"/>
        <v>1.8348623853211121E-2</v>
      </c>
      <c r="P1259" s="5">
        <f t="shared" si="117"/>
        <v>4.5045045045044807E-2</v>
      </c>
      <c r="Q1259" s="4">
        <f t="shared" si="118"/>
        <v>3.1914414414414218</v>
      </c>
      <c r="R1259" s="4">
        <f t="shared" si="119"/>
        <v>1.2439655172413859</v>
      </c>
      <c r="S1259" s="4">
        <v>2.9</v>
      </c>
      <c r="T1259" s="2">
        <v>1.0900000000000001</v>
      </c>
      <c r="U1259" s="2">
        <v>12.2</v>
      </c>
      <c r="V1259" s="2">
        <v>5.99</v>
      </c>
      <c r="W1259" s="2">
        <v>5.18</v>
      </c>
      <c r="X1259" s="2">
        <v>-11.2</v>
      </c>
      <c r="Y1259" s="2">
        <v>-33.61</v>
      </c>
      <c r="Z1259" s="2">
        <v>-36.090000000000003</v>
      </c>
    </row>
    <row r="1260" spans="1:26" x14ac:dyDescent="0.25">
      <c r="A1260" s="1" t="s">
        <v>5310</v>
      </c>
      <c r="B1260" s="1" t="s">
        <v>5311</v>
      </c>
      <c r="C1260" s="1" t="s">
        <v>16</v>
      </c>
      <c r="D1260" s="1" t="s">
        <v>147</v>
      </c>
      <c r="E1260" s="1" t="s">
        <v>1695</v>
      </c>
      <c r="F1260" s="1" t="s">
        <v>5312</v>
      </c>
      <c r="G1260" s="1" t="s">
        <v>12480</v>
      </c>
      <c r="H1260" s="1" t="s">
        <v>5313</v>
      </c>
      <c r="I1260" s="2">
        <v>11.52</v>
      </c>
      <c r="J1260" s="2">
        <v>-1.1000000000000001</v>
      </c>
      <c r="K1260" s="2"/>
      <c r="L1260" s="2"/>
      <c r="M1260" s="4" t="e">
        <f t="shared" si="114"/>
        <v>#DIV/0!</v>
      </c>
      <c r="N1260" s="4" t="e">
        <f t="shared" si="115"/>
        <v>#DIV/0!</v>
      </c>
      <c r="O1260" s="5">
        <f t="shared" si="116"/>
        <v>-1</v>
      </c>
      <c r="P1260" s="5" t="e">
        <f t="shared" si="117"/>
        <v>#DIV/0!</v>
      </c>
      <c r="Q1260" s="4" t="e">
        <f t="shared" si="118"/>
        <v>#DIV/0!</v>
      </c>
      <c r="R1260" s="4" t="e">
        <f t="shared" si="119"/>
        <v>#DIV/0!</v>
      </c>
      <c r="S1260" s="4">
        <v>-15.07</v>
      </c>
      <c r="T1260" s="2">
        <v>0.92</v>
      </c>
      <c r="U1260" s="2">
        <v>14.06</v>
      </c>
      <c r="V1260" s="2">
        <v>6.21</v>
      </c>
      <c r="W1260" s="2">
        <v>10.66</v>
      </c>
      <c r="X1260" s="2">
        <v>-3.11</v>
      </c>
      <c r="Y1260" s="2">
        <v>34.74</v>
      </c>
      <c r="Z1260" s="2" t="s">
        <v>12494</v>
      </c>
    </row>
    <row r="1261" spans="1:26" x14ac:dyDescent="0.25">
      <c r="A1261" s="1" t="s">
        <v>5314</v>
      </c>
      <c r="B1261" s="1" t="s">
        <v>5315</v>
      </c>
      <c r="C1261" s="1" t="s">
        <v>45</v>
      </c>
      <c r="D1261" s="1" t="s">
        <v>305</v>
      </c>
      <c r="E1261" s="1" t="s">
        <v>306</v>
      </c>
      <c r="F1261" s="1" t="s">
        <v>5316</v>
      </c>
      <c r="G1261" s="1" t="s">
        <v>12480</v>
      </c>
      <c r="H1261" s="1" t="s">
        <v>5317</v>
      </c>
      <c r="I1261" s="2">
        <v>18.440000000000001</v>
      </c>
      <c r="J1261" s="2">
        <v>1.52</v>
      </c>
      <c r="K1261" s="2">
        <v>1.76</v>
      </c>
      <c r="L1261" s="2">
        <v>2.04</v>
      </c>
      <c r="M1261" s="4">
        <f t="shared" si="114"/>
        <v>10.477272727272728</v>
      </c>
      <c r="N1261" s="4">
        <f t="shared" si="115"/>
        <v>9.0392156862745097</v>
      </c>
      <c r="O1261" s="5">
        <f t="shared" si="116"/>
        <v>0.15789473684210531</v>
      </c>
      <c r="P1261" s="5">
        <f t="shared" si="117"/>
        <v>0.15909090909090917</v>
      </c>
      <c r="Q1261" s="4">
        <f t="shared" si="118"/>
        <v>0.66356060606060596</v>
      </c>
      <c r="R1261" s="4">
        <f t="shared" si="119"/>
        <v>0.56817927170868321</v>
      </c>
      <c r="S1261" s="4">
        <v>3.14</v>
      </c>
      <c r="T1261" s="2">
        <v>0.31</v>
      </c>
      <c r="U1261" s="2">
        <v>21.25</v>
      </c>
      <c r="V1261" s="2">
        <v>7.34</v>
      </c>
      <c r="W1261" s="2">
        <v>-8.08</v>
      </c>
      <c r="X1261" s="2">
        <v>-4.3099999999999996</v>
      </c>
      <c r="Y1261" s="2">
        <v>9.31</v>
      </c>
      <c r="Z1261" s="2">
        <v>5.79</v>
      </c>
    </row>
    <row r="1262" spans="1:26" x14ac:dyDescent="0.25">
      <c r="A1262" s="1" t="s">
        <v>5319</v>
      </c>
      <c r="B1262" s="1" t="s">
        <v>5320</v>
      </c>
      <c r="C1262" s="1" t="s">
        <v>16</v>
      </c>
      <c r="D1262" s="1" t="s">
        <v>38</v>
      </c>
      <c r="E1262" s="1" t="s">
        <v>510</v>
      </c>
      <c r="F1262" s="1" t="s">
        <v>5321</v>
      </c>
      <c r="G1262" s="1" t="s">
        <v>12480</v>
      </c>
      <c r="H1262" s="1" t="s">
        <v>1910</v>
      </c>
      <c r="I1262" s="2">
        <v>33.36</v>
      </c>
      <c r="J1262" s="2">
        <v>2.4300000000000002</v>
      </c>
      <c r="K1262" s="2">
        <v>2.5099999999999998</v>
      </c>
      <c r="L1262" s="2">
        <v>2.64</v>
      </c>
      <c r="M1262" s="4">
        <f t="shared" si="114"/>
        <v>13.290836653386455</v>
      </c>
      <c r="N1262" s="4">
        <f t="shared" si="115"/>
        <v>12.636363636363635</v>
      </c>
      <c r="O1262" s="5">
        <f t="shared" si="116"/>
        <v>3.2921810699588328E-2</v>
      </c>
      <c r="P1262" s="5">
        <f t="shared" si="117"/>
        <v>5.179282868525914E-2</v>
      </c>
      <c r="Q1262" s="4">
        <f t="shared" si="118"/>
        <v>4.0370916334661544</v>
      </c>
      <c r="R1262" s="4">
        <f t="shared" si="119"/>
        <v>2.4397902097902011</v>
      </c>
      <c r="S1262" s="4">
        <v>9.02</v>
      </c>
      <c r="T1262" s="2">
        <v>0.82</v>
      </c>
      <c r="U1262" s="2">
        <v>33.83</v>
      </c>
      <c r="V1262" s="2">
        <v>25.61</v>
      </c>
      <c r="W1262" s="2">
        <v>0.69</v>
      </c>
      <c r="X1262" s="2">
        <v>8.4499999999999993</v>
      </c>
      <c r="Y1262" s="2">
        <v>16.239999999999998</v>
      </c>
      <c r="Z1262" s="2">
        <v>21.89</v>
      </c>
    </row>
    <row r="1263" spans="1:26" x14ac:dyDescent="0.25">
      <c r="A1263" s="1" t="s">
        <v>5322</v>
      </c>
      <c r="B1263" s="1" t="s">
        <v>5323</v>
      </c>
      <c r="C1263" s="1" t="s">
        <v>16</v>
      </c>
      <c r="D1263" s="1" t="s">
        <v>61</v>
      </c>
      <c r="E1263" s="1" t="s">
        <v>3884</v>
      </c>
      <c r="F1263" s="1" t="s">
        <v>5324</v>
      </c>
      <c r="G1263" s="1" t="s">
        <v>12480</v>
      </c>
      <c r="H1263" s="1" t="s">
        <v>5325</v>
      </c>
      <c r="I1263" s="2">
        <v>125.52</v>
      </c>
      <c r="J1263" s="2">
        <v>6.07</v>
      </c>
      <c r="K1263" s="2">
        <v>6.35</v>
      </c>
      <c r="L1263" s="2">
        <v>7.38</v>
      </c>
      <c r="M1263" s="4">
        <f t="shared" si="114"/>
        <v>19.76692913385827</v>
      </c>
      <c r="N1263" s="4">
        <f t="shared" si="115"/>
        <v>17.008130081300813</v>
      </c>
      <c r="O1263" s="5">
        <f t="shared" si="116"/>
        <v>4.6128500823723106E-2</v>
      </c>
      <c r="P1263" s="5">
        <f t="shared" si="117"/>
        <v>0.16220472440944889</v>
      </c>
      <c r="Q1263" s="4">
        <f t="shared" si="118"/>
        <v>4.2851878515185717</v>
      </c>
      <c r="R1263" s="4">
        <f t="shared" si="119"/>
        <v>1.0485594758860206</v>
      </c>
      <c r="S1263" s="4">
        <v>10.4</v>
      </c>
      <c r="T1263" s="2">
        <v>1.3</v>
      </c>
      <c r="U1263" s="2">
        <v>136.19</v>
      </c>
      <c r="V1263" s="2">
        <v>70.98</v>
      </c>
      <c r="W1263" s="2">
        <v>-6.22</v>
      </c>
      <c r="X1263" s="2">
        <v>-4.9800000000000004</v>
      </c>
      <c r="Y1263" s="2">
        <v>8.48</v>
      </c>
      <c r="Z1263" s="2">
        <v>8.82</v>
      </c>
    </row>
    <row r="1264" spans="1:26" x14ac:dyDescent="0.25">
      <c r="A1264" s="1" t="s">
        <v>5326</v>
      </c>
      <c r="B1264" s="1" t="s">
        <v>5327</v>
      </c>
      <c r="C1264" s="1" t="s">
        <v>16</v>
      </c>
      <c r="D1264" s="1" t="s">
        <v>32</v>
      </c>
      <c r="E1264" s="1" t="s">
        <v>311</v>
      </c>
      <c r="F1264" s="1" t="s">
        <v>5328</v>
      </c>
      <c r="G1264" s="1" t="s">
        <v>12496</v>
      </c>
      <c r="H1264" s="1" t="s">
        <v>5329</v>
      </c>
      <c r="I1264" s="2">
        <v>163.30000000000001</v>
      </c>
      <c r="J1264" s="2">
        <v>2.65</v>
      </c>
      <c r="K1264" s="2">
        <v>2.95</v>
      </c>
      <c r="L1264" s="2">
        <v>3.9</v>
      </c>
      <c r="M1264" s="4">
        <f t="shared" si="114"/>
        <v>55.355932203389834</v>
      </c>
      <c r="N1264" s="4">
        <f t="shared" si="115"/>
        <v>41.871794871794876</v>
      </c>
      <c r="O1264" s="5">
        <f t="shared" si="116"/>
        <v>0.11320754716981152</v>
      </c>
      <c r="P1264" s="5">
        <f t="shared" si="117"/>
        <v>0.32203389830508455</v>
      </c>
      <c r="Q1264" s="4">
        <f t="shared" si="118"/>
        <v>4.8897740112994263</v>
      </c>
      <c r="R1264" s="4">
        <f t="shared" si="119"/>
        <v>1.3002294197031048</v>
      </c>
      <c r="S1264" s="4">
        <v>22.64</v>
      </c>
      <c r="T1264" s="2">
        <v>1.06</v>
      </c>
      <c r="U1264" s="2">
        <v>261.88</v>
      </c>
      <c r="V1264" s="2">
        <v>122.22</v>
      </c>
      <c r="W1264" s="2">
        <v>9.59</v>
      </c>
      <c r="X1264" s="2">
        <v>29.81</v>
      </c>
      <c r="Y1264" s="2">
        <v>-15.93</v>
      </c>
      <c r="Z1264" s="2">
        <v>-18.760000000000002</v>
      </c>
    </row>
    <row r="1265" spans="1:26" x14ac:dyDescent="0.25">
      <c r="A1265" s="1" t="s">
        <v>5331</v>
      </c>
      <c r="B1265" s="1" t="s">
        <v>5332</v>
      </c>
      <c r="C1265" s="1" t="s">
        <v>16</v>
      </c>
      <c r="D1265" s="1" t="s">
        <v>25</v>
      </c>
      <c r="E1265" s="1" t="s">
        <v>325</v>
      </c>
      <c r="F1265" s="1" t="s">
        <v>5333</v>
      </c>
      <c r="G1265" s="1" t="s">
        <v>12480</v>
      </c>
      <c r="H1265" s="1" t="s">
        <v>3932</v>
      </c>
      <c r="I1265" s="2">
        <v>1115.28</v>
      </c>
      <c r="J1265" s="2">
        <v>39.479999999999997</v>
      </c>
      <c r="K1265" s="2">
        <v>43.59</v>
      </c>
      <c r="L1265" s="2">
        <v>48.55</v>
      </c>
      <c r="M1265" s="4">
        <f t="shared" si="114"/>
        <v>25.585684790089466</v>
      </c>
      <c r="N1265" s="4">
        <f t="shared" si="115"/>
        <v>22.971781668383112</v>
      </c>
      <c r="O1265" s="5">
        <f t="shared" si="116"/>
        <v>0.10410334346504579</v>
      </c>
      <c r="P1265" s="5">
        <f t="shared" si="117"/>
        <v>0.11378756595549433</v>
      </c>
      <c r="Q1265" s="4">
        <f t="shared" si="118"/>
        <v>2.4577197944348663</v>
      </c>
      <c r="R1265" s="4">
        <f t="shared" si="119"/>
        <v>2.0188305704129443</v>
      </c>
      <c r="S1265" s="4">
        <v>4.51</v>
      </c>
      <c r="T1265" s="2">
        <v>1.1000000000000001</v>
      </c>
      <c r="U1265" s="2">
        <v>1202.47</v>
      </c>
      <c r="V1265" s="2">
        <v>918.18</v>
      </c>
      <c r="W1265" s="2">
        <v>-3.21</v>
      </c>
      <c r="X1265" s="2">
        <v>-6.29</v>
      </c>
      <c r="Y1265" s="2">
        <v>8.33</v>
      </c>
      <c r="Z1265" s="2">
        <v>10.53</v>
      </c>
    </row>
    <row r="1266" spans="1:26" x14ac:dyDescent="0.25">
      <c r="A1266" s="1" t="s">
        <v>5334</v>
      </c>
      <c r="B1266" s="1" t="s">
        <v>5335</v>
      </c>
      <c r="C1266" s="1" t="s">
        <v>16</v>
      </c>
      <c r="D1266" s="1" t="s">
        <v>46</v>
      </c>
      <c r="E1266" s="1" t="s">
        <v>4484</v>
      </c>
      <c r="F1266" s="1" t="s">
        <v>5336</v>
      </c>
      <c r="G1266" s="1" t="s">
        <v>12480</v>
      </c>
      <c r="H1266" s="1" t="s">
        <v>5337</v>
      </c>
      <c r="I1266" s="2">
        <v>55.35</v>
      </c>
      <c r="J1266" s="2">
        <v>2.5099999999999998</v>
      </c>
      <c r="K1266" s="2">
        <v>2.99</v>
      </c>
      <c r="L1266" s="2">
        <v>3.47</v>
      </c>
      <c r="M1266" s="4">
        <f t="shared" si="114"/>
        <v>18.511705685618729</v>
      </c>
      <c r="N1266" s="4">
        <f t="shared" si="115"/>
        <v>15.951008645533141</v>
      </c>
      <c r="O1266" s="5">
        <f t="shared" si="116"/>
        <v>0.19123505976095645</v>
      </c>
      <c r="P1266" s="5">
        <f t="shared" si="117"/>
        <v>0.16053511705685608</v>
      </c>
      <c r="Q1266" s="4">
        <f t="shared" si="118"/>
        <v>0.96800794314381144</v>
      </c>
      <c r="R1266" s="4">
        <f t="shared" si="119"/>
        <v>0.99361491354466924</v>
      </c>
      <c r="S1266" s="4">
        <v>12.55</v>
      </c>
      <c r="T1266" s="2">
        <v>1.62</v>
      </c>
      <c r="U1266" s="2">
        <v>65.59</v>
      </c>
      <c r="V1266" s="2">
        <v>31.53</v>
      </c>
      <c r="W1266" s="2">
        <v>-12.59</v>
      </c>
      <c r="X1266" s="2">
        <v>-5.55</v>
      </c>
      <c r="Y1266" s="2">
        <v>5.75</v>
      </c>
      <c r="Z1266" s="2">
        <v>5.15</v>
      </c>
    </row>
    <row r="1267" spans="1:26" x14ac:dyDescent="0.25">
      <c r="A1267" s="1" t="s">
        <v>5338</v>
      </c>
      <c r="B1267" s="1" t="s">
        <v>5339</v>
      </c>
      <c r="C1267" s="1" t="s">
        <v>16</v>
      </c>
      <c r="D1267" s="1" t="s">
        <v>147</v>
      </c>
      <c r="E1267" s="1" t="s">
        <v>180</v>
      </c>
      <c r="F1267" s="1" t="s">
        <v>5340</v>
      </c>
      <c r="G1267" s="1" t="s">
        <v>12480</v>
      </c>
      <c r="H1267" s="1" t="s">
        <v>5341</v>
      </c>
      <c r="I1267" s="2">
        <v>155.72</v>
      </c>
      <c r="J1267" s="2">
        <v>2.19</v>
      </c>
      <c r="K1267" s="2">
        <v>3.17</v>
      </c>
      <c r="L1267" s="2">
        <v>4.47</v>
      </c>
      <c r="M1267" s="4">
        <f t="shared" si="114"/>
        <v>49.123028391167196</v>
      </c>
      <c r="N1267" s="4">
        <f t="shared" si="115"/>
        <v>34.836689038031324</v>
      </c>
      <c r="O1267" s="5">
        <f t="shared" si="116"/>
        <v>0.44748858447488593</v>
      </c>
      <c r="P1267" s="5">
        <f t="shared" si="117"/>
        <v>0.41009463722397466</v>
      </c>
      <c r="Q1267" s="4">
        <f t="shared" si="118"/>
        <v>1.0977493079250626</v>
      </c>
      <c r="R1267" s="4">
        <f t="shared" si="119"/>
        <v>0.84947926346584102</v>
      </c>
      <c r="S1267" s="4">
        <v>6.81</v>
      </c>
      <c r="T1267" s="2">
        <v>1.22</v>
      </c>
      <c r="U1267" s="2">
        <v>171.84</v>
      </c>
      <c r="V1267" s="2">
        <v>104.22</v>
      </c>
      <c r="W1267" s="2">
        <v>-2.56</v>
      </c>
      <c r="X1267" s="2">
        <v>-2.4500000000000002</v>
      </c>
      <c r="Y1267" s="2">
        <v>-6.42</v>
      </c>
      <c r="Z1267" s="2">
        <v>-2.87</v>
      </c>
    </row>
    <row r="1268" spans="1:26" x14ac:dyDescent="0.25">
      <c r="A1268" s="1" t="s">
        <v>5342</v>
      </c>
      <c r="B1268" s="1" t="s">
        <v>5343</v>
      </c>
      <c r="C1268" s="1" t="s">
        <v>16</v>
      </c>
      <c r="D1268" s="1" t="s">
        <v>18</v>
      </c>
      <c r="E1268" s="1" t="s">
        <v>19</v>
      </c>
      <c r="F1268" s="1" t="s">
        <v>5344</v>
      </c>
      <c r="G1268" s="1" t="s">
        <v>12490</v>
      </c>
      <c r="H1268" s="1" t="s">
        <v>108</v>
      </c>
      <c r="I1268" s="2">
        <v>64.23</v>
      </c>
      <c r="J1268" s="2">
        <v>4.57</v>
      </c>
      <c r="K1268" s="2">
        <v>4.95</v>
      </c>
      <c r="L1268" s="2">
        <v>5.3</v>
      </c>
      <c r="M1268" s="4">
        <f t="shared" si="114"/>
        <v>12.975757575757576</v>
      </c>
      <c r="N1268" s="4">
        <f t="shared" si="115"/>
        <v>12.118867924528303</v>
      </c>
      <c r="O1268" s="5">
        <f t="shared" si="116"/>
        <v>8.3150984682713425E-2</v>
      </c>
      <c r="P1268" s="5">
        <f t="shared" si="117"/>
        <v>7.0707070707070718E-2</v>
      </c>
      <c r="Q1268" s="4">
        <f t="shared" si="118"/>
        <v>1.5605055821371598</v>
      </c>
      <c r="R1268" s="4">
        <f t="shared" si="119"/>
        <v>1.713954177897574</v>
      </c>
      <c r="S1268" s="4">
        <v>3.95</v>
      </c>
      <c r="T1268" s="2">
        <v>0.28000000000000003</v>
      </c>
      <c r="U1268" s="2">
        <v>87.16</v>
      </c>
      <c r="V1268" s="2">
        <v>47.67</v>
      </c>
      <c r="W1268" s="2">
        <v>0.55000000000000004</v>
      </c>
      <c r="X1268" s="2">
        <v>11.34</v>
      </c>
      <c r="Y1268" s="2">
        <v>-20.11</v>
      </c>
      <c r="Z1268" s="2">
        <v>-19.86</v>
      </c>
    </row>
    <row r="1269" spans="1:26" x14ac:dyDescent="0.25">
      <c r="A1269" s="1" t="s">
        <v>5345</v>
      </c>
      <c r="B1269" s="1" t="s">
        <v>5346</v>
      </c>
      <c r="C1269" s="1" t="s">
        <v>16</v>
      </c>
      <c r="D1269" s="1" t="s">
        <v>94</v>
      </c>
      <c r="E1269" s="1" t="s">
        <v>1042</v>
      </c>
      <c r="F1269" s="1" t="s">
        <v>5347</v>
      </c>
      <c r="G1269" s="1" t="s">
        <v>12480</v>
      </c>
      <c r="H1269" s="1" t="s">
        <v>5348</v>
      </c>
      <c r="I1269" s="2">
        <v>34.65</v>
      </c>
      <c r="J1269" s="2">
        <v>2.42</v>
      </c>
      <c r="K1269" s="2">
        <v>2.2599999999999998</v>
      </c>
      <c r="L1269" s="2">
        <v>2.65</v>
      </c>
      <c r="M1269" s="4">
        <f t="shared" si="114"/>
        <v>15.331858407079647</v>
      </c>
      <c r="N1269" s="4">
        <f t="shared" si="115"/>
        <v>13.075471698113207</v>
      </c>
      <c r="O1269" s="5">
        <f t="shared" si="116"/>
        <v>-6.6115702479338956E-2</v>
      </c>
      <c r="P1269" s="5">
        <f t="shared" si="117"/>
        <v>0.17256637168141609</v>
      </c>
      <c r="Q1269" s="4">
        <f t="shared" si="118"/>
        <v>-2.3189435840707926</v>
      </c>
      <c r="R1269" s="4">
        <f t="shared" si="119"/>
        <v>0.75770682148040569</v>
      </c>
      <c r="S1269" s="4">
        <v>-3.31</v>
      </c>
      <c r="T1269" s="2">
        <v>0.73</v>
      </c>
      <c r="U1269" s="2" t="s">
        <v>12690</v>
      </c>
      <c r="V1269" s="2">
        <v>19.260000000000002</v>
      </c>
      <c r="W1269" s="2">
        <v>-3.67</v>
      </c>
      <c r="X1269" s="2">
        <v>-0.72</v>
      </c>
      <c r="Y1269" s="2">
        <v>21.96</v>
      </c>
      <c r="Z1269" s="2">
        <v>22.61</v>
      </c>
    </row>
    <row r="1270" spans="1:26" x14ac:dyDescent="0.25">
      <c r="A1270" s="1" t="s">
        <v>5349</v>
      </c>
      <c r="B1270" s="1" t="s">
        <v>5350</v>
      </c>
      <c r="C1270" s="1" t="s">
        <v>45</v>
      </c>
      <c r="D1270" s="1" t="s">
        <v>18</v>
      </c>
      <c r="E1270" s="1" t="s">
        <v>74</v>
      </c>
      <c r="F1270" s="1" t="s">
        <v>5351</v>
      </c>
      <c r="G1270" s="1" t="s">
        <v>12480</v>
      </c>
      <c r="H1270" s="1" t="s">
        <v>5352</v>
      </c>
      <c r="I1270" s="2">
        <v>68.14</v>
      </c>
      <c r="J1270" s="2">
        <v>4.1500000000000004</v>
      </c>
      <c r="K1270" s="2">
        <v>8.06</v>
      </c>
      <c r="L1270" s="2">
        <v>9.59</v>
      </c>
      <c r="M1270" s="4">
        <f t="shared" si="114"/>
        <v>8.4540942928039691</v>
      </c>
      <c r="N1270" s="4">
        <f t="shared" si="115"/>
        <v>7.105318039624609</v>
      </c>
      <c r="O1270" s="5">
        <f t="shared" si="116"/>
        <v>0.94216867469879517</v>
      </c>
      <c r="P1270" s="5">
        <f t="shared" si="117"/>
        <v>0.18982630272952838</v>
      </c>
      <c r="Q1270" s="4">
        <f t="shared" si="118"/>
        <v>8.9730156816205817E-2</v>
      </c>
      <c r="R1270" s="4">
        <f t="shared" si="119"/>
        <v>0.37430629672793719</v>
      </c>
      <c r="S1270" s="4">
        <v>37.549999999999997</v>
      </c>
      <c r="T1270" s="2">
        <v>0.98</v>
      </c>
      <c r="U1270" s="2">
        <v>81.23</v>
      </c>
      <c r="V1270" s="2">
        <v>47.91</v>
      </c>
      <c r="W1270" s="2">
        <v>-2.4500000000000002</v>
      </c>
      <c r="X1270" s="2">
        <v>-15.33</v>
      </c>
      <c r="Y1270" s="2">
        <v>7.39</v>
      </c>
      <c r="Z1270" s="2">
        <v>1.25</v>
      </c>
    </row>
    <row r="1271" spans="1:26" x14ac:dyDescent="0.25">
      <c r="A1271" s="1" t="s">
        <v>5353</v>
      </c>
      <c r="B1271" s="1" t="s">
        <v>5354</v>
      </c>
      <c r="C1271" s="1" t="s">
        <v>45</v>
      </c>
      <c r="D1271" s="1" t="s">
        <v>147</v>
      </c>
      <c r="E1271" s="1" t="s">
        <v>5356</v>
      </c>
      <c r="F1271" s="1" t="s">
        <v>5355</v>
      </c>
      <c r="G1271" s="1" t="s">
        <v>12480</v>
      </c>
      <c r="H1271" s="1" t="s">
        <v>5357</v>
      </c>
      <c r="I1271" s="2">
        <v>95.78</v>
      </c>
      <c r="J1271" s="2">
        <v>5.54</v>
      </c>
      <c r="K1271" s="2">
        <v>5.66</v>
      </c>
      <c r="L1271" s="2">
        <v>6.2</v>
      </c>
      <c r="M1271" s="4">
        <f t="shared" si="114"/>
        <v>16.922261484098939</v>
      </c>
      <c r="N1271" s="4">
        <f t="shared" si="115"/>
        <v>15.448387096774193</v>
      </c>
      <c r="O1271" s="5">
        <f t="shared" si="116"/>
        <v>2.1660649819494671E-2</v>
      </c>
      <c r="P1271" s="5">
        <f t="shared" si="117"/>
        <v>9.540636042402828E-2</v>
      </c>
      <c r="Q1271" s="4">
        <f t="shared" si="118"/>
        <v>7.8124440518256462</v>
      </c>
      <c r="R1271" s="4">
        <f t="shared" si="119"/>
        <v>1.6192198327359617</v>
      </c>
      <c r="S1271" s="4">
        <v>13.68</v>
      </c>
      <c r="T1271" s="2">
        <v>0.54</v>
      </c>
      <c r="U1271" s="2">
        <v>105.94</v>
      </c>
      <c r="V1271" s="2">
        <v>50.71</v>
      </c>
      <c r="W1271" s="2">
        <v>-3.3</v>
      </c>
      <c r="X1271" s="2">
        <v>-1.01</v>
      </c>
      <c r="Y1271" s="2">
        <v>18.100000000000001</v>
      </c>
      <c r="Z1271" s="2">
        <v>16.809999999999999</v>
      </c>
    </row>
    <row r="1272" spans="1:26" x14ac:dyDescent="0.25">
      <c r="A1272" s="1" t="s">
        <v>5358</v>
      </c>
      <c r="B1272" s="1" t="s">
        <v>5359</v>
      </c>
      <c r="C1272" s="1" t="s">
        <v>16</v>
      </c>
      <c r="D1272" s="1" t="s">
        <v>38</v>
      </c>
      <c r="E1272" s="1" t="s">
        <v>52</v>
      </c>
      <c r="F1272" s="1" t="s">
        <v>5360</v>
      </c>
      <c r="G1272" s="1" t="s">
        <v>12480</v>
      </c>
      <c r="H1272" s="1" t="s">
        <v>5361</v>
      </c>
      <c r="I1272" s="2">
        <v>35.96</v>
      </c>
      <c r="J1272" s="2">
        <v>2.7</v>
      </c>
      <c r="K1272" s="2">
        <v>2.94</v>
      </c>
      <c r="L1272" s="2">
        <v>3.2</v>
      </c>
      <c r="M1272" s="4">
        <f t="shared" si="114"/>
        <v>12.231292517006803</v>
      </c>
      <c r="N1272" s="4">
        <f t="shared" si="115"/>
        <v>11.237499999999999</v>
      </c>
      <c r="O1272" s="5">
        <f t="shared" si="116"/>
        <v>8.8888888888888795E-2</v>
      </c>
      <c r="P1272" s="5">
        <f t="shared" si="117"/>
        <v>8.8435374149659962E-2</v>
      </c>
      <c r="Q1272" s="4">
        <f t="shared" si="118"/>
        <v>1.376020408163267</v>
      </c>
      <c r="R1272" s="4">
        <f t="shared" si="119"/>
        <v>1.2707019230769214</v>
      </c>
      <c r="S1272" s="4" t="s">
        <v>12851</v>
      </c>
      <c r="T1272" s="2">
        <v>1.44</v>
      </c>
      <c r="U1272" s="2">
        <v>39.700000000000003</v>
      </c>
      <c r="V1272" s="2">
        <v>22.73</v>
      </c>
      <c r="W1272" s="2">
        <v>-1.83</v>
      </c>
      <c r="X1272" s="2">
        <v>-2.1800000000000002</v>
      </c>
      <c r="Y1272" s="2">
        <v>9.77</v>
      </c>
      <c r="Z1272" s="2">
        <v>14.41</v>
      </c>
    </row>
    <row r="1273" spans="1:26" x14ac:dyDescent="0.25">
      <c r="A1273" s="1" t="s">
        <v>5362</v>
      </c>
      <c r="B1273" s="1" t="s">
        <v>5363</v>
      </c>
      <c r="C1273" s="1" t="s">
        <v>31</v>
      </c>
      <c r="D1273" s="1" t="s">
        <v>140</v>
      </c>
      <c r="E1273" s="1" t="s">
        <v>5365</v>
      </c>
      <c r="F1273" s="1" t="s">
        <v>5364</v>
      </c>
      <c r="G1273" s="1" t="s">
        <v>12502</v>
      </c>
      <c r="H1273" s="1" t="s">
        <v>5366</v>
      </c>
      <c r="I1273" s="2">
        <v>7.24</v>
      </c>
      <c r="J1273" s="2">
        <v>0.17</v>
      </c>
      <c r="K1273" s="2"/>
      <c r="L1273" s="2"/>
      <c r="M1273" s="4" t="e">
        <f t="shared" si="114"/>
        <v>#DIV/0!</v>
      </c>
      <c r="N1273" s="4" t="e">
        <f t="shared" si="115"/>
        <v>#DIV/0!</v>
      </c>
      <c r="O1273" s="5">
        <f t="shared" si="116"/>
        <v>-1</v>
      </c>
      <c r="P1273" s="5" t="e">
        <f t="shared" si="117"/>
        <v>#DIV/0!</v>
      </c>
      <c r="Q1273" s="4" t="e">
        <f t="shared" si="118"/>
        <v>#DIV/0!</v>
      </c>
      <c r="R1273" s="4" t="e">
        <f t="shared" si="119"/>
        <v>#DIV/0!</v>
      </c>
      <c r="S1273" s="4">
        <v>-2.31</v>
      </c>
      <c r="T1273" s="2">
        <v>0.39</v>
      </c>
      <c r="U1273" s="2">
        <v>10.07</v>
      </c>
      <c r="V1273" s="2">
        <v>7.24</v>
      </c>
      <c r="W1273" s="2" t="s">
        <v>12489</v>
      </c>
      <c r="X1273" s="2" t="s">
        <v>12489</v>
      </c>
      <c r="Y1273" s="2" t="s">
        <v>12489</v>
      </c>
      <c r="Z1273" s="2" t="s">
        <v>12489</v>
      </c>
    </row>
    <row r="1274" spans="1:26" x14ac:dyDescent="0.25">
      <c r="A1274" s="1" t="s">
        <v>5367</v>
      </c>
      <c r="B1274" s="1" t="s">
        <v>5368</v>
      </c>
      <c r="C1274" s="1" t="s">
        <v>16</v>
      </c>
      <c r="D1274" s="1" t="s">
        <v>32</v>
      </c>
      <c r="E1274" s="1" t="s">
        <v>1607</v>
      </c>
      <c r="F1274" s="1" t="s">
        <v>5369</v>
      </c>
      <c r="G1274" s="1" t="s">
        <v>12480</v>
      </c>
      <c r="H1274" s="1" t="s">
        <v>5370</v>
      </c>
      <c r="I1274" s="2">
        <v>14.77</v>
      </c>
      <c r="J1274" s="2">
        <v>0.77</v>
      </c>
      <c r="K1274" s="2">
        <v>0.85</v>
      </c>
      <c r="L1274" s="2">
        <v>0.94</v>
      </c>
      <c r="M1274" s="4">
        <f t="shared" si="114"/>
        <v>17.376470588235293</v>
      </c>
      <c r="N1274" s="4">
        <f t="shared" si="115"/>
        <v>15.712765957446809</v>
      </c>
      <c r="O1274" s="5">
        <f t="shared" si="116"/>
        <v>0.10389610389610393</v>
      </c>
      <c r="P1274" s="5">
        <f t="shared" si="117"/>
        <v>0.10588235294117654</v>
      </c>
      <c r="Q1274" s="4">
        <f t="shared" si="118"/>
        <v>1.6724852941176465</v>
      </c>
      <c r="R1274" s="4">
        <f t="shared" si="119"/>
        <v>1.4839834515366421</v>
      </c>
      <c r="S1274" s="4">
        <v>6.71</v>
      </c>
      <c r="T1274" s="2">
        <v>1.1299999999999999</v>
      </c>
      <c r="U1274" s="2">
        <v>17.22</v>
      </c>
      <c r="V1274" s="2">
        <v>11.32</v>
      </c>
      <c r="W1274" s="2">
        <v>-7.57</v>
      </c>
      <c r="X1274" s="2">
        <v>-11.13</v>
      </c>
      <c r="Y1274" s="2">
        <v>-7.51</v>
      </c>
      <c r="Z1274" s="2">
        <v>-4.4000000000000004</v>
      </c>
    </row>
    <row r="1275" spans="1:26" x14ac:dyDescent="0.25">
      <c r="A1275" s="1" t="s">
        <v>5371</v>
      </c>
      <c r="B1275" s="1" t="s">
        <v>5372</v>
      </c>
      <c r="C1275" s="1" t="s">
        <v>45</v>
      </c>
      <c r="D1275" s="1" t="s">
        <v>38</v>
      </c>
      <c r="E1275" s="1" t="s">
        <v>1093</v>
      </c>
      <c r="F1275" s="1" t="s">
        <v>5373</v>
      </c>
      <c r="G1275" s="1" t="s">
        <v>12480</v>
      </c>
      <c r="H1275" s="1" t="s">
        <v>5374</v>
      </c>
      <c r="I1275" s="2">
        <v>16.12</v>
      </c>
      <c r="J1275" s="2">
        <v>1.49</v>
      </c>
      <c r="K1275" s="2">
        <v>1.64</v>
      </c>
      <c r="L1275" s="2">
        <v>1.92</v>
      </c>
      <c r="M1275" s="4">
        <f t="shared" si="114"/>
        <v>9.8292682926829276</v>
      </c>
      <c r="N1275" s="4">
        <f t="shared" si="115"/>
        <v>8.3958333333333339</v>
      </c>
      <c r="O1275" s="5">
        <f t="shared" si="116"/>
        <v>0.10067114093959728</v>
      </c>
      <c r="P1275" s="5">
        <f t="shared" si="117"/>
        <v>0.1707317073170731</v>
      </c>
      <c r="Q1275" s="4">
        <f t="shared" si="118"/>
        <v>0.97637398373983786</v>
      </c>
      <c r="R1275" s="4">
        <f t="shared" si="119"/>
        <v>0.4917559523809526</v>
      </c>
      <c r="S1275" s="4">
        <v>4.38</v>
      </c>
      <c r="T1275" s="2">
        <v>0.95</v>
      </c>
      <c r="U1275" s="2">
        <v>19.27</v>
      </c>
      <c r="V1275" s="2">
        <v>12.49</v>
      </c>
      <c r="W1275" s="2">
        <v>-5.01</v>
      </c>
      <c r="X1275" s="2">
        <v>-15.16</v>
      </c>
      <c r="Y1275" s="2">
        <v>-9.1300000000000008</v>
      </c>
      <c r="Z1275" s="2">
        <v>-7.09</v>
      </c>
    </row>
    <row r="1276" spans="1:26" x14ac:dyDescent="0.25">
      <c r="A1276" s="1" t="s">
        <v>5375</v>
      </c>
      <c r="B1276" s="1" t="s">
        <v>5376</v>
      </c>
      <c r="C1276" s="1" t="s">
        <v>16</v>
      </c>
      <c r="D1276" s="1" t="s">
        <v>88</v>
      </c>
      <c r="E1276" s="1" t="s">
        <v>658</v>
      </c>
      <c r="F1276" s="1" t="s">
        <v>5377</v>
      </c>
      <c r="G1276" s="1" t="s">
        <v>12480</v>
      </c>
      <c r="H1276" s="1" t="s">
        <v>5378</v>
      </c>
      <c r="I1276" s="2">
        <v>22.5</v>
      </c>
      <c r="J1276" s="2">
        <v>0.67</v>
      </c>
      <c r="K1276" s="2">
        <v>1.59</v>
      </c>
      <c r="L1276" s="2" t="s">
        <v>12487</v>
      </c>
      <c r="M1276" s="4">
        <f t="shared" si="114"/>
        <v>14.150943396226415</v>
      </c>
      <c r="N1276" s="4">
        <f t="shared" si="115"/>
        <v>11.25</v>
      </c>
      <c r="O1276" s="5">
        <f t="shared" si="116"/>
        <v>1.3731343283582089</v>
      </c>
      <c r="P1276" s="5">
        <f t="shared" si="117"/>
        <v>0.25786163522012573</v>
      </c>
      <c r="Q1276" s="4">
        <f t="shared" si="118"/>
        <v>0.1030557834290402</v>
      </c>
      <c r="R1276" s="4">
        <f t="shared" si="119"/>
        <v>0.43628048780487816</v>
      </c>
      <c r="S1276" s="4">
        <v>9.39</v>
      </c>
      <c r="T1276" s="2">
        <v>1.27</v>
      </c>
      <c r="U1276" s="2">
        <v>28.33</v>
      </c>
      <c r="V1276" s="2">
        <v>6.09</v>
      </c>
      <c r="W1276" s="2">
        <v>-15.86</v>
      </c>
      <c r="X1276" s="2">
        <v>-13.16</v>
      </c>
      <c r="Y1276" s="2">
        <v>19.36</v>
      </c>
      <c r="Z1276" s="2">
        <v>13.35</v>
      </c>
    </row>
    <row r="1277" spans="1:26" x14ac:dyDescent="0.25">
      <c r="A1277" s="1" t="s">
        <v>5379</v>
      </c>
      <c r="B1277" s="1" t="s">
        <v>5380</v>
      </c>
      <c r="C1277" s="1" t="s">
        <v>45</v>
      </c>
      <c r="D1277" s="1" t="s">
        <v>147</v>
      </c>
      <c r="E1277" s="1" t="s">
        <v>180</v>
      </c>
      <c r="F1277" s="1" t="s">
        <v>5381</v>
      </c>
      <c r="G1277" s="1" t="s">
        <v>12480</v>
      </c>
      <c r="H1277" s="1" t="s">
        <v>5382</v>
      </c>
      <c r="I1277" s="2">
        <v>8.09</v>
      </c>
      <c r="J1277" s="2"/>
      <c r="K1277" s="2"/>
      <c r="L1277" s="2"/>
      <c r="M1277" s="4" t="e">
        <f t="shared" si="114"/>
        <v>#DIV/0!</v>
      </c>
      <c r="N1277" s="4" t="e">
        <f t="shared" si="115"/>
        <v>#DIV/0!</v>
      </c>
      <c r="O1277" s="5" t="e">
        <f t="shared" si="116"/>
        <v>#DIV/0!</v>
      </c>
      <c r="P1277" s="5" t="e">
        <f t="shared" si="117"/>
        <v>#DIV/0!</v>
      </c>
      <c r="Q1277" s="4" t="e">
        <f t="shared" si="118"/>
        <v>#DIV/0!</v>
      </c>
      <c r="R1277" s="4" t="e">
        <f t="shared" si="119"/>
        <v>#DIV/0!</v>
      </c>
      <c r="S1277" s="4"/>
      <c r="T1277" s="2">
        <v>-1.1000000000000001</v>
      </c>
      <c r="U1277" s="2">
        <v>12.47</v>
      </c>
      <c r="V1277" s="2">
        <v>1.66</v>
      </c>
      <c r="W1277" s="2">
        <v>-0.74</v>
      </c>
      <c r="X1277" s="2">
        <v>7.72</v>
      </c>
      <c r="Y1277" s="2">
        <v>17.079999999999998</v>
      </c>
      <c r="Z1277" s="2">
        <v>8.3000000000000007</v>
      </c>
    </row>
    <row r="1278" spans="1:26" x14ac:dyDescent="0.25">
      <c r="A1278" s="1" t="s">
        <v>5383</v>
      </c>
      <c r="B1278" s="1" t="s">
        <v>5384</v>
      </c>
      <c r="C1278" s="1" t="s">
        <v>31</v>
      </c>
      <c r="D1278" s="1" t="s">
        <v>94</v>
      </c>
      <c r="E1278" s="1" t="s">
        <v>1542</v>
      </c>
      <c r="F1278" s="1" t="s">
        <v>5385</v>
      </c>
      <c r="G1278" s="1" t="s">
        <v>12480</v>
      </c>
      <c r="H1278" s="1" t="s">
        <v>5386</v>
      </c>
      <c r="I1278" s="2">
        <v>4.1050000000000004</v>
      </c>
      <c r="J1278" s="2">
        <v>-0.16</v>
      </c>
      <c r="K1278" s="2">
        <v>0.18</v>
      </c>
      <c r="L1278" s="2">
        <v>0.19</v>
      </c>
      <c r="M1278" s="4">
        <f t="shared" si="114"/>
        <v>22.805555555555557</v>
      </c>
      <c r="N1278" s="4">
        <f t="shared" si="115"/>
        <v>21.60526315789474</v>
      </c>
      <c r="O1278" s="5">
        <f t="shared" si="116"/>
        <v>-2.125</v>
      </c>
      <c r="P1278" s="5">
        <f t="shared" si="117"/>
        <v>5.555555555555558E-2</v>
      </c>
      <c r="Q1278" s="4">
        <f t="shared" si="118"/>
        <v>-0.1073202614379085</v>
      </c>
      <c r="R1278" s="4">
        <f t="shared" si="119"/>
        <v>3.8889473684210514</v>
      </c>
      <c r="S1278" s="4">
        <v>64.81</v>
      </c>
      <c r="T1278" s="2">
        <v>0.05</v>
      </c>
      <c r="U1278" s="2">
        <v>4.18</v>
      </c>
      <c r="V1278" s="2">
        <v>2.08</v>
      </c>
      <c r="W1278" s="2">
        <v>10.95</v>
      </c>
      <c r="X1278" s="2">
        <v>27.88</v>
      </c>
      <c r="Y1278" s="2">
        <v>45.05</v>
      </c>
      <c r="Z1278" s="2">
        <v>46.61</v>
      </c>
    </row>
    <row r="1279" spans="1:26" x14ac:dyDescent="0.25">
      <c r="A1279" s="1" t="s">
        <v>5387</v>
      </c>
      <c r="B1279" s="1" t="s">
        <v>5388</v>
      </c>
      <c r="C1279" s="1" t="s">
        <v>16</v>
      </c>
      <c r="D1279" s="1" t="s">
        <v>18</v>
      </c>
      <c r="E1279" s="1" t="s">
        <v>624</v>
      </c>
      <c r="F1279" s="1" t="s">
        <v>5389</v>
      </c>
      <c r="G1279" s="1" t="s">
        <v>12480</v>
      </c>
      <c r="H1279" s="1" t="s">
        <v>5390</v>
      </c>
      <c r="I1279" s="2">
        <v>545.13</v>
      </c>
      <c r="J1279" s="2">
        <v>28.21</v>
      </c>
      <c r="K1279" s="2">
        <v>30.01</v>
      </c>
      <c r="L1279" s="2">
        <v>33.19</v>
      </c>
      <c r="M1279" s="4">
        <f t="shared" si="114"/>
        <v>18.164945018327224</v>
      </c>
      <c r="N1279" s="4">
        <f t="shared" si="115"/>
        <v>16.424525459475745</v>
      </c>
      <c r="O1279" s="5">
        <f t="shared" si="116"/>
        <v>6.3807160581354161E-2</v>
      </c>
      <c r="P1279" s="5">
        <f t="shared" si="117"/>
        <v>0.10596467844051971</v>
      </c>
      <c r="Q1279" s="4">
        <f t="shared" si="118"/>
        <v>2.8468505498167263</v>
      </c>
      <c r="R1279" s="4">
        <f t="shared" si="119"/>
        <v>1.550000028424112</v>
      </c>
      <c r="S1279" s="4">
        <v>7.08</v>
      </c>
      <c r="T1279" s="2">
        <v>1.34</v>
      </c>
      <c r="U1279" s="2">
        <v>545.13</v>
      </c>
      <c r="V1279" s="2">
        <v>312.87</v>
      </c>
      <c r="W1279" s="2">
        <v>2.29</v>
      </c>
      <c r="X1279" s="2">
        <v>9.57</v>
      </c>
      <c r="Y1279" s="2">
        <v>14.29</v>
      </c>
      <c r="Z1279" s="2">
        <v>16.760000000000002</v>
      </c>
    </row>
    <row r="1280" spans="1:26" x14ac:dyDescent="0.25">
      <c r="A1280" s="1" t="s">
        <v>5391</v>
      </c>
      <c r="B1280" s="1" t="s">
        <v>5392</v>
      </c>
      <c r="C1280" s="1" t="s">
        <v>16</v>
      </c>
      <c r="D1280" s="1" t="s">
        <v>94</v>
      </c>
      <c r="E1280" s="1" t="s">
        <v>1027</v>
      </c>
      <c r="F1280" s="1" t="s">
        <v>5393</v>
      </c>
      <c r="G1280" s="1" t="s">
        <v>12480</v>
      </c>
      <c r="H1280" s="1" t="s">
        <v>5394</v>
      </c>
      <c r="I1280" s="2">
        <v>78.94</v>
      </c>
      <c r="J1280" s="2">
        <v>1.08</v>
      </c>
      <c r="K1280" s="2">
        <v>7.79</v>
      </c>
      <c r="L1280" s="2">
        <v>13.7</v>
      </c>
      <c r="M1280" s="4">
        <f t="shared" si="114"/>
        <v>10.133504492939666</v>
      </c>
      <c r="N1280" s="4">
        <f t="shared" si="115"/>
        <v>5.7620437956204382</v>
      </c>
      <c r="O1280" s="5">
        <f t="shared" si="116"/>
        <v>6.2129629629629628</v>
      </c>
      <c r="P1280" s="5">
        <f t="shared" si="117"/>
        <v>0.75866495507060328</v>
      </c>
      <c r="Q1280" s="4">
        <f t="shared" si="118"/>
        <v>1.6310260584761312E-2</v>
      </c>
      <c r="R1280" s="4">
        <f t="shared" si="119"/>
        <v>7.5949782009954683E-2</v>
      </c>
      <c r="S1280" s="4">
        <v>-14.11</v>
      </c>
      <c r="T1280" s="2">
        <v>0.69</v>
      </c>
      <c r="U1280" s="2">
        <v>102.44</v>
      </c>
      <c r="V1280" s="2">
        <v>40.659999999999997</v>
      </c>
      <c r="W1280" s="2">
        <v>-2.7</v>
      </c>
      <c r="X1280" s="2">
        <v>-16.02</v>
      </c>
      <c r="Y1280" s="2">
        <v>-5.47</v>
      </c>
      <c r="Z1280" s="2">
        <v>-10.47</v>
      </c>
    </row>
    <row r="1281" spans="1:26" x14ac:dyDescent="0.25">
      <c r="A1281" s="1" t="s">
        <v>5395</v>
      </c>
      <c r="B1281" s="1" t="s">
        <v>5396</v>
      </c>
      <c r="C1281" s="1" t="s">
        <v>31</v>
      </c>
      <c r="D1281" s="1" t="s">
        <v>88</v>
      </c>
      <c r="E1281" s="1" t="s">
        <v>440</v>
      </c>
      <c r="F1281" s="1" t="s">
        <v>5397</v>
      </c>
      <c r="G1281" s="1" t="s">
        <v>12480</v>
      </c>
      <c r="H1281" s="1" t="s">
        <v>5398</v>
      </c>
      <c r="I1281" s="2">
        <v>8.9990000000000006</v>
      </c>
      <c r="J1281" s="2">
        <v>0.23</v>
      </c>
      <c r="K1281" s="2">
        <v>0.82</v>
      </c>
      <c r="L1281" s="2">
        <v>0.93</v>
      </c>
      <c r="M1281" s="4">
        <f t="shared" si="114"/>
        <v>10.974390243902441</v>
      </c>
      <c r="N1281" s="4">
        <f t="shared" si="115"/>
        <v>9.6763440860215049</v>
      </c>
      <c r="O1281" s="5">
        <f t="shared" si="116"/>
        <v>2.5652173913043477</v>
      </c>
      <c r="P1281" s="5">
        <f t="shared" si="117"/>
        <v>0.13414634146341475</v>
      </c>
      <c r="Q1281" s="4">
        <f t="shared" si="118"/>
        <v>4.2781521289789182E-2</v>
      </c>
      <c r="R1281" s="4">
        <f t="shared" si="119"/>
        <v>0.72132746823069338</v>
      </c>
      <c r="S1281" s="4">
        <v>36.61</v>
      </c>
      <c r="T1281" s="2">
        <v>0.53</v>
      </c>
      <c r="U1281" s="2">
        <v>11.06</v>
      </c>
      <c r="V1281" s="2">
        <v>2.44</v>
      </c>
      <c r="W1281" s="2">
        <v>-18.27</v>
      </c>
      <c r="X1281" s="2">
        <v>-6.26</v>
      </c>
      <c r="Y1281" s="2">
        <v>44.22</v>
      </c>
      <c r="Z1281" s="2">
        <v>26.75</v>
      </c>
    </row>
    <row r="1282" spans="1:26" x14ac:dyDescent="0.25">
      <c r="A1282" s="1" t="s">
        <v>5399</v>
      </c>
      <c r="B1282" s="1" t="s">
        <v>5400</v>
      </c>
      <c r="C1282" s="1" t="s">
        <v>16</v>
      </c>
      <c r="D1282" s="1" t="s">
        <v>38</v>
      </c>
      <c r="E1282" s="1" t="s">
        <v>194</v>
      </c>
      <c r="F1282" s="1" t="s">
        <v>5401</v>
      </c>
      <c r="G1282" s="1" t="s">
        <v>12480</v>
      </c>
      <c r="H1282" s="1" t="s">
        <v>12549</v>
      </c>
      <c r="I1282" s="2">
        <v>163.87</v>
      </c>
      <c r="J1282" s="2">
        <v>22.72</v>
      </c>
      <c r="K1282" s="2">
        <v>16.88</v>
      </c>
      <c r="L1282" s="2">
        <v>17.39</v>
      </c>
      <c r="M1282" s="4">
        <f t="shared" si="114"/>
        <v>9.7079383886255926</v>
      </c>
      <c r="N1282" s="4">
        <f t="shared" si="115"/>
        <v>9.4232317423806791</v>
      </c>
      <c r="O1282" s="5">
        <f t="shared" si="116"/>
        <v>-0.25704225352112675</v>
      </c>
      <c r="P1282" s="5">
        <f t="shared" si="117"/>
        <v>3.0213270142180226E-2</v>
      </c>
      <c r="Q1282" s="4">
        <f t="shared" si="118"/>
        <v>-0.37767869895474909</v>
      </c>
      <c r="R1282" s="4">
        <f t="shared" si="119"/>
        <v>3.1189049374781406</v>
      </c>
      <c r="S1282" s="4">
        <v>20.12</v>
      </c>
      <c r="T1282" s="2">
        <v>1.19</v>
      </c>
      <c r="U1282" s="2">
        <v>206.4</v>
      </c>
      <c r="V1282" s="2">
        <v>133.82</v>
      </c>
      <c r="W1282" s="2">
        <v>-5.69</v>
      </c>
      <c r="X1282" s="2">
        <v>1.95</v>
      </c>
      <c r="Y1282" s="2">
        <v>-12.33</v>
      </c>
      <c r="Z1282" s="2">
        <v>-14.51</v>
      </c>
    </row>
    <row r="1283" spans="1:26" x14ac:dyDescent="0.25">
      <c r="A1283" s="1" t="s">
        <v>5402</v>
      </c>
      <c r="B1283" s="1" t="s">
        <v>5403</v>
      </c>
      <c r="C1283" s="1" t="s">
        <v>45</v>
      </c>
      <c r="D1283" s="1" t="s">
        <v>18</v>
      </c>
      <c r="E1283" s="1" t="s">
        <v>74</v>
      </c>
      <c r="F1283" s="1" t="s">
        <v>5404</v>
      </c>
      <c r="G1283" s="1" t="s">
        <v>12480</v>
      </c>
      <c r="H1283" s="1" t="s">
        <v>5405</v>
      </c>
      <c r="I1283" s="2">
        <v>13.77</v>
      </c>
      <c r="J1283" s="2">
        <v>2.62</v>
      </c>
      <c r="K1283" s="2">
        <v>0.41</v>
      </c>
      <c r="L1283" s="2">
        <v>0.93</v>
      </c>
      <c r="M1283" s="4">
        <f t="shared" ref="M1283:M1346" si="120">I1283/K1283</f>
        <v>33.585365853658537</v>
      </c>
      <c r="N1283" s="4">
        <f t="shared" ref="N1283:N1346" si="121">I1283/L1283</f>
        <v>14.806451612903224</v>
      </c>
      <c r="O1283" s="5">
        <f t="shared" ref="O1283:O1346" si="122">K1283/J1283-1</f>
        <v>-0.84351145038167941</v>
      </c>
      <c r="P1283" s="5">
        <f t="shared" ref="P1283:P1346" si="123">L1283/K1283-1</f>
        <v>1.2682926829268295</v>
      </c>
      <c r="Q1283" s="4">
        <f t="shared" ref="Q1283:Q1346" si="124">M1283/(O1283*100)</f>
        <v>-0.39816135084427767</v>
      </c>
      <c r="R1283" s="4">
        <f t="shared" ref="R1283:R1346" si="125">N1283/(P1283*100)</f>
        <v>0.11674317617866001</v>
      </c>
      <c r="S1283" s="4">
        <v>-12.96</v>
      </c>
      <c r="T1283" s="2">
        <v>0.44</v>
      </c>
      <c r="U1283" s="2">
        <v>19.21</v>
      </c>
      <c r="V1283" s="2">
        <v>11.81</v>
      </c>
      <c r="W1283" s="2">
        <v>-0.9</v>
      </c>
      <c r="X1283" s="2">
        <v>-7.52</v>
      </c>
      <c r="Y1283" s="2">
        <v>3.3</v>
      </c>
      <c r="Z1283" s="2">
        <v>3.3</v>
      </c>
    </row>
    <row r="1284" spans="1:26" x14ac:dyDescent="0.25">
      <c r="A1284" s="1" t="s">
        <v>5406</v>
      </c>
      <c r="B1284" s="1" t="s">
        <v>5407</v>
      </c>
      <c r="C1284" s="1" t="s">
        <v>31</v>
      </c>
      <c r="D1284" s="1" t="s">
        <v>61</v>
      </c>
      <c r="E1284" s="1" t="s">
        <v>170</v>
      </c>
      <c r="F1284" s="1" t="s">
        <v>5408</v>
      </c>
      <c r="G1284" s="1" t="s">
        <v>12480</v>
      </c>
      <c r="H1284" s="1" t="s">
        <v>5409</v>
      </c>
      <c r="I1284" s="2">
        <v>16.7</v>
      </c>
      <c r="J1284" s="2">
        <v>0.17</v>
      </c>
      <c r="K1284" s="2">
        <v>0.92</v>
      </c>
      <c r="L1284" s="2">
        <v>1.06</v>
      </c>
      <c r="M1284" s="4">
        <f t="shared" si="120"/>
        <v>18.152173913043477</v>
      </c>
      <c r="N1284" s="4">
        <f t="shared" si="121"/>
        <v>15.754716981132074</v>
      </c>
      <c r="O1284" s="5">
        <f t="shared" si="122"/>
        <v>4.4117647058823524</v>
      </c>
      <c r="P1284" s="5">
        <f t="shared" si="123"/>
        <v>0.15217391304347827</v>
      </c>
      <c r="Q1284" s="4">
        <f t="shared" si="124"/>
        <v>4.1144927536231883E-2</v>
      </c>
      <c r="R1284" s="4">
        <f t="shared" si="125"/>
        <v>1.035309973045822</v>
      </c>
      <c r="S1284" s="4">
        <v>-36.75</v>
      </c>
      <c r="T1284" s="2">
        <v>0.99</v>
      </c>
      <c r="U1284" s="2">
        <v>27.03</v>
      </c>
      <c r="V1284" s="2">
        <v>15.62</v>
      </c>
      <c r="W1284" s="2">
        <v>-5.65</v>
      </c>
      <c r="X1284" s="2">
        <v>-18.440000000000001</v>
      </c>
      <c r="Y1284" s="2">
        <v>-12.15</v>
      </c>
      <c r="Z1284" s="2">
        <v>-14.23</v>
      </c>
    </row>
    <row r="1285" spans="1:26" x14ac:dyDescent="0.25">
      <c r="A1285" s="1" t="s">
        <v>5410</v>
      </c>
      <c r="B1285" s="1" t="s">
        <v>5411</v>
      </c>
      <c r="C1285" s="1" t="s">
        <v>45</v>
      </c>
      <c r="D1285" s="1" t="s">
        <v>140</v>
      </c>
      <c r="E1285" s="1" t="s">
        <v>141</v>
      </c>
      <c r="F1285" s="1" t="s">
        <v>5412</v>
      </c>
      <c r="G1285" s="1" t="s">
        <v>12480</v>
      </c>
      <c r="H1285" s="1" t="s">
        <v>5413</v>
      </c>
      <c r="I1285" s="2">
        <v>20.64</v>
      </c>
      <c r="J1285" s="2">
        <v>1.1000000000000001</v>
      </c>
      <c r="K1285" s="2">
        <v>0.94</v>
      </c>
      <c r="L1285" s="2">
        <v>1.06</v>
      </c>
      <c r="M1285" s="4">
        <f t="shared" si="120"/>
        <v>21.957446808510639</v>
      </c>
      <c r="N1285" s="4">
        <f t="shared" si="121"/>
        <v>19.471698113207548</v>
      </c>
      <c r="O1285" s="5">
        <f t="shared" si="122"/>
        <v>-0.14545454545454561</v>
      </c>
      <c r="P1285" s="5">
        <f t="shared" si="123"/>
        <v>0.12765957446808529</v>
      </c>
      <c r="Q1285" s="4">
        <f t="shared" si="124"/>
        <v>-1.5095744680851049</v>
      </c>
      <c r="R1285" s="4">
        <f t="shared" si="125"/>
        <v>1.5252830188679225</v>
      </c>
      <c r="S1285" s="4">
        <v>7.08</v>
      </c>
      <c r="T1285" s="2">
        <v>0.73</v>
      </c>
      <c r="U1285" s="2">
        <v>22.28</v>
      </c>
      <c r="V1285" s="2">
        <v>9.3699999999999992</v>
      </c>
      <c r="W1285" s="2">
        <v>-7.11</v>
      </c>
      <c r="X1285" s="2">
        <v>8.86</v>
      </c>
      <c r="Y1285" s="2">
        <v>6.61</v>
      </c>
      <c r="Z1285" s="2">
        <v>7.95</v>
      </c>
    </row>
    <row r="1286" spans="1:26" x14ac:dyDescent="0.25">
      <c r="A1286" s="1" t="s">
        <v>5414</v>
      </c>
      <c r="B1286" s="1" t="s">
        <v>5415</v>
      </c>
      <c r="C1286" s="1" t="s">
        <v>16</v>
      </c>
      <c r="D1286" s="1" t="s">
        <v>67</v>
      </c>
      <c r="E1286" s="1" t="s">
        <v>619</v>
      </c>
      <c r="F1286" s="1" t="s">
        <v>5416</v>
      </c>
      <c r="G1286" s="1" t="s">
        <v>12493</v>
      </c>
      <c r="H1286" s="1" t="s">
        <v>5417</v>
      </c>
      <c r="I1286" s="2">
        <v>353.56</v>
      </c>
      <c r="J1286" s="2">
        <v>14.69</v>
      </c>
      <c r="K1286" s="2">
        <v>15.07</v>
      </c>
      <c r="L1286" s="2">
        <v>16.41</v>
      </c>
      <c r="M1286" s="4">
        <f t="shared" si="120"/>
        <v>23.461181154611811</v>
      </c>
      <c r="N1286" s="4">
        <f t="shared" si="121"/>
        <v>21.545399146861669</v>
      </c>
      <c r="O1286" s="5">
        <f t="shared" si="122"/>
        <v>2.586793737236226E-2</v>
      </c>
      <c r="P1286" s="5">
        <f t="shared" si="123"/>
        <v>8.8918380889183801E-2</v>
      </c>
      <c r="Q1286" s="4">
        <f t="shared" si="124"/>
        <v>9.0695987147696329</v>
      </c>
      <c r="R1286" s="4">
        <f t="shared" si="125"/>
        <v>2.4230534712179508</v>
      </c>
      <c r="S1286" s="4">
        <v>3.24</v>
      </c>
      <c r="T1286" s="2">
        <v>1.0900000000000001</v>
      </c>
      <c r="U1286" s="2">
        <v>423.42</v>
      </c>
      <c r="V1286" s="2">
        <v>332.38</v>
      </c>
      <c r="W1286" s="2">
        <v>-4.6500000000000004</v>
      </c>
      <c r="X1286" s="2">
        <v>-7.2</v>
      </c>
      <c r="Y1286" s="2">
        <v>-0.96</v>
      </c>
      <c r="Z1286" s="2">
        <v>2.75</v>
      </c>
    </row>
    <row r="1287" spans="1:26" x14ac:dyDescent="0.25">
      <c r="A1287" s="1" t="s">
        <v>5418</v>
      </c>
      <c r="B1287" s="1" t="s">
        <v>5419</v>
      </c>
      <c r="C1287" s="1" t="s">
        <v>16</v>
      </c>
      <c r="D1287" s="1" t="s">
        <v>38</v>
      </c>
      <c r="E1287" s="1" t="s">
        <v>189</v>
      </c>
      <c r="F1287" s="1" t="s">
        <v>5420</v>
      </c>
      <c r="G1287" s="1" t="s">
        <v>12490</v>
      </c>
      <c r="H1287" s="1" t="s">
        <v>5421</v>
      </c>
      <c r="I1287" s="2">
        <v>29.72</v>
      </c>
      <c r="J1287" s="2">
        <v>1.64</v>
      </c>
      <c r="K1287" s="2">
        <v>1.54</v>
      </c>
      <c r="L1287" s="2">
        <v>1.79</v>
      </c>
      <c r="M1287" s="4">
        <f t="shared" si="120"/>
        <v>19.298701298701296</v>
      </c>
      <c r="N1287" s="4">
        <f t="shared" si="121"/>
        <v>16.603351955307261</v>
      </c>
      <c r="O1287" s="5">
        <f t="shared" si="122"/>
        <v>-6.0975609756097504E-2</v>
      </c>
      <c r="P1287" s="5">
        <f t="shared" si="123"/>
        <v>0.16233766233766223</v>
      </c>
      <c r="Q1287" s="4">
        <f t="shared" si="124"/>
        <v>-3.1649870129870155</v>
      </c>
      <c r="R1287" s="4">
        <f t="shared" si="125"/>
        <v>1.0227664804469281</v>
      </c>
      <c r="S1287" s="4">
        <v>13.01</v>
      </c>
      <c r="T1287" s="2">
        <v>0.56000000000000005</v>
      </c>
      <c r="U1287" s="2">
        <v>39.47</v>
      </c>
      <c r="V1287" s="2">
        <v>29.4</v>
      </c>
      <c r="W1287" s="2">
        <v>-5.83</v>
      </c>
      <c r="X1287" s="2">
        <v>-12.23</v>
      </c>
      <c r="Y1287" s="2">
        <v>-17.420000000000002</v>
      </c>
      <c r="Z1287" s="2">
        <v>-18.66</v>
      </c>
    </row>
    <row r="1288" spans="1:26" x14ac:dyDescent="0.25">
      <c r="A1288" s="1" t="s">
        <v>5422</v>
      </c>
      <c r="B1288" s="1" t="s">
        <v>5423</v>
      </c>
      <c r="C1288" s="1" t="s">
        <v>45</v>
      </c>
      <c r="D1288" s="1" t="s">
        <v>67</v>
      </c>
      <c r="E1288" s="1" t="s">
        <v>1037</v>
      </c>
      <c r="F1288" s="1" t="s">
        <v>5424</v>
      </c>
      <c r="G1288" s="1" t="s">
        <v>12480</v>
      </c>
      <c r="H1288" s="1" t="s">
        <v>5425</v>
      </c>
      <c r="I1288" s="2">
        <v>16.474799999999998</v>
      </c>
      <c r="J1288" s="2">
        <v>0.4</v>
      </c>
      <c r="K1288" s="2">
        <v>0.96</v>
      </c>
      <c r="L1288" s="2">
        <v>1.1499999999999999</v>
      </c>
      <c r="M1288" s="4">
        <f t="shared" si="120"/>
        <v>17.161249999999999</v>
      </c>
      <c r="N1288" s="4">
        <f t="shared" si="121"/>
        <v>14.325913043478261</v>
      </c>
      <c r="O1288" s="5">
        <f t="shared" si="122"/>
        <v>1.4</v>
      </c>
      <c r="P1288" s="5">
        <f t="shared" si="123"/>
        <v>0.19791666666666652</v>
      </c>
      <c r="Q1288" s="4">
        <f t="shared" si="124"/>
        <v>0.12258035714285713</v>
      </c>
      <c r="R1288" s="4">
        <f t="shared" si="125"/>
        <v>0.72383560640732325</v>
      </c>
      <c r="S1288" s="4">
        <v>13.4</v>
      </c>
      <c r="T1288" s="2">
        <v>-0.59</v>
      </c>
      <c r="U1288" s="2">
        <v>27.5</v>
      </c>
      <c r="V1288" s="2">
        <v>15.83</v>
      </c>
      <c r="W1288" s="2">
        <v>-0.51</v>
      </c>
      <c r="X1288" s="2">
        <v>-5.86</v>
      </c>
      <c r="Y1288" s="2">
        <v>-3.09</v>
      </c>
      <c r="Z1288" s="2">
        <v>2.58</v>
      </c>
    </row>
    <row r="1289" spans="1:26" x14ac:dyDescent="0.25">
      <c r="A1289" s="1" t="s">
        <v>5426</v>
      </c>
      <c r="B1289" s="1" t="s">
        <v>5427</v>
      </c>
      <c r="C1289" s="1" t="s">
        <v>31</v>
      </c>
      <c r="D1289" s="1" t="s">
        <v>61</v>
      </c>
      <c r="E1289" s="1" t="s">
        <v>170</v>
      </c>
      <c r="F1289" s="1" t="s">
        <v>5428</v>
      </c>
      <c r="G1289" s="1" t="s">
        <v>12480</v>
      </c>
      <c r="H1289" s="1" t="s">
        <v>5429</v>
      </c>
      <c r="I1289" s="2">
        <v>40.340000000000003</v>
      </c>
      <c r="J1289" s="2">
        <v>2.81</v>
      </c>
      <c r="K1289" s="2">
        <v>3.25</v>
      </c>
      <c r="L1289" s="2">
        <v>3.67</v>
      </c>
      <c r="M1289" s="4">
        <f t="shared" si="120"/>
        <v>12.412307692307694</v>
      </c>
      <c r="N1289" s="4">
        <f t="shared" si="121"/>
        <v>10.991825613079021</v>
      </c>
      <c r="O1289" s="5">
        <f t="shared" si="122"/>
        <v>0.15658362989323837</v>
      </c>
      <c r="P1289" s="5">
        <f t="shared" si="123"/>
        <v>0.12923076923076926</v>
      </c>
      <c r="Q1289" s="4">
        <f t="shared" si="124"/>
        <v>0.79269510489510531</v>
      </c>
      <c r="R1289" s="4">
        <f t="shared" si="125"/>
        <v>0.85055793434540017</v>
      </c>
      <c r="S1289" s="4">
        <v>6.56</v>
      </c>
      <c r="T1289" s="2">
        <v>1.1200000000000001</v>
      </c>
      <c r="U1289" s="2">
        <v>57.79</v>
      </c>
      <c r="V1289" s="2">
        <v>31.8</v>
      </c>
      <c r="W1289" s="2">
        <v>-6.32</v>
      </c>
      <c r="X1289" s="2">
        <v>-23.56</v>
      </c>
      <c r="Y1289" s="2">
        <v>-23.24</v>
      </c>
      <c r="Z1289" s="2">
        <v>-22.56</v>
      </c>
    </row>
    <row r="1290" spans="1:26" x14ac:dyDescent="0.25">
      <c r="A1290" s="1" t="s">
        <v>5430</v>
      </c>
      <c r="B1290" s="1" t="s">
        <v>5431</v>
      </c>
      <c r="C1290" s="1" t="s">
        <v>16</v>
      </c>
      <c r="D1290" s="1" t="s">
        <v>354</v>
      </c>
      <c r="E1290" s="1" t="s">
        <v>355</v>
      </c>
      <c r="F1290" s="1" t="s">
        <v>5432</v>
      </c>
      <c r="G1290" s="1" t="s">
        <v>12480</v>
      </c>
      <c r="H1290" s="1" t="s">
        <v>5433</v>
      </c>
      <c r="I1290" s="2">
        <v>15.15</v>
      </c>
      <c r="J1290" s="2">
        <v>0.86</v>
      </c>
      <c r="K1290" s="2">
        <v>1.06</v>
      </c>
      <c r="L1290" s="2">
        <v>1.1299999999999999</v>
      </c>
      <c r="M1290" s="4">
        <f t="shared" si="120"/>
        <v>14.29245283018868</v>
      </c>
      <c r="N1290" s="4">
        <f t="shared" si="121"/>
        <v>13.407079646017701</v>
      </c>
      <c r="O1290" s="5">
        <f t="shared" si="122"/>
        <v>0.23255813953488391</v>
      </c>
      <c r="P1290" s="5">
        <f t="shared" si="123"/>
        <v>6.6037735849056478E-2</v>
      </c>
      <c r="Q1290" s="4">
        <f t="shared" si="124"/>
        <v>0.61457547169811266</v>
      </c>
      <c r="R1290" s="4">
        <f t="shared" si="125"/>
        <v>2.0302149178255413</v>
      </c>
      <c r="S1290" s="4">
        <v>-4.13</v>
      </c>
      <c r="T1290" s="2">
        <v>0.62</v>
      </c>
      <c r="U1290" s="2">
        <v>17.079999999999998</v>
      </c>
      <c r="V1290" s="2">
        <v>9.36</v>
      </c>
      <c r="W1290" s="2">
        <v>-5.25</v>
      </c>
      <c r="X1290" s="2">
        <v>-9.82</v>
      </c>
      <c r="Y1290" s="2">
        <v>27.52</v>
      </c>
      <c r="Z1290" s="2">
        <v>23.17</v>
      </c>
    </row>
    <row r="1291" spans="1:26" x14ac:dyDescent="0.25">
      <c r="A1291" s="1" t="s">
        <v>5434</v>
      </c>
      <c r="B1291" s="1" t="s">
        <v>5435</v>
      </c>
      <c r="C1291" s="1" t="s">
        <v>31</v>
      </c>
      <c r="D1291" s="1" t="s">
        <v>147</v>
      </c>
      <c r="E1291" s="1" t="s">
        <v>1084</v>
      </c>
      <c r="F1291" s="1" t="s">
        <v>5436</v>
      </c>
      <c r="G1291" s="1" t="s">
        <v>12480</v>
      </c>
      <c r="H1291" s="1" t="s">
        <v>5437</v>
      </c>
      <c r="I1291" s="2">
        <v>18.170000000000002</v>
      </c>
      <c r="J1291" s="2">
        <v>1.4</v>
      </c>
      <c r="K1291" s="2"/>
      <c r="L1291" s="2"/>
      <c r="M1291" s="4" t="e">
        <f t="shared" si="120"/>
        <v>#DIV/0!</v>
      </c>
      <c r="N1291" s="4" t="e">
        <f t="shared" si="121"/>
        <v>#DIV/0!</v>
      </c>
      <c r="O1291" s="5">
        <f t="shared" si="122"/>
        <v>-1</v>
      </c>
      <c r="P1291" s="5" t="e">
        <f t="shared" si="123"/>
        <v>#DIV/0!</v>
      </c>
      <c r="Q1291" s="4" t="e">
        <f t="shared" si="124"/>
        <v>#DIV/0!</v>
      </c>
      <c r="R1291" s="4" t="e">
        <f t="shared" si="125"/>
        <v>#DIV/0!</v>
      </c>
      <c r="S1291" s="4">
        <v>-6.23</v>
      </c>
      <c r="T1291" s="2">
        <v>0.13</v>
      </c>
      <c r="U1291" s="2">
        <v>18.82</v>
      </c>
      <c r="V1291" s="2">
        <v>12.48</v>
      </c>
      <c r="W1291" s="2">
        <v>-1.46</v>
      </c>
      <c r="X1291" s="2">
        <v>-1.1399999999999999</v>
      </c>
      <c r="Y1291" s="2">
        <v>-2.02</v>
      </c>
      <c r="Z1291" s="2">
        <v>2.14</v>
      </c>
    </row>
    <row r="1292" spans="1:26" x14ac:dyDescent="0.25">
      <c r="A1292" s="1" t="s">
        <v>5438</v>
      </c>
      <c r="B1292" s="1" t="s">
        <v>5439</v>
      </c>
      <c r="C1292" s="1" t="s">
        <v>16</v>
      </c>
      <c r="D1292" s="1" t="s">
        <v>204</v>
      </c>
      <c r="E1292" s="1" t="s">
        <v>534</v>
      </c>
      <c r="F1292" s="1" t="s">
        <v>5440</v>
      </c>
      <c r="G1292" s="1" t="s">
        <v>12479</v>
      </c>
      <c r="H1292" s="1" t="s">
        <v>5441</v>
      </c>
      <c r="I1292" s="2">
        <v>310.29000000000002</v>
      </c>
      <c r="J1292" s="2">
        <v>4.9000000000000004</v>
      </c>
      <c r="K1292" s="2">
        <v>5.56</v>
      </c>
      <c r="L1292" s="2">
        <v>6.26</v>
      </c>
      <c r="M1292" s="4">
        <f t="shared" si="120"/>
        <v>55.807553956834539</v>
      </c>
      <c r="N1292" s="4">
        <f t="shared" si="121"/>
        <v>49.567092651757193</v>
      </c>
      <c r="O1292" s="5">
        <f t="shared" si="122"/>
        <v>0.13469387755102025</v>
      </c>
      <c r="P1292" s="5">
        <f t="shared" si="123"/>
        <v>0.12589928057553967</v>
      </c>
      <c r="Q1292" s="4">
        <f t="shared" si="124"/>
        <v>4.1432880967952963</v>
      </c>
      <c r="R1292" s="4">
        <f t="shared" si="125"/>
        <v>3.9370433591967107</v>
      </c>
      <c r="S1292" s="4">
        <v>16.260000000000002</v>
      </c>
      <c r="T1292" s="2">
        <v>1.01</v>
      </c>
      <c r="U1292" s="2">
        <v>358.04</v>
      </c>
      <c r="V1292" s="2">
        <v>236.44</v>
      </c>
      <c r="W1292" s="2">
        <v>-5.76</v>
      </c>
      <c r="X1292" s="2">
        <v>-3.78</v>
      </c>
      <c r="Y1292" s="2">
        <v>-0.6</v>
      </c>
      <c r="Z1292" s="2">
        <v>-4.1100000000000003</v>
      </c>
    </row>
    <row r="1293" spans="1:26" x14ac:dyDescent="0.25">
      <c r="A1293" s="1" t="s">
        <v>5438</v>
      </c>
      <c r="B1293" s="1" t="s">
        <v>5442</v>
      </c>
      <c r="C1293" s="1" t="s">
        <v>16</v>
      </c>
      <c r="D1293" s="1" t="s">
        <v>204</v>
      </c>
      <c r="E1293" s="1" t="s">
        <v>534</v>
      </c>
      <c r="F1293" s="1" t="s">
        <v>5443</v>
      </c>
      <c r="G1293" s="1" t="s">
        <v>12479</v>
      </c>
      <c r="H1293" s="1" t="s">
        <v>5441</v>
      </c>
      <c r="I1293" s="2">
        <v>234.09</v>
      </c>
      <c r="J1293" s="2">
        <v>4.9000000000000004</v>
      </c>
      <c r="K1293" s="2">
        <v>5.5</v>
      </c>
      <c r="L1293" s="2">
        <v>6.15</v>
      </c>
      <c r="M1293" s="4">
        <f t="shared" si="120"/>
        <v>42.561818181818182</v>
      </c>
      <c r="N1293" s="4">
        <f t="shared" si="121"/>
        <v>38.063414634146341</v>
      </c>
      <c r="O1293" s="5">
        <f t="shared" si="122"/>
        <v>0.12244897959183665</v>
      </c>
      <c r="P1293" s="5">
        <f t="shared" si="123"/>
        <v>0.11818181818181817</v>
      </c>
      <c r="Q1293" s="4">
        <f t="shared" si="124"/>
        <v>3.4758818181818207</v>
      </c>
      <c r="R1293" s="4">
        <f t="shared" si="125"/>
        <v>3.2207504690431525</v>
      </c>
      <c r="S1293" s="4">
        <v>16.260000000000002</v>
      </c>
      <c r="T1293" s="2">
        <v>1.06</v>
      </c>
      <c r="U1293" s="2">
        <v>276.13</v>
      </c>
      <c r="V1293" s="2">
        <v>186.15</v>
      </c>
      <c r="W1293" s="2">
        <v>-4.99</v>
      </c>
      <c r="X1293" s="2">
        <v>-5.66</v>
      </c>
      <c r="Y1293" s="2">
        <v>-3.97</v>
      </c>
      <c r="Z1293" s="2">
        <v>-7.27</v>
      </c>
    </row>
    <row r="1294" spans="1:26" x14ac:dyDescent="0.25">
      <c r="A1294" s="1" t="s">
        <v>5444</v>
      </c>
      <c r="B1294" s="1" t="s">
        <v>5445</v>
      </c>
      <c r="C1294" s="1" t="s">
        <v>31</v>
      </c>
      <c r="D1294" s="1" t="s">
        <v>128</v>
      </c>
      <c r="E1294" s="1" t="s">
        <v>129</v>
      </c>
      <c r="F1294" s="1" t="s">
        <v>5446</v>
      </c>
      <c r="G1294" s="1" t="s">
        <v>12480</v>
      </c>
      <c r="H1294" s="1" t="s">
        <v>5447</v>
      </c>
      <c r="I1294" s="2">
        <v>41.5</v>
      </c>
      <c r="J1294" s="2">
        <v>2.7</v>
      </c>
      <c r="K1294" s="2">
        <v>3.18</v>
      </c>
      <c r="L1294" s="2">
        <v>3.43</v>
      </c>
      <c r="M1294" s="4">
        <f t="shared" si="120"/>
        <v>13.050314465408805</v>
      </c>
      <c r="N1294" s="4">
        <f t="shared" si="121"/>
        <v>12.099125364431487</v>
      </c>
      <c r="O1294" s="5">
        <f t="shared" si="122"/>
        <v>0.17777777777777781</v>
      </c>
      <c r="P1294" s="5">
        <f t="shared" si="123"/>
        <v>7.8616352201257955E-2</v>
      </c>
      <c r="Q1294" s="4">
        <f t="shared" si="124"/>
        <v>0.73408018867924507</v>
      </c>
      <c r="R1294" s="4">
        <f t="shared" si="125"/>
        <v>1.5390087463556832</v>
      </c>
      <c r="S1294" s="4">
        <v>-0.41</v>
      </c>
      <c r="T1294" s="2">
        <v>0.37</v>
      </c>
      <c r="U1294" s="2">
        <v>47.39</v>
      </c>
      <c r="V1294" s="2">
        <v>38.03</v>
      </c>
      <c r="W1294" s="2">
        <v>-7.18</v>
      </c>
      <c r="X1294" s="2">
        <v>-5.79</v>
      </c>
      <c r="Y1294" s="2">
        <v>1.1299999999999999</v>
      </c>
      <c r="Z1294" s="2">
        <v>1.72</v>
      </c>
    </row>
    <row r="1295" spans="1:26" x14ac:dyDescent="0.25">
      <c r="A1295" s="1" t="s">
        <v>5448</v>
      </c>
      <c r="B1295" s="1" t="s">
        <v>5449</v>
      </c>
      <c r="C1295" s="1" t="s">
        <v>31</v>
      </c>
      <c r="D1295" s="1" t="s">
        <v>128</v>
      </c>
      <c r="E1295" s="1" t="s">
        <v>210</v>
      </c>
      <c r="F1295" s="1" t="s">
        <v>5450</v>
      </c>
      <c r="G1295" s="1" t="s">
        <v>12480</v>
      </c>
      <c r="H1295" s="1" t="s">
        <v>5451</v>
      </c>
      <c r="I1295" s="2">
        <v>20.010000000000002</v>
      </c>
      <c r="J1295" s="2">
        <v>1.44</v>
      </c>
      <c r="K1295" s="2">
        <v>1.58</v>
      </c>
      <c r="L1295" s="2">
        <v>1.67</v>
      </c>
      <c r="M1295" s="4">
        <f t="shared" si="120"/>
        <v>12.664556962025317</v>
      </c>
      <c r="N1295" s="4">
        <f t="shared" si="121"/>
        <v>11.982035928143715</v>
      </c>
      <c r="O1295" s="5">
        <f t="shared" si="122"/>
        <v>9.7222222222222321E-2</v>
      </c>
      <c r="P1295" s="5">
        <f t="shared" si="123"/>
        <v>5.6962025316455556E-2</v>
      </c>
      <c r="Q1295" s="4">
        <f t="shared" si="124"/>
        <v>1.3026401446654599</v>
      </c>
      <c r="R1295" s="4">
        <f t="shared" si="125"/>
        <v>2.1035129740519016</v>
      </c>
      <c r="S1295" s="4">
        <v>0.33</v>
      </c>
      <c r="T1295" s="2">
        <v>0.55000000000000004</v>
      </c>
      <c r="U1295" s="2">
        <v>22.78</v>
      </c>
      <c r="V1295" s="2">
        <v>16.899999999999999</v>
      </c>
      <c r="W1295" s="2">
        <v>-8.08</v>
      </c>
      <c r="X1295" s="2">
        <v>-9.42</v>
      </c>
      <c r="Y1295" s="2">
        <v>3.68</v>
      </c>
      <c r="Z1295" s="2">
        <v>4.5999999999999996</v>
      </c>
    </row>
    <row r="1296" spans="1:26" x14ac:dyDescent="0.25">
      <c r="A1296" s="1" t="s">
        <v>5453</v>
      </c>
      <c r="B1296" s="1" t="s">
        <v>5454</v>
      </c>
      <c r="C1296" s="1" t="s">
        <v>45</v>
      </c>
      <c r="D1296" s="1" t="s">
        <v>67</v>
      </c>
      <c r="E1296" s="1" t="s">
        <v>833</v>
      </c>
      <c r="F1296" s="1" t="s">
        <v>5455</v>
      </c>
      <c r="G1296" s="1" t="s">
        <v>12480</v>
      </c>
      <c r="H1296" s="1" t="s">
        <v>5456</v>
      </c>
      <c r="I1296" s="2">
        <v>2.91</v>
      </c>
      <c r="J1296" s="2">
        <v>-0.46</v>
      </c>
      <c r="K1296" s="2">
        <v>-0.37</v>
      </c>
      <c r="L1296" s="2">
        <v>-0.28000000000000003</v>
      </c>
      <c r="M1296" s="4">
        <f t="shared" si="120"/>
        <v>-7.8648648648648649</v>
      </c>
      <c r="N1296" s="4">
        <f t="shared" si="121"/>
        <v>-10.392857142857142</v>
      </c>
      <c r="O1296" s="5">
        <f t="shared" si="122"/>
        <v>-0.19565217391304357</v>
      </c>
      <c r="P1296" s="5">
        <f t="shared" si="123"/>
        <v>-0.2432432432432432</v>
      </c>
      <c r="Q1296" s="4">
        <f t="shared" si="124"/>
        <v>0.40198198198198176</v>
      </c>
      <c r="R1296" s="4">
        <f t="shared" si="125"/>
        <v>0.42726190476190484</v>
      </c>
      <c r="S1296" s="4">
        <v>23.5</v>
      </c>
      <c r="T1296" s="2">
        <v>2.31</v>
      </c>
      <c r="U1296" s="2">
        <v>3.29</v>
      </c>
      <c r="V1296" s="2">
        <v>2.1800000000000002</v>
      </c>
      <c r="W1296" s="2">
        <v>11.07</v>
      </c>
      <c r="X1296" s="2">
        <v>5.43</v>
      </c>
      <c r="Y1296" s="2">
        <v>22.27</v>
      </c>
      <c r="Z1296" s="2">
        <v>17.34</v>
      </c>
    </row>
    <row r="1297" spans="1:26" x14ac:dyDescent="0.25">
      <c r="A1297" s="1" t="s">
        <v>5457</v>
      </c>
      <c r="B1297" s="1" t="s">
        <v>5458</v>
      </c>
      <c r="C1297" s="1" t="s">
        <v>31</v>
      </c>
      <c r="D1297" s="1" t="s">
        <v>128</v>
      </c>
      <c r="E1297" s="1" t="s">
        <v>210</v>
      </c>
      <c r="F1297" s="1" t="s">
        <v>5459</v>
      </c>
      <c r="G1297" s="1" t="s">
        <v>12480</v>
      </c>
      <c r="H1297" s="1" t="s">
        <v>5460</v>
      </c>
      <c r="I1297" s="2">
        <v>224.9</v>
      </c>
      <c r="J1297" s="2">
        <v>4.87</v>
      </c>
      <c r="K1297" s="2">
        <v>5.47</v>
      </c>
      <c r="L1297" s="2">
        <v>6.3</v>
      </c>
      <c r="M1297" s="4">
        <f t="shared" si="120"/>
        <v>41.115173674588668</v>
      </c>
      <c r="N1297" s="4">
        <f t="shared" si="121"/>
        <v>35.698412698412703</v>
      </c>
      <c r="O1297" s="5">
        <f t="shared" si="122"/>
        <v>0.12320328542094439</v>
      </c>
      <c r="P1297" s="5">
        <f t="shared" si="123"/>
        <v>0.15173674588665453</v>
      </c>
      <c r="Q1297" s="4">
        <f t="shared" si="124"/>
        <v>3.3371815965874516</v>
      </c>
      <c r="R1297" s="4">
        <f t="shared" si="125"/>
        <v>2.3526544272327401</v>
      </c>
      <c r="S1297" s="4">
        <v>10.25</v>
      </c>
      <c r="T1297" s="2">
        <v>0.27</v>
      </c>
      <c r="U1297" s="2">
        <v>289.97000000000003</v>
      </c>
      <c r="V1297" s="2">
        <v>221.31</v>
      </c>
      <c r="W1297" s="2">
        <v>-2.5099999999999998</v>
      </c>
      <c r="X1297" s="2">
        <v>-8.8000000000000007</v>
      </c>
      <c r="Y1297" s="2">
        <v>-10.98</v>
      </c>
      <c r="Z1297" s="2">
        <v>-9.31</v>
      </c>
    </row>
    <row r="1298" spans="1:26" x14ac:dyDescent="0.25">
      <c r="A1298" s="1" t="s">
        <v>5461</v>
      </c>
      <c r="B1298" s="1" t="s">
        <v>5462</v>
      </c>
      <c r="C1298" s="1" t="s">
        <v>16</v>
      </c>
      <c r="D1298" s="1" t="s">
        <v>94</v>
      </c>
      <c r="E1298" s="1" t="s">
        <v>2021</v>
      </c>
      <c r="F1298" s="1" t="s">
        <v>5463</v>
      </c>
      <c r="G1298" s="1" t="s">
        <v>12480</v>
      </c>
      <c r="H1298" s="1" t="s">
        <v>645</v>
      </c>
      <c r="I1298" s="2">
        <v>38.92</v>
      </c>
      <c r="J1298" s="2">
        <v>2.86</v>
      </c>
      <c r="K1298" s="2">
        <v>2.83</v>
      </c>
      <c r="L1298" s="2">
        <v>3.08</v>
      </c>
      <c r="M1298" s="4">
        <f t="shared" si="120"/>
        <v>13.752650176678445</v>
      </c>
      <c r="N1298" s="4">
        <f t="shared" si="121"/>
        <v>12.636363636363637</v>
      </c>
      <c r="O1298" s="5">
        <f t="shared" si="122"/>
        <v>-1.0489510489510412E-2</v>
      </c>
      <c r="P1298" s="5">
        <f t="shared" si="123"/>
        <v>8.8339222614840951E-2</v>
      </c>
      <c r="Q1298" s="4">
        <f t="shared" si="124"/>
        <v>-13.110859835100214</v>
      </c>
      <c r="R1298" s="4">
        <f t="shared" si="125"/>
        <v>1.4304363636363644</v>
      </c>
      <c r="S1298" s="4">
        <v>8.41</v>
      </c>
      <c r="T1298" s="2">
        <v>0.6</v>
      </c>
      <c r="U1298" s="2">
        <v>43.88</v>
      </c>
      <c r="V1298" s="2">
        <v>31.74</v>
      </c>
      <c r="W1298" s="2">
        <v>-1.44</v>
      </c>
      <c r="X1298" s="2">
        <v>7.45</v>
      </c>
      <c r="Y1298" s="2">
        <v>12.16</v>
      </c>
      <c r="Z1298" s="2">
        <v>12.81</v>
      </c>
    </row>
    <row r="1299" spans="1:26" x14ac:dyDescent="0.25">
      <c r="A1299" s="1" t="s">
        <v>5464</v>
      </c>
      <c r="B1299" s="1" t="s">
        <v>5465</v>
      </c>
      <c r="C1299" s="1" t="s">
        <v>45</v>
      </c>
      <c r="D1299" s="1" t="s">
        <v>38</v>
      </c>
      <c r="E1299" s="1" t="s">
        <v>1449</v>
      </c>
      <c r="F1299" s="1" t="s">
        <v>5466</v>
      </c>
      <c r="G1299" s="1" t="s">
        <v>12480</v>
      </c>
      <c r="H1299" s="1" t="s">
        <v>5467</v>
      </c>
      <c r="I1299" s="2">
        <v>25.19</v>
      </c>
      <c r="J1299" s="2">
        <v>2.2400000000000002</v>
      </c>
      <c r="K1299" s="2">
        <v>2.5299999999999998</v>
      </c>
      <c r="L1299" s="2">
        <v>2.89</v>
      </c>
      <c r="M1299" s="4">
        <f t="shared" si="120"/>
        <v>9.9565217391304355</v>
      </c>
      <c r="N1299" s="4">
        <f t="shared" si="121"/>
        <v>8.7162629757785464</v>
      </c>
      <c r="O1299" s="5">
        <f t="shared" si="122"/>
        <v>0.12946428571428559</v>
      </c>
      <c r="P1299" s="5">
        <f t="shared" si="123"/>
        <v>0.14229249011857714</v>
      </c>
      <c r="Q1299" s="4">
        <f t="shared" si="124"/>
        <v>0.76905547226386883</v>
      </c>
      <c r="R1299" s="4">
        <f t="shared" si="125"/>
        <v>0.61255959246443648</v>
      </c>
      <c r="S1299" s="4">
        <v>5.92</v>
      </c>
      <c r="T1299" s="2">
        <v>0.51</v>
      </c>
      <c r="U1299" s="2">
        <v>28.38</v>
      </c>
      <c r="V1299" s="2">
        <v>20.97</v>
      </c>
      <c r="W1299" s="2">
        <v>-4.84</v>
      </c>
      <c r="X1299" s="2">
        <v>-10.42</v>
      </c>
      <c r="Y1299" s="2">
        <v>-0.94</v>
      </c>
      <c r="Z1299" s="2">
        <v>6.51</v>
      </c>
    </row>
    <row r="1300" spans="1:26" x14ac:dyDescent="0.25">
      <c r="A1300" s="1" t="s">
        <v>5468</v>
      </c>
      <c r="B1300" s="1" t="s">
        <v>3991</v>
      </c>
      <c r="C1300" s="1" t="s">
        <v>5470</v>
      </c>
      <c r="D1300" s="1" t="s">
        <v>24</v>
      </c>
      <c r="E1300" s="1" t="s">
        <v>38</v>
      </c>
      <c r="F1300" s="1" t="s">
        <v>5469</v>
      </c>
      <c r="G1300" s="1" t="s">
        <v>254</v>
      </c>
      <c r="H1300" s="1" t="s">
        <v>12480</v>
      </c>
      <c r="I1300" s="2">
        <v>17.46</v>
      </c>
      <c r="J1300" s="2" t="s">
        <v>12481</v>
      </c>
      <c r="K1300" s="2">
        <v>4.84</v>
      </c>
      <c r="L1300" s="2">
        <v>3.42</v>
      </c>
      <c r="M1300" s="4">
        <f t="shared" si="120"/>
        <v>3.6074380165289259</v>
      </c>
      <c r="N1300" s="4">
        <f t="shared" si="121"/>
        <v>5.1052631578947372</v>
      </c>
      <c r="O1300" s="5">
        <f t="shared" si="122"/>
        <v>-0.99997610018171768</v>
      </c>
      <c r="P1300" s="5">
        <f t="shared" si="123"/>
        <v>-0.29338842975206614</v>
      </c>
      <c r="Q1300" s="4">
        <f t="shared" si="124"/>
        <v>-3.6075242357026083E-2</v>
      </c>
      <c r="R1300" s="4">
        <f t="shared" si="125"/>
        <v>-0.1740103780578206</v>
      </c>
      <c r="S1300" s="4">
        <v>4.04</v>
      </c>
      <c r="T1300" s="2">
        <v>28.19</v>
      </c>
      <c r="U1300" s="2">
        <v>99.03</v>
      </c>
      <c r="V1300" s="2">
        <v>31.77</v>
      </c>
      <c r="W1300" s="2">
        <v>0.56000000000000005</v>
      </c>
      <c r="X1300" s="2">
        <v>-10.65</v>
      </c>
      <c r="Y1300" s="2">
        <v>-4.38</v>
      </c>
      <c r="Z1300" s="2">
        <v>-0.56000000000000005</v>
      </c>
    </row>
    <row r="1301" spans="1:26" x14ac:dyDescent="0.25">
      <c r="A1301" s="1" t="s">
        <v>5471</v>
      </c>
      <c r="B1301" s="1" t="s">
        <v>5472</v>
      </c>
      <c r="C1301" s="1" t="s">
        <v>31</v>
      </c>
      <c r="D1301" s="1" t="s">
        <v>354</v>
      </c>
      <c r="E1301" s="1" t="s">
        <v>355</v>
      </c>
      <c r="F1301" s="1" t="s">
        <v>5473</v>
      </c>
      <c r="G1301" s="1" t="s">
        <v>12480</v>
      </c>
      <c r="H1301" s="1" t="s">
        <v>5474</v>
      </c>
      <c r="I1301" s="2">
        <v>7.82</v>
      </c>
      <c r="J1301" s="2">
        <v>0.37</v>
      </c>
      <c r="K1301" s="2"/>
      <c r="L1301" s="2"/>
      <c r="M1301" s="4" t="e">
        <f t="shared" si="120"/>
        <v>#DIV/0!</v>
      </c>
      <c r="N1301" s="4" t="e">
        <f t="shared" si="121"/>
        <v>#DIV/0!</v>
      </c>
      <c r="O1301" s="5">
        <f t="shared" si="122"/>
        <v>-1</v>
      </c>
      <c r="P1301" s="5" t="e">
        <f t="shared" si="123"/>
        <v>#DIV/0!</v>
      </c>
      <c r="Q1301" s="4" t="e">
        <f t="shared" si="124"/>
        <v>#DIV/0!</v>
      </c>
      <c r="R1301" s="4" t="e">
        <f t="shared" si="125"/>
        <v>#DIV/0!</v>
      </c>
      <c r="S1301" s="4">
        <v>-28.63</v>
      </c>
      <c r="T1301" s="2">
        <v>0.31</v>
      </c>
      <c r="U1301" s="2">
        <v>8.33</v>
      </c>
      <c r="V1301" s="2">
        <v>5.92</v>
      </c>
      <c r="W1301" s="2">
        <v>-1.51</v>
      </c>
      <c r="X1301" s="2">
        <v>-0.51</v>
      </c>
      <c r="Y1301" s="2" t="s">
        <v>12665</v>
      </c>
      <c r="Z1301" s="2">
        <v>12.45</v>
      </c>
    </row>
    <row r="1302" spans="1:26" x14ac:dyDescent="0.25">
      <c r="A1302" s="1" t="s">
        <v>5475</v>
      </c>
      <c r="B1302" s="1" t="s">
        <v>5476</v>
      </c>
      <c r="C1302" s="1" t="s">
        <v>16</v>
      </c>
      <c r="D1302" s="1" t="s">
        <v>38</v>
      </c>
      <c r="E1302" s="1" t="s">
        <v>194</v>
      </c>
      <c r="F1302" s="1" t="s">
        <v>5477</v>
      </c>
      <c r="G1302" s="1" t="s">
        <v>12480</v>
      </c>
      <c r="H1302" s="1" t="s">
        <v>5478</v>
      </c>
      <c r="I1302" s="2">
        <v>9.9600000000000009</v>
      </c>
      <c r="J1302" s="2">
        <v>0.37</v>
      </c>
      <c r="K1302" s="2">
        <v>0.39</v>
      </c>
      <c r="L1302" s="2">
        <v>0.59</v>
      </c>
      <c r="M1302" s="4">
        <f t="shared" si="120"/>
        <v>25.53846153846154</v>
      </c>
      <c r="N1302" s="4">
        <f t="shared" si="121"/>
        <v>16.881355932203391</v>
      </c>
      <c r="O1302" s="5">
        <f t="shared" si="122"/>
        <v>5.4054054054054168E-2</v>
      </c>
      <c r="P1302" s="5">
        <f t="shared" si="123"/>
        <v>0.51282051282051277</v>
      </c>
      <c r="Q1302" s="4">
        <f t="shared" si="124"/>
        <v>4.7246153846153751</v>
      </c>
      <c r="R1302" s="4">
        <f t="shared" si="125"/>
        <v>0.32918644067796615</v>
      </c>
      <c r="S1302" s="4">
        <v>21.36</v>
      </c>
      <c r="T1302" s="2">
        <v>0.9</v>
      </c>
      <c r="U1302" s="2">
        <v>13.82</v>
      </c>
      <c r="V1302" s="2">
        <v>8.34</v>
      </c>
      <c r="W1302" s="2">
        <v>-9.2899999999999991</v>
      </c>
      <c r="X1302" s="2" t="s">
        <v>12691</v>
      </c>
      <c r="Y1302" s="2">
        <v>-23.21</v>
      </c>
      <c r="Z1302" s="2">
        <v>-25.89</v>
      </c>
    </row>
    <row r="1303" spans="1:26" x14ac:dyDescent="0.25">
      <c r="A1303" s="1" t="s">
        <v>5479</v>
      </c>
      <c r="B1303" s="1" t="s">
        <v>5480</v>
      </c>
      <c r="C1303" s="1" t="s">
        <v>16</v>
      </c>
      <c r="D1303" s="1" t="s">
        <v>147</v>
      </c>
      <c r="E1303" s="1" t="s">
        <v>180</v>
      </c>
      <c r="F1303" s="1" t="s">
        <v>5481</v>
      </c>
      <c r="G1303" s="1" t="s">
        <v>12480</v>
      </c>
      <c r="H1303" s="1" t="s">
        <v>5482</v>
      </c>
      <c r="I1303" s="2">
        <v>43.22</v>
      </c>
      <c r="J1303" s="2">
        <v>2.08</v>
      </c>
      <c r="K1303" s="2">
        <v>3.69</v>
      </c>
      <c r="L1303" s="2">
        <v>4.91</v>
      </c>
      <c r="M1303" s="4">
        <f t="shared" si="120"/>
        <v>11.712737127371273</v>
      </c>
      <c r="N1303" s="4">
        <f t="shared" si="121"/>
        <v>8.8024439918533606</v>
      </c>
      <c r="O1303" s="5">
        <f t="shared" si="122"/>
        <v>0.77403846153846145</v>
      </c>
      <c r="P1303" s="5">
        <f t="shared" si="123"/>
        <v>0.33062330623306235</v>
      </c>
      <c r="Q1303" s="4">
        <f t="shared" si="124"/>
        <v>0.15131983369523136</v>
      </c>
      <c r="R1303" s="4">
        <f t="shared" si="125"/>
        <v>0.26623785516343357</v>
      </c>
      <c r="S1303" s="4">
        <v>1.33</v>
      </c>
      <c r="T1303" s="2">
        <v>1.43</v>
      </c>
      <c r="U1303" s="2">
        <v>51.72</v>
      </c>
      <c r="V1303" s="2">
        <v>31.8</v>
      </c>
      <c r="W1303" s="2">
        <v>0.26</v>
      </c>
      <c r="X1303" s="2">
        <v>-7.87</v>
      </c>
      <c r="Y1303" s="2">
        <v>-0.94</v>
      </c>
      <c r="Z1303" s="2">
        <v>-3.42</v>
      </c>
    </row>
    <row r="1304" spans="1:26" x14ac:dyDescent="0.25">
      <c r="A1304" s="1" t="s">
        <v>5483</v>
      </c>
      <c r="B1304" s="1" t="s">
        <v>5484</v>
      </c>
      <c r="C1304" s="1" t="s">
        <v>16</v>
      </c>
      <c r="D1304" s="1" t="s">
        <v>38</v>
      </c>
      <c r="E1304" s="1" t="s">
        <v>1755</v>
      </c>
      <c r="F1304" s="1" t="s">
        <v>5485</v>
      </c>
      <c r="G1304" s="1" t="s">
        <v>12480</v>
      </c>
      <c r="H1304" s="1" t="s">
        <v>5486</v>
      </c>
      <c r="I1304" s="2">
        <v>67.459999999999994</v>
      </c>
      <c r="J1304" s="2">
        <v>2.21</v>
      </c>
      <c r="K1304" s="2">
        <v>4.0599999999999996</v>
      </c>
      <c r="L1304" s="2">
        <v>4.79</v>
      </c>
      <c r="M1304" s="4">
        <f t="shared" si="120"/>
        <v>16.615763546798028</v>
      </c>
      <c r="N1304" s="4">
        <f t="shared" si="121"/>
        <v>14.083507306889352</v>
      </c>
      <c r="O1304" s="5">
        <f t="shared" si="122"/>
        <v>0.83710407239818996</v>
      </c>
      <c r="P1304" s="5">
        <f t="shared" si="123"/>
        <v>0.17980295566502469</v>
      </c>
      <c r="Q1304" s="4">
        <f t="shared" si="124"/>
        <v>0.19849101318066836</v>
      </c>
      <c r="R1304" s="4">
        <f t="shared" si="125"/>
        <v>0.78327451597220199</v>
      </c>
      <c r="S1304" s="4">
        <v>-15.75</v>
      </c>
      <c r="T1304" s="2">
        <v>1.25</v>
      </c>
      <c r="U1304" s="2">
        <v>89.85</v>
      </c>
      <c r="V1304" s="2">
        <v>63.39</v>
      </c>
      <c r="W1304" s="2">
        <v>-7.13</v>
      </c>
      <c r="X1304" s="2">
        <v>-19.96</v>
      </c>
      <c r="Y1304" s="2">
        <v>-20.43</v>
      </c>
      <c r="Z1304" s="2">
        <v>-15.43</v>
      </c>
    </row>
    <row r="1305" spans="1:26" x14ac:dyDescent="0.25">
      <c r="A1305" s="1" t="s">
        <v>5487</v>
      </c>
      <c r="B1305" s="1" t="s">
        <v>5488</v>
      </c>
      <c r="C1305" s="1" t="s">
        <v>16</v>
      </c>
      <c r="D1305" s="1" t="s">
        <v>38</v>
      </c>
      <c r="E1305" s="1" t="s">
        <v>194</v>
      </c>
      <c r="F1305" s="1" t="s">
        <v>5489</v>
      </c>
      <c r="G1305" s="1" t="s">
        <v>12480</v>
      </c>
      <c r="H1305" s="1" t="s">
        <v>5490</v>
      </c>
      <c r="I1305" s="2">
        <v>137.94999999999999</v>
      </c>
      <c r="J1305" s="2">
        <v>13.42</v>
      </c>
      <c r="K1305" s="2">
        <v>13.38</v>
      </c>
      <c r="L1305" s="2">
        <v>14.48</v>
      </c>
      <c r="M1305" s="4">
        <f t="shared" si="120"/>
        <v>10.310164424514198</v>
      </c>
      <c r="N1305" s="4">
        <f t="shared" si="121"/>
        <v>9.5269337016574571</v>
      </c>
      <c r="O1305" s="5">
        <f t="shared" si="122"/>
        <v>-2.9806259314455463E-3</v>
      </c>
      <c r="P1305" s="5">
        <f t="shared" si="123"/>
        <v>8.2212257100149344E-2</v>
      </c>
      <c r="Q1305" s="4">
        <f t="shared" si="124"/>
        <v>-34.590601644245801</v>
      </c>
      <c r="R1305" s="4">
        <f t="shared" si="125"/>
        <v>1.1588215720743362</v>
      </c>
      <c r="S1305" s="4" t="s">
        <v>12852</v>
      </c>
      <c r="T1305" s="2">
        <v>0.6</v>
      </c>
      <c r="U1305" s="2">
        <v>143.53</v>
      </c>
      <c r="V1305" s="2">
        <v>109.83</v>
      </c>
      <c r="W1305" s="2">
        <v>-2.76</v>
      </c>
      <c r="X1305" s="2">
        <v>-1.03</v>
      </c>
      <c r="Y1305" s="2">
        <v>-0.52</v>
      </c>
      <c r="Z1305" s="2">
        <v>0.11</v>
      </c>
    </row>
    <row r="1306" spans="1:26" x14ac:dyDescent="0.25">
      <c r="A1306" s="1" t="s">
        <v>5491</v>
      </c>
      <c r="B1306" s="1" t="s">
        <v>5492</v>
      </c>
      <c r="C1306" s="1" t="s">
        <v>16</v>
      </c>
      <c r="D1306" s="1" t="s">
        <v>204</v>
      </c>
      <c r="E1306" s="1" t="s">
        <v>205</v>
      </c>
      <c r="F1306" s="1" t="s">
        <v>5493</v>
      </c>
      <c r="G1306" s="1" t="s">
        <v>12480</v>
      </c>
      <c r="H1306" s="1" t="s">
        <v>5494</v>
      </c>
      <c r="I1306" s="2">
        <v>429.58</v>
      </c>
      <c r="J1306" s="2">
        <v>15.39</v>
      </c>
      <c r="K1306" s="2">
        <v>17.170000000000002</v>
      </c>
      <c r="L1306" s="2">
        <v>20.059999999999999</v>
      </c>
      <c r="M1306" s="4">
        <f t="shared" si="120"/>
        <v>25.019219569015721</v>
      </c>
      <c r="N1306" s="4">
        <f t="shared" si="121"/>
        <v>21.414755732801595</v>
      </c>
      <c r="O1306" s="5">
        <f t="shared" si="122"/>
        <v>0.1156595191682912</v>
      </c>
      <c r="P1306" s="5">
        <f t="shared" si="123"/>
        <v>0.16831683168316802</v>
      </c>
      <c r="Q1306" s="4">
        <f t="shared" si="124"/>
        <v>2.1631785908266941</v>
      </c>
      <c r="R1306" s="4">
        <f t="shared" si="125"/>
        <v>1.272288428831156</v>
      </c>
      <c r="S1306" s="4">
        <v>8.23</v>
      </c>
      <c r="T1306" s="2">
        <v>0.32</v>
      </c>
      <c r="U1306" s="2">
        <v>453.73</v>
      </c>
      <c r="V1306" s="2">
        <v>183.31</v>
      </c>
      <c r="W1306" s="2">
        <v>-5.32</v>
      </c>
      <c r="X1306" s="2">
        <v>5.85</v>
      </c>
      <c r="Y1306" s="2">
        <v>30.51</v>
      </c>
      <c r="Z1306" s="2">
        <v>26.32</v>
      </c>
    </row>
    <row r="1307" spans="1:26" x14ac:dyDescent="0.25">
      <c r="A1307" s="1" t="s">
        <v>5495</v>
      </c>
      <c r="B1307" s="1" t="s">
        <v>5496</v>
      </c>
      <c r="C1307" s="1" t="s">
        <v>16</v>
      </c>
      <c r="D1307" s="1" t="s">
        <v>18</v>
      </c>
      <c r="E1307" s="1" t="s">
        <v>1385</v>
      </c>
      <c r="F1307" s="1" t="s">
        <v>5497</v>
      </c>
      <c r="G1307" s="1" t="s">
        <v>12480</v>
      </c>
      <c r="H1307" s="1" t="s">
        <v>5498</v>
      </c>
      <c r="I1307" s="2">
        <v>22.16</v>
      </c>
      <c r="J1307" s="2">
        <v>0.53</v>
      </c>
      <c r="K1307" s="2">
        <v>0.53</v>
      </c>
      <c r="L1307" s="2">
        <v>0.72</v>
      </c>
      <c r="M1307" s="4">
        <f t="shared" si="120"/>
        <v>41.811320754716981</v>
      </c>
      <c r="N1307" s="4">
        <f t="shared" si="121"/>
        <v>30.777777777777779</v>
      </c>
      <c r="O1307" s="5">
        <f t="shared" si="122"/>
        <v>0</v>
      </c>
      <c r="P1307" s="5">
        <f t="shared" si="123"/>
        <v>0.35849056603773577</v>
      </c>
      <c r="Q1307" s="4" t="e">
        <f t="shared" si="124"/>
        <v>#DIV/0!</v>
      </c>
      <c r="R1307" s="4">
        <f t="shared" si="125"/>
        <v>0.85853801169590671</v>
      </c>
      <c r="S1307" s="4" t="s">
        <v>12692</v>
      </c>
      <c r="T1307" s="2">
        <v>2.5499999999999998</v>
      </c>
      <c r="U1307" s="2">
        <v>66.180000000000007</v>
      </c>
      <c r="V1307" s="2">
        <v>14.52</v>
      </c>
      <c r="W1307" s="2">
        <v>34.47</v>
      </c>
      <c r="X1307" s="2">
        <v>14.64</v>
      </c>
      <c r="Y1307" s="2">
        <v>-38.869999999999997</v>
      </c>
      <c r="Z1307" s="2">
        <v>-31.75</v>
      </c>
    </row>
    <row r="1308" spans="1:26" x14ac:dyDescent="0.25">
      <c r="A1308" s="1" t="s">
        <v>5499</v>
      </c>
      <c r="B1308" s="1" t="s">
        <v>5500</v>
      </c>
      <c r="C1308" s="1" t="s">
        <v>45</v>
      </c>
      <c r="D1308" s="1" t="s">
        <v>32</v>
      </c>
      <c r="E1308" s="1" t="s">
        <v>57</v>
      </c>
      <c r="F1308" s="1" t="s">
        <v>5501</v>
      </c>
      <c r="G1308" s="1" t="s">
        <v>12480</v>
      </c>
      <c r="H1308" s="1" t="s">
        <v>5502</v>
      </c>
      <c r="I1308" s="2">
        <v>7.72</v>
      </c>
      <c r="J1308" s="2">
        <v>0.25</v>
      </c>
      <c r="K1308" s="2">
        <v>0.21</v>
      </c>
      <c r="L1308" s="2">
        <v>0.72</v>
      </c>
      <c r="M1308" s="4">
        <f t="shared" si="120"/>
        <v>36.761904761904759</v>
      </c>
      <c r="N1308" s="4">
        <f t="shared" si="121"/>
        <v>10.722222222222221</v>
      </c>
      <c r="O1308" s="5">
        <f t="shared" si="122"/>
        <v>-0.16000000000000003</v>
      </c>
      <c r="P1308" s="5">
        <f t="shared" si="123"/>
        <v>2.4285714285714284</v>
      </c>
      <c r="Q1308" s="4">
        <f t="shared" si="124"/>
        <v>-2.297619047619047</v>
      </c>
      <c r="R1308" s="4">
        <f t="shared" si="125"/>
        <v>4.4150326797385619E-2</v>
      </c>
      <c r="S1308" s="4">
        <v>-8.23</v>
      </c>
      <c r="T1308" s="2">
        <v>1.83</v>
      </c>
      <c r="U1308" s="2">
        <v>9.76</v>
      </c>
      <c r="V1308" s="2">
        <v>5.89</v>
      </c>
      <c r="W1308" s="2">
        <v>5.61</v>
      </c>
      <c r="X1308" s="2">
        <v>-3.62</v>
      </c>
      <c r="Y1308" s="2">
        <v>-8.64</v>
      </c>
      <c r="Z1308" s="2">
        <v>-5.74</v>
      </c>
    </row>
    <row r="1309" spans="1:26" x14ac:dyDescent="0.25">
      <c r="A1309" s="1" t="s">
        <v>5503</v>
      </c>
      <c r="B1309" s="1" t="s">
        <v>5504</v>
      </c>
      <c r="C1309" s="1" t="s">
        <v>16</v>
      </c>
      <c r="D1309" s="1" t="s">
        <v>38</v>
      </c>
      <c r="E1309" s="1" t="s">
        <v>510</v>
      </c>
      <c r="F1309" s="1" t="s">
        <v>5505</v>
      </c>
      <c r="G1309" s="1" t="s">
        <v>12480</v>
      </c>
      <c r="H1309" s="1" t="s">
        <v>172</v>
      </c>
      <c r="I1309" s="2">
        <v>21.96</v>
      </c>
      <c r="J1309" s="2">
        <v>3.48</v>
      </c>
      <c r="K1309" s="2">
        <v>3.54</v>
      </c>
      <c r="L1309" s="2">
        <v>3.67</v>
      </c>
      <c r="M1309" s="4">
        <f t="shared" si="120"/>
        <v>6.2033898305084749</v>
      </c>
      <c r="N1309" s="4">
        <f t="shared" si="121"/>
        <v>5.9836512261580381</v>
      </c>
      <c r="O1309" s="5">
        <f t="shared" si="122"/>
        <v>1.7241379310344751E-2</v>
      </c>
      <c r="P1309" s="5">
        <f t="shared" si="123"/>
        <v>3.672316384180796E-2</v>
      </c>
      <c r="Q1309" s="4">
        <f t="shared" si="124"/>
        <v>3.5979661016949316</v>
      </c>
      <c r="R1309" s="4">
        <f t="shared" si="125"/>
        <v>1.6293942569691866</v>
      </c>
      <c r="S1309" s="4">
        <v>-2.39</v>
      </c>
      <c r="T1309" s="2">
        <v>1.07</v>
      </c>
      <c r="U1309" s="2">
        <v>32.44</v>
      </c>
      <c r="V1309" s="2">
        <v>21.96</v>
      </c>
      <c r="W1309" s="2">
        <v>-2.92</v>
      </c>
      <c r="X1309" s="2">
        <v>-14.88</v>
      </c>
      <c r="Y1309" s="2">
        <v>-15.05</v>
      </c>
      <c r="Z1309" s="2">
        <v>-14.95</v>
      </c>
    </row>
    <row r="1310" spans="1:26" x14ac:dyDescent="0.25">
      <c r="A1310" s="1" t="s">
        <v>5506</v>
      </c>
      <c r="B1310" s="1" t="s">
        <v>5507</v>
      </c>
      <c r="C1310" s="1" t="s">
        <v>31</v>
      </c>
      <c r="D1310" s="1" t="s">
        <v>18</v>
      </c>
      <c r="E1310" s="1" t="s">
        <v>780</v>
      </c>
      <c r="F1310" s="1" t="s">
        <v>5508</v>
      </c>
      <c r="G1310" s="1" t="s">
        <v>12480</v>
      </c>
      <c r="H1310" s="1" t="s">
        <v>5509</v>
      </c>
      <c r="I1310" s="2">
        <v>16.342500000000001</v>
      </c>
      <c r="J1310" s="2">
        <v>2.2599999999999998</v>
      </c>
      <c r="K1310" s="2"/>
      <c r="L1310" s="2"/>
      <c r="M1310" s="4" t="e">
        <f t="shared" si="120"/>
        <v>#DIV/0!</v>
      </c>
      <c r="N1310" s="4" t="e">
        <f t="shared" si="121"/>
        <v>#DIV/0!</v>
      </c>
      <c r="O1310" s="5">
        <f t="shared" si="122"/>
        <v>-1</v>
      </c>
      <c r="P1310" s="5" t="e">
        <f t="shared" si="123"/>
        <v>#DIV/0!</v>
      </c>
      <c r="Q1310" s="4" t="e">
        <f t="shared" si="124"/>
        <v>#DIV/0!</v>
      </c>
      <c r="R1310" s="4" t="e">
        <f t="shared" si="125"/>
        <v>#DIV/0!</v>
      </c>
      <c r="S1310" s="4">
        <v>7.1</v>
      </c>
      <c r="T1310" s="2">
        <v>0.61</v>
      </c>
      <c r="U1310" s="2">
        <v>27.96</v>
      </c>
      <c r="V1310" s="2">
        <v>16.34</v>
      </c>
      <c r="W1310" s="2">
        <v>-9.2100000000000009</v>
      </c>
      <c r="X1310" s="2">
        <v>-21.01</v>
      </c>
      <c r="Y1310" s="2">
        <v>-19.89</v>
      </c>
      <c r="Z1310" s="2">
        <v>-21.96</v>
      </c>
    </row>
    <row r="1311" spans="1:26" x14ac:dyDescent="0.25">
      <c r="A1311" s="1" t="s">
        <v>5510</v>
      </c>
      <c r="B1311" s="1" t="s">
        <v>5511</v>
      </c>
      <c r="C1311" s="1" t="s">
        <v>16</v>
      </c>
      <c r="D1311" s="1" t="s">
        <v>88</v>
      </c>
      <c r="E1311" s="1" t="s">
        <v>440</v>
      </c>
      <c r="F1311" s="1" t="s">
        <v>5512</v>
      </c>
      <c r="G1311" s="1" t="s">
        <v>12480</v>
      </c>
      <c r="H1311" s="1" t="s">
        <v>5513</v>
      </c>
      <c r="I1311" s="2">
        <v>21.08</v>
      </c>
      <c r="J1311" s="2">
        <v>0.49</v>
      </c>
      <c r="K1311" s="2">
        <v>0.63</v>
      </c>
      <c r="L1311" s="2">
        <v>0.36</v>
      </c>
      <c r="M1311" s="4">
        <f t="shared" si="120"/>
        <v>33.460317460317455</v>
      </c>
      <c r="N1311" s="4">
        <f t="shared" si="121"/>
        <v>58.55555555555555</v>
      </c>
      <c r="O1311" s="5">
        <f t="shared" si="122"/>
        <v>0.28571428571428581</v>
      </c>
      <c r="P1311" s="5">
        <f t="shared" si="123"/>
        <v>-0.4285714285714286</v>
      </c>
      <c r="Q1311" s="4">
        <f t="shared" si="124"/>
        <v>1.1711111111111105</v>
      </c>
      <c r="R1311" s="4">
        <f t="shared" si="125"/>
        <v>-1.3662962962962961</v>
      </c>
      <c r="S1311" s="4">
        <v>53.03</v>
      </c>
      <c r="T1311" s="2">
        <v>1.22</v>
      </c>
      <c r="U1311" s="2">
        <v>31.81</v>
      </c>
      <c r="V1311" s="2">
        <v>4.54</v>
      </c>
      <c r="W1311" s="2">
        <v>-14.41</v>
      </c>
      <c r="X1311" s="2">
        <v>-11.95</v>
      </c>
      <c r="Y1311" s="2">
        <v>11.89</v>
      </c>
      <c r="Z1311" s="2">
        <v>9.85</v>
      </c>
    </row>
    <row r="1312" spans="1:26" x14ac:dyDescent="0.25">
      <c r="A1312" s="1" t="s">
        <v>5514</v>
      </c>
      <c r="B1312" s="1" t="s">
        <v>5515</v>
      </c>
      <c r="C1312" s="1" t="s">
        <v>31</v>
      </c>
      <c r="D1312" s="1" t="s">
        <v>38</v>
      </c>
      <c r="E1312" s="1" t="s">
        <v>1806</v>
      </c>
      <c r="F1312" s="1" t="s">
        <v>5516</v>
      </c>
      <c r="G1312" s="1" t="s">
        <v>12480</v>
      </c>
      <c r="H1312" s="1" t="s">
        <v>5517</v>
      </c>
      <c r="I1312" s="2">
        <v>4.0460000000000003</v>
      </c>
      <c r="J1312" s="2">
        <v>0.26</v>
      </c>
      <c r="K1312" s="2">
        <v>0.22</v>
      </c>
      <c r="L1312" s="2">
        <v>0.26</v>
      </c>
      <c r="M1312" s="4">
        <f t="shared" si="120"/>
        <v>18.390909090909091</v>
      </c>
      <c r="N1312" s="4">
        <f t="shared" si="121"/>
        <v>15.561538461538461</v>
      </c>
      <c r="O1312" s="5">
        <f t="shared" si="122"/>
        <v>-0.15384615384615385</v>
      </c>
      <c r="P1312" s="5">
        <f t="shared" si="123"/>
        <v>0.18181818181818188</v>
      </c>
      <c r="Q1312" s="4">
        <f t="shared" si="124"/>
        <v>-1.1954090909090909</v>
      </c>
      <c r="R1312" s="4">
        <f t="shared" si="125"/>
        <v>0.85588461538461513</v>
      </c>
      <c r="S1312" s="4">
        <v>-25.22</v>
      </c>
      <c r="T1312" s="2">
        <v>0.51</v>
      </c>
      <c r="U1312" s="2">
        <v>4.49</v>
      </c>
      <c r="V1312" s="2">
        <v>2.57</v>
      </c>
      <c r="W1312" s="2">
        <v>-8.77</v>
      </c>
      <c r="X1312" s="2">
        <v>-3.28</v>
      </c>
      <c r="Y1312" s="2">
        <v>9.9499999999999993</v>
      </c>
      <c r="Z1312" s="2">
        <v>13.02</v>
      </c>
    </row>
    <row r="1313" spans="1:26" x14ac:dyDescent="0.25">
      <c r="A1313" s="1" t="s">
        <v>5518</v>
      </c>
      <c r="B1313" s="1" t="s">
        <v>5519</v>
      </c>
      <c r="C1313" s="1" t="s">
        <v>16</v>
      </c>
      <c r="D1313" s="1" t="s">
        <v>67</v>
      </c>
      <c r="E1313" s="1" t="s">
        <v>5521</v>
      </c>
      <c r="F1313" s="1" t="s">
        <v>5520</v>
      </c>
      <c r="G1313" s="1" t="s">
        <v>12480</v>
      </c>
      <c r="H1313" s="1" t="s">
        <v>5522</v>
      </c>
      <c r="I1313" s="2">
        <v>16.7</v>
      </c>
      <c r="J1313" s="2">
        <v>2.12</v>
      </c>
      <c r="K1313" s="2">
        <v>2.52</v>
      </c>
      <c r="L1313" s="2">
        <v>2.83</v>
      </c>
      <c r="M1313" s="4">
        <f t="shared" si="120"/>
        <v>6.6269841269841265</v>
      </c>
      <c r="N1313" s="4">
        <f t="shared" si="121"/>
        <v>5.9010600706713774</v>
      </c>
      <c r="O1313" s="5">
        <f t="shared" si="122"/>
        <v>0.18867924528301883</v>
      </c>
      <c r="P1313" s="5">
        <f t="shared" si="123"/>
        <v>0.12301587301587302</v>
      </c>
      <c r="Q1313" s="4">
        <f t="shared" si="124"/>
        <v>0.35123015873015873</v>
      </c>
      <c r="R1313" s="4">
        <f t="shared" si="125"/>
        <v>0.47969907671264095</v>
      </c>
      <c r="S1313" s="4">
        <v>0.89</v>
      </c>
      <c r="T1313" s="2">
        <v>0.83</v>
      </c>
      <c r="U1313" s="2">
        <v>19.96</v>
      </c>
      <c r="V1313" s="2">
        <v>6.24</v>
      </c>
      <c r="W1313" s="2">
        <v>-13.2</v>
      </c>
      <c r="X1313" s="2">
        <v>1.1499999999999999</v>
      </c>
      <c r="Y1313" s="2">
        <v>12.08</v>
      </c>
      <c r="Z1313" s="2">
        <v>29.56</v>
      </c>
    </row>
    <row r="1314" spans="1:26" x14ac:dyDescent="0.25">
      <c r="A1314" s="1" t="s">
        <v>5523</v>
      </c>
      <c r="B1314" s="1" t="s">
        <v>5524</v>
      </c>
      <c r="C1314" s="1" t="s">
        <v>16</v>
      </c>
      <c r="D1314" s="1" t="s">
        <v>38</v>
      </c>
      <c r="E1314" s="1" t="s">
        <v>52</v>
      </c>
      <c r="F1314" s="1" t="s">
        <v>5525</v>
      </c>
      <c r="G1314" s="1" t="s">
        <v>12490</v>
      </c>
      <c r="H1314" s="1" t="s">
        <v>5526</v>
      </c>
      <c r="I1314" s="2">
        <v>146.79</v>
      </c>
      <c r="J1314" s="2">
        <v>6.29</v>
      </c>
      <c r="K1314" s="2">
        <v>7.83</v>
      </c>
      <c r="L1314" s="2">
        <v>8.93</v>
      </c>
      <c r="M1314" s="4">
        <f t="shared" si="120"/>
        <v>18.74712643678161</v>
      </c>
      <c r="N1314" s="4">
        <f t="shared" si="121"/>
        <v>16.43784994400896</v>
      </c>
      <c r="O1314" s="5">
        <f t="shared" si="122"/>
        <v>0.2448330683624802</v>
      </c>
      <c r="P1314" s="5">
        <f t="shared" si="123"/>
        <v>0.14048531289910593</v>
      </c>
      <c r="Q1314" s="4">
        <f t="shared" si="124"/>
        <v>0.76571055381400188</v>
      </c>
      <c r="R1314" s="4">
        <f t="shared" si="125"/>
        <v>1.1700760460144566</v>
      </c>
      <c r="S1314" s="4">
        <v>24.81</v>
      </c>
      <c r="T1314" s="2">
        <v>0.95</v>
      </c>
      <c r="U1314" s="2">
        <v>209.19</v>
      </c>
      <c r="V1314" s="2">
        <v>141.59</v>
      </c>
      <c r="W1314" s="2">
        <v>-10.3</v>
      </c>
      <c r="X1314" s="2">
        <v>-15.07</v>
      </c>
      <c r="Y1314" s="2">
        <v>-17.100000000000001</v>
      </c>
      <c r="Z1314" s="2">
        <v>-15.73</v>
      </c>
    </row>
    <row r="1315" spans="1:26" x14ac:dyDescent="0.25">
      <c r="A1315" s="1" t="s">
        <v>5527</v>
      </c>
      <c r="B1315" s="1" t="s">
        <v>5528</v>
      </c>
      <c r="C1315" s="1" t="s">
        <v>16</v>
      </c>
      <c r="D1315" s="1" t="s">
        <v>25</v>
      </c>
      <c r="E1315" s="1" t="s">
        <v>220</v>
      </c>
      <c r="F1315" s="1" t="s">
        <v>5529</v>
      </c>
      <c r="G1315" s="1" t="s">
        <v>12480</v>
      </c>
      <c r="H1315" s="1" t="s">
        <v>5530</v>
      </c>
      <c r="I1315" s="2">
        <v>65.58</v>
      </c>
      <c r="J1315" s="2">
        <v>2.56</v>
      </c>
      <c r="K1315" s="2">
        <v>2.78</v>
      </c>
      <c r="L1315" s="2">
        <v>3.15</v>
      </c>
      <c r="M1315" s="4">
        <f t="shared" si="120"/>
        <v>23.589928057553958</v>
      </c>
      <c r="N1315" s="4">
        <f t="shared" si="121"/>
        <v>20.81904761904762</v>
      </c>
      <c r="O1315" s="5">
        <f t="shared" si="122"/>
        <v>8.59375E-2</v>
      </c>
      <c r="P1315" s="5">
        <f t="shared" si="123"/>
        <v>0.13309352517985618</v>
      </c>
      <c r="Q1315" s="4">
        <f t="shared" si="124"/>
        <v>2.7450098103335514</v>
      </c>
      <c r="R1315" s="4">
        <f t="shared" si="125"/>
        <v>1.5642419562419556</v>
      </c>
      <c r="S1315" s="4">
        <v>4.1100000000000003</v>
      </c>
      <c r="T1315" s="2">
        <v>1.26</v>
      </c>
      <c r="U1315" s="2">
        <v>75.650000000000006</v>
      </c>
      <c r="V1315" s="2">
        <v>25.71</v>
      </c>
      <c r="W1315" s="2">
        <v>-11.83</v>
      </c>
      <c r="X1315" s="2">
        <v>-9.7899999999999991</v>
      </c>
      <c r="Y1315" s="2">
        <v>13.54</v>
      </c>
      <c r="Z1315" s="2">
        <v>22.6</v>
      </c>
    </row>
    <row r="1316" spans="1:26" x14ac:dyDescent="0.25">
      <c r="A1316" s="1" t="s">
        <v>5531</v>
      </c>
      <c r="B1316" s="1" t="s">
        <v>5532</v>
      </c>
      <c r="C1316" s="1" t="s">
        <v>45</v>
      </c>
      <c r="D1316" s="1" t="s">
        <v>32</v>
      </c>
      <c r="E1316" s="1" t="s">
        <v>1572</v>
      </c>
      <c r="F1316" s="1" t="s">
        <v>5533</v>
      </c>
      <c r="G1316" s="1" t="s">
        <v>12480</v>
      </c>
      <c r="H1316" s="1" t="s">
        <v>5534</v>
      </c>
      <c r="I1316" s="2">
        <v>9.51</v>
      </c>
      <c r="J1316" s="2">
        <v>0.47</v>
      </c>
      <c r="K1316" s="2">
        <v>0.6</v>
      </c>
      <c r="L1316" s="2">
        <v>0.78</v>
      </c>
      <c r="M1316" s="4">
        <f t="shared" si="120"/>
        <v>15.85</v>
      </c>
      <c r="N1316" s="4">
        <f t="shared" si="121"/>
        <v>12.192307692307692</v>
      </c>
      <c r="O1316" s="5">
        <f t="shared" si="122"/>
        <v>0.27659574468085113</v>
      </c>
      <c r="P1316" s="5">
        <f t="shared" si="123"/>
        <v>0.30000000000000004</v>
      </c>
      <c r="Q1316" s="4">
        <f t="shared" si="124"/>
        <v>0.57303846153846139</v>
      </c>
      <c r="R1316" s="4">
        <f t="shared" si="125"/>
        <v>0.40641025641025635</v>
      </c>
      <c r="S1316" s="4">
        <v>-15.9</v>
      </c>
      <c r="T1316" s="2">
        <v>1.04</v>
      </c>
      <c r="U1316" s="2">
        <v>10.94</v>
      </c>
      <c r="V1316" s="2">
        <v>8.25</v>
      </c>
      <c r="W1316" s="2">
        <v>-13.07</v>
      </c>
      <c r="X1316" s="2">
        <v>-7.58</v>
      </c>
      <c r="Y1316" s="2">
        <v>-9.08</v>
      </c>
      <c r="Z1316" s="2">
        <v>-3.84</v>
      </c>
    </row>
    <row r="1317" spans="1:26" x14ac:dyDescent="0.25">
      <c r="A1317" s="1" t="s">
        <v>5535</v>
      </c>
      <c r="B1317" s="1" t="s">
        <v>5536</v>
      </c>
      <c r="C1317" s="1" t="s">
        <v>31</v>
      </c>
      <c r="D1317" s="1" t="s">
        <v>25</v>
      </c>
      <c r="E1317" s="1" t="s">
        <v>331</v>
      </c>
      <c r="F1317" s="1" t="s">
        <v>5537</v>
      </c>
      <c r="G1317" s="1" t="s">
        <v>12490</v>
      </c>
      <c r="H1317" s="1" t="s">
        <v>5538</v>
      </c>
      <c r="I1317" s="2">
        <v>52.14</v>
      </c>
      <c r="J1317" s="2">
        <v>1.2</v>
      </c>
      <c r="K1317" s="2">
        <v>1.54</v>
      </c>
      <c r="L1317" s="2">
        <v>1.72</v>
      </c>
      <c r="M1317" s="4">
        <f t="shared" si="120"/>
        <v>33.857142857142854</v>
      </c>
      <c r="N1317" s="4">
        <f t="shared" si="121"/>
        <v>30.313953488372093</v>
      </c>
      <c r="O1317" s="5">
        <f t="shared" si="122"/>
        <v>0.28333333333333344</v>
      </c>
      <c r="P1317" s="5">
        <f t="shared" si="123"/>
        <v>0.11688311688311681</v>
      </c>
      <c r="Q1317" s="4">
        <f t="shared" si="124"/>
        <v>1.1949579831932768</v>
      </c>
      <c r="R1317" s="4">
        <f t="shared" si="125"/>
        <v>2.5935271317829471</v>
      </c>
      <c r="S1317" s="4">
        <v>12.17</v>
      </c>
      <c r="T1317" s="2">
        <v>1.41</v>
      </c>
      <c r="U1317" s="2">
        <v>57.59</v>
      </c>
      <c r="V1317" s="2">
        <v>29.99</v>
      </c>
      <c r="W1317" s="2">
        <v>-7.26</v>
      </c>
      <c r="X1317" s="2">
        <v>4.74</v>
      </c>
      <c r="Y1317" s="2">
        <v>11.77</v>
      </c>
      <c r="Z1317" s="2">
        <v>6.8</v>
      </c>
    </row>
    <row r="1318" spans="1:26" x14ac:dyDescent="0.25">
      <c r="A1318" s="1" t="s">
        <v>5539</v>
      </c>
      <c r="B1318" s="1" t="s">
        <v>5540</v>
      </c>
      <c r="C1318" s="1" t="s">
        <v>45</v>
      </c>
      <c r="D1318" s="1" t="s">
        <v>61</v>
      </c>
      <c r="E1318" s="1" t="s">
        <v>170</v>
      </c>
      <c r="F1318" s="1" t="s">
        <v>5541</v>
      </c>
      <c r="G1318" s="1" t="s">
        <v>12480</v>
      </c>
      <c r="H1318" s="1" t="s">
        <v>5542</v>
      </c>
      <c r="I1318" s="2">
        <v>8.17</v>
      </c>
      <c r="J1318" s="2">
        <v>0.57999999999999996</v>
      </c>
      <c r="K1318" s="2">
        <v>0.61</v>
      </c>
      <c r="L1318" s="2">
        <v>0.7</v>
      </c>
      <c r="M1318" s="4">
        <f t="shared" si="120"/>
        <v>13.39344262295082</v>
      </c>
      <c r="N1318" s="4">
        <f t="shared" si="121"/>
        <v>11.671428571428573</v>
      </c>
      <c r="O1318" s="5">
        <f t="shared" si="122"/>
        <v>5.1724137931034475E-2</v>
      </c>
      <c r="P1318" s="5">
        <f t="shared" si="123"/>
        <v>0.14754098360655732</v>
      </c>
      <c r="Q1318" s="4">
        <f t="shared" si="124"/>
        <v>2.5893989071038255</v>
      </c>
      <c r="R1318" s="4">
        <f t="shared" si="125"/>
        <v>0.79106349206349247</v>
      </c>
      <c r="S1318" s="4">
        <v>5.41</v>
      </c>
      <c r="T1318" s="2">
        <v>1.67</v>
      </c>
      <c r="U1318" s="2">
        <v>10.74</v>
      </c>
      <c r="V1318" s="2">
        <v>6.66</v>
      </c>
      <c r="W1318" s="2">
        <v>0.62</v>
      </c>
      <c r="X1318" s="2">
        <v>-20.29</v>
      </c>
      <c r="Y1318" s="2">
        <v>-10.52</v>
      </c>
      <c r="Z1318" s="2">
        <v>-5.66</v>
      </c>
    </row>
    <row r="1319" spans="1:26" x14ac:dyDescent="0.25">
      <c r="A1319" s="1" t="s">
        <v>5543</v>
      </c>
      <c r="B1319" s="1" t="s">
        <v>5544</v>
      </c>
      <c r="C1319" s="1" t="s">
        <v>16</v>
      </c>
      <c r="D1319" s="1" t="s">
        <v>147</v>
      </c>
      <c r="E1319" s="1" t="s">
        <v>1084</v>
      </c>
      <c r="F1319" s="1" t="s">
        <v>5545</v>
      </c>
      <c r="G1319" s="1" t="s">
        <v>12480</v>
      </c>
      <c r="H1319" s="1" t="s">
        <v>5546</v>
      </c>
      <c r="I1319" s="2">
        <v>10.26</v>
      </c>
      <c r="J1319" s="2">
        <v>0.5</v>
      </c>
      <c r="K1319" s="2">
        <v>0.54</v>
      </c>
      <c r="L1319" s="2">
        <v>0.57999999999999996</v>
      </c>
      <c r="M1319" s="4">
        <f t="shared" si="120"/>
        <v>19</v>
      </c>
      <c r="N1319" s="4">
        <f t="shared" si="121"/>
        <v>17.689655172413794</v>
      </c>
      <c r="O1319" s="5">
        <f t="shared" si="122"/>
        <v>8.0000000000000071E-2</v>
      </c>
      <c r="P1319" s="5">
        <f t="shared" si="123"/>
        <v>7.4074074074073959E-2</v>
      </c>
      <c r="Q1319" s="4">
        <f t="shared" si="124"/>
        <v>2.3749999999999978</v>
      </c>
      <c r="R1319" s="4">
        <f t="shared" si="125"/>
        <v>2.3881034482758658</v>
      </c>
      <c r="S1319" s="4">
        <v>1.31</v>
      </c>
      <c r="T1319" s="2">
        <v>0.18</v>
      </c>
      <c r="U1319" s="2">
        <v>11.41</v>
      </c>
      <c r="V1319" s="2">
        <v>8.7200000000000006</v>
      </c>
      <c r="W1319" s="2">
        <v>-5.61</v>
      </c>
      <c r="X1319" s="2">
        <v>-5.7</v>
      </c>
      <c r="Y1319" s="2">
        <v>4.37</v>
      </c>
      <c r="Z1319" s="2">
        <v>1.48</v>
      </c>
    </row>
    <row r="1320" spans="1:26" x14ac:dyDescent="0.25">
      <c r="A1320" s="1" t="s">
        <v>5547</v>
      </c>
      <c r="B1320" s="1" t="s">
        <v>5548</v>
      </c>
      <c r="C1320" s="1" t="s">
        <v>45</v>
      </c>
      <c r="D1320" s="1" t="s">
        <v>38</v>
      </c>
      <c r="E1320" s="1" t="s">
        <v>101</v>
      </c>
      <c r="F1320" s="1" t="s">
        <v>5549</v>
      </c>
      <c r="G1320" s="1" t="s">
        <v>12490</v>
      </c>
      <c r="H1320" s="1" t="s">
        <v>4255</v>
      </c>
      <c r="I1320" s="2">
        <v>105.57</v>
      </c>
      <c r="J1320" s="2">
        <v>5.04</v>
      </c>
      <c r="K1320" s="2">
        <v>6.3</v>
      </c>
      <c r="L1320" s="2">
        <v>6.4</v>
      </c>
      <c r="M1320" s="4">
        <f t="shared" si="120"/>
        <v>16.757142857142856</v>
      </c>
      <c r="N1320" s="4">
        <f t="shared" si="121"/>
        <v>16.495312499999997</v>
      </c>
      <c r="O1320" s="5">
        <f t="shared" si="122"/>
        <v>0.25</v>
      </c>
      <c r="P1320" s="5">
        <f t="shared" si="123"/>
        <v>1.5873015873016039E-2</v>
      </c>
      <c r="Q1320" s="4">
        <f t="shared" si="124"/>
        <v>0.67028571428571426</v>
      </c>
      <c r="R1320" s="4">
        <f t="shared" si="125"/>
        <v>10.39204687499989</v>
      </c>
      <c r="S1320" s="4">
        <v>28.73</v>
      </c>
      <c r="T1320" s="2">
        <v>1.32</v>
      </c>
      <c r="U1320" s="2">
        <v>175.49</v>
      </c>
      <c r="V1320" s="2">
        <v>101.13</v>
      </c>
      <c r="W1320" s="2">
        <v>-1.18</v>
      </c>
      <c r="X1320" s="2">
        <v>-21.26</v>
      </c>
      <c r="Y1320" s="2">
        <v>-18.03</v>
      </c>
      <c r="Z1320" s="2">
        <v>-21.4</v>
      </c>
    </row>
    <row r="1321" spans="1:26" x14ac:dyDescent="0.25">
      <c r="A1321" s="1" t="s">
        <v>5550</v>
      </c>
      <c r="B1321" s="1" t="s">
        <v>5551</v>
      </c>
      <c r="C1321" s="1" t="s">
        <v>31</v>
      </c>
      <c r="D1321" s="1" t="s">
        <v>38</v>
      </c>
      <c r="E1321" s="1" t="s">
        <v>1806</v>
      </c>
      <c r="F1321" s="1" t="s">
        <v>5552</v>
      </c>
      <c r="G1321" s="1" t="s">
        <v>12480</v>
      </c>
      <c r="H1321" s="1" t="s">
        <v>5553</v>
      </c>
      <c r="I1321" s="2">
        <v>5.94</v>
      </c>
      <c r="J1321" s="2">
        <v>0.42</v>
      </c>
      <c r="K1321" s="2"/>
      <c r="L1321" s="2"/>
      <c r="M1321" s="4" t="e">
        <f t="shared" si="120"/>
        <v>#DIV/0!</v>
      </c>
      <c r="N1321" s="4" t="e">
        <f t="shared" si="121"/>
        <v>#DIV/0!</v>
      </c>
      <c r="O1321" s="5">
        <f t="shared" si="122"/>
        <v>-1</v>
      </c>
      <c r="P1321" s="5" t="e">
        <f t="shared" si="123"/>
        <v>#DIV/0!</v>
      </c>
      <c r="Q1321" s="4" t="e">
        <f t="shared" si="124"/>
        <v>#DIV/0!</v>
      </c>
      <c r="R1321" s="4" t="e">
        <f t="shared" si="125"/>
        <v>#DIV/0!</v>
      </c>
      <c r="S1321" s="4">
        <v>-11.41</v>
      </c>
      <c r="T1321" s="2">
        <v>7.0000000000000007E-2</v>
      </c>
      <c r="U1321" s="2">
        <v>6.52</v>
      </c>
      <c r="V1321" s="2">
        <v>3.51</v>
      </c>
      <c r="W1321" s="2">
        <v>-5.71</v>
      </c>
      <c r="X1321" s="2">
        <v>-3.73</v>
      </c>
      <c r="Y1321" s="2">
        <v>2.86</v>
      </c>
      <c r="Z1321" s="2">
        <v>7.41</v>
      </c>
    </row>
    <row r="1322" spans="1:26" x14ac:dyDescent="0.25">
      <c r="A1322" s="1" t="s">
        <v>5554</v>
      </c>
      <c r="B1322" s="1" t="s">
        <v>5555</v>
      </c>
      <c r="C1322" s="1" t="s">
        <v>16</v>
      </c>
      <c r="D1322" s="1" t="s">
        <v>147</v>
      </c>
      <c r="E1322" s="1" t="s">
        <v>180</v>
      </c>
      <c r="F1322" s="1" t="s">
        <v>5556</v>
      </c>
      <c r="G1322" s="1" t="s">
        <v>12480</v>
      </c>
      <c r="H1322" s="1" t="s">
        <v>5557</v>
      </c>
      <c r="I1322" s="2">
        <v>303.45999999999998</v>
      </c>
      <c r="J1322" s="2">
        <v>8.11</v>
      </c>
      <c r="K1322" s="2">
        <v>9.09</v>
      </c>
      <c r="L1322" s="2">
        <v>10.55</v>
      </c>
      <c r="M1322" s="4">
        <f t="shared" si="120"/>
        <v>33.383938393839379</v>
      </c>
      <c r="N1322" s="4">
        <f t="shared" si="121"/>
        <v>28.763981042654024</v>
      </c>
      <c r="O1322" s="5">
        <f t="shared" si="122"/>
        <v>0.12083847102342782</v>
      </c>
      <c r="P1322" s="5">
        <f t="shared" si="123"/>
        <v>0.16061606160616071</v>
      </c>
      <c r="Q1322" s="4">
        <f t="shared" si="124"/>
        <v>2.762691228306505</v>
      </c>
      <c r="R1322" s="4">
        <f t="shared" si="125"/>
        <v>1.7908533402583897</v>
      </c>
      <c r="S1322" s="4">
        <v>7.74</v>
      </c>
      <c r="T1322" s="2">
        <v>1.1000000000000001</v>
      </c>
      <c r="U1322" s="2">
        <v>325.13</v>
      </c>
      <c r="V1322" s="2">
        <v>201.28</v>
      </c>
      <c r="W1322" s="2">
        <v>-0.44</v>
      </c>
      <c r="X1322" s="2">
        <v>-3.37</v>
      </c>
      <c r="Y1322" s="2">
        <v>6.16</v>
      </c>
      <c r="Z1322" s="2">
        <v>5.64</v>
      </c>
    </row>
    <row r="1323" spans="1:26" x14ac:dyDescent="0.25">
      <c r="A1323" s="1" t="s">
        <v>5558</v>
      </c>
      <c r="B1323" s="1" t="s">
        <v>5559</v>
      </c>
      <c r="C1323" s="1" t="s">
        <v>31</v>
      </c>
      <c r="D1323" s="1" t="s">
        <v>354</v>
      </c>
      <c r="E1323" s="1" t="s">
        <v>1537</v>
      </c>
      <c r="F1323" s="1" t="s">
        <v>5560</v>
      </c>
      <c r="G1323" s="1" t="s">
        <v>12480</v>
      </c>
      <c r="H1323" s="1" t="s">
        <v>5561</v>
      </c>
      <c r="I1323" s="2">
        <v>9.52</v>
      </c>
      <c r="J1323" s="2">
        <v>0.89</v>
      </c>
      <c r="K1323" s="2"/>
      <c r="L1323" s="2"/>
      <c r="M1323" s="4" t="e">
        <f t="shared" si="120"/>
        <v>#DIV/0!</v>
      </c>
      <c r="N1323" s="4" t="e">
        <f t="shared" si="121"/>
        <v>#DIV/0!</v>
      </c>
      <c r="O1323" s="5">
        <f t="shared" si="122"/>
        <v>-1</v>
      </c>
      <c r="P1323" s="5" t="e">
        <f t="shared" si="123"/>
        <v>#DIV/0!</v>
      </c>
      <c r="Q1323" s="4" t="e">
        <f t="shared" si="124"/>
        <v>#DIV/0!</v>
      </c>
      <c r="R1323" s="4" t="e">
        <f t="shared" si="125"/>
        <v>#DIV/0!</v>
      </c>
      <c r="S1323" s="4">
        <v>86.21</v>
      </c>
      <c r="T1323" s="2">
        <v>0.1</v>
      </c>
      <c r="U1323" s="2">
        <v>10.5</v>
      </c>
      <c r="V1323" s="2">
        <v>7.75</v>
      </c>
      <c r="W1323" s="2">
        <v>-6.21</v>
      </c>
      <c r="X1323" s="2">
        <v>-0.83</v>
      </c>
      <c r="Y1323" s="2">
        <v>-5.46</v>
      </c>
      <c r="Z1323" s="2">
        <v>-2.93</v>
      </c>
    </row>
    <row r="1324" spans="1:26" x14ac:dyDescent="0.25">
      <c r="A1324" s="1" t="s">
        <v>5562</v>
      </c>
      <c r="B1324" s="1" t="s">
        <v>5563</v>
      </c>
      <c r="C1324" s="1" t="s">
        <v>16</v>
      </c>
      <c r="D1324" s="1" t="s">
        <v>94</v>
      </c>
      <c r="E1324" s="1" t="s">
        <v>1042</v>
      </c>
      <c r="F1324" s="1" t="s">
        <v>5564</v>
      </c>
      <c r="G1324" s="1" t="s">
        <v>12480</v>
      </c>
      <c r="H1324" s="1" t="s">
        <v>5565</v>
      </c>
      <c r="I1324" s="2">
        <v>9.01</v>
      </c>
      <c r="J1324" s="2">
        <v>0.31</v>
      </c>
      <c r="K1324" s="2">
        <v>0.28999999999999998</v>
      </c>
      <c r="L1324" s="2">
        <v>0.61</v>
      </c>
      <c r="M1324" s="4">
        <f t="shared" si="120"/>
        <v>31.068965517241381</v>
      </c>
      <c r="N1324" s="4">
        <f t="shared" si="121"/>
        <v>14.770491803278688</v>
      </c>
      <c r="O1324" s="5">
        <f t="shared" si="122"/>
        <v>-6.4516129032258118E-2</v>
      </c>
      <c r="P1324" s="5">
        <f t="shared" si="123"/>
        <v>1.103448275862069</v>
      </c>
      <c r="Q1324" s="4">
        <f t="shared" si="124"/>
        <v>-4.8156896551724104</v>
      </c>
      <c r="R1324" s="4">
        <f t="shared" si="125"/>
        <v>0.13385758196721312</v>
      </c>
      <c r="S1324" s="4">
        <v>-4.9400000000000004</v>
      </c>
      <c r="T1324" s="2">
        <v>1.21</v>
      </c>
      <c r="U1324" s="2">
        <v>10.55</v>
      </c>
      <c r="V1324" s="2">
        <v>5.7</v>
      </c>
      <c r="W1324" s="2">
        <v>-3.22</v>
      </c>
      <c r="X1324" s="2">
        <v>4.16</v>
      </c>
      <c r="Y1324" s="2">
        <v>27.26</v>
      </c>
      <c r="Z1324" s="2">
        <v>43.7</v>
      </c>
    </row>
    <row r="1325" spans="1:26" x14ac:dyDescent="0.25">
      <c r="A1325" s="1" t="s">
        <v>5566</v>
      </c>
      <c r="B1325" s="1" t="s">
        <v>5567</v>
      </c>
      <c r="C1325" s="1" t="s">
        <v>16</v>
      </c>
      <c r="D1325" s="1" t="s">
        <v>305</v>
      </c>
      <c r="E1325" s="1" t="s">
        <v>1176</v>
      </c>
      <c r="F1325" s="1" t="s">
        <v>5568</v>
      </c>
      <c r="G1325" s="1" t="s">
        <v>12490</v>
      </c>
      <c r="H1325" s="1" t="s">
        <v>5569</v>
      </c>
      <c r="I1325" s="2">
        <v>27.87</v>
      </c>
      <c r="J1325" s="2">
        <v>3.53</v>
      </c>
      <c r="K1325" s="2">
        <v>2.2599999999999998</v>
      </c>
      <c r="L1325" s="2">
        <v>3.39</v>
      </c>
      <c r="M1325" s="4">
        <f t="shared" si="120"/>
        <v>12.331858407079647</v>
      </c>
      <c r="N1325" s="4">
        <f t="shared" si="121"/>
        <v>8.2212389380530979</v>
      </c>
      <c r="O1325" s="5">
        <f t="shared" si="122"/>
        <v>-0.35977337110481589</v>
      </c>
      <c r="P1325" s="5">
        <f t="shared" si="123"/>
        <v>0.50000000000000022</v>
      </c>
      <c r="Q1325" s="4">
        <f t="shared" si="124"/>
        <v>-0.34276740296843428</v>
      </c>
      <c r="R1325" s="4">
        <f t="shared" si="125"/>
        <v>0.1644247787610619</v>
      </c>
      <c r="S1325" s="4">
        <v>0.65</v>
      </c>
      <c r="T1325" s="2">
        <v>0.37</v>
      </c>
      <c r="U1325" s="2">
        <v>34.85</v>
      </c>
      <c r="V1325" s="2" t="s">
        <v>12572</v>
      </c>
      <c r="W1325" s="2">
        <v>-4.8499999999999996</v>
      </c>
      <c r="X1325" s="2">
        <v>-12.25</v>
      </c>
      <c r="Y1325" s="2">
        <v>-10.47</v>
      </c>
      <c r="Z1325" s="2">
        <v>-5.46</v>
      </c>
    </row>
    <row r="1326" spans="1:26" x14ac:dyDescent="0.25">
      <c r="A1326" s="1" t="s">
        <v>5570</v>
      </c>
      <c r="B1326" s="1" t="s">
        <v>5571</v>
      </c>
      <c r="C1326" s="1" t="s">
        <v>16</v>
      </c>
      <c r="D1326" s="1" t="s">
        <v>38</v>
      </c>
      <c r="E1326" s="1" t="s">
        <v>254</v>
      </c>
      <c r="F1326" s="1" t="s">
        <v>5572</v>
      </c>
      <c r="G1326" s="1" t="s">
        <v>12480</v>
      </c>
      <c r="H1326" s="1" t="s">
        <v>5573</v>
      </c>
      <c r="I1326" s="2">
        <v>42.12</v>
      </c>
      <c r="J1326" s="2">
        <v>4.71</v>
      </c>
      <c r="K1326" s="2">
        <v>4.55</v>
      </c>
      <c r="L1326" s="2">
        <v>5.01</v>
      </c>
      <c r="M1326" s="4">
        <f t="shared" si="120"/>
        <v>9.2571428571428562</v>
      </c>
      <c r="N1326" s="4">
        <f t="shared" si="121"/>
        <v>8.4071856287425142</v>
      </c>
      <c r="O1326" s="5">
        <f t="shared" si="122"/>
        <v>-3.3970276008492561E-2</v>
      </c>
      <c r="P1326" s="5">
        <f t="shared" si="123"/>
        <v>0.10109890109890118</v>
      </c>
      <c r="Q1326" s="4">
        <f t="shared" si="124"/>
        <v>-2.7250714285714288</v>
      </c>
      <c r="R1326" s="4">
        <f t="shared" si="125"/>
        <v>0.83158031762561757</v>
      </c>
      <c r="S1326" s="4">
        <v>6.66</v>
      </c>
      <c r="T1326" s="2">
        <v>0.06</v>
      </c>
      <c r="U1326" s="2">
        <v>47.59</v>
      </c>
      <c r="V1326" s="2">
        <v>38.840000000000003</v>
      </c>
      <c r="W1326" s="2">
        <v>-5.18</v>
      </c>
      <c r="X1326" s="2">
        <v>-1.2</v>
      </c>
      <c r="Y1326" s="2">
        <v>-8.57</v>
      </c>
      <c r="Z1326" s="2">
        <v>-8.7899999999999991</v>
      </c>
    </row>
    <row r="1327" spans="1:26" x14ac:dyDescent="0.25">
      <c r="A1327" s="1" t="s">
        <v>5574</v>
      </c>
      <c r="B1327" s="1" t="s">
        <v>5575</v>
      </c>
      <c r="C1327" s="1" t="s">
        <v>31</v>
      </c>
      <c r="D1327" s="1" t="s">
        <v>32</v>
      </c>
      <c r="E1327" s="1" t="s">
        <v>4989</v>
      </c>
      <c r="F1327" s="1" t="s">
        <v>5576</v>
      </c>
      <c r="G1327" s="1" t="s">
        <v>12480</v>
      </c>
      <c r="H1327" s="1" t="s">
        <v>5577</v>
      </c>
      <c r="I1327" s="2">
        <v>13.85</v>
      </c>
      <c r="J1327" s="2"/>
      <c r="K1327" s="2">
        <v>0.77</v>
      </c>
      <c r="L1327" s="2">
        <v>0.93</v>
      </c>
      <c r="M1327" s="4">
        <f t="shared" si="120"/>
        <v>17.987012987012985</v>
      </c>
      <c r="N1327" s="4">
        <f t="shared" si="121"/>
        <v>14.892473118279568</v>
      </c>
      <c r="O1327" s="5" t="e">
        <f t="shared" si="122"/>
        <v>#DIV/0!</v>
      </c>
      <c r="P1327" s="5">
        <f t="shared" si="123"/>
        <v>0.20779220779220786</v>
      </c>
      <c r="Q1327" s="4" t="e">
        <f t="shared" si="124"/>
        <v>#DIV/0!</v>
      </c>
      <c r="R1327" s="4">
        <f t="shared" si="125"/>
        <v>0.71670026881720394</v>
      </c>
      <c r="S1327" s="4"/>
      <c r="T1327" s="2"/>
      <c r="U1327" s="2">
        <v>30.5</v>
      </c>
      <c r="V1327" s="2">
        <v>12.28</v>
      </c>
      <c r="W1327" s="2">
        <v>8.6300000000000008</v>
      </c>
      <c r="X1327" s="2">
        <v>-8.4700000000000006</v>
      </c>
      <c r="Y1327" s="2">
        <v>-28.5</v>
      </c>
      <c r="Z1327" s="2">
        <v>-26.45</v>
      </c>
    </row>
    <row r="1328" spans="1:26" x14ac:dyDescent="0.25">
      <c r="A1328" s="1" t="s">
        <v>5578</v>
      </c>
      <c r="B1328" s="1" t="s">
        <v>5579</v>
      </c>
      <c r="C1328" s="1" t="s">
        <v>16</v>
      </c>
      <c r="D1328" s="1" t="s">
        <v>88</v>
      </c>
      <c r="E1328" s="1" t="s">
        <v>89</v>
      </c>
      <c r="F1328" s="1" t="s">
        <v>5580</v>
      </c>
      <c r="G1328" s="1" t="s">
        <v>12502</v>
      </c>
      <c r="H1328" s="1" t="s">
        <v>5581</v>
      </c>
      <c r="I1328" s="2" t="s">
        <v>12517</v>
      </c>
      <c r="J1328" s="2">
        <v>1.27</v>
      </c>
      <c r="K1328" s="2">
        <v>3.02</v>
      </c>
      <c r="L1328" s="2"/>
      <c r="M1328" s="4">
        <f t="shared" si="120"/>
        <v>6.2913907284768209</v>
      </c>
      <c r="N1328" s="4" t="e">
        <f t="shared" si="121"/>
        <v>#DIV/0!</v>
      </c>
      <c r="O1328" s="5">
        <f t="shared" si="122"/>
        <v>1.3779527559055116</v>
      </c>
      <c r="P1328" s="5">
        <f t="shared" si="123"/>
        <v>-1</v>
      </c>
      <c r="Q1328" s="4">
        <f t="shared" si="124"/>
        <v>4.5657521286660362E-2</v>
      </c>
      <c r="R1328" s="4" t="e">
        <f t="shared" si="125"/>
        <v>#DIV/0!</v>
      </c>
      <c r="S1328" s="4">
        <v>23.06</v>
      </c>
      <c r="T1328" s="2">
        <v>0.95</v>
      </c>
      <c r="U1328" s="2">
        <v>26.04</v>
      </c>
      <c r="V1328" s="2">
        <v>10.85</v>
      </c>
      <c r="W1328" s="2">
        <v>-15.71</v>
      </c>
      <c r="X1328" s="2">
        <v>-11.63</v>
      </c>
      <c r="Y1328" s="2">
        <v>-5.89</v>
      </c>
      <c r="Z1328" s="2">
        <v>-4.5199999999999996</v>
      </c>
    </row>
    <row r="1329" spans="1:26" x14ac:dyDescent="0.25">
      <c r="A1329" s="1" t="s">
        <v>5582</v>
      </c>
      <c r="B1329" s="1" t="s">
        <v>5583</v>
      </c>
      <c r="C1329" s="1" t="s">
        <v>16</v>
      </c>
      <c r="D1329" s="1" t="s">
        <v>18</v>
      </c>
      <c r="E1329" s="1" t="s">
        <v>1385</v>
      </c>
      <c r="F1329" s="1" t="s">
        <v>5584</v>
      </c>
      <c r="G1329" s="1" t="s">
        <v>12480</v>
      </c>
      <c r="H1329" s="1" t="s">
        <v>5585</v>
      </c>
      <c r="I1329" s="2">
        <v>45.99</v>
      </c>
      <c r="J1329" s="2">
        <v>2.62</v>
      </c>
      <c r="K1329" s="2">
        <v>1.85</v>
      </c>
      <c r="L1329" s="2">
        <v>2.14</v>
      </c>
      <c r="M1329" s="4">
        <f t="shared" si="120"/>
        <v>24.859459459459458</v>
      </c>
      <c r="N1329" s="4">
        <f t="shared" si="121"/>
        <v>21.490654205607477</v>
      </c>
      <c r="O1329" s="5">
        <f t="shared" si="122"/>
        <v>-0.29389312977099236</v>
      </c>
      <c r="P1329" s="5">
        <f t="shared" si="123"/>
        <v>0.15675675675675671</v>
      </c>
      <c r="Q1329" s="4">
        <f t="shared" si="124"/>
        <v>-0.84586732186732183</v>
      </c>
      <c r="R1329" s="4">
        <f t="shared" si="125"/>
        <v>1.3709555269094429</v>
      </c>
      <c r="S1329" s="4">
        <v>50.58</v>
      </c>
      <c r="T1329" s="2"/>
      <c r="U1329" s="2">
        <v>60.55</v>
      </c>
      <c r="V1329" s="2">
        <v>31.17</v>
      </c>
      <c r="W1329" s="2">
        <v>2.52</v>
      </c>
      <c r="X1329" s="2" t="s">
        <v>12693</v>
      </c>
      <c r="Y1329" s="2">
        <v>-5.18</v>
      </c>
      <c r="Z1329" s="2">
        <v>-0.99</v>
      </c>
    </row>
    <row r="1330" spans="1:26" x14ac:dyDescent="0.25">
      <c r="A1330" s="1" t="s">
        <v>5586</v>
      </c>
      <c r="B1330" s="1" t="s">
        <v>5587</v>
      </c>
      <c r="C1330" s="1" t="s">
        <v>31</v>
      </c>
      <c r="D1330" s="1" t="s">
        <v>38</v>
      </c>
      <c r="E1330" s="1" t="s">
        <v>1755</v>
      </c>
      <c r="F1330" s="1" t="s">
        <v>5588</v>
      </c>
      <c r="G1330" s="1" t="s">
        <v>12480</v>
      </c>
      <c r="H1330" s="1" t="s">
        <v>5589</v>
      </c>
      <c r="I1330" s="2">
        <v>40.450000000000003</v>
      </c>
      <c r="J1330" s="2">
        <v>1.04</v>
      </c>
      <c r="K1330" s="2"/>
      <c r="L1330" s="2"/>
      <c r="M1330" s="4" t="e">
        <f t="shared" si="120"/>
        <v>#DIV/0!</v>
      </c>
      <c r="N1330" s="4" t="e">
        <f t="shared" si="121"/>
        <v>#DIV/0!</v>
      </c>
      <c r="O1330" s="5">
        <f t="shared" si="122"/>
        <v>-1</v>
      </c>
      <c r="P1330" s="5" t="e">
        <f t="shared" si="123"/>
        <v>#DIV/0!</v>
      </c>
      <c r="Q1330" s="4" t="e">
        <f t="shared" si="124"/>
        <v>#DIV/0!</v>
      </c>
      <c r="R1330" s="4" t="e">
        <f t="shared" si="125"/>
        <v>#DIV/0!</v>
      </c>
      <c r="S1330" s="4">
        <v>-27.66</v>
      </c>
      <c r="T1330" s="2">
        <v>0.02</v>
      </c>
      <c r="U1330" s="2">
        <v>44.47</v>
      </c>
      <c r="V1330" s="2">
        <v>19.71</v>
      </c>
      <c r="W1330" s="2">
        <v>-3.32</v>
      </c>
      <c r="X1330" s="2">
        <v>-3.25</v>
      </c>
      <c r="Y1330" s="2">
        <v>14.69</v>
      </c>
      <c r="Z1330" s="2">
        <v>16.04</v>
      </c>
    </row>
    <row r="1331" spans="1:26" x14ac:dyDescent="0.25">
      <c r="A1331" s="1" t="s">
        <v>5591</v>
      </c>
      <c r="B1331" s="1" t="s">
        <v>5591</v>
      </c>
      <c r="C1331" s="1" t="s">
        <v>16</v>
      </c>
      <c r="D1331" s="1" t="s">
        <v>140</v>
      </c>
      <c r="E1331" s="1" t="s">
        <v>3645</v>
      </c>
      <c r="F1331" s="1" t="s">
        <v>5592</v>
      </c>
      <c r="G1331" s="1" t="s">
        <v>12480</v>
      </c>
      <c r="H1331" s="1" t="s">
        <v>5593</v>
      </c>
      <c r="I1331" s="2">
        <v>41.37</v>
      </c>
      <c r="J1331" s="2">
        <v>3.46</v>
      </c>
      <c r="K1331" s="2">
        <v>4.13</v>
      </c>
      <c r="L1331" s="2">
        <v>4.9400000000000004</v>
      </c>
      <c r="M1331" s="4">
        <f t="shared" si="120"/>
        <v>10.016949152542372</v>
      </c>
      <c r="N1331" s="4">
        <f t="shared" si="121"/>
        <v>8.3744939271255046</v>
      </c>
      <c r="O1331" s="5">
        <f t="shared" si="122"/>
        <v>0.1936416184971097</v>
      </c>
      <c r="P1331" s="5">
        <f t="shared" si="123"/>
        <v>0.19612590799031482</v>
      </c>
      <c r="Q1331" s="4">
        <f t="shared" si="124"/>
        <v>0.51729319504174076</v>
      </c>
      <c r="R1331" s="4">
        <f t="shared" si="125"/>
        <v>0.42699580146948551</v>
      </c>
      <c r="S1331" s="4">
        <v>12.37</v>
      </c>
      <c r="T1331" s="2">
        <v>0.94</v>
      </c>
      <c r="U1331" s="2">
        <v>52.55</v>
      </c>
      <c r="V1331" s="2">
        <v>38.270000000000003</v>
      </c>
      <c r="W1331" s="2">
        <v>-7.51</v>
      </c>
      <c r="X1331" s="2">
        <v>-20.12</v>
      </c>
      <c r="Y1331" s="2">
        <v>-0.43</v>
      </c>
      <c r="Z1331" s="2">
        <v>-1.59</v>
      </c>
    </row>
    <row r="1332" spans="1:26" x14ac:dyDescent="0.25">
      <c r="A1332" s="1" t="s">
        <v>5594</v>
      </c>
      <c r="B1332" s="1" t="s">
        <v>5595</v>
      </c>
      <c r="C1332" s="1" t="s">
        <v>31</v>
      </c>
      <c r="D1332" s="1" t="s">
        <v>67</v>
      </c>
      <c r="E1332" s="1" t="s">
        <v>381</v>
      </c>
      <c r="F1332" s="1" t="s">
        <v>5596</v>
      </c>
      <c r="G1332" s="1" t="s">
        <v>12499</v>
      </c>
      <c r="H1332" s="1" t="s">
        <v>5597</v>
      </c>
      <c r="I1332" s="2">
        <v>3.87</v>
      </c>
      <c r="J1332" s="2">
        <v>0.15</v>
      </c>
      <c r="K1332" s="2">
        <v>0.19</v>
      </c>
      <c r="L1332" s="2">
        <v>0.2</v>
      </c>
      <c r="M1332" s="4">
        <f t="shared" si="120"/>
        <v>20.368421052631579</v>
      </c>
      <c r="N1332" s="4">
        <f t="shared" si="121"/>
        <v>19.349999999999998</v>
      </c>
      <c r="O1332" s="5">
        <f t="shared" si="122"/>
        <v>0.26666666666666683</v>
      </c>
      <c r="P1332" s="5">
        <f t="shared" si="123"/>
        <v>5.2631578947368363E-2</v>
      </c>
      <c r="Q1332" s="4">
        <f t="shared" si="124"/>
        <v>0.76381578947368378</v>
      </c>
      <c r="R1332" s="4">
        <f t="shared" si="125"/>
        <v>3.6765000000000039</v>
      </c>
      <c r="S1332" s="4">
        <v>3.72</v>
      </c>
      <c r="T1332" s="2">
        <v>1.19</v>
      </c>
      <c r="U1332" s="2">
        <v>4.25</v>
      </c>
      <c r="V1332" s="2">
        <v>2.38</v>
      </c>
      <c r="W1332" s="2">
        <v>-3.97</v>
      </c>
      <c r="X1332" s="2">
        <v>-4.68</v>
      </c>
      <c r="Y1332" s="2">
        <v>0.78</v>
      </c>
      <c r="Z1332" s="2">
        <v>-3.01</v>
      </c>
    </row>
    <row r="1333" spans="1:26" x14ac:dyDescent="0.25">
      <c r="A1333" s="1" t="s">
        <v>5598</v>
      </c>
      <c r="B1333" s="1" t="s">
        <v>5599</v>
      </c>
      <c r="C1333" s="1" t="s">
        <v>31</v>
      </c>
      <c r="D1333" s="1" t="s">
        <v>32</v>
      </c>
      <c r="E1333" s="1" t="s">
        <v>1607</v>
      </c>
      <c r="F1333" s="1" t="s">
        <v>5600</v>
      </c>
      <c r="G1333" s="1" t="s">
        <v>12490</v>
      </c>
      <c r="H1333" s="1" t="s">
        <v>5601</v>
      </c>
      <c r="I1333" s="2">
        <v>174.572</v>
      </c>
      <c r="J1333" s="2">
        <v>3.82</v>
      </c>
      <c r="K1333" s="2">
        <v>4.41</v>
      </c>
      <c r="L1333" s="2">
        <v>4.95</v>
      </c>
      <c r="M1333" s="4">
        <f t="shared" si="120"/>
        <v>39.585487528344672</v>
      </c>
      <c r="N1333" s="4">
        <f t="shared" si="121"/>
        <v>35.267070707070708</v>
      </c>
      <c r="O1333" s="5">
        <f t="shared" si="122"/>
        <v>0.1544502617801049</v>
      </c>
      <c r="P1333" s="5">
        <f t="shared" si="123"/>
        <v>0.12244897959183665</v>
      </c>
      <c r="Q1333" s="4">
        <f t="shared" si="124"/>
        <v>2.5629925823436688</v>
      </c>
      <c r="R1333" s="4">
        <f t="shared" si="125"/>
        <v>2.8801441077441101</v>
      </c>
      <c r="S1333" s="4">
        <v>3.58</v>
      </c>
      <c r="T1333" s="2" t="s">
        <v>12493</v>
      </c>
      <c r="U1333" s="2">
        <v>188.97</v>
      </c>
      <c r="V1333" s="2">
        <v>97.54</v>
      </c>
      <c r="W1333" s="2">
        <v>-1.88</v>
      </c>
      <c r="X1333" s="2">
        <v>-2.4700000000000002</v>
      </c>
      <c r="Y1333" s="2">
        <v>13.19</v>
      </c>
      <c r="Z1333" s="2">
        <v>15.11</v>
      </c>
    </row>
    <row r="1334" spans="1:26" x14ac:dyDescent="0.25">
      <c r="A1334" s="1" t="s">
        <v>5602</v>
      </c>
      <c r="B1334" s="1" t="s">
        <v>5603</v>
      </c>
      <c r="C1334" s="1" t="s">
        <v>16</v>
      </c>
      <c r="D1334" s="1" t="s">
        <v>305</v>
      </c>
      <c r="E1334" s="1" t="s">
        <v>349</v>
      </c>
      <c r="F1334" s="1" t="s">
        <v>5604</v>
      </c>
      <c r="G1334" s="1" t="s">
        <v>12480</v>
      </c>
      <c r="H1334" s="1" t="s">
        <v>5605</v>
      </c>
      <c r="I1334" s="2">
        <v>18.77</v>
      </c>
      <c r="J1334" s="2">
        <v>2.78</v>
      </c>
      <c r="K1334" s="2">
        <v>1.1299999999999999</v>
      </c>
      <c r="L1334" s="2">
        <v>2.1</v>
      </c>
      <c r="M1334" s="4">
        <f t="shared" si="120"/>
        <v>16.610619469026549</v>
      </c>
      <c r="N1334" s="4">
        <f t="shared" si="121"/>
        <v>8.9380952380952383</v>
      </c>
      <c r="O1334" s="5">
        <f t="shared" si="122"/>
        <v>-0.59352517985611519</v>
      </c>
      <c r="P1334" s="5">
        <f t="shared" si="123"/>
        <v>0.85840707964601792</v>
      </c>
      <c r="Q1334" s="4">
        <f t="shared" si="124"/>
        <v>-0.27986377044784122</v>
      </c>
      <c r="R1334" s="4">
        <f t="shared" si="125"/>
        <v>0.10412420225822286</v>
      </c>
      <c r="S1334" s="4">
        <v>-13.76</v>
      </c>
      <c r="T1334" s="2">
        <v>1.42</v>
      </c>
      <c r="U1334" s="2">
        <v>31.03</v>
      </c>
      <c r="V1334" s="2">
        <v>17.77</v>
      </c>
      <c r="W1334" s="2">
        <v>5.63</v>
      </c>
      <c r="X1334" s="2">
        <v>-6.8</v>
      </c>
      <c r="Y1334" s="2">
        <v>-12.17</v>
      </c>
      <c r="Z1334" s="2">
        <v>-8.39</v>
      </c>
    </row>
    <row r="1335" spans="1:26" x14ac:dyDescent="0.25">
      <c r="A1335" s="1" t="s">
        <v>5606</v>
      </c>
      <c r="B1335" s="1" t="s">
        <v>5607</v>
      </c>
      <c r="C1335" s="1" t="s">
        <v>31</v>
      </c>
      <c r="D1335" s="1" t="s">
        <v>354</v>
      </c>
      <c r="E1335" s="1" t="s">
        <v>1213</v>
      </c>
      <c r="F1335" s="1" t="s">
        <v>5608</v>
      </c>
      <c r="G1335" s="1" t="s">
        <v>12480</v>
      </c>
      <c r="H1335" s="1" t="s">
        <v>5609</v>
      </c>
      <c r="I1335" s="2">
        <v>0.9</v>
      </c>
      <c r="J1335" s="2">
        <v>0.04</v>
      </c>
      <c r="K1335" s="2"/>
      <c r="L1335" s="2"/>
      <c r="M1335" s="4" t="e">
        <f t="shared" si="120"/>
        <v>#DIV/0!</v>
      </c>
      <c r="N1335" s="4" t="e">
        <f t="shared" si="121"/>
        <v>#DIV/0!</v>
      </c>
      <c r="O1335" s="5">
        <f t="shared" si="122"/>
        <v>-1</v>
      </c>
      <c r="P1335" s="5" t="e">
        <f t="shared" si="123"/>
        <v>#DIV/0!</v>
      </c>
      <c r="Q1335" s="4" t="e">
        <f t="shared" si="124"/>
        <v>#DIV/0!</v>
      </c>
      <c r="R1335" s="4" t="e">
        <f t="shared" si="125"/>
        <v>#DIV/0!</v>
      </c>
      <c r="S1335" s="4">
        <v>-2.2999999999999998</v>
      </c>
      <c r="T1335" s="2">
        <v>0.19</v>
      </c>
      <c r="U1335" s="2" t="s">
        <v>12493</v>
      </c>
      <c r="V1335" s="2">
        <v>0.69</v>
      </c>
      <c r="W1335" s="2">
        <v>-3.23</v>
      </c>
      <c r="X1335" s="2">
        <v>-5.26</v>
      </c>
      <c r="Y1335" s="2">
        <v>0.03</v>
      </c>
      <c r="Z1335" s="2">
        <v>-3.85</v>
      </c>
    </row>
    <row r="1336" spans="1:26" x14ac:dyDescent="0.25">
      <c r="A1336" s="1" t="s">
        <v>5610</v>
      </c>
      <c r="B1336" s="1" t="s">
        <v>5611</v>
      </c>
      <c r="C1336" s="1" t="s">
        <v>45</v>
      </c>
      <c r="D1336" s="1" t="s">
        <v>18</v>
      </c>
      <c r="E1336" s="1" t="s">
        <v>594</v>
      </c>
      <c r="F1336" s="1" t="s">
        <v>5612</v>
      </c>
      <c r="G1336" s="1" t="s">
        <v>12485</v>
      </c>
      <c r="H1336" s="1" t="s">
        <v>3217</v>
      </c>
      <c r="I1336" s="2">
        <v>75.59</v>
      </c>
      <c r="J1336" s="2">
        <v>4.26</v>
      </c>
      <c r="K1336" s="2">
        <v>4.4800000000000004</v>
      </c>
      <c r="L1336" s="2">
        <v>4.88</v>
      </c>
      <c r="M1336" s="4">
        <f t="shared" si="120"/>
        <v>16.872767857142858</v>
      </c>
      <c r="N1336" s="4">
        <f t="shared" si="121"/>
        <v>15.489754098360656</v>
      </c>
      <c r="O1336" s="5">
        <f t="shared" si="122"/>
        <v>5.164319248826299E-2</v>
      </c>
      <c r="P1336" s="5">
        <f t="shared" si="123"/>
        <v>8.9285714285714191E-2</v>
      </c>
      <c r="Q1336" s="4">
        <f t="shared" si="124"/>
        <v>3.2671814123376572</v>
      </c>
      <c r="R1336" s="4">
        <f t="shared" si="125"/>
        <v>1.7348524590163952</v>
      </c>
      <c r="S1336" s="4">
        <v>1.74</v>
      </c>
      <c r="T1336" s="2">
        <v>0.73</v>
      </c>
      <c r="U1336" s="2">
        <v>75.75</v>
      </c>
      <c r="V1336" s="2">
        <v>52.73</v>
      </c>
      <c r="W1336" s="2">
        <v>0.19</v>
      </c>
      <c r="X1336" s="2">
        <v>0.76</v>
      </c>
      <c r="Y1336" s="2">
        <v>0.53</v>
      </c>
      <c r="Z1336" s="2">
        <v>1.48</v>
      </c>
    </row>
    <row r="1337" spans="1:26" x14ac:dyDescent="0.25">
      <c r="A1337" s="1" t="s">
        <v>5614</v>
      </c>
      <c r="B1337" s="1" t="s">
        <v>5615</v>
      </c>
      <c r="C1337" s="1" t="s">
        <v>16</v>
      </c>
      <c r="D1337" s="1" t="s">
        <v>38</v>
      </c>
      <c r="E1337" s="1" t="s">
        <v>119</v>
      </c>
      <c r="F1337" s="1" t="s">
        <v>5616</v>
      </c>
      <c r="G1337" s="1" t="s">
        <v>12480</v>
      </c>
      <c r="H1337" s="1" t="s">
        <v>5617</v>
      </c>
      <c r="I1337" s="2">
        <v>26.95</v>
      </c>
      <c r="J1337" s="2">
        <v>2.35</v>
      </c>
      <c r="K1337" s="2">
        <v>2.54</v>
      </c>
      <c r="L1337" s="2">
        <v>2.66</v>
      </c>
      <c r="M1337" s="4">
        <f t="shared" si="120"/>
        <v>10.610236220472441</v>
      </c>
      <c r="N1337" s="4">
        <f t="shared" si="121"/>
        <v>10.131578947368419</v>
      </c>
      <c r="O1337" s="5">
        <f t="shared" si="122"/>
        <v>8.085106382978724E-2</v>
      </c>
      <c r="P1337" s="5">
        <f t="shared" si="123"/>
        <v>4.7244094488189115E-2</v>
      </c>
      <c r="Q1337" s="4">
        <f t="shared" si="124"/>
        <v>1.3123186904268545</v>
      </c>
      <c r="R1337" s="4">
        <f t="shared" si="125"/>
        <v>2.1445175438596427</v>
      </c>
      <c r="S1337" s="4">
        <v>0.61</v>
      </c>
      <c r="T1337" s="2">
        <v>0.78</v>
      </c>
      <c r="U1337" s="2">
        <v>30.59</v>
      </c>
      <c r="V1337" s="2">
        <v>25.05</v>
      </c>
      <c r="W1337" s="2">
        <v>-3.65</v>
      </c>
      <c r="X1337" s="2">
        <v>-10.94</v>
      </c>
      <c r="Y1337" s="2">
        <v>-6.26</v>
      </c>
      <c r="Z1337" s="2">
        <v>-2.99</v>
      </c>
    </row>
    <row r="1338" spans="1:26" x14ac:dyDescent="0.25">
      <c r="A1338" s="1" t="s">
        <v>5618</v>
      </c>
      <c r="B1338" s="1" t="s">
        <v>5619</v>
      </c>
      <c r="C1338" s="1" t="s">
        <v>45</v>
      </c>
      <c r="D1338" s="1" t="s">
        <v>2417</v>
      </c>
      <c r="E1338" s="1" t="s">
        <v>2418</v>
      </c>
      <c r="F1338" s="1" t="s">
        <v>5620</v>
      </c>
      <c r="G1338" s="1" t="s">
        <v>12480</v>
      </c>
      <c r="H1338" s="1" t="s">
        <v>5621</v>
      </c>
      <c r="I1338" s="2">
        <v>237.59</v>
      </c>
      <c r="J1338" s="2">
        <v>9.7799999999999994</v>
      </c>
      <c r="K1338" s="2">
        <v>10.41</v>
      </c>
      <c r="L1338" s="2">
        <v>11.4</v>
      </c>
      <c r="M1338" s="4">
        <f t="shared" si="120"/>
        <v>22.823246878001921</v>
      </c>
      <c r="N1338" s="4">
        <f t="shared" si="121"/>
        <v>20.84122807017544</v>
      </c>
      <c r="O1338" s="5">
        <f t="shared" si="122"/>
        <v>6.4417177914110502E-2</v>
      </c>
      <c r="P1338" s="5">
        <f t="shared" si="123"/>
        <v>9.5100864553314235E-2</v>
      </c>
      <c r="Q1338" s="4">
        <f t="shared" si="124"/>
        <v>3.5430373724898181</v>
      </c>
      <c r="R1338" s="4">
        <f t="shared" si="125"/>
        <v>2.1914867091972332</v>
      </c>
      <c r="S1338" s="4">
        <v>-2.74</v>
      </c>
      <c r="T1338" s="2">
        <v>0.92</v>
      </c>
      <c r="U1338" s="2">
        <v>248.04</v>
      </c>
      <c r="V1338" s="2">
        <v>182.86</v>
      </c>
      <c r="W1338" s="2">
        <v>-4.21</v>
      </c>
      <c r="X1338" s="2">
        <v>-0.94</v>
      </c>
      <c r="Y1338" s="2">
        <v>20.329999999999998</v>
      </c>
      <c r="Z1338" s="2">
        <v>21.78</v>
      </c>
    </row>
    <row r="1339" spans="1:26" x14ac:dyDescent="0.25">
      <c r="A1339" s="1" t="s">
        <v>5622</v>
      </c>
      <c r="B1339" s="1" t="s">
        <v>5623</v>
      </c>
      <c r="C1339" s="1" t="s">
        <v>45</v>
      </c>
      <c r="D1339" s="1" t="s">
        <v>38</v>
      </c>
      <c r="E1339" s="1" t="s">
        <v>1408</v>
      </c>
      <c r="F1339" s="1" t="s">
        <v>5624</v>
      </c>
      <c r="G1339" s="1" t="s">
        <v>12480</v>
      </c>
      <c r="H1339" s="1" t="s">
        <v>5625</v>
      </c>
      <c r="I1339" s="2">
        <v>79.349999999999994</v>
      </c>
      <c r="J1339" s="2">
        <v>2.0499999999999998</v>
      </c>
      <c r="K1339" s="2">
        <v>2.31</v>
      </c>
      <c r="L1339" s="2">
        <v>2.81</v>
      </c>
      <c r="M1339" s="4">
        <f t="shared" si="120"/>
        <v>34.350649350649348</v>
      </c>
      <c r="N1339" s="4">
        <f t="shared" si="121"/>
        <v>28.238434163701065</v>
      </c>
      <c r="O1339" s="5">
        <f t="shared" si="122"/>
        <v>0.12682926829268304</v>
      </c>
      <c r="P1339" s="5">
        <f t="shared" si="123"/>
        <v>0.21645021645021645</v>
      </c>
      <c r="Q1339" s="4">
        <f t="shared" si="124"/>
        <v>2.708416583416581</v>
      </c>
      <c r="R1339" s="4">
        <f t="shared" si="125"/>
        <v>1.3046156583629893</v>
      </c>
      <c r="S1339" s="4">
        <v>51.58</v>
      </c>
      <c r="T1339" s="2">
        <v>2.4700000000000002</v>
      </c>
      <c r="U1339" s="2">
        <v>152.46</v>
      </c>
      <c r="V1339" s="2">
        <v>34.17</v>
      </c>
      <c r="W1339" s="2">
        <v>0.72</v>
      </c>
      <c r="X1339" s="2">
        <v>-8.33</v>
      </c>
      <c r="Y1339" s="2">
        <v>-31.16</v>
      </c>
      <c r="Z1339" s="2">
        <v>-29.84</v>
      </c>
    </row>
    <row r="1340" spans="1:26" x14ac:dyDescent="0.25">
      <c r="A1340" s="1" t="s">
        <v>5626</v>
      </c>
      <c r="B1340" s="1" t="s">
        <v>5627</v>
      </c>
      <c r="C1340" s="1" t="s">
        <v>45</v>
      </c>
      <c r="D1340" s="1" t="s">
        <v>38</v>
      </c>
      <c r="E1340" s="1" t="s">
        <v>1909</v>
      </c>
      <c r="F1340" s="1" t="s">
        <v>5628</v>
      </c>
      <c r="G1340" s="1" t="s">
        <v>12480</v>
      </c>
      <c r="H1340" s="1" t="s">
        <v>4714</v>
      </c>
      <c r="I1340" s="2">
        <v>11.01</v>
      </c>
      <c r="J1340" s="2">
        <v>0.89</v>
      </c>
      <c r="K1340" s="2">
        <v>1.1000000000000001</v>
      </c>
      <c r="L1340" s="2">
        <v>1.35</v>
      </c>
      <c r="M1340" s="4">
        <f t="shared" si="120"/>
        <v>10.009090909090908</v>
      </c>
      <c r="N1340" s="4">
        <f t="shared" si="121"/>
        <v>8.155555555555555</v>
      </c>
      <c r="O1340" s="5">
        <f t="shared" si="122"/>
        <v>0.23595505617977541</v>
      </c>
      <c r="P1340" s="5">
        <f t="shared" si="123"/>
        <v>0.22727272727272729</v>
      </c>
      <c r="Q1340" s="4">
        <f t="shared" si="124"/>
        <v>0.4241948051948049</v>
      </c>
      <c r="R1340" s="4">
        <f t="shared" si="125"/>
        <v>0.35884444444444435</v>
      </c>
      <c r="S1340" s="4">
        <v>-3.34</v>
      </c>
      <c r="T1340" s="2">
        <v>0.85</v>
      </c>
      <c r="U1340" s="2">
        <v>12.68</v>
      </c>
      <c r="V1340" s="2">
        <v>9.11</v>
      </c>
      <c r="W1340" s="2">
        <v>-3.59</v>
      </c>
      <c r="X1340" s="2">
        <v>-10.99</v>
      </c>
      <c r="Y1340" s="2">
        <v>-4.26</v>
      </c>
      <c r="Z1340" s="2">
        <v>0.46</v>
      </c>
    </row>
    <row r="1341" spans="1:26" x14ac:dyDescent="0.25">
      <c r="A1341" s="1" t="s">
        <v>5629</v>
      </c>
      <c r="B1341" s="1" t="s">
        <v>5630</v>
      </c>
      <c r="C1341" s="1" t="s">
        <v>16</v>
      </c>
      <c r="D1341" s="1" t="s">
        <v>94</v>
      </c>
      <c r="E1341" s="1" t="s">
        <v>1925</v>
      </c>
      <c r="F1341" s="1" t="s">
        <v>5631</v>
      </c>
      <c r="G1341" s="1" t="s">
        <v>12485</v>
      </c>
      <c r="H1341" s="1" t="s">
        <v>5632</v>
      </c>
      <c r="I1341" s="2">
        <v>34.369999999999997</v>
      </c>
      <c r="J1341" s="2">
        <v>0.94</v>
      </c>
      <c r="K1341" s="2">
        <v>0.23</v>
      </c>
      <c r="L1341" s="2">
        <v>1.1499999999999999</v>
      </c>
      <c r="M1341" s="4">
        <f t="shared" si="120"/>
        <v>149.43478260869563</v>
      </c>
      <c r="N1341" s="4">
        <f t="shared" si="121"/>
        <v>29.88695652173913</v>
      </c>
      <c r="O1341" s="5">
        <f t="shared" si="122"/>
        <v>-0.75531914893617014</v>
      </c>
      <c r="P1341" s="5">
        <f t="shared" si="123"/>
        <v>3.9999999999999991</v>
      </c>
      <c r="Q1341" s="4">
        <f t="shared" si="124"/>
        <v>-1.97843233312921</v>
      </c>
      <c r="R1341" s="4">
        <f t="shared" si="125"/>
        <v>7.4717391304347847E-2</v>
      </c>
      <c r="S1341" s="4">
        <v>35.89</v>
      </c>
      <c r="T1341" s="2">
        <v>0.54</v>
      </c>
      <c r="U1341" s="2">
        <v>36.409999999999997</v>
      </c>
      <c r="V1341" s="2">
        <v>15.16</v>
      </c>
      <c r="W1341" s="2">
        <v>-2.0499999999999998</v>
      </c>
      <c r="X1341" s="2">
        <v>-3.75</v>
      </c>
      <c r="Y1341" s="2">
        <v>18.760000000000002</v>
      </c>
      <c r="Z1341" s="2">
        <v>19.84</v>
      </c>
    </row>
    <row r="1342" spans="1:26" x14ac:dyDescent="0.25">
      <c r="A1342" s="1" t="s">
        <v>5633</v>
      </c>
      <c r="B1342" s="1" t="s">
        <v>5634</v>
      </c>
      <c r="C1342" s="1" t="s">
        <v>16</v>
      </c>
      <c r="D1342" s="1" t="s">
        <v>32</v>
      </c>
      <c r="E1342" s="1" t="s">
        <v>490</v>
      </c>
      <c r="F1342" s="1" t="s">
        <v>5635</v>
      </c>
      <c r="G1342" s="1" t="s">
        <v>12479</v>
      </c>
      <c r="H1342" s="1" t="s">
        <v>5636</v>
      </c>
      <c r="I1342" s="2">
        <v>21.81</v>
      </c>
      <c r="J1342" s="2">
        <v>1.94</v>
      </c>
      <c r="K1342" s="2">
        <v>2.34</v>
      </c>
      <c r="L1342" s="2">
        <v>2.71</v>
      </c>
      <c r="M1342" s="4">
        <f t="shared" si="120"/>
        <v>9.3205128205128212</v>
      </c>
      <c r="N1342" s="4">
        <f t="shared" si="121"/>
        <v>8.0479704797047962</v>
      </c>
      <c r="O1342" s="5">
        <f t="shared" si="122"/>
        <v>0.20618556701030921</v>
      </c>
      <c r="P1342" s="5">
        <f t="shared" si="123"/>
        <v>0.15811965811965822</v>
      </c>
      <c r="Q1342" s="4">
        <f t="shared" si="124"/>
        <v>0.45204487179487196</v>
      </c>
      <c r="R1342" s="4">
        <f t="shared" si="125"/>
        <v>0.50897975466241108</v>
      </c>
      <c r="S1342" s="4">
        <v>13.84</v>
      </c>
      <c r="T1342" s="2">
        <v>1.31</v>
      </c>
      <c r="U1342" s="2">
        <v>26.25</v>
      </c>
      <c r="V1342" s="2">
        <v>12.51</v>
      </c>
      <c r="W1342" s="2">
        <v>-1.45</v>
      </c>
      <c r="X1342" s="2">
        <v>-8.7799999999999994</v>
      </c>
      <c r="Y1342" s="2">
        <v>-9.31</v>
      </c>
      <c r="Z1342" s="2">
        <v>-9.1999999999999993</v>
      </c>
    </row>
    <row r="1343" spans="1:26" x14ac:dyDescent="0.25">
      <c r="A1343" s="1" t="s">
        <v>5630</v>
      </c>
      <c r="B1343" s="1" t="s">
        <v>5637</v>
      </c>
      <c r="C1343" s="1" t="s">
        <v>16</v>
      </c>
      <c r="D1343" s="1" t="s">
        <v>32</v>
      </c>
      <c r="E1343" s="1" t="s">
        <v>78</v>
      </c>
      <c r="F1343" s="1" t="s">
        <v>5638</v>
      </c>
      <c r="G1343" s="1" t="s">
        <v>12479</v>
      </c>
      <c r="H1343" s="1" t="s">
        <v>5639</v>
      </c>
      <c r="I1343" s="2">
        <v>18.93</v>
      </c>
      <c r="J1343" s="2">
        <v>3.12</v>
      </c>
      <c r="K1343" s="2">
        <v>2.84</v>
      </c>
      <c r="L1343" s="2">
        <v>2.9</v>
      </c>
      <c r="M1343" s="4">
        <f t="shared" si="120"/>
        <v>6.665492957746479</v>
      </c>
      <c r="N1343" s="4">
        <f t="shared" si="121"/>
        <v>6.5275862068965518</v>
      </c>
      <c r="O1343" s="5">
        <f t="shared" si="122"/>
        <v>-8.9743589743589869E-2</v>
      </c>
      <c r="P1343" s="5">
        <f t="shared" si="123"/>
        <v>2.1126760563380254E-2</v>
      </c>
      <c r="Q1343" s="4">
        <f t="shared" si="124"/>
        <v>-0.74272635814889232</v>
      </c>
      <c r="R1343" s="4">
        <f t="shared" si="125"/>
        <v>3.0897241379310385</v>
      </c>
      <c r="S1343" s="4">
        <v>3.24</v>
      </c>
      <c r="T1343" s="2">
        <v>1.18</v>
      </c>
      <c r="U1343" s="2">
        <v>30.54</v>
      </c>
      <c r="V1343" s="2">
        <v>18.2</v>
      </c>
      <c r="W1343" s="2">
        <v>1.23</v>
      </c>
      <c r="X1343" s="2">
        <v>-2.57</v>
      </c>
      <c r="Y1343" s="2">
        <v>-22.7</v>
      </c>
      <c r="Z1343" s="2">
        <v>-15.04</v>
      </c>
    </row>
    <row r="1344" spans="1:26" x14ac:dyDescent="0.25">
      <c r="A1344" s="1" t="s">
        <v>5640</v>
      </c>
      <c r="B1344" s="1" t="s">
        <v>5641</v>
      </c>
      <c r="C1344" s="1" t="s">
        <v>45</v>
      </c>
      <c r="D1344" s="1" t="s">
        <v>18</v>
      </c>
      <c r="E1344" s="1" t="s">
        <v>624</v>
      </c>
      <c r="F1344" s="1" t="s">
        <v>5642</v>
      </c>
      <c r="G1344" s="1" t="s">
        <v>12493</v>
      </c>
      <c r="H1344" s="1" t="s">
        <v>5643</v>
      </c>
      <c r="I1344" s="2">
        <v>80.040000000000006</v>
      </c>
      <c r="J1344" s="2">
        <v>3.12</v>
      </c>
      <c r="K1344" s="2">
        <v>4.58</v>
      </c>
      <c r="L1344" s="2">
        <v>5.18</v>
      </c>
      <c r="M1344" s="4">
        <f t="shared" si="120"/>
        <v>17.475982532751093</v>
      </c>
      <c r="N1344" s="4">
        <f t="shared" si="121"/>
        <v>15.451737451737454</v>
      </c>
      <c r="O1344" s="5">
        <f t="shared" si="122"/>
        <v>0.46794871794871784</v>
      </c>
      <c r="P1344" s="5">
        <f t="shared" si="123"/>
        <v>0.13100436681222694</v>
      </c>
      <c r="Q1344" s="4">
        <f t="shared" si="124"/>
        <v>0.37345935275468101</v>
      </c>
      <c r="R1344" s="4">
        <f t="shared" si="125"/>
        <v>1.1794826254826269</v>
      </c>
      <c r="S1344" s="4">
        <v>20.03</v>
      </c>
      <c r="T1344" s="2">
        <v>0.26</v>
      </c>
      <c r="U1344" s="2">
        <v>113.06</v>
      </c>
      <c r="V1344" s="2">
        <v>73.209999999999994</v>
      </c>
      <c r="W1344" s="2">
        <v>2.71</v>
      </c>
      <c r="X1344" s="2">
        <v>0.96</v>
      </c>
      <c r="Y1344" s="2">
        <v>-16.41</v>
      </c>
      <c r="Z1344" s="2">
        <v>-12.63</v>
      </c>
    </row>
    <row r="1345" spans="1:26" x14ac:dyDescent="0.25">
      <c r="A1345" s="1" t="s">
        <v>5644</v>
      </c>
      <c r="B1345" s="1" t="s">
        <v>5645</v>
      </c>
      <c r="C1345" s="1" t="s">
        <v>16</v>
      </c>
      <c r="D1345" s="1" t="s">
        <v>38</v>
      </c>
      <c r="E1345" s="1" t="s">
        <v>510</v>
      </c>
      <c r="F1345" s="1" t="s">
        <v>5646</v>
      </c>
      <c r="G1345" s="1" t="s">
        <v>12480</v>
      </c>
      <c r="H1345" s="1" t="s">
        <v>5647</v>
      </c>
      <c r="I1345" s="2">
        <v>18.43</v>
      </c>
      <c r="J1345" s="2">
        <v>1.61</v>
      </c>
      <c r="K1345" s="2">
        <v>1.6</v>
      </c>
      <c r="L1345" s="2">
        <v>1.65</v>
      </c>
      <c r="M1345" s="4">
        <f t="shared" si="120"/>
        <v>11.518749999999999</v>
      </c>
      <c r="N1345" s="4">
        <f t="shared" si="121"/>
        <v>11.16969696969697</v>
      </c>
      <c r="O1345" s="5">
        <f t="shared" si="122"/>
        <v>-6.2111801242236142E-3</v>
      </c>
      <c r="P1345" s="5">
        <f t="shared" si="123"/>
        <v>3.1249999999999778E-2</v>
      </c>
      <c r="Q1345" s="4">
        <f t="shared" si="124"/>
        <v>-18.545187499999962</v>
      </c>
      <c r="R1345" s="4">
        <f t="shared" si="125"/>
        <v>3.5743030303030556</v>
      </c>
      <c r="S1345" s="4">
        <v>-6.92</v>
      </c>
      <c r="T1345" s="2">
        <v>0.96</v>
      </c>
      <c r="U1345" s="2">
        <v>18.88</v>
      </c>
      <c r="V1345" s="2">
        <v>14.18</v>
      </c>
      <c r="W1345" s="2" t="s">
        <v>12489</v>
      </c>
      <c r="X1345" s="2">
        <v>7.59</v>
      </c>
      <c r="Y1345" s="2">
        <v>6.96</v>
      </c>
      <c r="Z1345" s="2">
        <v>8.73</v>
      </c>
    </row>
    <row r="1346" spans="1:26" x14ac:dyDescent="0.25">
      <c r="A1346" s="1" t="s">
        <v>5648</v>
      </c>
      <c r="B1346" s="1" t="s">
        <v>5649</v>
      </c>
      <c r="C1346" s="1" t="s">
        <v>16</v>
      </c>
      <c r="D1346" s="1" t="s">
        <v>147</v>
      </c>
      <c r="E1346" s="1" t="s">
        <v>2785</v>
      </c>
      <c r="F1346" s="1" t="s">
        <v>5650</v>
      </c>
      <c r="G1346" s="1" t="s">
        <v>12502</v>
      </c>
      <c r="H1346" s="1" t="s">
        <v>5651</v>
      </c>
      <c r="I1346" s="2">
        <v>30.97</v>
      </c>
      <c r="J1346" s="2">
        <v>4.66</v>
      </c>
      <c r="K1346" s="2">
        <v>4.9800000000000004</v>
      </c>
      <c r="L1346" s="2">
        <v>5.35</v>
      </c>
      <c r="M1346" s="4">
        <f t="shared" si="120"/>
        <v>6.2188755020080313</v>
      </c>
      <c r="N1346" s="4">
        <f t="shared" si="121"/>
        <v>5.7887850467289725</v>
      </c>
      <c r="O1346" s="5">
        <f t="shared" si="122"/>
        <v>6.8669527896995763E-2</v>
      </c>
      <c r="P1346" s="5">
        <f t="shared" si="123"/>
        <v>7.4297188755019894E-2</v>
      </c>
      <c r="Q1346" s="4">
        <f t="shared" si="124"/>
        <v>0.90562374497991882</v>
      </c>
      <c r="R1346" s="4">
        <f t="shared" si="125"/>
        <v>0.7791391765597393</v>
      </c>
      <c r="S1346" s="4">
        <v>4.17</v>
      </c>
      <c r="T1346" s="2">
        <v>0.38</v>
      </c>
      <c r="U1346" s="2">
        <v>63.04</v>
      </c>
      <c r="V1346" s="2">
        <v>28.34</v>
      </c>
      <c r="W1346" s="2">
        <v>0.1</v>
      </c>
      <c r="X1346" s="2">
        <v>-5.49</v>
      </c>
      <c r="Y1346" s="2">
        <v>-28.85</v>
      </c>
      <c r="Z1346" s="2">
        <v>-28.94</v>
      </c>
    </row>
    <row r="1347" spans="1:26" x14ac:dyDescent="0.25">
      <c r="A1347" s="1" t="s">
        <v>5652</v>
      </c>
      <c r="B1347" s="1" t="s">
        <v>5653</v>
      </c>
      <c r="C1347" s="1" t="s">
        <v>16</v>
      </c>
      <c r="D1347" s="1" t="s">
        <v>46</v>
      </c>
      <c r="E1347" s="1" t="s">
        <v>391</v>
      </c>
      <c r="F1347" s="1" t="s">
        <v>5654</v>
      </c>
      <c r="G1347" s="1" t="s">
        <v>12480</v>
      </c>
      <c r="H1347" s="1" t="s">
        <v>2150</v>
      </c>
      <c r="I1347" s="2">
        <v>121.16</v>
      </c>
      <c r="J1347" s="2">
        <v>7.61</v>
      </c>
      <c r="K1347" s="2">
        <v>7.13</v>
      </c>
      <c r="L1347" s="2">
        <v>10.72</v>
      </c>
      <c r="M1347" s="4">
        <f t="shared" ref="M1347:M1410" si="126">I1347/K1347</f>
        <v>16.992987377279103</v>
      </c>
      <c r="N1347" s="4">
        <f t="shared" ref="N1347:N1410" si="127">I1347/L1347</f>
        <v>11.302238805970148</v>
      </c>
      <c r="O1347" s="5">
        <f t="shared" ref="O1347:O1410" si="128">K1347/J1347-1</f>
        <v>-6.3074901445466569E-2</v>
      </c>
      <c r="P1347" s="5">
        <f t="shared" ref="P1347:P1410" si="129">L1347/K1347-1</f>
        <v>0.50350631136044899</v>
      </c>
      <c r="Q1347" s="4">
        <f t="shared" ref="Q1347:Q1410" si="130">M1347/(O1347*100)</f>
        <v>-2.6940965404394546</v>
      </c>
      <c r="R1347" s="4">
        <f t="shared" ref="R1347:R1410" si="131">N1347/(P1347*100)</f>
        <v>0.22447064815199758</v>
      </c>
      <c r="S1347" s="4">
        <v>22.65</v>
      </c>
      <c r="T1347" s="2">
        <v>1.73</v>
      </c>
      <c r="U1347" s="2">
        <v>181.12</v>
      </c>
      <c r="V1347" s="2">
        <v>102.34</v>
      </c>
      <c r="W1347" s="2">
        <v>-14.02</v>
      </c>
      <c r="X1347" s="2">
        <v>-32.14</v>
      </c>
      <c r="Y1347" s="2" t="s">
        <v>12587</v>
      </c>
      <c r="Z1347" s="2">
        <v>-18.350000000000001</v>
      </c>
    </row>
    <row r="1348" spans="1:26" x14ac:dyDescent="0.25">
      <c r="A1348" s="1" t="s">
        <v>5655</v>
      </c>
      <c r="B1348" s="1" t="s">
        <v>5656</v>
      </c>
      <c r="C1348" s="1" t="s">
        <v>31</v>
      </c>
      <c r="D1348" s="1" t="s">
        <v>25</v>
      </c>
      <c r="E1348" s="1" t="s">
        <v>325</v>
      </c>
      <c r="F1348" s="1" t="s">
        <v>5657</v>
      </c>
      <c r="G1348" s="1" t="s">
        <v>12480</v>
      </c>
      <c r="H1348" s="1" t="s">
        <v>5658</v>
      </c>
      <c r="I1348" s="2" t="s">
        <v>12694</v>
      </c>
      <c r="J1348" s="2">
        <v>6.38</v>
      </c>
      <c r="K1348" s="2"/>
      <c r="L1348" s="2"/>
      <c r="M1348" s="4" t="e">
        <f t="shared" si="126"/>
        <v>#DIV/0!</v>
      </c>
      <c r="N1348" s="4" t="e">
        <f t="shared" si="127"/>
        <v>#DIV/0!</v>
      </c>
      <c r="O1348" s="5">
        <f t="shared" si="128"/>
        <v>-1</v>
      </c>
      <c r="P1348" s="5" t="e">
        <f t="shared" si="129"/>
        <v>#DIV/0!</v>
      </c>
      <c r="Q1348" s="4" t="e">
        <f t="shared" si="130"/>
        <v>#DIV/0!</v>
      </c>
      <c r="R1348" s="4" t="e">
        <f t="shared" si="131"/>
        <v>#DIV/0!</v>
      </c>
      <c r="S1348" s="4">
        <v>6.14</v>
      </c>
      <c r="T1348" s="2">
        <v>0.26</v>
      </c>
      <c r="U1348" s="2" t="s">
        <v>12694</v>
      </c>
      <c r="V1348" s="2">
        <v>61.03</v>
      </c>
      <c r="W1348" s="2">
        <v>11.74</v>
      </c>
      <c r="X1348" s="2">
        <v>11.74</v>
      </c>
      <c r="Y1348" s="2">
        <v>21.73</v>
      </c>
      <c r="Z1348" s="2">
        <v>21.73</v>
      </c>
    </row>
    <row r="1349" spans="1:26" x14ac:dyDescent="0.25">
      <c r="A1349" s="1" t="s">
        <v>5659</v>
      </c>
      <c r="B1349" s="1" t="s">
        <v>5660</v>
      </c>
      <c r="C1349" s="1" t="s">
        <v>16</v>
      </c>
      <c r="D1349" s="1" t="s">
        <v>128</v>
      </c>
      <c r="E1349" s="1" t="s">
        <v>5662</v>
      </c>
      <c r="F1349" s="1" t="s">
        <v>5661</v>
      </c>
      <c r="G1349" s="1" t="s">
        <v>12479</v>
      </c>
      <c r="H1349" s="1" t="s">
        <v>5663</v>
      </c>
      <c r="I1349" s="2">
        <v>23.88</v>
      </c>
      <c r="J1349" s="2">
        <v>1.37</v>
      </c>
      <c r="K1349" s="2">
        <v>1.43</v>
      </c>
      <c r="L1349" s="2">
        <v>1.55</v>
      </c>
      <c r="M1349" s="4">
        <f t="shared" si="126"/>
        <v>16.6993006993007</v>
      </c>
      <c r="N1349" s="4">
        <f t="shared" si="127"/>
        <v>15.406451612903224</v>
      </c>
      <c r="O1349" s="5">
        <f t="shared" si="128"/>
        <v>4.3795620437956151E-2</v>
      </c>
      <c r="P1349" s="5">
        <f t="shared" si="129"/>
        <v>8.3916083916083961E-2</v>
      </c>
      <c r="Q1349" s="4">
        <f t="shared" si="130"/>
        <v>3.8130069930069976</v>
      </c>
      <c r="R1349" s="4">
        <f t="shared" si="131"/>
        <v>1.8359354838709663</v>
      </c>
      <c r="S1349" s="4">
        <v>1.55</v>
      </c>
      <c r="T1349" s="2">
        <v>0.32</v>
      </c>
      <c r="U1349" s="2">
        <v>31.54</v>
      </c>
      <c r="V1349" s="2">
        <v>21.29</v>
      </c>
      <c r="W1349" s="2">
        <v>-3.79</v>
      </c>
      <c r="X1349" s="2">
        <v>-2.17</v>
      </c>
      <c r="Y1349" s="2">
        <v>-0.5</v>
      </c>
      <c r="Z1349" s="2">
        <v>0.76</v>
      </c>
    </row>
    <row r="1350" spans="1:26" x14ac:dyDescent="0.25">
      <c r="A1350" s="1" t="s">
        <v>5664</v>
      </c>
      <c r="B1350" s="1" t="s">
        <v>5665</v>
      </c>
      <c r="C1350" s="1" t="s">
        <v>45</v>
      </c>
      <c r="D1350" s="1" t="s">
        <v>18</v>
      </c>
      <c r="E1350" s="1" t="s">
        <v>74</v>
      </c>
      <c r="F1350" s="1" t="s">
        <v>5666</v>
      </c>
      <c r="G1350" s="1" t="s">
        <v>12480</v>
      </c>
      <c r="H1350" s="1" t="s">
        <v>5667</v>
      </c>
      <c r="I1350" s="2">
        <v>28.57</v>
      </c>
      <c r="J1350" s="2">
        <v>2.71</v>
      </c>
      <c r="K1350" s="2">
        <v>3.33</v>
      </c>
      <c r="L1350" s="2">
        <v>3.79</v>
      </c>
      <c r="M1350" s="4">
        <f t="shared" si="126"/>
        <v>8.5795795795795797</v>
      </c>
      <c r="N1350" s="4">
        <f t="shared" si="127"/>
        <v>7.5382585751978892</v>
      </c>
      <c r="O1350" s="5">
        <f t="shared" si="128"/>
        <v>0.22878228782287824</v>
      </c>
      <c r="P1350" s="5">
        <f t="shared" si="129"/>
        <v>0.13813813813813813</v>
      </c>
      <c r="Q1350" s="4">
        <f t="shared" si="130"/>
        <v>0.37501065581710741</v>
      </c>
      <c r="R1350" s="4">
        <f t="shared" si="131"/>
        <v>0.54570437076976031</v>
      </c>
      <c r="S1350" s="4">
        <v>21.51</v>
      </c>
      <c r="T1350" s="2">
        <v>0.88</v>
      </c>
      <c r="U1350" s="2">
        <v>40.51</v>
      </c>
      <c r="V1350" s="2">
        <v>25.9</v>
      </c>
      <c r="W1350" s="2">
        <v>-1.1399999999999999</v>
      </c>
      <c r="X1350" s="2">
        <v>-22.95</v>
      </c>
      <c r="Y1350" s="2">
        <v>-26.59</v>
      </c>
      <c r="Z1350" s="2">
        <v>-23.65</v>
      </c>
    </row>
    <row r="1351" spans="1:26" x14ac:dyDescent="0.25">
      <c r="A1351" s="1" t="s">
        <v>5668</v>
      </c>
      <c r="B1351" s="1" t="s">
        <v>5669</v>
      </c>
      <c r="C1351" s="1" t="s">
        <v>31</v>
      </c>
      <c r="D1351" s="1" t="s">
        <v>354</v>
      </c>
      <c r="E1351" s="1" t="s">
        <v>355</v>
      </c>
      <c r="F1351" s="1" t="s">
        <v>5670</v>
      </c>
      <c r="G1351" s="1" t="s">
        <v>12480</v>
      </c>
      <c r="H1351" s="1" t="s">
        <v>5671</v>
      </c>
      <c r="I1351" s="2">
        <v>43.85</v>
      </c>
      <c r="J1351" s="2">
        <v>1.6</v>
      </c>
      <c r="K1351" s="2"/>
      <c r="L1351" s="2"/>
      <c r="M1351" s="4" t="e">
        <f t="shared" si="126"/>
        <v>#DIV/0!</v>
      </c>
      <c r="N1351" s="4" t="e">
        <f t="shared" si="127"/>
        <v>#DIV/0!</v>
      </c>
      <c r="O1351" s="5">
        <f t="shared" si="128"/>
        <v>-1</v>
      </c>
      <c r="P1351" s="5" t="e">
        <f t="shared" si="129"/>
        <v>#DIV/0!</v>
      </c>
      <c r="Q1351" s="4" t="e">
        <f t="shared" si="130"/>
        <v>#DIV/0!</v>
      </c>
      <c r="R1351" s="4" t="e">
        <f t="shared" si="131"/>
        <v>#DIV/0!</v>
      </c>
      <c r="S1351" s="4">
        <v>4.49</v>
      </c>
      <c r="T1351" s="2"/>
      <c r="U1351" s="2">
        <v>43.85</v>
      </c>
      <c r="V1351" s="2">
        <v>37.47</v>
      </c>
      <c r="W1351" s="2">
        <v>3.37</v>
      </c>
      <c r="X1351" s="2">
        <v>10.130000000000001</v>
      </c>
      <c r="Y1351" s="2">
        <v>14.52</v>
      </c>
      <c r="Z1351" s="2">
        <v>10.61</v>
      </c>
    </row>
    <row r="1352" spans="1:26" x14ac:dyDescent="0.25">
      <c r="A1352" s="1" t="s">
        <v>5672</v>
      </c>
      <c r="B1352" s="1" t="s">
        <v>5673</v>
      </c>
      <c r="C1352" s="1" t="s">
        <v>45</v>
      </c>
      <c r="D1352" s="1" t="s">
        <v>18</v>
      </c>
      <c r="E1352" s="1" t="s">
        <v>780</v>
      </c>
      <c r="F1352" s="1" t="s">
        <v>5674</v>
      </c>
      <c r="G1352" s="1" t="s">
        <v>12480</v>
      </c>
      <c r="H1352" s="1" t="s">
        <v>1835</v>
      </c>
      <c r="I1352" s="2">
        <v>35.15</v>
      </c>
      <c r="J1352" s="2">
        <v>-0.14000000000000001</v>
      </c>
      <c r="K1352" s="2">
        <v>0.93</v>
      </c>
      <c r="L1352" s="2">
        <v>2.73</v>
      </c>
      <c r="M1352" s="4">
        <f t="shared" si="126"/>
        <v>37.795698924731177</v>
      </c>
      <c r="N1352" s="4">
        <f t="shared" si="127"/>
        <v>12.875457875457876</v>
      </c>
      <c r="O1352" s="5">
        <f t="shared" si="128"/>
        <v>-7.6428571428571423</v>
      </c>
      <c r="P1352" s="5">
        <f t="shared" si="129"/>
        <v>1.9354838709677415</v>
      </c>
      <c r="Q1352" s="4">
        <f t="shared" si="130"/>
        <v>-4.9452316350115565E-2</v>
      </c>
      <c r="R1352" s="4">
        <f t="shared" si="131"/>
        <v>6.6523199023199045E-2</v>
      </c>
      <c r="S1352" s="4">
        <v>36.409999999999997</v>
      </c>
      <c r="T1352" s="2">
        <v>0.05</v>
      </c>
      <c r="U1352" s="2">
        <v>54.8</v>
      </c>
      <c r="V1352" s="2">
        <v>22.2</v>
      </c>
      <c r="W1352" s="2">
        <v>-34.409999999999997</v>
      </c>
      <c r="X1352" s="2">
        <v>-25.94</v>
      </c>
      <c r="Y1352" s="2">
        <v>-23.09</v>
      </c>
      <c r="Z1352" s="2">
        <v>-28.27</v>
      </c>
    </row>
    <row r="1353" spans="1:26" x14ac:dyDescent="0.25">
      <c r="A1353" s="1" t="s">
        <v>5675</v>
      </c>
      <c r="B1353" s="1" t="s">
        <v>5676</v>
      </c>
      <c r="C1353" s="1" t="s">
        <v>45</v>
      </c>
      <c r="D1353" s="1" t="s">
        <v>305</v>
      </c>
      <c r="E1353" s="1" t="s">
        <v>306</v>
      </c>
      <c r="F1353" s="1" t="s">
        <v>12695</v>
      </c>
      <c r="G1353" s="1" t="s">
        <v>12480</v>
      </c>
      <c r="H1353" s="1" t="s">
        <v>12696</v>
      </c>
      <c r="I1353" s="2">
        <v>24.35</v>
      </c>
      <c r="J1353" s="2">
        <v>-0.11</v>
      </c>
      <c r="K1353" s="2">
        <v>0.76</v>
      </c>
      <c r="L1353" s="2">
        <v>1.97</v>
      </c>
      <c r="M1353" s="4">
        <f t="shared" si="126"/>
        <v>32.039473684210527</v>
      </c>
      <c r="N1353" s="4">
        <f t="shared" si="127"/>
        <v>12.360406091370558</v>
      </c>
      <c r="O1353" s="5">
        <f t="shared" si="128"/>
        <v>-7.9090909090909092</v>
      </c>
      <c r="P1353" s="5">
        <f t="shared" si="129"/>
        <v>1.5921052631578947</v>
      </c>
      <c r="Q1353" s="4">
        <f t="shared" si="130"/>
        <v>-4.0509679370840899E-2</v>
      </c>
      <c r="R1353" s="4">
        <f t="shared" si="131"/>
        <v>7.763560850778202E-2</v>
      </c>
      <c r="S1353" s="4">
        <v>7.64</v>
      </c>
      <c r="T1353" s="2">
        <v>1.06</v>
      </c>
      <c r="U1353" s="2">
        <v>29.8</v>
      </c>
      <c r="V1353" s="2">
        <v>10.95</v>
      </c>
      <c r="W1353" s="2">
        <v>-11.23</v>
      </c>
      <c r="X1353" s="2">
        <v>-6.2</v>
      </c>
      <c r="Y1353" s="2">
        <v>16.62</v>
      </c>
      <c r="Z1353" s="2">
        <v>8.7100000000000009</v>
      </c>
    </row>
    <row r="1354" spans="1:26" x14ac:dyDescent="0.25">
      <c r="A1354" s="1" t="s">
        <v>5677</v>
      </c>
      <c r="B1354" s="1" t="s">
        <v>5677</v>
      </c>
      <c r="C1354" s="1" t="s">
        <v>16</v>
      </c>
      <c r="D1354" s="1" t="s">
        <v>38</v>
      </c>
      <c r="E1354" s="1" t="s">
        <v>189</v>
      </c>
      <c r="F1354" s="1" t="s">
        <v>5678</v>
      </c>
      <c r="G1354" s="1" t="s">
        <v>12480</v>
      </c>
      <c r="H1354" s="1" t="s">
        <v>5679</v>
      </c>
      <c r="I1354" s="2">
        <v>85.49</v>
      </c>
      <c r="J1354" s="2">
        <v>7.55</v>
      </c>
      <c r="K1354" s="2">
        <v>7.95</v>
      </c>
      <c r="L1354" s="2">
        <v>8.42</v>
      </c>
      <c r="M1354" s="4">
        <f t="shared" si="126"/>
        <v>10.753459119496855</v>
      </c>
      <c r="N1354" s="4">
        <f t="shared" si="127"/>
        <v>10.153206650831354</v>
      </c>
      <c r="O1354" s="5">
        <f t="shared" si="128"/>
        <v>5.2980132450331174E-2</v>
      </c>
      <c r="P1354" s="5">
        <f t="shared" si="129"/>
        <v>5.9119496855345899E-2</v>
      </c>
      <c r="Q1354" s="4">
        <f t="shared" si="130"/>
        <v>2.0297154088050293</v>
      </c>
      <c r="R1354" s="4">
        <f t="shared" si="131"/>
        <v>1.7174041037044527</v>
      </c>
      <c r="S1354" s="4">
        <v>-7.34</v>
      </c>
      <c r="T1354" s="2">
        <v>0.5</v>
      </c>
      <c r="U1354" s="2">
        <v>94.5</v>
      </c>
      <c r="V1354" s="2">
        <v>46.68</v>
      </c>
      <c r="W1354" s="2">
        <v>-4.7300000000000004</v>
      </c>
      <c r="X1354" s="2">
        <v>-5.77</v>
      </c>
      <c r="Y1354" s="2">
        <v>13.56</v>
      </c>
      <c r="Z1354" s="2">
        <v>8.67</v>
      </c>
    </row>
    <row r="1355" spans="1:26" x14ac:dyDescent="0.25">
      <c r="A1355" s="1" t="s">
        <v>5680</v>
      </c>
      <c r="B1355" s="1" t="s">
        <v>5681</v>
      </c>
      <c r="C1355" s="1" t="s">
        <v>45</v>
      </c>
      <c r="D1355" s="1" t="s">
        <v>18</v>
      </c>
      <c r="E1355" s="1" t="s">
        <v>610</v>
      </c>
      <c r="F1355" s="1" t="s">
        <v>5682</v>
      </c>
      <c r="G1355" s="1" t="s">
        <v>12480</v>
      </c>
      <c r="H1355" s="1" t="s">
        <v>5683</v>
      </c>
      <c r="I1355" s="2">
        <v>78.099999999999994</v>
      </c>
      <c r="J1355" s="2">
        <v>4.97</v>
      </c>
      <c r="K1355" s="2">
        <v>5.3</v>
      </c>
      <c r="L1355" s="2">
        <v>5.79</v>
      </c>
      <c r="M1355" s="4">
        <f t="shared" si="126"/>
        <v>14.735849056603772</v>
      </c>
      <c r="N1355" s="4">
        <f t="shared" si="127"/>
        <v>13.488773747841105</v>
      </c>
      <c r="O1355" s="5">
        <f t="shared" si="128"/>
        <v>6.6398390342052416E-2</v>
      </c>
      <c r="P1355" s="5">
        <f t="shared" si="129"/>
        <v>9.2452830188679336E-2</v>
      </c>
      <c r="Q1355" s="4">
        <f t="shared" si="130"/>
        <v>2.2193081761006255</v>
      </c>
      <c r="R1355" s="4">
        <f t="shared" si="131"/>
        <v>1.4589898135419956</v>
      </c>
      <c r="S1355" s="4">
        <v>4.03</v>
      </c>
      <c r="T1355" s="2">
        <v>0.88</v>
      </c>
      <c r="U1355" s="2">
        <v>83.35</v>
      </c>
      <c r="V1355" s="2">
        <v>62.03</v>
      </c>
      <c r="W1355" s="2">
        <v>-4.0199999999999996</v>
      </c>
      <c r="X1355" s="2">
        <v>-2.5</v>
      </c>
      <c r="Y1355" s="2">
        <v>0.92</v>
      </c>
      <c r="Z1355" s="2">
        <v>3.33</v>
      </c>
    </row>
    <row r="1356" spans="1:26" x14ac:dyDescent="0.25">
      <c r="A1356" s="1" t="s">
        <v>5684</v>
      </c>
      <c r="B1356" s="1" t="s">
        <v>5685</v>
      </c>
      <c r="C1356" s="1" t="s">
        <v>45</v>
      </c>
      <c r="D1356" s="1" t="s">
        <v>38</v>
      </c>
      <c r="E1356" s="1" t="s">
        <v>510</v>
      </c>
      <c r="F1356" s="1" t="s">
        <v>5686</v>
      </c>
      <c r="G1356" s="1" t="s">
        <v>12480</v>
      </c>
      <c r="H1356" s="1" t="s">
        <v>5687</v>
      </c>
      <c r="I1356" s="2">
        <v>19.16</v>
      </c>
      <c r="J1356" s="2">
        <v>2.0699999999999998</v>
      </c>
      <c r="K1356" s="2">
        <v>2.04</v>
      </c>
      <c r="L1356" s="2">
        <v>2.0699999999999998</v>
      </c>
      <c r="M1356" s="4">
        <f t="shared" si="126"/>
        <v>9.3921568627450984</v>
      </c>
      <c r="N1356" s="4">
        <f t="shared" si="127"/>
        <v>9.2560386473429954</v>
      </c>
      <c r="O1356" s="5">
        <f t="shared" si="128"/>
        <v>-1.4492753623188359E-2</v>
      </c>
      <c r="P1356" s="5">
        <f t="shared" si="129"/>
        <v>1.4705882352941124E-2</v>
      </c>
      <c r="Q1356" s="4">
        <f t="shared" si="130"/>
        <v>-6.4805882352941389</v>
      </c>
      <c r="R1356" s="4">
        <f t="shared" si="131"/>
        <v>6.294106280193259</v>
      </c>
      <c r="S1356" s="4">
        <v>7.57</v>
      </c>
      <c r="T1356" s="2">
        <v>1.1299999999999999</v>
      </c>
      <c r="U1356" s="2">
        <v>20.399999999999999</v>
      </c>
      <c r="V1356" s="2">
        <v>12.7</v>
      </c>
      <c r="W1356" s="2">
        <v>-2.74</v>
      </c>
      <c r="X1356" s="2">
        <v>-1.94</v>
      </c>
      <c r="Y1356" s="2">
        <v>2.79</v>
      </c>
      <c r="Z1356" s="2">
        <v>8.07</v>
      </c>
    </row>
    <row r="1357" spans="1:26" x14ac:dyDescent="0.25">
      <c r="A1357" s="1" t="s">
        <v>5688</v>
      </c>
      <c r="B1357" s="1" t="s">
        <v>5689</v>
      </c>
      <c r="C1357" s="1" t="s">
        <v>16</v>
      </c>
      <c r="D1357" s="1" t="s">
        <v>128</v>
      </c>
      <c r="E1357" s="1" t="s">
        <v>5691</v>
      </c>
      <c r="F1357" s="1" t="s">
        <v>5690</v>
      </c>
      <c r="G1357" s="1" t="s">
        <v>12480</v>
      </c>
      <c r="H1357" s="1" t="s">
        <v>5692</v>
      </c>
      <c r="I1357" s="2">
        <v>222.78</v>
      </c>
      <c r="J1357" s="2">
        <v>6.31</v>
      </c>
      <c r="K1357" s="2">
        <v>8.16</v>
      </c>
      <c r="L1357" s="2">
        <v>9.48</v>
      </c>
      <c r="M1357" s="4">
        <f t="shared" si="126"/>
        <v>27.301470588235293</v>
      </c>
      <c r="N1357" s="4">
        <f t="shared" si="127"/>
        <v>23.5</v>
      </c>
      <c r="O1357" s="5">
        <f t="shared" si="128"/>
        <v>0.29318541996830438</v>
      </c>
      <c r="P1357" s="5">
        <f t="shared" si="129"/>
        <v>0.16176470588235303</v>
      </c>
      <c r="Q1357" s="4">
        <f t="shared" si="130"/>
        <v>0.93120151033386289</v>
      </c>
      <c r="R1357" s="4">
        <f t="shared" si="131"/>
        <v>1.4527272727272718</v>
      </c>
      <c r="S1357" s="4">
        <v>4.38</v>
      </c>
      <c r="T1357" s="2">
        <v>0.14000000000000001</v>
      </c>
      <c r="U1357" s="2">
        <v>236.28</v>
      </c>
      <c r="V1357" s="2">
        <v>151.29</v>
      </c>
      <c r="W1357" s="2">
        <v>-5.48</v>
      </c>
      <c r="X1357" s="2">
        <v>-3.37</v>
      </c>
      <c r="Y1357" s="2">
        <v>18.43</v>
      </c>
      <c r="Z1357" s="2">
        <v>22.42</v>
      </c>
    </row>
    <row r="1358" spans="1:26" x14ac:dyDescent="0.25">
      <c r="A1358" s="1" t="s">
        <v>5693</v>
      </c>
      <c r="B1358" s="1" t="s">
        <v>5694</v>
      </c>
      <c r="C1358" s="1" t="s">
        <v>31</v>
      </c>
      <c r="D1358" s="1" t="s">
        <v>25</v>
      </c>
      <c r="E1358" s="1" t="s">
        <v>1148</v>
      </c>
      <c r="F1358" s="1" t="s">
        <v>5695</v>
      </c>
      <c r="G1358" s="1" t="s">
        <v>12490</v>
      </c>
      <c r="H1358" s="1" t="s">
        <v>5696</v>
      </c>
      <c r="I1358" s="2">
        <v>78.819999999999993</v>
      </c>
      <c r="J1358" s="2">
        <v>4.9400000000000004</v>
      </c>
      <c r="K1358" s="2"/>
      <c r="L1358" s="2"/>
      <c r="M1358" s="4" t="e">
        <f t="shared" si="126"/>
        <v>#DIV/0!</v>
      </c>
      <c r="N1358" s="4" t="e">
        <f t="shared" si="127"/>
        <v>#DIV/0!</v>
      </c>
      <c r="O1358" s="5">
        <f t="shared" si="128"/>
        <v>-1</v>
      </c>
      <c r="P1358" s="5" t="e">
        <f t="shared" si="129"/>
        <v>#DIV/0!</v>
      </c>
      <c r="Q1358" s="4" t="e">
        <f t="shared" si="130"/>
        <v>#DIV/0!</v>
      </c>
      <c r="R1358" s="4" t="e">
        <f t="shared" si="131"/>
        <v>#DIV/0!</v>
      </c>
      <c r="S1358" s="4">
        <v>-7.54</v>
      </c>
      <c r="T1358" s="2">
        <v>0.37</v>
      </c>
      <c r="U1358" s="2">
        <v>86.22</v>
      </c>
      <c r="V1358" s="2" t="s">
        <v>12529</v>
      </c>
      <c r="W1358" s="2">
        <v>-8.58</v>
      </c>
      <c r="X1358" s="2">
        <v>3.47</v>
      </c>
      <c r="Y1358" s="2">
        <v>40.94</v>
      </c>
      <c r="Z1358" s="2">
        <v>34.74</v>
      </c>
    </row>
    <row r="1359" spans="1:26" x14ac:dyDescent="0.25">
      <c r="A1359" s="1" t="s">
        <v>5697</v>
      </c>
      <c r="B1359" s="1" t="s">
        <v>5698</v>
      </c>
      <c r="C1359" s="1" t="s">
        <v>45</v>
      </c>
      <c r="D1359" s="1" t="s">
        <v>18</v>
      </c>
      <c r="E1359" s="1" t="s">
        <v>1385</v>
      </c>
      <c r="F1359" s="1" t="s">
        <v>5699</v>
      </c>
      <c r="G1359" s="1" t="s">
        <v>12480</v>
      </c>
      <c r="H1359" s="1" t="s">
        <v>5700</v>
      </c>
      <c r="I1359" s="2">
        <v>23.18</v>
      </c>
      <c r="J1359" s="2"/>
      <c r="K1359" s="2">
        <v>-0.56000000000000005</v>
      </c>
      <c r="L1359" s="2">
        <v>-0.28999999999999998</v>
      </c>
      <c r="M1359" s="4">
        <f t="shared" si="126"/>
        <v>-41.392857142857139</v>
      </c>
      <c r="N1359" s="4">
        <f t="shared" si="127"/>
        <v>-79.931034482758619</v>
      </c>
      <c r="O1359" s="5" t="e">
        <f t="shared" si="128"/>
        <v>#DIV/0!</v>
      </c>
      <c r="P1359" s="5">
        <f t="shared" si="129"/>
        <v>-0.48214285714285721</v>
      </c>
      <c r="Q1359" s="4" t="e">
        <f t="shared" si="130"/>
        <v>#DIV/0!</v>
      </c>
      <c r="R1359" s="4">
        <f t="shared" si="131"/>
        <v>1.6578288633461045</v>
      </c>
      <c r="S1359" s="4">
        <v>44.32</v>
      </c>
      <c r="T1359" s="2"/>
      <c r="U1359" s="2">
        <v>39.909999999999997</v>
      </c>
      <c r="V1359" s="2">
        <v>20.66</v>
      </c>
      <c r="W1359" s="2">
        <v>-3.62</v>
      </c>
      <c r="X1359" s="2">
        <v>-20.86</v>
      </c>
      <c r="Y1359" s="2">
        <v>-9.56</v>
      </c>
      <c r="Z1359" s="2">
        <v>-20.48</v>
      </c>
    </row>
    <row r="1360" spans="1:26" x14ac:dyDescent="0.25">
      <c r="A1360" s="1" t="s">
        <v>5701</v>
      </c>
      <c r="B1360" s="1" t="s">
        <v>5702</v>
      </c>
      <c r="C1360" s="1" t="s">
        <v>16</v>
      </c>
      <c r="D1360" s="1" t="s">
        <v>38</v>
      </c>
      <c r="E1360" s="1" t="s">
        <v>712</v>
      </c>
      <c r="F1360" s="1" t="s">
        <v>5703</v>
      </c>
      <c r="G1360" s="1" t="s">
        <v>12480</v>
      </c>
      <c r="H1360" s="1" t="s">
        <v>5704</v>
      </c>
      <c r="I1360" s="2">
        <v>14.67</v>
      </c>
      <c r="J1360" s="2">
        <v>1.91</v>
      </c>
      <c r="K1360" s="2">
        <v>1.97</v>
      </c>
      <c r="L1360" s="2">
        <v>1.97</v>
      </c>
      <c r="M1360" s="4">
        <f t="shared" si="126"/>
        <v>7.4467005076142136</v>
      </c>
      <c r="N1360" s="4">
        <f t="shared" si="127"/>
        <v>7.4467005076142136</v>
      </c>
      <c r="O1360" s="5">
        <f t="shared" si="128"/>
        <v>3.1413612565444948E-2</v>
      </c>
      <c r="P1360" s="5">
        <f t="shared" si="129"/>
        <v>0</v>
      </c>
      <c r="Q1360" s="4">
        <f t="shared" si="130"/>
        <v>2.370532994923864</v>
      </c>
      <c r="R1360" s="4" t="e">
        <f t="shared" si="131"/>
        <v>#DIV/0!</v>
      </c>
      <c r="S1360" s="4">
        <v>7.88</v>
      </c>
      <c r="T1360" s="2">
        <v>0.87</v>
      </c>
      <c r="U1360" s="2">
        <v>19.59</v>
      </c>
      <c r="V1360" s="2">
        <v>14.21</v>
      </c>
      <c r="W1360" s="2">
        <v>0.48</v>
      </c>
      <c r="X1360" s="2">
        <v>-12.68</v>
      </c>
      <c r="Y1360" s="2">
        <v>-21.43</v>
      </c>
      <c r="Z1360" s="2">
        <v>-22.05</v>
      </c>
    </row>
    <row r="1361" spans="1:26" x14ac:dyDescent="0.25">
      <c r="A1361" s="1" t="s">
        <v>5705</v>
      </c>
      <c r="B1361" s="1" t="s">
        <v>5706</v>
      </c>
      <c r="C1361" s="1" t="s">
        <v>16</v>
      </c>
      <c r="D1361" s="1" t="s">
        <v>38</v>
      </c>
      <c r="E1361" s="1" t="s">
        <v>119</v>
      </c>
      <c r="F1361" s="1" t="s">
        <v>5707</v>
      </c>
      <c r="G1361" s="1" t="s">
        <v>12480</v>
      </c>
      <c r="H1361" s="1" t="s">
        <v>1451</v>
      </c>
      <c r="I1361" s="2">
        <v>36.74</v>
      </c>
      <c r="J1361" s="2">
        <v>2.64</v>
      </c>
      <c r="K1361" s="2">
        <v>2.06</v>
      </c>
      <c r="L1361" s="2">
        <v>2.3199999999999998</v>
      </c>
      <c r="M1361" s="4">
        <f t="shared" si="126"/>
        <v>17.83495145631068</v>
      </c>
      <c r="N1361" s="4">
        <f t="shared" si="127"/>
        <v>15.836206896551726</v>
      </c>
      <c r="O1361" s="5">
        <f t="shared" si="128"/>
        <v>-0.21969696969696972</v>
      </c>
      <c r="P1361" s="5">
        <f t="shared" si="129"/>
        <v>0.12621359223300965</v>
      </c>
      <c r="Q1361" s="4">
        <f t="shared" si="130"/>
        <v>-0.81179779042517564</v>
      </c>
      <c r="R1361" s="4">
        <f t="shared" si="131"/>
        <v>1.2547148541114066</v>
      </c>
      <c r="S1361" s="4">
        <v>1.1100000000000001</v>
      </c>
      <c r="T1361" s="2">
        <v>0.92</v>
      </c>
      <c r="U1361" s="2">
        <v>40.020000000000003</v>
      </c>
      <c r="V1361" s="2">
        <v>27.95</v>
      </c>
      <c r="W1361" s="2">
        <v>-4.07</v>
      </c>
      <c r="X1361" s="2">
        <v>-8.1999999999999993</v>
      </c>
      <c r="Y1361" s="2">
        <v>5.42</v>
      </c>
      <c r="Z1361" s="2">
        <v>8.25</v>
      </c>
    </row>
    <row r="1362" spans="1:26" x14ac:dyDescent="0.25">
      <c r="A1362" s="1" t="s">
        <v>5708</v>
      </c>
      <c r="B1362" s="1" t="s">
        <v>5709</v>
      </c>
      <c r="C1362" s="1" t="s">
        <v>31</v>
      </c>
      <c r="D1362" s="1" t="s">
        <v>2417</v>
      </c>
      <c r="E1362" s="1" t="s">
        <v>2418</v>
      </c>
      <c r="F1362" s="1" t="s">
        <v>5710</v>
      </c>
      <c r="G1362" s="1" t="s">
        <v>12490</v>
      </c>
      <c r="H1362" s="1" t="s">
        <v>5711</v>
      </c>
      <c r="I1362" s="2">
        <v>30.88</v>
      </c>
      <c r="J1362" s="2">
        <v>1.76</v>
      </c>
      <c r="K1362" s="2">
        <v>1.1299999999999999</v>
      </c>
      <c r="L1362" s="2">
        <v>1.35</v>
      </c>
      <c r="M1362" s="4">
        <f t="shared" si="126"/>
        <v>27.327433628318587</v>
      </c>
      <c r="N1362" s="4">
        <f t="shared" si="127"/>
        <v>22.874074074074073</v>
      </c>
      <c r="O1362" s="5">
        <f t="shared" si="128"/>
        <v>-0.35795454545454553</v>
      </c>
      <c r="P1362" s="5">
        <f t="shared" si="129"/>
        <v>0.19469026548672574</v>
      </c>
      <c r="Q1362" s="4">
        <f t="shared" si="130"/>
        <v>-0.76343306644191589</v>
      </c>
      <c r="R1362" s="4">
        <f t="shared" si="131"/>
        <v>1.1748956228956224</v>
      </c>
      <c r="S1362" s="4">
        <v>-4.67</v>
      </c>
      <c r="T1362" s="2">
        <v>0.86</v>
      </c>
      <c r="U1362" s="2">
        <v>38.18</v>
      </c>
      <c r="V1362" s="2" t="s">
        <v>12517</v>
      </c>
      <c r="W1362" s="2">
        <v>-3.26</v>
      </c>
      <c r="X1362" s="2">
        <v>-19.12</v>
      </c>
      <c r="Y1362" s="2">
        <v>-2.59</v>
      </c>
      <c r="Z1362" s="2">
        <v>-1.03</v>
      </c>
    </row>
    <row r="1363" spans="1:26" x14ac:dyDescent="0.25">
      <c r="A1363" s="1" t="s">
        <v>5712</v>
      </c>
      <c r="B1363" s="1" t="s">
        <v>5713</v>
      </c>
      <c r="C1363" s="1" t="s">
        <v>45</v>
      </c>
      <c r="D1363" s="1" t="s">
        <v>147</v>
      </c>
      <c r="E1363" s="1" t="s">
        <v>180</v>
      </c>
      <c r="F1363" s="1" t="s">
        <v>5714</v>
      </c>
      <c r="G1363" s="1" t="s">
        <v>12480</v>
      </c>
      <c r="H1363" s="1" t="s">
        <v>5715</v>
      </c>
      <c r="I1363" s="2">
        <v>52.12</v>
      </c>
      <c r="J1363" s="2">
        <v>1.6</v>
      </c>
      <c r="K1363" s="2">
        <v>2.5499999999999998</v>
      </c>
      <c r="L1363" s="2">
        <v>2.99</v>
      </c>
      <c r="M1363" s="4">
        <f t="shared" si="126"/>
        <v>20.439215686274512</v>
      </c>
      <c r="N1363" s="4">
        <f t="shared" si="127"/>
        <v>17.431438127090299</v>
      </c>
      <c r="O1363" s="5">
        <f t="shared" si="128"/>
        <v>0.59374999999999978</v>
      </c>
      <c r="P1363" s="5">
        <f t="shared" si="129"/>
        <v>0.17254901960784341</v>
      </c>
      <c r="Q1363" s="4">
        <f t="shared" si="130"/>
        <v>0.34423942208462349</v>
      </c>
      <c r="R1363" s="4">
        <f t="shared" si="131"/>
        <v>1.0102310732745499</v>
      </c>
      <c r="S1363" s="4">
        <v>6.23</v>
      </c>
      <c r="T1363" s="2">
        <v>0.11</v>
      </c>
      <c r="U1363" s="2">
        <v>56.06</v>
      </c>
      <c r="V1363" s="2">
        <v>30.48</v>
      </c>
      <c r="W1363" s="2">
        <v>-4.91</v>
      </c>
      <c r="X1363" s="2">
        <v>-1.27</v>
      </c>
      <c r="Y1363" s="2">
        <v>9.11</v>
      </c>
      <c r="Z1363" s="2">
        <v>10.78</v>
      </c>
    </row>
    <row r="1364" spans="1:26" x14ac:dyDescent="0.25">
      <c r="A1364" s="1" t="s">
        <v>5716</v>
      </c>
      <c r="B1364" s="1" t="s">
        <v>5717</v>
      </c>
      <c r="C1364" s="1" t="s">
        <v>45</v>
      </c>
      <c r="D1364" s="1" t="s">
        <v>140</v>
      </c>
      <c r="E1364" s="1" t="s">
        <v>2558</v>
      </c>
      <c r="F1364" s="1" t="s">
        <v>5718</v>
      </c>
      <c r="G1364" s="1" t="s">
        <v>12480</v>
      </c>
      <c r="H1364" s="1" t="s">
        <v>5719</v>
      </c>
      <c r="I1364" s="2">
        <v>58.57</v>
      </c>
      <c r="J1364" s="2">
        <v>2.99</v>
      </c>
      <c r="K1364" s="2">
        <v>2.95</v>
      </c>
      <c r="L1364" s="2">
        <v>2.71</v>
      </c>
      <c r="M1364" s="4">
        <f t="shared" si="126"/>
        <v>19.854237288135593</v>
      </c>
      <c r="N1364" s="4">
        <f t="shared" si="127"/>
        <v>21.612546125461254</v>
      </c>
      <c r="O1364" s="5">
        <f t="shared" si="128"/>
        <v>-1.3377926421404673E-2</v>
      </c>
      <c r="P1364" s="5">
        <f t="shared" si="129"/>
        <v>-8.135593220338988E-2</v>
      </c>
      <c r="Q1364" s="4">
        <f t="shared" si="130"/>
        <v>-14.841042372881367</v>
      </c>
      <c r="R1364" s="4">
        <f t="shared" si="131"/>
        <v>-2.6565421279212775</v>
      </c>
      <c r="S1364" s="4">
        <v>6.97</v>
      </c>
      <c r="T1364" s="2">
        <v>0.48</v>
      </c>
      <c r="U1364" s="2">
        <v>58.57</v>
      </c>
      <c r="V1364" s="2">
        <v>44.44</v>
      </c>
      <c r="W1364" s="2">
        <v>7.65</v>
      </c>
      <c r="X1364" s="2">
        <v>14.19</v>
      </c>
      <c r="Y1364" s="2">
        <v>19.850000000000001</v>
      </c>
      <c r="Z1364" s="2">
        <v>19.559999999999999</v>
      </c>
    </row>
    <row r="1365" spans="1:26" x14ac:dyDescent="0.25">
      <c r="A1365" s="1" t="s">
        <v>5720</v>
      </c>
      <c r="B1365" s="1" t="s">
        <v>5721</v>
      </c>
      <c r="C1365" s="1" t="s">
        <v>45</v>
      </c>
      <c r="D1365" s="1" t="s">
        <v>46</v>
      </c>
      <c r="E1365" s="1" t="s">
        <v>1142</v>
      </c>
      <c r="F1365" s="1" t="s">
        <v>5722</v>
      </c>
      <c r="G1365" s="1" t="s">
        <v>12480</v>
      </c>
      <c r="H1365" s="1" t="s">
        <v>5723</v>
      </c>
      <c r="I1365" s="2">
        <v>4.16</v>
      </c>
      <c r="J1365" s="2">
        <v>-2.0499999999999998</v>
      </c>
      <c r="K1365" s="2">
        <v>-0.57999999999999996</v>
      </c>
      <c r="L1365" s="2">
        <v>0.34</v>
      </c>
      <c r="M1365" s="4">
        <f t="shared" si="126"/>
        <v>-7.1724137931034493</v>
      </c>
      <c r="N1365" s="4">
        <f t="shared" si="127"/>
        <v>12.235294117647058</v>
      </c>
      <c r="O1365" s="5">
        <f t="shared" si="128"/>
        <v>-0.71707317073170729</v>
      </c>
      <c r="P1365" s="5">
        <f t="shared" si="129"/>
        <v>-1.5862068965517242</v>
      </c>
      <c r="Q1365" s="4">
        <f t="shared" si="130"/>
        <v>0.10002345765892566</v>
      </c>
      <c r="R1365" s="4">
        <f t="shared" si="131"/>
        <v>-7.7135549872122761E-2</v>
      </c>
      <c r="S1365" s="4">
        <v>-6.02</v>
      </c>
      <c r="T1365" s="2">
        <v>2.13</v>
      </c>
      <c r="U1365" s="2">
        <v>8.65</v>
      </c>
      <c r="V1365" s="2">
        <v>3.3</v>
      </c>
      <c r="W1365" s="2">
        <v>-3.93</v>
      </c>
      <c r="X1365" s="2">
        <v>-21.21</v>
      </c>
      <c r="Y1365" s="2">
        <v>-17.46</v>
      </c>
      <c r="Z1365" s="2">
        <v>-19.07</v>
      </c>
    </row>
    <row r="1366" spans="1:26" x14ac:dyDescent="0.25">
      <c r="A1366" s="1" t="s">
        <v>5724</v>
      </c>
      <c r="B1366" s="1" t="s">
        <v>5725</v>
      </c>
      <c r="C1366" s="1" t="s">
        <v>16</v>
      </c>
      <c r="D1366" s="1" t="s">
        <v>25</v>
      </c>
      <c r="E1366" s="1" t="s">
        <v>5727</v>
      </c>
      <c r="F1366" s="1" t="s">
        <v>5726</v>
      </c>
      <c r="G1366" s="1" t="s">
        <v>12480</v>
      </c>
      <c r="H1366" s="1" t="s">
        <v>5728</v>
      </c>
      <c r="I1366" s="2">
        <v>487.76</v>
      </c>
      <c r="J1366" s="2">
        <v>18.21</v>
      </c>
      <c r="K1366" s="2">
        <v>19.79</v>
      </c>
      <c r="L1366" s="2">
        <v>21.46</v>
      </c>
      <c r="M1366" s="4">
        <f t="shared" si="126"/>
        <v>24.64679130874179</v>
      </c>
      <c r="N1366" s="4">
        <f t="shared" si="127"/>
        <v>22.728797763280522</v>
      </c>
      <c r="O1366" s="5">
        <f t="shared" si="128"/>
        <v>8.676551345414607E-2</v>
      </c>
      <c r="P1366" s="5">
        <f t="shared" si="129"/>
        <v>8.438605356240525E-2</v>
      </c>
      <c r="Q1366" s="4">
        <f t="shared" si="130"/>
        <v>2.840620694507519</v>
      </c>
      <c r="R1366" s="4">
        <f t="shared" si="131"/>
        <v>2.6934305852414462</v>
      </c>
      <c r="S1366" s="4">
        <v>3.84</v>
      </c>
      <c r="T1366" s="2" t="s">
        <v>12493</v>
      </c>
      <c r="U1366" s="2">
        <v>527.9</v>
      </c>
      <c r="V1366" s="2">
        <v>315.94</v>
      </c>
      <c r="W1366" s="2">
        <v>-5.65</v>
      </c>
      <c r="X1366" s="2">
        <v>-3.63</v>
      </c>
      <c r="Y1366" s="2">
        <v>9.65</v>
      </c>
      <c r="Z1366" s="2">
        <v>9.83</v>
      </c>
    </row>
    <row r="1367" spans="1:26" x14ac:dyDescent="0.25">
      <c r="A1367" s="1" t="s">
        <v>5729</v>
      </c>
      <c r="B1367" s="1" t="s">
        <v>5730</v>
      </c>
      <c r="C1367" s="1" t="s">
        <v>45</v>
      </c>
      <c r="D1367" s="1" t="s">
        <v>46</v>
      </c>
      <c r="E1367" s="1" t="s">
        <v>1142</v>
      </c>
      <c r="F1367" s="1" t="s">
        <v>5731</v>
      </c>
      <c r="G1367" s="1" t="s">
        <v>12480</v>
      </c>
      <c r="H1367" s="1" t="s">
        <v>5732</v>
      </c>
      <c r="I1367" s="2">
        <v>38.99</v>
      </c>
      <c r="J1367" s="2">
        <v>1.91</v>
      </c>
      <c r="K1367" s="2">
        <v>1.99</v>
      </c>
      <c r="L1367" s="2">
        <v>2.54</v>
      </c>
      <c r="M1367" s="4">
        <f t="shared" si="126"/>
        <v>19.592964824120603</v>
      </c>
      <c r="N1367" s="4">
        <f t="shared" si="127"/>
        <v>15.350393700787402</v>
      </c>
      <c r="O1367" s="5">
        <f t="shared" si="128"/>
        <v>4.1884816753926746E-2</v>
      </c>
      <c r="P1367" s="5">
        <f t="shared" si="129"/>
        <v>0.27638190954773867</v>
      </c>
      <c r="Q1367" s="4">
        <f t="shared" si="130"/>
        <v>4.6778203517587889</v>
      </c>
      <c r="R1367" s="4">
        <f t="shared" si="131"/>
        <v>0.55540515390121692</v>
      </c>
      <c r="S1367" s="4">
        <v>-6.1</v>
      </c>
      <c r="T1367" s="2">
        <v>1.1399999999999999</v>
      </c>
      <c r="U1367" s="2">
        <v>52.53</v>
      </c>
      <c r="V1367" s="2">
        <v>31.29</v>
      </c>
      <c r="W1367" s="2">
        <v>-9.33</v>
      </c>
      <c r="X1367" s="2">
        <v>-7.54</v>
      </c>
      <c r="Y1367" s="2">
        <v>-9.7899999999999991</v>
      </c>
      <c r="Z1367" s="2">
        <v>-8.5</v>
      </c>
    </row>
    <row r="1368" spans="1:26" x14ac:dyDescent="0.25">
      <c r="A1368" s="1" t="s">
        <v>5733</v>
      </c>
      <c r="B1368" s="1" t="s">
        <v>5734</v>
      </c>
      <c r="C1368" s="1" t="s">
        <v>16</v>
      </c>
      <c r="D1368" s="1" t="s">
        <v>32</v>
      </c>
      <c r="E1368" s="1" t="s">
        <v>311</v>
      </c>
      <c r="F1368" s="1" t="s">
        <v>5735</v>
      </c>
      <c r="G1368" s="1" t="s">
        <v>12480</v>
      </c>
      <c r="H1368" s="1" t="s">
        <v>2888</v>
      </c>
      <c r="I1368" s="2">
        <v>286.83999999999997</v>
      </c>
      <c r="J1368" s="2">
        <v>9.6999999999999993</v>
      </c>
      <c r="K1368" s="2">
        <v>12.31</v>
      </c>
      <c r="L1368" s="2">
        <v>15.09</v>
      </c>
      <c r="M1368" s="4">
        <f t="shared" si="126"/>
        <v>23.301380991064171</v>
      </c>
      <c r="N1368" s="4">
        <f t="shared" si="127"/>
        <v>19.008614976805831</v>
      </c>
      <c r="O1368" s="5">
        <f t="shared" si="128"/>
        <v>0.26907216494845376</v>
      </c>
      <c r="P1368" s="5">
        <f t="shared" si="129"/>
        <v>0.22583265637692929</v>
      </c>
      <c r="Q1368" s="4">
        <f t="shared" si="130"/>
        <v>0.86599002150698212</v>
      </c>
      <c r="R1368" s="4">
        <f t="shared" si="131"/>
        <v>0.84171241138302089</v>
      </c>
      <c r="S1368" s="4">
        <v>19.170000000000002</v>
      </c>
      <c r="T1368" s="2">
        <v>1.4</v>
      </c>
      <c r="U1368" s="2">
        <v>672.24</v>
      </c>
      <c r="V1368" s="2">
        <v>209.33</v>
      </c>
      <c r="W1368" s="2">
        <v>8.82</v>
      </c>
      <c r="X1368" s="2">
        <v>24.13</v>
      </c>
      <c r="Y1368" s="2">
        <v>-21.38</v>
      </c>
      <c r="Z1368" s="2">
        <v>-28.52</v>
      </c>
    </row>
    <row r="1369" spans="1:26" x14ac:dyDescent="0.25">
      <c r="A1369" s="1" t="s">
        <v>5736</v>
      </c>
      <c r="B1369" s="1" t="s">
        <v>5737</v>
      </c>
      <c r="C1369" s="1" t="s">
        <v>31</v>
      </c>
      <c r="D1369" s="1" t="s">
        <v>88</v>
      </c>
      <c r="E1369" s="1" t="s">
        <v>1113</v>
      </c>
      <c r="F1369" s="1" t="s">
        <v>5738</v>
      </c>
      <c r="G1369" s="1" t="s">
        <v>12480</v>
      </c>
      <c r="H1369" s="1" t="s">
        <v>5739</v>
      </c>
      <c r="I1369" s="2" t="s">
        <v>12572</v>
      </c>
      <c r="J1369" s="2">
        <v>0.61</v>
      </c>
      <c r="K1369" s="2"/>
      <c r="L1369" s="2"/>
      <c r="M1369" s="4" t="e">
        <f t="shared" si="126"/>
        <v>#DIV/0!</v>
      </c>
      <c r="N1369" s="4" t="e">
        <f t="shared" si="127"/>
        <v>#DIV/0!</v>
      </c>
      <c r="O1369" s="5">
        <f t="shared" si="128"/>
        <v>-1</v>
      </c>
      <c r="P1369" s="5" t="e">
        <f t="shared" si="129"/>
        <v>#DIV/0!</v>
      </c>
      <c r="Q1369" s="4" t="e">
        <f t="shared" si="130"/>
        <v>#DIV/0!</v>
      </c>
      <c r="R1369" s="4" t="e">
        <f t="shared" si="131"/>
        <v>#DIV/0!</v>
      </c>
      <c r="S1369" s="4">
        <v>0.26</v>
      </c>
      <c r="T1369" s="2">
        <v>0.23</v>
      </c>
      <c r="U1369" s="2" t="s">
        <v>12572</v>
      </c>
      <c r="V1369" s="2">
        <v>14.6</v>
      </c>
      <c r="W1369" s="2" t="s">
        <v>12489</v>
      </c>
      <c r="X1369" s="2" t="s">
        <v>12489</v>
      </c>
      <c r="Y1369" s="2">
        <v>71.23</v>
      </c>
      <c r="Z1369" s="2" t="s">
        <v>12489</v>
      </c>
    </row>
    <row r="1370" spans="1:26" x14ac:dyDescent="0.25">
      <c r="A1370" s="1" t="s">
        <v>5740</v>
      </c>
      <c r="B1370" s="1" t="s">
        <v>5741</v>
      </c>
      <c r="C1370" s="1" t="s">
        <v>16</v>
      </c>
      <c r="D1370" s="1" t="s">
        <v>18</v>
      </c>
      <c r="E1370" s="1" t="s">
        <v>2606</v>
      </c>
      <c r="F1370" s="1" t="s">
        <v>5742</v>
      </c>
      <c r="G1370" s="1" t="s">
        <v>12480</v>
      </c>
      <c r="H1370" s="1" t="s">
        <v>5743</v>
      </c>
      <c r="I1370" s="2">
        <v>178.53</v>
      </c>
      <c r="J1370" s="2">
        <v>17.14</v>
      </c>
      <c r="K1370" s="2">
        <v>9.82</v>
      </c>
      <c r="L1370" s="2">
        <v>15.73</v>
      </c>
      <c r="M1370" s="4">
        <f t="shared" si="126"/>
        <v>18.180244399185337</v>
      </c>
      <c r="N1370" s="4">
        <f t="shared" si="127"/>
        <v>11.34965034965035</v>
      </c>
      <c r="O1370" s="5">
        <f t="shared" si="128"/>
        <v>-0.42707117852975496</v>
      </c>
      <c r="P1370" s="5">
        <f t="shared" si="129"/>
        <v>0.60183299389002043</v>
      </c>
      <c r="Q1370" s="4">
        <f t="shared" si="130"/>
        <v>-0.42569588661480423</v>
      </c>
      <c r="R1370" s="4">
        <f t="shared" si="131"/>
        <v>0.18858471477760816</v>
      </c>
      <c r="S1370" s="4">
        <v>10.11</v>
      </c>
      <c r="T1370" s="2">
        <v>0.44</v>
      </c>
      <c r="U1370" s="2" t="s">
        <v>12697</v>
      </c>
      <c r="V1370" s="2">
        <v>174.64</v>
      </c>
      <c r="W1370" s="2">
        <v>-4.67</v>
      </c>
      <c r="X1370" s="2">
        <v>-5.78</v>
      </c>
      <c r="Y1370" s="2">
        <v>-35.020000000000003</v>
      </c>
      <c r="Z1370" s="2">
        <v>-30.3</v>
      </c>
    </row>
    <row r="1371" spans="1:26" x14ac:dyDescent="0.25">
      <c r="A1371" s="1" t="s">
        <v>5744</v>
      </c>
      <c r="B1371" s="1" t="s">
        <v>5745</v>
      </c>
      <c r="C1371" s="1" t="s">
        <v>16</v>
      </c>
      <c r="D1371" s="1" t="s">
        <v>88</v>
      </c>
      <c r="E1371" s="1" t="s">
        <v>504</v>
      </c>
      <c r="F1371" s="1" t="s">
        <v>5746</v>
      </c>
      <c r="G1371" s="1" t="s">
        <v>12480</v>
      </c>
      <c r="H1371" s="1" t="s">
        <v>5747</v>
      </c>
      <c r="I1371" s="2">
        <v>12.11</v>
      </c>
      <c r="J1371" s="2">
        <v>-0.71</v>
      </c>
      <c r="K1371" s="2">
        <v>-0.44</v>
      </c>
      <c r="L1371" s="2">
        <v>0.03</v>
      </c>
      <c r="M1371" s="4">
        <f t="shared" si="126"/>
        <v>-27.52272727272727</v>
      </c>
      <c r="N1371" s="4">
        <f t="shared" si="127"/>
        <v>403.66666666666669</v>
      </c>
      <c r="O1371" s="5">
        <f t="shared" si="128"/>
        <v>-0.38028169014084501</v>
      </c>
      <c r="P1371" s="5">
        <f t="shared" si="129"/>
        <v>-1.0681818181818181</v>
      </c>
      <c r="Q1371" s="4">
        <f t="shared" si="130"/>
        <v>0.7237457912457913</v>
      </c>
      <c r="R1371" s="4">
        <f t="shared" si="131"/>
        <v>-3.7790070921985821</v>
      </c>
      <c r="S1371" s="4">
        <v>-5.85</v>
      </c>
      <c r="T1371" s="2">
        <v>0.66</v>
      </c>
      <c r="U1371" s="2">
        <v>17.809999999999999</v>
      </c>
      <c r="V1371" s="2">
        <v>7.42</v>
      </c>
      <c r="W1371" s="2">
        <v>-1.54</v>
      </c>
      <c r="X1371" s="2">
        <v>-7.2</v>
      </c>
      <c r="Y1371" s="2">
        <v>16.329999999999998</v>
      </c>
      <c r="Z1371" s="2">
        <v>21.1</v>
      </c>
    </row>
    <row r="1372" spans="1:26" x14ac:dyDescent="0.25">
      <c r="A1372" s="1" t="s">
        <v>5748</v>
      </c>
      <c r="B1372" s="1" t="s">
        <v>5749</v>
      </c>
      <c r="C1372" s="1" t="s">
        <v>45</v>
      </c>
      <c r="D1372" s="1" t="s">
        <v>140</v>
      </c>
      <c r="E1372" s="1" t="s">
        <v>1421</v>
      </c>
      <c r="F1372" s="1" t="s">
        <v>5750</v>
      </c>
      <c r="G1372" s="1" t="s">
        <v>12480</v>
      </c>
      <c r="H1372" s="1" t="s">
        <v>321</v>
      </c>
      <c r="I1372" s="2">
        <v>142.46</v>
      </c>
      <c r="J1372" s="2">
        <v>7.83</v>
      </c>
      <c r="K1372" s="2">
        <v>8.69</v>
      </c>
      <c r="L1372" s="2">
        <v>10.18</v>
      </c>
      <c r="M1372" s="4">
        <f t="shared" si="126"/>
        <v>16.393555811277331</v>
      </c>
      <c r="N1372" s="4">
        <f t="shared" si="127"/>
        <v>13.994106090373283</v>
      </c>
      <c r="O1372" s="5">
        <f t="shared" si="128"/>
        <v>0.10983397190293731</v>
      </c>
      <c r="P1372" s="5">
        <f t="shared" si="129"/>
        <v>0.17146144994246271</v>
      </c>
      <c r="Q1372" s="4">
        <f t="shared" si="130"/>
        <v>1.492576069794205</v>
      </c>
      <c r="R1372" s="4">
        <f t="shared" si="131"/>
        <v>0.8161663216466023</v>
      </c>
      <c r="S1372" s="4">
        <v>11.65</v>
      </c>
      <c r="T1372" s="2">
        <v>0.12</v>
      </c>
      <c r="U1372" s="2">
        <v>185.58</v>
      </c>
      <c r="V1372" s="2">
        <v>121.98</v>
      </c>
      <c r="W1372" s="2">
        <v>-1.38</v>
      </c>
      <c r="X1372" s="2">
        <v>-7.53</v>
      </c>
      <c r="Y1372" s="2">
        <v>-20.149999999999999</v>
      </c>
      <c r="Z1372" s="2">
        <v>-17.61</v>
      </c>
    </row>
    <row r="1373" spans="1:26" x14ac:dyDescent="0.25">
      <c r="A1373" s="1" t="s">
        <v>5751</v>
      </c>
      <c r="B1373" s="1" t="s">
        <v>5752</v>
      </c>
      <c r="C1373" s="1" t="s">
        <v>45</v>
      </c>
      <c r="D1373" s="1" t="s">
        <v>38</v>
      </c>
      <c r="E1373" s="1" t="s">
        <v>52</v>
      </c>
      <c r="F1373" s="1" t="s">
        <v>5753</v>
      </c>
      <c r="G1373" s="1" t="s">
        <v>12480</v>
      </c>
      <c r="H1373" s="1" t="s">
        <v>5754</v>
      </c>
      <c r="I1373" s="2">
        <v>48.74</v>
      </c>
      <c r="J1373" s="2">
        <v>-2.14</v>
      </c>
      <c r="K1373" s="2">
        <v>-1.23</v>
      </c>
      <c r="L1373" s="2">
        <v>-1.68</v>
      </c>
      <c r="M1373" s="4">
        <f t="shared" si="126"/>
        <v>-39.626016260162601</v>
      </c>
      <c r="N1373" s="4">
        <f t="shared" si="127"/>
        <v>-29.011904761904763</v>
      </c>
      <c r="O1373" s="5">
        <f t="shared" si="128"/>
        <v>-0.42523364485981308</v>
      </c>
      <c r="P1373" s="5">
        <f t="shared" si="129"/>
        <v>0.36585365853658525</v>
      </c>
      <c r="Q1373" s="4">
        <f t="shared" si="130"/>
        <v>0.93186455820602165</v>
      </c>
      <c r="R1373" s="4">
        <f t="shared" si="131"/>
        <v>-0.79299206349206386</v>
      </c>
      <c r="S1373" s="4">
        <v>44.79</v>
      </c>
      <c r="T1373" s="2">
        <v>4.42</v>
      </c>
      <c r="U1373" s="2">
        <v>64.599999999999994</v>
      </c>
      <c r="V1373" s="2">
        <v>10.64</v>
      </c>
      <c r="W1373" s="2">
        <v>-7.55</v>
      </c>
      <c r="X1373" s="2">
        <v>-14.33</v>
      </c>
      <c r="Y1373" s="2">
        <v>37.53</v>
      </c>
      <c r="Z1373" s="2">
        <v>6.09</v>
      </c>
    </row>
    <row r="1374" spans="1:26" x14ac:dyDescent="0.25">
      <c r="A1374" s="1" t="s">
        <v>5755</v>
      </c>
      <c r="B1374" s="1" t="s">
        <v>5756</v>
      </c>
      <c r="C1374" s="1" t="s">
        <v>31</v>
      </c>
      <c r="D1374" s="1" t="s">
        <v>38</v>
      </c>
      <c r="E1374" s="1" t="s">
        <v>551</v>
      </c>
      <c r="F1374" s="1" t="s">
        <v>5757</v>
      </c>
      <c r="G1374" s="1" t="s">
        <v>12480</v>
      </c>
      <c r="H1374" s="1" t="s">
        <v>5758</v>
      </c>
      <c r="I1374" s="2">
        <v>48.63</v>
      </c>
      <c r="J1374" s="2">
        <v>3.48</v>
      </c>
      <c r="K1374" s="2">
        <v>4.4800000000000004</v>
      </c>
      <c r="L1374" s="2">
        <v>4.63</v>
      </c>
      <c r="M1374" s="4">
        <f t="shared" si="126"/>
        <v>10.854910714285714</v>
      </c>
      <c r="N1374" s="4">
        <f t="shared" si="127"/>
        <v>10.503239740820735</v>
      </c>
      <c r="O1374" s="5">
        <f t="shared" si="128"/>
        <v>0.28735632183908066</v>
      </c>
      <c r="P1374" s="5">
        <f t="shared" si="129"/>
        <v>3.3482142857142794E-2</v>
      </c>
      <c r="Q1374" s="4">
        <f t="shared" si="130"/>
        <v>0.37775089285714258</v>
      </c>
      <c r="R1374" s="4">
        <f t="shared" si="131"/>
        <v>3.136967602591799</v>
      </c>
      <c r="S1374" s="4">
        <v>7.86</v>
      </c>
      <c r="T1374" s="2">
        <v>0.32</v>
      </c>
      <c r="U1374" s="2">
        <v>55.04</v>
      </c>
      <c r="V1374" s="2" t="s">
        <v>12698</v>
      </c>
      <c r="W1374" s="2">
        <v>-2.5099999999999998</v>
      </c>
      <c r="X1374" s="2">
        <v>-0.02</v>
      </c>
      <c r="Y1374" s="2">
        <v>-4.96</v>
      </c>
      <c r="Z1374" s="2">
        <v>-6.61</v>
      </c>
    </row>
    <row r="1375" spans="1:26" x14ac:dyDescent="0.25">
      <c r="A1375" s="1" t="s">
        <v>5759</v>
      </c>
      <c r="B1375" s="1" t="s">
        <v>5760</v>
      </c>
      <c r="C1375" s="1" t="s">
        <v>45</v>
      </c>
      <c r="D1375" s="1" t="s">
        <v>38</v>
      </c>
      <c r="E1375" s="1" t="s">
        <v>119</v>
      </c>
      <c r="F1375" s="1" t="s">
        <v>5761</v>
      </c>
      <c r="G1375" s="1" t="s">
        <v>12480</v>
      </c>
      <c r="H1375" s="1" t="s">
        <v>5762</v>
      </c>
      <c r="I1375" s="2">
        <v>62.73</v>
      </c>
      <c r="J1375" s="2">
        <v>5.72</v>
      </c>
      <c r="K1375" s="2">
        <v>6.28</v>
      </c>
      <c r="L1375" s="2">
        <v>6.68</v>
      </c>
      <c r="M1375" s="4">
        <f t="shared" si="126"/>
        <v>9.9888535031847123</v>
      </c>
      <c r="N1375" s="4">
        <f t="shared" si="127"/>
        <v>9.3907185628742518</v>
      </c>
      <c r="O1375" s="5">
        <f t="shared" si="128"/>
        <v>9.7902097902097918E-2</v>
      </c>
      <c r="P1375" s="5">
        <f t="shared" si="129"/>
        <v>6.3694267515923553E-2</v>
      </c>
      <c r="Q1375" s="4">
        <f t="shared" si="130"/>
        <v>1.020290036396724</v>
      </c>
      <c r="R1375" s="4">
        <f t="shared" si="131"/>
        <v>1.4743428143712578</v>
      </c>
      <c r="S1375" s="4">
        <v>-1.75</v>
      </c>
      <c r="T1375" s="2">
        <v>1.05</v>
      </c>
      <c r="U1375" s="2">
        <v>74.41</v>
      </c>
      <c r="V1375" s="2">
        <v>46.05</v>
      </c>
      <c r="W1375" s="2">
        <v>-6.23</v>
      </c>
      <c r="X1375" s="2">
        <v>-14.73</v>
      </c>
      <c r="Y1375" s="2">
        <v>-5.27</v>
      </c>
      <c r="Z1375" s="2">
        <v>-1.49</v>
      </c>
    </row>
    <row r="1376" spans="1:26" x14ac:dyDescent="0.25">
      <c r="A1376" s="1" t="s">
        <v>5763</v>
      </c>
      <c r="B1376" s="1" t="s">
        <v>5764</v>
      </c>
      <c r="C1376" s="1" t="s">
        <v>31</v>
      </c>
      <c r="D1376" s="1" t="s">
        <v>147</v>
      </c>
      <c r="E1376" s="1" t="s">
        <v>4050</v>
      </c>
      <c r="F1376" s="1" t="s">
        <v>5765</v>
      </c>
      <c r="G1376" s="1" t="s">
        <v>12480</v>
      </c>
      <c r="H1376" s="1" t="s">
        <v>5766</v>
      </c>
      <c r="I1376" s="2">
        <v>44.5</v>
      </c>
      <c r="J1376" s="2">
        <v>2.58</v>
      </c>
      <c r="K1376" s="2">
        <v>2.63</v>
      </c>
      <c r="L1376" s="2">
        <v>2.85</v>
      </c>
      <c r="M1376" s="4">
        <f t="shared" si="126"/>
        <v>16.920152091254753</v>
      </c>
      <c r="N1376" s="4">
        <f t="shared" si="127"/>
        <v>15.614035087719298</v>
      </c>
      <c r="O1376" s="5">
        <f t="shared" si="128"/>
        <v>1.9379844961240345E-2</v>
      </c>
      <c r="P1376" s="5">
        <f t="shared" si="129"/>
        <v>8.365019011406849E-2</v>
      </c>
      <c r="Q1376" s="4">
        <f t="shared" si="130"/>
        <v>8.7307984790874364</v>
      </c>
      <c r="R1376" s="4">
        <f t="shared" si="131"/>
        <v>1.8665869218500786</v>
      </c>
      <c r="S1376" s="4">
        <v>7.44</v>
      </c>
      <c r="T1376" s="2">
        <v>0.17</v>
      </c>
      <c r="U1376" s="2">
        <v>52.56</v>
      </c>
      <c r="V1376" s="2">
        <v>44.5</v>
      </c>
      <c r="W1376" s="2" t="s">
        <v>12489</v>
      </c>
      <c r="X1376" s="2" t="s">
        <v>12489</v>
      </c>
      <c r="Y1376" s="2" t="s">
        <v>12489</v>
      </c>
      <c r="Z1376" s="2" t="s">
        <v>12489</v>
      </c>
    </row>
    <row r="1377" spans="1:26" x14ac:dyDescent="0.25">
      <c r="A1377" s="1" t="s">
        <v>5768</v>
      </c>
      <c r="B1377" s="1" t="s">
        <v>5769</v>
      </c>
      <c r="C1377" s="1" t="s">
        <v>45</v>
      </c>
      <c r="D1377" s="1" t="s">
        <v>88</v>
      </c>
      <c r="E1377" s="1" t="s">
        <v>1113</v>
      </c>
      <c r="F1377" s="1" t="s">
        <v>5770</v>
      </c>
      <c r="G1377" s="1" t="s">
        <v>12490</v>
      </c>
      <c r="H1377" s="1" t="s">
        <v>12699</v>
      </c>
      <c r="I1377" s="2">
        <v>152.97</v>
      </c>
      <c r="J1377" s="2">
        <v>4.03</v>
      </c>
      <c r="K1377" s="2">
        <v>3.94</v>
      </c>
      <c r="L1377" s="2">
        <v>4.32</v>
      </c>
      <c r="M1377" s="4">
        <f t="shared" si="126"/>
        <v>38.824873096446701</v>
      </c>
      <c r="N1377" s="4">
        <f t="shared" si="127"/>
        <v>35.409722222222221</v>
      </c>
      <c r="O1377" s="5">
        <f t="shared" si="128"/>
        <v>-2.2332506203474045E-2</v>
      </c>
      <c r="P1377" s="5">
        <f t="shared" si="129"/>
        <v>9.6446700507614391E-2</v>
      </c>
      <c r="Q1377" s="4">
        <f t="shared" si="130"/>
        <v>-17.384915397631058</v>
      </c>
      <c r="R1377" s="4">
        <f t="shared" si="131"/>
        <v>3.6714290935672445</v>
      </c>
      <c r="S1377" s="4">
        <v>6.01</v>
      </c>
      <c r="T1377" s="2">
        <v>0.82</v>
      </c>
      <c r="U1377" s="2">
        <v>184.75</v>
      </c>
      <c r="V1377" s="2">
        <v>101.63</v>
      </c>
      <c r="W1377" s="2">
        <v>3.89</v>
      </c>
      <c r="X1377" s="2">
        <v>8.7100000000000009</v>
      </c>
      <c r="Y1377" s="2">
        <v>6.13</v>
      </c>
      <c r="Z1377" s="2">
        <v>7.68</v>
      </c>
    </row>
    <row r="1378" spans="1:26" x14ac:dyDescent="0.25">
      <c r="A1378" s="1" t="s">
        <v>5771</v>
      </c>
      <c r="B1378" s="1" t="s">
        <v>5772</v>
      </c>
      <c r="C1378" s="1" t="s">
        <v>16</v>
      </c>
      <c r="D1378" s="1" t="s">
        <v>204</v>
      </c>
      <c r="E1378" s="1" t="s">
        <v>205</v>
      </c>
      <c r="F1378" s="1" t="s">
        <v>5773</v>
      </c>
      <c r="G1378" s="1" t="s">
        <v>12480</v>
      </c>
      <c r="H1378" s="1" t="s">
        <v>5774</v>
      </c>
      <c r="I1378" s="2">
        <v>254.14</v>
      </c>
      <c r="J1378" s="2">
        <v>3.77</v>
      </c>
      <c r="K1378" s="2">
        <v>4.55</v>
      </c>
      <c r="L1378" s="2">
        <v>5.51</v>
      </c>
      <c r="M1378" s="4">
        <f t="shared" si="126"/>
        <v>55.854945054945055</v>
      </c>
      <c r="N1378" s="4">
        <f t="shared" si="127"/>
        <v>46.123411978221412</v>
      </c>
      <c r="O1378" s="5">
        <f t="shared" si="128"/>
        <v>0.2068965517241379</v>
      </c>
      <c r="P1378" s="5">
        <f t="shared" si="129"/>
        <v>0.21098901098901091</v>
      </c>
      <c r="Q1378" s="4">
        <f t="shared" si="130"/>
        <v>2.6996556776556782</v>
      </c>
      <c r="R1378" s="4">
        <f t="shared" si="131"/>
        <v>2.1860575468844532</v>
      </c>
      <c r="S1378" s="4">
        <v>11.06</v>
      </c>
      <c r="T1378" s="2">
        <v>1.21</v>
      </c>
      <c r="U1378" s="2">
        <v>265.11</v>
      </c>
      <c r="V1378" s="2">
        <v>112.33</v>
      </c>
      <c r="W1378" s="2">
        <v>-4.1399999999999997</v>
      </c>
      <c r="X1378" s="2">
        <v>12.88</v>
      </c>
      <c r="Y1378" s="2">
        <v>28.85</v>
      </c>
      <c r="Z1378" s="2">
        <v>23.96</v>
      </c>
    </row>
    <row r="1379" spans="1:26" x14ac:dyDescent="0.25">
      <c r="A1379" s="1" t="s">
        <v>5775</v>
      </c>
      <c r="B1379" s="1" t="s">
        <v>5776</v>
      </c>
      <c r="C1379" s="1" t="s">
        <v>31</v>
      </c>
      <c r="D1379" s="1" t="s">
        <v>32</v>
      </c>
      <c r="E1379" s="1" t="s">
        <v>248</v>
      </c>
      <c r="F1379" s="1" t="s">
        <v>5777</v>
      </c>
      <c r="G1379" s="1" t="s">
        <v>12480</v>
      </c>
      <c r="H1379" s="1" t="s">
        <v>5778</v>
      </c>
      <c r="I1379" s="2">
        <v>10.67</v>
      </c>
      <c r="J1379" s="2">
        <v>0.46</v>
      </c>
      <c r="K1379" s="2">
        <v>0.5</v>
      </c>
      <c r="L1379" s="2"/>
      <c r="M1379" s="4">
        <f t="shared" si="126"/>
        <v>21.34</v>
      </c>
      <c r="N1379" s="4" t="e">
        <f t="shared" si="127"/>
        <v>#DIV/0!</v>
      </c>
      <c r="O1379" s="5">
        <f t="shared" si="128"/>
        <v>8.6956521739130377E-2</v>
      </c>
      <c r="P1379" s="5">
        <f t="shared" si="129"/>
        <v>-1</v>
      </c>
      <c r="Q1379" s="4">
        <f t="shared" si="130"/>
        <v>2.4541000000000017</v>
      </c>
      <c r="R1379" s="4" t="e">
        <f t="shared" si="131"/>
        <v>#DIV/0!</v>
      </c>
      <c r="S1379" s="4">
        <v>4.9800000000000004</v>
      </c>
      <c r="T1379" s="2">
        <v>1.4</v>
      </c>
      <c r="U1379" s="2">
        <v>12.8</v>
      </c>
      <c r="V1379" s="2">
        <v>8.82</v>
      </c>
      <c r="W1379" s="2">
        <v>-2.4900000000000002</v>
      </c>
      <c r="X1379" s="2">
        <v>0.38</v>
      </c>
      <c r="Y1379" s="2">
        <v>-8.1</v>
      </c>
      <c r="Z1379" s="2">
        <v>-9.11</v>
      </c>
    </row>
    <row r="1380" spans="1:26" x14ac:dyDescent="0.25">
      <c r="A1380" s="1" t="s">
        <v>5779</v>
      </c>
      <c r="B1380" s="1" t="s">
        <v>5780</v>
      </c>
      <c r="C1380" s="1" t="s">
        <v>16</v>
      </c>
      <c r="D1380" s="1" t="s">
        <v>204</v>
      </c>
      <c r="E1380" s="1" t="s">
        <v>534</v>
      </c>
      <c r="F1380" s="1" t="s">
        <v>5781</v>
      </c>
      <c r="G1380" s="1" t="s">
        <v>12480</v>
      </c>
      <c r="H1380" s="1" t="s">
        <v>5782</v>
      </c>
      <c r="I1380" s="2">
        <v>86.91</v>
      </c>
      <c r="J1380" s="2">
        <v>1.76</v>
      </c>
      <c r="K1380" s="2">
        <v>2.25</v>
      </c>
      <c r="L1380" s="2">
        <v>3.44</v>
      </c>
      <c r="M1380" s="4">
        <f t="shared" si="126"/>
        <v>38.626666666666665</v>
      </c>
      <c r="N1380" s="4">
        <f t="shared" si="127"/>
        <v>25.26453488372093</v>
      </c>
      <c r="O1380" s="5">
        <f t="shared" si="128"/>
        <v>0.27840909090909083</v>
      </c>
      <c r="P1380" s="5">
        <f t="shared" si="129"/>
        <v>0.52888888888888896</v>
      </c>
      <c r="Q1380" s="4">
        <f t="shared" si="130"/>
        <v>1.3874068027210888</v>
      </c>
      <c r="R1380" s="4">
        <f t="shared" si="131"/>
        <v>0.47769078561657213</v>
      </c>
      <c r="S1380" s="4">
        <v>-0.48</v>
      </c>
      <c r="T1380" s="2">
        <v>1.01</v>
      </c>
      <c r="U1380" s="2">
        <v>94.73</v>
      </c>
      <c r="V1380" s="2">
        <v>47.49</v>
      </c>
      <c r="W1380" s="2">
        <v>-8.26</v>
      </c>
      <c r="X1380" s="2">
        <v>0.99</v>
      </c>
      <c r="Y1380" s="2">
        <v>17.920000000000002</v>
      </c>
      <c r="Z1380" s="2">
        <v>17.600000000000001</v>
      </c>
    </row>
    <row r="1381" spans="1:26" x14ac:dyDescent="0.25">
      <c r="A1381" s="1" t="s">
        <v>5783</v>
      </c>
      <c r="B1381" s="1" t="s">
        <v>5784</v>
      </c>
      <c r="C1381" s="1" t="s">
        <v>16</v>
      </c>
      <c r="D1381" s="1" t="s">
        <v>38</v>
      </c>
      <c r="E1381" s="1" t="s">
        <v>259</v>
      </c>
      <c r="F1381" s="1" t="s">
        <v>5785</v>
      </c>
      <c r="G1381" s="1" t="s">
        <v>12480</v>
      </c>
      <c r="H1381" s="1" t="s">
        <v>5786</v>
      </c>
      <c r="I1381" s="2">
        <v>80.17</v>
      </c>
      <c r="J1381" s="2"/>
      <c r="K1381" s="2"/>
      <c r="L1381" s="2"/>
      <c r="M1381" s="4" t="e">
        <f t="shared" si="126"/>
        <v>#DIV/0!</v>
      </c>
      <c r="N1381" s="4" t="e">
        <f t="shared" si="127"/>
        <v>#DIV/0!</v>
      </c>
      <c r="O1381" s="5" t="e">
        <f t="shared" si="128"/>
        <v>#DIV/0!</v>
      </c>
      <c r="P1381" s="5" t="e">
        <f t="shared" si="129"/>
        <v>#DIV/0!</v>
      </c>
      <c r="Q1381" s="4" t="e">
        <f t="shared" si="130"/>
        <v>#DIV/0!</v>
      </c>
      <c r="R1381" s="4" t="e">
        <f t="shared" si="131"/>
        <v>#DIV/0!</v>
      </c>
      <c r="S1381" s="4"/>
      <c r="T1381" s="2">
        <v>0.42</v>
      </c>
      <c r="U1381" s="2">
        <v>81.319999999999993</v>
      </c>
      <c r="V1381" s="2">
        <v>75.75</v>
      </c>
      <c r="W1381" s="2">
        <v>-0.14000000000000001</v>
      </c>
      <c r="X1381" s="2">
        <v>-0.93</v>
      </c>
      <c r="Y1381" s="2">
        <v>-0.55000000000000004</v>
      </c>
      <c r="Z1381" s="2">
        <v>-0.56999999999999995</v>
      </c>
    </row>
    <row r="1382" spans="1:26" x14ac:dyDescent="0.25">
      <c r="A1382" s="1" t="s">
        <v>5788</v>
      </c>
      <c r="B1382" s="1" t="s">
        <v>5789</v>
      </c>
      <c r="C1382" s="1" t="s">
        <v>45</v>
      </c>
      <c r="D1382" s="1" t="s">
        <v>88</v>
      </c>
      <c r="E1382" s="1" t="s">
        <v>658</v>
      </c>
      <c r="F1382" s="1" t="s">
        <v>5790</v>
      </c>
      <c r="G1382" s="1" t="s">
        <v>12480</v>
      </c>
      <c r="H1382" s="1" t="s">
        <v>5791</v>
      </c>
      <c r="I1382" s="2">
        <v>40.6</v>
      </c>
      <c r="J1382" s="2">
        <v>-0.94</v>
      </c>
      <c r="K1382" s="2"/>
      <c r="L1382" s="2"/>
      <c r="M1382" s="4" t="e">
        <f t="shared" si="126"/>
        <v>#DIV/0!</v>
      </c>
      <c r="N1382" s="4" t="e">
        <f t="shared" si="127"/>
        <v>#DIV/0!</v>
      </c>
      <c r="O1382" s="5">
        <f t="shared" si="128"/>
        <v>-1</v>
      </c>
      <c r="P1382" s="5" t="e">
        <f t="shared" si="129"/>
        <v>#DIV/0!</v>
      </c>
      <c r="Q1382" s="4" t="e">
        <f t="shared" si="130"/>
        <v>#DIV/0!</v>
      </c>
      <c r="R1382" s="4" t="e">
        <f t="shared" si="131"/>
        <v>#DIV/0!</v>
      </c>
      <c r="S1382" s="4"/>
      <c r="T1382" s="2">
        <v>2.58</v>
      </c>
      <c r="U1382" s="2">
        <v>55.74</v>
      </c>
      <c r="V1382" s="2">
        <v>2.46</v>
      </c>
      <c r="W1382" s="2">
        <v>-27.16</v>
      </c>
      <c r="X1382" s="2">
        <v>4.75</v>
      </c>
      <c r="Y1382" s="2">
        <v>210.63</v>
      </c>
      <c r="Z1382" s="2">
        <v>70.8</v>
      </c>
    </row>
    <row r="1383" spans="1:26" x14ac:dyDescent="0.25">
      <c r="A1383" s="1" t="s">
        <v>5792</v>
      </c>
      <c r="B1383" s="1" t="s">
        <v>5793</v>
      </c>
      <c r="C1383" s="1" t="s">
        <v>31</v>
      </c>
      <c r="D1383" s="1" t="s">
        <v>18</v>
      </c>
      <c r="E1383" s="1" t="s">
        <v>780</v>
      </c>
      <c r="F1383" s="1" t="s">
        <v>5794</v>
      </c>
      <c r="G1383" s="1" t="s">
        <v>12480</v>
      </c>
      <c r="H1383" s="1" t="s">
        <v>5795</v>
      </c>
      <c r="I1383" s="2">
        <v>3.93</v>
      </c>
      <c r="J1383" s="2">
        <v>0.39</v>
      </c>
      <c r="K1383" s="2"/>
      <c r="L1383" s="2"/>
      <c r="M1383" s="4" t="e">
        <f t="shared" si="126"/>
        <v>#DIV/0!</v>
      </c>
      <c r="N1383" s="4" t="e">
        <f t="shared" si="127"/>
        <v>#DIV/0!</v>
      </c>
      <c r="O1383" s="5">
        <f t="shared" si="128"/>
        <v>-1</v>
      </c>
      <c r="P1383" s="5" t="e">
        <f t="shared" si="129"/>
        <v>#DIV/0!</v>
      </c>
      <c r="Q1383" s="4" t="e">
        <f t="shared" si="130"/>
        <v>#DIV/0!</v>
      </c>
      <c r="R1383" s="4" t="e">
        <f t="shared" si="131"/>
        <v>#DIV/0!</v>
      </c>
      <c r="S1383" s="4">
        <v>-12.95</v>
      </c>
      <c r="T1383" s="2">
        <v>0.73</v>
      </c>
      <c r="U1383" s="2">
        <v>5.32</v>
      </c>
      <c r="V1383" s="2">
        <v>3.18</v>
      </c>
      <c r="W1383" s="2">
        <v>-15.67</v>
      </c>
      <c r="X1383" s="2">
        <v>-11.29</v>
      </c>
      <c r="Y1383" s="2">
        <v>-2.96</v>
      </c>
      <c r="Z1383" s="2">
        <v>-5.0199999999999996</v>
      </c>
    </row>
    <row r="1384" spans="1:26" x14ac:dyDescent="0.25">
      <c r="A1384" s="1" t="s">
        <v>5796</v>
      </c>
      <c r="B1384" s="1" t="s">
        <v>5797</v>
      </c>
      <c r="C1384" s="1" t="s">
        <v>45</v>
      </c>
      <c r="D1384" s="1" t="s">
        <v>2417</v>
      </c>
      <c r="E1384" s="1" t="s">
        <v>2418</v>
      </c>
      <c r="F1384" s="1" t="s">
        <v>5798</v>
      </c>
      <c r="G1384" s="1" t="s">
        <v>12480</v>
      </c>
      <c r="H1384" s="1" t="s">
        <v>5799</v>
      </c>
      <c r="I1384" s="2">
        <v>37.36</v>
      </c>
      <c r="J1384" s="2">
        <v>-1.46</v>
      </c>
      <c r="K1384" s="2">
        <v>0.28999999999999998</v>
      </c>
      <c r="L1384" s="2">
        <v>0.89</v>
      </c>
      <c r="M1384" s="4">
        <f t="shared" si="126"/>
        <v>128.82758620689657</v>
      </c>
      <c r="N1384" s="4">
        <f t="shared" si="127"/>
        <v>41.977528089887642</v>
      </c>
      <c r="O1384" s="5">
        <f t="shared" si="128"/>
        <v>-1.1986301369863013</v>
      </c>
      <c r="P1384" s="5">
        <f t="shared" si="129"/>
        <v>2.0689655172413794</v>
      </c>
      <c r="Q1384" s="4">
        <f t="shared" si="130"/>
        <v>-1.0747901477832515</v>
      </c>
      <c r="R1384" s="4">
        <f t="shared" si="131"/>
        <v>0.20289138576779026</v>
      </c>
      <c r="S1384" s="4">
        <v>-37.14</v>
      </c>
      <c r="T1384" s="2">
        <v>1.0900000000000001</v>
      </c>
      <c r="U1384" s="2" t="s">
        <v>12643</v>
      </c>
      <c r="V1384" s="2">
        <v>31.52</v>
      </c>
      <c r="W1384" s="2" t="s">
        <v>12489</v>
      </c>
      <c r="X1384" s="2">
        <v>2.2999999999999998</v>
      </c>
      <c r="Y1384" s="2">
        <v>-1.76</v>
      </c>
      <c r="Z1384" s="2">
        <v>-4.45</v>
      </c>
    </row>
    <row r="1385" spans="1:26" x14ac:dyDescent="0.25">
      <c r="A1385" s="1" t="s">
        <v>5800</v>
      </c>
      <c r="B1385" s="1" t="s">
        <v>5801</v>
      </c>
      <c r="C1385" s="1" t="s">
        <v>16</v>
      </c>
      <c r="D1385" s="1" t="s">
        <v>88</v>
      </c>
      <c r="E1385" s="1" t="s">
        <v>89</v>
      </c>
      <c r="F1385" s="1" t="s">
        <v>5802</v>
      </c>
      <c r="G1385" s="1" t="s">
        <v>12480</v>
      </c>
      <c r="H1385" s="1" t="s">
        <v>5803</v>
      </c>
      <c r="I1385" s="2">
        <v>21.85</v>
      </c>
      <c r="J1385" s="2">
        <v>1.23</v>
      </c>
      <c r="K1385" s="2">
        <v>2.14</v>
      </c>
      <c r="L1385" s="2">
        <v>1.98</v>
      </c>
      <c r="M1385" s="4">
        <f t="shared" si="126"/>
        <v>10.210280373831775</v>
      </c>
      <c r="N1385" s="4">
        <f t="shared" si="127"/>
        <v>11.035353535353536</v>
      </c>
      <c r="O1385" s="5">
        <f t="shared" si="128"/>
        <v>0.73983739837398388</v>
      </c>
      <c r="P1385" s="5">
        <f t="shared" si="129"/>
        <v>-7.4766355140186924E-2</v>
      </c>
      <c r="Q1385" s="4">
        <f t="shared" si="130"/>
        <v>0.13800708637157233</v>
      </c>
      <c r="R1385" s="4">
        <f t="shared" si="131"/>
        <v>-1.4759785353535353</v>
      </c>
      <c r="S1385" s="4">
        <v>74.7</v>
      </c>
      <c r="T1385" s="2">
        <v>1.33</v>
      </c>
      <c r="U1385" s="2">
        <v>24.57</v>
      </c>
      <c r="V1385" s="2">
        <v>5.1100000000000003</v>
      </c>
      <c r="W1385" s="2">
        <v>-9.9</v>
      </c>
      <c r="X1385" s="2">
        <v>2.68</v>
      </c>
      <c r="Y1385" s="2">
        <v>38.47</v>
      </c>
      <c r="Z1385" s="2">
        <v>32.51</v>
      </c>
    </row>
    <row r="1386" spans="1:26" x14ac:dyDescent="0.25">
      <c r="A1386" s="1" t="s">
        <v>5804</v>
      </c>
      <c r="B1386" s="1" t="s">
        <v>5805</v>
      </c>
      <c r="C1386" s="1" t="s">
        <v>16</v>
      </c>
      <c r="D1386" s="1" t="s">
        <v>38</v>
      </c>
      <c r="E1386" s="1" t="s">
        <v>259</v>
      </c>
      <c r="F1386" s="1" t="s">
        <v>5806</v>
      </c>
      <c r="G1386" s="1" t="s">
        <v>12480</v>
      </c>
      <c r="H1386" s="1" t="s">
        <v>5807</v>
      </c>
      <c r="I1386" s="2">
        <v>96.78</v>
      </c>
      <c r="J1386" s="2"/>
      <c r="K1386" s="2"/>
      <c r="L1386" s="2"/>
      <c r="M1386" s="4" t="e">
        <f t="shared" si="126"/>
        <v>#DIV/0!</v>
      </c>
      <c r="N1386" s="4" t="e">
        <f t="shared" si="127"/>
        <v>#DIV/0!</v>
      </c>
      <c r="O1386" s="5" t="e">
        <f t="shared" si="128"/>
        <v>#DIV/0!</v>
      </c>
      <c r="P1386" s="5" t="e">
        <f t="shared" si="129"/>
        <v>#DIV/0!</v>
      </c>
      <c r="Q1386" s="4" t="e">
        <f t="shared" si="130"/>
        <v>#DIV/0!</v>
      </c>
      <c r="R1386" s="4" t="e">
        <f t="shared" si="131"/>
        <v>#DIV/0!</v>
      </c>
      <c r="S1386" s="4"/>
      <c r="T1386" s="2">
        <v>0.13</v>
      </c>
      <c r="U1386" s="2">
        <v>101.57</v>
      </c>
      <c r="V1386" s="2">
        <v>54.43</v>
      </c>
      <c r="W1386" s="2">
        <v>-3.59</v>
      </c>
      <c r="X1386" s="2">
        <v>1.2</v>
      </c>
      <c r="Y1386" s="2">
        <v>19.36</v>
      </c>
      <c r="Z1386" s="2">
        <v>19.23</v>
      </c>
    </row>
    <row r="1387" spans="1:26" x14ac:dyDescent="0.25">
      <c r="A1387" s="1" t="s">
        <v>5808</v>
      </c>
      <c r="B1387" s="1" t="s">
        <v>5809</v>
      </c>
      <c r="C1387" s="1" t="s">
        <v>1118</v>
      </c>
      <c r="D1387" s="1" t="s">
        <v>88</v>
      </c>
      <c r="E1387" s="1" t="s">
        <v>89</v>
      </c>
      <c r="F1387" s="1" t="s">
        <v>5810</v>
      </c>
      <c r="G1387" s="1" t="s">
        <v>12480</v>
      </c>
      <c r="H1387" s="1" t="s">
        <v>5811</v>
      </c>
      <c r="I1387" s="2">
        <v>1.77</v>
      </c>
      <c r="J1387" s="2">
        <v>-0.18</v>
      </c>
      <c r="K1387" s="2">
        <v>-0.01</v>
      </c>
      <c r="L1387" s="2">
        <v>-0.02</v>
      </c>
      <c r="M1387" s="4">
        <f t="shared" si="126"/>
        <v>-177</v>
      </c>
      <c r="N1387" s="4">
        <f t="shared" si="127"/>
        <v>-88.5</v>
      </c>
      <c r="O1387" s="5">
        <f t="shared" si="128"/>
        <v>-0.94444444444444442</v>
      </c>
      <c r="P1387" s="5">
        <f t="shared" si="129"/>
        <v>1</v>
      </c>
      <c r="Q1387" s="4">
        <f t="shared" si="130"/>
        <v>1.8741176470588237</v>
      </c>
      <c r="R1387" s="4">
        <f t="shared" si="131"/>
        <v>-0.88500000000000001</v>
      </c>
      <c r="S1387" s="4">
        <v>89.12</v>
      </c>
      <c r="T1387" s="2">
        <v>1.1000000000000001</v>
      </c>
      <c r="U1387" s="2">
        <v>2.08</v>
      </c>
      <c r="V1387" s="2">
        <v>0.49</v>
      </c>
      <c r="W1387" s="2">
        <v>-13.66</v>
      </c>
      <c r="X1387" s="2">
        <v>-11.5</v>
      </c>
      <c r="Y1387" s="2">
        <v>19.59</v>
      </c>
      <c r="Z1387" s="2">
        <v>21.23</v>
      </c>
    </row>
    <row r="1388" spans="1:26" x14ac:dyDescent="0.25">
      <c r="A1388" s="1" t="s">
        <v>5812</v>
      </c>
      <c r="B1388" s="1" t="s">
        <v>5813</v>
      </c>
      <c r="C1388" s="1" t="s">
        <v>45</v>
      </c>
      <c r="D1388" s="1" t="s">
        <v>38</v>
      </c>
      <c r="E1388" s="1" t="s">
        <v>259</v>
      </c>
      <c r="F1388" s="1" t="s">
        <v>5814</v>
      </c>
      <c r="G1388" s="1" t="s">
        <v>12480</v>
      </c>
      <c r="H1388" s="1" t="s">
        <v>5815</v>
      </c>
      <c r="I1388" s="2">
        <v>171.29</v>
      </c>
      <c r="J1388" s="2"/>
      <c r="K1388" s="2"/>
      <c r="L1388" s="2"/>
      <c r="M1388" s="4" t="e">
        <f t="shared" si="126"/>
        <v>#DIV/0!</v>
      </c>
      <c r="N1388" s="4" t="e">
        <f t="shared" si="127"/>
        <v>#DIV/0!</v>
      </c>
      <c r="O1388" s="5" t="e">
        <f t="shared" si="128"/>
        <v>#DIV/0!</v>
      </c>
      <c r="P1388" s="5" t="e">
        <f t="shared" si="129"/>
        <v>#DIV/0!</v>
      </c>
      <c r="Q1388" s="4" t="e">
        <f t="shared" si="130"/>
        <v>#DIV/0!</v>
      </c>
      <c r="R1388" s="4" t="e">
        <f t="shared" si="131"/>
        <v>#DIV/0!</v>
      </c>
      <c r="S1388" s="4"/>
      <c r="T1388" s="2">
        <v>0.77</v>
      </c>
      <c r="U1388" s="2">
        <v>177.64</v>
      </c>
      <c r="V1388" s="2">
        <v>112.02</v>
      </c>
      <c r="W1388" s="2">
        <v>-1.51</v>
      </c>
      <c r="X1388" s="2">
        <v>-1.77</v>
      </c>
      <c r="Y1388" s="2">
        <v>1.1299999999999999</v>
      </c>
      <c r="Z1388" s="2">
        <v>1.49</v>
      </c>
    </row>
    <row r="1389" spans="1:26" x14ac:dyDescent="0.25">
      <c r="A1389" s="1" t="s">
        <v>5816</v>
      </c>
      <c r="B1389" s="1" t="s">
        <v>5817</v>
      </c>
      <c r="C1389" s="1" t="s">
        <v>31</v>
      </c>
      <c r="D1389" s="1" t="s">
        <v>354</v>
      </c>
      <c r="E1389" s="1" t="s">
        <v>355</v>
      </c>
      <c r="F1389" s="1" t="s">
        <v>5818</v>
      </c>
      <c r="G1389" s="1" t="s">
        <v>12480</v>
      </c>
      <c r="H1389" s="1" t="s">
        <v>5819</v>
      </c>
      <c r="I1389" s="2">
        <v>89.25</v>
      </c>
      <c r="J1389" s="2">
        <v>4.1900000000000004</v>
      </c>
      <c r="K1389" s="2">
        <v>4.6399999999999997</v>
      </c>
      <c r="L1389" s="2">
        <v>4.8499999999999996</v>
      </c>
      <c r="M1389" s="4">
        <f t="shared" si="126"/>
        <v>19.234913793103448</v>
      </c>
      <c r="N1389" s="4">
        <f t="shared" si="127"/>
        <v>18.402061855670105</v>
      </c>
      <c r="O1389" s="5">
        <f t="shared" si="128"/>
        <v>0.10739856801909298</v>
      </c>
      <c r="P1389" s="5">
        <f t="shared" si="129"/>
        <v>4.5258620689655249E-2</v>
      </c>
      <c r="Q1389" s="4">
        <f t="shared" si="130"/>
        <v>1.7909841954023005</v>
      </c>
      <c r="R1389" s="4">
        <f t="shared" si="131"/>
        <v>4.0659793814432925</v>
      </c>
      <c r="S1389" s="4">
        <v>6.41</v>
      </c>
      <c r="T1389" s="2">
        <v>0.72</v>
      </c>
      <c r="U1389" s="2">
        <v>96.4</v>
      </c>
      <c r="V1389" s="2">
        <v>57.55</v>
      </c>
      <c r="W1389" s="2">
        <v>-3.67</v>
      </c>
      <c r="X1389" s="2">
        <v>-4.54</v>
      </c>
      <c r="Y1389" s="2">
        <v>4.54</v>
      </c>
      <c r="Z1389" s="2">
        <v>3.3</v>
      </c>
    </row>
    <row r="1390" spans="1:26" x14ac:dyDescent="0.25">
      <c r="A1390" s="1" t="s">
        <v>5820</v>
      </c>
      <c r="B1390" s="1" t="s">
        <v>5821</v>
      </c>
      <c r="C1390" s="1" t="s">
        <v>45</v>
      </c>
      <c r="D1390" s="1" t="s">
        <v>38</v>
      </c>
      <c r="E1390" s="1" t="s">
        <v>1408</v>
      </c>
      <c r="F1390" s="1" t="s">
        <v>5822</v>
      </c>
      <c r="G1390" s="1" t="s">
        <v>12480</v>
      </c>
      <c r="H1390" s="1" t="s">
        <v>5823</v>
      </c>
      <c r="I1390" s="2">
        <v>67.489999999999995</v>
      </c>
      <c r="J1390" s="2">
        <v>2.19</v>
      </c>
      <c r="K1390" s="2">
        <v>2.35</v>
      </c>
      <c r="L1390" s="2">
        <v>2.5099999999999998</v>
      </c>
      <c r="M1390" s="4">
        <f t="shared" si="126"/>
        <v>28.71914893617021</v>
      </c>
      <c r="N1390" s="4">
        <f t="shared" si="127"/>
        <v>26.888446215139442</v>
      </c>
      <c r="O1390" s="5">
        <f t="shared" si="128"/>
        <v>7.3059360730593603E-2</v>
      </c>
      <c r="P1390" s="5">
        <f t="shared" si="129"/>
        <v>6.80851063829786E-2</v>
      </c>
      <c r="Q1390" s="4">
        <f t="shared" si="130"/>
        <v>3.9309335106382979</v>
      </c>
      <c r="R1390" s="4">
        <f t="shared" si="131"/>
        <v>3.9492405378486128</v>
      </c>
      <c r="S1390" s="4">
        <v>101.04</v>
      </c>
      <c r="T1390" s="2">
        <v>1.23</v>
      </c>
      <c r="U1390" s="2">
        <v>78.42</v>
      </c>
      <c r="V1390" s="2">
        <v>36.07</v>
      </c>
      <c r="W1390" s="2">
        <v>-5.83</v>
      </c>
      <c r="X1390" s="2">
        <v>-13.94</v>
      </c>
      <c r="Y1390" s="2">
        <v>7.35</v>
      </c>
      <c r="Z1390" s="2">
        <v>4.9400000000000004</v>
      </c>
    </row>
    <row r="1391" spans="1:26" x14ac:dyDescent="0.25">
      <c r="A1391" s="1" t="s">
        <v>5824</v>
      </c>
      <c r="B1391" s="1" t="s">
        <v>5825</v>
      </c>
      <c r="C1391" s="1" t="s">
        <v>16</v>
      </c>
      <c r="D1391" s="1" t="s">
        <v>32</v>
      </c>
      <c r="E1391" s="1" t="s">
        <v>490</v>
      </c>
      <c r="F1391" s="1" t="s">
        <v>5826</v>
      </c>
      <c r="G1391" s="1" t="s">
        <v>12480</v>
      </c>
      <c r="H1391" s="1" t="s">
        <v>5827</v>
      </c>
      <c r="I1391" s="2">
        <v>253.33</v>
      </c>
      <c r="J1391" s="2">
        <v>11.59</v>
      </c>
      <c r="K1391" s="2">
        <v>12.37</v>
      </c>
      <c r="L1391" s="2">
        <v>13.3</v>
      </c>
      <c r="M1391" s="4">
        <f t="shared" si="126"/>
        <v>20.479385610347617</v>
      </c>
      <c r="N1391" s="4">
        <f t="shared" si="127"/>
        <v>19.047368421052632</v>
      </c>
      <c r="O1391" s="5">
        <f t="shared" si="128"/>
        <v>6.7299396031061276E-2</v>
      </c>
      <c r="P1391" s="5">
        <f t="shared" si="129"/>
        <v>7.51818916734035E-2</v>
      </c>
      <c r="Q1391" s="4">
        <f t="shared" si="130"/>
        <v>3.0430266567170361</v>
      </c>
      <c r="R1391" s="4">
        <f t="shared" si="131"/>
        <v>2.5335048104131261</v>
      </c>
      <c r="S1391" s="4">
        <v>7.62</v>
      </c>
      <c r="T1391" s="2">
        <v>0.73</v>
      </c>
      <c r="U1391" s="2">
        <v>314.98</v>
      </c>
      <c r="V1391" s="2">
        <v>221.03</v>
      </c>
      <c r="W1391" s="2">
        <v>5.83</v>
      </c>
      <c r="X1391" s="2">
        <v>-14.51</v>
      </c>
      <c r="Y1391" s="2">
        <v>-17.93</v>
      </c>
      <c r="Z1391" s="2">
        <v>-14.48</v>
      </c>
    </row>
    <row r="1392" spans="1:26" x14ac:dyDescent="0.25">
      <c r="A1392" s="1" t="s">
        <v>5828</v>
      </c>
      <c r="B1392" s="1" t="s">
        <v>5829</v>
      </c>
      <c r="C1392" s="1" t="s">
        <v>16</v>
      </c>
      <c r="D1392" s="1" t="s">
        <v>38</v>
      </c>
      <c r="E1392" s="1" t="s">
        <v>189</v>
      </c>
      <c r="F1392" s="1" t="s">
        <v>5830</v>
      </c>
      <c r="G1392" s="1" t="s">
        <v>12490</v>
      </c>
      <c r="H1392" s="1" t="s">
        <v>5831</v>
      </c>
      <c r="I1392" s="2">
        <v>28.02</v>
      </c>
      <c r="J1392" s="2">
        <v>1.56</v>
      </c>
      <c r="K1392" s="2">
        <v>1.56</v>
      </c>
      <c r="L1392" s="2">
        <v>1.79</v>
      </c>
      <c r="M1392" s="4">
        <f t="shared" si="126"/>
        <v>17.96153846153846</v>
      </c>
      <c r="N1392" s="4">
        <f t="shared" si="127"/>
        <v>15.6536312849162</v>
      </c>
      <c r="O1392" s="5">
        <f t="shared" si="128"/>
        <v>0</v>
      </c>
      <c r="P1392" s="5">
        <f t="shared" si="129"/>
        <v>0.14743589743589736</v>
      </c>
      <c r="Q1392" s="4" t="e">
        <f t="shared" si="130"/>
        <v>#DIV/0!</v>
      </c>
      <c r="R1392" s="4">
        <f t="shared" si="131"/>
        <v>1.0617245567160558</v>
      </c>
      <c r="S1392" s="4">
        <v>13.22</v>
      </c>
      <c r="T1392" s="2">
        <v>0.38</v>
      </c>
      <c r="U1392" s="2">
        <v>34.409999999999997</v>
      </c>
      <c r="V1392" s="2">
        <v>27.85</v>
      </c>
      <c r="W1392" s="2">
        <v>-7.28</v>
      </c>
      <c r="X1392" s="2">
        <v>-8.85</v>
      </c>
      <c r="Y1392" s="2">
        <v>-7.31</v>
      </c>
      <c r="Z1392" s="2">
        <v>-5.97</v>
      </c>
    </row>
    <row r="1393" spans="1:26" x14ac:dyDescent="0.25">
      <c r="A1393" s="1" t="s">
        <v>5833</v>
      </c>
      <c r="B1393" s="1" t="s">
        <v>5834</v>
      </c>
      <c r="C1393" s="1" t="s">
        <v>45</v>
      </c>
      <c r="D1393" s="1" t="s">
        <v>38</v>
      </c>
      <c r="E1393" s="1" t="s">
        <v>1440</v>
      </c>
      <c r="F1393" s="1" t="s">
        <v>5835</v>
      </c>
      <c r="G1393" s="1" t="s">
        <v>12480</v>
      </c>
      <c r="H1393" s="1" t="s">
        <v>4169</v>
      </c>
      <c r="I1393" s="2">
        <v>67.099999999999994</v>
      </c>
      <c r="J1393" s="2">
        <v>6.62</v>
      </c>
      <c r="K1393" s="2"/>
      <c r="L1393" s="2"/>
      <c r="M1393" s="4" t="e">
        <f t="shared" si="126"/>
        <v>#DIV/0!</v>
      </c>
      <c r="N1393" s="4" t="e">
        <f t="shared" si="127"/>
        <v>#DIV/0!</v>
      </c>
      <c r="O1393" s="5">
        <f t="shared" si="128"/>
        <v>-1</v>
      </c>
      <c r="P1393" s="5" t="e">
        <f t="shared" si="129"/>
        <v>#DIV/0!</v>
      </c>
      <c r="Q1393" s="4" t="e">
        <f t="shared" si="130"/>
        <v>#DIV/0!</v>
      </c>
      <c r="R1393" s="4" t="e">
        <f t="shared" si="131"/>
        <v>#DIV/0!</v>
      </c>
      <c r="S1393" s="4">
        <v>1.26</v>
      </c>
      <c r="T1393" s="2">
        <v>0.72</v>
      </c>
      <c r="U1393" s="2">
        <v>74.58</v>
      </c>
      <c r="V1393" s="2">
        <v>56.4</v>
      </c>
      <c r="W1393" s="2">
        <v>-1.87</v>
      </c>
      <c r="X1393" s="2">
        <v>-8.6199999999999992</v>
      </c>
      <c r="Y1393" s="2">
        <v>-7.91</v>
      </c>
      <c r="Z1393" s="2">
        <v>0.99</v>
      </c>
    </row>
    <row r="1394" spans="1:26" x14ac:dyDescent="0.25">
      <c r="A1394" s="1" t="s">
        <v>5836</v>
      </c>
      <c r="B1394" s="1" t="s">
        <v>5837</v>
      </c>
      <c r="C1394" s="1" t="s">
        <v>16</v>
      </c>
      <c r="D1394" s="1" t="s">
        <v>61</v>
      </c>
      <c r="E1394" s="1" t="s">
        <v>170</v>
      </c>
      <c r="F1394" s="1" t="s">
        <v>5838</v>
      </c>
      <c r="G1394" s="1" t="s">
        <v>12480</v>
      </c>
      <c r="H1394" s="1" t="s">
        <v>5839</v>
      </c>
      <c r="I1394" s="2">
        <v>299.27999999999997</v>
      </c>
      <c r="J1394" s="2">
        <v>11.44</v>
      </c>
      <c r="K1394" s="2">
        <v>11.31</v>
      </c>
      <c r="L1394" s="2">
        <v>12.55</v>
      </c>
      <c r="M1394" s="4">
        <f t="shared" si="126"/>
        <v>26.461538461538456</v>
      </c>
      <c r="N1394" s="4">
        <f t="shared" si="127"/>
        <v>23.847011952191231</v>
      </c>
      <c r="O1394" s="5">
        <f t="shared" si="128"/>
        <v>-1.1363636363636243E-2</v>
      </c>
      <c r="P1394" s="5">
        <f t="shared" si="129"/>
        <v>0.10963748894783376</v>
      </c>
      <c r="Q1394" s="4">
        <f t="shared" si="130"/>
        <v>-23.28615384615409</v>
      </c>
      <c r="R1394" s="4">
        <f t="shared" si="131"/>
        <v>2.1750782675748619</v>
      </c>
      <c r="S1394" s="4" t="s">
        <v>12493</v>
      </c>
      <c r="T1394" s="2">
        <v>1.9</v>
      </c>
      <c r="U1394" s="2">
        <v>344.19</v>
      </c>
      <c r="V1394" s="2">
        <v>153.99</v>
      </c>
      <c r="W1394" s="2">
        <v>-8.3000000000000007</v>
      </c>
      <c r="X1394" s="2">
        <v>-7.77</v>
      </c>
      <c r="Y1394" s="2">
        <v>11.56</v>
      </c>
      <c r="Z1394" s="2">
        <v>15.38</v>
      </c>
    </row>
    <row r="1395" spans="1:26" x14ac:dyDescent="0.25">
      <c r="A1395" s="1" t="s">
        <v>5840</v>
      </c>
      <c r="B1395" s="1" t="s">
        <v>5841</v>
      </c>
      <c r="C1395" s="1" t="s">
        <v>45</v>
      </c>
      <c r="D1395" s="1" t="s">
        <v>18</v>
      </c>
      <c r="E1395" s="1" t="s">
        <v>74</v>
      </c>
      <c r="F1395" s="1" t="s">
        <v>5842</v>
      </c>
      <c r="G1395" s="1" t="s">
        <v>12480</v>
      </c>
      <c r="H1395" s="1" t="s">
        <v>5843</v>
      </c>
      <c r="I1395" s="2">
        <v>8.4499999999999993</v>
      </c>
      <c r="J1395" s="2">
        <v>-0.38</v>
      </c>
      <c r="K1395" s="2">
        <v>-0.31</v>
      </c>
      <c r="L1395" s="2">
        <v>-0.17</v>
      </c>
      <c r="M1395" s="4">
        <f t="shared" si="126"/>
        <v>-27.258064516129028</v>
      </c>
      <c r="N1395" s="4">
        <f t="shared" si="127"/>
        <v>-49.705882352941167</v>
      </c>
      <c r="O1395" s="5">
        <f t="shared" si="128"/>
        <v>-0.18421052631578949</v>
      </c>
      <c r="P1395" s="5">
        <f t="shared" si="129"/>
        <v>-0.45161290322580638</v>
      </c>
      <c r="Q1395" s="4">
        <f t="shared" si="130"/>
        <v>1.4797235023041471</v>
      </c>
      <c r="R1395" s="4">
        <f t="shared" si="131"/>
        <v>1.1006302521008402</v>
      </c>
      <c r="S1395" s="4">
        <v>668.31</v>
      </c>
      <c r="T1395" s="2">
        <v>-0.03</v>
      </c>
      <c r="U1395" s="2">
        <v>11.55</v>
      </c>
      <c r="V1395" s="2">
        <v>1.89</v>
      </c>
      <c r="W1395" s="2">
        <v>-19.059999999999999</v>
      </c>
      <c r="X1395" s="2">
        <v>21.93</v>
      </c>
      <c r="Y1395" s="2">
        <v>280.63</v>
      </c>
      <c r="Z1395" s="2">
        <v>326.77</v>
      </c>
    </row>
    <row r="1396" spans="1:26" x14ac:dyDescent="0.25">
      <c r="A1396" s="1" t="s">
        <v>5844</v>
      </c>
      <c r="B1396" s="1" t="s">
        <v>5845</v>
      </c>
      <c r="C1396" s="1" t="s">
        <v>31</v>
      </c>
      <c r="D1396" s="1" t="s">
        <v>46</v>
      </c>
      <c r="E1396" s="1" t="s">
        <v>47</v>
      </c>
      <c r="F1396" s="1" t="s">
        <v>5846</v>
      </c>
      <c r="G1396" s="1" t="s">
        <v>12480</v>
      </c>
      <c r="H1396" s="1" t="s">
        <v>5847</v>
      </c>
      <c r="I1396" s="2">
        <v>9.8699999999999992</v>
      </c>
      <c r="J1396" s="2">
        <v>3.93</v>
      </c>
      <c r="K1396" s="2">
        <v>1.65</v>
      </c>
      <c r="L1396" s="2">
        <v>1.8</v>
      </c>
      <c r="M1396" s="4">
        <f t="shared" si="126"/>
        <v>5.9818181818181815</v>
      </c>
      <c r="N1396" s="4">
        <f t="shared" si="127"/>
        <v>5.4833333333333325</v>
      </c>
      <c r="O1396" s="5">
        <f t="shared" si="128"/>
        <v>-0.58015267175572527</v>
      </c>
      <c r="P1396" s="5">
        <f t="shared" si="129"/>
        <v>9.090909090909105E-2</v>
      </c>
      <c r="Q1396" s="4">
        <f t="shared" si="130"/>
        <v>-0.10310765550239233</v>
      </c>
      <c r="R1396" s="4">
        <f t="shared" si="131"/>
        <v>0.60316666666666574</v>
      </c>
      <c r="S1396" s="4">
        <v>8.15</v>
      </c>
      <c r="T1396" s="2">
        <v>1.58</v>
      </c>
      <c r="U1396" s="2">
        <v>12.25</v>
      </c>
      <c r="V1396" s="2">
        <v>5.72</v>
      </c>
      <c r="W1396" s="2">
        <v>-8.1</v>
      </c>
      <c r="X1396" s="2">
        <v>-19.43</v>
      </c>
      <c r="Y1396" s="2">
        <v>-10.68</v>
      </c>
      <c r="Z1396" s="2">
        <v>-10.44</v>
      </c>
    </row>
    <row r="1397" spans="1:26" x14ac:dyDescent="0.25">
      <c r="A1397" s="1" t="s">
        <v>5848</v>
      </c>
      <c r="B1397" s="1" t="s">
        <v>5849</v>
      </c>
      <c r="C1397" s="1" t="s">
        <v>16</v>
      </c>
      <c r="D1397" s="1" t="s">
        <v>38</v>
      </c>
      <c r="E1397" s="1" t="s">
        <v>2304</v>
      </c>
      <c r="F1397" s="1" t="s">
        <v>5850</v>
      </c>
      <c r="G1397" s="1" t="s">
        <v>12480</v>
      </c>
      <c r="H1397" s="1" t="s">
        <v>5851</v>
      </c>
      <c r="I1397" s="2">
        <v>165.8</v>
      </c>
      <c r="J1397" s="2">
        <v>6.95</v>
      </c>
      <c r="K1397" s="2">
        <v>7.66</v>
      </c>
      <c r="L1397" s="2">
        <v>8.51</v>
      </c>
      <c r="M1397" s="4">
        <f t="shared" si="126"/>
        <v>21.64490861618799</v>
      </c>
      <c r="N1397" s="4">
        <f t="shared" si="127"/>
        <v>19.48296122209166</v>
      </c>
      <c r="O1397" s="5">
        <f t="shared" si="128"/>
        <v>0.10215827338129491</v>
      </c>
      <c r="P1397" s="5">
        <f t="shared" si="129"/>
        <v>0.11096605744125321</v>
      </c>
      <c r="Q1397" s="4">
        <f t="shared" si="130"/>
        <v>2.1187621814437554</v>
      </c>
      <c r="R1397" s="4">
        <f t="shared" si="131"/>
        <v>1.7557586230732023</v>
      </c>
      <c r="S1397" s="4">
        <v>7.47</v>
      </c>
      <c r="T1397" s="2">
        <v>1.03</v>
      </c>
      <c r="U1397" s="2">
        <v>188.45</v>
      </c>
      <c r="V1397" s="2">
        <v>145.59</v>
      </c>
      <c r="W1397" s="2">
        <v>0.62</v>
      </c>
      <c r="X1397" s="2">
        <v>-2.17</v>
      </c>
      <c r="Y1397" s="2">
        <v>2.73</v>
      </c>
      <c r="Z1397" s="2">
        <v>2.37</v>
      </c>
    </row>
    <row r="1398" spans="1:26" x14ac:dyDescent="0.25">
      <c r="A1398" s="1" t="s">
        <v>5852</v>
      </c>
      <c r="B1398" s="1" t="s">
        <v>5853</v>
      </c>
      <c r="C1398" s="1" t="s">
        <v>1118</v>
      </c>
      <c r="D1398" s="1" t="s">
        <v>38</v>
      </c>
      <c r="E1398" s="1" t="s">
        <v>259</v>
      </c>
      <c r="F1398" s="1" t="s">
        <v>5854</v>
      </c>
      <c r="G1398" s="1" t="s">
        <v>12480</v>
      </c>
      <c r="H1398" s="1" t="s">
        <v>12541</v>
      </c>
      <c r="I1398" s="2">
        <v>64.84</v>
      </c>
      <c r="J1398" s="2"/>
      <c r="K1398" s="2"/>
      <c r="L1398" s="2"/>
      <c r="M1398" s="4" t="e">
        <f t="shared" si="126"/>
        <v>#DIV/0!</v>
      </c>
      <c r="N1398" s="4" t="e">
        <f t="shared" si="127"/>
        <v>#DIV/0!</v>
      </c>
      <c r="O1398" s="5" t="e">
        <f t="shared" si="128"/>
        <v>#DIV/0!</v>
      </c>
      <c r="P1398" s="5" t="e">
        <f t="shared" si="129"/>
        <v>#DIV/0!</v>
      </c>
      <c r="Q1398" s="4" t="e">
        <f t="shared" si="130"/>
        <v>#DIV/0!</v>
      </c>
      <c r="R1398" s="4" t="e">
        <f t="shared" si="131"/>
        <v>#DIV/0!</v>
      </c>
      <c r="S1398" s="4"/>
      <c r="T1398" s="2">
        <v>0.99</v>
      </c>
      <c r="U1398" s="2">
        <v>66.28</v>
      </c>
      <c r="V1398" s="2">
        <v>54.56</v>
      </c>
      <c r="W1398" s="2">
        <v>-2.17</v>
      </c>
      <c r="X1398" s="2">
        <v>3.35</v>
      </c>
      <c r="Y1398" s="2">
        <v>6.77</v>
      </c>
      <c r="Z1398" s="2">
        <v>8.66</v>
      </c>
    </row>
    <row r="1399" spans="1:26" x14ac:dyDescent="0.25">
      <c r="A1399" s="1" t="s">
        <v>5855</v>
      </c>
      <c r="B1399" s="1" t="s">
        <v>5856</v>
      </c>
      <c r="C1399" s="1" t="s">
        <v>45</v>
      </c>
      <c r="D1399" s="1" t="s">
        <v>140</v>
      </c>
      <c r="E1399" s="1" t="s">
        <v>4994</v>
      </c>
      <c r="F1399" s="1" t="s">
        <v>5857</v>
      </c>
      <c r="G1399" s="1" t="s">
        <v>12480</v>
      </c>
      <c r="H1399" s="1" t="s">
        <v>3121</v>
      </c>
      <c r="I1399" s="2">
        <v>75.349999999999994</v>
      </c>
      <c r="J1399" s="2">
        <v>6.77</v>
      </c>
      <c r="K1399" s="2" t="s">
        <v>12496</v>
      </c>
      <c r="L1399" s="2">
        <v>7.83</v>
      </c>
      <c r="M1399" s="4">
        <f t="shared" si="126"/>
        <v>10.764285714285714</v>
      </c>
      <c r="N1399" s="4">
        <f t="shared" si="127"/>
        <v>9.6232439335887605</v>
      </c>
      <c r="O1399" s="5">
        <f t="shared" si="128"/>
        <v>3.3973412112260126E-2</v>
      </c>
      <c r="P1399" s="5">
        <f t="shared" si="129"/>
        <v>0.11857142857142855</v>
      </c>
      <c r="Q1399" s="4">
        <f t="shared" si="130"/>
        <v>3.1684440993788674</v>
      </c>
      <c r="R1399" s="4">
        <f t="shared" si="131"/>
        <v>0.81159888596531737</v>
      </c>
      <c r="S1399" s="4">
        <v>-7.27</v>
      </c>
      <c r="T1399" s="2">
        <v>0.44</v>
      </c>
      <c r="U1399" s="2">
        <v>100.58</v>
      </c>
      <c r="V1399" s="2">
        <v>74.900000000000006</v>
      </c>
      <c r="W1399" s="2">
        <v>-3.17</v>
      </c>
      <c r="X1399" s="2">
        <v>-12.74</v>
      </c>
      <c r="Y1399" s="2">
        <v>-13.1</v>
      </c>
      <c r="Z1399" s="2">
        <v>-11.67</v>
      </c>
    </row>
    <row r="1400" spans="1:26" x14ac:dyDescent="0.25">
      <c r="A1400" s="1" t="s">
        <v>5858</v>
      </c>
      <c r="B1400" s="1" t="s">
        <v>5859</v>
      </c>
      <c r="C1400" s="1" t="s">
        <v>45</v>
      </c>
      <c r="D1400" s="1" t="s">
        <v>32</v>
      </c>
      <c r="E1400" s="1" t="s">
        <v>57</v>
      </c>
      <c r="F1400" s="1" t="s">
        <v>5860</v>
      </c>
      <c r="G1400" s="1" t="s">
        <v>12480</v>
      </c>
      <c r="H1400" s="1" t="s">
        <v>5861</v>
      </c>
      <c r="I1400" s="2">
        <v>41.73</v>
      </c>
      <c r="J1400" s="2">
        <v>0.23</v>
      </c>
      <c r="K1400" s="2">
        <v>1.1100000000000001</v>
      </c>
      <c r="L1400" s="2">
        <v>2.17</v>
      </c>
      <c r="M1400" s="4">
        <f t="shared" si="126"/>
        <v>37.594594594594589</v>
      </c>
      <c r="N1400" s="4">
        <f t="shared" si="127"/>
        <v>19.230414746543779</v>
      </c>
      <c r="O1400" s="5">
        <f t="shared" si="128"/>
        <v>3.8260869565217392</v>
      </c>
      <c r="P1400" s="5">
        <f t="shared" si="129"/>
        <v>0.95495495495495475</v>
      </c>
      <c r="Q1400" s="4">
        <f t="shared" si="130"/>
        <v>9.8258599508599484E-2</v>
      </c>
      <c r="R1400" s="4">
        <f t="shared" si="131"/>
        <v>0.20137509781758112</v>
      </c>
      <c r="S1400" s="4">
        <v>11.61</v>
      </c>
      <c r="T1400" s="2">
        <v>1.76</v>
      </c>
      <c r="U1400" s="2">
        <v>53.58</v>
      </c>
      <c r="V1400" s="2">
        <v>14.06</v>
      </c>
      <c r="W1400" s="2">
        <v>-14.1</v>
      </c>
      <c r="X1400" s="2">
        <v>22.34</v>
      </c>
      <c r="Y1400" s="2">
        <v>135.36000000000001</v>
      </c>
      <c r="Z1400" s="2">
        <v>126.42</v>
      </c>
    </row>
    <row r="1401" spans="1:26" x14ac:dyDescent="0.25">
      <c r="A1401" s="1" t="s">
        <v>5862</v>
      </c>
      <c r="B1401" s="1" t="s">
        <v>5863</v>
      </c>
      <c r="C1401" s="1" t="s">
        <v>45</v>
      </c>
      <c r="D1401" s="1" t="s">
        <v>18</v>
      </c>
      <c r="E1401" s="1" t="s">
        <v>624</v>
      </c>
      <c r="F1401" s="1" t="s">
        <v>5864</v>
      </c>
      <c r="G1401" s="1" t="s">
        <v>12480</v>
      </c>
      <c r="H1401" s="1" t="s">
        <v>5865</v>
      </c>
      <c r="I1401" s="2">
        <v>110.03</v>
      </c>
      <c r="J1401" s="2" t="s">
        <v>12501</v>
      </c>
      <c r="K1401" s="2">
        <v>12.54</v>
      </c>
      <c r="L1401" s="2">
        <v>13.02</v>
      </c>
      <c r="M1401" s="4">
        <f t="shared" si="126"/>
        <v>8.7743221690590119</v>
      </c>
      <c r="N1401" s="4">
        <f t="shared" si="127"/>
        <v>8.4508448540706613</v>
      </c>
      <c r="O1401" s="5">
        <f t="shared" si="128"/>
        <v>-0.10428571428571431</v>
      </c>
      <c r="P1401" s="5">
        <f t="shared" si="129"/>
        <v>3.8277511961722466E-2</v>
      </c>
      <c r="Q1401" s="4">
        <f t="shared" si="130"/>
        <v>-0.84137335867689134</v>
      </c>
      <c r="R1401" s="4">
        <f t="shared" si="131"/>
        <v>2.2077832181259613</v>
      </c>
      <c r="S1401" s="4">
        <v>1.99</v>
      </c>
      <c r="T1401" s="2">
        <v>1.35</v>
      </c>
      <c r="U1401" s="2">
        <v>202.92</v>
      </c>
      <c r="V1401" s="2">
        <v>80.08</v>
      </c>
      <c r="W1401" s="2">
        <v>1.63</v>
      </c>
      <c r="X1401" s="2">
        <v>-28.82</v>
      </c>
      <c r="Y1401" s="2">
        <v>-40.32</v>
      </c>
      <c r="Z1401" s="2">
        <v>-39.619999999999997</v>
      </c>
    </row>
    <row r="1402" spans="1:26" x14ac:dyDescent="0.25">
      <c r="A1402" s="1" t="s">
        <v>5867</v>
      </c>
      <c r="B1402" s="1" t="s">
        <v>5868</v>
      </c>
      <c r="C1402" s="1" t="s">
        <v>45</v>
      </c>
      <c r="D1402" s="1" t="s">
        <v>18</v>
      </c>
      <c r="E1402" s="1" t="s">
        <v>19</v>
      </c>
      <c r="F1402" s="1" t="s">
        <v>5869</v>
      </c>
      <c r="G1402" s="1" t="s">
        <v>12480</v>
      </c>
      <c r="H1402" s="1" t="s">
        <v>5870</v>
      </c>
      <c r="I1402" s="2">
        <v>133.34</v>
      </c>
      <c r="J1402" s="2">
        <v>7.76</v>
      </c>
      <c r="K1402" s="2">
        <v>8.09</v>
      </c>
      <c r="L1402" s="2">
        <v>9.24</v>
      </c>
      <c r="M1402" s="4">
        <f t="shared" si="126"/>
        <v>16.482076637824477</v>
      </c>
      <c r="N1402" s="4">
        <f t="shared" si="127"/>
        <v>14.430735930735931</v>
      </c>
      <c r="O1402" s="5">
        <f t="shared" si="128"/>
        <v>4.252577319587636E-2</v>
      </c>
      <c r="P1402" s="5">
        <f t="shared" si="129"/>
        <v>0.14215080346106301</v>
      </c>
      <c r="Q1402" s="4">
        <f t="shared" si="130"/>
        <v>3.8757852942278102</v>
      </c>
      <c r="R1402" s="4">
        <f t="shared" si="131"/>
        <v>1.0151709015622061</v>
      </c>
      <c r="S1402" s="4">
        <v>-6.33</v>
      </c>
      <c r="T1402" s="2">
        <v>0.79</v>
      </c>
      <c r="U1402" s="2">
        <v>158.54</v>
      </c>
      <c r="V1402" s="2">
        <v>108.1</v>
      </c>
      <c r="W1402" s="2">
        <v>-9.2899999999999991</v>
      </c>
      <c r="X1402" s="2">
        <v>-12.2</v>
      </c>
      <c r="Y1402" s="2">
        <v>-9.92</v>
      </c>
      <c r="Z1402" s="2">
        <v>-6.54</v>
      </c>
    </row>
    <row r="1403" spans="1:26" x14ac:dyDescent="0.25">
      <c r="A1403" s="1" t="s">
        <v>5871</v>
      </c>
      <c r="B1403" s="1" t="s">
        <v>5872</v>
      </c>
      <c r="C1403" s="1" t="s">
        <v>16</v>
      </c>
      <c r="D1403" s="1" t="s">
        <v>354</v>
      </c>
      <c r="E1403" s="1" t="s">
        <v>355</v>
      </c>
      <c r="F1403" s="1" t="s">
        <v>5873</v>
      </c>
      <c r="G1403" s="1" t="s">
        <v>12480</v>
      </c>
      <c r="H1403" s="1" t="s">
        <v>5874</v>
      </c>
      <c r="I1403" s="2">
        <v>142.59</v>
      </c>
      <c r="J1403" s="2">
        <v>5.9</v>
      </c>
      <c r="K1403" s="2">
        <v>6.42</v>
      </c>
      <c r="L1403" s="2">
        <v>6.96</v>
      </c>
      <c r="M1403" s="4">
        <f t="shared" si="126"/>
        <v>22.210280373831775</v>
      </c>
      <c r="N1403" s="4">
        <f t="shared" si="127"/>
        <v>20.487068965517242</v>
      </c>
      <c r="O1403" s="5">
        <f t="shared" si="128"/>
        <v>8.8135593220338926E-2</v>
      </c>
      <c r="P1403" s="5">
        <f t="shared" si="129"/>
        <v>8.4112149532710179E-2</v>
      </c>
      <c r="Q1403" s="4">
        <f t="shared" si="130"/>
        <v>2.5200125808770686</v>
      </c>
      <c r="R1403" s="4">
        <f t="shared" si="131"/>
        <v>2.4356848659003862</v>
      </c>
      <c r="S1403" s="4">
        <v>-0.75</v>
      </c>
      <c r="T1403" s="2">
        <v>0.57999999999999996</v>
      </c>
      <c r="U1403" s="2">
        <v>144.43</v>
      </c>
      <c r="V1403" s="2">
        <v>111.01</v>
      </c>
      <c r="W1403" s="2">
        <v>-0.45</v>
      </c>
      <c r="X1403" s="2">
        <v>5.46</v>
      </c>
      <c r="Y1403" s="2">
        <v>12.75</v>
      </c>
      <c r="Z1403" s="2">
        <v>12.67</v>
      </c>
    </row>
    <row r="1404" spans="1:26" x14ac:dyDescent="0.25">
      <c r="A1404" s="1" t="s">
        <v>5875</v>
      </c>
      <c r="B1404" s="1" t="s">
        <v>5876</v>
      </c>
      <c r="C1404" s="1" t="s">
        <v>31</v>
      </c>
      <c r="D1404" s="1" t="s">
        <v>38</v>
      </c>
      <c r="E1404" s="1" t="s">
        <v>189</v>
      </c>
      <c r="F1404" s="1" t="s">
        <v>5877</v>
      </c>
      <c r="G1404" s="1" t="s">
        <v>12480</v>
      </c>
      <c r="H1404" s="1" t="s">
        <v>5878</v>
      </c>
      <c r="I1404" s="2">
        <v>16.191500000000001</v>
      </c>
      <c r="J1404" s="2">
        <v>2.73</v>
      </c>
      <c r="K1404" s="2"/>
      <c r="L1404" s="2"/>
      <c r="M1404" s="4" t="e">
        <f t="shared" si="126"/>
        <v>#DIV/0!</v>
      </c>
      <c r="N1404" s="4" t="e">
        <f t="shared" si="127"/>
        <v>#DIV/0!</v>
      </c>
      <c r="O1404" s="5">
        <f t="shared" si="128"/>
        <v>-1</v>
      </c>
      <c r="P1404" s="5" t="e">
        <f t="shared" si="129"/>
        <v>#DIV/0!</v>
      </c>
      <c r="Q1404" s="4" t="e">
        <f t="shared" si="130"/>
        <v>#DIV/0!</v>
      </c>
      <c r="R1404" s="4" t="e">
        <f t="shared" si="131"/>
        <v>#DIV/0!</v>
      </c>
      <c r="S1404" s="4">
        <v>0.47</v>
      </c>
      <c r="T1404" s="2">
        <v>0.14000000000000001</v>
      </c>
      <c r="U1404" s="2">
        <v>16.93</v>
      </c>
      <c r="V1404" s="2">
        <v>12.4</v>
      </c>
      <c r="W1404" s="2">
        <v>0.01</v>
      </c>
      <c r="X1404" s="2">
        <v>-3.22</v>
      </c>
      <c r="Y1404" s="2">
        <v>4.26</v>
      </c>
      <c r="Z1404" s="2">
        <v>0.47</v>
      </c>
    </row>
    <row r="1405" spans="1:26" x14ac:dyDescent="0.25">
      <c r="A1405" s="1" t="s">
        <v>5879</v>
      </c>
      <c r="B1405" s="1" t="s">
        <v>5880</v>
      </c>
      <c r="C1405" s="1" t="s">
        <v>45</v>
      </c>
      <c r="D1405" s="1" t="s">
        <v>32</v>
      </c>
      <c r="E1405" s="1" t="s">
        <v>1159</v>
      </c>
      <c r="F1405" s="1" t="s">
        <v>5881</v>
      </c>
      <c r="G1405" s="1" t="s">
        <v>12480</v>
      </c>
      <c r="H1405" s="1" t="s">
        <v>5882</v>
      </c>
      <c r="I1405" s="2">
        <v>363.77</v>
      </c>
      <c r="J1405" s="2">
        <v>15.31</v>
      </c>
      <c r="K1405" s="2">
        <v>9.08</v>
      </c>
      <c r="L1405" s="2">
        <v>9.17</v>
      </c>
      <c r="M1405" s="4">
        <f t="shared" si="126"/>
        <v>40.062775330396477</v>
      </c>
      <c r="N1405" s="4">
        <f t="shared" si="127"/>
        <v>39.669574700109052</v>
      </c>
      <c r="O1405" s="5">
        <f t="shared" si="128"/>
        <v>-0.40692357935989554</v>
      </c>
      <c r="P1405" s="5">
        <f t="shared" si="129"/>
        <v>9.9118942731277748E-3</v>
      </c>
      <c r="Q1405" s="4">
        <f t="shared" si="130"/>
        <v>-0.9845282348448956</v>
      </c>
      <c r="R1405" s="4">
        <f t="shared" si="131"/>
        <v>40.022193141887712</v>
      </c>
      <c r="S1405" s="4">
        <v>-3.97</v>
      </c>
      <c r="T1405" s="2">
        <v>1.57</v>
      </c>
      <c r="U1405" s="2">
        <v>396.54</v>
      </c>
      <c r="V1405" s="2">
        <v>183.37</v>
      </c>
      <c r="W1405" s="2">
        <v>-3.98</v>
      </c>
      <c r="X1405" s="2">
        <v>-3.41</v>
      </c>
      <c r="Y1405" s="2">
        <v>3.67</v>
      </c>
      <c r="Z1405" s="2">
        <v>14.26</v>
      </c>
    </row>
    <row r="1406" spans="1:26" x14ac:dyDescent="0.25">
      <c r="A1406" s="1" t="s">
        <v>5883</v>
      </c>
      <c r="B1406" s="1" t="s">
        <v>5884</v>
      </c>
      <c r="C1406" s="1" t="s">
        <v>31</v>
      </c>
      <c r="D1406" s="1" t="s">
        <v>67</v>
      </c>
      <c r="E1406" s="1" t="s">
        <v>381</v>
      </c>
      <c r="F1406" s="1" t="s">
        <v>5885</v>
      </c>
      <c r="G1406" s="1" t="s">
        <v>12493</v>
      </c>
      <c r="H1406" s="1" t="s">
        <v>5886</v>
      </c>
      <c r="I1406" s="2">
        <v>14.79</v>
      </c>
      <c r="J1406" s="2">
        <v>0.51</v>
      </c>
      <c r="K1406" s="2">
        <v>1.1299999999999999</v>
      </c>
      <c r="L1406" s="2">
        <v>1.49</v>
      </c>
      <c r="M1406" s="4">
        <f t="shared" si="126"/>
        <v>13.08849557522124</v>
      </c>
      <c r="N1406" s="4">
        <f t="shared" si="127"/>
        <v>9.9261744966442951</v>
      </c>
      <c r="O1406" s="5">
        <f t="shared" si="128"/>
        <v>1.2156862745098036</v>
      </c>
      <c r="P1406" s="5">
        <f t="shared" si="129"/>
        <v>0.31858407079646023</v>
      </c>
      <c r="Q1406" s="4">
        <f t="shared" si="130"/>
        <v>0.10766343134456184</v>
      </c>
      <c r="R1406" s="4">
        <f t="shared" si="131"/>
        <v>0.31157158836689036</v>
      </c>
      <c r="S1406" s="4">
        <v>7.47</v>
      </c>
      <c r="T1406" s="2">
        <v>0.93</v>
      </c>
      <c r="U1406" s="2">
        <v>17.14</v>
      </c>
      <c r="V1406" s="2">
        <v>11.66</v>
      </c>
      <c r="W1406" s="2">
        <v>-6.39</v>
      </c>
      <c r="X1406" s="2">
        <v>-13.71</v>
      </c>
      <c r="Y1406" s="2">
        <v>-7.91</v>
      </c>
      <c r="Z1406" s="2">
        <v>-10.36</v>
      </c>
    </row>
    <row r="1407" spans="1:26" x14ac:dyDescent="0.25">
      <c r="A1407" s="1" t="s">
        <v>5887</v>
      </c>
      <c r="B1407" s="1" t="s">
        <v>5887</v>
      </c>
      <c r="C1407" s="1" t="s">
        <v>16</v>
      </c>
      <c r="D1407" s="1" t="s">
        <v>354</v>
      </c>
      <c r="E1407" s="1" t="s">
        <v>1537</v>
      </c>
      <c r="F1407" s="1" t="s">
        <v>5888</v>
      </c>
      <c r="G1407" s="1" t="s">
        <v>12496</v>
      </c>
      <c r="H1407" s="1" t="s">
        <v>12700</v>
      </c>
      <c r="I1407" s="2">
        <v>50.74</v>
      </c>
      <c r="J1407" s="2">
        <v>3.19</v>
      </c>
      <c r="K1407" s="2"/>
      <c r="L1407" s="2"/>
      <c r="M1407" s="4" t="e">
        <f t="shared" si="126"/>
        <v>#DIV/0!</v>
      </c>
      <c r="N1407" s="4" t="e">
        <f t="shared" si="127"/>
        <v>#DIV/0!</v>
      </c>
      <c r="O1407" s="5">
        <f t="shared" si="128"/>
        <v>-1</v>
      </c>
      <c r="P1407" s="5" t="e">
        <f t="shared" si="129"/>
        <v>#DIV/0!</v>
      </c>
      <c r="Q1407" s="4" t="e">
        <f t="shared" si="130"/>
        <v>#DIV/0!</v>
      </c>
      <c r="R1407" s="4" t="e">
        <f t="shared" si="131"/>
        <v>#DIV/0!</v>
      </c>
      <c r="S1407" s="4">
        <v>2.13</v>
      </c>
      <c r="T1407" s="2">
        <v>0.76</v>
      </c>
      <c r="U1407" s="2">
        <v>69.88</v>
      </c>
      <c r="V1407" s="2">
        <v>46.19</v>
      </c>
      <c r="W1407" s="2">
        <v>-1.59</v>
      </c>
      <c r="X1407" s="2">
        <v>5.25</v>
      </c>
      <c r="Y1407" s="2">
        <v>-0.7</v>
      </c>
      <c r="Z1407" s="2">
        <v>-0.92</v>
      </c>
    </row>
    <row r="1408" spans="1:26" x14ac:dyDescent="0.25">
      <c r="A1408" s="1" t="s">
        <v>5889</v>
      </c>
      <c r="B1408" s="1" t="s">
        <v>5890</v>
      </c>
      <c r="C1408" s="1" t="s">
        <v>1118</v>
      </c>
      <c r="D1408" s="1" t="s">
        <v>38</v>
      </c>
      <c r="E1408" s="1" t="s">
        <v>259</v>
      </c>
      <c r="F1408" s="1" t="s">
        <v>5891</v>
      </c>
      <c r="G1408" s="1" t="s">
        <v>12480</v>
      </c>
      <c r="H1408" s="1" t="s">
        <v>5892</v>
      </c>
      <c r="I1408" s="2">
        <v>42.04</v>
      </c>
      <c r="J1408" s="2"/>
      <c r="K1408" s="2"/>
      <c r="L1408" s="2"/>
      <c r="M1408" s="4" t="e">
        <f t="shared" si="126"/>
        <v>#DIV/0!</v>
      </c>
      <c r="N1408" s="4" t="e">
        <f t="shared" si="127"/>
        <v>#DIV/0!</v>
      </c>
      <c r="O1408" s="5" t="e">
        <f t="shared" si="128"/>
        <v>#DIV/0!</v>
      </c>
      <c r="P1408" s="5" t="e">
        <f t="shared" si="129"/>
        <v>#DIV/0!</v>
      </c>
      <c r="Q1408" s="4" t="e">
        <f t="shared" si="130"/>
        <v>#DIV/0!</v>
      </c>
      <c r="R1408" s="4" t="e">
        <f t="shared" si="131"/>
        <v>#DIV/0!</v>
      </c>
      <c r="S1408" s="4"/>
      <c r="T1408" s="2">
        <v>0.64</v>
      </c>
      <c r="U1408" s="2">
        <v>44.8</v>
      </c>
      <c r="V1408" s="2">
        <v>27.79</v>
      </c>
      <c r="W1408" s="2">
        <v>-4.8</v>
      </c>
      <c r="X1408" s="2">
        <v>-2.87</v>
      </c>
      <c r="Y1408" s="2">
        <v>8.1</v>
      </c>
      <c r="Z1408" s="2">
        <v>6.57</v>
      </c>
    </row>
    <row r="1409" spans="1:26" x14ac:dyDescent="0.25">
      <c r="A1409" s="1" t="s">
        <v>5894</v>
      </c>
      <c r="B1409" s="1" t="s">
        <v>5895</v>
      </c>
      <c r="C1409" s="1" t="s">
        <v>45</v>
      </c>
      <c r="D1409" s="1" t="s">
        <v>18</v>
      </c>
      <c r="E1409" s="1" t="s">
        <v>594</v>
      </c>
      <c r="F1409" s="1" t="s">
        <v>5896</v>
      </c>
      <c r="G1409" s="1" t="s">
        <v>12480</v>
      </c>
      <c r="H1409" s="1" t="s">
        <v>5897</v>
      </c>
      <c r="I1409" s="2">
        <v>610.45000000000005</v>
      </c>
      <c r="J1409" s="2">
        <v>13.08</v>
      </c>
      <c r="K1409" s="2">
        <v>14.55</v>
      </c>
      <c r="L1409" s="2">
        <v>16.36</v>
      </c>
      <c r="M1409" s="4">
        <f t="shared" si="126"/>
        <v>41.955326460481103</v>
      </c>
      <c r="N1409" s="4">
        <f t="shared" si="127"/>
        <v>37.313569682151595</v>
      </c>
      <c r="O1409" s="5">
        <f t="shared" si="128"/>
        <v>0.11238532110091759</v>
      </c>
      <c r="P1409" s="5">
        <f t="shared" si="129"/>
        <v>0.12439862542955327</v>
      </c>
      <c r="Q1409" s="4">
        <f t="shared" si="130"/>
        <v>3.7331678238305583</v>
      </c>
      <c r="R1409" s="4">
        <f t="shared" si="131"/>
        <v>2.999516236880142</v>
      </c>
      <c r="S1409" s="4">
        <v>10.42</v>
      </c>
      <c r="T1409" s="2">
        <v>1.66</v>
      </c>
      <c r="U1409" s="2">
        <v>766.68</v>
      </c>
      <c r="V1409" s="2">
        <v>361.04</v>
      </c>
      <c r="W1409" s="2">
        <v>-4.12</v>
      </c>
      <c r="X1409" s="2">
        <v>-4.59</v>
      </c>
      <c r="Y1409" s="2">
        <v>-12.86</v>
      </c>
      <c r="Z1409" s="2">
        <v>-9.77</v>
      </c>
    </row>
    <row r="1410" spans="1:26" x14ac:dyDescent="0.25">
      <c r="A1410" s="1" t="s">
        <v>5898</v>
      </c>
      <c r="B1410" s="1" t="s">
        <v>5899</v>
      </c>
      <c r="C1410" s="1" t="s">
        <v>45</v>
      </c>
      <c r="D1410" s="1" t="s">
        <v>18</v>
      </c>
      <c r="E1410" s="1" t="s">
        <v>74</v>
      </c>
      <c r="F1410" s="1" t="s">
        <v>5900</v>
      </c>
      <c r="G1410" s="1" t="s">
        <v>12480</v>
      </c>
      <c r="H1410" s="1" t="s">
        <v>5160</v>
      </c>
      <c r="I1410" s="2">
        <v>35.08</v>
      </c>
      <c r="J1410" s="2">
        <v>-1.28</v>
      </c>
      <c r="K1410" s="2">
        <v>-3.9</v>
      </c>
      <c r="L1410" s="2">
        <v>-3.39</v>
      </c>
      <c r="M1410" s="4">
        <f t="shared" si="126"/>
        <v>-8.9948717948717949</v>
      </c>
      <c r="N1410" s="4">
        <f t="shared" si="127"/>
        <v>-10.348082595870206</v>
      </c>
      <c r="O1410" s="5">
        <f t="shared" si="128"/>
        <v>2.046875</v>
      </c>
      <c r="P1410" s="5">
        <f t="shared" si="129"/>
        <v>-0.13076923076923075</v>
      </c>
      <c r="Q1410" s="4">
        <f t="shared" si="130"/>
        <v>-4.3944411822274418E-2</v>
      </c>
      <c r="R1410" s="4">
        <f t="shared" si="131"/>
        <v>0.7913239632136041</v>
      </c>
      <c r="S1410" s="4">
        <v>3024.43</v>
      </c>
      <c r="T1410" s="2">
        <v>0.09</v>
      </c>
      <c r="U1410" s="2">
        <v>37.86</v>
      </c>
      <c r="V1410" s="2">
        <v>14.5</v>
      </c>
      <c r="W1410" s="2">
        <v>6.17</v>
      </c>
      <c r="X1410" s="2">
        <v>8.31</v>
      </c>
      <c r="Y1410" s="2">
        <v>5.12</v>
      </c>
      <c r="Z1410" s="2">
        <v>1.48</v>
      </c>
    </row>
    <row r="1411" spans="1:26" x14ac:dyDescent="0.25">
      <c r="A1411" s="1" t="s">
        <v>5901</v>
      </c>
      <c r="B1411" s="1" t="s">
        <v>5902</v>
      </c>
      <c r="C1411" s="1" t="s">
        <v>1118</v>
      </c>
      <c r="D1411" s="1" t="s">
        <v>88</v>
      </c>
      <c r="E1411" s="1" t="s">
        <v>658</v>
      </c>
      <c r="F1411" s="1" t="s">
        <v>5903</v>
      </c>
      <c r="G1411" s="1" t="s">
        <v>12480</v>
      </c>
      <c r="H1411" s="1" t="s">
        <v>5904</v>
      </c>
      <c r="I1411" s="2">
        <v>13.28</v>
      </c>
      <c r="J1411" s="2">
        <v>-0.77</v>
      </c>
      <c r="K1411" s="2">
        <v>-0.54</v>
      </c>
      <c r="L1411" s="2">
        <v>-0.56999999999999995</v>
      </c>
      <c r="M1411" s="4">
        <f t="shared" ref="M1411:M1474" si="132">I1411/K1411</f>
        <v>-24.592592592592588</v>
      </c>
      <c r="N1411" s="4">
        <f t="shared" ref="N1411:N1474" si="133">I1411/L1411</f>
        <v>-23.298245614035089</v>
      </c>
      <c r="O1411" s="5">
        <f t="shared" ref="O1411:O1474" si="134">K1411/J1411-1</f>
        <v>-0.29870129870129869</v>
      </c>
      <c r="P1411" s="5">
        <f t="shared" ref="P1411:P1474" si="135">L1411/K1411-1</f>
        <v>5.5555555555555358E-2</v>
      </c>
      <c r="Q1411" s="4">
        <f t="shared" ref="Q1411:Q1474" si="136">M1411/(O1411*100)</f>
        <v>0.82331723027375192</v>
      </c>
      <c r="R1411" s="4">
        <f t="shared" ref="R1411:R1474" si="137">N1411/(P1411*100)</f>
        <v>-4.1936842105263308</v>
      </c>
      <c r="S1411" s="4">
        <v>11.82</v>
      </c>
      <c r="T1411" s="2">
        <v>0.98</v>
      </c>
      <c r="U1411" s="2">
        <v>19.920000000000002</v>
      </c>
      <c r="V1411" s="2">
        <v>4.74</v>
      </c>
      <c r="W1411" s="2">
        <v>-21.19</v>
      </c>
      <c r="X1411" s="2">
        <v>-26.14</v>
      </c>
      <c r="Y1411" s="2">
        <v>-11.76</v>
      </c>
      <c r="Z1411" s="2">
        <v>-16.899999999999999</v>
      </c>
    </row>
    <row r="1412" spans="1:26" x14ac:dyDescent="0.25">
      <c r="A1412" s="1" t="s">
        <v>5905</v>
      </c>
      <c r="B1412" s="1" t="s">
        <v>5906</v>
      </c>
      <c r="C1412" s="1" t="s">
        <v>45</v>
      </c>
      <c r="D1412" s="1" t="s">
        <v>38</v>
      </c>
      <c r="E1412" s="1" t="s">
        <v>259</v>
      </c>
      <c r="F1412" s="1" t="s">
        <v>5907</v>
      </c>
      <c r="G1412" s="1" t="s">
        <v>12480</v>
      </c>
      <c r="H1412" s="1" t="s">
        <v>5908</v>
      </c>
      <c r="I1412" s="2">
        <v>96.75</v>
      </c>
      <c r="J1412" s="2"/>
      <c r="K1412" s="2"/>
      <c r="L1412" s="2"/>
      <c r="M1412" s="4" t="e">
        <f t="shared" si="132"/>
        <v>#DIV/0!</v>
      </c>
      <c r="N1412" s="4" t="e">
        <f t="shared" si="133"/>
        <v>#DIV/0!</v>
      </c>
      <c r="O1412" s="5" t="e">
        <f t="shared" si="134"/>
        <v>#DIV/0!</v>
      </c>
      <c r="P1412" s="5" t="e">
        <f t="shared" si="135"/>
        <v>#DIV/0!</v>
      </c>
      <c r="Q1412" s="4" t="e">
        <f t="shared" si="136"/>
        <v>#DIV/0!</v>
      </c>
      <c r="R1412" s="4" t="e">
        <f t="shared" si="137"/>
        <v>#DIV/0!</v>
      </c>
      <c r="S1412" s="4"/>
      <c r="T1412" s="2">
        <v>0.27</v>
      </c>
      <c r="U1412" s="2">
        <v>97.99</v>
      </c>
      <c r="V1412" s="2">
        <v>93.15</v>
      </c>
      <c r="W1412" s="2">
        <v>-0.38</v>
      </c>
      <c r="X1412" s="2">
        <v>0.69</v>
      </c>
      <c r="Y1412" s="2">
        <v>0.5</v>
      </c>
      <c r="Z1412" s="2">
        <v>0.61</v>
      </c>
    </row>
    <row r="1413" spans="1:26" x14ac:dyDescent="0.25">
      <c r="A1413" s="1" t="s">
        <v>5909</v>
      </c>
      <c r="B1413" s="1" t="s">
        <v>5910</v>
      </c>
      <c r="C1413" s="1" t="s">
        <v>45</v>
      </c>
      <c r="D1413" s="1" t="s">
        <v>94</v>
      </c>
      <c r="E1413" s="1" t="s">
        <v>2021</v>
      </c>
      <c r="F1413" s="1" t="s">
        <v>5911</v>
      </c>
      <c r="G1413" s="1" t="s">
        <v>12480</v>
      </c>
      <c r="H1413" s="1" t="s">
        <v>5912</v>
      </c>
      <c r="I1413" s="2">
        <v>7.6</v>
      </c>
      <c r="J1413" s="2">
        <v>-0.52</v>
      </c>
      <c r="K1413" s="2"/>
      <c r="L1413" s="2"/>
      <c r="M1413" s="4" t="e">
        <f t="shared" si="132"/>
        <v>#DIV/0!</v>
      </c>
      <c r="N1413" s="4" t="e">
        <f t="shared" si="133"/>
        <v>#DIV/0!</v>
      </c>
      <c r="O1413" s="5">
        <f t="shared" si="134"/>
        <v>-1</v>
      </c>
      <c r="P1413" s="5" t="e">
        <f t="shared" si="135"/>
        <v>#DIV/0!</v>
      </c>
      <c r="Q1413" s="4" t="e">
        <f t="shared" si="136"/>
        <v>#DIV/0!</v>
      </c>
      <c r="R1413" s="4" t="e">
        <f t="shared" si="137"/>
        <v>#DIV/0!</v>
      </c>
      <c r="S1413" s="4">
        <v>-3.61</v>
      </c>
      <c r="T1413" s="2">
        <v>0.81</v>
      </c>
      <c r="U1413" s="2" t="s">
        <v>12479</v>
      </c>
      <c r="V1413" s="2">
        <v>7.25</v>
      </c>
      <c r="W1413" s="2">
        <v>-6.29</v>
      </c>
      <c r="X1413" s="2">
        <v>-6.06</v>
      </c>
      <c r="Y1413" s="2">
        <v>-1.94</v>
      </c>
      <c r="Z1413" s="2">
        <v>0.66</v>
      </c>
    </row>
    <row r="1414" spans="1:26" x14ac:dyDescent="0.25">
      <c r="A1414" s="1" t="s">
        <v>5913</v>
      </c>
      <c r="B1414" s="1" t="s">
        <v>5914</v>
      </c>
      <c r="C1414" s="1" t="s">
        <v>45</v>
      </c>
      <c r="D1414" s="1" t="s">
        <v>32</v>
      </c>
      <c r="E1414" s="1" t="s">
        <v>5916</v>
      </c>
      <c r="F1414" s="1" t="s">
        <v>5915</v>
      </c>
      <c r="G1414" s="1" t="s">
        <v>12485</v>
      </c>
      <c r="H1414" s="1" t="s">
        <v>5917</v>
      </c>
      <c r="I1414" s="2">
        <v>450.27</v>
      </c>
      <c r="J1414" s="2">
        <v>13.66</v>
      </c>
      <c r="K1414" s="2"/>
      <c r="L1414" s="2"/>
      <c r="M1414" s="4" t="e">
        <f t="shared" si="132"/>
        <v>#DIV/0!</v>
      </c>
      <c r="N1414" s="4" t="e">
        <f t="shared" si="133"/>
        <v>#DIV/0!</v>
      </c>
      <c r="O1414" s="5">
        <f t="shared" si="134"/>
        <v>-1</v>
      </c>
      <c r="P1414" s="5" t="e">
        <f t="shared" si="135"/>
        <v>#DIV/0!</v>
      </c>
      <c r="Q1414" s="4" t="e">
        <f t="shared" si="136"/>
        <v>#DIV/0!</v>
      </c>
      <c r="R1414" s="4" t="e">
        <f t="shared" si="137"/>
        <v>#DIV/0!</v>
      </c>
      <c r="S1414" s="4">
        <v>16.89</v>
      </c>
      <c r="T1414" s="2">
        <v>1.68</v>
      </c>
      <c r="U1414" s="2">
        <v>519.66999999999996</v>
      </c>
      <c r="V1414" s="2">
        <v>160.58000000000001</v>
      </c>
      <c r="W1414" s="2">
        <v>-10.37</v>
      </c>
      <c r="X1414" s="2">
        <v>-8.02</v>
      </c>
      <c r="Y1414" s="2">
        <v>-0.7</v>
      </c>
      <c r="Z1414" s="2">
        <v>15.74</v>
      </c>
    </row>
    <row r="1415" spans="1:26" x14ac:dyDescent="0.25">
      <c r="A1415" s="1" t="s">
        <v>5918</v>
      </c>
      <c r="B1415" s="1" t="s">
        <v>5919</v>
      </c>
      <c r="C1415" s="1" t="s">
        <v>16</v>
      </c>
      <c r="D1415" s="1" t="s">
        <v>25</v>
      </c>
      <c r="E1415" s="1" t="s">
        <v>220</v>
      </c>
      <c r="F1415" s="1" t="s">
        <v>5920</v>
      </c>
      <c r="G1415" s="1" t="s">
        <v>12480</v>
      </c>
      <c r="H1415" s="1" t="s">
        <v>5921</v>
      </c>
      <c r="I1415" s="2">
        <v>197.6</v>
      </c>
      <c r="J1415" s="2">
        <v>7.95</v>
      </c>
      <c r="K1415" s="2">
        <v>8.27</v>
      </c>
      <c r="L1415" s="2">
        <v>9.09</v>
      </c>
      <c r="M1415" s="4">
        <f t="shared" si="132"/>
        <v>23.893591293833133</v>
      </c>
      <c r="N1415" s="4">
        <f t="shared" si="133"/>
        <v>21.738173817381739</v>
      </c>
      <c r="O1415" s="5">
        <f t="shared" si="134"/>
        <v>4.0251572327044016E-2</v>
      </c>
      <c r="P1415" s="5">
        <f t="shared" si="135"/>
        <v>9.9153567110036311E-2</v>
      </c>
      <c r="Q1415" s="4">
        <f t="shared" si="136"/>
        <v>5.9360640870616699</v>
      </c>
      <c r="R1415" s="4">
        <f t="shared" si="137"/>
        <v>2.1923743593871574</v>
      </c>
      <c r="S1415" s="4">
        <v>5.77</v>
      </c>
      <c r="T1415" s="2">
        <v>0.98</v>
      </c>
      <c r="U1415" s="2">
        <v>214.58</v>
      </c>
      <c r="V1415" s="2">
        <v>157.53</v>
      </c>
      <c r="W1415" s="2">
        <v>-6.59</v>
      </c>
      <c r="X1415" s="2">
        <v>-6.24</v>
      </c>
      <c r="Y1415" s="2">
        <v>10.58</v>
      </c>
      <c r="Z1415" s="2">
        <v>11.05</v>
      </c>
    </row>
    <row r="1416" spans="1:26" x14ac:dyDescent="0.25">
      <c r="A1416" s="1" t="s">
        <v>5922</v>
      </c>
      <c r="B1416" s="1" t="s">
        <v>5923</v>
      </c>
      <c r="C1416" s="1" t="s">
        <v>31</v>
      </c>
      <c r="D1416" s="1" t="s">
        <v>38</v>
      </c>
      <c r="E1416" s="1" t="s">
        <v>194</v>
      </c>
      <c r="F1416" s="1" t="s">
        <v>5924</v>
      </c>
      <c r="G1416" s="1" t="s">
        <v>12480</v>
      </c>
      <c r="H1416" s="1" t="s">
        <v>5925</v>
      </c>
      <c r="I1416" s="2">
        <v>184.44</v>
      </c>
      <c r="J1416" s="2">
        <v>13.75</v>
      </c>
      <c r="K1416" s="2"/>
      <c r="L1416" s="2"/>
      <c r="M1416" s="4" t="e">
        <f t="shared" si="132"/>
        <v>#DIV/0!</v>
      </c>
      <c r="N1416" s="4" t="e">
        <f t="shared" si="133"/>
        <v>#DIV/0!</v>
      </c>
      <c r="O1416" s="5">
        <f t="shared" si="134"/>
        <v>-1</v>
      </c>
      <c r="P1416" s="5" t="e">
        <f t="shared" si="135"/>
        <v>#DIV/0!</v>
      </c>
      <c r="Q1416" s="4" t="e">
        <f t="shared" si="136"/>
        <v>#DIV/0!</v>
      </c>
      <c r="R1416" s="4" t="e">
        <f t="shared" si="137"/>
        <v>#DIV/0!</v>
      </c>
      <c r="S1416" s="4"/>
      <c r="T1416" s="2"/>
      <c r="U1416" s="2">
        <v>209.18</v>
      </c>
      <c r="V1416" s="2">
        <v>182.32</v>
      </c>
      <c r="W1416" s="2">
        <v>-3.62</v>
      </c>
      <c r="X1416" s="2">
        <v>-4.8899999999999997</v>
      </c>
      <c r="Y1416" s="2">
        <v>-9.6</v>
      </c>
      <c r="Z1416" s="2">
        <v>-11.27</v>
      </c>
    </row>
    <row r="1417" spans="1:26" x14ac:dyDescent="0.25">
      <c r="A1417" s="1" t="s">
        <v>5926</v>
      </c>
      <c r="B1417" s="1" t="s">
        <v>5927</v>
      </c>
      <c r="C1417" s="1" t="s">
        <v>16</v>
      </c>
      <c r="D1417" s="1" t="s">
        <v>88</v>
      </c>
      <c r="E1417" s="1" t="s">
        <v>1113</v>
      </c>
      <c r="F1417" s="1" t="s">
        <v>5928</v>
      </c>
      <c r="G1417" s="1" t="s">
        <v>12480</v>
      </c>
      <c r="H1417" s="1" t="s">
        <v>5929</v>
      </c>
      <c r="I1417" s="2">
        <v>73.16</v>
      </c>
      <c r="J1417" s="2">
        <v>4.2</v>
      </c>
      <c r="K1417" s="2">
        <v>4.43</v>
      </c>
      <c r="L1417" s="2">
        <v>4.84</v>
      </c>
      <c r="M1417" s="4">
        <f t="shared" si="132"/>
        <v>16.514672686230249</v>
      </c>
      <c r="N1417" s="4">
        <f t="shared" si="133"/>
        <v>15.115702479338843</v>
      </c>
      <c r="O1417" s="5">
        <f t="shared" si="134"/>
        <v>5.4761904761904567E-2</v>
      </c>
      <c r="P1417" s="5">
        <f t="shared" si="135"/>
        <v>9.2550790067720046E-2</v>
      </c>
      <c r="Q1417" s="4">
        <f t="shared" si="136"/>
        <v>3.0157228383550998</v>
      </c>
      <c r="R1417" s="4">
        <f t="shared" si="137"/>
        <v>1.6332332191090515</v>
      </c>
      <c r="S1417" s="4">
        <v>-5.17</v>
      </c>
      <c r="T1417" s="2">
        <v>0.99</v>
      </c>
      <c r="U1417" s="2" t="s">
        <v>12556</v>
      </c>
      <c r="V1417" s="2">
        <v>59.55</v>
      </c>
      <c r="W1417" s="2">
        <v>-9.4</v>
      </c>
      <c r="X1417" s="2">
        <v>-2.69</v>
      </c>
      <c r="Y1417" s="2">
        <v>14.01</v>
      </c>
      <c r="Z1417" s="2">
        <v>8.56</v>
      </c>
    </row>
    <row r="1418" spans="1:26" x14ac:dyDescent="0.25">
      <c r="A1418" s="1" t="s">
        <v>5930</v>
      </c>
      <c r="B1418" s="1" t="s">
        <v>5931</v>
      </c>
      <c r="C1418" s="1" t="s">
        <v>31</v>
      </c>
      <c r="D1418" s="1" t="s">
        <v>32</v>
      </c>
      <c r="E1418" s="1" t="s">
        <v>57</v>
      </c>
      <c r="F1418" s="1" t="s">
        <v>5932</v>
      </c>
      <c r="G1418" s="1" t="s">
        <v>12485</v>
      </c>
      <c r="H1418" s="1" t="s">
        <v>5933</v>
      </c>
      <c r="I1418" s="2">
        <v>46.8</v>
      </c>
      <c r="J1418" s="2">
        <v>1.54</v>
      </c>
      <c r="K1418" s="2">
        <v>1.86</v>
      </c>
      <c r="L1418" s="2">
        <v>2.58</v>
      </c>
      <c r="M1418" s="4">
        <f t="shared" si="132"/>
        <v>25.161290322580641</v>
      </c>
      <c r="N1418" s="4">
        <f t="shared" si="133"/>
        <v>18.139534883720927</v>
      </c>
      <c r="O1418" s="5">
        <f t="shared" si="134"/>
        <v>0.20779220779220786</v>
      </c>
      <c r="P1418" s="5">
        <f t="shared" si="135"/>
        <v>0.38709677419354827</v>
      </c>
      <c r="Q1418" s="4">
        <f t="shared" si="136"/>
        <v>1.2108870967741929</v>
      </c>
      <c r="R1418" s="4">
        <f t="shared" si="137"/>
        <v>0.46860465116279076</v>
      </c>
      <c r="S1418" s="4">
        <v>-0.05</v>
      </c>
      <c r="T1418" s="2">
        <v>1.77</v>
      </c>
      <c r="U1418" s="2">
        <v>55.67</v>
      </c>
      <c r="V1418" s="2">
        <v>26.41</v>
      </c>
      <c r="W1418" s="2">
        <v>-10.35</v>
      </c>
      <c r="X1418" s="2">
        <v>-6.21</v>
      </c>
      <c r="Y1418" s="2">
        <v>11.51</v>
      </c>
      <c r="Z1418" s="2">
        <v>6.41</v>
      </c>
    </row>
    <row r="1419" spans="1:26" x14ac:dyDescent="0.25">
      <c r="A1419" s="1" t="s">
        <v>5934</v>
      </c>
      <c r="B1419" s="1" t="s">
        <v>5935</v>
      </c>
      <c r="C1419" s="1" t="s">
        <v>16</v>
      </c>
      <c r="D1419" s="1" t="s">
        <v>38</v>
      </c>
      <c r="E1419" s="1" t="s">
        <v>52</v>
      </c>
      <c r="F1419" s="1" t="s">
        <v>5936</v>
      </c>
      <c r="G1419" s="1" t="s">
        <v>12480</v>
      </c>
      <c r="H1419" s="1" t="s">
        <v>5937</v>
      </c>
      <c r="I1419" s="2">
        <v>44.8</v>
      </c>
      <c r="J1419" s="2">
        <v>4.8499999999999996</v>
      </c>
      <c r="K1419" s="2">
        <v>5.45</v>
      </c>
      <c r="L1419" s="2">
        <v>6.09</v>
      </c>
      <c r="M1419" s="4">
        <f t="shared" si="132"/>
        <v>8.2201834862385308</v>
      </c>
      <c r="N1419" s="4">
        <f t="shared" si="133"/>
        <v>7.3563218390804597</v>
      </c>
      <c r="O1419" s="5">
        <f t="shared" si="134"/>
        <v>0.12371134020618579</v>
      </c>
      <c r="P1419" s="5">
        <f t="shared" si="135"/>
        <v>0.11743119266055047</v>
      </c>
      <c r="Q1419" s="4">
        <f t="shared" si="136"/>
        <v>0.66446483180427995</v>
      </c>
      <c r="R1419" s="4">
        <f t="shared" si="137"/>
        <v>0.62643678160919536</v>
      </c>
      <c r="S1419" s="4">
        <v>-0.89</v>
      </c>
      <c r="T1419" s="2">
        <v>0.83</v>
      </c>
      <c r="U1419" s="2">
        <v>51.5</v>
      </c>
      <c r="V1419" s="2">
        <v>29.66</v>
      </c>
      <c r="W1419" s="2">
        <v>-6.92</v>
      </c>
      <c r="X1419" s="2">
        <v>-12.81</v>
      </c>
      <c r="Y1419" s="2">
        <v>7.8</v>
      </c>
      <c r="Z1419" s="2">
        <v>5.76</v>
      </c>
    </row>
    <row r="1420" spans="1:26" x14ac:dyDescent="0.25">
      <c r="A1420" s="1" t="s">
        <v>5938</v>
      </c>
      <c r="B1420" s="1" t="s">
        <v>5939</v>
      </c>
      <c r="C1420" s="1" t="s">
        <v>45</v>
      </c>
      <c r="D1420" s="1" t="s">
        <v>38</v>
      </c>
      <c r="E1420" s="1" t="s">
        <v>259</v>
      </c>
      <c r="F1420" s="1" t="s">
        <v>5940</v>
      </c>
      <c r="G1420" s="1" t="s">
        <v>12480</v>
      </c>
      <c r="H1420" s="1" t="s">
        <v>5941</v>
      </c>
      <c r="I1420" s="2">
        <v>53.96</v>
      </c>
      <c r="J1420" s="2"/>
      <c r="K1420" s="2"/>
      <c r="L1420" s="2"/>
      <c r="M1420" s="4" t="e">
        <f t="shared" si="132"/>
        <v>#DIV/0!</v>
      </c>
      <c r="N1420" s="4" t="e">
        <f t="shared" si="133"/>
        <v>#DIV/0!</v>
      </c>
      <c r="O1420" s="5" t="e">
        <f t="shared" si="134"/>
        <v>#DIV/0!</v>
      </c>
      <c r="P1420" s="5" t="e">
        <f t="shared" si="135"/>
        <v>#DIV/0!</v>
      </c>
      <c r="Q1420" s="4" t="e">
        <f t="shared" si="136"/>
        <v>#DIV/0!</v>
      </c>
      <c r="R1420" s="4" t="e">
        <f t="shared" si="137"/>
        <v>#DIV/0!</v>
      </c>
      <c r="S1420" s="4"/>
      <c r="T1420" s="2">
        <v>0.34</v>
      </c>
      <c r="U1420" s="2">
        <v>54.54</v>
      </c>
      <c r="V1420" s="2">
        <v>51.1</v>
      </c>
      <c r="W1420" s="2">
        <v>-0.28000000000000003</v>
      </c>
      <c r="X1420" s="2" t="s">
        <v>12489</v>
      </c>
      <c r="Y1420" s="2">
        <v>0.11</v>
      </c>
      <c r="Z1420" s="2">
        <v>0.15</v>
      </c>
    </row>
    <row r="1421" spans="1:26" x14ac:dyDescent="0.25">
      <c r="A1421" s="1" t="s">
        <v>5942</v>
      </c>
      <c r="B1421" s="1" t="s">
        <v>5943</v>
      </c>
      <c r="C1421" s="1" t="s">
        <v>45</v>
      </c>
      <c r="D1421" s="1" t="s">
        <v>38</v>
      </c>
      <c r="E1421" s="1" t="s">
        <v>254</v>
      </c>
      <c r="F1421" s="1" t="s">
        <v>5944</v>
      </c>
      <c r="G1421" s="1" t="s">
        <v>12480</v>
      </c>
      <c r="H1421" s="1" t="s">
        <v>3155</v>
      </c>
      <c r="I1421" s="2">
        <v>24.12</v>
      </c>
      <c r="J1421" s="2">
        <v>2.61</v>
      </c>
      <c r="K1421" s="2">
        <v>3.02</v>
      </c>
      <c r="L1421" s="2">
        <v>3.2</v>
      </c>
      <c r="M1421" s="4">
        <f t="shared" si="132"/>
        <v>7.9867549668874176</v>
      </c>
      <c r="N1421" s="4">
        <f t="shared" si="133"/>
        <v>7.5374999999999996</v>
      </c>
      <c r="O1421" s="5">
        <f t="shared" si="134"/>
        <v>0.15708812260536398</v>
      </c>
      <c r="P1421" s="5">
        <f t="shared" si="135"/>
        <v>5.9602649006622599E-2</v>
      </c>
      <c r="Q1421" s="4">
        <f t="shared" si="136"/>
        <v>0.50842513325795513</v>
      </c>
      <c r="R1421" s="4">
        <f t="shared" si="137"/>
        <v>1.2646249999999981</v>
      </c>
      <c r="S1421" s="4">
        <v>-4.0999999999999996</v>
      </c>
      <c r="T1421" s="2">
        <v>0.15</v>
      </c>
      <c r="U1421" s="2">
        <v>27.01</v>
      </c>
      <c r="V1421" s="2">
        <v>21.28</v>
      </c>
      <c r="W1421" s="2">
        <v>-4.7</v>
      </c>
      <c r="X1421" s="2">
        <v>-2.66</v>
      </c>
      <c r="Y1421" s="2">
        <v>-3.13</v>
      </c>
      <c r="Z1421" s="2">
        <v>-3.87</v>
      </c>
    </row>
    <row r="1422" spans="1:26" x14ac:dyDescent="0.25">
      <c r="A1422" s="1" t="s">
        <v>5945</v>
      </c>
      <c r="B1422" s="1" t="s">
        <v>5946</v>
      </c>
      <c r="C1422" s="1" t="s">
        <v>45</v>
      </c>
      <c r="D1422" s="1" t="s">
        <v>38</v>
      </c>
      <c r="E1422" s="1" t="s">
        <v>259</v>
      </c>
      <c r="F1422" s="1" t="s">
        <v>5947</v>
      </c>
      <c r="G1422" s="1" t="s">
        <v>12480</v>
      </c>
      <c r="H1422" s="1" t="s">
        <v>5948</v>
      </c>
      <c r="I1422" s="2">
        <v>52.85</v>
      </c>
      <c r="J1422" s="2"/>
      <c r="K1422" s="2"/>
      <c r="L1422" s="2"/>
      <c r="M1422" s="4" t="e">
        <f t="shared" si="132"/>
        <v>#DIV/0!</v>
      </c>
      <c r="N1422" s="4" t="e">
        <f t="shared" si="133"/>
        <v>#DIV/0!</v>
      </c>
      <c r="O1422" s="5" t="e">
        <f t="shared" si="134"/>
        <v>#DIV/0!</v>
      </c>
      <c r="P1422" s="5" t="e">
        <f t="shared" si="135"/>
        <v>#DIV/0!</v>
      </c>
      <c r="Q1422" s="4" t="e">
        <f t="shared" si="136"/>
        <v>#DIV/0!</v>
      </c>
      <c r="R1422" s="4" t="e">
        <f t="shared" si="137"/>
        <v>#DIV/0!</v>
      </c>
      <c r="S1422" s="4"/>
      <c r="T1422" s="2">
        <v>0.13</v>
      </c>
      <c r="U1422" s="2">
        <v>53.23</v>
      </c>
      <c r="V1422" s="2">
        <v>51.68</v>
      </c>
      <c r="W1422" s="2">
        <v>-0.13</v>
      </c>
      <c r="X1422" s="2">
        <v>-0.26</v>
      </c>
      <c r="Y1422" s="2">
        <v>-0.13</v>
      </c>
      <c r="Z1422" s="2">
        <v>-0.06</v>
      </c>
    </row>
    <row r="1423" spans="1:26" x14ac:dyDescent="0.25">
      <c r="A1423" s="1" t="s">
        <v>5949</v>
      </c>
      <c r="B1423" s="1" t="s">
        <v>5950</v>
      </c>
      <c r="C1423" s="1" t="s">
        <v>16</v>
      </c>
      <c r="D1423" s="1" t="s">
        <v>147</v>
      </c>
      <c r="E1423" s="1" t="s">
        <v>180</v>
      </c>
      <c r="F1423" s="1" t="s">
        <v>5951</v>
      </c>
      <c r="G1423" s="1" t="s">
        <v>12480</v>
      </c>
      <c r="H1423" s="1" t="s">
        <v>5952</v>
      </c>
      <c r="I1423" s="2">
        <v>132.6</v>
      </c>
      <c r="J1423" s="2">
        <v>5.01</v>
      </c>
      <c r="K1423" s="2">
        <v>5.89</v>
      </c>
      <c r="L1423" s="2">
        <v>6.76</v>
      </c>
      <c r="M1423" s="4">
        <f t="shared" si="132"/>
        <v>22.512733446519526</v>
      </c>
      <c r="N1423" s="4">
        <f t="shared" si="133"/>
        <v>19.615384615384617</v>
      </c>
      <c r="O1423" s="5">
        <f t="shared" si="134"/>
        <v>0.17564870259481036</v>
      </c>
      <c r="P1423" s="5">
        <f t="shared" si="135"/>
        <v>0.14770797962648552</v>
      </c>
      <c r="Q1423" s="4">
        <f t="shared" si="136"/>
        <v>1.2816908473529867</v>
      </c>
      <c r="R1423" s="4">
        <f t="shared" si="137"/>
        <v>1.3279840848806372</v>
      </c>
      <c r="S1423" s="4">
        <v>5.4</v>
      </c>
      <c r="T1423" s="2">
        <v>1.1299999999999999</v>
      </c>
      <c r="U1423" s="2">
        <v>148.22999999999999</v>
      </c>
      <c r="V1423" s="2">
        <v>96.02</v>
      </c>
      <c r="W1423" s="2">
        <v>-0.88</v>
      </c>
      <c r="X1423" s="2">
        <v>-7.48</v>
      </c>
      <c r="Y1423" s="2">
        <v>-5.6</v>
      </c>
      <c r="Z1423" s="2">
        <v>-5.84</v>
      </c>
    </row>
    <row r="1424" spans="1:26" x14ac:dyDescent="0.25">
      <c r="A1424" s="1" t="s">
        <v>5953</v>
      </c>
      <c r="B1424" s="1" t="s">
        <v>5954</v>
      </c>
      <c r="C1424" s="1" t="s">
        <v>31</v>
      </c>
      <c r="D1424" s="1" t="s">
        <v>25</v>
      </c>
      <c r="E1424" s="1" t="s">
        <v>220</v>
      </c>
      <c r="F1424" s="1" t="s">
        <v>5955</v>
      </c>
      <c r="G1424" s="1" t="s">
        <v>12490</v>
      </c>
      <c r="H1424" s="1" t="s">
        <v>5956</v>
      </c>
      <c r="I1424" s="2">
        <v>24.98</v>
      </c>
      <c r="J1424" s="2">
        <v>0.7</v>
      </c>
      <c r="K1424" s="2">
        <v>0.78</v>
      </c>
      <c r="L1424" s="2">
        <v>0.96</v>
      </c>
      <c r="M1424" s="4">
        <f t="shared" si="132"/>
        <v>32.025641025641022</v>
      </c>
      <c r="N1424" s="4">
        <f t="shared" si="133"/>
        <v>26.020833333333336</v>
      </c>
      <c r="O1424" s="5">
        <f t="shared" si="134"/>
        <v>0.11428571428571432</v>
      </c>
      <c r="P1424" s="5">
        <f t="shared" si="135"/>
        <v>0.23076923076923062</v>
      </c>
      <c r="Q1424" s="4">
        <f t="shared" si="136"/>
        <v>2.8022435897435884</v>
      </c>
      <c r="R1424" s="4">
        <f t="shared" si="137"/>
        <v>1.1275694444444453</v>
      </c>
      <c r="S1424" s="4">
        <v>16.61</v>
      </c>
      <c r="T1424" s="2">
        <v>0.66</v>
      </c>
      <c r="U1424" s="2">
        <v>29.32</v>
      </c>
      <c r="V1424" s="2">
        <v>8.65</v>
      </c>
      <c r="W1424" s="2">
        <v>-10.43</v>
      </c>
      <c r="X1424" s="2">
        <v>-10.66</v>
      </c>
      <c r="Y1424" s="2">
        <v>32.24</v>
      </c>
      <c r="Z1424" s="2">
        <v>42.58</v>
      </c>
    </row>
    <row r="1425" spans="1:26" x14ac:dyDescent="0.25">
      <c r="A1425" s="1" t="s">
        <v>5958</v>
      </c>
      <c r="B1425" s="1" t="s">
        <v>5959</v>
      </c>
      <c r="C1425" s="1" t="s">
        <v>16</v>
      </c>
      <c r="D1425" s="1" t="s">
        <v>32</v>
      </c>
      <c r="E1425" s="1" t="s">
        <v>5961</v>
      </c>
      <c r="F1425" s="1" t="s">
        <v>5960</v>
      </c>
      <c r="G1425" s="1" t="s">
        <v>12480</v>
      </c>
      <c r="H1425" s="1" t="s">
        <v>5962</v>
      </c>
      <c r="I1425" s="2">
        <v>8.18</v>
      </c>
      <c r="J1425" s="2">
        <v>-4.9000000000000004</v>
      </c>
      <c r="K1425" s="2">
        <v>0.57999999999999996</v>
      </c>
      <c r="L1425" s="2">
        <v>0.75</v>
      </c>
      <c r="M1425" s="4">
        <f t="shared" si="132"/>
        <v>14.103448275862069</v>
      </c>
      <c r="N1425" s="4">
        <f t="shared" si="133"/>
        <v>10.906666666666666</v>
      </c>
      <c r="O1425" s="5">
        <f t="shared" si="134"/>
        <v>-1.1183673469387756</v>
      </c>
      <c r="P1425" s="5">
        <f t="shared" si="135"/>
        <v>0.2931034482758621</v>
      </c>
      <c r="Q1425" s="4">
        <f t="shared" si="136"/>
        <v>-0.12610747545935061</v>
      </c>
      <c r="R1425" s="4">
        <f t="shared" si="137"/>
        <v>0.37210980392156856</v>
      </c>
      <c r="S1425" s="4">
        <v>-19.489999999999998</v>
      </c>
      <c r="T1425" s="2">
        <v>0.85</v>
      </c>
      <c r="U1425" s="2">
        <v>8.73</v>
      </c>
      <c r="V1425" s="2">
        <v>3.44</v>
      </c>
      <c r="W1425" s="2">
        <v>3.94</v>
      </c>
      <c r="X1425" s="2">
        <v>-4.0999999999999996</v>
      </c>
      <c r="Y1425" s="2">
        <v>10.99</v>
      </c>
      <c r="Z1425" s="2">
        <v>9.65</v>
      </c>
    </row>
    <row r="1426" spans="1:26" x14ac:dyDescent="0.25">
      <c r="A1426" s="1" t="s">
        <v>5963</v>
      </c>
      <c r="B1426" s="1" t="s">
        <v>5964</v>
      </c>
      <c r="C1426" s="1" t="s">
        <v>31</v>
      </c>
      <c r="D1426" s="1" t="s">
        <v>32</v>
      </c>
      <c r="E1426" s="1" t="s">
        <v>565</v>
      </c>
      <c r="F1426" s="1" t="s">
        <v>5965</v>
      </c>
      <c r="G1426" s="1" t="s">
        <v>12490</v>
      </c>
      <c r="H1426" s="1" t="s">
        <v>5966</v>
      </c>
      <c r="I1426" s="2">
        <v>27.73</v>
      </c>
      <c r="J1426" s="2">
        <v>1.47</v>
      </c>
      <c r="K1426" s="2"/>
      <c r="L1426" s="2"/>
      <c r="M1426" s="4" t="e">
        <f t="shared" si="132"/>
        <v>#DIV/0!</v>
      </c>
      <c r="N1426" s="4" t="e">
        <f t="shared" si="133"/>
        <v>#DIV/0!</v>
      </c>
      <c r="O1426" s="5">
        <f t="shared" si="134"/>
        <v>-1</v>
      </c>
      <c r="P1426" s="5" t="e">
        <f t="shared" si="135"/>
        <v>#DIV/0!</v>
      </c>
      <c r="Q1426" s="4" t="e">
        <f t="shared" si="136"/>
        <v>#DIV/0!</v>
      </c>
      <c r="R1426" s="4" t="e">
        <f t="shared" si="137"/>
        <v>#DIV/0!</v>
      </c>
      <c r="S1426" s="4">
        <v>8.7899999999999991</v>
      </c>
      <c r="T1426" s="2">
        <v>1.19</v>
      </c>
      <c r="U1426" s="2">
        <v>40.880000000000003</v>
      </c>
      <c r="V1426" s="2">
        <v>27.56</v>
      </c>
      <c r="W1426" s="2">
        <v>-3.35</v>
      </c>
      <c r="X1426" s="2">
        <v>-4.38</v>
      </c>
      <c r="Y1426" s="2">
        <v>-23.04</v>
      </c>
      <c r="Z1426" s="2">
        <v>-21.51</v>
      </c>
    </row>
    <row r="1427" spans="1:26" x14ac:dyDescent="0.25">
      <c r="A1427" s="1" t="s">
        <v>5967</v>
      </c>
      <c r="B1427" s="1" t="s">
        <v>5968</v>
      </c>
      <c r="C1427" s="1" t="s">
        <v>16</v>
      </c>
      <c r="D1427" s="1" t="s">
        <v>38</v>
      </c>
      <c r="E1427" s="1" t="s">
        <v>510</v>
      </c>
      <c r="F1427" s="1" t="s">
        <v>5969</v>
      </c>
      <c r="G1427" s="1" t="s">
        <v>12480</v>
      </c>
      <c r="H1427" s="1" t="s">
        <v>1797</v>
      </c>
      <c r="I1427" s="2">
        <v>54.54</v>
      </c>
      <c r="J1427" s="2">
        <v>7.24</v>
      </c>
      <c r="K1427" s="2">
        <v>7.28</v>
      </c>
      <c r="L1427" s="2">
        <v>7.59</v>
      </c>
      <c r="M1427" s="4">
        <f t="shared" si="132"/>
        <v>7.4917582417582418</v>
      </c>
      <c r="N1427" s="4">
        <f t="shared" si="133"/>
        <v>7.1857707509881426</v>
      </c>
      <c r="O1427" s="5">
        <f t="shared" si="134"/>
        <v>5.5248618784531356E-3</v>
      </c>
      <c r="P1427" s="5">
        <f t="shared" si="135"/>
        <v>4.2582417582417431E-2</v>
      </c>
      <c r="Q1427" s="4">
        <f t="shared" si="136"/>
        <v>13.56008241758218</v>
      </c>
      <c r="R1427" s="4">
        <f t="shared" si="137"/>
        <v>1.6874971311998022</v>
      </c>
      <c r="S1427" s="4">
        <v>-13.8</v>
      </c>
      <c r="T1427" s="2">
        <v>1.45</v>
      </c>
      <c r="U1427" s="2">
        <v>73.23</v>
      </c>
      <c r="V1427" s="2">
        <v>44.58</v>
      </c>
      <c r="W1427" s="2">
        <v>1.6</v>
      </c>
      <c r="X1427" s="2">
        <v>12.92</v>
      </c>
      <c r="Y1427" s="2">
        <v>-3.52</v>
      </c>
      <c r="Z1427" s="2">
        <v>15.16</v>
      </c>
    </row>
    <row r="1428" spans="1:26" x14ac:dyDescent="0.25">
      <c r="A1428" s="1" t="s">
        <v>5970</v>
      </c>
      <c r="B1428" s="1" t="s">
        <v>5971</v>
      </c>
      <c r="C1428" s="1" t="s">
        <v>31</v>
      </c>
      <c r="D1428" s="1" t="s">
        <v>38</v>
      </c>
      <c r="E1428" s="1" t="s">
        <v>765</v>
      </c>
      <c r="F1428" s="1" t="s">
        <v>5972</v>
      </c>
      <c r="G1428" s="1" t="s">
        <v>12480</v>
      </c>
      <c r="H1428" s="1" t="s">
        <v>1061</v>
      </c>
      <c r="I1428" s="2">
        <v>9.8032000000000004</v>
      </c>
      <c r="J1428" s="2">
        <v>0.45</v>
      </c>
      <c r="K1428" s="2"/>
      <c r="L1428" s="2"/>
      <c r="M1428" s="4" t="e">
        <f t="shared" si="132"/>
        <v>#DIV/0!</v>
      </c>
      <c r="N1428" s="4" t="e">
        <f t="shared" si="133"/>
        <v>#DIV/0!</v>
      </c>
      <c r="O1428" s="5">
        <f t="shared" si="134"/>
        <v>-1</v>
      </c>
      <c r="P1428" s="5" t="e">
        <f t="shared" si="135"/>
        <v>#DIV/0!</v>
      </c>
      <c r="Q1428" s="4" t="e">
        <f t="shared" si="136"/>
        <v>#DIV/0!</v>
      </c>
      <c r="R1428" s="4" t="e">
        <f t="shared" si="137"/>
        <v>#DIV/0!</v>
      </c>
      <c r="S1428" s="4">
        <v>-0.81</v>
      </c>
      <c r="T1428" s="2">
        <v>0.93</v>
      </c>
      <c r="U1428" s="2">
        <v>10.23</v>
      </c>
      <c r="V1428" s="2" t="s">
        <v>12496</v>
      </c>
      <c r="W1428" s="2" t="s">
        <v>12489</v>
      </c>
      <c r="X1428" s="2">
        <v>0.91</v>
      </c>
      <c r="Y1428" s="2">
        <v>4.03</v>
      </c>
      <c r="Z1428" s="2">
        <v>2.14</v>
      </c>
    </row>
    <row r="1429" spans="1:26" x14ac:dyDescent="0.25">
      <c r="A1429" s="1" t="s">
        <v>5973</v>
      </c>
      <c r="B1429" s="1" t="s">
        <v>5974</v>
      </c>
      <c r="C1429" s="1" t="s">
        <v>16</v>
      </c>
      <c r="D1429" s="1" t="s">
        <v>38</v>
      </c>
      <c r="E1429" s="1" t="s">
        <v>259</v>
      </c>
      <c r="F1429" s="1" t="s">
        <v>5975</v>
      </c>
      <c r="G1429" s="1" t="s">
        <v>12480</v>
      </c>
      <c r="H1429" s="1" t="s">
        <v>5976</v>
      </c>
      <c r="I1429" s="2">
        <v>68.89</v>
      </c>
      <c r="J1429" s="2"/>
      <c r="K1429" s="2"/>
      <c r="L1429" s="2"/>
      <c r="M1429" s="4" t="e">
        <f t="shared" si="132"/>
        <v>#DIV/0!</v>
      </c>
      <c r="N1429" s="4" t="e">
        <f t="shared" si="133"/>
        <v>#DIV/0!</v>
      </c>
      <c r="O1429" s="5" t="e">
        <f t="shared" si="134"/>
        <v>#DIV/0!</v>
      </c>
      <c r="P1429" s="5" t="e">
        <f t="shared" si="135"/>
        <v>#DIV/0!</v>
      </c>
      <c r="Q1429" s="4" t="e">
        <f t="shared" si="136"/>
        <v>#DIV/0!</v>
      </c>
      <c r="R1429" s="4" t="e">
        <f t="shared" si="137"/>
        <v>#DIV/0!</v>
      </c>
      <c r="S1429" s="4"/>
      <c r="T1429" s="2">
        <v>1.04</v>
      </c>
      <c r="U1429" s="2">
        <v>72.11</v>
      </c>
      <c r="V1429" s="2">
        <v>51.16</v>
      </c>
      <c r="W1429" s="2">
        <v>-4.45</v>
      </c>
      <c r="X1429" s="2">
        <v>-4.04</v>
      </c>
      <c r="Y1429" s="2">
        <v>2.74</v>
      </c>
      <c r="Z1429" s="2">
        <v>4.38</v>
      </c>
    </row>
    <row r="1430" spans="1:26" x14ac:dyDescent="0.25">
      <c r="A1430" s="1" t="s">
        <v>5977</v>
      </c>
      <c r="B1430" s="1" t="s">
        <v>5978</v>
      </c>
      <c r="C1430" s="1" t="s">
        <v>16</v>
      </c>
      <c r="D1430" s="1" t="s">
        <v>38</v>
      </c>
      <c r="E1430" s="1" t="s">
        <v>259</v>
      </c>
      <c r="F1430" s="1" t="s">
        <v>5979</v>
      </c>
      <c r="G1430" s="1" t="s">
        <v>12480</v>
      </c>
      <c r="H1430" s="1" t="s">
        <v>5980</v>
      </c>
      <c r="I1430" s="2">
        <v>134.25</v>
      </c>
      <c r="J1430" s="2"/>
      <c r="K1430" s="2"/>
      <c r="L1430" s="2"/>
      <c r="M1430" s="4" t="e">
        <f t="shared" si="132"/>
        <v>#DIV/0!</v>
      </c>
      <c r="N1430" s="4" t="e">
        <f t="shared" si="133"/>
        <v>#DIV/0!</v>
      </c>
      <c r="O1430" s="5" t="e">
        <f t="shared" si="134"/>
        <v>#DIV/0!</v>
      </c>
      <c r="P1430" s="5" t="e">
        <f t="shared" si="135"/>
        <v>#DIV/0!</v>
      </c>
      <c r="Q1430" s="4" t="e">
        <f t="shared" si="136"/>
        <v>#DIV/0!</v>
      </c>
      <c r="R1430" s="4" t="e">
        <f t="shared" si="137"/>
        <v>#DIV/0!</v>
      </c>
      <c r="S1430" s="4"/>
      <c r="T1430" s="2">
        <v>1.01</v>
      </c>
      <c r="U1430" s="2">
        <v>143.72999999999999</v>
      </c>
      <c r="V1430" s="2">
        <v>103.88</v>
      </c>
      <c r="W1430" s="2">
        <v>-4.5199999999999996</v>
      </c>
      <c r="X1430" s="2">
        <v>-6.16</v>
      </c>
      <c r="Y1430" s="2">
        <v>-0.02</v>
      </c>
      <c r="Z1430" s="2">
        <v>2.02</v>
      </c>
    </row>
    <row r="1431" spans="1:26" x14ac:dyDescent="0.25">
      <c r="A1431" s="1" t="s">
        <v>5981</v>
      </c>
      <c r="B1431" s="1" t="s">
        <v>5982</v>
      </c>
      <c r="C1431" s="1" t="s">
        <v>16</v>
      </c>
      <c r="D1431" s="1" t="s">
        <v>38</v>
      </c>
      <c r="E1431" s="1" t="s">
        <v>259</v>
      </c>
      <c r="F1431" s="1" t="s">
        <v>5983</v>
      </c>
      <c r="G1431" s="1" t="s">
        <v>12480</v>
      </c>
      <c r="H1431" s="1" t="s">
        <v>4061</v>
      </c>
      <c r="I1431" s="2">
        <v>103.26</v>
      </c>
      <c r="J1431" s="2"/>
      <c r="K1431" s="2"/>
      <c r="L1431" s="2"/>
      <c r="M1431" s="4" t="e">
        <f t="shared" si="132"/>
        <v>#DIV/0!</v>
      </c>
      <c r="N1431" s="4" t="e">
        <f t="shared" si="133"/>
        <v>#DIV/0!</v>
      </c>
      <c r="O1431" s="5" t="e">
        <f t="shared" si="134"/>
        <v>#DIV/0!</v>
      </c>
      <c r="P1431" s="5" t="e">
        <f t="shared" si="135"/>
        <v>#DIV/0!</v>
      </c>
      <c r="Q1431" s="4" t="e">
        <f t="shared" si="136"/>
        <v>#DIV/0!</v>
      </c>
      <c r="R1431" s="4" t="e">
        <f t="shared" si="137"/>
        <v>#DIV/0!</v>
      </c>
      <c r="S1431" s="4"/>
      <c r="T1431" s="2">
        <v>1.07</v>
      </c>
      <c r="U1431" s="2">
        <v>108.04</v>
      </c>
      <c r="V1431" s="2">
        <v>73.7</v>
      </c>
      <c r="W1431" s="2">
        <v>-4.42</v>
      </c>
      <c r="X1431" s="2">
        <v>-2.0299999999999998</v>
      </c>
      <c r="Y1431" s="2">
        <v>5.56</v>
      </c>
      <c r="Z1431" s="2">
        <v>6.59</v>
      </c>
    </row>
    <row r="1432" spans="1:26" x14ac:dyDescent="0.25">
      <c r="A1432" s="1" t="s">
        <v>5984</v>
      </c>
      <c r="B1432" s="1" t="s">
        <v>5985</v>
      </c>
      <c r="C1432" s="1" t="s">
        <v>16</v>
      </c>
      <c r="D1432" s="1" t="s">
        <v>38</v>
      </c>
      <c r="E1432" s="1" t="s">
        <v>259</v>
      </c>
      <c r="F1432" s="1" t="s">
        <v>5986</v>
      </c>
      <c r="G1432" s="1" t="s">
        <v>12480</v>
      </c>
      <c r="H1432" s="1" t="s">
        <v>5987</v>
      </c>
      <c r="I1432" s="2">
        <v>125.37</v>
      </c>
      <c r="J1432" s="2"/>
      <c r="K1432" s="2"/>
      <c r="L1432" s="2"/>
      <c r="M1432" s="4" t="e">
        <f t="shared" si="132"/>
        <v>#DIV/0!</v>
      </c>
      <c r="N1432" s="4" t="e">
        <f t="shared" si="133"/>
        <v>#DIV/0!</v>
      </c>
      <c r="O1432" s="5" t="e">
        <f t="shared" si="134"/>
        <v>#DIV/0!</v>
      </c>
      <c r="P1432" s="5" t="e">
        <f t="shared" si="135"/>
        <v>#DIV/0!</v>
      </c>
      <c r="Q1432" s="4" t="e">
        <f t="shared" si="136"/>
        <v>#DIV/0!</v>
      </c>
      <c r="R1432" s="4" t="e">
        <f t="shared" si="137"/>
        <v>#DIV/0!</v>
      </c>
      <c r="S1432" s="4"/>
      <c r="T1432" s="2">
        <v>1.03</v>
      </c>
      <c r="U1432" s="2">
        <v>132.07</v>
      </c>
      <c r="V1432" s="2">
        <v>90.56</v>
      </c>
      <c r="W1432" s="2">
        <v>-3.99</v>
      </c>
      <c r="X1432" s="2">
        <v>-5.0199999999999996</v>
      </c>
      <c r="Y1432" s="2">
        <v>1.33</v>
      </c>
      <c r="Z1432" s="2">
        <v>4.32</v>
      </c>
    </row>
    <row r="1433" spans="1:26" x14ac:dyDescent="0.25">
      <c r="A1433" s="1" t="s">
        <v>5988</v>
      </c>
      <c r="B1433" s="1" t="s">
        <v>5989</v>
      </c>
      <c r="C1433" s="1" t="s">
        <v>16</v>
      </c>
      <c r="D1433" s="1" t="s">
        <v>38</v>
      </c>
      <c r="E1433" s="1" t="s">
        <v>259</v>
      </c>
      <c r="F1433" s="1" t="s">
        <v>5990</v>
      </c>
      <c r="G1433" s="1" t="s">
        <v>12480</v>
      </c>
      <c r="H1433" s="1" t="s">
        <v>5991</v>
      </c>
      <c r="I1433" s="2">
        <v>118.61</v>
      </c>
      <c r="J1433" s="2"/>
      <c r="K1433" s="2"/>
      <c r="L1433" s="2"/>
      <c r="M1433" s="4" t="e">
        <f t="shared" si="132"/>
        <v>#DIV/0!</v>
      </c>
      <c r="N1433" s="4" t="e">
        <f t="shared" si="133"/>
        <v>#DIV/0!</v>
      </c>
      <c r="O1433" s="5" t="e">
        <f t="shared" si="134"/>
        <v>#DIV/0!</v>
      </c>
      <c r="P1433" s="5" t="e">
        <f t="shared" si="135"/>
        <v>#DIV/0!</v>
      </c>
      <c r="Q1433" s="4" t="e">
        <f t="shared" si="136"/>
        <v>#DIV/0!</v>
      </c>
      <c r="R1433" s="4" t="e">
        <f t="shared" si="137"/>
        <v>#DIV/0!</v>
      </c>
      <c r="S1433" s="4"/>
      <c r="T1433" s="2">
        <v>1.02</v>
      </c>
      <c r="U1433" s="2">
        <v>126.53</v>
      </c>
      <c r="V1433" s="2">
        <v>83.54</v>
      </c>
      <c r="W1433" s="2">
        <v>-3.89</v>
      </c>
      <c r="X1433" s="2">
        <v>-5.92</v>
      </c>
      <c r="Y1433" s="2">
        <v>1.65</v>
      </c>
      <c r="Z1433" s="2">
        <v>4.3</v>
      </c>
    </row>
    <row r="1434" spans="1:26" x14ac:dyDescent="0.25">
      <c r="A1434" s="1" t="s">
        <v>5992</v>
      </c>
      <c r="B1434" s="1" t="s">
        <v>5993</v>
      </c>
      <c r="C1434" s="1" t="s">
        <v>45</v>
      </c>
      <c r="D1434" s="1" t="s">
        <v>38</v>
      </c>
      <c r="E1434" s="1" t="s">
        <v>259</v>
      </c>
      <c r="F1434" s="1" t="s">
        <v>5994</v>
      </c>
      <c r="G1434" s="1" t="s">
        <v>12480</v>
      </c>
      <c r="H1434" s="1" t="s">
        <v>5893</v>
      </c>
      <c r="I1434" s="2">
        <v>147.07</v>
      </c>
      <c r="J1434" s="2"/>
      <c r="K1434" s="2"/>
      <c r="L1434" s="2"/>
      <c r="M1434" s="4" t="e">
        <f t="shared" si="132"/>
        <v>#DIV/0!</v>
      </c>
      <c r="N1434" s="4" t="e">
        <f t="shared" si="133"/>
        <v>#DIV/0!</v>
      </c>
      <c r="O1434" s="5" t="e">
        <f t="shared" si="134"/>
        <v>#DIV/0!</v>
      </c>
      <c r="P1434" s="5" t="e">
        <f t="shared" si="135"/>
        <v>#DIV/0!</v>
      </c>
      <c r="Q1434" s="4" t="e">
        <f t="shared" si="136"/>
        <v>#DIV/0!</v>
      </c>
      <c r="R1434" s="4" t="e">
        <f t="shared" si="137"/>
        <v>#DIV/0!</v>
      </c>
      <c r="S1434" s="4"/>
      <c r="T1434" s="2">
        <v>1.05</v>
      </c>
      <c r="U1434" s="2">
        <v>154.01</v>
      </c>
      <c r="V1434" s="2">
        <v>108.87</v>
      </c>
      <c r="W1434" s="2">
        <v>-4.09</v>
      </c>
      <c r="X1434" s="2">
        <v>-4.08</v>
      </c>
      <c r="Y1434" s="2">
        <v>1.1399999999999999</v>
      </c>
      <c r="Z1434" s="2">
        <v>4.1900000000000004</v>
      </c>
    </row>
    <row r="1435" spans="1:26" x14ac:dyDescent="0.25">
      <c r="A1435" s="1" t="s">
        <v>5995</v>
      </c>
      <c r="B1435" s="1" t="s">
        <v>5996</v>
      </c>
      <c r="C1435" s="1" t="s">
        <v>31</v>
      </c>
      <c r="D1435" s="1" t="s">
        <v>140</v>
      </c>
      <c r="E1435" s="1" t="s">
        <v>4364</v>
      </c>
      <c r="F1435" s="1" t="s">
        <v>5997</v>
      </c>
      <c r="G1435" s="1" t="s">
        <v>12480</v>
      </c>
      <c r="H1435" s="1" t="s">
        <v>5998</v>
      </c>
      <c r="I1435" s="2">
        <v>51.89</v>
      </c>
      <c r="J1435" s="2">
        <v>3.34</v>
      </c>
      <c r="K1435" s="2">
        <v>3.6</v>
      </c>
      <c r="L1435" s="2">
        <v>3.74</v>
      </c>
      <c r="M1435" s="4">
        <f t="shared" si="132"/>
        <v>14.413888888888888</v>
      </c>
      <c r="N1435" s="4">
        <f t="shared" si="133"/>
        <v>13.874331550802138</v>
      </c>
      <c r="O1435" s="5">
        <f t="shared" si="134"/>
        <v>7.7844311377245567E-2</v>
      </c>
      <c r="P1435" s="5">
        <f t="shared" si="135"/>
        <v>3.8888888888888973E-2</v>
      </c>
      <c r="Q1435" s="4">
        <f t="shared" si="136"/>
        <v>1.8516303418803404</v>
      </c>
      <c r="R1435" s="4">
        <f t="shared" si="137"/>
        <v>3.5676852559205421</v>
      </c>
      <c r="S1435" s="4">
        <v>4.34</v>
      </c>
      <c r="T1435" s="2">
        <v>0.9</v>
      </c>
      <c r="U1435" s="2">
        <v>68.69</v>
      </c>
      <c r="V1435" s="2">
        <v>51.89</v>
      </c>
      <c r="W1435" s="2">
        <v>-19.34</v>
      </c>
      <c r="X1435" s="2">
        <v>-17.02</v>
      </c>
      <c r="Y1435" s="2">
        <v>-14.3</v>
      </c>
      <c r="Z1435" s="2">
        <v>-16.68</v>
      </c>
    </row>
    <row r="1436" spans="1:26" x14ac:dyDescent="0.25">
      <c r="A1436" s="1" t="s">
        <v>5999</v>
      </c>
      <c r="B1436" s="1" t="s">
        <v>6000</v>
      </c>
      <c r="C1436" s="1" t="s">
        <v>16</v>
      </c>
      <c r="D1436" s="1" t="s">
        <v>38</v>
      </c>
      <c r="E1436" s="1" t="s">
        <v>259</v>
      </c>
      <c r="F1436" s="1" t="s">
        <v>6001</v>
      </c>
      <c r="G1436" s="1" t="s">
        <v>12480</v>
      </c>
      <c r="H1436" s="1" t="s">
        <v>6002</v>
      </c>
      <c r="I1436" s="2">
        <v>34.4</v>
      </c>
      <c r="J1436" s="2"/>
      <c r="K1436" s="2"/>
      <c r="L1436" s="2"/>
      <c r="M1436" s="4" t="e">
        <f t="shared" si="132"/>
        <v>#DIV/0!</v>
      </c>
      <c r="N1436" s="4" t="e">
        <f t="shared" si="133"/>
        <v>#DIV/0!</v>
      </c>
      <c r="O1436" s="5" t="e">
        <f t="shared" si="134"/>
        <v>#DIV/0!</v>
      </c>
      <c r="P1436" s="5" t="e">
        <f t="shared" si="135"/>
        <v>#DIV/0!</v>
      </c>
      <c r="Q1436" s="4" t="e">
        <f t="shared" si="136"/>
        <v>#DIV/0!</v>
      </c>
      <c r="R1436" s="4" t="e">
        <f t="shared" si="137"/>
        <v>#DIV/0!</v>
      </c>
      <c r="S1436" s="4"/>
      <c r="T1436" s="2">
        <v>0.75</v>
      </c>
      <c r="U1436" s="2">
        <v>37.32</v>
      </c>
      <c r="V1436" s="2">
        <v>21.35</v>
      </c>
      <c r="W1436" s="2">
        <v>-5.13</v>
      </c>
      <c r="X1436" s="2">
        <v>-6.34</v>
      </c>
      <c r="Y1436" s="2">
        <v>9.0299999999999994</v>
      </c>
      <c r="Z1436" s="2">
        <v>12.97</v>
      </c>
    </row>
    <row r="1437" spans="1:26" x14ac:dyDescent="0.25">
      <c r="A1437" s="1" t="s">
        <v>6003</v>
      </c>
      <c r="B1437" s="1" t="s">
        <v>6004</v>
      </c>
      <c r="C1437" s="1" t="s">
        <v>45</v>
      </c>
      <c r="D1437" s="1" t="s">
        <v>18</v>
      </c>
      <c r="E1437" s="1" t="s">
        <v>74</v>
      </c>
      <c r="F1437" s="1" t="s">
        <v>6005</v>
      </c>
      <c r="G1437" s="1" t="s">
        <v>12480</v>
      </c>
      <c r="H1437" s="1" t="s">
        <v>6006</v>
      </c>
      <c r="I1437" s="2">
        <v>124.28</v>
      </c>
      <c r="J1437" s="2">
        <v>4.84</v>
      </c>
      <c r="K1437" s="2">
        <v>5.14</v>
      </c>
      <c r="L1437" s="2">
        <v>5.9</v>
      </c>
      <c r="M1437" s="4">
        <f t="shared" si="132"/>
        <v>24.178988326848252</v>
      </c>
      <c r="N1437" s="4">
        <f t="shared" si="133"/>
        <v>21.064406779661017</v>
      </c>
      <c r="O1437" s="5">
        <f t="shared" si="134"/>
        <v>6.198347107438007E-2</v>
      </c>
      <c r="P1437" s="5">
        <f t="shared" si="135"/>
        <v>0.14785992217898847</v>
      </c>
      <c r="Q1437" s="4">
        <f t="shared" si="136"/>
        <v>3.9008767833981906</v>
      </c>
      <c r="R1437" s="4">
        <f t="shared" si="137"/>
        <v>1.4246190900981253</v>
      </c>
      <c r="S1437" s="4">
        <v>-0.66</v>
      </c>
      <c r="T1437" s="2">
        <v>1.45</v>
      </c>
      <c r="U1437" s="2">
        <v>153.94999999999999</v>
      </c>
      <c r="V1437" s="2">
        <v>70.3</v>
      </c>
      <c r="W1437" s="2">
        <v>-6.48</v>
      </c>
      <c r="X1437" s="2" t="s">
        <v>12502</v>
      </c>
      <c r="Y1437" s="2">
        <v>-7.89</v>
      </c>
      <c r="Z1437" s="2">
        <v>-5.25</v>
      </c>
    </row>
    <row r="1438" spans="1:26" x14ac:dyDescent="0.25">
      <c r="A1438" s="1" t="s">
        <v>6007</v>
      </c>
      <c r="B1438" s="1" t="s">
        <v>6007</v>
      </c>
      <c r="C1438" s="1" t="s">
        <v>16</v>
      </c>
      <c r="D1438" s="1" t="s">
        <v>147</v>
      </c>
      <c r="E1438" s="1" t="s">
        <v>2822</v>
      </c>
      <c r="F1438" s="1" t="s">
        <v>6008</v>
      </c>
      <c r="G1438" s="1" t="s">
        <v>12480</v>
      </c>
      <c r="H1438" s="1" t="s">
        <v>6009</v>
      </c>
      <c r="I1438" s="2">
        <v>39.49</v>
      </c>
      <c r="J1438" s="2">
        <v>1.45</v>
      </c>
      <c r="K1438" s="2">
        <v>1.62</v>
      </c>
      <c r="L1438" s="2">
        <v>1.84</v>
      </c>
      <c r="M1438" s="4">
        <f t="shared" si="132"/>
        <v>24.376543209876544</v>
      </c>
      <c r="N1438" s="4">
        <f t="shared" si="133"/>
        <v>21.461956521739129</v>
      </c>
      <c r="O1438" s="5">
        <f t="shared" si="134"/>
        <v>0.11724137931034484</v>
      </c>
      <c r="P1438" s="5">
        <f t="shared" si="135"/>
        <v>0.13580246913580241</v>
      </c>
      <c r="Q1438" s="4">
        <f t="shared" si="136"/>
        <v>2.0791757443718226</v>
      </c>
      <c r="R1438" s="4">
        <f t="shared" si="137"/>
        <v>1.5803804347826094</v>
      </c>
      <c r="S1438" s="4">
        <v>16.47</v>
      </c>
      <c r="T1438" s="2">
        <v>0.33</v>
      </c>
      <c r="U1438" s="2">
        <v>42.83</v>
      </c>
      <c r="V1438" s="2">
        <v>21.44</v>
      </c>
      <c r="W1438" s="2">
        <v>-6.02</v>
      </c>
      <c r="X1438" s="2">
        <v>8.67</v>
      </c>
      <c r="Y1438" s="2">
        <v>1.1499999999999999</v>
      </c>
      <c r="Z1438" s="2">
        <v>6.85</v>
      </c>
    </row>
    <row r="1439" spans="1:26" x14ac:dyDescent="0.25">
      <c r="A1439" s="1" t="s">
        <v>6010</v>
      </c>
      <c r="B1439" s="1" t="s">
        <v>6011</v>
      </c>
      <c r="C1439" s="1" t="s">
        <v>31</v>
      </c>
      <c r="D1439" s="1" t="s">
        <v>128</v>
      </c>
      <c r="E1439" s="1" t="s">
        <v>2055</v>
      </c>
      <c r="F1439" s="1" t="s">
        <v>6012</v>
      </c>
      <c r="G1439" s="1" t="s">
        <v>12485</v>
      </c>
      <c r="H1439" s="1" t="s">
        <v>6013</v>
      </c>
      <c r="I1439" s="2">
        <v>42.3</v>
      </c>
      <c r="J1439" s="2">
        <v>4.07</v>
      </c>
      <c r="K1439" s="2">
        <v>4.55</v>
      </c>
      <c r="L1439" s="2">
        <v>5.01</v>
      </c>
      <c r="M1439" s="4">
        <f t="shared" si="132"/>
        <v>9.2967032967032956</v>
      </c>
      <c r="N1439" s="4">
        <f t="shared" si="133"/>
        <v>8.4431137724550904</v>
      </c>
      <c r="O1439" s="5">
        <f t="shared" si="134"/>
        <v>0.1179361179361178</v>
      </c>
      <c r="P1439" s="5">
        <f t="shared" si="135"/>
        <v>0.10109890109890118</v>
      </c>
      <c r="Q1439" s="4">
        <f t="shared" si="136"/>
        <v>0.78828296703296774</v>
      </c>
      <c r="R1439" s="4">
        <f t="shared" si="137"/>
        <v>0.83513407966675279</v>
      </c>
      <c r="S1439" s="4">
        <v>2.2400000000000002</v>
      </c>
      <c r="T1439" s="2">
        <v>0.36</v>
      </c>
      <c r="U1439" s="2">
        <v>45.55</v>
      </c>
      <c r="V1439" s="2">
        <v>35.14</v>
      </c>
      <c r="W1439" s="2">
        <v>-4.38</v>
      </c>
      <c r="X1439" s="2">
        <v>-6.17</v>
      </c>
      <c r="Y1439" s="2">
        <v>-1.72</v>
      </c>
      <c r="Z1439" s="2">
        <v>0.69</v>
      </c>
    </row>
    <row r="1440" spans="1:26" x14ac:dyDescent="0.25">
      <c r="A1440" s="1" t="s">
        <v>6014</v>
      </c>
      <c r="B1440" s="1" t="s">
        <v>6015</v>
      </c>
      <c r="C1440" s="1" t="s">
        <v>45</v>
      </c>
      <c r="D1440" s="1" t="s">
        <v>18</v>
      </c>
      <c r="E1440" s="1" t="s">
        <v>74</v>
      </c>
      <c r="F1440" s="1" t="s">
        <v>6016</v>
      </c>
      <c r="G1440" s="1" t="s">
        <v>12480</v>
      </c>
      <c r="H1440" s="1" t="s">
        <v>6017</v>
      </c>
      <c r="I1440" s="2">
        <v>33.409999999999997</v>
      </c>
      <c r="J1440" s="2">
        <v>-0.71</v>
      </c>
      <c r="K1440" s="2">
        <v>-0.97</v>
      </c>
      <c r="L1440" s="2">
        <v>-0.39</v>
      </c>
      <c r="M1440" s="4">
        <f t="shared" si="132"/>
        <v>-34.44329896907216</v>
      </c>
      <c r="N1440" s="4">
        <f t="shared" si="133"/>
        <v>-85.666666666666657</v>
      </c>
      <c r="O1440" s="5">
        <f t="shared" si="134"/>
        <v>0.36619718309859151</v>
      </c>
      <c r="P1440" s="5">
        <f t="shared" si="135"/>
        <v>-0.59793814432989689</v>
      </c>
      <c r="Q1440" s="4">
        <f t="shared" si="136"/>
        <v>-0.94056701030927825</v>
      </c>
      <c r="R1440" s="4">
        <f t="shared" si="137"/>
        <v>1.4327011494252873</v>
      </c>
      <c r="S1440" s="4">
        <v>28.95</v>
      </c>
      <c r="T1440" s="2">
        <v>0.78</v>
      </c>
      <c r="U1440" s="2">
        <v>40.22</v>
      </c>
      <c r="V1440" s="2">
        <v>24.53</v>
      </c>
      <c r="W1440" s="2">
        <v>2.27</v>
      </c>
      <c r="X1440" s="2">
        <v>0.45</v>
      </c>
      <c r="Y1440" s="2">
        <v>-7.25</v>
      </c>
      <c r="Z1440" s="2">
        <v>-3.75</v>
      </c>
    </row>
    <row r="1441" spans="1:26" x14ac:dyDescent="0.25">
      <c r="A1441" s="1" t="s">
        <v>6018</v>
      </c>
      <c r="B1441" s="1" t="s">
        <v>6019</v>
      </c>
      <c r="C1441" s="1" t="s">
        <v>45</v>
      </c>
      <c r="D1441" s="1" t="s">
        <v>67</v>
      </c>
      <c r="E1441" s="1" t="s">
        <v>3111</v>
      </c>
      <c r="F1441" s="1" t="s">
        <v>6020</v>
      </c>
      <c r="G1441" s="1" t="s">
        <v>12485</v>
      </c>
      <c r="H1441" s="1" t="s">
        <v>1504</v>
      </c>
      <c r="I1441" s="2">
        <v>83.91</v>
      </c>
      <c r="J1441" s="2">
        <v>4.4000000000000004</v>
      </c>
      <c r="K1441" s="2"/>
      <c r="L1441" s="2"/>
      <c r="M1441" s="4" t="e">
        <f t="shared" si="132"/>
        <v>#DIV/0!</v>
      </c>
      <c r="N1441" s="4" t="e">
        <f t="shared" si="133"/>
        <v>#DIV/0!</v>
      </c>
      <c r="O1441" s="5">
        <f t="shared" si="134"/>
        <v>-1</v>
      </c>
      <c r="P1441" s="5" t="e">
        <f t="shared" si="135"/>
        <v>#DIV/0!</v>
      </c>
      <c r="Q1441" s="4" t="e">
        <f t="shared" si="136"/>
        <v>#DIV/0!</v>
      </c>
      <c r="R1441" s="4" t="e">
        <f t="shared" si="137"/>
        <v>#DIV/0!</v>
      </c>
      <c r="S1441" s="4">
        <v>-5.42</v>
      </c>
      <c r="T1441" s="2">
        <v>0.74</v>
      </c>
      <c r="U1441" s="2">
        <v>89.34</v>
      </c>
      <c r="V1441" s="2">
        <v>59.62</v>
      </c>
      <c r="W1441" s="2">
        <v>-3.06</v>
      </c>
      <c r="X1441" s="2">
        <v>-2.75</v>
      </c>
      <c r="Y1441" s="2">
        <v>17.260000000000002</v>
      </c>
      <c r="Z1441" s="2">
        <v>22.41</v>
      </c>
    </row>
    <row r="1442" spans="1:26" x14ac:dyDescent="0.25">
      <c r="A1442" s="1" t="s">
        <v>6022</v>
      </c>
      <c r="B1442" s="1" t="s">
        <v>6023</v>
      </c>
      <c r="C1442" s="1" t="s">
        <v>45</v>
      </c>
      <c r="D1442" s="1" t="s">
        <v>18</v>
      </c>
      <c r="E1442" s="1" t="s">
        <v>74</v>
      </c>
      <c r="F1442" s="1" t="s">
        <v>6024</v>
      </c>
      <c r="G1442" s="1" t="s">
        <v>12480</v>
      </c>
      <c r="H1442" s="1" t="s">
        <v>6025</v>
      </c>
      <c r="I1442" s="2">
        <v>21.33</v>
      </c>
      <c r="J1442" s="2">
        <v>-2.4300000000000002</v>
      </c>
      <c r="K1442" s="2">
        <v>-2.5</v>
      </c>
      <c r="L1442" s="2">
        <v>-2.3199999999999998</v>
      </c>
      <c r="M1442" s="4">
        <f t="shared" si="132"/>
        <v>-8.532</v>
      </c>
      <c r="N1442" s="4">
        <f t="shared" si="133"/>
        <v>-9.193965517241379</v>
      </c>
      <c r="O1442" s="5">
        <f t="shared" si="134"/>
        <v>2.8806584362139898E-2</v>
      </c>
      <c r="P1442" s="5">
        <f t="shared" si="135"/>
        <v>-7.2000000000000064E-2</v>
      </c>
      <c r="Q1442" s="4">
        <f t="shared" si="136"/>
        <v>-2.9618228571428591</v>
      </c>
      <c r="R1442" s="4">
        <f t="shared" si="137"/>
        <v>1.2769396551724126</v>
      </c>
      <c r="S1442" s="4">
        <v>-23.23</v>
      </c>
      <c r="T1442" s="2">
        <v>2.12</v>
      </c>
      <c r="U1442" s="2">
        <v>26.97</v>
      </c>
      <c r="V1442" s="2">
        <v>5.56</v>
      </c>
      <c r="W1442" s="2">
        <v>-3.96</v>
      </c>
      <c r="X1442" s="2">
        <v>-12.94</v>
      </c>
      <c r="Y1442" s="2">
        <v>-5.79</v>
      </c>
      <c r="Z1442" s="2">
        <v>-0.7</v>
      </c>
    </row>
    <row r="1443" spans="1:26" x14ac:dyDescent="0.25">
      <c r="A1443" s="1" t="s">
        <v>6026</v>
      </c>
      <c r="B1443" s="1" t="s">
        <v>6027</v>
      </c>
      <c r="C1443" s="1" t="s">
        <v>1118</v>
      </c>
      <c r="D1443" s="1" t="s">
        <v>94</v>
      </c>
      <c r="E1443" s="1" t="s">
        <v>3279</v>
      </c>
      <c r="F1443" s="1" t="s">
        <v>6028</v>
      </c>
      <c r="G1443" s="1" t="s">
        <v>12480</v>
      </c>
      <c r="H1443" s="1" t="s">
        <v>6029</v>
      </c>
      <c r="I1443" s="2">
        <v>119.35</v>
      </c>
      <c r="J1443" s="2">
        <v>6.1</v>
      </c>
      <c r="K1443" s="2">
        <v>5.2</v>
      </c>
      <c r="L1443" s="2">
        <v>5.59</v>
      </c>
      <c r="M1443" s="4">
        <f t="shared" si="132"/>
        <v>22.951923076923077</v>
      </c>
      <c r="N1443" s="4">
        <f t="shared" si="133"/>
        <v>21.350626118067979</v>
      </c>
      <c r="O1443" s="5">
        <f t="shared" si="134"/>
        <v>-0.14754098360655732</v>
      </c>
      <c r="P1443" s="5">
        <f t="shared" si="135"/>
        <v>7.4999999999999956E-2</v>
      </c>
      <c r="Q1443" s="4">
        <f t="shared" si="136"/>
        <v>-1.5556303418803425</v>
      </c>
      <c r="R1443" s="4">
        <f t="shared" si="137"/>
        <v>2.8467501490757323</v>
      </c>
      <c r="S1443" s="4">
        <v>-10.42</v>
      </c>
      <c r="T1443" s="2">
        <v>0.66</v>
      </c>
      <c r="U1443" s="2">
        <v>122.55</v>
      </c>
      <c r="V1443" s="2">
        <v>60.22</v>
      </c>
      <c r="W1443" s="2">
        <v>0.45</v>
      </c>
      <c r="X1443" s="2">
        <v>4.38</v>
      </c>
      <c r="Y1443" s="2">
        <v>32.799999999999997</v>
      </c>
      <c r="Z1443" s="2">
        <v>38.28</v>
      </c>
    </row>
    <row r="1444" spans="1:26" x14ac:dyDescent="0.25">
      <c r="A1444" s="1" t="s">
        <v>6030</v>
      </c>
      <c r="B1444" s="1" t="s">
        <v>6031</v>
      </c>
      <c r="C1444" s="1" t="s">
        <v>45</v>
      </c>
      <c r="D1444" s="1" t="s">
        <v>32</v>
      </c>
      <c r="E1444" s="1" t="s">
        <v>242</v>
      </c>
      <c r="F1444" s="1" t="s">
        <v>6032</v>
      </c>
      <c r="G1444" s="1" t="s">
        <v>12480</v>
      </c>
      <c r="H1444" s="1" t="s">
        <v>6033</v>
      </c>
      <c r="I1444" s="2">
        <v>38.090000000000003</v>
      </c>
      <c r="J1444" s="2">
        <v>0.44</v>
      </c>
      <c r="K1444" s="2"/>
      <c r="L1444" s="2"/>
      <c r="M1444" s="4" t="e">
        <f t="shared" si="132"/>
        <v>#DIV/0!</v>
      </c>
      <c r="N1444" s="4" t="e">
        <f t="shared" si="133"/>
        <v>#DIV/0!</v>
      </c>
      <c r="O1444" s="5">
        <f t="shared" si="134"/>
        <v>-1</v>
      </c>
      <c r="P1444" s="5" t="e">
        <f t="shared" si="135"/>
        <v>#DIV/0!</v>
      </c>
      <c r="Q1444" s="4" t="e">
        <f t="shared" si="136"/>
        <v>#DIV/0!</v>
      </c>
      <c r="R1444" s="4" t="e">
        <f t="shared" si="137"/>
        <v>#DIV/0!</v>
      </c>
      <c r="S1444" s="4">
        <v>10.210000000000001</v>
      </c>
      <c r="T1444" s="2" t="s">
        <v>12493</v>
      </c>
      <c r="U1444" s="2">
        <v>44.93</v>
      </c>
      <c r="V1444" s="2">
        <v>13.71</v>
      </c>
      <c r="W1444" s="2">
        <v>-11.93</v>
      </c>
      <c r="X1444" s="2">
        <v>11.6</v>
      </c>
      <c r="Y1444" s="2">
        <v>34.64</v>
      </c>
      <c r="Z1444" s="2">
        <v>28.55</v>
      </c>
    </row>
    <row r="1445" spans="1:26" x14ac:dyDescent="0.25">
      <c r="A1445" s="1" t="s">
        <v>6034</v>
      </c>
      <c r="B1445" s="1" t="s">
        <v>6035</v>
      </c>
      <c r="C1445" s="1" t="s">
        <v>31</v>
      </c>
      <c r="D1445" s="1" t="s">
        <v>88</v>
      </c>
      <c r="E1445" s="1" t="s">
        <v>658</v>
      </c>
      <c r="F1445" s="1" t="s">
        <v>6036</v>
      </c>
      <c r="G1445" s="1" t="s">
        <v>12502</v>
      </c>
      <c r="H1445" s="1" t="s">
        <v>6037</v>
      </c>
      <c r="I1445" s="2">
        <v>16.48</v>
      </c>
      <c r="J1445" s="2">
        <v>0.05</v>
      </c>
      <c r="K1445" s="2">
        <v>2.12</v>
      </c>
      <c r="L1445" s="2">
        <v>3.91</v>
      </c>
      <c r="M1445" s="4">
        <f t="shared" si="132"/>
        <v>7.7735849056603774</v>
      </c>
      <c r="N1445" s="4">
        <f t="shared" si="133"/>
        <v>4.2148337595907925</v>
      </c>
      <c r="O1445" s="5">
        <f t="shared" si="134"/>
        <v>41.4</v>
      </c>
      <c r="P1445" s="5">
        <f t="shared" si="135"/>
        <v>0.84433962264150941</v>
      </c>
      <c r="Q1445" s="4">
        <f t="shared" si="136"/>
        <v>1.8776775134445357E-3</v>
      </c>
      <c r="R1445" s="4">
        <f t="shared" si="137"/>
        <v>4.9918701510237327E-2</v>
      </c>
      <c r="S1445" s="4">
        <v>1.88</v>
      </c>
      <c r="T1445" s="2">
        <v>0.74</v>
      </c>
      <c r="U1445" s="2">
        <v>23.39</v>
      </c>
      <c r="V1445" s="2">
        <v>4.66</v>
      </c>
      <c r="W1445" s="2">
        <v>-23.21</v>
      </c>
      <c r="X1445" s="2">
        <v>-8.09</v>
      </c>
      <c r="Y1445" s="2">
        <v>21.18</v>
      </c>
      <c r="Z1445" s="2">
        <v>5.0999999999999996</v>
      </c>
    </row>
    <row r="1446" spans="1:26" x14ac:dyDescent="0.25">
      <c r="A1446" s="1" t="s">
        <v>6038</v>
      </c>
      <c r="B1446" s="1" t="s">
        <v>6039</v>
      </c>
      <c r="C1446" s="1" t="s">
        <v>45</v>
      </c>
      <c r="D1446" s="1" t="s">
        <v>18</v>
      </c>
      <c r="E1446" s="1" t="s">
        <v>74</v>
      </c>
      <c r="F1446" s="1" t="s">
        <v>6040</v>
      </c>
      <c r="G1446" s="1" t="s">
        <v>12480</v>
      </c>
      <c r="H1446" s="1" t="s">
        <v>6041</v>
      </c>
      <c r="I1446" s="2" t="s">
        <v>12479</v>
      </c>
      <c r="J1446" s="2">
        <v>-1.82</v>
      </c>
      <c r="K1446" s="2">
        <v>-1.63</v>
      </c>
      <c r="L1446" s="2">
        <v>-1.45</v>
      </c>
      <c r="M1446" s="4">
        <f t="shared" si="132"/>
        <v>-6.1349693251533743</v>
      </c>
      <c r="N1446" s="4">
        <f t="shared" si="133"/>
        <v>-6.8965517241379315</v>
      </c>
      <c r="O1446" s="5">
        <f t="shared" si="134"/>
        <v>-0.10439560439560447</v>
      </c>
      <c r="P1446" s="5">
        <f t="shared" si="135"/>
        <v>-0.11042944785276065</v>
      </c>
      <c r="Q1446" s="4">
        <f t="shared" si="136"/>
        <v>0.58766548272521757</v>
      </c>
      <c r="R1446" s="4">
        <f t="shared" si="137"/>
        <v>0.62452107279693536</v>
      </c>
      <c r="S1446" s="4">
        <v>-67.63</v>
      </c>
      <c r="T1446" s="2">
        <v>1.34</v>
      </c>
      <c r="U1446" s="2">
        <v>11.87</v>
      </c>
      <c r="V1446" s="2">
        <v>3.5</v>
      </c>
      <c r="W1446" s="2">
        <v>0.1</v>
      </c>
      <c r="X1446" s="2">
        <v>-2.91</v>
      </c>
      <c r="Y1446" s="2">
        <v>0.2</v>
      </c>
      <c r="Z1446" s="2">
        <v>-4.76</v>
      </c>
    </row>
    <row r="1447" spans="1:26" x14ac:dyDescent="0.25">
      <c r="A1447" s="1" t="s">
        <v>6042</v>
      </c>
      <c r="B1447" s="1" t="s">
        <v>6043</v>
      </c>
      <c r="C1447" s="1" t="s">
        <v>45</v>
      </c>
      <c r="D1447" s="1" t="s">
        <v>18</v>
      </c>
      <c r="E1447" s="1" t="s">
        <v>74</v>
      </c>
      <c r="F1447" s="1" t="s">
        <v>6044</v>
      </c>
      <c r="G1447" s="1" t="s">
        <v>12490</v>
      </c>
      <c r="H1447" s="1" t="s">
        <v>6045</v>
      </c>
      <c r="I1447" s="2">
        <v>26.41</v>
      </c>
      <c r="J1447" s="2">
        <v>-2.73</v>
      </c>
      <c r="K1447" s="2">
        <v>-2.67</v>
      </c>
      <c r="L1447" s="2">
        <v>-2.6</v>
      </c>
      <c r="M1447" s="4">
        <f t="shared" si="132"/>
        <v>-9.891385767790263</v>
      </c>
      <c r="N1447" s="4">
        <f t="shared" si="133"/>
        <v>-10.157692307692308</v>
      </c>
      <c r="O1447" s="5">
        <f t="shared" si="134"/>
        <v>-2.1978021978022011E-2</v>
      </c>
      <c r="P1447" s="5">
        <f t="shared" si="135"/>
        <v>-2.6217228464419429E-2</v>
      </c>
      <c r="Q1447" s="4">
        <f t="shared" si="136"/>
        <v>4.5005805243445627</v>
      </c>
      <c r="R1447" s="4">
        <f t="shared" si="137"/>
        <v>3.8744340659340728</v>
      </c>
      <c r="S1447" s="4"/>
      <c r="T1447" s="2">
        <v>0.62</v>
      </c>
      <c r="U1447" s="2">
        <v>27.75</v>
      </c>
      <c r="V1447" s="2">
        <v>13.31</v>
      </c>
      <c r="W1447" s="2">
        <v>-4.83</v>
      </c>
      <c r="X1447" s="2">
        <v>-3.93</v>
      </c>
      <c r="Y1447" s="2">
        <v>1.58</v>
      </c>
      <c r="Z1447" s="2">
        <v>3.89</v>
      </c>
    </row>
    <row r="1448" spans="1:26" x14ac:dyDescent="0.25">
      <c r="A1448" s="1" t="s">
        <v>6046</v>
      </c>
      <c r="B1448" s="1" t="s">
        <v>6047</v>
      </c>
      <c r="C1448" s="1" t="s">
        <v>45</v>
      </c>
      <c r="D1448" s="1" t="s">
        <v>18</v>
      </c>
      <c r="E1448" s="1" t="s">
        <v>74</v>
      </c>
      <c r="F1448" s="1" t="s">
        <v>6048</v>
      </c>
      <c r="G1448" s="1" t="s">
        <v>12480</v>
      </c>
      <c r="H1448" s="1" t="s">
        <v>115</v>
      </c>
      <c r="I1448" s="2">
        <v>71.86</v>
      </c>
      <c r="J1448" s="2">
        <v>112.62</v>
      </c>
      <c r="K1448" s="2"/>
      <c r="L1448" s="2"/>
      <c r="M1448" s="4" t="e">
        <f t="shared" si="132"/>
        <v>#DIV/0!</v>
      </c>
      <c r="N1448" s="4" t="e">
        <f t="shared" si="133"/>
        <v>#DIV/0!</v>
      </c>
      <c r="O1448" s="5">
        <f t="shared" si="134"/>
        <v>-1</v>
      </c>
      <c r="P1448" s="5" t="e">
        <f t="shared" si="135"/>
        <v>#DIV/0!</v>
      </c>
      <c r="Q1448" s="4" t="e">
        <f t="shared" si="136"/>
        <v>#DIV/0!</v>
      </c>
      <c r="R1448" s="4" t="e">
        <f t="shared" si="137"/>
        <v>#DIV/0!</v>
      </c>
      <c r="S1448" s="4">
        <v>-88.89</v>
      </c>
      <c r="T1448" s="2">
        <v>1.5</v>
      </c>
      <c r="U1448" s="2">
        <v>93.51</v>
      </c>
      <c r="V1448" s="2">
        <v>10.84</v>
      </c>
      <c r="W1448" s="2">
        <v>-7.27</v>
      </c>
      <c r="X1448" s="2">
        <v>-16.920000000000002</v>
      </c>
      <c r="Y1448" s="2">
        <v>-5.71</v>
      </c>
      <c r="Z1448" s="2">
        <v>-9.0399999999999991</v>
      </c>
    </row>
    <row r="1449" spans="1:26" x14ac:dyDescent="0.25">
      <c r="A1449" s="1" t="s">
        <v>6049</v>
      </c>
      <c r="B1449" s="1" t="s">
        <v>6050</v>
      </c>
      <c r="C1449" s="1" t="s">
        <v>45</v>
      </c>
      <c r="D1449" s="1" t="s">
        <v>18</v>
      </c>
      <c r="E1449" s="1" t="s">
        <v>74</v>
      </c>
      <c r="F1449" s="1" t="s">
        <v>6051</v>
      </c>
      <c r="G1449" s="1" t="s">
        <v>12480</v>
      </c>
      <c r="H1449" s="1" t="s">
        <v>6052</v>
      </c>
      <c r="I1449" s="2">
        <v>97.1</v>
      </c>
      <c r="J1449" s="2">
        <v>6.8</v>
      </c>
      <c r="K1449" s="2">
        <v>7.54</v>
      </c>
      <c r="L1449" s="2">
        <v>8.92</v>
      </c>
      <c r="M1449" s="4">
        <f t="shared" si="132"/>
        <v>12.877984084880636</v>
      </c>
      <c r="N1449" s="4">
        <f t="shared" si="133"/>
        <v>10.885650224215246</v>
      </c>
      <c r="O1449" s="5">
        <f t="shared" si="134"/>
        <v>0.10882352941176476</v>
      </c>
      <c r="P1449" s="5">
        <f t="shared" si="135"/>
        <v>0.18302387267904519</v>
      </c>
      <c r="Q1449" s="4">
        <f t="shared" si="136"/>
        <v>1.183382321313355</v>
      </c>
      <c r="R1449" s="4">
        <f t="shared" si="137"/>
        <v>0.59476668616364425</v>
      </c>
      <c r="S1449" s="4">
        <v>21.22</v>
      </c>
      <c r="T1449" s="2">
        <v>0.84</v>
      </c>
      <c r="U1449" s="2">
        <v>110.57</v>
      </c>
      <c r="V1449" s="2">
        <v>55.17</v>
      </c>
      <c r="W1449" s="2">
        <v>-2.94</v>
      </c>
      <c r="X1449" s="2">
        <v>-10.94</v>
      </c>
      <c r="Y1449" s="2">
        <v>-1.56</v>
      </c>
      <c r="Z1449" s="2">
        <v>-1.69</v>
      </c>
    </row>
    <row r="1450" spans="1:26" x14ac:dyDescent="0.25">
      <c r="A1450" s="1" t="s">
        <v>6053</v>
      </c>
      <c r="B1450" s="1" t="s">
        <v>6054</v>
      </c>
      <c r="C1450" s="1" t="s">
        <v>45</v>
      </c>
      <c r="D1450" s="1" t="s">
        <v>38</v>
      </c>
      <c r="E1450" s="1" t="s">
        <v>1244</v>
      </c>
      <c r="F1450" s="1" t="s">
        <v>6055</v>
      </c>
      <c r="G1450" s="1" t="s">
        <v>12480</v>
      </c>
      <c r="H1450" s="1" t="s">
        <v>6056</v>
      </c>
      <c r="I1450" s="2">
        <v>76.56</v>
      </c>
      <c r="J1450" s="2">
        <v>5.64</v>
      </c>
      <c r="K1450" s="2">
        <v>7.33</v>
      </c>
      <c r="L1450" s="2">
        <v>8.16</v>
      </c>
      <c r="M1450" s="4">
        <f t="shared" si="132"/>
        <v>10.44474761255116</v>
      </c>
      <c r="N1450" s="4">
        <f t="shared" si="133"/>
        <v>9.382352941176471</v>
      </c>
      <c r="O1450" s="5">
        <f t="shared" si="134"/>
        <v>0.29964539007092217</v>
      </c>
      <c r="P1450" s="5">
        <f t="shared" si="135"/>
        <v>0.11323328785811726</v>
      </c>
      <c r="Q1450" s="4">
        <f t="shared" si="136"/>
        <v>0.34857027535377816</v>
      </c>
      <c r="R1450" s="4">
        <f t="shared" si="137"/>
        <v>0.82858610914245279</v>
      </c>
      <c r="S1450" s="4">
        <v>19.41</v>
      </c>
      <c r="T1450" s="2">
        <v>0.79</v>
      </c>
      <c r="U1450" s="2">
        <v>86.01</v>
      </c>
      <c r="V1450" s="2">
        <v>53.62</v>
      </c>
      <c r="W1450" s="2">
        <v>-4.1900000000000004</v>
      </c>
      <c r="X1450" s="2">
        <v>-10.119999999999999</v>
      </c>
      <c r="Y1450" s="2">
        <v>-1.31</v>
      </c>
      <c r="Z1450" s="2">
        <v>4.76</v>
      </c>
    </row>
    <row r="1451" spans="1:26" x14ac:dyDescent="0.25">
      <c r="A1451" s="1" t="s">
        <v>6058</v>
      </c>
      <c r="B1451" s="1" t="s">
        <v>6059</v>
      </c>
      <c r="C1451" s="1" t="s">
        <v>45</v>
      </c>
      <c r="D1451" s="1" t="s">
        <v>18</v>
      </c>
      <c r="E1451" s="1" t="s">
        <v>780</v>
      </c>
      <c r="F1451" s="1" t="s">
        <v>6060</v>
      </c>
      <c r="G1451" s="1" t="s">
        <v>12480</v>
      </c>
      <c r="H1451" s="1" t="s">
        <v>6061</v>
      </c>
      <c r="I1451" s="2">
        <v>32.6</v>
      </c>
      <c r="J1451" s="2">
        <v>2.5</v>
      </c>
      <c r="K1451" s="2">
        <v>3.03</v>
      </c>
      <c r="L1451" s="2">
        <v>3.4</v>
      </c>
      <c r="M1451" s="4">
        <f t="shared" si="132"/>
        <v>10.759075907590761</v>
      </c>
      <c r="N1451" s="4">
        <f t="shared" si="133"/>
        <v>9.5882352941176485</v>
      </c>
      <c r="O1451" s="5">
        <f t="shared" si="134"/>
        <v>0.21199999999999997</v>
      </c>
      <c r="P1451" s="5">
        <f t="shared" si="135"/>
        <v>0.12211221122112215</v>
      </c>
      <c r="Q1451" s="4">
        <f t="shared" si="136"/>
        <v>0.50750358054673406</v>
      </c>
      <c r="R1451" s="4">
        <f t="shared" si="137"/>
        <v>0.78519872813990454</v>
      </c>
      <c r="S1451" s="4">
        <v>4.29</v>
      </c>
      <c r="T1451" s="2">
        <v>0.83</v>
      </c>
      <c r="U1451" s="2">
        <v>36.6</v>
      </c>
      <c r="V1451" s="2">
        <v>8.81</v>
      </c>
      <c r="W1451" s="2">
        <v>1.94</v>
      </c>
      <c r="X1451" s="2">
        <v>-3.72</v>
      </c>
      <c r="Y1451" s="2">
        <v>-7.44</v>
      </c>
      <c r="Z1451" s="2">
        <v>-9.14</v>
      </c>
    </row>
    <row r="1452" spans="1:26" x14ac:dyDescent="0.25">
      <c r="A1452" s="1" t="s">
        <v>6063</v>
      </c>
      <c r="B1452" s="1" t="s">
        <v>6064</v>
      </c>
      <c r="C1452" s="1" t="s">
        <v>16</v>
      </c>
      <c r="D1452" s="1" t="s">
        <v>32</v>
      </c>
      <c r="E1452" s="1" t="s">
        <v>248</v>
      </c>
      <c r="F1452" s="1" t="s">
        <v>6065</v>
      </c>
      <c r="G1452" s="1" t="s">
        <v>12490</v>
      </c>
      <c r="H1452" s="1" t="s">
        <v>6066</v>
      </c>
      <c r="I1452" s="2">
        <v>14.42</v>
      </c>
      <c r="J1452" s="2">
        <v>0.76</v>
      </c>
      <c r="K1452" s="2">
        <v>0.78</v>
      </c>
      <c r="L1452" s="2">
        <v>0.86</v>
      </c>
      <c r="M1452" s="4">
        <f t="shared" si="132"/>
        <v>18.487179487179485</v>
      </c>
      <c r="N1452" s="4">
        <f t="shared" si="133"/>
        <v>16.767441860465116</v>
      </c>
      <c r="O1452" s="5">
        <f t="shared" si="134"/>
        <v>2.6315789473684292E-2</v>
      </c>
      <c r="P1452" s="5">
        <f t="shared" si="135"/>
        <v>0.10256410256410242</v>
      </c>
      <c r="Q1452" s="4">
        <f t="shared" si="136"/>
        <v>7.0251282051281825</v>
      </c>
      <c r="R1452" s="4">
        <f t="shared" si="137"/>
        <v>1.6348255813953512</v>
      </c>
      <c r="S1452" s="4">
        <v>3.85</v>
      </c>
      <c r="T1452" s="2">
        <v>1.01</v>
      </c>
      <c r="U1452" s="2">
        <v>20.22</v>
      </c>
      <c r="V1452" s="2">
        <v>13.84</v>
      </c>
      <c r="W1452" s="2">
        <v>1.62</v>
      </c>
      <c r="X1452" s="2">
        <v>-11.59</v>
      </c>
      <c r="Y1452" s="2">
        <v>-18.899999999999999</v>
      </c>
      <c r="Z1452" s="2">
        <v>-19.079999999999998</v>
      </c>
    </row>
    <row r="1453" spans="1:26" x14ac:dyDescent="0.25">
      <c r="A1453" s="1" t="s">
        <v>6068</v>
      </c>
      <c r="B1453" s="1" t="s">
        <v>6069</v>
      </c>
      <c r="C1453" s="1" t="s">
        <v>16</v>
      </c>
      <c r="D1453" s="1" t="s">
        <v>38</v>
      </c>
      <c r="E1453" s="1" t="s">
        <v>189</v>
      </c>
      <c r="F1453" s="1" t="s">
        <v>6070</v>
      </c>
      <c r="G1453" s="1" t="s">
        <v>12480</v>
      </c>
      <c r="H1453" s="1" t="s">
        <v>6071</v>
      </c>
      <c r="I1453" s="2">
        <v>26.67</v>
      </c>
      <c r="J1453" s="2">
        <v>2.4</v>
      </c>
      <c r="K1453" s="2">
        <v>2.78</v>
      </c>
      <c r="L1453" s="2">
        <v>3.14</v>
      </c>
      <c r="M1453" s="4">
        <f t="shared" si="132"/>
        <v>9.5935251798561172</v>
      </c>
      <c r="N1453" s="4">
        <f t="shared" si="133"/>
        <v>8.4936305732484083</v>
      </c>
      <c r="O1453" s="5">
        <f t="shared" si="134"/>
        <v>0.15833333333333321</v>
      </c>
      <c r="P1453" s="5">
        <f t="shared" si="135"/>
        <v>0.12949640287769792</v>
      </c>
      <c r="Q1453" s="4">
        <f t="shared" si="136"/>
        <v>0.60590685346459738</v>
      </c>
      <c r="R1453" s="4">
        <f t="shared" si="137"/>
        <v>0.65589702760084889</v>
      </c>
      <c r="S1453" s="4">
        <v>6.46</v>
      </c>
      <c r="T1453" s="2">
        <v>0.78</v>
      </c>
      <c r="U1453" s="2">
        <v>30.91</v>
      </c>
      <c r="V1453" s="2">
        <v>16.62</v>
      </c>
      <c r="W1453" s="2">
        <v>-4.95</v>
      </c>
      <c r="X1453" s="2">
        <v>-13.16</v>
      </c>
      <c r="Y1453" s="2">
        <v>-2.4500000000000002</v>
      </c>
      <c r="Z1453" s="2">
        <v>-4.75</v>
      </c>
    </row>
    <row r="1454" spans="1:26" x14ac:dyDescent="0.25">
      <c r="A1454" s="1" t="s">
        <v>6073</v>
      </c>
      <c r="B1454" s="1" t="s">
        <v>6074</v>
      </c>
      <c r="C1454" s="1" t="s">
        <v>16</v>
      </c>
      <c r="D1454" s="1" t="s">
        <v>140</v>
      </c>
      <c r="E1454" s="1" t="s">
        <v>284</v>
      </c>
      <c r="F1454" s="1" t="s">
        <v>6075</v>
      </c>
      <c r="G1454" s="1" t="s">
        <v>12480</v>
      </c>
      <c r="H1454" s="1" t="s">
        <v>6076</v>
      </c>
      <c r="I1454" s="2">
        <v>22.24</v>
      </c>
      <c r="J1454" s="2">
        <v>2.9</v>
      </c>
      <c r="K1454" s="2">
        <v>3.13</v>
      </c>
      <c r="L1454" s="2">
        <v>3.53</v>
      </c>
      <c r="M1454" s="4">
        <f t="shared" si="132"/>
        <v>7.1054313099041533</v>
      </c>
      <c r="N1454" s="4">
        <f t="shared" si="133"/>
        <v>6.3002832861189804</v>
      </c>
      <c r="O1454" s="5">
        <f t="shared" si="134"/>
        <v>7.9310344827586254E-2</v>
      </c>
      <c r="P1454" s="5">
        <f t="shared" si="135"/>
        <v>0.1277955271565494</v>
      </c>
      <c r="Q1454" s="4">
        <f t="shared" si="136"/>
        <v>0.8959022086400884</v>
      </c>
      <c r="R1454" s="4">
        <f t="shared" si="137"/>
        <v>0.49299716713881064</v>
      </c>
      <c r="S1454" s="4">
        <v>9.5299999999999994</v>
      </c>
      <c r="T1454" s="2">
        <v>2.27</v>
      </c>
      <c r="U1454" s="2">
        <v>26.36</v>
      </c>
      <c r="V1454" s="2">
        <v>14.61</v>
      </c>
      <c r="W1454" s="2">
        <v>4.17</v>
      </c>
      <c r="X1454" s="2">
        <v>3.83</v>
      </c>
      <c r="Y1454" s="2">
        <v>2.82</v>
      </c>
      <c r="Z1454" s="2">
        <v>4.22</v>
      </c>
    </row>
    <row r="1455" spans="1:26" x14ac:dyDescent="0.25">
      <c r="A1455" s="1" t="s">
        <v>6077</v>
      </c>
      <c r="B1455" s="1" t="s">
        <v>6078</v>
      </c>
      <c r="C1455" s="1" t="s">
        <v>16</v>
      </c>
      <c r="D1455" s="1" t="s">
        <v>128</v>
      </c>
      <c r="E1455" s="1" t="s">
        <v>556</v>
      </c>
      <c r="F1455" s="1" t="s">
        <v>6079</v>
      </c>
      <c r="G1455" s="1" t="s">
        <v>12480</v>
      </c>
      <c r="H1455" s="1" t="s">
        <v>6080</v>
      </c>
      <c r="I1455" s="2">
        <v>113.39</v>
      </c>
      <c r="J1455" s="2">
        <v>11.13</v>
      </c>
      <c r="K1455" s="2">
        <v>11.52</v>
      </c>
      <c r="L1455" s="2">
        <v>12.28</v>
      </c>
      <c r="M1455" s="4">
        <f t="shared" si="132"/>
        <v>9.8428819444444446</v>
      </c>
      <c r="N1455" s="4">
        <f t="shared" si="133"/>
        <v>9.2337133550488613</v>
      </c>
      <c r="O1455" s="5">
        <f t="shared" si="134"/>
        <v>3.5040431266846195E-2</v>
      </c>
      <c r="P1455" s="5">
        <f t="shared" si="135"/>
        <v>6.5972222222222099E-2</v>
      </c>
      <c r="Q1455" s="4">
        <f t="shared" si="136"/>
        <v>2.8090070779914664</v>
      </c>
      <c r="R1455" s="4">
        <f t="shared" si="137"/>
        <v>1.3996365506600406</v>
      </c>
      <c r="S1455" s="4">
        <v>-2.84</v>
      </c>
      <c r="T1455" s="2">
        <v>0.69</v>
      </c>
      <c r="U1455" s="2">
        <v>140.94999999999999</v>
      </c>
      <c r="V1455" s="2">
        <v>105.86</v>
      </c>
      <c r="W1455" s="2">
        <v>-3.06</v>
      </c>
      <c r="X1455" s="2">
        <v>-4.95</v>
      </c>
      <c r="Y1455" s="2">
        <v>0.53</v>
      </c>
      <c r="Z1455" s="2">
        <v>2.84</v>
      </c>
    </row>
    <row r="1456" spans="1:26" x14ac:dyDescent="0.25">
      <c r="A1456" s="1" t="s">
        <v>6081</v>
      </c>
      <c r="B1456" s="1" t="s">
        <v>6082</v>
      </c>
      <c r="C1456" s="1" t="s">
        <v>45</v>
      </c>
      <c r="D1456" s="1" t="s">
        <v>18</v>
      </c>
      <c r="E1456" s="1" t="s">
        <v>624</v>
      </c>
      <c r="F1456" s="1" t="s">
        <v>6083</v>
      </c>
      <c r="G1456" s="1" t="s">
        <v>12502</v>
      </c>
      <c r="H1456" s="1" t="s">
        <v>6084</v>
      </c>
      <c r="I1456" s="2">
        <v>8.76</v>
      </c>
      <c r="J1456" s="2">
        <v>-0.22</v>
      </c>
      <c r="K1456" s="2">
        <v>0.25</v>
      </c>
      <c r="L1456" s="2">
        <v>0.34</v>
      </c>
      <c r="M1456" s="4">
        <f t="shared" si="132"/>
        <v>35.04</v>
      </c>
      <c r="N1456" s="4">
        <f t="shared" si="133"/>
        <v>25.764705882352938</v>
      </c>
      <c r="O1456" s="5">
        <f t="shared" si="134"/>
        <v>-2.1363636363636367</v>
      </c>
      <c r="P1456" s="5">
        <f t="shared" si="135"/>
        <v>0.3600000000000001</v>
      </c>
      <c r="Q1456" s="4">
        <f t="shared" si="136"/>
        <v>-0.1640170212765957</v>
      </c>
      <c r="R1456" s="4">
        <f t="shared" si="137"/>
        <v>0.71568627450980371</v>
      </c>
      <c r="S1456" s="4">
        <v>11.76</v>
      </c>
      <c r="T1456" s="2">
        <v>0.46</v>
      </c>
      <c r="U1456" s="2">
        <v>10.6</v>
      </c>
      <c r="V1456" s="2">
        <v>2.63</v>
      </c>
      <c r="W1456" s="2">
        <v>-5.5</v>
      </c>
      <c r="X1456" s="2">
        <v>0.34</v>
      </c>
      <c r="Y1456" s="2">
        <v>50.51</v>
      </c>
      <c r="Z1456" s="2">
        <v>68.790000000000006</v>
      </c>
    </row>
    <row r="1457" spans="1:26" x14ac:dyDescent="0.25">
      <c r="A1457" s="1" t="s">
        <v>6085</v>
      </c>
      <c r="B1457" s="1" t="s">
        <v>6086</v>
      </c>
      <c r="C1457" s="1" t="s">
        <v>45</v>
      </c>
      <c r="D1457" s="1" t="s">
        <v>61</v>
      </c>
      <c r="E1457" s="1" t="s">
        <v>237</v>
      </c>
      <c r="F1457" s="1" t="s">
        <v>6087</v>
      </c>
      <c r="G1457" s="1" t="s">
        <v>12480</v>
      </c>
      <c r="H1457" s="1" t="s">
        <v>6062</v>
      </c>
      <c r="I1457" s="2">
        <v>45.5</v>
      </c>
      <c r="J1457" s="2">
        <v>0.92</v>
      </c>
      <c r="K1457" s="2">
        <v>1.01</v>
      </c>
      <c r="L1457" s="2">
        <v>1.74</v>
      </c>
      <c r="M1457" s="4">
        <f t="shared" si="132"/>
        <v>45.049504950495049</v>
      </c>
      <c r="N1457" s="4">
        <f t="shared" si="133"/>
        <v>26.149425287356323</v>
      </c>
      <c r="O1457" s="5">
        <f t="shared" si="134"/>
        <v>9.7826086956521729E-2</v>
      </c>
      <c r="P1457" s="5">
        <f t="shared" si="135"/>
        <v>0.72277227722772275</v>
      </c>
      <c r="Q1457" s="4">
        <f t="shared" si="136"/>
        <v>4.6050605060506058</v>
      </c>
      <c r="R1457" s="4">
        <f t="shared" si="137"/>
        <v>0.3617934183593135</v>
      </c>
      <c r="S1457" s="4">
        <v>47.64</v>
      </c>
      <c r="T1457" s="2">
        <v>2.46</v>
      </c>
      <c r="U1457" s="2">
        <v>93.19</v>
      </c>
      <c r="V1457" s="2">
        <v>29.68</v>
      </c>
      <c r="W1457" s="2">
        <v>2.34</v>
      </c>
      <c r="X1457" s="2">
        <v>-6.38</v>
      </c>
      <c r="Y1457" s="2">
        <v>-7.58</v>
      </c>
      <c r="Z1457" s="2">
        <v>-10.7</v>
      </c>
    </row>
    <row r="1458" spans="1:26" x14ac:dyDescent="0.25">
      <c r="A1458" s="1" t="s">
        <v>6088</v>
      </c>
      <c r="B1458" s="1" t="s">
        <v>6089</v>
      </c>
      <c r="C1458" s="1" t="s">
        <v>31</v>
      </c>
      <c r="D1458" s="1" t="s">
        <v>140</v>
      </c>
      <c r="E1458" s="1" t="s">
        <v>141</v>
      </c>
      <c r="F1458" s="1" t="s">
        <v>6090</v>
      </c>
      <c r="G1458" s="1" t="s">
        <v>12480</v>
      </c>
      <c r="H1458" s="1" t="s">
        <v>6091</v>
      </c>
      <c r="I1458" s="2">
        <v>8.7949999999999999</v>
      </c>
      <c r="J1458" s="2"/>
      <c r="K1458" s="2"/>
      <c r="L1458" s="2"/>
      <c r="M1458" s="4" t="e">
        <f t="shared" si="132"/>
        <v>#DIV/0!</v>
      </c>
      <c r="N1458" s="4" t="e">
        <f t="shared" si="133"/>
        <v>#DIV/0!</v>
      </c>
      <c r="O1458" s="5" t="e">
        <f t="shared" si="134"/>
        <v>#DIV/0!</v>
      </c>
      <c r="P1458" s="5" t="e">
        <f t="shared" si="135"/>
        <v>#DIV/0!</v>
      </c>
      <c r="Q1458" s="4" t="e">
        <f t="shared" si="136"/>
        <v>#DIV/0!</v>
      </c>
      <c r="R1458" s="4" t="e">
        <f t="shared" si="137"/>
        <v>#DIV/0!</v>
      </c>
      <c r="S1458" s="4"/>
      <c r="T1458" s="2"/>
      <c r="U1458" s="2">
        <v>9.09</v>
      </c>
      <c r="V1458" s="2">
        <v>5.32</v>
      </c>
      <c r="W1458" s="2">
        <v>-0.4</v>
      </c>
      <c r="X1458" s="2">
        <v>-1.18</v>
      </c>
      <c r="Y1458" s="2">
        <v>44.42</v>
      </c>
      <c r="Z1458" s="2">
        <v>44.42</v>
      </c>
    </row>
    <row r="1459" spans="1:26" x14ac:dyDescent="0.25">
      <c r="A1459" s="1" t="s">
        <v>6092</v>
      </c>
      <c r="B1459" s="1" t="s">
        <v>6093</v>
      </c>
      <c r="C1459" s="1" t="s">
        <v>16</v>
      </c>
      <c r="D1459" s="1" t="s">
        <v>94</v>
      </c>
      <c r="E1459" s="1" t="s">
        <v>894</v>
      </c>
      <c r="F1459" s="1" t="s">
        <v>6094</v>
      </c>
      <c r="G1459" s="1" t="s">
        <v>12480</v>
      </c>
      <c r="H1459" s="1" t="s">
        <v>1858</v>
      </c>
      <c r="I1459" s="2">
        <v>17.989999999999998</v>
      </c>
      <c r="J1459" s="2"/>
      <c r="K1459" s="2">
        <v>2.8</v>
      </c>
      <c r="L1459" s="2">
        <v>3.38</v>
      </c>
      <c r="M1459" s="4">
        <f t="shared" si="132"/>
        <v>6.4249999999999998</v>
      </c>
      <c r="N1459" s="4">
        <f t="shared" si="133"/>
        <v>5.3224852071005913</v>
      </c>
      <c r="O1459" s="5" t="e">
        <f t="shared" si="134"/>
        <v>#DIV/0!</v>
      </c>
      <c r="P1459" s="5">
        <f t="shared" si="135"/>
        <v>0.20714285714285707</v>
      </c>
      <c r="Q1459" s="4" t="e">
        <f t="shared" si="136"/>
        <v>#DIV/0!</v>
      </c>
      <c r="R1459" s="4">
        <f t="shared" si="137"/>
        <v>0.25694756172209759</v>
      </c>
      <c r="S1459" s="4">
        <v>60.16</v>
      </c>
      <c r="T1459" s="2">
        <v>0.23</v>
      </c>
      <c r="U1459" s="2">
        <v>19.559999999999999</v>
      </c>
      <c r="V1459" s="2">
        <v>11.2</v>
      </c>
      <c r="W1459" s="2">
        <v>4.84</v>
      </c>
      <c r="X1459" s="2">
        <v>5.82</v>
      </c>
      <c r="Y1459" s="2">
        <v>34.450000000000003</v>
      </c>
      <c r="Z1459" s="2">
        <v>22.13</v>
      </c>
    </row>
    <row r="1460" spans="1:26" x14ac:dyDescent="0.25">
      <c r="A1460" s="1" t="s">
        <v>6095</v>
      </c>
      <c r="B1460" s="1" t="s">
        <v>6096</v>
      </c>
      <c r="C1460" s="1" t="s">
        <v>45</v>
      </c>
      <c r="D1460" s="1" t="s">
        <v>18</v>
      </c>
      <c r="E1460" s="1" t="s">
        <v>74</v>
      </c>
      <c r="F1460" s="1" t="s">
        <v>6097</v>
      </c>
      <c r="G1460" s="1" t="s">
        <v>12480</v>
      </c>
      <c r="H1460" s="1" t="s">
        <v>6098</v>
      </c>
      <c r="I1460" s="2">
        <v>143.13</v>
      </c>
      <c r="J1460" s="2">
        <v>-6.42</v>
      </c>
      <c r="K1460" s="2">
        <v>-2.75</v>
      </c>
      <c r="L1460" s="2">
        <v>0.73</v>
      </c>
      <c r="M1460" s="4">
        <f t="shared" si="132"/>
        <v>-52.047272727272727</v>
      </c>
      <c r="N1460" s="4">
        <f t="shared" si="133"/>
        <v>196.06849315068493</v>
      </c>
      <c r="O1460" s="5">
        <f t="shared" si="134"/>
        <v>-0.57165109034267914</v>
      </c>
      <c r="P1460" s="5">
        <f t="shared" si="135"/>
        <v>-1.2654545454545454</v>
      </c>
      <c r="Q1460" s="4">
        <f t="shared" si="136"/>
        <v>0.91047272727272721</v>
      </c>
      <c r="R1460" s="4">
        <f t="shared" si="137"/>
        <v>-1.5493918280585737</v>
      </c>
      <c r="S1460" s="4">
        <v>66.73</v>
      </c>
      <c r="T1460" s="2">
        <v>1.1299999999999999</v>
      </c>
      <c r="U1460" s="2">
        <v>211.41</v>
      </c>
      <c r="V1460" s="2">
        <v>64.81</v>
      </c>
      <c r="W1460" s="2">
        <v>-2.1800000000000002</v>
      </c>
      <c r="X1460" s="2">
        <v>-4.29</v>
      </c>
      <c r="Y1460" s="2">
        <v>-27.32</v>
      </c>
      <c r="Z1460" s="2">
        <v>-17.760000000000002</v>
      </c>
    </row>
    <row r="1461" spans="1:26" x14ac:dyDescent="0.25">
      <c r="A1461" s="1" t="s">
        <v>6099</v>
      </c>
      <c r="B1461" s="1" t="s">
        <v>6100</v>
      </c>
      <c r="C1461" s="1" t="s">
        <v>16</v>
      </c>
      <c r="D1461" s="1" t="s">
        <v>18</v>
      </c>
      <c r="E1461" s="1" t="s">
        <v>1385</v>
      </c>
      <c r="F1461" s="1" t="s">
        <v>6101</v>
      </c>
      <c r="G1461" s="1" t="s">
        <v>12480</v>
      </c>
      <c r="H1461" s="1" t="s">
        <v>6102</v>
      </c>
      <c r="I1461" s="2">
        <v>61.89</v>
      </c>
      <c r="J1461" s="2">
        <v>2.42</v>
      </c>
      <c r="K1461" s="2">
        <v>1.9</v>
      </c>
      <c r="L1461" s="2">
        <v>2.5</v>
      </c>
      <c r="M1461" s="4">
        <f t="shared" si="132"/>
        <v>32.573684210526316</v>
      </c>
      <c r="N1461" s="4">
        <f t="shared" si="133"/>
        <v>24.756</v>
      </c>
      <c r="O1461" s="5">
        <f t="shared" si="134"/>
        <v>-0.2148760330578513</v>
      </c>
      <c r="P1461" s="5">
        <f t="shared" si="135"/>
        <v>0.31578947368421062</v>
      </c>
      <c r="Q1461" s="4">
        <f t="shared" si="136"/>
        <v>-1.5159291497975707</v>
      </c>
      <c r="R1461" s="4">
        <f t="shared" si="137"/>
        <v>0.78393999999999975</v>
      </c>
      <c r="S1461" s="4">
        <v>13.6</v>
      </c>
      <c r="T1461" s="2">
        <v>0.74</v>
      </c>
      <c r="U1461" s="2">
        <v>183.29</v>
      </c>
      <c r="V1461" s="2">
        <v>57.72</v>
      </c>
      <c r="W1461" s="2">
        <v>-4.51</v>
      </c>
      <c r="X1461" s="2">
        <v>-6.69</v>
      </c>
      <c r="Y1461" s="2">
        <v>-48.11</v>
      </c>
      <c r="Z1461" s="2">
        <v>-32.9</v>
      </c>
    </row>
    <row r="1462" spans="1:26" x14ac:dyDescent="0.25">
      <c r="A1462" s="1" t="s">
        <v>6103</v>
      </c>
      <c r="B1462" s="1" t="s">
        <v>6104</v>
      </c>
      <c r="C1462" s="1" t="s">
        <v>16</v>
      </c>
      <c r="D1462" s="1" t="s">
        <v>46</v>
      </c>
      <c r="E1462" s="1" t="s">
        <v>770</v>
      </c>
      <c r="F1462" s="1" t="s">
        <v>6105</v>
      </c>
      <c r="G1462" s="1" t="s">
        <v>12480</v>
      </c>
      <c r="H1462" s="1" t="s">
        <v>4288</v>
      </c>
      <c r="I1462" s="2">
        <v>75.760000000000005</v>
      </c>
      <c r="J1462" s="2">
        <v>5.42</v>
      </c>
      <c r="K1462" s="2">
        <v>5.71</v>
      </c>
      <c r="L1462" s="2">
        <v>3.8</v>
      </c>
      <c r="M1462" s="4">
        <f t="shared" si="132"/>
        <v>13.267950963222418</v>
      </c>
      <c r="N1462" s="4">
        <f t="shared" si="133"/>
        <v>19.93684210526316</v>
      </c>
      <c r="O1462" s="5">
        <f t="shared" si="134"/>
        <v>5.3505535055350606E-2</v>
      </c>
      <c r="P1462" s="5">
        <f t="shared" si="135"/>
        <v>-0.33450087565674258</v>
      </c>
      <c r="Q1462" s="4">
        <f t="shared" si="136"/>
        <v>2.4797342834712217</v>
      </c>
      <c r="R1462" s="4">
        <f t="shared" si="137"/>
        <v>-0.59601763571231747</v>
      </c>
      <c r="S1462" s="4">
        <v>-11.38</v>
      </c>
      <c r="T1462" s="2">
        <v>-0.23</v>
      </c>
      <c r="U1462" s="2">
        <v>76.5</v>
      </c>
      <c r="V1462" s="2">
        <v>28.76</v>
      </c>
      <c r="W1462" s="2">
        <v>-0.97</v>
      </c>
      <c r="X1462" s="2">
        <v>24.16</v>
      </c>
      <c r="Y1462" s="2">
        <v>55.15</v>
      </c>
      <c r="Z1462" s="2">
        <v>56.04</v>
      </c>
    </row>
    <row r="1463" spans="1:26" x14ac:dyDescent="0.25">
      <c r="A1463" s="1" t="s">
        <v>6106</v>
      </c>
      <c r="B1463" s="1" t="s">
        <v>6107</v>
      </c>
      <c r="C1463" s="1" t="s">
        <v>45</v>
      </c>
      <c r="D1463" s="1" t="s">
        <v>32</v>
      </c>
      <c r="E1463" s="1" t="s">
        <v>311</v>
      </c>
      <c r="F1463" s="1" t="s">
        <v>6108</v>
      </c>
      <c r="G1463" s="1" t="s">
        <v>12502</v>
      </c>
      <c r="H1463" s="1" t="s">
        <v>1345</v>
      </c>
      <c r="I1463" s="2">
        <v>26.86</v>
      </c>
      <c r="J1463" s="2">
        <v>0.94</v>
      </c>
      <c r="K1463" s="2">
        <v>1.22</v>
      </c>
      <c r="L1463" s="2">
        <v>1.5</v>
      </c>
      <c r="M1463" s="4">
        <f t="shared" si="132"/>
        <v>22.016393442622952</v>
      </c>
      <c r="N1463" s="4">
        <f t="shared" si="133"/>
        <v>17.906666666666666</v>
      </c>
      <c r="O1463" s="5">
        <f t="shared" si="134"/>
        <v>0.2978723404255319</v>
      </c>
      <c r="P1463" s="5">
        <f t="shared" si="135"/>
        <v>0.22950819672131151</v>
      </c>
      <c r="Q1463" s="4">
        <f t="shared" si="136"/>
        <v>0.7391217798594848</v>
      </c>
      <c r="R1463" s="4">
        <f t="shared" si="137"/>
        <v>0.78021904761904748</v>
      </c>
      <c r="S1463" s="4">
        <v>17.09</v>
      </c>
      <c r="T1463" s="2">
        <v>0.73</v>
      </c>
      <c r="U1463" s="2">
        <v>64.180000000000007</v>
      </c>
      <c r="V1463" s="2">
        <v>19.47</v>
      </c>
      <c r="W1463" s="2">
        <v>14.59</v>
      </c>
      <c r="X1463" s="2">
        <v>10.17</v>
      </c>
      <c r="Y1463" s="2">
        <v>-36.85</v>
      </c>
      <c r="Z1463" s="2">
        <v>-41.38</v>
      </c>
    </row>
    <row r="1464" spans="1:26" x14ac:dyDescent="0.25">
      <c r="A1464" s="1" t="s">
        <v>6109</v>
      </c>
      <c r="B1464" s="1" t="s">
        <v>6110</v>
      </c>
      <c r="C1464" s="1" t="s">
        <v>45</v>
      </c>
      <c r="D1464" s="1" t="s">
        <v>32</v>
      </c>
      <c r="E1464" s="1" t="s">
        <v>3580</v>
      </c>
      <c r="F1464" s="1" t="s">
        <v>6111</v>
      </c>
      <c r="G1464" s="1" t="s">
        <v>12480</v>
      </c>
      <c r="H1464" s="1" t="s">
        <v>12701</v>
      </c>
      <c r="I1464" s="2">
        <v>45.58</v>
      </c>
      <c r="J1464" s="2">
        <v>0.42</v>
      </c>
      <c r="K1464" s="2">
        <v>0.49</v>
      </c>
      <c r="L1464" s="2">
        <v>0.98</v>
      </c>
      <c r="M1464" s="4">
        <f t="shared" si="132"/>
        <v>93.020408163265301</v>
      </c>
      <c r="N1464" s="4">
        <f t="shared" si="133"/>
        <v>46.510204081632651</v>
      </c>
      <c r="O1464" s="5">
        <f t="shared" si="134"/>
        <v>0.16666666666666674</v>
      </c>
      <c r="P1464" s="5">
        <f t="shared" si="135"/>
        <v>1</v>
      </c>
      <c r="Q1464" s="4">
        <f t="shared" si="136"/>
        <v>5.5812244897959156</v>
      </c>
      <c r="R1464" s="4">
        <f t="shared" si="137"/>
        <v>0.4651020408163265</v>
      </c>
      <c r="S1464" s="4">
        <v>-0.47</v>
      </c>
      <c r="T1464" s="2">
        <v>1.37</v>
      </c>
      <c r="U1464" s="2">
        <v>54.32</v>
      </c>
      <c r="V1464" s="2">
        <v>18.13</v>
      </c>
      <c r="W1464" s="2">
        <v>0.18</v>
      </c>
      <c r="X1464" s="2">
        <v>-9.2799999999999994</v>
      </c>
      <c r="Y1464" s="2">
        <v>21.51</v>
      </c>
      <c r="Z1464" s="2">
        <v>23.52</v>
      </c>
    </row>
    <row r="1465" spans="1:26" x14ac:dyDescent="0.25">
      <c r="A1465" s="1" t="s">
        <v>6112</v>
      </c>
      <c r="B1465" s="1" t="s">
        <v>6113</v>
      </c>
      <c r="C1465" s="1" t="s">
        <v>45</v>
      </c>
      <c r="D1465" s="1" t="s">
        <v>38</v>
      </c>
      <c r="E1465" s="1" t="s">
        <v>52</v>
      </c>
      <c r="F1465" s="1" t="s">
        <v>6114</v>
      </c>
      <c r="G1465" s="1" t="s">
        <v>12480</v>
      </c>
      <c r="H1465" s="1" t="s">
        <v>6115</v>
      </c>
      <c r="I1465" s="2">
        <v>8.23</v>
      </c>
      <c r="J1465" s="2">
        <v>0.53</v>
      </c>
      <c r="K1465" s="2">
        <v>0.74</v>
      </c>
      <c r="L1465" s="2">
        <v>0.94</v>
      </c>
      <c r="M1465" s="4">
        <f t="shared" si="132"/>
        <v>11.121621621621623</v>
      </c>
      <c r="N1465" s="4">
        <f t="shared" si="133"/>
        <v>8.7553191489361719</v>
      </c>
      <c r="O1465" s="5">
        <f t="shared" si="134"/>
        <v>0.39622641509433953</v>
      </c>
      <c r="P1465" s="5">
        <f t="shared" si="135"/>
        <v>0.27027027027027017</v>
      </c>
      <c r="Q1465" s="4">
        <f t="shared" si="136"/>
        <v>0.28068854568854579</v>
      </c>
      <c r="R1465" s="4">
        <f t="shared" si="137"/>
        <v>0.32394680851063845</v>
      </c>
      <c r="S1465" s="4">
        <v>46.76</v>
      </c>
      <c r="T1465" s="2">
        <v>1.18</v>
      </c>
      <c r="U1465" s="2">
        <v>10.210000000000001</v>
      </c>
      <c r="V1465" s="2">
        <v>5.04</v>
      </c>
      <c r="W1465" s="2">
        <v>-6.37</v>
      </c>
      <c r="X1465" s="2">
        <v>-9.9600000000000009</v>
      </c>
      <c r="Y1465" s="2">
        <v>-4.1900000000000004</v>
      </c>
      <c r="Z1465" s="2">
        <v>-2.95</v>
      </c>
    </row>
    <row r="1466" spans="1:26" x14ac:dyDescent="0.25">
      <c r="A1466" s="1" t="s">
        <v>6116</v>
      </c>
      <c r="B1466" s="1" t="s">
        <v>6117</v>
      </c>
      <c r="C1466" s="1" t="s">
        <v>45</v>
      </c>
      <c r="D1466" s="1" t="s">
        <v>32</v>
      </c>
      <c r="E1466" s="1" t="s">
        <v>215</v>
      </c>
      <c r="F1466" s="1" t="s">
        <v>6118</v>
      </c>
      <c r="G1466" s="1" t="s">
        <v>12496</v>
      </c>
      <c r="H1466" s="1" t="s">
        <v>6119</v>
      </c>
      <c r="I1466" s="2">
        <v>473.67</v>
      </c>
      <c r="J1466" s="2">
        <v>20.149999999999999</v>
      </c>
      <c r="K1466" s="2">
        <v>23.14</v>
      </c>
      <c r="L1466" s="2">
        <v>26.54</v>
      </c>
      <c r="M1466" s="4">
        <f t="shared" si="132"/>
        <v>20.469749351771824</v>
      </c>
      <c r="N1466" s="4">
        <f t="shared" si="133"/>
        <v>17.847400150715902</v>
      </c>
      <c r="O1466" s="5">
        <f t="shared" si="134"/>
        <v>0.14838709677419359</v>
      </c>
      <c r="P1466" s="5">
        <f t="shared" si="135"/>
        <v>0.14693171996542786</v>
      </c>
      <c r="Q1466" s="4">
        <f t="shared" si="136"/>
        <v>1.3794831084889703</v>
      </c>
      <c r="R1466" s="4">
        <f t="shared" si="137"/>
        <v>1.2146730573163702</v>
      </c>
      <c r="S1466" s="4">
        <v>15.63</v>
      </c>
      <c r="T1466" s="2">
        <v>1.26</v>
      </c>
      <c r="U1466" s="2">
        <v>807.39</v>
      </c>
      <c r="V1466" s="2">
        <v>358.71</v>
      </c>
      <c r="W1466" s="2">
        <v>13.03</v>
      </c>
      <c r="X1466" s="2">
        <v>8.27</v>
      </c>
      <c r="Y1466" s="2">
        <v>-27.64</v>
      </c>
      <c r="Z1466" s="2">
        <v>-28.49</v>
      </c>
    </row>
    <row r="1467" spans="1:26" x14ac:dyDescent="0.25">
      <c r="A1467" s="1" t="s">
        <v>6120</v>
      </c>
      <c r="B1467" s="1" t="s">
        <v>6121</v>
      </c>
      <c r="C1467" s="1" t="s">
        <v>45</v>
      </c>
      <c r="D1467" s="1" t="s">
        <v>18</v>
      </c>
      <c r="E1467" s="1" t="s">
        <v>113</v>
      </c>
      <c r="F1467" s="1" t="s">
        <v>6122</v>
      </c>
      <c r="G1467" s="1" t="s">
        <v>12480</v>
      </c>
      <c r="H1467" s="1" t="s">
        <v>6123</v>
      </c>
      <c r="I1467" s="2">
        <v>22.32</v>
      </c>
      <c r="J1467" s="2">
        <v>3.93</v>
      </c>
      <c r="K1467" s="2">
        <v>1.99</v>
      </c>
      <c r="L1467" s="2">
        <v>2.36</v>
      </c>
      <c r="M1467" s="4">
        <f t="shared" si="132"/>
        <v>11.21608040201005</v>
      </c>
      <c r="N1467" s="4">
        <f t="shared" si="133"/>
        <v>9.4576271186440692</v>
      </c>
      <c r="O1467" s="5">
        <f t="shared" si="134"/>
        <v>-0.49363867684478369</v>
      </c>
      <c r="P1467" s="5">
        <f t="shared" si="135"/>
        <v>0.18592964824120606</v>
      </c>
      <c r="Q1467" s="4">
        <f t="shared" si="136"/>
        <v>-0.22721235041185309</v>
      </c>
      <c r="R1467" s="4">
        <f t="shared" si="137"/>
        <v>0.50866697205680256</v>
      </c>
      <c r="S1467" s="4">
        <v>14.67</v>
      </c>
      <c r="T1467" s="2">
        <v>0.42</v>
      </c>
      <c r="U1467" s="2">
        <v>24.24</v>
      </c>
      <c r="V1467" s="2">
        <v>16.670000000000002</v>
      </c>
      <c r="W1467" s="2">
        <v>-2.23</v>
      </c>
      <c r="X1467" s="2">
        <v>3.19</v>
      </c>
      <c r="Y1467" s="2">
        <v>10.82</v>
      </c>
      <c r="Z1467" s="2">
        <v>11.66</v>
      </c>
    </row>
    <row r="1468" spans="1:26" x14ac:dyDescent="0.25">
      <c r="A1468" s="1" t="s">
        <v>6124</v>
      </c>
      <c r="B1468" s="1" t="s">
        <v>6125</v>
      </c>
      <c r="C1468" s="1" t="s">
        <v>16</v>
      </c>
      <c r="D1468" s="1" t="s">
        <v>38</v>
      </c>
      <c r="E1468" s="1" t="s">
        <v>765</v>
      </c>
      <c r="F1468" s="1" t="s">
        <v>6126</v>
      </c>
      <c r="G1468" s="1" t="s">
        <v>12480</v>
      </c>
      <c r="H1468" s="1" t="s">
        <v>6127</v>
      </c>
      <c r="I1468" s="2">
        <v>25.97</v>
      </c>
      <c r="J1468" s="2">
        <v>1.91</v>
      </c>
      <c r="K1468" s="2">
        <v>1.97</v>
      </c>
      <c r="L1468" s="2">
        <v>2.08</v>
      </c>
      <c r="M1468" s="4">
        <f t="shared" si="132"/>
        <v>13.182741116751268</v>
      </c>
      <c r="N1468" s="4">
        <f t="shared" si="133"/>
        <v>12.485576923076922</v>
      </c>
      <c r="O1468" s="5">
        <f t="shared" si="134"/>
        <v>3.1413612565444948E-2</v>
      </c>
      <c r="P1468" s="5">
        <f t="shared" si="135"/>
        <v>5.5837563451776706E-2</v>
      </c>
      <c r="Q1468" s="4">
        <f t="shared" si="136"/>
        <v>4.196505922165831</v>
      </c>
      <c r="R1468" s="4">
        <f t="shared" si="137"/>
        <v>2.2360533216783192</v>
      </c>
      <c r="S1468" s="4">
        <v>4.21</v>
      </c>
      <c r="T1468" s="2">
        <v>0.83</v>
      </c>
      <c r="U1468" s="2">
        <v>35.47</v>
      </c>
      <c r="V1468" s="2">
        <v>25.3</v>
      </c>
      <c r="W1468" s="2">
        <v>-0.69</v>
      </c>
      <c r="X1468" s="2">
        <v>-1.78</v>
      </c>
      <c r="Y1468" s="2">
        <v>-3.46</v>
      </c>
      <c r="Z1468" s="2">
        <v>-6.55</v>
      </c>
    </row>
    <row r="1469" spans="1:26" x14ac:dyDescent="0.25">
      <c r="A1469" s="1" t="s">
        <v>6128</v>
      </c>
      <c r="B1469" s="1" t="s">
        <v>6129</v>
      </c>
      <c r="C1469" s="1" t="s">
        <v>16</v>
      </c>
      <c r="D1469" s="1" t="s">
        <v>94</v>
      </c>
      <c r="E1469" s="1" t="s">
        <v>6131</v>
      </c>
      <c r="F1469" s="1" t="s">
        <v>6130</v>
      </c>
      <c r="G1469" s="1" t="s">
        <v>12480</v>
      </c>
      <c r="H1469" s="1" t="s">
        <v>6132</v>
      </c>
      <c r="I1469" s="2">
        <v>26.79</v>
      </c>
      <c r="J1469" s="2">
        <v>1.2</v>
      </c>
      <c r="K1469" s="2">
        <v>1.33</v>
      </c>
      <c r="L1469" s="2">
        <v>1.75</v>
      </c>
      <c r="M1469" s="4">
        <f t="shared" si="132"/>
        <v>20.142857142857142</v>
      </c>
      <c r="N1469" s="4">
        <f t="shared" si="133"/>
        <v>15.308571428571428</v>
      </c>
      <c r="O1469" s="5">
        <f t="shared" si="134"/>
        <v>0.10833333333333339</v>
      </c>
      <c r="P1469" s="5">
        <f t="shared" si="135"/>
        <v>0.3157894736842104</v>
      </c>
      <c r="Q1469" s="4">
        <f t="shared" si="136"/>
        <v>1.8593406593406583</v>
      </c>
      <c r="R1469" s="4">
        <f t="shared" si="137"/>
        <v>0.48477142857142874</v>
      </c>
      <c r="S1469" s="4">
        <v>48.04</v>
      </c>
      <c r="T1469" s="2">
        <v>0.72</v>
      </c>
      <c r="U1469" s="2">
        <v>29.25</v>
      </c>
      <c r="V1469" s="2">
        <v>13.46</v>
      </c>
      <c r="W1469" s="2">
        <v>0.98</v>
      </c>
      <c r="X1469" s="2">
        <v>5.72</v>
      </c>
      <c r="Y1469" s="2">
        <v>17.66</v>
      </c>
      <c r="Z1469" s="2">
        <v>22.5</v>
      </c>
    </row>
    <row r="1470" spans="1:26" x14ac:dyDescent="0.25">
      <c r="A1470" s="1" t="s">
        <v>6134</v>
      </c>
      <c r="B1470" s="1" t="s">
        <v>6135</v>
      </c>
      <c r="C1470" s="1" t="s">
        <v>16</v>
      </c>
      <c r="D1470" s="1" t="s">
        <v>32</v>
      </c>
      <c r="E1470" s="1" t="s">
        <v>490</v>
      </c>
      <c r="F1470" s="1" t="s">
        <v>6136</v>
      </c>
      <c r="G1470" s="1" t="s">
        <v>12480</v>
      </c>
      <c r="H1470" s="1" t="s">
        <v>6137</v>
      </c>
      <c r="I1470" s="2">
        <v>35.869999999999997</v>
      </c>
      <c r="J1470" s="2">
        <v>-1.82</v>
      </c>
      <c r="K1470" s="2">
        <v>-1.57</v>
      </c>
      <c r="L1470" s="2">
        <v>-1.6</v>
      </c>
      <c r="M1470" s="4">
        <f t="shared" si="132"/>
        <v>-22.847133757961782</v>
      </c>
      <c r="N1470" s="4">
        <f t="shared" si="133"/>
        <v>-22.418749999999996</v>
      </c>
      <c r="O1470" s="5">
        <f t="shared" si="134"/>
        <v>-0.13736263736263732</v>
      </c>
      <c r="P1470" s="5">
        <f t="shared" si="135"/>
        <v>1.9108280254777066E-2</v>
      </c>
      <c r="Q1470" s="4">
        <f t="shared" si="136"/>
        <v>1.6632713375796182</v>
      </c>
      <c r="R1470" s="4">
        <f t="shared" si="137"/>
        <v>-11.732479166666668</v>
      </c>
      <c r="S1470" s="4">
        <v>201.85</v>
      </c>
      <c r="T1470" s="2">
        <v>2.61</v>
      </c>
      <c r="U1470" s="2">
        <v>82.09</v>
      </c>
      <c r="V1470" s="2">
        <v>18.27</v>
      </c>
      <c r="W1470" s="2">
        <v>-6.44</v>
      </c>
      <c r="X1470" s="2">
        <v>1.1000000000000001</v>
      </c>
      <c r="Y1470" s="2">
        <v>-22.14</v>
      </c>
      <c r="Z1470" s="2">
        <v>-20.059999999999999</v>
      </c>
    </row>
    <row r="1471" spans="1:26" x14ac:dyDescent="0.25">
      <c r="A1471" s="1" t="s">
        <v>6138</v>
      </c>
      <c r="B1471" s="1" t="s">
        <v>6139</v>
      </c>
      <c r="C1471" s="1" t="s">
        <v>45</v>
      </c>
      <c r="D1471" s="1" t="s">
        <v>18</v>
      </c>
      <c r="E1471" s="1" t="s">
        <v>780</v>
      </c>
      <c r="F1471" s="1" t="s">
        <v>6140</v>
      </c>
      <c r="G1471" s="1" t="s">
        <v>12480</v>
      </c>
      <c r="H1471" s="1" t="s">
        <v>6141</v>
      </c>
      <c r="I1471" s="2">
        <v>75.36</v>
      </c>
      <c r="J1471" s="2">
        <v>-1.54</v>
      </c>
      <c r="K1471" s="2">
        <v>-2.3199999999999998</v>
      </c>
      <c r="L1471" s="2">
        <v>-0.19</v>
      </c>
      <c r="M1471" s="4">
        <f t="shared" si="132"/>
        <v>-32.482758620689658</v>
      </c>
      <c r="N1471" s="4">
        <f t="shared" si="133"/>
        <v>-396.63157894736844</v>
      </c>
      <c r="O1471" s="5">
        <f t="shared" si="134"/>
        <v>0.50649350649350633</v>
      </c>
      <c r="P1471" s="5">
        <f t="shared" si="135"/>
        <v>-0.9181034482758621</v>
      </c>
      <c r="Q1471" s="4">
        <f t="shared" si="136"/>
        <v>-0.64132625994694992</v>
      </c>
      <c r="R1471" s="4">
        <f t="shared" si="137"/>
        <v>4.3201186063750932</v>
      </c>
      <c r="S1471" s="4">
        <v>33.9</v>
      </c>
      <c r="T1471" s="2">
        <v>0.31</v>
      </c>
      <c r="U1471" s="2">
        <v>86.5</v>
      </c>
      <c r="V1471" s="2">
        <v>25.51</v>
      </c>
      <c r="W1471" s="2">
        <v>-8.0500000000000007</v>
      </c>
      <c r="X1471" s="2">
        <v>-11.12</v>
      </c>
      <c r="Y1471" s="2">
        <v>-5.52</v>
      </c>
      <c r="Z1471" s="2">
        <v>-4.74</v>
      </c>
    </row>
    <row r="1472" spans="1:26" x14ac:dyDescent="0.25">
      <c r="A1472" s="1" t="s">
        <v>6142</v>
      </c>
      <c r="B1472" s="1" t="s">
        <v>6143</v>
      </c>
      <c r="C1472" s="1" t="s">
        <v>45</v>
      </c>
      <c r="D1472" s="1" t="s">
        <v>88</v>
      </c>
      <c r="E1472" s="1" t="s">
        <v>504</v>
      </c>
      <c r="F1472" s="1" t="s">
        <v>6144</v>
      </c>
      <c r="G1472" s="1" t="s">
        <v>12480</v>
      </c>
      <c r="H1472" s="1" t="s">
        <v>1129</v>
      </c>
      <c r="I1472" s="2">
        <v>71.430000000000007</v>
      </c>
      <c r="J1472" s="2">
        <v>5.27</v>
      </c>
      <c r="K1472" s="2">
        <v>5.0599999999999996</v>
      </c>
      <c r="L1472" s="2">
        <v>6.28</v>
      </c>
      <c r="M1472" s="4">
        <f t="shared" si="132"/>
        <v>14.116600790513836</v>
      </c>
      <c r="N1472" s="4">
        <f t="shared" si="133"/>
        <v>11.374203821656051</v>
      </c>
      <c r="O1472" s="5">
        <f t="shared" si="134"/>
        <v>-3.9848197343453462E-2</v>
      </c>
      <c r="P1472" s="5">
        <f t="shared" si="135"/>
        <v>0.2411067193675891</v>
      </c>
      <c r="Q1472" s="4">
        <f t="shared" si="136"/>
        <v>-3.5425945793337146</v>
      </c>
      <c r="R1472" s="4">
        <f t="shared" si="137"/>
        <v>0.47174976506212773</v>
      </c>
      <c r="S1472" s="4">
        <v>-3.65</v>
      </c>
      <c r="T1472" s="2">
        <v>0.9</v>
      </c>
      <c r="U1472" s="2">
        <v>100.62</v>
      </c>
      <c r="V1472" s="2">
        <v>70.62</v>
      </c>
      <c r="W1472" s="2">
        <v>-7.28</v>
      </c>
      <c r="X1472" s="2">
        <v>-17.079999999999998</v>
      </c>
      <c r="Y1472" s="2">
        <v>-8.8699999999999992</v>
      </c>
      <c r="Z1472" s="2">
        <v>-6.68</v>
      </c>
    </row>
    <row r="1473" spans="1:26" x14ac:dyDescent="0.25">
      <c r="A1473" s="1" t="s">
        <v>6146</v>
      </c>
      <c r="B1473" s="1" t="s">
        <v>6147</v>
      </c>
      <c r="C1473" s="1" t="s">
        <v>16</v>
      </c>
      <c r="D1473" s="1" t="s">
        <v>32</v>
      </c>
      <c r="E1473" s="1" t="s">
        <v>311</v>
      </c>
      <c r="F1473" s="1" t="s">
        <v>6148</v>
      </c>
      <c r="G1473" s="1" t="s">
        <v>12493</v>
      </c>
      <c r="H1473" s="1" t="s">
        <v>12702</v>
      </c>
      <c r="I1473" s="2">
        <v>34.159999999999997</v>
      </c>
      <c r="J1473" s="2">
        <v>0.56000000000000005</v>
      </c>
      <c r="K1473" s="2">
        <v>0.59</v>
      </c>
      <c r="L1473" s="2">
        <v>0.74</v>
      </c>
      <c r="M1473" s="4">
        <f t="shared" si="132"/>
        <v>57.898305084745758</v>
      </c>
      <c r="N1473" s="4">
        <f t="shared" si="133"/>
        <v>46.162162162162161</v>
      </c>
      <c r="O1473" s="5">
        <f t="shared" si="134"/>
        <v>5.3571428571428381E-2</v>
      </c>
      <c r="P1473" s="5">
        <f t="shared" si="135"/>
        <v>0.25423728813559321</v>
      </c>
      <c r="Q1473" s="4">
        <f t="shared" si="136"/>
        <v>10.807683615819247</v>
      </c>
      <c r="R1473" s="4">
        <f t="shared" si="137"/>
        <v>1.8157117117117116</v>
      </c>
      <c r="S1473" s="4">
        <v>29.57</v>
      </c>
      <c r="T1473" s="2">
        <v>1.6</v>
      </c>
      <c r="U1473" s="2">
        <v>47.74</v>
      </c>
      <c r="V1473" s="2">
        <v>24.25</v>
      </c>
      <c r="W1473" s="2">
        <v>17.350000000000001</v>
      </c>
      <c r="X1473" s="2">
        <v>25.45</v>
      </c>
      <c r="Y1473" s="2">
        <v>-13.89</v>
      </c>
      <c r="Z1473" s="2">
        <v>-3.64</v>
      </c>
    </row>
    <row r="1474" spans="1:26" x14ac:dyDescent="0.25">
      <c r="A1474" s="1" t="s">
        <v>6149</v>
      </c>
      <c r="B1474" s="1" t="s">
        <v>6150</v>
      </c>
      <c r="C1474" s="1" t="s">
        <v>45</v>
      </c>
      <c r="D1474" s="1" t="s">
        <v>18</v>
      </c>
      <c r="E1474" s="1" t="s">
        <v>74</v>
      </c>
      <c r="F1474" s="1" t="s">
        <v>6151</v>
      </c>
      <c r="G1474" s="1" t="s">
        <v>12480</v>
      </c>
      <c r="H1474" s="1" t="s">
        <v>6152</v>
      </c>
      <c r="I1474" s="2">
        <v>5.41</v>
      </c>
      <c r="J1474" s="2">
        <v>-1.0900000000000001</v>
      </c>
      <c r="K1474" s="2">
        <v>-0.61</v>
      </c>
      <c r="L1474" s="2">
        <v>-0.28999999999999998</v>
      </c>
      <c r="M1474" s="4">
        <f t="shared" si="132"/>
        <v>-8.8688524590163933</v>
      </c>
      <c r="N1474" s="4">
        <f t="shared" si="133"/>
        <v>-18.655172413793107</v>
      </c>
      <c r="O1474" s="5">
        <f t="shared" si="134"/>
        <v>-0.44036697247706424</v>
      </c>
      <c r="P1474" s="5">
        <f t="shared" si="135"/>
        <v>-0.52459016393442626</v>
      </c>
      <c r="Q1474" s="4">
        <f t="shared" si="136"/>
        <v>0.20139685792349724</v>
      </c>
      <c r="R1474" s="4">
        <f t="shared" si="137"/>
        <v>0.35561422413793109</v>
      </c>
      <c r="S1474" s="4">
        <v>60.6</v>
      </c>
      <c r="T1474" s="2">
        <v>0.69</v>
      </c>
      <c r="U1474" s="2">
        <v>5.41</v>
      </c>
      <c r="V1474" s="2">
        <v>1.66</v>
      </c>
      <c r="W1474" s="2">
        <v>42.74</v>
      </c>
      <c r="X1474" s="2">
        <v>108.08</v>
      </c>
      <c r="Y1474" s="2">
        <v>150.46</v>
      </c>
      <c r="Z1474" s="2">
        <v>98.17</v>
      </c>
    </row>
    <row r="1475" spans="1:26" x14ac:dyDescent="0.25">
      <c r="A1475" s="1" t="s">
        <v>6153</v>
      </c>
      <c r="B1475" s="1" t="s">
        <v>6154</v>
      </c>
      <c r="C1475" s="1" t="s">
        <v>16</v>
      </c>
      <c r="D1475" s="1" t="s">
        <v>88</v>
      </c>
      <c r="E1475" s="1" t="s">
        <v>6156</v>
      </c>
      <c r="F1475" s="1" t="s">
        <v>6155</v>
      </c>
      <c r="G1475" s="1" t="s">
        <v>12480</v>
      </c>
      <c r="H1475" s="1" t="s">
        <v>6157</v>
      </c>
      <c r="I1475" s="2">
        <v>38.39</v>
      </c>
      <c r="J1475" s="2">
        <v>-0.2</v>
      </c>
      <c r="K1475" s="2">
        <v>1.99</v>
      </c>
      <c r="L1475" s="2">
        <v>3.1</v>
      </c>
      <c r="M1475" s="4">
        <f t="shared" ref="M1475:M1538" si="138">I1475/K1475</f>
        <v>19.291457286432163</v>
      </c>
      <c r="N1475" s="4">
        <f t="shared" ref="N1475:N1538" si="139">I1475/L1475</f>
        <v>12.383870967741935</v>
      </c>
      <c r="O1475" s="5">
        <f t="shared" ref="O1475:O1538" si="140">K1475/J1475-1</f>
        <v>-10.95</v>
      </c>
      <c r="P1475" s="5">
        <f t="shared" ref="P1475:P1538" si="141">L1475/K1475-1</f>
        <v>0.55778894472361817</v>
      </c>
      <c r="Q1475" s="4">
        <f t="shared" ref="Q1475:Q1538" si="142">M1475/(O1475*100)</f>
        <v>-1.7617769211353572E-2</v>
      </c>
      <c r="R1475" s="4">
        <f t="shared" ref="R1475:R1538" si="143">N1475/(P1475*100)</f>
        <v>0.22201714617843643</v>
      </c>
      <c r="S1475" s="4">
        <v>26.93</v>
      </c>
      <c r="T1475" s="2">
        <v>1.0900000000000001</v>
      </c>
      <c r="U1475" s="2">
        <v>56.26</v>
      </c>
      <c r="V1475" s="2">
        <v>35.6</v>
      </c>
      <c r="W1475" s="2">
        <v>-10.49</v>
      </c>
      <c r="X1475" s="2">
        <v>-19.18</v>
      </c>
      <c r="Y1475" s="2">
        <v>-0.54</v>
      </c>
      <c r="Z1475" s="2">
        <v>-2.54</v>
      </c>
    </row>
    <row r="1476" spans="1:26" x14ac:dyDescent="0.25">
      <c r="A1476" s="1" t="s">
        <v>6158</v>
      </c>
      <c r="B1476" s="1" t="s">
        <v>6159</v>
      </c>
      <c r="C1476" s="1" t="s">
        <v>45</v>
      </c>
      <c r="D1476" s="1" t="s">
        <v>147</v>
      </c>
      <c r="E1476" s="1" t="s">
        <v>1084</v>
      </c>
      <c r="F1476" s="1" t="s">
        <v>6160</v>
      </c>
      <c r="G1476" s="1" t="s">
        <v>12480</v>
      </c>
      <c r="H1476" s="1" t="s">
        <v>1150</v>
      </c>
      <c r="I1476" s="2">
        <v>93.15</v>
      </c>
      <c r="J1476" s="2">
        <v>5.24</v>
      </c>
      <c r="K1476" s="2">
        <v>4.82</v>
      </c>
      <c r="L1476" s="2">
        <v>5.28</v>
      </c>
      <c r="M1476" s="4">
        <f t="shared" si="138"/>
        <v>19.325726141078839</v>
      </c>
      <c r="N1476" s="4">
        <f t="shared" si="139"/>
        <v>17.642045454545453</v>
      </c>
      <c r="O1476" s="5">
        <f t="shared" si="140"/>
        <v>-8.0152671755725158E-2</v>
      </c>
      <c r="P1476" s="5">
        <f t="shared" si="141"/>
        <v>9.5435684647302788E-2</v>
      </c>
      <c r="Q1476" s="4">
        <f t="shared" si="142"/>
        <v>-2.411114404267932</v>
      </c>
      <c r="R1476" s="4">
        <f t="shared" si="143"/>
        <v>1.8485795454545477</v>
      </c>
      <c r="S1476" s="4" t="s">
        <v>12853</v>
      </c>
      <c r="T1476" s="2">
        <v>1.21</v>
      </c>
      <c r="U1476" s="2">
        <v>141.47999999999999</v>
      </c>
      <c r="V1476" s="2">
        <v>79.569999999999993</v>
      </c>
      <c r="W1476" s="2">
        <v>-6.08</v>
      </c>
      <c r="X1476" s="2">
        <v>-6.9</v>
      </c>
      <c r="Y1476" s="2">
        <v>11.99</v>
      </c>
      <c r="Z1476" s="2">
        <v>9.81</v>
      </c>
    </row>
    <row r="1477" spans="1:26" x14ac:dyDescent="0.25">
      <c r="A1477" s="1" t="s">
        <v>6161</v>
      </c>
      <c r="B1477" s="1" t="s">
        <v>6162</v>
      </c>
      <c r="C1477" s="1" t="s">
        <v>45</v>
      </c>
      <c r="D1477" s="1" t="s">
        <v>32</v>
      </c>
      <c r="E1477" s="1" t="s">
        <v>6164</v>
      </c>
      <c r="F1477" s="1" t="s">
        <v>6163</v>
      </c>
      <c r="G1477" s="1" t="s">
        <v>12480</v>
      </c>
      <c r="H1477" s="1" t="s">
        <v>5050</v>
      </c>
      <c r="I1477" s="2">
        <v>121.89</v>
      </c>
      <c r="J1477" s="2">
        <v>1.42</v>
      </c>
      <c r="K1477" s="2">
        <v>1.83</v>
      </c>
      <c r="L1477" s="2">
        <v>2.78</v>
      </c>
      <c r="M1477" s="4">
        <f t="shared" si="138"/>
        <v>66.606557377049171</v>
      </c>
      <c r="N1477" s="4">
        <f t="shared" si="139"/>
        <v>43.845323741007199</v>
      </c>
      <c r="O1477" s="5">
        <f t="shared" si="140"/>
        <v>0.28873239436619724</v>
      </c>
      <c r="P1477" s="5">
        <f t="shared" si="141"/>
        <v>0.5191256830601092</v>
      </c>
      <c r="Q1477" s="4">
        <f t="shared" si="142"/>
        <v>2.3068612554978003</v>
      </c>
      <c r="R1477" s="4">
        <f t="shared" si="143"/>
        <v>0.84459939416887575</v>
      </c>
      <c r="S1477" s="4">
        <v>2.73</v>
      </c>
      <c r="T1477" s="2">
        <v>0.95</v>
      </c>
      <c r="U1477" s="2">
        <v>153.91</v>
      </c>
      <c r="V1477" s="2">
        <v>49.68</v>
      </c>
      <c r="W1477" s="2">
        <v>-9.8000000000000007</v>
      </c>
      <c r="X1477" s="2">
        <v>9.48</v>
      </c>
      <c r="Y1477" s="2">
        <v>56.71</v>
      </c>
      <c r="Z1477" s="2">
        <v>70.239999999999995</v>
      </c>
    </row>
    <row r="1478" spans="1:26" x14ac:dyDescent="0.25">
      <c r="A1478" s="1" t="s">
        <v>6165</v>
      </c>
      <c r="B1478" s="1" t="s">
        <v>6166</v>
      </c>
      <c r="C1478" s="1" t="s">
        <v>31</v>
      </c>
      <c r="D1478" s="1" t="s">
        <v>18</v>
      </c>
      <c r="E1478" s="1" t="s">
        <v>780</v>
      </c>
      <c r="F1478" s="1" t="s">
        <v>12703</v>
      </c>
      <c r="G1478" s="1" t="s">
        <v>12480</v>
      </c>
      <c r="H1478" s="1" t="s">
        <v>6167</v>
      </c>
      <c r="I1478" s="2">
        <v>45.89</v>
      </c>
      <c r="J1478" s="2">
        <v>3.42</v>
      </c>
      <c r="K1478" s="2"/>
      <c r="L1478" s="2"/>
      <c r="M1478" s="4" t="e">
        <f t="shared" si="138"/>
        <v>#DIV/0!</v>
      </c>
      <c r="N1478" s="4" t="e">
        <f t="shared" si="139"/>
        <v>#DIV/0!</v>
      </c>
      <c r="O1478" s="5">
        <f t="shared" si="140"/>
        <v>-1</v>
      </c>
      <c r="P1478" s="5" t="e">
        <f t="shared" si="141"/>
        <v>#DIV/0!</v>
      </c>
      <c r="Q1478" s="4" t="e">
        <f t="shared" si="142"/>
        <v>#DIV/0!</v>
      </c>
      <c r="R1478" s="4" t="e">
        <f t="shared" si="143"/>
        <v>#DIV/0!</v>
      </c>
      <c r="S1478" s="4">
        <v>7.49</v>
      </c>
      <c r="T1478" s="2">
        <v>0.47</v>
      </c>
      <c r="U1478" s="2">
        <v>47.81</v>
      </c>
      <c r="V1478" s="2">
        <v>25.77</v>
      </c>
      <c r="W1478" s="2">
        <v>-4.0199999999999996</v>
      </c>
      <c r="X1478" s="2">
        <v>13.42</v>
      </c>
      <c r="Y1478" s="2">
        <v>29.09</v>
      </c>
      <c r="Z1478" s="2">
        <v>26.21</v>
      </c>
    </row>
    <row r="1479" spans="1:26" x14ac:dyDescent="0.25">
      <c r="A1479" s="1" t="s">
        <v>6168</v>
      </c>
      <c r="B1479" s="1" t="s">
        <v>6169</v>
      </c>
      <c r="C1479" s="1" t="s">
        <v>45</v>
      </c>
      <c r="D1479" s="1" t="s">
        <v>88</v>
      </c>
      <c r="E1479" s="1" t="s">
        <v>658</v>
      </c>
      <c r="F1479" s="1" t="s">
        <v>6170</v>
      </c>
      <c r="G1479" s="1" t="s">
        <v>12502</v>
      </c>
      <c r="H1479" s="1" t="s">
        <v>2879</v>
      </c>
      <c r="I1479" s="2">
        <v>47.77</v>
      </c>
      <c r="J1479" s="2">
        <v>-1.19</v>
      </c>
      <c r="K1479" s="2">
        <v>-0.06</v>
      </c>
      <c r="L1479" s="2">
        <v>0.05</v>
      </c>
      <c r="M1479" s="4">
        <f t="shared" si="138"/>
        <v>-796.16666666666674</v>
      </c>
      <c r="N1479" s="4">
        <f t="shared" si="139"/>
        <v>955.4</v>
      </c>
      <c r="O1479" s="5">
        <f t="shared" si="140"/>
        <v>-0.94957983193277307</v>
      </c>
      <c r="P1479" s="5">
        <f t="shared" si="141"/>
        <v>-1.8333333333333335</v>
      </c>
      <c r="Q1479" s="4">
        <f t="shared" si="142"/>
        <v>8.3844100294985271</v>
      </c>
      <c r="R1479" s="4">
        <f t="shared" si="143"/>
        <v>-5.2112727272727266</v>
      </c>
      <c r="S1479" s="4"/>
      <c r="T1479" s="2">
        <v>0.97</v>
      </c>
      <c r="U1479" s="2">
        <v>60.11</v>
      </c>
      <c r="V1479" s="2">
        <v>12.98</v>
      </c>
      <c r="W1479" s="2">
        <v>-5.35</v>
      </c>
      <c r="X1479" s="2">
        <v>8.3000000000000007</v>
      </c>
      <c r="Y1479" s="2" t="s">
        <v>12610</v>
      </c>
      <c r="Z1479" s="2">
        <v>32.020000000000003</v>
      </c>
    </row>
    <row r="1480" spans="1:26" x14ac:dyDescent="0.25">
      <c r="A1480" s="1" t="s">
        <v>6171</v>
      </c>
      <c r="B1480" s="1" t="s">
        <v>6172</v>
      </c>
      <c r="C1480" s="1" t="s">
        <v>31</v>
      </c>
      <c r="D1480" s="1" t="s">
        <v>94</v>
      </c>
      <c r="E1480" s="1" t="s">
        <v>1542</v>
      </c>
      <c r="F1480" s="1" t="s">
        <v>6173</v>
      </c>
      <c r="G1480" s="1" t="s">
        <v>12480</v>
      </c>
      <c r="H1480" s="1" t="s">
        <v>6174</v>
      </c>
      <c r="I1480" s="2">
        <v>24.59</v>
      </c>
      <c r="J1480" s="2">
        <v>2.21</v>
      </c>
      <c r="K1480" s="2"/>
      <c r="L1480" s="2"/>
      <c r="M1480" s="4" t="e">
        <f t="shared" si="138"/>
        <v>#DIV/0!</v>
      </c>
      <c r="N1480" s="4" t="e">
        <f t="shared" si="139"/>
        <v>#DIV/0!</v>
      </c>
      <c r="O1480" s="5">
        <f t="shared" si="140"/>
        <v>-1</v>
      </c>
      <c r="P1480" s="5" t="e">
        <f t="shared" si="141"/>
        <v>#DIV/0!</v>
      </c>
      <c r="Q1480" s="4" t="e">
        <f t="shared" si="142"/>
        <v>#DIV/0!</v>
      </c>
      <c r="R1480" s="4" t="e">
        <f t="shared" si="143"/>
        <v>#DIV/0!</v>
      </c>
      <c r="S1480" s="4">
        <v>-10.220000000000001</v>
      </c>
      <c r="T1480" s="2">
        <v>0.36</v>
      </c>
      <c r="U1480" s="2">
        <v>26.39</v>
      </c>
      <c r="V1480" s="2">
        <v>11.7</v>
      </c>
      <c r="W1480" s="2">
        <v>-4.0599999999999996</v>
      </c>
      <c r="X1480" s="2">
        <v>1.74</v>
      </c>
      <c r="Y1480" s="2">
        <v>19.25</v>
      </c>
      <c r="Z1480" s="2">
        <v>23.44</v>
      </c>
    </row>
    <row r="1481" spans="1:26" x14ac:dyDescent="0.25">
      <c r="A1481" s="1" t="s">
        <v>6175</v>
      </c>
      <c r="B1481" s="1" t="s">
        <v>6176</v>
      </c>
      <c r="C1481" s="1" t="s">
        <v>45</v>
      </c>
      <c r="D1481" s="1" t="s">
        <v>32</v>
      </c>
      <c r="E1481" s="1" t="s">
        <v>565</v>
      </c>
      <c r="F1481" s="1" t="s">
        <v>6177</v>
      </c>
      <c r="G1481" s="1" t="s">
        <v>12480</v>
      </c>
      <c r="H1481" s="1" t="s">
        <v>6178</v>
      </c>
      <c r="I1481" s="2">
        <v>1.34</v>
      </c>
      <c r="J1481" s="2">
        <v>0.04</v>
      </c>
      <c r="K1481" s="2">
        <v>0.17</v>
      </c>
      <c r="L1481" s="2">
        <v>0.22</v>
      </c>
      <c r="M1481" s="4">
        <f t="shared" si="138"/>
        <v>7.8823529411764701</v>
      </c>
      <c r="N1481" s="4">
        <f t="shared" si="139"/>
        <v>6.0909090909090908</v>
      </c>
      <c r="O1481" s="5">
        <f t="shared" si="140"/>
        <v>3.25</v>
      </c>
      <c r="P1481" s="5">
        <f t="shared" si="141"/>
        <v>0.29411764705882337</v>
      </c>
      <c r="Q1481" s="4">
        <f t="shared" si="142"/>
        <v>2.4253393665158371E-2</v>
      </c>
      <c r="R1481" s="4">
        <f t="shared" si="143"/>
        <v>0.20709090909090919</v>
      </c>
      <c r="S1481" s="4">
        <v>-5.17</v>
      </c>
      <c r="T1481" s="2">
        <v>0.1</v>
      </c>
      <c r="U1481" s="2">
        <v>2.79</v>
      </c>
      <c r="V1481" s="2">
        <v>1.34</v>
      </c>
      <c r="W1481" s="2">
        <v>-15.19</v>
      </c>
      <c r="X1481" s="2">
        <v>-31.28</v>
      </c>
      <c r="Y1481" s="2">
        <v>-31.28</v>
      </c>
      <c r="Z1481" s="2">
        <v>-30.21</v>
      </c>
    </row>
    <row r="1482" spans="1:26" x14ac:dyDescent="0.25">
      <c r="A1482" s="1" t="s">
        <v>6179</v>
      </c>
      <c r="B1482" s="1" t="s">
        <v>6180</v>
      </c>
      <c r="C1482" s="1" t="s">
        <v>16</v>
      </c>
      <c r="D1482" s="1" t="s">
        <v>18</v>
      </c>
      <c r="E1482" s="1" t="s">
        <v>594</v>
      </c>
      <c r="F1482" s="1" t="s">
        <v>6181</v>
      </c>
      <c r="G1482" s="1" t="s">
        <v>12480</v>
      </c>
      <c r="H1482" s="1" t="s">
        <v>1280</v>
      </c>
      <c r="I1482" s="2">
        <v>178.55</v>
      </c>
      <c r="J1482" s="2">
        <v>11.92</v>
      </c>
      <c r="K1482" s="2">
        <v>12.75</v>
      </c>
      <c r="L1482" s="2">
        <v>14.12</v>
      </c>
      <c r="M1482" s="4">
        <f t="shared" si="138"/>
        <v>14.003921568627453</v>
      </c>
      <c r="N1482" s="4">
        <f t="shared" si="139"/>
        <v>12.645184135977338</v>
      </c>
      <c r="O1482" s="5">
        <f t="shared" si="140"/>
        <v>6.9630872483221529E-2</v>
      </c>
      <c r="P1482" s="5">
        <f t="shared" si="141"/>
        <v>0.10745098039215684</v>
      </c>
      <c r="Q1482" s="4">
        <f t="shared" si="142"/>
        <v>2.0111656035908325</v>
      </c>
      <c r="R1482" s="4">
        <f t="shared" si="143"/>
        <v>1.1768328301730737</v>
      </c>
      <c r="S1482" s="4">
        <v>5.87</v>
      </c>
      <c r="T1482" s="2">
        <v>1.39</v>
      </c>
      <c r="U1482" s="2">
        <v>244.29</v>
      </c>
      <c r="V1482" s="2" t="s">
        <v>12704</v>
      </c>
      <c r="W1482" s="2">
        <v>2.46</v>
      </c>
      <c r="X1482" s="2">
        <v>-7.33</v>
      </c>
      <c r="Y1482" s="2">
        <v>-20.16</v>
      </c>
      <c r="Z1482" s="2">
        <v>-20.79</v>
      </c>
    </row>
    <row r="1483" spans="1:26" x14ac:dyDescent="0.25">
      <c r="A1483" s="1" t="s">
        <v>6182</v>
      </c>
      <c r="B1483" s="1" t="s">
        <v>6183</v>
      </c>
      <c r="C1483" s="1" t="s">
        <v>16</v>
      </c>
      <c r="D1483" s="1" t="s">
        <v>25</v>
      </c>
      <c r="E1483" s="1" t="s">
        <v>220</v>
      </c>
      <c r="F1483" s="1" t="s">
        <v>6184</v>
      </c>
      <c r="G1483" s="1" t="s">
        <v>12480</v>
      </c>
      <c r="H1483" s="1" t="s">
        <v>6185</v>
      </c>
      <c r="I1483" s="2">
        <v>86.66</v>
      </c>
      <c r="J1483" s="2">
        <v>3.34</v>
      </c>
      <c r="K1483" s="2">
        <v>3.55</v>
      </c>
      <c r="L1483" s="2">
        <v>3.94</v>
      </c>
      <c r="M1483" s="4">
        <f t="shared" si="138"/>
        <v>24.411267605633803</v>
      </c>
      <c r="N1483" s="4">
        <f t="shared" si="139"/>
        <v>21.99492385786802</v>
      </c>
      <c r="O1483" s="5">
        <f t="shared" si="140"/>
        <v>6.2874251497005984E-2</v>
      </c>
      <c r="P1483" s="5">
        <f t="shared" si="141"/>
        <v>0.10985915492957754</v>
      </c>
      <c r="Q1483" s="4">
        <f t="shared" si="142"/>
        <v>3.882553990610329</v>
      </c>
      <c r="R1483" s="4">
        <f t="shared" si="143"/>
        <v>2.0021020434726005</v>
      </c>
      <c r="S1483" s="4">
        <v>5.75</v>
      </c>
      <c r="T1483" s="2">
        <v>1.29</v>
      </c>
      <c r="U1483" s="2">
        <v>98.76</v>
      </c>
      <c r="V1483" s="2">
        <v>66.75</v>
      </c>
      <c r="W1483" s="2">
        <v>-7.78</v>
      </c>
      <c r="X1483" s="2">
        <v>-11.92</v>
      </c>
      <c r="Y1483" s="2">
        <v>6.16</v>
      </c>
      <c r="Z1483" s="2">
        <v>9.39</v>
      </c>
    </row>
    <row r="1484" spans="1:26" x14ac:dyDescent="0.25">
      <c r="A1484" s="1" t="s">
        <v>6186</v>
      </c>
      <c r="B1484" s="1" t="s">
        <v>6187</v>
      </c>
      <c r="C1484" s="1" t="s">
        <v>45</v>
      </c>
      <c r="D1484" s="1" t="s">
        <v>32</v>
      </c>
      <c r="E1484" s="1" t="s">
        <v>5062</v>
      </c>
      <c r="F1484" s="1" t="s">
        <v>6188</v>
      </c>
      <c r="G1484" s="1" t="s">
        <v>12480</v>
      </c>
      <c r="H1484" s="1" t="s">
        <v>6189</v>
      </c>
      <c r="I1484" s="2">
        <v>24.24</v>
      </c>
      <c r="J1484" s="2">
        <v>1.06</v>
      </c>
      <c r="K1484" s="2">
        <v>1.06</v>
      </c>
      <c r="L1484" s="2">
        <v>1.26</v>
      </c>
      <c r="M1484" s="4">
        <f t="shared" si="138"/>
        <v>22.867924528301884</v>
      </c>
      <c r="N1484" s="4">
        <f t="shared" si="139"/>
        <v>19.238095238095237</v>
      </c>
      <c r="O1484" s="5">
        <f t="shared" si="140"/>
        <v>0</v>
      </c>
      <c r="P1484" s="5">
        <f t="shared" si="141"/>
        <v>0.18867924528301883</v>
      </c>
      <c r="Q1484" s="4" t="e">
        <f t="shared" si="142"/>
        <v>#DIV/0!</v>
      </c>
      <c r="R1484" s="4">
        <f t="shared" si="143"/>
        <v>1.0196190476190476</v>
      </c>
      <c r="S1484" s="4">
        <v>4.93</v>
      </c>
      <c r="T1484" s="2">
        <v>0.6</v>
      </c>
      <c r="U1484" s="2">
        <v>32.43</v>
      </c>
      <c r="V1484" s="2">
        <v>15.84</v>
      </c>
      <c r="W1484" s="2">
        <v>-2.14</v>
      </c>
      <c r="X1484" s="2">
        <v>17.329999999999998</v>
      </c>
      <c r="Y1484" s="2">
        <v>37.729999999999997</v>
      </c>
      <c r="Z1484" s="2">
        <v>39.47</v>
      </c>
    </row>
    <row r="1485" spans="1:26" x14ac:dyDescent="0.25">
      <c r="A1485" s="1" t="s">
        <v>6191</v>
      </c>
      <c r="B1485" s="1" t="s">
        <v>6192</v>
      </c>
      <c r="C1485" s="1" t="s">
        <v>45</v>
      </c>
      <c r="D1485" s="1" t="s">
        <v>38</v>
      </c>
      <c r="E1485" s="1" t="s">
        <v>52</v>
      </c>
      <c r="F1485" s="1" t="s">
        <v>6193</v>
      </c>
      <c r="G1485" s="1" t="s">
        <v>12502</v>
      </c>
      <c r="H1485" s="1" t="s">
        <v>6194</v>
      </c>
      <c r="I1485" s="2">
        <v>38.840000000000003</v>
      </c>
      <c r="J1485" s="2">
        <v>0.04</v>
      </c>
      <c r="K1485" s="2">
        <v>0.37</v>
      </c>
      <c r="L1485" s="2">
        <v>0.75</v>
      </c>
      <c r="M1485" s="4">
        <f t="shared" si="138"/>
        <v>104.97297297297298</v>
      </c>
      <c r="N1485" s="4">
        <f t="shared" si="139"/>
        <v>51.786666666666669</v>
      </c>
      <c r="O1485" s="5">
        <f t="shared" si="140"/>
        <v>8.25</v>
      </c>
      <c r="P1485" s="5">
        <f t="shared" si="141"/>
        <v>1.0270270270270272</v>
      </c>
      <c r="Q1485" s="4">
        <f t="shared" si="142"/>
        <v>0.12723996723996725</v>
      </c>
      <c r="R1485" s="4">
        <f t="shared" si="143"/>
        <v>0.50423859649122804</v>
      </c>
      <c r="S1485" s="4">
        <v>165.43</v>
      </c>
      <c r="T1485" s="2">
        <v>4.3099999999999996</v>
      </c>
      <c r="U1485" s="2">
        <v>76.41</v>
      </c>
      <c r="V1485" s="2">
        <v>5.3</v>
      </c>
      <c r="W1485" s="2">
        <v>-6.16</v>
      </c>
      <c r="X1485" s="2">
        <v>-15.84</v>
      </c>
      <c r="Y1485" s="2">
        <v>9.4700000000000006</v>
      </c>
      <c r="Z1485" s="2">
        <v>2.83</v>
      </c>
    </row>
    <row r="1486" spans="1:26" x14ac:dyDescent="0.25">
      <c r="A1486" s="1" t="s">
        <v>6195</v>
      </c>
      <c r="B1486" s="1" t="s">
        <v>6196</v>
      </c>
      <c r="C1486" s="1" t="s">
        <v>16</v>
      </c>
      <c r="D1486" s="1" t="s">
        <v>140</v>
      </c>
      <c r="E1486" s="1" t="s">
        <v>4364</v>
      </c>
      <c r="F1486" s="1" t="s">
        <v>6197</v>
      </c>
      <c r="G1486" s="1" t="s">
        <v>12480</v>
      </c>
      <c r="H1486" s="1" t="s">
        <v>6198</v>
      </c>
      <c r="I1486" s="2">
        <v>107.14</v>
      </c>
      <c r="J1486" s="2">
        <v>2.12</v>
      </c>
      <c r="K1486" s="2">
        <v>5.7</v>
      </c>
      <c r="L1486" s="2">
        <v>6.25</v>
      </c>
      <c r="M1486" s="4">
        <f t="shared" si="138"/>
        <v>18.796491228070174</v>
      </c>
      <c r="N1486" s="4">
        <f t="shared" si="139"/>
        <v>17.142399999999999</v>
      </c>
      <c r="O1486" s="5">
        <f t="shared" si="140"/>
        <v>1.6886792452830188</v>
      </c>
      <c r="P1486" s="5">
        <f t="shared" si="141"/>
        <v>9.6491228070175294E-2</v>
      </c>
      <c r="Q1486" s="4">
        <f t="shared" si="142"/>
        <v>0.11130883073605802</v>
      </c>
      <c r="R1486" s="4">
        <f t="shared" si="143"/>
        <v>1.7765760000000024</v>
      </c>
      <c r="S1486" s="4">
        <v>12.23</v>
      </c>
      <c r="T1486" s="2">
        <v>1.1299999999999999</v>
      </c>
      <c r="U1486" s="2">
        <v>113.24</v>
      </c>
      <c r="V1486" s="2">
        <v>76.930000000000007</v>
      </c>
      <c r="W1486" s="2">
        <v>-2.89</v>
      </c>
      <c r="X1486" s="2">
        <v>10.36</v>
      </c>
      <c r="Y1486" s="2">
        <v>29.96</v>
      </c>
      <c r="Z1486" s="2">
        <v>29.16</v>
      </c>
    </row>
    <row r="1487" spans="1:26" x14ac:dyDescent="0.25">
      <c r="A1487" s="1" t="s">
        <v>6199</v>
      </c>
      <c r="B1487" s="1" t="s">
        <v>6200</v>
      </c>
      <c r="C1487" s="1" t="s">
        <v>45</v>
      </c>
      <c r="D1487" s="1" t="s">
        <v>18</v>
      </c>
      <c r="E1487" s="1" t="s">
        <v>594</v>
      </c>
      <c r="F1487" s="1" t="s">
        <v>6201</v>
      </c>
      <c r="G1487" s="1" t="s">
        <v>12480</v>
      </c>
      <c r="H1487" s="1" t="s">
        <v>12560</v>
      </c>
      <c r="I1487" s="2">
        <v>100.18</v>
      </c>
      <c r="J1487" s="2">
        <v>1.93</v>
      </c>
      <c r="K1487" s="2">
        <v>2.1</v>
      </c>
      <c r="L1487" s="2">
        <v>2.3199999999999998</v>
      </c>
      <c r="M1487" s="4">
        <f t="shared" si="138"/>
        <v>47.704761904761909</v>
      </c>
      <c r="N1487" s="4">
        <f t="shared" si="139"/>
        <v>43.181034482758626</v>
      </c>
      <c r="O1487" s="5">
        <f t="shared" si="140"/>
        <v>8.8082901554404236E-2</v>
      </c>
      <c r="P1487" s="5">
        <f t="shared" si="141"/>
        <v>0.10476190476190461</v>
      </c>
      <c r="Q1487" s="4">
        <f t="shared" si="142"/>
        <v>5.4158935574229634</v>
      </c>
      <c r="R1487" s="4">
        <f t="shared" si="143"/>
        <v>4.1218260188087843</v>
      </c>
      <c r="S1487" s="4">
        <v>14.43</v>
      </c>
      <c r="T1487" s="2">
        <v>1.1200000000000001</v>
      </c>
      <c r="U1487" s="2">
        <v>105.15</v>
      </c>
      <c r="V1487" s="2">
        <v>48.67</v>
      </c>
      <c r="W1487" s="2">
        <v>-3.43</v>
      </c>
      <c r="X1487" s="2">
        <v>4.3899999999999997</v>
      </c>
      <c r="Y1487" s="2">
        <v>3.26</v>
      </c>
      <c r="Z1487" s="2">
        <v>2.98</v>
      </c>
    </row>
    <row r="1488" spans="1:26" x14ac:dyDescent="0.25">
      <c r="A1488" s="1" t="s">
        <v>6202</v>
      </c>
      <c r="B1488" s="1" t="s">
        <v>6203</v>
      </c>
      <c r="C1488" s="1" t="s">
        <v>45</v>
      </c>
      <c r="D1488" s="1" t="s">
        <v>18</v>
      </c>
      <c r="E1488" s="1" t="s">
        <v>74</v>
      </c>
      <c r="F1488" s="1" t="s">
        <v>6204</v>
      </c>
      <c r="G1488" s="1" t="s">
        <v>12480</v>
      </c>
      <c r="H1488" s="1" t="s">
        <v>371</v>
      </c>
      <c r="I1488" s="2">
        <v>64.23</v>
      </c>
      <c r="J1488" s="2">
        <v>-6.01</v>
      </c>
      <c r="K1488" s="2">
        <v>-6.68</v>
      </c>
      <c r="L1488" s="2">
        <v>-6.97</v>
      </c>
      <c r="M1488" s="4">
        <f t="shared" si="138"/>
        <v>-9.6152694610778457</v>
      </c>
      <c r="N1488" s="4">
        <f t="shared" si="139"/>
        <v>-9.215208034433287</v>
      </c>
      <c r="O1488" s="5">
        <f t="shared" si="140"/>
        <v>0.11148086522462552</v>
      </c>
      <c r="P1488" s="5">
        <f t="shared" si="141"/>
        <v>4.3413173652694592E-2</v>
      </c>
      <c r="Q1488" s="4">
        <f t="shared" si="142"/>
        <v>-0.86250402180713293</v>
      </c>
      <c r="R1488" s="4">
        <f t="shared" si="143"/>
        <v>-2.1226755058625648</v>
      </c>
      <c r="S1488" s="4"/>
      <c r="T1488" s="2">
        <v>0.87</v>
      </c>
      <c r="U1488" s="2">
        <v>94.11</v>
      </c>
      <c r="V1488" s="2">
        <v>34.28</v>
      </c>
      <c r="W1488" s="2">
        <v>-3.47</v>
      </c>
      <c r="X1488" s="2">
        <v>-12.66</v>
      </c>
      <c r="Y1488" s="2">
        <v>-30.19</v>
      </c>
      <c r="Z1488" s="2">
        <v>-19.12</v>
      </c>
    </row>
    <row r="1489" spans="1:26" x14ac:dyDescent="0.25">
      <c r="A1489" s="1" t="s">
        <v>6205</v>
      </c>
      <c r="B1489" s="1" t="s">
        <v>6206</v>
      </c>
      <c r="C1489" s="1" t="s">
        <v>16</v>
      </c>
      <c r="D1489" s="1" t="s">
        <v>38</v>
      </c>
      <c r="E1489" s="1" t="s">
        <v>1755</v>
      </c>
      <c r="F1489" s="1" t="s">
        <v>6207</v>
      </c>
      <c r="G1489" s="1" t="s">
        <v>12502</v>
      </c>
      <c r="H1489" s="1" t="s">
        <v>6208</v>
      </c>
      <c r="I1489" s="2">
        <v>14.89</v>
      </c>
      <c r="J1489" s="2">
        <v>2.09</v>
      </c>
      <c r="K1489" s="2"/>
      <c r="L1489" s="2"/>
      <c r="M1489" s="4" t="e">
        <f t="shared" si="138"/>
        <v>#DIV/0!</v>
      </c>
      <c r="N1489" s="4" t="e">
        <f t="shared" si="139"/>
        <v>#DIV/0!</v>
      </c>
      <c r="O1489" s="5">
        <f t="shared" si="140"/>
        <v>-1</v>
      </c>
      <c r="P1489" s="5" t="e">
        <f t="shared" si="141"/>
        <v>#DIV/0!</v>
      </c>
      <c r="Q1489" s="4" t="e">
        <f t="shared" si="142"/>
        <v>#DIV/0!</v>
      </c>
      <c r="R1489" s="4" t="e">
        <f t="shared" si="143"/>
        <v>#DIV/0!</v>
      </c>
      <c r="S1489" s="4">
        <v>-37.909999999999997</v>
      </c>
      <c r="T1489" s="2">
        <v>1.5</v>
      </c>
      <c r="U1489" s="2">
        <v>18.41</v>
      </c>
      <c r="V1489" s="2">
        <v>11.34</v>
      </c>
      <c r="W1489" s="2">
        <v>-6.23</v>
      </c>
      <c r="X1489" s="2">
        <v>-6.35</v>
      </c>
      <c r="Y1489" s="2">
        <v>-3.06</v>
      </c>
      <c r="Z1489" s="2">
        <v>-9.98</v>
      </c>
    </row>
    <row r="1490" spans="1:26" x14ac:dyDescent="0.25">
      <c r="A1490" s="1" t="s">
        <v>6209</v>
      </c>
      <c r="B1490" s="1" t="s">
        <v>6210</v>
      </c>
      <c r="C1490" s="1" t="s">
        <v>16</v>
      </c>
      <c r="D1490" s="1" t="s">
        <v>38</v>
      </c>
      <c r="E1490" s="1" t="s">
        <v>765</v>
      </c>
      <c r="F1490" s="1" t="s">
        <v>6211</v>
      </c>
      <c r="G1490" s="1" t="s">
        <v>12480</v>
      </c>
      <c r="H1490" s="1" t="s">
        <v>6212</v>
      </c>
      <c r="I1490" s="2">
        <v>16.309999999999999</v>
      </c>
      <c r="J1490" s="2">
        <v>1.17</v>
      </c>
      <c r="K1490" s="2">
        <v>1.18</v>
      </c>
      <c r="L1490" s="2">
        <v>1.23</v>
      </c>
      <c r="M1490" s="4">
        <f t="shared" si="138"/>
        <v>13.822033898305085</v>
      </c>
      <c r="N1490" s="4">
        <f t="shared" si="139"/>
        <v>13.260162601626016</v>
      </c>
      <c r="O1490" s="5">
        <f t="shared" si="140"/>
        <v>8.5470085470085166E-3</v>
      </c>
      <c r="P1490" s="5">
        <f t="shared" si="141"/>
        <v>4.2372881355932313E-2</v>
      </c>
      <c r="Q1490" s="4">
        <f t="shared" si="142"/>
        <v>16.171779661017005</v>
      </c>
      <c r="R1490" s="4">
        <f t="shared" si="143"/>
        <v>3.1293983739837317</v>
      </c>
      <c r="S1490" s="4">
        <v>2.76</v>
      </c>
      <c r="T1490" s="2">
        <v>0.99</v>
      </c>
      <c r="U1490" s="2">
        <v>21.38</v>
      </c>
      <c r="V1490" s="2">
        <v>15.12</v>
      </c>
      <c r="W1490" s="2">
        <v>-1.98</v>
      </c>
      <c r="X1490" s="2">
        <v>-2.74</v>
      </c>
      <c r="Y1490" s="2" t="s">
        <v>12494</v>
      </c>
      <c r="Z1490" s="2">
        <v>-6.69</v>
      </c>
    </row>
    <row r="1491" spans="1:26" x14ac:dyDescent="0.25">
      <c r="A1491" s="1" t="s">
        <v>6213</v>
      </c>
      <c r="B1491" s="1" t="s">
        <v>6214</v>
      </c>
      <c r="C1491" s="1" t="s">
        <v>45</v>
      </c>
      <c r="D1491" s="1" t="s">
        <v>18</v>
      </c>
      <c r="E1491" s="1" t="s">
        <v>1385</v>
      </c>
      <c r="F1491" s="1" t="s">
        <v>6215</v>
      </c>
      <c r="G1491" s="1" t="s">
        <v>12480</v>
      </c>
      <c r="H1491" s="1" t="s">
        <v>6216</v>
      </c>
      <c r="I1491" s="2">
        <v>123.75</v>
      </c>
      <c r="J1491" s="2">
        <v>-1.03</v>
      </c>
      <c r="K1491" s="2">
        <v>-0.21</v>
      </c>
      <c r="L1491" s="2">
        <v>0.96</v>
      </c>
      <c r="M1491" s="4">
        <f t="shared" si="138"/>
        <v>-589.28571428571433</v>
      </c>
      <c r="N1491" s="4">
        <f t="shared" si="139"/>
        <v>128.90625</v>
      </c>
      <c r="O1491" s="5">
        <f t="shared" si="140"/>
        <v>-0.79611650485436891</v>
      </c>
      <c r="P1491" s="5">
        <f t="shared" si="141"/>
        <v>-5.5714285714285712</v>
      </c>
      <c r="Q1491" s="4">
        <f t="shared" si="142"/>
        <v>7.4020034843205575</v>
      </c>
      <c r="R1491" s="4">
        <f t="shared" si="143"/>
        <v>-0.23137019230769232</v>
      </c>
      <c r="S1491" s="4">
        <v>26.24</v>
      </c>
      <c r="T1491" s="2">
        <v>1.0900000000000001</v>
      </c>
      <c r="U1491" s="2">
        <v>189.25</v>
      </c>
      <c r="V1491" s="2">
        <v>96.84</v>
      </c>
      <c r="W1491" s="2">
        <v>-3.67</v>
      </c>
      <c r="X1491" s="2">
        <v>-16.670000000000002</v>
      </c>
      <c r="Y1491" s="2">
        <v>-26.78</v>
      </c>
      <c r="Z1491" s="2">
        <v>-30.26</v>
      </c>
    </row>
    <row r="1492" spans="1:26" x14ac:dyDescent="0.25">
      <c r="A1492" s="1" t="s">
        <v>6217</v>
      </c>
      <c r="B1492" s="1" t="s">
        <v>6218</v>
      </c>
      <c r="C1492" s="1" t="s">
        <v>31</v>
      </c>
      <c r="D1492" s="1" t="s">
        <v>38</v>
      </c>
      <c r="E1492" s="1" t="s">
        <v>189</v>
      </c>
      <c r="F1492" s="1" t="s">
        <v>6219</v>
      </c>
      <c r="G1492" s="1" t="s">
        <v>12480</v>
      </c>
      <c r="H1492" s="1" t="s">
        <v>6220</v>
      </c>
      <c r="I1492" s="2">
        <v>37.020000000000003</v>
      </c>
      <c r="J1492" s="2">
        <v>3.12</v>
      </c>
      <c r="K1492" s="2">
        <v>4.09</v>
      </c>
      <c r="L1492" s="2">
        <v>4.51</v>
      </c>
      <c r="M1492" s="4">
        <f t="shared" si="138"/>
        <v>9.0513447432762852</v>
      </c>
      <c r="N1492" s="4">
        <f t="shared" si="139"/>
        <v>8.2084257206208431</v>
      </c>
      <c r="O1492" s="5">
        <f t="shared" si="140"/>
        <v>0.3108974358974359</v>
      </c>
      <c r="P1492" s="5">
        <f t="shared" si="141"/>
        <v>0.10268948655256716</v>
      </c>
      <c r="Q1492" s="4">
        <f t="shared" si="142"/>
        <v>0.2911360371033197</v>
      </c>
      <c r="R1492" s="4">
        <f t="shared" si="143"/>
        <v>0.79934431422236374</v>
      </c>
      <c r="S1492" s="4">
        <v>77.319999999999993</v>
      </c>
      <c r="T1492" s="2">
        <v>0.73</v>
      </c>
      <c r="U1492" s="2">
        <v>43.51</v>
      </c>
      <c r="V1492" s="2">
        <v>25.4</v>
      </c>
      <c r="W1492" s="2">
        <v>-6.16</v>
      </c>
      <c r="X1492" s="2">
        <v>-14.56</v>
      </c>
      <c r="Y1492" s="2">
        <v>-9.24</v>
      </c>
      <c r="Z1492" s="2">
        <v>-11.03</v>
      </c>
    </row>
    <row r="1493" spans="1:26" x14ac:dyDescent="0.25">
      <c r="A1493" s="1" t="s">
        <v>6221</v>
      </c>
      <c r="B1493" s="1" t="s">
        <v>6222</v>
      </c>
      <c r="C1493" s="1" t="s">
        <v>45</v>
      </c>
      <c r="D1493" s="1" t="s">
        <v>18</v>
      </c>
      <c r="E1493" s="1" t="s">
        <v>594</v>
      </c>
      <c r="F1493" s="1" t="s">
        <v>6223</v>
      </c>
      <c r="G1493" s="1" t="s">
        <v>12480</v>
      </c>
      <c r="H1493" s="1" t="s">
        <v>6224</v>
      </c>
      <c r="I1493" s="2">
        <v>493.56</v>
      </c>
      <c r="J1493" s="2">
        <v>8.93</v>
      </c>
      <c r="K1493" s="2">
        <v>10.06</v>
      </c>
      <c r="L1493" s="2">
        <v>11.41</v>
      </c>
      <c r="M1493" s="4">
        <f t="shared" si="138"/>
        <v>49.061630218687874</v>
      </c>
      <c r="N1493" s="4">
        <f t="shared" si="139"/>
        <v>43.256792287467135</v>
      </c>
      <c r="O1493" s="5">
        <f t="shared" si="140"/>
        <v>0.12653975363941772</v>
      </c>
      <c r="P1493" s="5">
        <f t="shared" si="141"/>
        <v>0.13419483101391649</v>
      </c>
      <c r="Q1493" s="4">
        <f t="shared" si="142"/>
        <v>3.8771713084325898</v>
      </c>
      <c r="R1493" s="4">
        <f t="shared" si="143"/>
        <v>3.2234320771253291</v>
      </c>
      <c r="S1493" s="4">
        <v>20.51</v>
      </c>
      <c r="T1493" s="2">
        <v>1.66</v>
      </c>
      <c r="U1493" s="2">
        <v>592.85</v>
      </c>
      <c r="V1493" s="2">
        <v>429.59</v>
      </c>
      <c r="W1493" s="2">
        <v>-0.54</v>
      </c>
      <c r="X1493" s="2">
        <v>0.15</v>
      </c>
      <c r="Y1493" s="2">
        <v>-11.79</v>
      </c>
      <c r="Z1493" s="2">
        <v>-12.85</v>
      </c>
    </row>
    <row r="1494" spans="1:26" x14ac:dyDescent="0.25">
      <c r="A1494" s="1" t="s">
        <v>6225</v>
      </c>
      <c r="B1494" s="1" t="s">
        <v>6226</v>
      </c>
      <c r="C1494" s="1" t="s">
        <v>31</v>
      </c>
      <c r="D1494" s="1" t="s">
        <v>305</v>
      </c>
      <c r="E1494" s="1" t="s">
        <v>1176</v>
      </c>
      <c r="F1494" s="1" t="s">
        <v>6227</v>
      </c>
      <c r="G1494" s="1" t="s">
        <v>12490</v>
      </c>
      <c r="H1494" s="1" t="s">
        <v>6228</v>
      </c>
      <c r="I1494" s="2">
        <v>16.11</v>
      </c>
      <c r="J1494" s="2">
        <v>1.27</v>
      </c>
      <c r="K1494" s="2"/>
      <c r="L1494" s="2"/>
      <c r="M1494" s="4" t="e">
        <f t="shared" si="138"/>
        <v>#DIV/0!</v>
      </c>
      <c r="N1494" s="4" t="e">
        <f t="shared" si="139"/>
        <v>#DIV/0!</v>
      </c>
      <c r="O1494" s="5">
        <f t="shared" si="140"/>
        <v>-1</v>
      </c>
      <c r="P1494" s="5" t="e">
        <f t="shared" si="141"/>
        <v>#DIV/0!</v>
      </c>
      <c r="Q1494" s="4" t="e">
        <f t="shared" si="142"/>
        <v>#DIV/0!</v>
      </c>
      <c r="R1494" s="4" t="e">
        <f t="shared" si="143"/>
        <v>#DIV/0!</v>
      </c>
      <c r="S1494" s="4">
        <v>-10.199999999999999</v>
      </c>
      <c r="T1494" s="2">
        <v>0.45</v>
      </c>
      <c r="U1494" s="2">
        <v>18.62</v>
      </c>
      <c r="V1494" s="2">
        <v>11.5</v>
      </c>
      <c r="W1494" s="2">
        <v>-12.16</v>
      </c>
      <c r="X1494" s="2">
        <v>-9.09</v>
      </c>
      <c r="Y1494" s="2">
        <v>2.16</v>
      </c>
      <c r="Z1494" s="2">
        <v>3.94</v>
      </c>
    </row>
    <row r="1495" spans="1:26" x14ac:dyDescent="0.25">
      <c r="A1495" s="1" t="s">
        <v>6229</v>
      </c>
      <c r="B1495" s="1" t="s">
        <v>6230</v>
      </c>
      <c r="C1495" s="1" t="s">
        <v>16</v>
      </c>
      <c r="D1495" s="1" t="s">
        <v>140</v>
      </c>
      <c r="E1495" s="1" t="s">
        <v>1421</v>
      </c>
      <c r="F1495" s="1" t="s">
        <v>6231</v>
      </c>
      <c r="G1495" s="1" t="s">
        <v>12480</v>
      </c>
      <c r="H1495" s="1" t="s">
        <v>6232</v>
      </c>
      <c r="I1495" s="2">
        <v>166.39</v>
      </c>
      <c r="J1495" s="2">
        <v>13.17</v>
      </c>
      <c r="K1495" s="2">
        <v>13.37</v>
      </c>
      <c r="L1495" s="2">
        <v>14.8</v>
      </c>
      <c r="M1495" s="4">
        <f t="shared" si="138"/>
        <v>12.445026178010471</v>
      </c>
      <c r="N1495" s="4">
        <f t="shared" si="139"/>
        <v>11.242567567567566</v>
      </c>
      <c r="O1495" s="5">
        <f t="shared" si="140"/>
        <v>1.5186028853454658E-2</v>
      </c>
      <c r="P1495" s="5">
        <f t="shared" si="141"/>
        <v>0.10695587135377727</v>
      </c>
      <c r="Q1495" s="4">
        <f t="shared" si="142"/>
        <v>8.1950497382199838</v>
      </c>
      <c r="R1495" s="4">
        <f t="shared" si="143"/>
        <v>1.0511407578907561</v>
      </c>
      <c r="S1495" s="4">
        <v>3.13</v>
      </c>
      <c r="T1495" s="2">
        <v>1.08</v>
      </c>
      <c r="U1495" s="2">
        <v>483.08</v>
      </c>
      <c r="V1495" s="2">
        <v>144.97</v>
      </c>
      <c r="W1495" s="2">
        <v>4.47</v>
      </c>
      <c r="X1495" s="2">
        <v>4.16</v>
      </c>
      <c r="Y1495" s="2">
        <v>-32.46</v>
      </c>
      <c r="Z1495" s="2">
        <v>-34.049999999999997</v>
      </c>
    </row>
    <row r="1496" spans="1:26" x14ac:dyDescent="0.25">
      <c r="A1496" s="1" t="s">
        <v>6234</v>
      </c>
      <c r="B1496" s="1" t="s">
        <v>6235</v>
      </c>
      <c r="C1496" s="1" t="s">
        <v>16</v>
      </c>
      <c r="D1496" s="1" t="s">
        <v>18</v>
      </c>
      <c r="E1496" s="1" t="s">
        <v>594</v>
      </c>
      <c r="F1496" s="1" t="s">
        <v>6236</v>
      </c>
      <c r="G1496" s="1" t="s">
        <v>12480</v>
      </c>
      <c r="H1496" s="1" t="s">
        <v>5832</v>
      </c>
      <c r="I1496" s="2">
        <v>85.38</v>
      </c>
      <c r="J1496" s="2">
        <v>6.4</v>
      </c>
      <c r="K1496" s="2">
        <v>6.43</v>
      </c>
      <c r="L1496" s="2">
        <v>7.1</v>
      </c>
      <c r="M1496" s="4">
        <f t="shared" si="138"/>
        <v>13.278382581648522</v>
      </c>
      <c r="N1496" s="4">
        <f t="shared" si="139"/>
        <v>12.025352112676057</v>
      </c>
      <c r="O1496" s="5">
        <f t="shared" si="140"/>
        <v>4.6874999999999556E-3</v>
      </c>
      <c r="P1496" s="5">
        <f t="shared" si="141"/>
        <v>0.10419906687402802</v>
      </c>
      <c r="Q1496" s="4">
        <f t="shared" si="142"/>
        <v>28.327216174183782</v>
      </c>
      <c r="R1496" s="4">
        <f t="shared" si="143"/>
        <v>1.1540748370821943</v>
      </c>
      <c r="S1496" s="4">
        <v>7.98</v>
      </c>
      <c r="T1496" s="2">
        <v>0.75</v>
      </c>
      <c r="U1496" s="2">
        <v>126.93</v>
      </c>
      <c r="V1496" s="2">
        <v>63.32</v>
      </c>
      <c r="W1496" s="2">
        <v>-1.1100000000000001</v>
      </c>
      <c r="X1496" s="2">
        <v>-0.09</v>
      </c>
      <c r="Y1496" s="2">
        <v>16.82</v>
      </c>
      <c r="Z1496" s="2">
        <v>8.86</v>
      </c>
    </row>
    <row r="1497" spans="1:26" x14ac:dyDescent="0.25">
      <c r="A1497" s="1" t="s">
        <v>6237</v>
      </c>
      <c r="B1497" s="1" t="s">
        <v>6238</v>
      </c>
      <c r="C1497" s="1" t="s">
        <v>31</v>
      </c>
      <c r="D1497" s="1" t="s">
        <v>67</v>
      </c>
      <c r="E1497" s="1" t="s">
        <v>882</v>
      </c>
      <c r="F1497" s="1" t="s">
        <v>6239</v>
      </c>
      <c r="G1497" s="1" t="s">
        <v>12490</v>
      </c>
      <c r="H1497" s="1" t="s">
        <v>6240</v>
      </c>
      <c r="I1497" s="2">
        <v>13.07</v>
      </c>
      <c r="J1497" s="2">
        <v>0.81</v>
      </c>
      <c r="K1497" s="2">
        <v>0.41</v>
      </c>
      <c r="L1497" s="2">
        <v>0.44</v>
      </c>
      <c r="M1497" s="4">
        <f t="shared" si="138"/>
        <v>31.878048780487809</v>
      </c>
      <c r="N1497" s="4">
        <f t="shared" si="139"/>
        <v>29.704545454545457</v>
      </c>
      <c r="O1497" s="5">
        <f t="shared" si="140"/>
        <v>-0.49382716049382724</v>
      </c>
      <c r="P1497" s="5">
        <f t="shared" si="141"/>
        <v>7.3170731707317138E-2</v>
      </c>
      <c r="Q1497" s="4">
        <f t="shared" si="142"/>
        <v>-0.64553048780487809</v>
      </c>
      <c r="R1497" s="4">
        <f t="shared" si="143"/>
        <v>4.0596212121212085</v>
      </c>
      <c r="S1497" s="4">
        <v>4.3499999999999996</v>
      </c>
      <c r="T1497" s="2">
        <v>0.67</v>
      </c>
      <c r="U1497" s="2">
        <v>14.66</v>
      </c>
      <c r="V1497" s="2">
        <v>8.42</v>
      </c>
      <c r="W1497" s="2">
        <v>-6.36</v>
      </c>
      <c r="X1497" s="2">
        <v>-2.5</v>
      </c>
      <c r="Y1497" s="2">
        <v>4.2300000000000004</v>
      </c>
      <c r="Z1497" s="2">
        <v>3.36</v>
      </c>
    </row>
    <row r="1498" spans="1:26" x14ac:dyDescent="0.25">
      <c r="A1498" s="1" t="s">
        <v>6241</v>
      </c>
      <c r="B1498" s="1" t="s">
        <v>6242</v>
      </c>
      <c r="C1498" s="1" t="s">
        <v>45</v>
      </c>
      <c r="D1498" s="1" t="s">
        <v>32</v>
      </c>
      <c r="E1498" s="1" t="s">
        <v>748</v>
      </c>
      <c r="F1498" s="1" t="s">
        <v>6243</v>
      </c>
      <c r="G1498" s="1" t="s">
        <v>12480</v>
      </c>
      <c r="H1498" s="1" t="s">
        <v>1427</v>
      </c>
      <c r="I1498" s="2">
        <v>96.18</v>
      </c>
      <c r="J1498" s="2">
        <v>7.13</v>
      </c>
      <c r="K1498" s="2">
        <v>6.07</v>
      </c>
      <c r="L1498" s="2">
        <v>6.87</v>
      </c>
      <c r="M1498" s="4">
        <f t="shared" si="138"/>
        <v>15.84514003294893</v>
      </c>
      <c r="N1498" s="4">
        <f t="shared" si="139"/>
        <v>14</v>
      </c>
      <c r="O1498" s="5">
        <f t="shared" si="140"/>
        <v>-0.14866760168302939</v>
      </c>
      <c r="P1498" s="5">
        <f t="shared" si="141"/>
        <v>0.13179571663920919</v>
      </c>
      <c r="Q1498" s="4">
        <f t="shared" si="142"/>
        <v>-1.0658098908955276</v>
      </c>
      <c r="R1498" s="4">
        <f t="shared" si="143"/>
        <v>1.0622500000000004</v>
      </c>
      <c r="S1498" s="4">
        <v>-3.02</v>
      </c>
      <c r="T1498" s="2">
        <v>1.44</v>
      </c>
      <c r="U1498" s="2">
        <v>138.41999999999999</v>
      </c>
      <c r="V1498" s="2">
        <v>89.36</v>
      </c>
      <c r="W1498" s="2">
        <v>1.07</v>
      </c>
      <c r="X1498" s="2">
        <v>-7.94</v>
      </c>
      <c r="Y1498" s="2">
        <v>1.01</v>
      </c>
      <c r="Z1498" s="2">
        <v>3.58</v>
      </c>
    </row>
    <row r="1499" spans="1:26" x14ac:dyDescent="0.25">
      <c r="A1499" s="1" t="s">
        <v>6244</v>
      </c>
      <c r="B1499" s="1" t="s">
        <v>6244</v>
      </c>
      <c r="C1499" s="1" t="s">
        <v>16</v>
      </c>
      <c r="D1499" s="1" t="s">
        <v>2417</v>
      </c>
      <c r="E1499" s="1" t="s">
        <v>2418</v>
      </c>
      <c r="F1499" s="1" t="s">
        <v>6245</v>
      </c>
      <c r="G1499" s="1" t="s">
        <v>12480</v>
      </c>
      <c r="H1499" s="1" t="s">
        <v>12706</v>
      </c>
      <c r="I1499" s="2">
        <v>186.31</v>
      </c>
      <c r="J1499" s="2">
        <v>6.72</v>
      </c>
      <c r="K1499" s="2">
        <v>7.39</v>
      </c>
      <c r="L1499" s="2">
        <v>8.4499999999999993</v>
      </c>
      <c r="M1499" s="4">
        <f t="shared" si="138"/>
        <v>25.21109607577808</v>
      </c>
      <c r="N1499" s="4">
        <f t="shared" si="139"/>
        <v>22.048520710059172</v>
      </c>
      <c r="O1499" s="5">
        <f t="shared" si="140"/>
        <v>9.9702380952380931E-2</v>
      </c>
      <c r="P1499" s="5">
        <f t="shared" si="141"/>
        <v>0.14343707713125831</v>
      </c>
      <c r="Q1499" s="4">
        <f t="shared" si="142"/>
        <v>2.5286353078989365</v>
      </c>
      <c r="R1499" s="4">
        <f t="shared" si="143"/>
        <v>1.5371563023333723</v>
      </c>
      <c r="S1499" s="4">
        <v>8.48</v>
      </c>
      <c r="T1499" s="2">
        <v>1.34</v>
      </c>
      <c r="U1499" s="2">
        <v>208.86</v>
      </c>
      <c r="V1499" s="2">
        <v>112.67</v>
      </c>
      <c r="W1499" s="2">
        <v>-6.37</v>
      </c>
      <c r="X1499" s="2">
        <v>-7.25</v>
      </c>
      <c r="Y1499" s="2">
        <v>7.04</v>
      </c>
      <c r="Z1499" s="2">
        <v>7.38</v>
      </c>
    </row>
    <row r="1500" spans="1:26" x14ac:dyDescent="0.25">
      <c r="A1500" s="1" t="s">
        <v>6246</v>
      </c>
      <c r="B1500" s="1" t="s">
        <v>6247</v>
      </c>
      <c r="C1500" s="1" t="s">
        <v>16</v>
      </c>
      <c r="D1500" s="1" t="s">
        <v>38</v>
      </c>
      <c r="E1500" s="1" t="s">
        <v>189</v>
      </c>
      <c r="F1500" s="1" t="s">
        <v>6248</v>
      </c>
      <c r="G1500" s="1" t="s">
        <v>12480</v>
      </c>
      <c r="H1500" s="1" t="s">
        <v>6249</v>
      </c>
      <c r="I1500" s="2">
        <v>8.2899999999999991</v>
      </c>
      <c r="J1500" s="2">
        <v>0.72</v>
      </c>
      <c r="K1500" s="2">
        <v>0.87</v>
      </c>
      <c r="L1500" s="2">
        <v>0.94</v>
      </c>
      <c r="M1500" s="4">
        <f t="shared" si="138"/>
        <v>9.5287356321839063</v>
      </c>
      <c r="N1500" s="4">
        <f t="shared" si="139"/>
        <v>8.8191489361702118</v>
      </c>
      <c r="O1500" s="5">
        <f t="shared" si="140"/>
        <v>0.20833333333333348</v>
      </c>
      <c r="P1500" s="5">
        <f t="shared" si="141"/>
        <v>8.0459770114942541E-2</v>
      </c>
      <c r="Q1500" s="4">
        <f t="shared" si="142"/>
        <v>0.45737931034482715</v>
      </c>
      <c r="R1500" s="4">
        <f t="shared" si="143"/>
        <v>1.0960942249240118</v>
      </c>
      <c r="S1500" s="4">
        <v>-51.69</v>
      </c>
      <c r="T1500" s="2">
        <v>0.63</v>
      </c>
      <c r="U1500" s="2">
        <v>9.57</v>
      </c>
      <c r="V1500" s="2">
        <v>4.97</v>
      </c>
      <c r="W1500" s="2">
        <v>-6.43</v>
      </c>
      <c r="X1500" s="2">
        <v>-11.05</v>
      </c>
      <c r="Y1500" s="2">
        <v>14.61</v>
      </c>
      <c r="Z1500" s="2">
        <v>15.78</v>
      </c>
    </row>
    <row r="1501" spans="1:26" x14ac:dyDescent="0.25">
      <c r="A1501" s="1" t="s">
        <v>6250</v>
      </c>
      <c r="B1501" s="1" t="s">
        <v>6251</v>
      </c>
      <c r="C1501" s="1" t="s">
        <v>31</v>
      </c>
      <c r="D1501" s="1" t="s">
        <v>147</v>
      </c>
      <c r="E1501" s="1" t="s">
        <v>1695</v>
      </c>
      <c r="F1501" s="1" t="s">
        <v>6252</v>
      </c>
      <c r="G1501" s="1" t="s">
        <v>12480</v>
      </c>
      <c r="H1501" s="1" t="s">
        <v>6253</v>
      </c>
      <c r="I1501" s="2">
        <v>11.394500000000001</v>
      </c>
      <c r="J1501" s="2">
        <v>1.1200000000000001</v>
      </c>
      <c r="K1501" s="2"/>
      <c r="L1501" s="2"/>
      <c r="M1501" s="4" t="e">
        <f t="shared" si="138"/>
        <v>#DIV/0!</v>
      </c>
      <c r="N1501" s="4" t="e">
        <f t="shared" si="139"/>
        <v>#DIV/0!</v>
      </c>
      <c r="O1501" s="5">
        <f t="shared" si="140"/>
        <v>-1</v>
      </c>
      <c r="P1501" s="5" t="e">
        <f t="shared" si="141"/>
        <v>#DIV/0!</v>
      </c>
      <c r="Q1501" s="4" t="e">
        <f t="shared" si="142"/>
        <v>#DIV/0!</v>
      </c>
      <c r="R1501" s="4" t="e">
        <f t="shared" si="143"/>
        <v>#DIV/0!</v>
      </c>
      <c r="S1501" s="4">
        <v>3.86</v>
      </c>
      <c r="T1501" s="2">
        <v>0.8</v>
      </c>
      <c r="U1501" s="2">
        <v>11.98</v>
      </c>
      <c r="V1501" s="2">
        <v>8.6300000000000008</v>
      </c>
      <c r="W1501" s="2">
        <v>9.35</v>
      </c>
      <c r="X1501" s="2">
        <v>-0.66</v>
      </c>
      <c r="Y1501" s="2">
        <v>0.93</v>
      </c>
      <c r="Z1501" s="2">
        <v>4.0599999999999996</v>
      </c>
    </row>
    <row r="1502" spans="1:26" x14ac:dyDescent="0.25">
      <c r="A1502" s="1" t="s">
        <v>6254</v>
      </c>
      <c r="B1502" s="1" t="s">
        <v>6255</v>
      </c>
      <c r="C1502" s="1" t="s">
        <v>16</v>
      </c>
      <c r="D1502" s="1" t="s">
        <v>25</v>
      </c>
      <c r="E1502" s="1" t="s">
        <v>220</v>
      </c>
      <c r="F1502" s="1" t="s">
        <v>6256</v>
      </c>
      <c r="G1502" s="1" t="s">
        <v>12480</v>
      </c>
      <c r="H1502" s="1" t="s">
        <v>6257</v>
      </c>
      <c r="I1502" s="2">
        <v>276.58</v>
      </c>
      <c r="J1502" s="2">
        <v>10.49</v>
      </c>
      <c r="K1502" s="2">
        <v>11.29</v>
      </c>
      <c r="L1502" s="2">
        <v>12.21</v>
      </c>
      <c r="M1502" s="4">
        <f t="shared" si="138"/>
        <v>24.497785651018599</v>
      </c>
      <c r="N1502" s="4">
        <f t="shared" si="139"/>
        <v>22.651924651924649</v>
      </c>
      <c r="O1502" s="5">
        <f t="shared" si="140"/>
        <v>7.6263107721639578E-2</v>
      </c>
      <c r="P1502" s="5">
        <f t="shared" si="141"/>
        <v>8.148804251550068E-2</v>
      </c>
      <c r="Q1502" s="4">
        <f t="shared" si="142"/>
        <v>3.2122721434898174</v>
      </c>
      <c r="R1502" s="4">
        <f t="shared" si="143"/>
        <v>2.7797851013068318</v>
      </c>
      <c r="S1502" s="4">
        <v>0.92</v>
      </c>
      <c r="T1502" s="2">
        <v>1.1299999999999999</v>
      </c>
      <c r="U1502" s="2">
        <v>299.60000000000002</v>
      </c>
      <c r="V1502" s="2">
        <v>218.41</v>
      </c>
      <c r="W1502" s="2">
        <v>-5.01</v>
      </c>
      <c r="X1502" s="2">
        <v>-4.82</v>
      </c>
      <c r="Y1502" s="2">
        <v>6.93</v>
      </c>
      <c r="Z1502" s="2">
        <v>12.29</v>
      </c>
    </row>
    <row r="1503" spans="1:26" x14ac:dyDescent="0.25">
      <c r="A1503" s="1" t="s">
        <v>6258</v>
      </c>
      <c r="B1503" s="1" t="s">
        <v>6259</v>
      </c>
      <c r="C1503" s="1" t="s">
        <v>31</v>
      </c>
      <c r="D1503" s="1" t="s">
        <v>88</v>
      </c>
      <c r="E1503" s="1" t="s">
        <v>658</v>
      </c>
      <c r="F1503" s="1" t="s">
        <v>6260</v>
      </c>
      <c r="G1503" s="1" t="s">
        <v>12480</v>
      </c>
      <c r="H1503" s="1" t="s">
        <v>6261</v>
      </c>
      <c r="I1503" s="2">
        <v>9.9</v>
      </c>
      <c r="J1503" s="2">
        <v>0.19</v>
      </c>
      <c r="K1503" s="2">
        <v>0.43</v>
      </c>
      <c r="L1503" s="2">
        <v>0.61</v>
      </c>
      <c r="M1503" s="4">
        <f t="shared" si="138"/>
        <v>23.02325581395349</v>
      </c>
      <c r="N1503" s="4">
        <f t="shared" si="139"/>
        <v>16.229508196721312</v>
      </c>
      <c r="O1503" s="5">
        <f t="shared" si="140"/>
        <v>1.263157894736842</v>
      </c>
      <c r="P1503" s="5">
        <f t="shared" si="141"/>
        <v>0.41860465116279078</v>
      </c>
      <c r="Q1503" s="4">
        <f t="shared" si="142"/>
        <v>0.18226744186046515</v>
      </c>
      <c r="R1503" s="4">
        <f t="shared" si="143"/>
        <v>0.38770491803278678</v>
      </c>
      <c r="S1503" s="4">
        <v>981.91</v>
      </c>
      <c r="T1503" s="2"/>
      <c r="U1503" s="2">
        <v>13.91</v>
      </c>
      <c r="V1503" s="2">
        <v>7.27</v>
      </c>
      <c r="W1503" s="2">
        <v>-10.65</v>
      </c>
      <c r="X1503" s="2">
        <v>-25.48</v>
      </c>
      <c r="Y1503" s="2" t="s">
        <v>12609</v>
      </c>
      <c r="Z1503" s="2">
        <v>-13.06</v>
      </c>
    </row>
    <row r="1504" spans="1:26" x14ac:dyDescent="0.25">
      <c r="A1504" s="1" t="s">
        <v>6262</v>
      </c>
      <c r="B1504" s="1" t="s">
        <v>6263</v>
      </c>
      <c r="C1504" s="1" t="s">
        <v>16</v>
      </c>
      <c r="D1504" s="1" t="s">
        <v>38</v>
      </c>
      <c r="E1504" s="1" t="s">
        <v>510</v>
      </c>
      <c r="F1504" s="1" t="s">
        <v>6264</v>
      </c>
      <c r="G1504" s="1" t="s">
        <v>12480</v>
      </c>
      <c r="H1504" s="1" t="s">
        <v>6265</v>
      </c>
      <c r="I1504" s="2">
        <v>31.01</v>
      </c>
      <c r="J1504" s="2">
        <v>1.83</v>
      </c>
      <c r="K1504" s="2">
        <v>1.94</v>
      </c>
      <c r="L1504" s="2">
        <v>2.02</v>
      </c>
      <c r="M1504" s="4">
        <f t="shared" si="138"/>
        <v>15.984536082474229</v>
      </c>
      <c r="N1504" s="4">
        <f t="shared" si="139"/>
        <v>15.351485148514852</v>
      </c>
      <c r="O1504" s="5">
        <f t="shared" si="140"/>
        <v>6.0109289617486183E-2</v>
      </c>
      <c r="P1504" s="5">
        <f t="shared" si="141"/>
        <v>4.1237113402061931E-2</v>
      </c>
      <c r="Q1504" s="4">
        <f t="shared" si="142"/>
        <v>2.6592455482661741</v>
      </c>
      <c r="R1504" s="4">
        <f t="shared" si="143"/>
        <v>3.722735148514845</v>
      </c>
      <c r="S1504" s="4">
        <v>9.1999999999999993</v>
      </c>
      <c r="T1504" s="2">
        <v>0.84</v>
      </c>
      <c r="U1504" s="2">
        <v>31.42</v>
      </c>
      <c r="V1504" s="2">
        <v>25.97</v>
      </c>
      <c r="W1504" s="2">
        <v>-0.26</v>
      </c>
      <c r="X1504" s="2">
        <v>2.5499999999999998</v>
      </c>
      <c r="Y1504" s="2">
        <v>6.82</v>
      </c>
      <c r="Z1504" s="2">
        <v>9.93</v>
      </c>
    </row>
    <row r="1505" spans="1:26" x14ac:dyDescent="0.25">
      <c r="A1505" s="1" t="s">
        <v>6266</v>
      </c>
      <c r="B1505" s="1" t="s">
        <v>6267</v>
      </c>
      <c r="C1505" s="1" t="s">
        <v>16</v>
      </c>
      <c r="D1505" s="1" t="s">
        <v>38</v>
      </c>
      <c r="E1505" s="1" t="s">
        <v>259</v>
      </c>
      <c r="F1505" s="1" t="s">
        <v>6268</v>
      </c>
      <c r="G1505" s="1" t="s">
        <v>12480</v>
      </c>
      <c r="H1505" s="1" t="s">
        <v>6269</v>
      </c>
      <c r="I1505" s="2">
        <v>681.35</v>
      </c>
      <c r="J1505" s="2"/>
      <c r="K1505" s="2"/>
      <c r="L1505" s="2"/>
      <c r="M1505" s="4" t="e">
        <f t="shared" si="138"/>
        <v>#DIV/0!</v>
      </c>
      <c r="N1505" s="4" t="e">
        <f t="shared" si="139"/>
        <v>#DIV/0!</v>
      </c>
      <c r="O1505" s="5" t="e">
        <f t="shared" si="140"/>
        <v>#DIV/0!</v>
      </c>
      <c r="P1505" s="5" t="e">
        <f t="shared" si="141"/>
        <v>#DIV/0!</v>
      </c>
      <c r="Q1505" s="4" t="e">
        <f t="shared" si="142"/>
        <v>#DIV/0!</v>
      </c>
      <c r="R1505" s="4" t="e">
        <f t="shared" si="143"/>
        <v>#DIV/0!</v>
      </c>
      <c r="S1505" s="4"/>
      <c r="T1505" s="2" t="s">
        <v>12493</v>
      </c>
      <c r="U1505" s="2">
        <v>698.7</v>
      </c>
      <c r="V1505" s="2">
        <v>498.8</v>
      </c>
      <c r="W1505" s="2">
        <v>-1.17</v>
      </c>
      <c r="X1505" s="2">
        <v>-2.2599999999999998</v>
      </c>
      <c r="Y1505" s="2">
        <v>-0.41</v>
      </c>
      <c r="Z1505" s="2">
        <v>-0.52</v>
      </c>
    </row>
    <row r="1506" spans="1:26" x14ac:dyDescent="0.25">
      <c r="A1506" s="1" t="s">
        <v>6270</v>
      </c>
      <c r="B1506" s="1" t="s">
        <v>6271</v>
      </c>
      <c r="C1506" s="1" t="s">
        <v>16</v>
      </c>
      <c r="D1506" s="1" t="s">
        <v>38</v>
      </c>
      <c r="E1506" s="1" t="s">
        <v>101</v>
      </c>
      <c r="F1506" s="1" t="s">
        <v>6272</v>
      </c>
      <c r="G1506" s="1" t="s">
        <v>12480</v>
      </c>
      <c r="H1506" s="1" t="s">
        <v>6273</v>
      </c>
      <c r="I1506" s="2">
        <v>23.88</v>
      </c>
      <c r="J1506" s="2">
        <v>2.0299999999999998</v>
      </c>
      <c r="K1506" s="2">
        <v>2.66</v>
      </c>
      <c r="L1506" s="2">
        <v>3.03</v>
      </c>
      <c r="M1506" s="4">
        <f t="shared" si="138"/>
        <v>8.977443609022556</v>
      </c>
      <c r="N1506" s="4">
        <f t="shared" si="139"/>
        <v>7.8811881188118811</v>
      </c>
      <c r="O1506" s="5">
        <f t="shared" si="140"/>
        <v>0.31034482758620707</v>
      </c>
      <c r="P1506" s="5">
        <f t="shared" si="141"/>
        <v>0.13909774436090205</v>
      </c>
      <c r="Q1506" s="4">
        <f t="shared" si="142"/>
        <v>0.28927318295739329</v>
      </c>
      <c r="R1506" s="4">
        <f t="shared" si="143"/>
        <v>0.56659352421728737</v>
      </c>
      <c r="S1506" s="4">
        <v>5.1100000000000003</v>
      </c>
      <c r="T1506" s="2">
        <v>1.68</v>
      </c>
      <c r="U1506" s="2">
        <v>29.44</v>
      </c>
      <c r="V1506" s="2">
        <v>12.14</v>
      </c>
      <c r="W1506" s="2">
        <v>-8.61</v>
      </c>
      <c r="X1506" s="2">
        <v>-11.19</v>
      </c>
      <c r="Y1506" s="2">
        <v>-8.2899999999999991</v>
      </c>
      <c r="Z1506" s="2">
        <v>-9.1</v>
      </c>
    </row>
    <row r="1507" spans="1:26" x14ac:dyDescent="0.25">
      <c r="A1507" s="1" t="s">
        <v>6274</v>
      </c>
      <c r="B1507" s="1" t="s">
        <v>6275</v>
      </c>
      <c r="C1507" s="1" t="s">
        <v>16</v>
      </c>
      <c r="D1507" s="1" t="s">
        <v>38</v>
      </c>
      <c r="E1507" s="1" t="s">
        <v>259</v>
      </c>
      <c r="F1507" s="1" t="s">
        <v>6276</v>
      </c>
      <c r="G1507" s="1" t="s">
        <v>12480</v>
      </c>
      <c r="H1507" s="1" t="s">
        <v>6277</v>
      </c>
      <c r="I1507" s="2">
        <v>218.72</v>
      </c>
      <c r="J1507" s="2"/>
      <c r="K1507" s="2"/>
      <c r="L1507" s="2"/>
      <c r="M1507" s="4" t="e">
        <f t="shared" si="138"/>
        <v>#DIV/0!</v>
      </c>
      <c r="N1507" s="4" t="e">
        <f t="shared" si="139"/>
        <v>#DIV/0!</v>
      </c>
      <c r="O1507" s="5" t="e">
        <f t="shared" si="140"/>
        <v>#DIV/0!</v>
      </c>
      <c r="P1507" s="5" t="e">
        <f t="shared" si="141"/>
        <v>#DIV/0!</v>
      </c>
      <c r="Q1507" s="4" t="e">
        <f t="shared" si="142"/>
        <v>#DIV/0!</v>
      </c>
      <c r="R1507" s="4" t="e">
        <f t="shared" si="143"/>
        <v>#DIV/0!</v>
      </c>
      <c r="S1507" s="4"/>
      <c r="T1507" s="2">
        <v>0.85</v>
      </c>
      <c r="U1507" s="2">
        <v>225.52</v>
      </c>
      <c r="V1507" s="2">
        <v>166.82</v>
      </c>
      <c r="W1507" s="2">
        <v>-2.86</v>
      </c>
      <c r="X1507" s="2">
        <v>-2.63</v>
      </c>
      <c r="Y1507" s="2">
        <v>3.12</v>
      </c>
      <c r="Z1507" s="2">
        <v>3.98</v>
      </c>
    </row>
    <row r="1508" spans="1:26" x14ac:dyDescent="0.25">
      <c r="A1508" s="1" t="s">
        <v>6278</v>
      </c>
      <c r="B1508" s="1" t="s">
        <v>6279</v>
      </c>
      <c r="C1508" s="1" t="s">
        <v>16</v>
      </c>
      <c r="D1508" s="1" t="s">
        <v>38</v>
      </c>
      <c r="E1508" s="1" t="s">
        <v>259</v>
      </c>
      <c r="F1508" s="1" t="s">
        <v>6280</v>
      </c>
      <c r="G1508" s="1" t="s">
        <v>12480</v>
      </c>
      <c r="H1508" s="1" t="s">
        <v>6281</v>
      </c>
      <c r="I1508" s="2">
        <v>452.44</v>
      </c>
      <c r="J1508" s="2"/>
      <c r="K1508" s="2"/>
      <c r="L1508" s="2"/>
      <c r="M1508" s="4" t="e">
        <f t="shared" si="138"/>
        <v>#DIV/0!</v>
      </c>
      <c r="N1508" s="4" t="e">
        <f t="shared" si="139"/>
        <v>#DIV/0!</v>
      </c>
      <c r="O1508" s="5" t="e">
        <f t="shared" si="140"/>
        <v>#DIV/0!</v>
      </c>
      <c r="P1508" s="5" t="e">
        <f t="shared" si="141"/>
        <v>#DIV/0!</v>
      </c>
      <c r="Q1508" s="4" t="e">
        <f t="shared" si="142"/>
        <v>#DIV/0!</v>
      </c>
      <c r="R1508" s="4" t="e">
        <f t="shared" si="143"/>
        <v>#DIV/0!</v>
      </c>
      <c r="S1508" s="4"/>
      <c r="T1508" s="2">
        <v>1.1599999999999999</v>
      </c>
      <c r="U1508" s="2">
        <v>491.71</v>
      </c>
      <c r="V1508" s="2">
        <v>320.42</v>
      </c>
      <c r="W1508" s="2">
        <v>0.21</v>
      </c>
      <c r="X1508" s="2">
        <v>-1.85</v>
      </c>
      <c r="Y1508" s="2">
        <v>-3.58</v>
      </c>
      <c r="Z1508" s="2">
        <v>-4.41</v>
      </c>
    </row>
    <row r="1509" spans="1:26" x14ac:dyDescent="0.25">
      <c r="A1509" s="1" t="s">
        <v>6283</v>
      </c>
      <c r="B1509" s="1" t="s">
        <v>6284</v>
      </c>
      <c r="C1509" s="1" t="s">
        <v>16</v>
      </c>
      <c r="D1509" s="1" t="s">
        <v>38</v>
      </c>
      <c r="E1509" s="1" t="s">
        <v>259</v>
      </c>
      <c r="F1509" s="1" t="s">
        <v>6285</v>
      </c>
      <c r="G1509" s="1" t="s">
        <v>12480</v>
      </c>
      <c r="H1509" s="1" t="s">
        <v>12708</v>
      </c>
      <c r="I1509" s="2">
        <v>253.62</v>
      </c>
      <c r="J1509" s="2"/>
      <c r="K1509" s="2"/>
      <c r="L1509" s="2"/>
      <c r="M1509" s="4" t="e">
        <f t="shared" si="138"/>
        <v>#DIV/0!</v>
      </c>
      <c r="N1509" s="4" t="e">
        <f t="shared" si="139"/>
        <v>#DIV/0!</v>
      </c>
      <c r="O1509" s="5" t="e">
        <f t="shared" si="140"/>
        <v>#DIV/0!</v>
      </c>
      <c r="P1509" s="5" t="e">
        <f t="shared" si="141"/>
        <v>#DIV/0!</v>
      </c>
      <c r="Q1509" s="4" t="e">
        <f t="shared" si="142"/>
        <v>#DIV/0!</v>
      </c>
      <c r="R1509" s="4" t="e">
        <f t="shared" si="143"/>
        <v>#DIV/0!</v>
      </c>
      <c r="S1509" s="4"/>
      <c r="T1509" s="2">
        <v>1.0900000000000001</v>
      </c>
      <c r="U1509" s="2">
        <v>269.79000000000002</v>
      </c>
      <c r="V1509" s="2">
        <v>174.82</v>
      </c>
      <c r="W1509" s="2">
        <v>-3.86</v>
      </c>
      <c r="X1509" s="2">
        <v>-4.97</v>
      </c>
      <c r="Y1509" s="2">
        <v>0.67</v>
      </c>
      <c r="Z1509" s="2">
        <v>3.03</v>
      </c>
    </row>
    <row r="1510" spans="1:26" x14ac:dyDescent="0.25">
      <c r="A1510" s="1" t="s">
        <v>6286</v>
      </c>
      <c r="B1510" s="1" t="s">
        <v>6287</v>
      </c>
      <c r="C1510" s="1" t="s">
        <v>16</v>
      </c>
      <c r="D1510" s="1" t="s">
        <v>38</v>
      </c>
      <c r="E1510" s="1" t="s">
        <v>259</v>
      </c>
      <c r="F1510" s="1" t="s">
        <v>6288</v>
      </c>
      <c r="G1510" s="1" t="s">
        <v>12480</v>
      </c>
      <c r="H1510" s="1" t="s">
        <v>6289</v>
      </c>
      <c r="I1510" s="2">
        <v>191.34</v>
      </c>
      <c r="J1510" s="2"/>
      <c r="K1510" s="2"/>
      <c r="L1510" s="2"/>
      <c r="M1510" s="4" t="e">
        <f t="shared" si="138"/>
        <v>#DIV/0!</v>
      </c>
      <c r="N1510" s="4" t="e">
        <f t="shared" si="139"/>
        <v>#DIV/0!</v>
      </c>
      <c r="O1510" s="5" t="e">
        <f t="shared" si="140"/>
        <v>#DIV/0!</v>
      </c>
      <c r="P1510" s="5" t="e">
        <f t="shared" si="141"/>
        <v>#DIV/0!</v>
      </c>
      <c r="Q1510" s="4" t="e">
        <f t="shared" si="142"/>
        <v>#DIV/0!</v>
      </c>
      <c r="R1510" s="4" t="e">
        <f t="shared" si="143"/>
        <v>#DIV/0!</v>
      </c>
      <c r="S1510" s="4"/>
      <c r="T1510" s="2">
        <v>1.03</v>
      </c>
      <c r="U1510" s="2">
        <v>200.95</v>
      </c>
      <c r="V1510" s="2">
        <v>131.84</v>
      </c>
      <c r="W1510" s="2">
        <v>-3.83</v>
      </c>
      <c r="X1510" s="2">
        <v>-4.78</v>
      </c>
      <c r="Y1510" s="2">
        <v>2.5</v>
      </c>
      <c r="Z1510" s="2">
        <v>5.59</v>
      </c>
    </row>
    <row r="1511" spans="1:26" x14ac:dyDescent="0.25">
      <c r="A1511" s="1" t="s">
        <v>6290</v>
      </c>
      <c r="B1511" s="1" t="s">
        <v>6291</v>
      </c>
      <c r="C1511" s="1" t="s">
        <v>16</v>
      </c>
      <c r="D1511" s="1" t="s">
        <v>38</v>
      </c>
      <c r="E1511" s="1" t="s">
        <v>259</v>
      </c>
      <c r="F1511" s="1" t="s">
        <v>6292</v>
      </c>
      <c r="G1511" s="1" t="s">
        <v>12480</v>
      </c>
      <c r="H1511" s="1" t="s">
        <v>6293</v>
      </c>
      <c r="I1511" s="2">
        <v>325.45</v>
      </c>
      <c r="J1511" s="2"/>
      <c r="K1511" s="2"/>
      <c r="L1511" s="2"/>
      <c r="M1511" s="4" t="e">
        <f t="shared" si="138"/>
        <v>#DIV/0!</v>
      </c>
      <c r="N1511" s="4" t="e">
        <f t="shared" si="139"/>
        <v>#DIV/0!</v>
      </c>
      <c r="O1511" s="5" t="e">
        <f t="shared" si="140"/>
        <v>#DIV/0!</v>
      </c>
      <c r="P1511" s="5" t="e">
        <f t="shared" si="141"/>
        <v>#DIV/0!</v>
      </c>
      <c r="Q1511" s="4" t="e">
        <f t="shared" si="142"/>
        <v>#DIV/0!</v>
      </c>
      <c r="R1511" s="4" t="e">
        <f t="shared" si="143"/>
        <v>#DIV/0!</v>
      </c>
      <c r="S1511" s="4"/>
      <c r="T1511" s="2">
        <v>1.1399999999999999</v>
      </c>
      <c r="U1511" s="2">
        <v>353.7</v>
      </c>
      <c r="V1511" s="2">
        <v>224.16</v>
      </c>
      <c r="W1511" s="2">
        <v>-3.86</v>
      </c>
      <c r="X1511" s="2">
        <v>-5.05</v>
      </c>
      <c r="Y1511" s="2">
        <v>-1.0900000000000001</v>
      </c>
      <c r="Z1511" s="2">
        <v>0.76</v>
      </c>
    </row>
    <row r="1512" spans="1:26" x14ac:dyDescent="0.25">
      <c r="A1512" s="1" t="s">
        <v>6294</v>
      </c>
      <c r="B1512" s="1" t="s">
        <v>6295</v>
      </c>
      <c r="C1512" s="1" t="s">
        <v>16</v>
      </c>
      <c r="D1512" s="1" t="s">
        <v>38</v>
      </c>
      <c r="E1512" s="1" t="s">
        <v>259</v>
      </c>
      <c r="F1512" s="1" t="s">
        <v>6296</v>
      </c>
      <c r="G1512" s="1" t="s">
        <v>12480</v>
      </c>
      <c r="H1512" s="1" t="s">
        <v>6297</v>
      </c>
      <c r="I1512" s="2">
        <v>135.22999999999999</v>
      </c>
      <c r="J1512" s="2"/>
      <c r="K1512" s="2"/>
      <c r="L1512" s="2"/>
      <c r="M1512" s="4" t="e">
        <f t="shared" si="138"/>
        <v>#DIV/0!</v>
      </c>
      <c r="N1512" s="4" t="e">
        <f t="shared" si="139"/>
        <v>#DIV/0!</v>
      </c>
      <c r="O1512" s="5" t="e">
        <f t="shared" si="140"/>
        <v>#DIV/0!</v>
      </c>
      <c r="P1512" s="5" t="e">
        <f t="shared" si="141"/>
        <v>#DIV/0!</v>
      </c>
      <c r="Q1512" s="4" t="e">
        <f t="shared" si="142"/>
        <v>#DIV/0!</v>
      </c>
      <c r="R1512" s="4" t="e">
        <f t="shared" si="143"/>
        <v>#DIV/0!</v>
      </c>
      <c r="S1512" s="4"/>
      <c r="T1512" s="2">
        <v>1.1499999999999999</v>
      </c>
      <c r="U1512" s="2">
        <v>145.30000000000001</v>
      </c>
      <c r="V1512" s="2">
        <v>104.34</v>
      </c>
      <c r="W1512" s="2">
        <v>-1.1299999999999999</v>
      </c>
      <c r="X1512" s="2">
        <v>-1.1000000000000001</v>
      </c>
      <c r="Y1512" s="2">
        <v>-2.2400000000000002</v>
      </c>
      <c r="Z1512" s="2">
        <v>-1.25</v>
      </c>
    </row>
    <row r="1513" spans="1:26" x14ac:dyDescent="0.25">
      <c r="A1513" s="1" t="s">
        <v>6298</v>
      </c>
      <c r="B1513" s="1" t="s">
        <v>6299</v>
      </c>
      <c r="C1513" s="1" t="s">
        <v>16</v>
      </c>
      <c r="D1513" s="1" t="s">
        <v>38</v>
      </c>
      <c r="E1513" s="1" t="s">
        <v>259</v>
      </c>
      <c r="F1513" s="1" t="s">
        <v>6300</v>
      </c>
      <c r="G1513" s="1" t="s">
        <v>12480</v>
      </c>
      <c r="H1513" s="1" t="s">
        <v>6301</v>
      </c>
      <c r="I1513" s="2">
        <v>99.96</v>
      </c>
      <c r="J1513" s="2"/>
      <c r="K1513" s="2"/>
      <c r="L1513" s="2"/>
      <c r="M1513" s="4" t="e">
        <f t="shared" si="138"/>
        <v>#DIV/0!</v>
      </c>
      <c r="N1513" s="4" t="e">
        <f t="shared" si="139"/>
        <v>#DIV/0!</v>
      </c>
      <c r="O1513" s="5" t="e">
        <f t="shared" si="140"/>
        <v>#DIV/0!</v>
      </c>
      <c r="P1513" s="5" t="e">
        <f t="shared" si="141"/>
        <v>#DIV/0!</v>
      </c>
      <c r="Q1513" s="4" t="e">
        <f t="shared" si="142"/>
        <v>#DIV/0!</v>
      </c>
      <c r="R1513" s="4" t="e">
        <f t="shared" si="143"/>
        <v>#DIV/0!</v>
      </c>
      <c r="S1513" s="4"/>
      <c r="T1513" s="2">
        <v>1.03</v>
      </c>
      <c r="U1513" s="2">
        <v>103.44</v>
      </c>
      <c r="V1513" s="2">
        <v>74.88</v>
      </c>
      <c r="W1513" s="2">
        <v>-3.13</v>
      </c>
      <c r="X1513" s="2">
        <v>-2.11</v>
      </c>
      <c r="Y1513" s="2">
        <v>2.4500000000000002</v>
      </c>
      <c r="Z1513" s="2">
        <v>3.83</v>
      </c>
    </row>
    <row r="1514" spans="1:26" x14ac:dyDescent="0.25">
      <c r="A1514" s="1" t="s">
        <v>6302</v>
      </c>
      <c r="B1514" s="1" t="s">
        <v>6303</v>
      </c>
      <c r="C1514" s="1" t="s">
        <v>16</v>
      </c>
      <c r="D1514" s="1" t="s">
        <v>38</v>
      </c>
      <c r="E1514" s="1" t="s">
        <v>259</v>
      </c>
      <c r="F1514" s="1" t="s">
        <v>6304</v>
      </c>
      <c r="G1514" s="1" t="s">
        <v>12480</v>
      </c>
      <c r="H1514" s="1" t="s">
        <v>6305</v>
      </c>
      <c r="I1514" s="2">
        <v>148.56</v>
      </c>
      <c r="J1514" s="2"/>
      <c r="K1514" s="2"/>
      <c r="L1514" s="2"/>
      <c r="M1514" s="4" t="e">
        <f t="shared" si="138"/>
        <v>#DIV/0!</v>
      </c>
      <c r="N1514" s="4" t="e">
        <f t="shared" si="139"/>
        <v>#DIV/0!</v>
      </c>
      <c r="O1514" s="5" t="e">
        <f t="shared" si="140"/>
        <v>#DIV/0!</v>
      </c>
      <c r="P1514" s="5" t="e">
        <f t="shared" si="141"/>
        <v>#DIV/0!</v>
      </c>
      <c r="Q1514" s="4" t="e">
        <f t="shared" si="142"/>
        <v>#DIV/0!</v>
      </c>
      <c r="R1514" s="4" t="e">
        <f t="shared" si="143"/>
        <v>#DIV/0!</v>
      </c>
      <c r="S1514" s="4"/>
      <c r="T1514" s="2">
        <v>0.98</v>
      </c>
      <c r="U1514" s="2">
        <v>154.35</v>
      </c>
      <c r="V1514" s="2">
        <v>110.58</v>
      </c>
      <c r="W1514" s="2">
        <v>-3.75</v>
      </c>
      <c r="X1514" s="2">
        <v>-2.4300000000000002</v>
      </c>
      <c r="Y1514" s="2">
        <v>3.92</v>
      </c>
      <c r="Z1514" s="2">
        <v>5.32</v>
      </c>
    </row>
    <row r="1515" spans="1:26" x14ac:dyDescent="0.25">
      <c r="A1515" s="1" t="s">
        <v>6306</v>
      </c>
      <c r="B1515" s="1" t="s">
        <v>6307</v>
      </c>
      <c r="C1515" s="1" t="s">
        <v>16</v>
      </c>
      <c r="D1515" s="1" t="s">
        <v>38</v>
      </c>
      <c r="E1515" s="1" t="s">
        <v>52</v>
      </c>
      <c r="F1515" s="1" t="s">
        <v>6308</v>
      </c>
      <c r="G1515" s="1" t="s">
        <v>12490</v>
      </c>
      <c r="H1515" s="1" t="s">
        <v>6309</v>
      </c>
      <c r="I1515" s="2">
        <v>32.22</v>
      </c>
      <c r="J1515" s="2">
        <v>2.02</v>
      </c>
      <c r="K1515" s="2">
        <v>2.6</v>
      </c>
      <c r="L1515" s="2">
        <v>2.64</v>
      </c>
      <c r="M1515" s="4">
        <f t="shared" si="138"/>
        <v>12.392307692307691</v>
      </c>
      <c r="N1515" s="4">
        <f t="shared" si="139"/>
        <v>12.204545454545453</v>
      </c>
      <c r="O1515" s="5">
        <f t="shared" si="140"/>
        <v>0.28712871287128716</v>
      </c>
      <c r="P1515" s="5">
        <f t="shared" si="141"/>
        <v>1.538461538461533E-2</v>
      </c>
      <c r="Q1515" s="4">
        <f t="shared" si="142"/>
        <v>0.43159416445623333</v>
      </c>
      <c r="R1515" s="4">
        <f t="shared" si="143"/>
        <v>7.9329545454545727</v>
      </c>
      <c r="S1515" s="4">
        <v>-3.16</v>
      </c>
      <c r="T1515" s="2">
        <v>0.71</v>
      </c>
      <c r="U1515" s="2">
        <v>36.6</v>
      </c>
      <c r="V1515" s="2">
        <v>18.25</v>
      </c>
      <c r="W1515" s="2">
        <v>-5.49</v>
      </c>
      <c r="X1515" s="2">
        <v>-5.21</v>
      </c>
      <c r="Y1515" s="2">
        <v>9.85</v>
      </c>
      <c r="Z1515" s="2">
        <v>10.27</v>
      </c>
    </row>
    <row r="1516" spans="1:26" x14ac:dyDescent="0.25">
      <c r="A1516" s="1" t="s">
        <v>6310</v>
      </c>
      <c r="B1516" s="1" t="s">
        <v>6311</v>
      </c>
      <c r="C1516" s="1" t="s">
        <v>16</v>
      </c>
      <c r="D1516" s="1" t="s">
        <v>38</v>
      </c>
      <c r="E1516" s="1" t="s">
        <v>259</v>
      </c>
      <c r="F1516" s="1" t="s">
        <v>6312</v>
      </c>
      <c r="G1516" s="1" t="s">
        <v>12480</v>
      </c>
      <c r="H1516" s="1" t="s">
        <v>12709</v>
      </c>
      <c r="I1516" s="2">
        <v>59.5</v>
      </c>
      <c r="J1516" s="2"/>
      <c r="K1516" s="2"/>
      <c r="L1516" s="2"/>
      <c r="M1516" s="4" t="e">
        <f t="shared" si="138"/>
        <v>#DIV/0!</v>
      </c>
      <c r="N1516" s="4" t="e">
        <f t="shared" si="139"/>
        <v>#DIV/0!</v>
      </c>
      <c r="O1516" s="5" t="e">
        <f t="shared" si="140"/>
        <v>#DIV/0!</v>
      </c>
      <c r="P1516" s="5" t="e">
        <f t="shared" si="141"/>
        <v>#DIV/0!</v>
      </c>
      <c r="Q1516" s="4" t="e">
        <f t="shared" si="142"/>
        <v>#DIV/0!</v>
      </c>
      <c r="R1516" s="4" t="e">
        <f t="shared" si="143"/>
        <v>#DIV/0!</v>
      </c>
      <c r="S1516" s="4"/>
      <c r="T1516" s="2">
        <v>0.57999999999999996</v>
      </c>
      <c r="U1516" s="2">
        <v>60.29</v>
      </c>
      <c r="V1516" s="2">
        <v>40.36</v>
      </c>
      <c r="W1516" s="2">
        <v>-1.31</v>
      </c>
      <c r="X1516" s="2">
        <v>4.96</v>
      </c>
      <c r="Y1516" s="2">
        <v>24.06</v>
      </c>
      <c r="Z1516" s="2">
        <v>25.18</v>
      </c>
    </row>
    <row r="1517" spans="1:26" x14ac:dyDescent="0.25">
      <c r="A1517" s="1" t="s">
        <v>6313</v>
      </c>
      <c r="B1517" s="1" t="s">
        <v>6314</v>
      </c>
      <c r="C1517" s="1" t="s">
        <v>16</v>
      </c>
      <c r="D1517" s="1" t="s">
        <v>38</v>
      </c>
      <c r="E1517" s="1" t="s">
        <v>259</v>
      </c>
      <c r="F1517" s="1" t="s">
        <v>6315</v>
      </c>
      <c r="G1517" s="1" t="s">
        <v>12480</v>
      </c>
      <c r="H1517" s="1" t="s">
        <v>6316</v>
      </c>
      <c r="I1517" s="2">
        <v>99.23</v>
      </c>
      <c r="J1517" s="2"/>
      <c r="K1517" s="2"/>
      <c r="L1517" s="2"/>
      <c r="M1517" s="4" t="e">
        <f t="shared" si="138"/>
        <v>#DIV/0!</v>
      </c>
      <c r="N1517" s="4" t="e">
        <f t="shared" si="139"/>
        <v>#DIV/0!</v>
      </c>
      <c r="O1517" s="5" t="e">
        <f t="shared" si="140"/>
        <v>#DIV/0!</v>
      </c>
      <c r="P1517" s="5" t="e">
        <f t="shared" si="141"/>
        <v>#DIV/0!</v>
      </c>
      <c r="Q1517" s="4" t="e">
        <f t="shared" si="142"/>
        <v>#DIV/0!</v>
      </c>
      <c r="R1517" s="4" t="e">
        <f t="shared" si="143"/>
        <v>#DIV/0!</v>
      </c>
      <c r="S1517" s="4"/>
      <c r="T1517" s="2">
        <v>1.02</v>
      </c>
      <c r="U1517" s="2">
        <v>101.54</v>
      </c>
      <c r="V1517" s="2">
        <v>84.48</v>
      </c>
      <c r="W1517" s="2">
        <v>-2.2799999999999998</v>
      </c>
      <c r="X1517" s="2">
        <v>1.19</v>
      </c>
      <c r="Y1517" s="2">
        <v>4.3600000000000003</v>
      </c>
      <c r="Z1517" s="2">
        <v>5.69</v>
      </c>
    </row>
    <row r="1518" spans="1:26" x14ac:dyDescent="0.25">
      <c r="A1518" s="1" t="s">
        <v>6317</v>
      </c>
      <c r="B1518" s="1" t="s">
        <v>6318</v>
      </c>
      <c r="C1518" s="1" t="s">
        <v>16</v>
      </c>
      <c r="D1518" s="1" t="s">
        <v>38</v>
      </c>
      <c r="E1518" s="1" t="s">
        <v>259</v>
      </c>
      <c r="F1518" s="1" t="s">
        <v>6319</v>
      </c>
      <c r="G1518" s="1" t="s">
        <v>12480</v>
      </c>
      <c r="H1518" s="1" t="s">
        <v>6320</v>
      </c>
      <c r="I1518" s="2">
        <v>191.75</v>
      </c>
      <c r="J1518" s="2"/>
      <c r="K1518" s="2"/>
      <c r="L1518" s="2"/>
      <c r="M1518" s="4" t="e">
        <f t="shared" si="138"/>
        <v>#DIV/0!</v>
      </c>
      <c r="N1518" s="4" t="e">
        <f t="shared" si="139"/>
        <v>#DIV/0!</v>
      </c>
      <c r="O1518" s="5" t="e">
        <f t="shared" si="140"/>
        <v>#DIV/0!</v>
      </c>
      <c r="P1518" s="5" t="e">
        <f t="shared" si="141"/>
        <v>#DIV/0!</v>
      </c>
      <c r="Q1518" s="4" t="e">
        <f t="shared" si="142"/>
        <v>#DIV/0!</v>
      </c>
      <c r="R1518" s="4" t="e">
        <f t="shared" si="143"/>
        <v>#DIV/0!</v>
      </c>
      <c r="S1518" s="4"/>
      <c r="T1518" s="2">
        <v>1.27</v>
      </c>
      <c r="U1518" s="2">
        <v>211.27</v>
      </c>
      <c r="V1518" s="2">
        <v>122.57</v>
      </c>
      <c r="W1518" s="2">
        <v>0.3</v>
      </c>
      <c r="X1518" s="2">
        <v>-2.33</v>
      </c>
      <c r="Y1518" s="2">
        <v>-2.5</v>
      </c>
      <c r="Z1518" s="2">
        <v>-3.97</v>
      </c>
    </row>
    <row r="1519" spans="1:26" x14ac:dyDescent="0.25">
      <c r="A1519" s="1" t="s">
        <v>6321</v>
      </c>
      <c r="B1519" s="1" t="s">
        <v>6322</v>
      </c>
      <c r="C1519" s="1" t="s">
        <v>16</v>
      </c>
      <c r="D1519" s="1" t="s">
        <v>61</v>
      </c>
      <c r="E1519" s="1" t="s">
        <v>170</v>
      </c>
      <c r="F1519" s="1" t="s">
        <v>6323</v>
      </c>
      <c r="G1519" s="1" t="s">
        <v>12485</v>
      </c>
      <c r="H1519" s="1" t="s">
        <v>6324</v>
      </c>
      <c r="I1519" s="2">
        <v>134.66999999999999</v>
      </c>
      <c r="J1519" s="2">
        <v>6.12</v>
      </c>
      <c r="K1519" s="2">
        <v>7.13</v>
      </c>
      <c r="L1519" s="2">
        <v>8.08</v>
      </c>
      <c r="M1519" s="4">
        <f t="shared" si="138"/>
        <v>18.887798036465636</v>
      </c>
      <c r="N1519" s="4">
        <f t="shared" si="139"/>
        <v>16.667079207920789</v>
      </c>
      <c r="O1519" s="5">
        <f t="shared" si="140"/>
        <v>0.16503267973856195</v>
      </c>
      <c r="P1519" s="5">
        <f t="shared" si="141"/>
        <v>0.13323983169705467</v>
      </c>
      <c r="Q1519" s="4">
        <f t="shared" si="142"/>
        <v>1.1444883562690078</v>
      </c>
      <c r="R1519" s="4">
        <f t="shared" si="143"/>
        <v>1.2509081552892132</v>
      </c>
      <c r="S1519" s="4">
        <v>4.5999999999999996</v>
      </c>
      <c r="T1519" s="2">
        <v>0.78</v>
      </c>
      <c r="U1519" s="2">
        <v>164.44</v>
      </c>
      <c r="V1519" s="2">
        <v>110.79</v>
      </c>
      <c r="W1519" s="2">
        <v>-3.14</v>
      </c>
      <c r="X1519" s="2">
        <v>-10.79</v>
      </c>
      <c r="Y1519" s="2">
        <v>-0.63</v>
      </c>
      <c r="Z1519" s="2">
        <v>1.67</v>
      </c>
    </row>
    <row r="1520" spans="1:26" x14ac:dyDescent="0.25">
      <c r="A1520" s="1" t="s">
        <v>6325</v>
      </c>
      <c r="B1520" s="1" t="s">
        <v>6326</v>
      </c>
      <c r="C1520" s="1" t="s">
        <v>31</v>
      </c>
      <c r="D1520" s="1" t="s">
        <v>128</v>
      </c>
      <c r="E1520" s="1" t="s">
        <v>2055</v>
      </c>
      <c r="F1520" s="1" t="s">
        <v>6327</v>
      </c>
      <c r="G1520" s="1" t="s">
        <v>12480</v>
      </c>
      <c r="H1520" s="1" t="s">
        <v>6328</v>
      </c>
      <c r="I1520" s="2" t="s">
        <v>12518</v>
      </c>
      <c r="J1520" s="2">
        <v>0.94</v>
      </c>
      <c r="K1520" s="2">
        <v>1.1599999999999999</v>
      </c>
      <c r="L1520" s="2">
        <v>1.32</v>
      </c>
      <c r="M1520" s="4">
        <f t="shared" si="138"/>
        <v>15.517241379310345</v>
      </c>
      <c r="N1520" s="4">
        <f t="shared" si="139"/>
        <v>13.636363636363635</v>
      </c>
      <c r="O1520" s="5">
        <f t="shared" si="140"/>
        <v>0.23404255319148937</v>
      </c>
      <c r="P1520" s="5">
        <f t="shared" si="141"/>
        <v>0.13793103448275867</v>
      </c>
      <c r="Q1520" s="4">
        <f t="shared" si="142"/>
        <v>0.6630094043887147</v>
      </c>
      <c r="R1520" s="4">
        <f t="shared" si="143"/>
        <v>0.98863636363636309</v>
      </c>
      <c r="S1520" s="4">
        <v>11.34</v>
      </c>
      <c r="T1520" s="2">
        <v>0.34</v>
      </c>
      <c r="U1520" s="2">
        <v>19.989999999999998</v>
      </c>
      <c r="V1520" s="2">
        <v>12.89</v>
      </c>
      <c r="W1520" s="2">
        <v>-4.76</v>
      </c>
      <c r="X1520" s="2">
        <v>-9.18</v>
      </c>
      <c r="Y1520" s="2">
        <v>-4.2</v>
      </c>
      <c r="Z1520" s="2">
        <v>0.33</v>
      </c>
    </row>
    <row r="1521" spans="1:26" x14ac:dyDescent="0.25">
      <c r="A1521" s="1" t="s">
        <v>6329</v>
      </c>
      <c r="B1521" s="1" t="s">
        <v>6330</v>
      </c>
      <c r="C1521" s="1" t="s">
        <v>31</v>
      </c>
      <c r="D1521" s="1" t="s">
        <v>46</v>
      </c>
      <c r="E1521" s="1" t="s">
        <v>47</v>
      </c>
      <c r="F1521" s="1" t="s">
        <v>6331</v>
      </c>
      <c r="G1521" s="1" t="s">
        <v>12490</v>
      </c>
      <c r="H1521" s="1" t="s">
        <v>6332</v>
      </c>
      <c r="I1521" s="2">
        <v>8.35</v>
      </c>
      <c r="J1521" s="2">
        <v>0.8</v>
      </c>
      <c r="K1521" s="2">
        <v>0.9</v>
      </c>
      <c r="L1521" s="2">
        <v>0.85</v>
      </c>
      <c r="M1521" s="4">
        <f t="shared" si="138"/>
        <v>9.2777777777777768</v>
      </c>
      <c r="N1521" s="4">
        <f t="shared" si="139"/>
        <v>9.8235294117647065</v>
      </c>
      <c r="O1521" s="5">
        <f t="shared" si="140"/>
        <v>0.125</v>
      </c>
      <c r="P1521" s="5">
        <f t="shared" si="141"/>
        <v>-5.555555555555558E-2</v>
      </c>
      <c r="Q1521" s="4">
        <f t="shared" si="142"/>
        <v>0.74222222222222212</v>
      </c>
      <c r="R1521" s="4">
        <f t="shared" si="143"/>
        <v>-1.7682352941176465</v>
      </c>
      <c r="S1521" s="4">
        <v>5.84</v>
      </c>
      <c r="T1521" s="2">
        <v>0.3</v>
      </c>
      <c r="U1521" s="2">
        <v>10.86</v>
      </c>
      <c r="V1521" s="2">
        <v>7.79</v>
      </c>
      <c r="W1521" s="2">
        <v>-12.35</v>
      </c>
      <c r="X1521" s="2">
        <v>-17.41</v>
      </c>
      <c r="Y1521" s="2">
        <v>-10.31</v>
      </c>
      <c r="Z1521" s="2">
        <v>-9.24</v>
      </c>
    </row>
    <row r="1522" spans="1:26" x14ac:dyDescent="0.25">
      <c r="A1522" s="1" t="s">
        <v>6333</v>
      </c>
      <c r="B1522" s="1" t="s">
        <v>6334</v>
      </c>
      <c r="C1522" s="1" t="s">
        <v>45</v>
      </c>
      <c r="D1522" s="1" t="s">
        <v>18</v>
      </c>
      <c r="E1522" s="1" t="s">
        <v>74</v>
      </c>
      <c r="F1522" s="1" t="s">
        <v>6335</v>
      </c>
      <c r="G1522" s="1" t="s">
        <v>12480</v>
      </c>
      <c r="H1522" s="1" t="s">
        <v>6336</v>
      </c>
      <c r="I1522" s="2">
        <v>185.4</v>
      </c>
      <c r="J1522" s="2">
        <v>8.3800000000000008</v>
      </c>
      <c r="K1522" s="2">
        <v>24.02</v>
      </c>
      <c r="L1522" s="2">
        <v>26.28</v>
      </c>
      <c r="M1522" s="4">
        <f t="shared" si="138"/>
        <v>7.7185678601165701</v>
      </c>
      <c r="N1522" s="4">
        <f t="shared" si="139"/>
        <v>7.0547945205479454</v>
      </c>
      <c r="O1522" s="5">
        <f t="shared" si="140"/>
        <v>1.8663484486873507</v>
      </c>
      <c r="P1522" s="5">
        <f t="shared" si="141"/>
        <v>9.4088259783513761E-2</v>
      </c>
      <c r="Q1522" s="4">
        <f t="shared" si="142"/>
        <v>4.135652088732536E-2</v>
      </c>
      <c r="R1522" s="4">
        <f t="shared" si="143"/>
        <v>0.74980603709540528</v>
      </c>
      <c r="S1522" s="4">
        <v>4.88</v>
      </c>
      <c r="T1522" s="2">
        <v>0.22</v>
      </c>
      <c r="U1522" s="2">
        <v>196.83</v>
      </c>
      <c r="V1522" s="2">
        <v>97.78</v>
      </c>
      <c r="W1522" s="2">
        <v>-2.66</v>
      </c>
      <c r="X1522" s="2">
        <v>12.36</v>
      </c>
      <c r="Y1522" s="2">
        <v>9.36</v>
      </c>
      <c r="Z1522" s="2">
        <v>9.06</v>
      </c>
    </row>
    <row r="1523" spans="1:26" x14ac:dyDescent="0.25">
      <c r="A1523" s="1" t="s">
        <v>6337</v>
      </c>
      <c r="B1523" s="1" t="s">
        <v>6338</v>
      </c>
      <c r="C1523" s="1" t="s">
        <v>45</v>
      </c>
      <c r="D1523" s="1" t="s">
        <v>46</v>
      </c>
      <c r="E1523" s="1" t="s">
        <v>977</v>
      </c>
      <c r="F1523" s="1" t="s">
        <v>6339</v>
      </c>
      <c r="G1523" s="1" t="s">
        <v>12480</v>
      </c>
      <c r="H1523" s="1" t="s">
        <v>6340</v>
      </c>
      <c r="I1523" s="2">
        <v>217.46</v>
      </c>
      <c r="J1523" s="2">
        <v>6.12</v>
      </c>
      <c r="K1523" s="2">
        <v>7.15</v>
      </c>
      <c r="L1523" s="2">
        <v>8.77</v>
      </c>
      <c r="M1523" s="4">
        <f t="shared" si="138"/>
        <v>30.413986013986012</v>
      </c>
      <c r="N1523" s="4">
        <f t="shared" si="139"/>
        <v>24.795895096921324</v>
      </c>
      <c r="O1523" s="5">
        <f t="shared" si="140"/>
        <v>0.16830065359477131</v>
      </c>
      <c r="P1523" s="5">
        <f t="shared" si="141"/>
        <v>0.2265734265734265</v>
      </c>
      <c r="Q1523" s="4">
        <f t="shared" si="142"/>
        <v>1.807122275782469</v>
      </c>
      <c r="R1523" s="4">
        <f t="shared" si="143"/>
        <v>1.094386728043133</v>
      </c>
      <c r="S1523" s="4">
        <v>-0.73</v>
      </c>
      <c r="T1523" s="2">
        <v>1.23</v>
      </c>
      <c r="U1523" s="2">
        <v>234.92</v>
      </c>
      <c r="V1523" s="2">
        <v>124.73</v>
      </c>
      <c r="W1523" s="2">
        <v>-6.3</v>
      </c>
      <c r="X1523" s="2">
        <v>-3.89</v>
      </c>
      <c r="Y1523" s="2">
        <v>10.050000000000001</v>
      </c>
      <c r="Z1523" s="2">
        <v>11.9</v>
      </c>
    </row>
    <row r="1524" spans="1:26" x14ac:dyDescent="0.25">
      <c r="A1524" s="1" t="s">
        <v>6341</v>
      </c>
      <c r="B1524" s="1" t="s">
        <v>6342</v>
      </c>
      <c r="C1524" s="1" t="s">
        <v>16</v>
      </c>
      <c r="D1524" s="1" t="s">
        <v>32</v>
      </c>
      <c r="E1524" s="1" t="s">
        <v>1666</v>
      </c>
      <c r="F1524" s="1" t="s">
        <v>6343</v>
      </c>
      <c r="G1524" s="1" t="s">
        <v>12497</v>
      </c>
      <c r="H1524" s="1" t="s">
        <v>6344</v>
      </c>
      <c r="I1524" s="2">
        <v>247.46</v>
      </c>
      <c r="J1524" s="2">
        <v>9.75</v>
      </c>
      <c r="K1524" s="2">
        <v>11.55</v>
      </c>
      <c r="L1524" s="2">
        <v>13.42</v>
      </c>
      <c r="M1524" s="4">
        <f t="shared" si="138"/>
        <v>21.425108225108225</v>
      </c>
      <c r="N1524" s="4">
        <f t="shared" si="139"/>
        <v>18.439642324888226</v>
      </c>
      <c r="O1524" s="5">
        <f t="shared" si="140"/>
        <v>0.18461538461538463</v>
      </c>
      <c r="P1524" s="5">
        <f t="shared" si="141"/>
        <v>0.16190476190476177</v>
      </c>
      <c r="Q1524" s="4">
        <f t="shared" si="142"/>
        <v>1.1605266955266955</v>
      </c>
      <c r="R1524" s="4">
        <f t="shared" si="143"/>
        <v>1.138919084772509</v>
      </c>
      <c r="S1524" s="4">
        <v>3.18</v>
      </c>
      <c r="T1524" s="2">
        <v>1.22</v>
      </c>
      <c r="U1524" s="2">
        <v>277.57</v>
      </c>
      <c r="V1524" s="2">
        <v>116.88</v>
      </c>
      <c r="W1524" s="2">
        <v>-5.25</v>
      </c>
      <c r="X1524" s="2">
        <v>-6.96</v>
      </c>
      <c r="Y1524" s="2">
        <v>11.87</v>
      </c>
      <c r="Z1524" s="2">
        <v>8.5299999999999994</v>
      </c>
    </row>
    <row r="1525" spans="1:26" x14ac:dyDescent="0.25">
      <c r="A1525" s="1" t="s">
        <v>6345</v>
      </c>
      <c r="B1525" s="1" t="s">
        <v>6346</v>
      </c>
      <c r="C1525" s="1" t="s">
        <v>45</v>
      </c>
      <c r="D1525" s="1" t="s">
        <v>46</v>
      </c>
      <c r="E1525" s="1" t="s">
        <v>47</v>
      </c>
      <c r="F1525" s="1" t="s">
        <v>6347</v>
      </c>
      <c r="G1525" s="1" t="s">
        <v>12480</v>
      </c>
      <c r="H1525" s="1" t="s">
        <v>6348</v>
      </c>
      <c r="I1525" s="2">
        <v>4.5199999999999996</v>
      </c>
      <c r="J1525" s="2">
        <v>-1.64</v>
      </c>
      <c r="K1525" s="2">
        <v>-0.87</v>
      </c>
      <c r="L1525" s="2">
        <v>-0.1</v>
      </c>
      <c r="M1525" s="4">
        <f t="shared" si="138"/>
        <v>-5.1954022988505741</v>
      </c>
      <c r="N1525" s="4">
        <f t="shared" si="139"/>
        <v>-45.199999999999996</v>
      </c>
      <c r="O1525" s="5">
        <f t="shared" si="140"/>
        <v>-0.46951219512195119</v>
      </c>
      <c r="P1525" s="5">
        <f t="shared" si="141"/>
        <v>-0.88505747126436785</v>
      </c>
      <c r="Q1525" s="4">
        <f t="shared" si="142"/>
        <v>0.11065532168980445</v>
      </c>
      <c r="R1525" s="4">
        <f t="shared" si="143"/>
        <v>0.51070129870129866</v>
      </c>
      <c r="S1525" s="4">
        <v>-2.34</v>
      </c>
      <c r="T1525" s="2">
        <v>1.72</v>
      </c>
      <c r="U1525" s="2">
        <v>6.46</v>
      </c>
      <c r="V1525" s="2">
        <v>3.42</v>
      </c>
      <c r="W1525" s="2">
        <v>-13.41</v>
      </c>
      <c r="X1525" s="2">
        <v>-26.62</v>
      </c>
      <c r="Y1525" s="2">
        <v>-7.57</v>
      </c>
      <c r="Z1525" s="2">
        <v>-0.66</v>
      </c>
    </row>
    <row r="1526" spans="1:26" x14ac:dyDescent="0.25">
      <c r="A1526" s="1" t="s">
        <v>6349</v>
      </c>
      <c r="B1526" s="1" t="s">
        <v>6350</v>
      </c>
      <c r="C1526" s="1" t="s">
        <v>16</v>
      </c>
      <c r="D1526" s="1" t="s">
        <v>140</v>
      </c>
      <c r="E1526" s="1" t="s">
        <v>284</v>
      </c>
      <c r="F1526" s="1" t="s">
        <v>6351</v>
      </c>
      <c r="G1526" s="1" t="s">
        <v>12480</v>
      </c>
      <c r="H1526" s="1" t="s">
        <v>6352</v>
      </c>
      <c r="I1526" s="2">
        <v>149.83000000000001</v>
      </c>
      <c r="J1526" s="2">
        <v>6.41</v>
      </c>
      <c r="K1526" s="2">
        <v>8.19</v>
      </c>
      <c r="L1526" s="2">
        <v>9.16</v>
      </c>
      <c r="M1526" s="4">
        <f t="shared" si="138"/>
        <v>18.294261294261297</v>
      </c>
      <c r="N1526" s="4">
        <f t="shared" si="139"/>
        <v>16.356986899563321</v>
      </c>
      <c r="O1526" s="5">
        <f t="shared" si="140"/>
        <v>0.2776911076443056</v>
      </c>
      <c r="P1526" s="5">
        <f t="shared" si="141"/>
        <v>0.11843711843711846</v>
      </c>
      <c r="Q1526" s="4">
        <f t="shared" si="142"/>
        <v>0.6587989600910954</v>
      </c>
      <c r="R1526" s="4">
        <f t="shared" si="143"/>
        <v>1.3810693062620987</v>
      </c>
      <c r="S1526" s="4">
        <v>121.34</v>
      </c>
      <c r="T1526" s="2">
        <v>0.97</v>
      </c>
      <c r="U1526" s="2">
        <v>168.55</v>
      </c>
      <c r="V1526" s="2">
        <v>91.58</v>
      </c>
      <c r="W1526" s="2">
        <v>-2.95</v>
      </c>
      <c r="X1526" s="2">
        <v>-9.9600000000000009</v>
      </c>
      <c r="Y1526" s="2">
        <v>-3.42</v>
      </c>
      <c r="Z1526" s="2">
        <v>-0.56000000000000005</v>
      </c>
    </row>
    <row r="1527" spans="1:26" x14ac:dyDescent="0.25">
      <c r="A1527" s="1" t="s">
        <v>6353</v>
      </c>
      <c r="B1527" s="1" t="s">
        <v>6354</v>
      </c>
      <c r="C1527" s="1" t="s">
        <v>45</v>
      </c>
      <c r="D1527" s="1" t="s">
        <v>38</v>
      </c>
      <c r="E1527" s="1" t="s">
        <v>52</v>
      </c>
      <c r="F1527" s="1" t="s">
        <v>6355</v>
      </c>
      <c r="G1527" s="1" t="s">
        <v>12480</v>
      </c>
      <c r="H1527" s="1" t="s">
        <v>6356</v>
      </c>
      <c r="I1527" s="2">
        <v>21.01</v>
      </c>
      <c r="J1527" s="2"/>
      <c r="K1527" s="2">
        <v>2.83</v>
      </c>
      <c r="L1527" s="2">
        <v>2.95</v>
      </c>
      <c r="M1527" s="4">
        <f t="shared" si="138"/>
        <v>7.4240282685512371</v>
      </c>
      <c r="N1527" s="4">
        <f t="shared" si="139"/>
        <v>7.1220338983050846</v>
      </c>
      <c r="O1527" s="5" t="e">
        <f t="shared" si="140"/>
        <v>#DIV/0!</v>
      </c>
      <c r="P1527" s="5">
        <f t="shared" si="141"/>
        <v>4.2402826855123754E-2</v>
      </c>
      <c r="Q1527" s="4" t="e">
        <f t="shared" si="142"/>
        <v>#DIV/0!</v>
      </c>
      <c r="R1527" s="4">
        <f t="shared" si="143"/>
        <v>1.6796129943502793</v>
      </c>
      <c r="S1527" s="4"/>
      <c r="T1527" s="2"/>
      <c r="U1527" s="2">
        <v>23.37</v>
      </c>
      <c r="V1527" s="2">
        <v>16.27</v>
      </c>
      <c r="W1527" s="2">
        <v>1.4</v>
      </c>
      <c r="X1527" s="2">
        <v>-4.9800000000000004</v>
      </c>
      <c r="Y1527" s="2">
        <v>-3.62</v>
      </c>
      <c r="Z1527" s="2">
        <v>-5.95</v>
      </c>
    </row>
    <row r="1528" spans="1:26" x14ac:dyDescent="0.25">
      <c r="A1528" s="1" t="s">
        <v>6357</v>
      </c>
      <c r="B1528" s="1" t="s">
        <v>6358</v>
      </c>
      <c r="C1528" s="1" t="s">
        <v>16</v>
      </c>
      <c r="D1528" s="1" t="s">
        <v>61</v>
      </c>
      <c r="E1528" s="1" t="s">
        <v>1534</v>
      </c>
      <c r="F1528" s="1" t="s">
        <v>6359</v>
      </c>
      <c r="G1528" s="1" t="s">
        <v>12485</v>
      </c>
      <c r="H1528" s="1" t="s">
        <v>6360</v>
      </c>
      <c r="I1528" s="2">
        <v>133.09</v>
      </c>
      <c r="J1528" s="2">
        <v>3.76</v>
      </c>
      <c r="K1528" s="2">
        <v>4.7</v>
      </c>
      <c r="L1528" s="2">
        <v>5.44</v>
      </c>
      <c r="M1528" s="4">
        <f t="shared" si="138"/>
        <v>28.317021276595746</v>
      </c>
      <c r="N1528" s="4">
        <f t="shared" si="139"/>
        <v>24.465073529411764</v>
      </c>
      <c r="O1528" s="5">
        <f t="shared" si="140"/>
        <v>0.25000000000000022</v>
      </c>
      <c r="P1528" s="5">
        <f t="shared" si="141"/>
        <v>0.15744680851063841</v>
      </c>
      <c r="Q1528" s="4">
        <f t="shared" si="142"/>
        <v>1.1326808510638289</v>
      </c>
      <c r="R1528" s="4">
        <f t="shared" si="143"/>
        <v>1.5538627782193948</v>
      </c>
      <c r="S1528" s="4">
        <v>2.81</v>
      </c>
      <c r="T1528" s="2">
        <v>1.38</v>
      </c>
      <c r="U1528" s="2">
        <v>145.46</v>
      </c>
      <c r="V1528" s="2">
        <v>71.14</v>
      </c>
      <c r="W1528" s="2">
        <v>-8.5</v>
      </c>
      <c r="X1528" s="2">
        <v>-4.25</v>
      </c>
      <c r="Y1528" s="2">
        <v>13.87</v>
      </c>
      <c r="Z1528" s="2">
        <v>11.14</v>
      </c>
    </row>
    <row r="1529" spans="1:26" x14ac:dyDescent="0.25">
      <c r="A1529" s="1" t="s">
        <v>6361</v>
      </c>
      <c r="B1529" s="1" t="s">
        <v>6362</v>
      </c>
      <c r="C1529" s="1" t="s">
        <v>45</v>
      </c>
      <c r="D1529" s="1" t="s">
        <v>67</v>
      </c>
      <c r="E1529" s="1" t="s">
        <v>833</v>
      </c>
      <c r="F1529" s="1" t="s">
        <v>6363</v>
      </c>
      <c r="G1529" s="1" t="s">
        <v>12480</v>
      </c>
      <c r="H1529" s="1" t="s">
        <v>6364</v>
      </c>
      <c r="I1529" s="2">
        <v>27.47</v>
      </c>
      <c r="J1529" s="2">
        <v>2.5499999999999998</v>
      </c>
      <c r="K1529" s="2">
        <v>2.71</v>
      </c>
      <c r="L1529" s="2">
        <v>3.3</v>
      </c>
      <c r="M1529" s="4">
        <f t="shared" si="138"/>
        <v>10.136531365313653</v>
      </c>
      <c r="N1529" s="4">
        <f t="shared" si="139"/>
        <v>8.3242424242424242</v>
      </c>
      <c r="O1529" s="5">
        <f t="shared" si="140"/>
        <v>6.2745098039215685E-2</v>
      </c>
      <c r="P1529" s="5">
        <f t="shared" si="141"/>
        <v>0.21771217712177116</v>
      </c>
      <c r="Q1529" s="4">
        <f t="shared" si="142"/>
        <v>1.6155096863468634</v>
      </c>
      <c r="R1529" s="4">
        <f t="shared" si="143"/>
        <v>0.38235079609655892</v>
      </c>
      <c r="S1529" s="4">
        <v>17.91</v>
      </c>
      <c r="T1529" s="2">
        <v>0.41</v>
      </c>
      <c r="U1529" s="2">
        <v>45.21</v>
      </c>
      <c r="V1529" s="2">
        <v>25.4</v>
      </c>
      <c r="W1529" s="2">
        <v>4.25</v>
      </c>
      <c r="X1529" s="2">
        <v>-1.93</v>
      </c>
      <c r="Y1529" s="2">
        <v>-4.78</v>
      </c>
      <c r="Z1529" s="2">
        <v>-4.29</v>
      </c>
    </row>
    <row r="1530" spans="1:26" x14ac:dyDescent="0.25">
      <c r="A1530" s="1" t="s">
        <v>6365</v>
      </c>
      <c r="B1530" s="1" t="s">
        <v>6366</v>
      </c>
      <c r="C1530" s="1" t="s">
        <v>31</v>
      </c>
      <c r="D1530" s="1" t="s">
        <v>128</v>
      </c>
      <c r="E1530" s="1" t="s">
        <v>2351</v>
      </c>
      <c r="F1530" s="1" t="s">
        <v>6367</v>
      </c>
      <c r="G1530" s="1" t="s">
        <v>12480</v>
      </c>
      <c r="H1530" s="1" t="s">
        <v>6368</v>
      </c>
      <c r="I1530" s="2">
        <v>18.3</v>
      </c>
      <c r="J1530" s="2"/>
      <c r="K1530" s="2"/>
      <c r="L1530" s="2"/>
      <c r="M1530" s="4" t="e">
        <f t="shared" si="138"/>
        <v>#DIV/0!</v>
      </c>
      <c r="N1530" s="4" t="e">
        <f t="shared" si="139"/>
        <v>#DIV/0!</v>
      </c>
      <c r="O1530" s="5" t="e">
        <f t="shared" si="140"/>
        <v>#DIV/0!</v>
      </c>
      <c r="P1530" s="5" t="e">
        <f t="shared" si="141"/>
        <v>#DIV/0!</v>
      </c>
      <c r="Q1530" s="4" t="e">
        <f t="shared" si="142"/>
        <v>#DIV/0!</v>
      </c>
      <c r="R1530" s="4" t="e">
        <f t="shared" si="143"/>
        <v>#DIV/0!</v>
      </c>
      <c r="S1530" s="4"/>
      <c r="T1530" s="2"/>
      <c r="U1530" s="2">
        <v>19.690000000000001</v>
      </c>
      <c r="V1530" s="2">
        <v>14.54</v>
      </c>
      <c r="W1530" s="2">
        <v>-0.89</v>
      </c>
      <c r="X1530" s="2">
        <v>-2.75</v>
      </c>
      <c r="Y1530" s="2">
        <v>-3.02</v>
      </c>
      <c r="Z1530" s="2">
        <v>-2.97</v>
      </c>
    </row>
    <row r="1531" spans="1:26" x14ac:dyDescent="0.25">
      <c r="A1531" s="1" t="s">
        <v>6369</v>
      </c>
      <c r="B1531" s="1" t="s">
        <v>6370</v>
      </c>
      <c r="C1531" s="1" t="s">
        <v>31</v>
      </c>
      <c r="D1531" s="1" t="s">
        <v>67</v>
      </c>
      <c r="E1531" s="1" t="s">
        <v>1037</v>
      </c>
      <c r="F1531" s="1" t="s">
        <v>6371</v>
      </c>
      <c r="G1531" s="1" t="s">
        <v>12496</v>
      </c>
      <c r="H1531" s="1" t="s">
        <v>12664</v>
      </c>
      <c r="I1531" s="2" t="s">
        <v>12627</v>
      </c>
      <c r="J1531" s="2">
        <v>3.18</v>
      </c>
      <c r="K1531" s="2"/>
      <c r="L1531" s="2"/>
      <c r="M1531" s="4" t="e">
        <f t="shared" si="138"/>
        <v>#DIV/0!</v>
      </c>
      <c r="N1531" s="4" t="e">
        <f t="shared" si="139"/>
        <v>#DIV/0!</v>
      </c>
      <c r="O1531" s="5">
        <f t="shared" si="140"/>
        <v>-1</v>
      </c>
      <c r="P1531" s="5" t="e">
        <f t="shared" si="141"/>
        <v>#DIV/0!</v>
      </c>
      <c r="Q1531" s="4" t="e">
        <f t="shared" si="142"/>
        <v>#DIV/0!</v>
      </c>
      <c r="R1531" s="4" t="e">
        <f t="shared" si="143"/>
        <v>#DIV/0!</v>
      </c>
      <c r="S1531" s="4">
        <v>7.85</v>
      </c>
      <c r="T1531" s="2">
        <v>1.04</v>
      </c>
      <c r="U1531" s="2">
        <v>50.74</v>
      </c>
      <c r="V1531" s="2">
        <v>35.840000000000003</v>
      </c>
      <c r="W1531" s="2">
        <v>3.42</v>
      </c>
      <c r="X1531" s="2">
        <v>3.42</v>
      </c>
      <c r="Y1531" s="2">
        <v>6.98</v>
      </c>
      <c r="Z1531" s="2">
        <v>6.98</v>
      </c>
    </row>
    <row r="1532" spans="1:26" x14ac:dyDescent="0.25">
      <c r="A1532" s="1" t="s">
        <v>6372</v>
      </c>
      <c r="B1532" s="1" t="s">
        <v>6373</v>
      </c>
      <c r="C1532" s="1" t="s">
        <v>16</v>
      </c>
      <c r="D1532" s="1" t="s">
        <v>38</v>
      </c>
      <c r="E1532" s="1" t="s">
        <v>52</v>
      </c>
      <c r="F1532" s="1" t="s">
        <v>6374</v>
      </c>
      <c r="G1532" s="1" t="s">
        <v>12499</v>
      </c>
      <c r="H1532" s="1" t="s">
        <v>6375</v>
      </c>
      <c r="I1532" s="2">
        <v>38.159999999999997</v>
      </c>
      <c r="J1532" s="2">
        <v>2.94</v>
      </c>
      <c r="K1532" s="2">
        <v>4.29</v>
      </c>
      <c r="L1532" s="2">
        <v>5.14</v>
      </c>
      <c r="M1532" s="4">
        <f t="shared" si="138"/>
        <v>8.895104895104895</v>
      </c>
      <c r="N1532" s="4">
        <f t="shared" si="139"/>
        <v>7.4241245136186764</v>
      </c>
      <c r="O1532" s="5">
        <f t="shared" si="140"/>
        <v>0.45918367346938771</v>
      </c>
      <c r="P1532" s="5">
        <f t="shared" si="141"/>
        <v>0.19813519813519798</v>
      </c>
      <c r="Q1532" s="4">
        <f t="shared" si="142"/>
        <v>0.19371561771561774</v>
      </c>
      <c r="R1532" s="4">
        <f t="shared" si="143"/>
        <v>0.37469993133440177</v>
      </c>
      <c r="S1532" s="4">
        <v>53.86</v>
      </c>
      <c r="T1532" s="2">
        <v>1.52</v>
      </c>
      <c r="U1532" s="2">
        <v>70.36</v>
      </c>
      <c r="V1532" s="2">
        <v>38.159999999999997</v>
      </c>
      <c r="W1532" s="2">
        <v>-16.260000000000002</v>
      </c>
      <c r="X1532" s="2">
        <v>-36.409999999999997</v>
      </c>
      <c r="Y1532" s="2" t="s">
        <v>12710</v>
      </c>
      <c r="Z1532" s="2">
        <v>-38.42</v>
      </c>
    </row>
    <row r="1533" spans="1:26" x14ac:dyDescent="0.25">
      <c r="A1533" s="1" t="s">
        <v>6376</v>
      </c>
      <c r="B1533" s="1" t="s">
        <v>6377</v>
      </c>
      <c r="C1533" s="1" t="s">
        <v>31</v>
      </c>
      <c r="D1533" s="1" t="s">
        <v>88</v>
      </c>
      <c r="E1533" s="1" t="s">
        <v>912</v>
      </c>
      <c r="F1533" s="1" t="s">
        <v>6378</v>
      </c>
      <c r="G1533" s="1" t="s">
        <v>12490</v>
      </c>
      <c r="H1533" s="1" t="s">
        <v>6379</v>
      </c>
      <c r="I1533" s="2">
        <v>14.265000000000001</v>
      </c>
      <c r="J1533" s="2">
        <v>0.95</v>
      </c>
      <c r="K1533" s="2"/>
      <c r="L1533" s="2"/>
      <c r="M1533" s="4" t="e">
        <f t="shared" si="138"/>
        <v>#DIV/0!</v>
      </c>
      <c r="N1533" s="4" t="e">
        <f t="shared" si="139"/>
        <v>#DIV/0!</v>
      </c>
      <c r="O1533" s="5">
        <f t="shared" si="140"/>
        <v>-1</v>
      </c>
      <c r="P1533" s="5" t="e">
        <f t="shared" si="141"/>
        <v>#DIV/0!</v>
      </c>
      <c r="Q1533" s="4" t="e">
        <f t="shared" si="142"/>
        <v>#DIV/0!</v>
      </c>
      <c r="R1533" s="4" t="e">
        <f t="shared" si="143"/>
        <v>#DIV/0!</v>
      </c>
      <c r="S1533" s="4">
        <v>-10.97</v>
      </c>
      <c r="T1533" s="2">
        <v>0.31</v>
      </c>
      <c r="U1533" s="2" t="s">
        <v>12665</v>
      </c>
      <c r="V1533" s="2">
        <v>10.4</v>
      </c>
      <c r="W1533" s="2" t="s">
        <v>12489</v>
      </c>
      <c r="X1533" s="2">
        <v>0.25</v>
      </c>
      <c r="Y1533" s="2">
        <v>16.93</v>
      </c>
      <c r="Z1533" s="2">
        <v>9.73</v>
      </c>
    </row>
    <row r="1534" spans="1:26" x14ac:dyDescent="0.25">
      <c r="A1534" s="1" t="s">
        <v>6380</v>
      </c>
      <c r="B1534" s="1" t="s">
        <v>6381</v>
      </c>
      <c r="C1534" s="1" t="s">
        <v>16</v>
      </c>
      <c r="D1534" s="1" t="s">
        <v>38</v>
      </c>
      <c r="E1534" s="1" t="s">
        <v>101</v>
      </c>
      <c r="F1534" s="1" t="s">
        <v>6382</v>
      </c>
      <c r="G1534" s="1" t="s">
        <v>12480</v>
      </c>
      <c r="H1534" s="1" t="s">
        <v>6383</v>
      </c>
      <c r="I1534" s="2">
        <v>51.22</v>
      </c>
      <c r="J1534" s="2">
        <v>4.78</v>
      </c>
      <c r="K1534" s="2">
        <v>4.5</v>
      </c>
      <c r="L1534" s="2">
        <v>4.9000000000000004</v>
      </c>
      <c r="M1534" s="4">
        <f t="shared" si="138"/>
        <v>11.382222222222222</v>
      </c>
      <c r="N1534" s="4">
        <f t="shared" si="139"/>
        <v>10.453061224489796</v>
      </c>
      <c r="O1534" s="5">
        <f t="shared" si="140"/>
        <v>-5.8577405857740628E-2</v>
      </c>
      <c r="P1534" s="5">
        <f t="shared" si="141"/>
        <v>8.8888888888889017E-2</v>
      </c>
      <c r="Q1534" s="4">
        <f t="shared" si="142"/>
        <v>-1.9431079365079351</v>
      </c>
      <c r="R1534" s="4">
        <f t="shared" si="143"/>
        <v>1.1759693877551003</v>
      </c>
      <c r="S1534" s="4">
        <v>25.23</v>
      </c>
      <c r="T1534" s="2">
        <v>1.53</v>
      </c>
      <c r="U1534" s="2">
        <v>53.21</v>
      </c>
      <c r="V1534" s="2">
        <v>29.47</v>
      </c>
      <c r="W1534" s="2">
        <v>-1.69</v>
      </c>
      <c r="X1534" s="2">
        <v>6.27</v>
      </c>
      <c r="Y1534" s="2">
        <v>12.99</v>
      </c>
      <c r="Z1534" s="2">
        <v>7.67</v>
      </c>
    </row>
    <row r="1535" spans="1:26" x14ac:dyDescent="0.25">
      <c r="A1535" s="1" t="s">
        <v>6384</v>
      </c>
      <c r="B1535" s="1" t="s">
        <v>6385</v>
      </c>
      <c r="C1535" s="1" t="s">
        <v>16</v>
      </c>
      <c r="D1535" s="1" t="s">
        <v>61</v>
      </c>
      <c r="E1535" s="1" t="s">
        <v>170</v>
      </c>
      <c r="F1535" s="1" t="s">
        <v>6386</v>
      </c>
      <c r="G1535" s="1" t="s">
        <v>12490</v>
      </c>
      <c r="H1535" s="1" t="s">
        <v>6387</v>
      </c>
      <c r="I1535" s="2">
        <v>21.43</v>
      </c>
      <c r="J1535" s="2">
        <v>1.49</v>
      </c>
      <c r="K1535" s="2">
        <v>1.1200000000000001</v>
      </c>
      <c r="L1535" s="2">
        <v>1.33</v>
      </c>
      <c r="M1535" s="4">
        <f t="shared" si="138"/>
        <v>19.133928571428569</v>
      </c>
      <c r="N1535" s="4">
        <f t="shared" si="139"/>
        <v>16.112781954887218</v>
      </c>
      <c r="O1535" s="5">
        <f t="shared" si="140"/>
        <v>-0.24832214765100669</v>
      </c>
      <c r="P1535" s="5">
        <f t="shared" si="141"/>
        <v>0.1875</v>
      </c>
      <c r="Q1535" s="4">
        <f t="shared" si="142"/>
        <v>-0.77052847490347487</v>
      </c>
      <c r="R1535" s="4">
        <f t="shared" si="143"/>
        <v>0.85934837092731831</v>
      </c>
      <c r="S1535" s="4">
        <v>-1.49</v>
      </c>
      <c r="T1535" s="2">
        <v>1.78</v>
      </c>
      <c r="U1535" s="2">
        <v>32.56</v>
      </c>
      <c r="V1535" s="2">
        <v>16.690000000000001</v>
      </c>
      <c r="W1535" s="2">
        <v>-10.3</v>
      </c>
      <c r="X1535" s="2">
        <v>-8.42</v>
      </c>
      <c r="Y1535" s="2">
        <v>5.15</v>
      </c>
      <c r="Z1535" s="2">
        <v>3.28</v>
      </c>
    </row>
    <row r="1536" spans="1:26" x14ac:dyDescent="0.25">
      <c r="A1536" s="1" t="s">
        <v>6388</v>
      </c>
      <c r="B1536" s="1" t="s">
        <v>6389</v>
      </c>
      <c r="C1536" s="1" t="s">
        <v>45</v>
      </c>
      <c r="D1536" s="1" t="s">
        <v>128</v>
      </c>
      <c r="E1536" s="1" t="s">
        <v>556</v>
      </c>
      <c r="F1536" s="1" t="s">
        <v>6390</v>
      </c>
      <c r="G1536" s="1" t="s">
        <v>12485</v>
      </c>
      <c r="H1536" s="1" t="s">
        <v>12711</v>
      </c>
      <c r="I1536" s="2">
        <v>83.83</v>
      </c>
      <c r="J1536" s="2">
        <v>4.2699999999999996</v>
      </c>
      <c r="K1536" s="2">
        <v>4.3499999999999996</v>
      </c>
      <c r="L1536" s="2">
        <v>4.75</v>
      </c>
      <c r="M1536" s="4">
        <f t="shared" si="138"/>
        <v>19.271264367816094</v>
      </c>
      <c r="N1536" s="4">
        <f t="shared" si="139"/>
        <v>17.64842105263158</v>
      </c>
      <c r="O1536" s="5">
        <f t="shared" si="140"/>
        <v>1.87353629976581E-2</v>
      </c>
      <c r="P1536" s="5">
        <f t="shared" si="141"/>
        <v>9.1954022988505857E-2</v>
      </c>
      <c r="Q1536" s="4">
        <f t="shared" si="142"/>
        <v>10.286037356321829</v>
      </c>
      <c r="R1536" s="4">
        <f t="shared" si="143"/>
        <v>1.9192657894736822</v>
      </c>
      <c r="S1536" s="4">
        <v>0.54</v>
      </c>
      <c r="T1536" s="2">
        <v>0.34</v>
      </c>
      <c r="U1536" s="2">
        <v>139.41999999999999</v>
      </c>
      <c r="V1536" s="2">
        <v>80.5</v>
      </c>
      <c r="W1536" s="2">
        <v>-3.44</v>
      </c>
      <c r="X1536" s="2">
        <v>2.9</v>
      </c>
      <c r="Y1536" s="2">
        <v>-11.72</v>
      </c>
      <c r="Z1536" s="2">
        <v>-7.24</v>
      </c>
    </row>
    <row r="1537" spans="1:26" x14ac:dyDescent="0.25">
      <c r="A1537" s="1" t="s">
        <v>6392</v>
      </c>
      <c r="B1537" s="1" t="s">
        <v>6393</v>
      </c>
      <c r="C1537" s="1" t="s">
        <v>45</v>
      </c>
      <c r="D1537" s="1" t="s">
        <v>32</v>
      </c>
      <c r="E1537" s="1" t="s">
        <v>248</v>
      </c>
      <c r="F1537" s="1" t="s">
        <v>6394</v>
      </c>
      <c r="G1537" s="1" t="s">
        <v>12502</v>
      </c>
      <c r="H1537" s="1" t="s">
        <v>6395</v>
      </c>
      <c r="I1537" s="2">
        <v>171.59</v>
      </c>
      <c r="J1537" s="2">
        <v>6.24</v>
      </c>
      <c r="K1537" s="2">
        <v>6.58</v>
      </c>
      <c r="L1537" s="2">
        <v>6.87</v>
      </c>
      <c r="M1537" s="4">
        <f t="shared" si="138"/>
        <v>26.077507598784194</v>
      </c>
      <c r="N1537" s="4">
        <f t="shared" si="139"/>
        <v>24.976710334788937</v>
      </c>
      <c r="O1537" s="5">
        <f t="shared" si="140"/>
        <v>5.4487179487179516E-2</v>
      </c>
      <c r="P1537" s="5">
        <f t="shared" si="141"/>
        <v>4.407294832826758E-2</v>
      </c>
      <c r="Q1537" s="4">
        <f t="shared" si="142"/>
        <v>4.7859896298945088</v>
      </c>
      <c r="R1537" s="4">
        <f t="shared" si="143"/>
        <v>5.6671294483762349</v>
      </c>
      <c r="S1537" s="4">
        <v>7.21</v>
      </c>
      <c r="T1537" s="2">
        <v>0.72</v>
      </c>
      <c r="U1537" s="2">
        <v>192.6</v>
      </c>
      <c r="V1537" s="2">
        <v>146.26</v>
      </c>
      <c r="W1537" s="2">
        <v>4.5</v>
      </c>
      <c r="X1537" s="2">
        <v>0.02</v>
      </c>
      <c r="Y1537" s="2">
        <v>-8.56</v>
      </c>
      <c r="Z1537" s="2">
        <v>-5.97</v>
      </c>
    </row>
    <row r="1538" spans="1:26" x14ac:dyDescent="0.25">
      <c r="A1538" s="1" t="s">
        <v>6397</v>
      </c>
      <c r="B1538" s="1" t="s">
        <v>6398</v>
      </c>
      <c r="C1538" s="1" t="s">
        <v>16</v>
      </c>
      <c r="D1538" s="1" t="s">
        <v>94</v>
      </c>
      <c r="E1538" s="1" t="s">
        <v>1055</v>
      </c>
      <c r="F1538" s="1" t="s">
        <v>6399</v>
      </c>
      <c r="G1538" s="1" t="s">
        <v>12480</v>
      </c>
      <c r="H1538" s="1" t="s">
        <v>6400</v>
      </c>
      <c r="I1538" s="2" t="s">
        <v>12712</v>
      </c>
      <c r="J1538" s="2">
        <v>0.65</v>
      </c>
      <c r="K1538" s="2">
        <v>-2.91</v>
      </c>
      <c r="L1538" s="2">
        <v>-1.75</v>
      </c>
      <c r="M1538" s="4">
        <f t="shared" si="138"/>
        <v>-8.2474226804123703</v>
      </c>
      <c r="N1538" s="4">
        <f t="shared" si="139"/>
        <v>-13.714285714285714</v>
      </c>
      <c r="O1538" s="5">
        <f t="shared" si="140"/>
        <v>-5.476923076923077</v>
      </c>
      <c r="P1538" s="5">
        <f t="shared" si="141"/>
        <v>-0.39862542955326463</v>
      </c>
      <c r="Q1538" s="4">
        <f t="shared" si="142"/>
        <v>1.5058496467045056E-2</v>
      </c>
      <c r="R1538" s="4">
        <f t="shared" si="143"/>
        <v>0.34403940886699508</v>
      </c>
      <c r="S1538" s="4">
        <v>-24.39</v>
      </c>
      <c r="T1538" s="2">
        <v>0.55000000000000004</v>
      </c>
      <c r="U1538" s="2">
        <v>30.58</v>
      </c>
      <c r="V1538" s="2">
        <v>13.88</v>
      </c>
      <c r="W1538" s="2">
        <v>-7.12</v>
      </c>
      <c r="X1538" s="2">
        <v>-16.2</v>
      </c>
      <c r="Y1538" s="2">
        <v>-8.2899999999999991</v>
      </c>
      <c r="Z1538" s="2">
        <v>-7.01</v>
      </c>
    </row>
    <row r="1539" spans="1:26" x14ac:dyDescent="0.25">
      <c r="A1539" s="1" t="s">
        <v>6401</v>
      </c>
      <c r="B1539" s="1" t="s">
        <v>6402</v>
      </c>
      <c r="C1539" s="1" t="s">
        <v>16</v>
      </c>
      <c r="D1539" s="1" t="s">
        <v>38</v>
      </c>
      <c r="E1539" s="1" t="s">
        <v>1806</v>
      </c>
      <c r="F1539" s="1" t="s">
        <v>6403</v>
      </c>
      <c r="G1539" s="1" t="s">
        <v>12480</v>
      </c>
      <c r="H1539" s="1" t="s">
        <v>486</v>
      </c>
      <c r="I1539" s="2">
        <v>301.62</v>
      </c>
      <c r="J1539" s="2">
        <v>18.8</v>
      </c>
      <c r="K1539" s="2">
        <v>21.25</v>
      </c>
      <c r="L1539" s="2">
        <v>24.16</v>
      </c>
      <c r="M1539" s="4">
        <f t="shared" ref="M1539:M1602" si="144">I1539/K1539</f>
        <v>14.193882352941177</v>
      </c>
      <c r="N1539" s="4">
        <f t="shared" ref="N1539:N1602" si="145">I1539/L1539</f>
        <v>12.484271523178808</v>
      </c>
      <c r="O1539" s="5">
        <f t="shared" ref="O1539:O1602" si="146">K1539/J1539-1</f>
        <v>0.13031914893617014</v>
      </c>
      <c r="P1539" s="5">
        <f t="shared" ref="P1539:P1602" si="147">L1539/K1539-1</f>
        <v>0.13694117647058834</v>
      </c>
      <c r="Q1539" s="4">
        <f t="shared" ref="Q1539:Q1602" si="148">M1539/(O1539*100)</f>
        <v>1.0891632172869155</v>
      </c>
      <c r="R1539" s="4">
        <f t="shared" ref="R1539:R1602" si="149">N1539/(P1539*100)</f>
        <v>0.9116521301290359</v>
      </c>
      <c r="S1539" s="4">
        <v>11.45</v>
      </c>
      <c r="T1539" s="2">
        <v>1.42</v>
      </c>
      <c r="U1539" s="2">
        <v>358.66</v>
      </c>
      <c r="V1539" s="2">
        <v>204.57</v>
      </c>
      <c r="W1539" s="2">
        <v>-3.83</v>
      </c>
      <c r="X1539" s="2">
        <v>-12.95</v>
      </c>
      <c r="Y1539" s="2">
        <v>-8.32</v>
      </c>
      <c r="Z1539" s="2">
        <v>-10.36</v>
      </c>
    </row>
    <row r="1540" spans="1:26" x14ac:dyDescent="0.25">
      <c r="A1540" s="1" t="s">
        <v>6404</v>
      </c>
      <c r="B1540" s="1" t="s">
        <v>6405</v>
      </c>
      <c r="C1540" s="1" t="s">
        <v>31</v>
      </c>
      <c r="D1540" s="1" t="s">
        <v>2417</v>
      </c>
      <c r="E1540" s="1" t="s">
        <v>2418</v>
      </c>
      <c r="F1540" s="1" t="s">
        <v>6406</v>
      </c>
      <c r="G1540" s="1" t="s">
        <v>12480</v>
      </c>
      <c r="H1540" s="1" t="s">
        <v>6407</v>
      </c>
      <c r="I1540" s="2">
        <v>73.42</v>
      </c>
      <c r="J1540" s="2">
        <v>5.07</v>
      </c>
      <c r="K1540" s="2"/>
      <c r="L1540" s="2"/>
      <c r="M1540" s="4" t="e">
        <f t="shared" si="144"/>
        <v>#DIV/0!</v>
      </c>
      <c r="N1540" s="4" t="e">
        <f t="shared" si="145"/>
        <v>#DIV/0!</v>
      </c>
      <c r="O1540" s="5">
        <f t="shared" si="146"/>
        <v>-1</v>
      </c>
      <c r="P1540" s="5" t="e">
        <f t="shared" si="147"/>
        <v>#DIV/0!</v>
      </c>
      <c r="Q1540" s="4" t="e">
        <f t="shared" si="148"/>
        <v>#DIV/0!</v>
      </c>
      <c r="R1540" s="4" t="e">
        <f t="shared" si="149"/>
        <v>#DIV/0!</v>
      </c>
      <c r="S1540" s="4">
        <v>-0.75</v>
      </c>
      <c r="T1540" s="2">
        <v>0.27</v>
      </c>
      <c r="U1540" s="2">
        <v>82.3</v>
      </c>
      <c r="V1540" s="2">
        <v>37.47</v>
      </c>
      <c r="W1540" s="2">
        <v>-6.58</v>
      </c>
      <c r="X1540" s="2">
        <v>-4.79</v>
      </c>
      <c r="Y1540" s="2">
        <v>7.46</v>
      </c>
      <c r="Z1540" s="2">
        <v>7.42</v>
      </c>
    </row>
    <row r="1541" spans="1:26" x14ac:dyDescent="0.25">
      <c r="A1541" s="1" t="s">
        <v>6408</v>
      </c>
      <c r="B1541" s="1" t="s">
        <v>6409</v>
      </c>
      <c r="C1541" s="1" t="s">
        <v>31</v>
      </c>
      <c r="D1541" s="1" t="s">
        <v>88</v>
      </c>
      <c r="E1541" s="1" t="s">
        <v>504</v>
      </c>
      <c r="F1541" s="1" t="s">
        <v>6410</v>
      </c>
      <c r="G1541" s="1" t="s">
        <v>12490</v>
      </c>
      <c r="H1541" s="1" t="s">
        <v>6411</v>
      </c>
      <c r="I1541" s="2">
        <v>51.6</v>
      </c>
      <c r="J1541" s="2">
        <v>3.81</v>
      </c>
      <c r="K1541" s="2">
        <v>3.32</v>
      </c>
      <c r="L1541" s="2">
        <v>4.34</v>
      </c>
      <c r="M1541" s="4">
        <f t="shared" si="144"/>
        <v>15.542168674698797</v>
      </c>
      <c r="N1541" s="4">
        <f t="shared" si="145"/>
        <v>11.889400921658988</v>
      </c>
      <c r="O1541" s="5">
        <f t="shared" si="146"/>
        <v>-0.1286089238845145</v>
      </c>
      <c r="P1541" s="5">
        <f t="shared" si="147"/>
        <v>0.30722891566265065</v>
      </c>
      <c r="Q1541" s="4">
        <f t="shared" si="148"/>
        <v>-1.2084829112367834</v>
      </c>
      <c r="R1541" s="4">
        <f t="shared" si="149"/>
        <v>0.38698834372458657</v>
      </c>
      <c r="S1541" s="4">
        <v>-7.75</v>
      </c>
      <c r="T1541" s="2">
        <v>1.08</v>
      </c>
      <c r="U1541" s="2">
        <v>65.7</v>
      </c>
      <c r="V1541" s="2">
        <v>29.01</v>
      </c>
      <c r="W1541" s="2">
        <v>-4.76</v>
      </c>
      <c r="X1541" s="2">
        <v>-19.350000000000001</v>
      </c>
      <c r="Y1541" s="2">
        <v>-6.09</v>
      </c>
      <c r="Z1541" s="2">
        <v>-10.11</v>
      </c>
    </row>
    <row r="1542" spans="1:26" x14ac:dyDescent="0.25">
      <c r="A1542" s="1" t="s">
        <v>6412</v>
      </c>
      <c r="B1542" s="1" t="s">
        <v>6413</v>
      </c>
      <c r="C1542" s="1" t="s">
        <v>16</v>
      </c>
      <c r="D1542" s="1" t="s">
        <v>18</v>
      </c>
      <c r="E1542" s="1" t="s">
        <v>113</v>
      </c>
      <c r="F1542" s="1" t="s">
        <v>6414</v>
      </c>
      <c r="G1542" s="1" t="s">
        <v>12480</v>
      </c>
      <c r="H1542" s="1" t="s">
        <v>6415</v>
      </c>
      <c r="I1542" s="2">
        <v>242.59</v>
      </c>
      <c r="J1542" s="2">
        <v>10.79</v>
      </c>
      <c r="K1542" s="2">
        <v>11.54</v>
      </c>
      <c r="L1542" s="2">
        <v>12.43</v>
      </c>
      <c r="M1542" s="4">
        <f t="shared" si="144"/>
        <v>21.021663778162914</v>
      </c>
      <c r="N1542" s="4">
        <f t="shared" si="145"/>
        <v>19.516492357200324</v>
      </c>
      <c r="O1542" s="5">
        <f t="shared" si="146"/>
        <v>6.9508804448563444E-2</v>
      </c>
      <c r="P1542" s="5">
        <f t="shared" si="147"/>
        <v>7.7123050259965353E-2</v>
      </c>
      <c r="Q1542" s="4">
        <f t="shared" si="148"/>
        <v>3.0243166955517062</v>
      </c>
      <c r="R1542" s="4">
        <f t="shared" si="149"/>
        <v>2.5305654135066482</v>
      </c>
      <c r="S1542" s="4">
        <v>6.05</v>
      </c>
      <c r="T1542" s="2">
        <v>0.34</v>
      </c>
      <c r="U1542" s="2">
        <v>248.56</v>
      </c>
      <c r="V1542" s="2">
        <v>146.36000000000001</v>
      </c>
      <c r="W1542" s="2">
        <v>-2.4</v>
      </c>
      <c r="X1542" s="2">
        <v>1.66</v>
      </c>
      <c r="Y1542" s="2">
        <v>13.27</v>
      </c>
      <c r="Z1542" s="2">
        <v>17.22</v>
      </c>
    </row>
    <row r="1543" spans="1:26" x14ac:dyDescent="0.25">
      <c r="A1543" s="1" t="s">
        <v>6416</v>
      </c>
      <c r="B1543" s="1" t="s">
        <v>6417</v>
      </c>
      <c r="C1543" s="1" t="s">
        <v>16</v>
      </c>
      <c r="D1543" s="1" t="s">
        <v>38</v>
      </c>
      <c r="E1543" s="1" t="s">
        <v>259</v>
      </c>
      <c r="F1543" s="1" t="s">
        <v>6418</v>
      </c>
      <c r="G1543" s="1" t="s">
        <v>12480</v>
      </c>
      <c r="H1543" s="1" t="s">
        <v>2369</v>
      </c>
      <c r="I1543" s="2">
        <v>96.43</v>
      </c>
      <c r="J1543" s="2"/>
      <c r="K1543" s="2"/>
      <c r="L1543" s="2"/>
      <c r="M1543" s="4" t="e">
        <f t="shared" si="144"/>
        <v>#DIV/0!</v>
      </c>
      <c r="N1543" s="4" t="e">
        <f t="shared" si="145"/>
        <v>#DIV/0!</v>
      </c>
      <c r="O1543" s="5" t="e">
        <f t="shared" si="146"/>
        <v>#DIV/0!</v>
      </c>
      <c r="P1543" s="5" t="e">
        <f t="shared" si="147"/>
        <v>#DIV/0!</v>
      </c>
      <c r="Q1543" s="4" t="e">
        <f t="shared" si="148"/>
        <v>#DIV/0!</v>
      </c>
      <c r="R1543" s="4" t="e">
        <f t="shared" si="149"/>
        <v>#DIV/0!</v>
      </c>
      <c r="S1543" s="4"/>
      <c r="T1543" s="2">
        <v>0.44</v>
      </c>
      <c r="U1543" s="2">
        <v>98.19</v>
      </c>
      <c r="V1543" s="2">
        <v>91.23</v>
      </c>
      <c r="W1543" s="2">
        <v>-0.26</v>
      </c>
      <c r="X1543" s="2">
        <v>-1.1399999999999999</v>
      </c>
      <c r="Y1543" s="2">
        <v>-0.76</v>
      </c>
      <c r="Z1543" s="2">
        <v>-0.8</v>
      </c>
    </row>
    <row r="1544" spans="1:26" x14ac:dyDescent="0.25">
      <c r="A1544" s="1" t="s">
        <v>6419</v>
      </c>
      <c r="B1544" s="1" t="s">
        <v>6420</v>
      </c>
      <c r="C1544" s="1" t="s">
        <v>16</v>
      </c>
      <c r="D1544" s="1" t="s">
        <v>204</v>
      </c>
      <c r="E1544" s="1" t="s">
        <v>205</v>
      </c>
      <c r="F1544" s="1" t="s">
        <v>6421</v>
      </c>
      <c r="G1544" s="1" t="s">
        <v>12480</v>
      </c>
      <c r="H1544" s="1" t="s">
        <v>6422</v>
      </c>
      <c r="I1544" s="2">
        <v>10.039999999999999</v>
      </c>
      <c r="J1544" s="2">
        <v>-1.1299999999999999</v>
      </c>
      <c r="K1544" s="2">
        <v>-0.82</v>
      </c>
      <c r="L1544" s="2">
        <v>-0.75</v>
      </c>
      <c r="M1544" s="4">
        <f t="shared" si="144"/>
        <v>-12.24390243902439</v>
      </c>
      <c r="N1544" s="4">
        <f t="shared" si="145"/>
        <v>-13.386666666666665</v>
      </c>
      <c r="O1544" s="5">
        <f t="shared" si="146"/>
        <v>-0.27433628318584069</v>
      </c>
      <c r="P1544" s="5">
        <f t="shared" si="147"/>
        <v>-8.536585365853655E-2</v>
      </c>
      <c r="Q1544" s="4">
        <f t="shared" si="148"/>
        <v>0.44630999213217942</v>
      </c>
      <c r="R1544" s="4">
        <f t="shared" si="149"/>
        <v>1.5681523809523814</v>
      </c>
      <c r="S1544" s="4">
        <v>39183.089999999997</v>
      </c>
      <c r="T1544" s="2">
        <v>2.59</v>
      </c>
      <c r="U1544" s="2">
        <v>20.39</v>
      </c>
      <c r="V1544" s="2">
        <v>5.33</v>
      </c>
      <c r="W1544" s="2">
        <v>-2.2400000000000002</v>
      </c>
      <c r="X1544" s="2">
        <v>-6.08</v>
      </c>
      <c r="Y1544" s="2">
        <v>-29.25</v>
      </c>
      <c r="Z1544" s="2">
        <v>-23.94</v>
      </c>
    </row>
    <row r="1545" spans="1:26" x14ac:dyDescent="0.25">
      <c r="A1545" s="1" t="s">
        <v>6423</v>
      </c>
      <c r="B1545" s="1" t="s">
        <v>6424</v>
      </c>
      <c r="C1545" s="1" t="s">
        <v>16</v>
      </c>
      <c r="D1545" s="1" t="s">
        <v>38</v>
      </c>
      <c r="E1545" s="1" t="s">
        <v>1755</v>
      </c>
      <c r="F1545" s="1" t="s">
        <v>6425</v>
      </c>
      <c r="G1545" s="1" t="s">
        <v>12480</v>
      </c>
      <c r="H1545" s="1" t="s">
        <v>6426</v>
      </c>
      <c r="I1545" s="2">
        <v>69.86</v>
      </c>
      <c r="J1545" s="2" t="s">
        <v>12487</v>
      </c>
      <c r="K1545" s="2"/>
      <c r="L1545" s="2"/>
      <c r="M1545" s="4" t="e">
        <f t="shared" si="144"/>
        <v>#DIV/0!</v>
      </c>
      <c r="N1545" s="4" t="e">
        <f t="shared" si="145"/>
        <v>#DIV/0!</v>
      </c>
      <c r="O1545" s="5">
        <f t="shared" si="146"/>
        <v>-1</v>
      </c>
      <c r="P1545" s="5" t="e">
        <f t="shared" si="147"/>
        <v>#DIV/0!</v>
      </c>
      <c r="Q1545" s="4" t="e">
        <f t="shared" si="148"/>
        <v>#DIV/0!</v>
      </c>
      <c r="R1545" s="4" t="e">
        <f t="shared" si="149"/>
        <v>#DIV/0!</v>
      </c>
      <c r="S1545" s="4">
        <v>27.44</v>
      </c>
      <c r="T1545" s="2">
        <v>1.3</v>
      </c>
      <c r="U1545" s="2">
        <v>72.790000000000006</v>
      </c>
      <c r="V1545" s="2">
        <v>40.82</v>
      </c>
      <c r="W1545" s="2">
        <v>-3.89</v>
      </c>
      <c r="X1545" s="2">
        <v>1.7</v>
      </c>
      <c r="Y1545" s="2">
        <v>12.01</v>
      </c>
      <c r="Z1545" s="2">
        <v>17.670000000000002</v>
      </c>
    </row>
    <row r="1546" spans="1:26" x14ac:dyDescent="0.25">
      <c r="A1546" s="1" t="s">
        <v>6427</v>
      </c>
      <c r="B1546" s="1" t="s">
        <v>6428</v>
      </c>
      <c r="C1546" s="1" t="s">
        <v>45</v>
      </c>
      <c r="D1546" s="1" t="s">
        <v>32</v>
      </c>
      <c r="E1546" s="1" t="s">
        <v>565</v>
      </c>
      <c r="F1546" s="1" t="s">
        <v>6429</v>
      </c>
      <c r="G1546" s="1" t="s">
        <v>12480</v>
      </c>
      <c r="H1546" s="1" t="s">
        <v>3331</v>
      </c>
      <c r="I1546" s="2">
        <v>60.34</v>
      </c>
      <c r="J1546" s="2">
        <v>4.96</v>
      </c>
      <c r="K1546" s="2">
        <v>5.54</v>
      </c>
      <c r="L1546" s="2">
        <v>5.98</v>
      </c>
      <c r="M1546" s="4">
        <f t="shared" si="144"/>
        <v>10.891696750902527</v>
      </c>
      <c r="N1546" s="4">
        <f t="shared" si="145"/>
        <v>10.090301003344482</v>
      </c>
      <c r="O1546" s="5">
        <f t="shared" si="146"/>
        <v>0.11693548387096775</v>
      </c>
      <c r="P1546" s="5">
        <f t="shared" si="147"/>
        <v>7.9422382671480163E-2</v>
      </c>
      <c r="Q1546" s="4">
        <f t="shared" si="148"/>
        <v>0.93142786007718148</v>
      </c>
      <c r="R1546" s="4">
        <f t="shared" si="149"/>
        <v>1.2704606263301914</v>
      </c>
      <c r="S1546" s="4">
        <v>-1.33</v>
      </c>
      <c r="T1546" s="2">
        <v>0.36</v>
      </c>
      <c r="U1546" s="2">
        <v>70.459999999999994</v>
      </c>
      <c r="V1546" s="2">
        <v>38.14</v>
      </c>
      <c r="W1546" s="2">
        <v>1.1399999999999999</v>
      </c>
      <c r="X1546" s="2">
        <v>-7.29</v>
      </c>
      <c r="Y1546" s="2">
        <v>-4.9800000000000004</v>
      </c>
      <c r="Z1546" s="2">
        <v>-6.83</v>
      </c>
    </row>
    <row r="1547" spans="1:26" x14ac:dyDescent="0.25">
      <c r="A1547" s="1" t="s">
        <v>6431</v>
      </c>
      <c r="B1547" s="1" t="s">
        <v>6432</v>
      </c>
      <c r="C1547" s="1" t="s">
        <v>16</v>
      </c>
      <c r="D1547" s="1" t="s">
        <v>38</v>
      </c>
      <c r="E1547" s="1" t="s">
        <v>1408</v>
      </c>
      <c r="F1547" s="1" t="s">
        <v>6433</v>
      </c>
      <c r="G1547" s="1" t="s">
        <v>12480</v>
      </c>
      <c r="H1547" s="1" t="s">
        <v>6434</v>
      </c>
      <c r="I1547" s="2">
        <v>289.92</v>
      </c>
      <c r="J1547" s="2">
        <v>20.34</v>
      </c>
      <c r="K1547" s="2">
        <v>21.73</v>
      </c>
      <c r="L1547" s="2">
        <v>23.4</v>
      </c>
      <c r="M1547" s="4">
        <f t="shared" si="144"/>
        <v>13.341923607915325</v>
      </c>
      <c r="N1547" s="4">
        <f t="shared" si="145"/>
        <v>12.389743589743592</v>
      </c>
      <c r="O1547" s="5">
        <f t="shared" si="146"/>
        <v>6.8338249754178904E-2</v>
      </c>
      <c r="P1547" s="5">
        <f t="shared" si="147"/>
        <v>7.6852277956741766E-2</v>
      </c>
      <c r="Q1547" s="4">
        <f t="shared" si="148"/>
        <v>1.9523361596043016</v>
      </c>
      <c r="R1547" s="4">
        <f t="shared" si="149"/>
        <v>1.6121504682941825</v>
      </c>
      <c r="S1547" s="4">
        <v>0.52</v>
      </c>
      <c r="T1547" s="2">
        <v>1.06</v>
      </c>
      <c r="U1547" s="2">
        <v>334.61</v>
      </c>
      <c r="V1547" s="2">
        <v>210.28</v>
      </c>
      <c r="W1547" s="2">
        <v>-2.57</v>
      </c>
      <c r="X1547" s="2">
        <v>-9.99</v>
      </c>
      <c r="Y1547" s="2">
        <v>-9.41</v>
      </c>
      <c r="Z1547" s="2">
        <v>-10.02</v>
      </c>
    </row>
    <row r="1548" spans="1:26" x14ac:dyDescent="0.25">
      <c r="A1548" s="1" t="s">
        <v>6436</v>
      </c>
      <c r="B1548" s="1" t="s">
        <v>6437</v>
      </c>
      <c r="C1548" s="1" t="s">
        <v>31</v>
      </c>
      <c r="D1548" s="1" t="s">
        <v>25</v>
      </c>
      <c r="E1548" s="1" t="s">
        <v>220</v>
      </c>
      <c r="F1548" s="1" t="s">
        <v>6438</v>
      </c>
      <c r="G1548" s="1" t="s">
        <v>12490</v>
      </c>
      <c r="H1548" s="1" t="s">
        <v>6439</v>
      </c>
      <c r="I1548" s="2">
        <v>30.035</v>
      </c>
      <c r="J1548" s="2">
        <v>0.81</v>
      </c>
      <c r="K1548" s="2"/>
      <c r="L1548" s="2"/>
      <c r="M1548" s="4" t="e">
        <f t="shared" si="144"/>
        <v>#DIV/0!</v>
      </c>
      <c r="N1548" s="4" t="e">
        <f t="shared" si="145"/>
        <v>#DIV/0!</v>
      </c>
      <c r="O1548" s="5">
        <f t="shared" si="146"/>
        <v>-1</v>
      </c>
      <c r="P1548" s="5" t="e">
        <f t="shared" si="147"/>
        <v>#DIV/0!</v>
      </c>
      <c r="Q1548" s="4" t="e">
        <f t="shared" si="148"/>
        <v>#DIV/0!</v>
      </c>
      <c r="R1548" s="4" t="e">
        <f t="shared" si="149"/>
        <v>#DIV/0!</v>
      </c>
      <c r="S1548" s="4">
        <v>-6.68</v>
      </c>
      <c r="T1548" s="2">
        <v>0.27</v>
      </c>
      <c r="U1548" s="2">
        <v>39.92</v>
      </c>
      <c r="V1548" s="2">
        <v>13.24</v>
      </c>
      <c r="W1548" s="2">
        <v>-11.69</v>
      </c>
      <c r="X1548" s="2">
        <v>-4.04</v>
      </c>
      <c r="Y1548" s="2">
        <v>10.99</v>
      </c>
      <c r="Z1548" s="2">
        <v>20.84</v>
      </c>
    </row>
    <row r="1549" spans="1:26" x14ac:dyDescent="0.25">
      <c r="A1549" s="1" t="s">
        <v>6440</v>
      </c>
      <c r="B1549" s="1" t="s">
        <v>6441</v>
      </c>
      <c r="C1549" s="1" t="s">
        <v>31</v>
      </c>
      <c r="D1549" s="1" t="s">
        <v>67</v>
      </c>
      <c r="E1549" s="1" t="s">
        <v>3111</v>
      </c>
      <c r="F1549" s="1" t="s">
        <v>6442</v>
      </c>
      <c r="G1549" s="1" t="s">
        <v>12480</v>
      </c>
      <c r="H1549" s="1" t="s">
        <v>6443</v>
      </c>
      <c r="I1549" s="2">
        <v>50.22</v>
      </c>
      <c r="J1549" s="2">
        <v>2.06</v>
      </c>
      <c r="K1549" s="2">
        <v>2.94</v>
      </c>
      <c r="L1549" s="2">
        <v>3.56</v>
      </c>
      <c r="M1549" s="4">
        <f t="shared" si="144"/>
        <v>17.081632653061224</v>
      </c>
      <c r="N1549" s="4">
        <f t="shared" si="145"/>
        <v>14.106741573033707</v>
      </c>
      <c r="O1549" s="5">
        <f t="shared" si="146"/>
        <v>0.42718446601941751</v>
      </c>
      <c r="P1549" s="5">
        <f t="shared" si="147"/>
        <v>0.21088435374149661</v>
      </c>
      <c r="Q1549" s="4">
        <f t="shared" si="148"/>
        <v>0.39986549165120588</v>
      </c>
      <c r="R1549" s="4">
        <f t="shared" si="149"/>
        <v>0.66893258426966284</v>
      </c>
      <c r="S1549" s="4">
        <v>9.33</v>
      </c>
      <c r="T1549" s="2">
        <v>0.9</v>
      </c>
      <c r="U1549" s="2">
        <v>54.23</v>
      </c>
      <c r="V1549" s="2">
        <v>41.4</v>
      </c>
      <c r="W1549" s="2">
        <v>-2.77</v>
      </c>
      <c r="X1549" s="2">
        <v>3.87</v>
      </c>
      <c r="Y1549" s="2">
        <v>7.17</v>
      </c>
      <c r="Z1549" s="2">
        <v>5.67</v>
      </c>
    </row>
    <row r="1550" spans="1:26" x14ac:dyDescent="0.25">
      <c r="A1550" s="1" t="s">
        <v>6444</v>
      </c>
      <c r="B1550" s="1" t="s">
        <v>6445</v>
      </c>
      <c r="C1550" s="1" t="s">
        <v>31</v>
      </c>
      <c r="D1550" s="1" t="s">
        <v>67</v>
      </c>
      <c r="E1550" s="1" t="s">
        <v>3111</v>
      </c>
      <c r="F1550" s="1" t="s">
        <v>6446</v>
      </c>
      <c r="G1550" s="1" t="s">
        <v>12490</v>
      </c>
      <c r="H1550" s="1" t="s">
        <v>6447</v>
      </c>
      <c r="I1550" s="2">
        <v>18.41</v>
      </c>
      <c r="J1550" s="2">
        <v>1.1599999999999999</v>
      </c>
      <c r="K1550" s="2">
        <v>1.23</v>
      </c>
      <c r="L1550" s="2">
        <v>1.38</v>
      </c>
      <c r="M1550" s="4">
        <f t="shared" si="144"/>
        <v>14.967479674796749</v>
      </c>
      <c r="N1550" s="4">
        <f t="shared" si="145"/>
        <v>13.340579710144929</v>
      </c>
      <c r="O1550" s="5">
        <f t="shared" si="146"/>
        <v>6.0344827586206851E-2</v>
      </c>
      <c r="P1550" s="5">
        <f t="shared" si="147"/>
        <v>0.12195121951219501</v>
      </c>
      <c r="Q1550" s="4">
        <f t="shared" si="148"/>
        <v>2.4803252032520344</v>
      </c>
      <c r="R1550" s="4">
        <f t="shared" si="149"/>
        <v>1.0939275362318852</v>
      </c>
      <c r="S1550" s="4">
        <v>1.84</v>
      </c>
      <c r="T1550" s="2">
        <v>1.25</v>
      </c>
      <c r="U1550" s="2">
        <v>19.7</v>
      </c>
      <c r="V1550" s="2">
        <v>11.73</v>
      </c>
      <c r="W1550" s="2">
        <v>-2.23</v>
      </c>
      <c r="X1550" s="2">
        <v>-0.65</v>
      </c>
      <c r="Y1550" s="2">
        <v>4.3099999999999996</v>
      </c>
      <c r="Z1550" s="2">
        <v>2.85</v>
      </c>
    </row>
    <row r="1551" spans="1:26" x14ac:dyDescent="0.25">
      <c r="A1551" s="1" t="s">
        <v>6448</v>
      </c>
      <c r="B1551" s="1" t="s">
        <v>6449</v>
      </c>
      <c r="C1551" s="1" t="s">
        <v>31</v>
      </c>
      <c r="D1551" s="1" t="s">
        <v>67</v>
      </c>
      <c r="E1551" s="1" t="s">
        <v>833</v>
      </c>
      <c r="F1551" s="1" t="s">
        <v>6450</v>
      </c>
      <c r="G1551" s="1" t="s">
        <v>12480</v>
      </c>
      <c r="H1551" s="1" t="s">
        <v>6451</v>
      </c>
      <c r="I1551" s="2">
        <v>4.54</v>
      </c>
      <c r="J1551" s="2">
        <v>-0.52</v>
      </c>
      <c r="K1551" s="2"/>
      <c r="L1551" s="2"/>
      <c r="M1551" s="4" t="e">
        <f t="shared" si="144"/>
        <v>#DIV/0!</v>
      </c>
      <c r="N1551" s="4" t="e">
        <f t="shared" si="145"/>
        <v>#DIV/0!</v>
      </c>
      <c r="O1551" s="5">
        <f t="shared" si="146"/>
        <v>-1</v>
      </c>
      <c r="P1551" s="5" t="e">
        <f t="shared" si="147"/>
        <v>#DIV/0!</v>
      </c>
      <c r="Q1551" s="4" t="e">
        <f t="shared" si="148"/>
        <v>#DIV/0!</v>
      </c>
      <c r="R1551" s="4" t="e">
        <f t="shared" si="149"/>
        <v>#DIV/0!</v>
      </c>
      <c r="S1551" s="4">
        <v>-31.02</v>
      </c>
      <c r="T1551" s="2">
        <v>1.67</v>
      </c>
      <c r="U1551" s="2">
        <v>4.76</v>
      </c>
      <c r="V1551" s="2">
        <v>3.8</v>
      </c>
      <c r="W1551" s="2">
        <v>-0.66</v>
      </c>
      <c r="X1551" s="2">
        <v>3.65</v>
      </c>
      <c r="Y1551" s="2">
        <v>6.82</v>
      </c>
      <c r="Z1551" s="2">
        <v>12.1</v>
      </c>
    </row>
    <row r="1552" spans="1:26" x14ac:dyDescent="0.25">
      <c r="A1552" s="1" t="s">
        <v>6452</v>
      </c>
      <c r="B1552" s="1" t="s">
        <v>6453</v>
      </c>
      <c r="C1552" s="1" t="s">
        <v>16</v>
      </c>
      <c r="D1552" s="1" t="s">
        <v>38</v>
      </c>
      <c r="E1552" s="1" t="s">
        <v>39</v>
      </c>
      <c r="F1552" s="1" t="s">
        <v>6454</v>
      </c>
      <c r="G1552" s="1" t="s">
        <v>12480</v>
      </c>
      <c r="H1552" s="1" t="s">
        <v>244</v>
      </c>
      <c r="I1552" s="2">
        <v>109.56</v>
      </c>
      <c r="J1552" s="2">
        <v>22.67</v>
      </c>
      <c r="K1552" s="2"/>
      <c r="L1552" s="2"/>
      <c r="M1552" s="4" t="e">
        <f t="shared" si="144"/>
        <v>#DIV/0!</v>
      </c>
      <c r="N1552" s="4" t="e">
        <f t="shared" si="145"/>
        <v>#DIV/0!</v>
      </c>
      <c r="O1552" s="5">
        <f t="shared" si="146"/>
        <v>-1</v>
      </c>
      <c r="P1552" s="5" t="e">
        <f t="shared" si="147"/>
        <v>#DIV/0!</v>
      </c>
      <c r="Q1552" s="4" t="e">
        <f t="shared" si="148"/>
        <v>#DIV/0!</v>
      </c>
      <c r="R1552" s="4" t="e">
        <f t="shared" si="149"/>
        <v>#DIV/0!</v>
      </c>
      <c r="S1552" s="4">
        <v>104.31</v>
      </c>
      <c r="T1552" s="2">
        <v>1.46</v>
      </c>
      <c r="U1552" s="2">
        <v>122.21</v>
      </c>
      <c r="V1552" s="2">
        <v>70.349999999999994</v>
      </c>
      <c r="W1552" s="2">
        <v>-2.02</v>
      </c>
      <c r="X1552" s="2">
        <v>-7.89</v>
      </c>
      <c r="Y1552" s="2">
        <v>3.17</v>
      </c>
      <c r="Z1552" s="2">
        <v>2.73</v>
      </c>
    </row>
    <row r="1553" spans="1:26" x14ac:dyDescent="0.25">
      <c r="A1553" s="1" t="s">
        <v>6455</v>
      </c>
      <c r="B1553" s="1" t="s">
        <v>6456</v>
      </c>
      <c r="C1553" s="1" t="s">
        <v>16</v>
      </c>
      <c r="D1553" s="1" t="s">
        <v>61</v>
      </c>
      <c r="E1553" s="1" t="s">
        <v>237</v>
      </c>
      <c r="F1553" s="1" t="s">
        <v>6457</v>
      </c>
      <c r="G1553" s="1" t="s">
        <v>12480</v>
      </c>
      <c r="H1553" s="1" t="s">
        <v>12713</v>
      </c>
      <c r="I1553" s="2">
        <v>334.17</v>
      </c>
      <c r="J1553" s="2">
        <v>9.26</v>
      </c>
      <c r="K1553" s="2">
        <v>11.17</v>
      </c>
      <c r="L1553" s="2">
        <v>12.6</v>
      </c>
      <c r="M1553" s="4">
        <f t="shared" si="144"/>
        <v>29.91674127126231</v>
      </c>
      <c r="N1553" s="4">
        <f t="shared" si="145"/>
        <v>26.521428571428572</v>
      </c>
      <c r="O1553" s="5">
        <f t="shared" si="146"/>
        <v>0.20626349892008644</v>
      </c>
      <c r="P1553" s="5">
        <f t="shared" si="147"/>
        <v>0.12802148612354514</v>
      </c>
      <c r="Q1553" s="4">
        <f t="shared" si="148"/>
        <v>1.4504137391198373</v>
      </c>
      <c r="R1553" s="4">
        <f t="shared" si="149"/>
        <v>2.0716388611388621</v>
      </c>
      <c r="S1553" s="4">
        <v>-0.11</v>
      </c>
      <c r="T1553" s="2">
        <v>1.22</v>
      </c>
      <c r="U1553" s="2">
        <v>376.16</v>
      </c>
      <c r="V1553" s="2">
        <v>247.48</v>
      </c>
      <c r="W1553" s="2">
        <v>-3.25</v>
      </c>
      <c r="X1553" s="2">
        <v>-1.1100000000000001</v>
      </c>
      <c r="Y1553" s="2">
        <v>15.95</v>
      </c>
      <c r="Z1553" s="2">
        <v>17.239999999999998</v>
      </c>
    </row>
    <row r="1554" spans="1:26" x14ac:dyDescent="0.25">
      <c r="A1554" s="1" t="s">
        <v>6458</v>
      </c>
      <c r="B1554" s="1" t="s">
        <v>6459</v>
      </c>
      <c r="C1554" s="1" t="s">
        <v>45</v>
      </c>
      <c r="D1554" s="1" t="s">
        <v>25</v>
      </c>
      <c r="E1554" s="1" t="s">
        <v>2467</v>
      </c>
      <c r="F1554" s="1" t="s">
        <v>6460</v>
      </c>
      <c r="G1554" s="1" t="s">
        <v>12480</v>
      </c>
      <c r="H1554" s="1" t="s">
        <v>908</v>
      </c>
      <c r="I1554" s="2">
        <v>123.56</v>
      </c>
      <c r="J1554" s="2">
        <v>6.03</v>
      </c>
      <c r="K1554" s="2">
        <v>7.33</v>
      </c>
      <c r="L1554" s="2">
        <v>8.89</v>
      </c>
      <c r="M1554" s="4">
        <f t="shared" si="144"/>
        <v>16.856753069577081</v>
      </c>
      <c r="N1554" s="4">
        <f t="shared" si="145"/>
        <v>13.898762654668166</v>
      </c>
      <c r="O1554" s="5">
        <f t="shared" si="146"/>
        <v>0.21558872305140953</v>
      </c>
      <c r="P1554" s="5">
        <f t="shared" si="147"/>
        <v>0.21282401091405201</v>
      </c>
      <c r="Q1554" s="4">
        <f t="shared" si="148"/>
        <v>0.78189400776576812</v>
      </c>
      <c r="R1554" s="4">
        <f t="shared" si="149"/>
        <v>0.65306365550459988</v>
      </c>
      <c r="S1554" s="4">
        <v>11.54</v>
      </c>
      <c r="T1554" s="2">
        <v>1.37</v>
      </c>
      <c r="U1554" s="2">
        <v>144.71</v>
      </c>
      <c r="V1554" s="2">
        <v>50.21</v>
      </c>
      <c r="W1554" s="2">
        <v>-8.4499999999999993</v>
      </c>
      <c r="X1554" s="2">
        <v>-13.26</v>
      </c>
      <c r="Y1554" s="2">
        <v>12.42</v>
      </c>
      <c r="Z1554" s="2">
        <v>7.57</v>
      </c>
    </row>
    <row r="1555" spans="1:26" x14ac:dyDescent="0.25">
      <c r="A1555" s="1" t="s">
        <v>6461</v>
      </c>
      <c r="B1555" s="1" t="s">
        <v>6462</v>
      </c>
      <c r="C1555" s="1" t="s">
        <v>45</v>
      </c>
      <c r="D1555" s="1" t="s">
        <v>32</v>
      </c>
      <c r="E1555" s="1" t="s">
        <v>311</v>
      </c>
      <c r="F1555" s="1" t="s">
        <v>6463</v>
      </c>
      <c r="G1555" s="1" t="s">
        <v>12487</v>
      </c>
      <c r="H1555" s="1" t="s">
        <v>4941</v>
      </c>
      <c r="I1555" s="2">
        <v>46.66</v>
      </c>
      <c r="J1555" s="2">
        <v>1.63</v>
      </c>
      <c r="K1555" s="2">
        <v>2.2400000000000002</v>
      </c>
      <c r="L1555" s="2">
        <v>2.67</v>
      </c>
      <c r="M1555" s="4">
        <f t="shared" si="144"/>
        <v>20.830357142857139</v>
      </c>
      <c r="N1555" s="4">
        <f t="shared" si="145"/>
        <v>17.475655430711608</v>
      </c>
      <c r="O1555" s="5">
        <f t="shared" si="146"/>
        <v>0.37423312883435611</v>
      </c>
      <c r="P1555" s="5">
        <f t="shared" si="147"/>
        <v>0.19196428571428559</v>
      </c>
      <c r="Q1555" s="4">
        <f t="shared" si="148"/>
        <v>0.55661446135831327</v>
      </c>
      <c r="R1555" s="4">
        <f t="shared" si="149"/>
        <v>0.91035972476265181</v>
      </c>
      <c r="S1555" s="4">
        <v>10.95</v>
      </c>
      <c r="T1555" s="2">
        <v>1.07</v>
      </c>
      <c r="U1555" s="2">
        <v>63.1</v>
      </c>
      <c r="V1555" s="2">
        <v>36.9</v>
      </c>
      <c r="W1555" s="2">
        <v>0.06</v>
      </c>
      <c r="X1555" s="2">
        <v>-7.48</v>
      </c>
      <c r="Y1555" s="2">
        <v>1.37</v>
      </c>
      <c r="Z1555" s="2">
        <v>2.5499999999999998</v>
      </c>
    </row>
    <row r="1556" spans="1:26" x14ac:dyDescent="0.25">
      <c r="A1556" s="1" t="s">
        <v>6464</v>
      </c>
      <c r="B1556" s="1" t="s">
        <v>6465</v>
      </c>
      <c r="C1556" s="1" t="s">
        <v>16</v>
      </c>
      <c r="D1556" s="1" t="s">
        <v>38</v>
      </c>
      <c r="E1556" s="1" t="s">
        <v>189</v>
      </c>
      <c r="F1556" s="1" t="s">
        <v>12714</v>
      </c>
      <c r="G1556" s="1" t="s">
        <v>12480</v>
      </c>
      <c r="H1556" s="1" t="s">
        <v>6466</v>
      </c>
      <c r="I1556" s="2">
        <v>102.58</v>
      </c>
      <c r="J1556" s="2">
        <v>9.33</v>
      </c>
      <c r="K1556" s="2">
        <v>11.84</v>
      </c>
      <c r="L1556" s="2"/>
      <c r="M1556" s="4">
        <f t="shared" si="144"/>
        <v>8.6638513513513509</v>
      </c>
      <c r="N1556" s="4" t="e">
        <f t="shared" si="145"/>
        <v>#DIV/0!</v>
      </c>
      <c r="O1556" s="5">
        <f t="shared" si="146"/>
        <v>0.26902465166130751</v>
      </c>
      <c r="P1556" s="5">
        <f t="shared" si="147"/>
        <v>-1</v>
      </c>
      <c r="Q1556" s="4">
        <f t="shared" si="148"/>
        <v>0.32204674545063</v>
      </c>
      <c r="R1556" s="4" t="e">
        <f t="shared" si="149"/>
        <v>#DIV/0!</v>
      </c>
      <c r="S1556" s="4">
        <v>-5.67</v>
      </c>
      <c r="T1556" s="2">
        <v>1.08</v>
      </c>
      <c r="U1556" s="2">
        <v>118.21</v>
      </c>
      <c r="V1556" s="2">
        <v>46.88</v>
      </c>
      <c r="W1556" s="2">
        <v>-6.41</v>
      </c>
      <c r="X1556" s="2">
        <v>-2.41</v>
      </c>
      <c r="Y1556" s="2">
        <v>19.54</v>
      </c>
      <c r="Z1556" s="2">
        <v>19.22</v>
      </c>
    </row>
    <row r="1557" spans="1:26" x14ac:dyDescent="0.25">
      <c r="A1557" s="1" t="s">
        <v>6467</v>
      </c>
      <c r="B1557" s="1" t="s">
        <v>6468</v>
      </c>
      <c r="C1557" s="1" t="s">
        <v>31</v>
      </c>
      <c r="D1557" s="1" t="s">
        <v>38</v>
      </c>
      <c r="E1557" s="1" t="s">
        <v>189</v>
      </c>
      <c r="F1557" s="1" t="s">
        <v>6469</v>
      </c>
      <c r="G1557" s="1" t="s">
        <v>12480</v>
      </c>
      <c r="H1557" s="1" t="s">
        <v>6470</v>
      </c>
      <c r="I1557" s="2">
        <v>64.155000000000001</v>
      </c>
      <c r="J1557" s="2">
        <v>4.92</v>
      </c>
      <c r="K1557" s="2">
        <v>6.01</v>
      </c>
      <c r="L1557" s="2">
        <v>6.48</v>
      </c>
      <c r="M1557" s="4">
        <f t="shared" si="144"/>
        <v>10.674708818635608</v>
      </c>
      <c r="N1557" s="4">
        <f t="shared" si="145"/>
        <v>9.9004629629629619</v>
      </c>
      <c r="O1557" s="5">
        <f t="shared" si="146"/>
        <v>0.22154471544715437</v>
      </c>
      <c r="P1557" s="5">
        <f t="shared" si="147"/>
        <v>7.820299500831962E-2</v>
      </c>
      <c r="Q1557" s="4">
        <f t="shared" si="148"/>
        <v>0.48183089346502028</v>
      </c>
      <c r="R1557" s="4">
        <f t="shared" si="149"/>
        <v>1.2659953703703677</v>
      </c>
      <c r="S1557" s="4">
        <v>-1.99</v>
      </c>
      <c r="T1557" s="2">
        <v>0.55000000000000004</v>
      </c>
      <c r="U1557" s="2">
        <v>73.12</v>
      </c>
      <c r="V1557" s="2">
        <v>39.49</v>
      </c>
      <c r="W1557" s="2">
        <v>-3.37</v>
      </c>
      <c r="X1557" s="2">
        <v>-12.26</v>
      </c>
      <c r="Y1557" s="2">
        <v>-0.93</v>
      </c>
      <c r="Z1557" s="2">
        <v>-1.64</v>
      </c>
    </row>
    <row r="1558" spans="1:26" x14ac:dyDescent="0.25">
      <c r="A1558" s="1" t="s">
        <v>6471</v>
      </c>
      <c r="B1558" s="1" t="s">
        <v>6472</v>
      </c>
      <c r="C1558" s="1" t="s">
        <v>16</v>
      </c>
      <c r="D1558" s="1" t="s">
        <v>61</v>
      </c>
      <c r="E1558" s="1" t="s">
        <v>2394</v>
      </c>
      <c r="F1558" s="1" t="s">
        <v>6473</v>
      </c>
      <c r="G1558" s="1" t="s">
        <v>12499</v>
      </c>
      <c r="H1558" s="1" t="s">
        <v>6474</v>
      </c>
      <c r="I1558" s="2">
        <v>57.36</v>
      </c>
      <c r="J1558" s="2">
        <v>6.52</v>
      </c>
      <c r="K1558" s="2">
        <v>4.1100000000000003</v>
      </c>
      <c r="L1558" s="2">
        <v>5.61</v>
      </c>
      <c r="M1558" s="4">
        <f t="shared" si="144"/>
        <v>13.956204379562042</v>
      </c>
      <c r="N1558" s="4">
        <f t="shared" si="145"/>
        <v>10.224598930481283</v>
      </c>
      <c r="O1558" s="5">
        <f t="shared" si="146"/>
        <v>-0.36963190184049066</v>
      </c>
      <c r="P1558" s="5">
        <f t="shared" si="147"/>
        <v>0.36496350364963503</v>
      </c>
      <c r="Q1558" s="4">
        <f t="shared" si="148"/>
        <v>-0.37757034255080724</v>
      </c>
      <c r="R1558" s="4">
        <f t="shared" si="149"/>
        <v>0.28015401069518714</v>
      </c>
      <c r="S1558" s="4">
        <v>-10.01</v>
      </c>
      <c r="T1558" s="2">
        <v>1.47</v>
      </c>
      <c r="U1558" s="2">
        <v>67.97</v>
      </c>
      <c r="V1558" s="2">
        <v>50.15</v>
      </c>
      <c r="W1558" s="2">
        <v>-6.23</v>
      </c>
      <c r="X1558" s="2">
        <v>-5.16</v>
      </c>
      <c r="Y1558" s="2">
        <v>-11.75</v>
      </c>
      <c r="Z1558" s="2">
        <v>1.68</v>
      </c>
    </row>
    <row r="1559" spans="1:26" x14ac:dyDescent="0.25">
      <c r="A1559" s="1" t="s">
        <v>6475</v>
      </c>
      <c r="B1559" s="1" t="s">
        <v>6475</v>
      </c>
      <c r="C1559" s="1" t="s">
        <v>16</v>
      </c>
      <c r="D1559" s="1" t="s">
        <v>61</v>
      </c>
      <c r="E1559" s="1" t="s">
        <v>237</v>
      </c>
      <c r="F1559" s="1" t="s">
        <v>6476</v>
      </c>
      <c r="G1559" s="1" t="s">
        <v>12480</v>
      </c>
      <c r="H1559" s="1" t="s">
        <v>6477</v>
      </c>
      <c r="I1559" s="2">
        <v>39.380000000000003</v>
      </c>
      <c r="J1559" s="2">
        <v>3.93</v>
      </c>
      <c r="K1559" s="2">
        <v>4.1399999999999997</v>
      </c>
      <c r="L1559" s="2">
        <v>4.54</v>
      </c>
      <c r="M1559" s="4">
        <f t="shared" si="144"/>
        <v>9.5120772946859908</v>
      </c>
      <c r="N1559" s="4">
        <f t="shared" si="145"/>
        <v>8.6740088105726869</v>
      </c>
      <c r="O1559" s="5">
        <f t="shared" si="146"/>
        <v>5.3435114503816772E-2</v>
      </c>
      <c r="P1559" s="5">
        <f t="shared" si="147"/>
        <v>9.661835748792269E-2</v>
      </c>
      <c r="Q1559" s="4">
        <f t="shared" si="148"/>
        <v>1.7801173222912361</v>
      </c>
      <c r="R1559" s="4">
        <f t="shared" si="149"/>
        <v>0.89775991189427329</v>
      </c>
      <c r="S1559" s="4">
        <v>0.56999999999999995</v>
      </c>
      <c r="T1559" s="2">
        <v>0.5</v>
      </c>
      <c r="U1559" s="2">
        <v>56.12</v>
      </c>
      <c r="V1559" s="2">
        <v>39.380000000000003</v>
      </c>
      <c r="W1559" s="2">
        <v>-5.22</v>
      </c>
      <c r="X1559" s="2">
        <v>-10.74</v>
      </c>
      <c r="Y1559" s="2">
        <v>-8.59</v>
      </c>
      <c r="Z1559" s="2">
        <v>-2.04</v>
      </c>
    </row>
    <row r="1560" spans="1:26" x14ac:dyDescent="0.25">
      <c r="A1560" s="1" t="s">
        <v>6478</v>
      </c>
      <c r="B1560" s="1" t="s">
        <v>6479</v>
      </c>
      <c r="C1560" s="1" t="s">
        <v>45</v>
      </c>
      <c r="D1560" s="1" t="s">
        <v>32</v>
      </c>
      <c r="E1560" s="1" t="s">
        <v>311</v>
      </c>
      <c r="F1560" s="1" t="s">
        <v>6480</v>
      </c>
      <c r="G1560" s="1" t="s">
        <v>12480</v>
      </c>
      <c r="H1560" s="1" t="s">
        <v>6481</v>
      </c>
      <c r="I1560" s="2">
        <v>14.27</v>
      </c>
      <c r="J1560" s="2">
        <v>-0.45</v>
      </c>
      <c r="K1560" s="2">
        <v>-0.21</v>
      </c>
      <c r="L1560" s="2">
        <v>-0.11</v>
      </c>
      <c r="M1560" s="4">
        <f t="shared" si="144"/>
        <v>-67.952380952380949</v>
      </c>
      <c r="N1560" s="4">
        <f t="shared" si="145"/>
        <v>-129.72727272727272</v>
      </c>
      <c r="O1560" s="5">
        <f t="shared" si="146"/>
        <v>-0.53333333333333344</v>
      </c>
      <c r="P1560" s="5">
        <f t="shared" si="147"/>
        <v>-0.47619047619047616</v>
      </c>
      <c r="Q1560" s="4">
        <f t="shared" si="148"/>
        <v>1.2741071428571427</v>
      </c>
      <c r="R1560" s="4">
        <f t="shared" si="149"/>
        <v>2.7242727272727274</v>
      </c>
      <c r="S1560" s="4">
        <v>7.45</v>
      </c>
      <c r="T1560" s="2">
        <v>2.04</v>
      </c>
      <c r="U1560" s="2">
        <v>18.440000000000001</v>
      </c>
      <c r="V1560" s="2">
        <v>10.34</v>
      </c>
      <c r="W1560" s="2">
        <v>11.31</v>
      </c>
      <c r="X1560" s="2">
        <v>6.33</v>
      </c>
      <c r="Y1560" s="2">
        <v>31.64</v>
      </c>
      <c r="Z1560" s="2">
        <v>38.01</v>
      </c>
    </row>
    <row r="1561" spans="1:26" x14ac:dyDescent="0.25">
      <c r="A1561" s="1" t="s">
        <v>6482</v>
      </c>
      <c r="B1561" s="1" t="s">
        <v>6483</v>
      </c>
      <c r="C1561" s="1" t="s">
        <v>31</v>
      </c>
      <c r="D1561" s="1" t="s">
        <v>88</v>
      </c>
      <c r="E1561" s="1" t="s">
        <v>6156</v>
      </c>
      <c r="F1561" s="1" t="s">
        <v>6484</v>
      </c>
      <c r="G1561" s="1" t="s">
        <v>12480</v>
      </c>
      <c r="H1561" s="1" t="s">
        <v>6485</v>
      </c>
      <c r="I1561" s="2">
        <v>11.71</v>
      </c>
      <c r="J1561" s="2">
        <v>0.65</v>
      </c>
      <c r="K1561" s="2"/>
      <c r="L1561" s="2"/>
      <c r="M1561" s="4" t="e">
        <f t="shared" si="144"/>
        <v>#DIV/0!</v>
      </c>
      <c r="N1561" s="4" t="e">
        <f t="shared" si="145"/>
        <v>#DIV/0!</v>
      </c>
      <c r="O1561" s="5">
        <f t="shared" si="146"/>
        <v>-1</v>
      </c>
      <c r="P1561" s="5" t="e">
        <f t="shared" si="147"/>
        <v>#DIV/0!</v>
      </c>
      <c r="Q1561" s="4" t="e">
        <f t="shared" si="148"/>
        <v>#DIV/0!</v>
      </c>
      <c r="R1561" s="4" t="e">
        <f t="shared" si="149"/>
        <v>#DIV/0!</v>
      </c>
      <c r="S1561" s="4">
        <v>-3.91</v>
      </c>
      <c r="T1561" s="2">
        <v>0.76</v>
      </c>
      <c r="U1561" s="2">
        <v>12.57</v>
      </c>
      <c r="V1561" s="2">
        <v>7.63</v>
      </c>
      <c r="W1561" s="2">
        <v>-5.94</v>
      </c>
      <c r="X1561" s="2">
        <v>-3.22</v>
      </c>
      <c r="Y1561" s="2">
        <v>9.61</v>
      </c>
      <c r="Z1561" s="2">
        <v>9.34</v>
      </c>
    </row>
    <row r="1562" spans="1:26" x14ac:dyDescent="0.25">
      <c r="A1562" s="1" t="s">
        <v>6486</v>
      </c>
      <c r="B1562" s="1" t="s">
        <v>6487</v>
      </c>
      <c r="C1562" s="1" t="s">
        <v>16</v>
      </c>
      <c r="D1562" s="1" t="s">
        <v>140</v>
      </c>
      <c r="E1562" s="1" t="s">
        <v>284</v>
      </c>
      <c r="F1562" s="1" t="s">
        <v>6488</v>
      </c>
      <c r="G1562" s="1" t="s">
        <v>12490</v>
      </c>
      <c r="H1562" s="1" t="s">
        <v>6489</v>
      </c>
      <c r="I1562" s="2">
        <v>13.08</v>
      </c>
      <c r="J1562" s="2">
        <v>1.19</v>
      </c>
      <c r="K1562" s="2">
        <v>1.84</v>
      </c>
      <c r="L1562" s="2">
        <v>2.54</v>
      </c>
      <c r="M1562" s="4">
        <f t="shared" si="144"/>
        <v>7.1086956521739131</v>
      </c>
      <c r="N1562" s="4">
        <f t="shared" si="145"/>
        <v>5.1496062992125982</v>
      </c>
      <c r="O1562" s="5">
        <f t="shared" si="146"/>
        <v>0.54621848739495804</v>
      </c>
      <c r="P1562" s="5">
        <f t="shared" si="147"/>
        <v>0.38043478260869557</v>
      </c>
      <c r="Q1562" s="4">
        <f t="shared" si="148"/>
        <v>0.13014381270903008</v>
      </c>
      <c r="R1562" s="4">
        <f t="shared" si="149"/>
        <v>0.13536107986501689</v>
      </c>
      <c r="S1562" s="4">
        <v>-6.2</v>
      </c>
      <c r="T1562" s="2">
        <v>1.92</v>
      </c>
      <c r="U1562" s="2">
        <v>43.41</v>
      </c>
      <c r="V1562" s="2">
        <v>10.59</v>
      </c>
      <c r="W1562" s="2">
        <v>1.95</v>
      </c>
      <c r="X1562" s="2">
        <v>23.51</v>
      </c>
      <c r="Y1562" s="2">
        <v>-50.73</v>
      </c>
      <c r="Z1562" s="2">
        <v>-50.75</v>
      </c>
    </row>
    <row r="1563" spans="1:26" x14ac:dyDescent="0.25">
      <c r="A1563" s="1" t="s">
        <v>6490</v>
      </c>
      <c r="B1563" s="1" t="s">
        <v>6491</v>
      </c>
      <c r="C1563" s="1" t="s">
        <v>31</v>
      </c>
      <c r="D1563" s="1" t="s">
        <v>32</v>
      </c>
      <c r="E1563" s="1" t="s">
        <v>829</v>
      </c>
      <c r="F1563" s="1" t="s">
        <v>6492</v>
      </c>
      <c r="G1563" s="1" t="s">
        <v>12490</v>
      </c>
      <c r="H1563" s="1" t="s">
        <v>6493</v>
      </c>
      <c r="I1563" s="2">
        <v>17.100000000000001</v>
      </c>
      <c r="J1563" s="2">
        <v>1.1100000000000001</v>
      </c>
      <c r="K1563" s="2">
        <v>1.23</v>
      </c>
      <c r="L1563" s="2">
        <v>1.3</v>
      </c>
      <c r="M1563" s="4">
        <f t="shared" si="144"/>
        <v>13.902439024390246</v>
      </c>
      <c r="N1563" s="4">
        <f t="shared" si="145"/>
        <v>13.153846153846155</v>
      </c>
      <c r="O1563" s="5">
        <f t="shared" si="146"/>
        <v>0.10810810810810789</v>
      </c>
      <c r="P1563" s="5">
        <f t="shared" si="147"/>
        <v>5.6910569105691033E-2</v>
      </c>
      <c r="Q1563" s="4">
        <f t="shared" si="148"/>
        <v>1.2859756097561004</v>
      </c>
      <c r="R1563" s="4">
        <f t="shared" si="149"/>
        <v>2.3113186813186823</v>
      </c>
      <c r="S1563" s="4">
        <v>-2.5</v>
      </c>
      <c r="T1563" s="2">
        <v>0.03</v>
      </c>
      <c r="U1563" s="2">
        <v>18.309999999999999</v>
      </c>
      <c r="V1563" s="2">
        <v>15.26</v>
      </c>
      <c r="W1563" s="2">
        <v>1.73</v>
      </c>
      <c r="X1563" s="2">
        <v>4.6500000000000004</v>
      </c>
      <c r="Y1563" s="2">
        <v>-2.0099999999999998</v>
      </c>
      <c r="Z1563" s="2">
        <v>-1.1000000000000001</v>
      </c>
    </row>
    <row r="1564" spans="1:26" x14ac:dyDescent="0.25">
      <c r="A1564" s="1" t="s">
        <v>6494</v>
      </c>
      <c r="B1564" s="1" t="s">
        <v>6495</v>
      </c>
      <c r="C1564" s="1" t="s">
        <v>45</v>
      </c>
      <c r="D1564" s="1" t="s">
        <v>140</v>
      </c>
      <c r="E1564" s="1" t="s">
        <v>284</v>
      </c>
      <c r="F1564" s="1" t="s">
        <v>6496</v>
      </c>
      <c r="G1564" s="1" t="s">
        <v>12480</v>
      </c>
      <c r="H1564" s="1" t="s">
        <v>6497</v>
      </c>
      <c r="I1564" s="2">
        <v>8.67</v>
      </c>
      <c r="J1564" s="2">
        <v>0.42</v>
      </c>
      <c r="K1564" s="2">
        <v>-0.77</v>
      </c>
      <c r="L1564" s="2">
        <v>-0.5</v>
      </c>
      <c r="M1564" s="4">
        <f t="shared" si="144"/>
        <v>-11.25974025974026</v>
      </c>
      <c r="N1564" s="4">
        <f t="shared" si="145"/>
        <v>-17.34</v>
      </c>
      <c r="O1564" s="5">
        <f t="shared" si="146"/>
        <v>-2.8333333333333335</v>
      </c>
      <c r="P1564" s="5">
        <f t="shared" si="147"/>
        <v>-0.35064935064935066</v>
      </c>
      <c r="Q1564" s="4">
        <f t="shared" si="148"/>
        <v>3.9740259740259735E-2</v>
      </c>
      <c r="R1564" s="4">
        <f t="shared" si="149"/>
        <v>0.49451111111111112</v>
      </c>
      <c r="S1564" s="4"/>
      <c r="T1564" s="2">
        <v>-0.34</v>
      </c>
      <c r="U1564" s="2">
        <v>11.54</v>
      </c>
      <c r="V1564" s="2">
        <v>5.57</v>
      </c>
      <c r="W1564" s="2">
        <v>2.36</v>
      </c>
      <c r="X1564" s="2">
        <v>-4.3</v>
      </c>
      <c r="Y1564" s="2">
        <v>5.09</v>
      </c>
      <c r="Z1564" s="2">
        <v>-20.6</v>
      </c>
    </row>
    <row r="1565" spans="1:26" x14ac:dyDescent="0.25">
      <c r="A1565" s="1" t="s">
        <v>6498</v>
      </c>
      <c r="B1565" s="1" t="s">
        <v>6499</v>
      </c>
      <c r="C1565" s="1" t="s">
        <v>45</v>
      </c>
      <c r="D1565" s="1" t="s">
        <v>128</v>
      </c>
      <c r="E1565" s="1" t="s">
        <v>2351</v>
      </c>
      <c r="F1565" s="1" t="s">
        <v>6500</v>
      </c>
      <c r="G1565" s="1" t="s">
        <v>12480</v>
      </c>
      <c r="H1565" s="1" t="s">
        <v>6501</v>
      </c>
      <c r="I1565" s="2">
        <v>28.19</v>
      </c>
      <c r="J1565" s="2">
        <v>2.0499999999999998</v>
      </c>
      <c r="K1565" s="2">
        <v>2.17</v>
      </c>
      <c r="L1565" s="2">
        <v>2.4700000000000002</v>
      </c>
      <c r="M1565" s="4">
        <f t="shared" si="144"/>
        <v>12.990783410138249</v>
      </c>
      <c r="N1565" s="4">
        <f t="shared" si="145"/>
        <v>11.412955465587045</v>
      </c>
      <c r="O1565" s="5">
        <f t="shared" si="146"/>
        <v>5.8536585365853711E-2</v>
      </c>
      <c r="P1565" s="5">
        <f t="shared" si="147"/>
        <v>0.13824884792626735</v>
      </c>
      <c r="Q1565" s="4">
        <f t="shared" si="148"/>
        <v>2.2192588325652824</v>
      </c>
      <c r="R1565" s="4">
        <f t="shared" si="149"/>
        <v>0.82553711201079583</v>
      </c>
      <c r="S1565" s="4">
        <v>8.16</v>
      </c>
      <c r="T1565" s="2">
        <v>0.33</v>
      </c>
      <c r="U1565" s="2">
        <v>35.71</v>
      </c>
      <c r="V1565" s="2">
        <v>25.3</v>
      </c>
      <c r="W1565" s="2">
        <v>-5.94</v>
      </c>
      <c r="X1565" s="2">
        <v>-1.1200000000000001</v>
      </c>
      <c r="Y1565" s="2">
        <v>-3.56</v>
      </c>
      <c r="Z1565" s="2">
        <v>0.64</v>
      </c>
    </row>
    <row r="1566" spans="1:26" x14ac:dyDescent="0.25">
      <c r="A1566" s="1" t="s">
        <v>6502</v>
      </c>
      <c r="B1566" s="1" t="s">
        <v>6503</v>
      </c>
      <c r="C1566" s="1" t="s">
        <v>16</v>
      </c>
      <c r="D1566" s="1" t="s">
        <v>354</v>
      </c>
      <c r="E1566" s="1" t="s">
        <v>355</v>
      </c>
      <c r="F1566" s="1" t="s">
        <v>6504</v>
      </c>
      <c r="G1566" s="1" t="s">
        <v>12480</v>
      </c>
      <c r="H1566" s="1" t="s">
        <v>6505</v>
      </c>
      <c r="I1566" s="2">
        <v>83.14</v>
      </c>
      <c r="J1566" s="2">
        <v>0.31</v>
      </c>
      <c r="K1566" s="2"/>
      <c r="L1566" s="2"/>
      <c r="M1566" s="4" t="e">
        <f t="shared" si="144"/>
        <v>#DIV/0!</v>
      </c>
      <c r="N1566" s="4" t="e">
        <f t="shared" si="145"/>
        <v>#DIV/0!</v>
      </c>
      <c r="O1566" s="5">
        <f t="shared" si="146"/>
        <v>-1</v>
      </c>
      <c r="P1566" s="5" t="e">
        <f t="shared" si="147"/>
        <v>#DIV/0!</v>
      </c>
      <c r="Q1566" s="4" t="e">
        <f t="shared" si="148"/>
        <v>#DIV/0!</v>
      </c>
      <c r="R1566" s="4" t="e">
        <f t="shared" si="149"/>
        <v>#DIV/0!</v>
      </c>
      <c r="S1566" s="4">
        <v>8.57</v>
      </c>
      <c r="T1566" s="2">
        <v>1.1399999999999999</v>
      </c>
      <c r="U1566" s="2">
        <v>85.5</v>
      </c>
      <c r="V1566" s="2">
        <v>27.64</v>
      </c>
      <c r="W1566" s="2">
        <v>-1.8</v>
      </c>
      <c r="X1566" s="2">
        <v>12.35</v>
      </c>
      <c r="Y1566" s="2">
        <v>36.56</v>
      </c>
      <c r="Z1566" s="2">
        <v>25.38</v>
      </c>
    </row>
    <row r="1567" spans="1:26" x14ac:dyDescent="0.25">
      <c r="A1567" s="1" t="s">
        <v>6507</v>
      </c>
      <c r="B1567" s="1" t="s">
        <v>6508</v>
      </c>
      <c r="C1567" s="1" t="s">
        <v>16</v>
      </c>
      <c r="D1567" s="1" t="s">
        <v>46</v>
      </c>
      <c r="E1567" s="1" t="s">
        <v>770</v>
      </c>
      <c r="F1567" s="1" t="s">
        <v>6509</v>
      </c>
      <c r="G1567" s="1" t="s">
        <v>12480</v>
      </c>
      <c r="H1567" s="1" t="s">
        <v>6057</v>
      </c>
      <c r="I1567" s="2">
        <v>125.81</v>
      </c>
      <c r="J1567" s="2">
        <v>6.33</v>
      </c>
      <c r="K1567" s="2">
        <v>6.82</v>
      </c>
      <c r="L1567" s="2">
        <v>8.0500000000000007</v>
      </c>
      <c r="M1567" s="4">
        <f t="shared" si="144"/>
        <v>18.447214076246333</v>
      </c>
      <c r="N1567" s="4">
        <f t="shared" si="145"/>
        <v>15.628571428571428</v>
      </c>
      <c r="O1567" s="5">
        <f t="shared" si="146"/>
        <v>7.7409162717219537E-2</v>
      </c>
      <c r="P1567" s="5">
        <f t="shared" si="147"/>
        <v>0.18035190615835783</v>
      </c>
      <c r="Q1567" s="4">
        <f t="shared" si="148"/>
        <v>2.3830788796457014</v>
      </c>
      <c r="R1567" s="4">
        <f t="shared" si="149"/>
        <v>0.86655981416956995</v>
      </c>
      <c r="S1567" s="4">
        <v>3.01</v>
      </c>
      <c r="T1567" s="2">
        <v>0.83</v>
      </c>
      <c r="U1567" s="2">
        <v>133.83000000000001</v>
      </c>
      <c r="V1567" s="2">
        <v>79.95</v>
      </c>
      <c r="W1567" s="2">
        <v>-5.38</v>
      </c>
      <c r="X1567" s="2">
        <v>4.4400000000000004</v>
      </c>
      <c r="Y1567" s="2">
        <v>13.94</v>
      </c>
      <c r="Z1567" s="2">
        <v>14.19</v>
      </c>
    </row>
    <row r="1568" spans="1:26" x14ac:dyDescent="0.25">
      <c r="A1568" s="1" t="s">
        <v>6510</v>
      </c>
      <c r="B1568" s="1" t="s">
        <v>6511</v>
      </c>
      <c r="C1568" s="1" t="s">
        <v>16</v>
      </c>
      <c r="D1568" s="1" t="s">
        <v>38</v>
      </c>
      <c r="E1568" s="1" t="s">
        <v>1739</v>
      </c>
      <c r="F1568" s="1" t="s">
        <v>6512</v>
      </c>
      <c r="G1568" s="1" t="s">
        <v>12480</v>
      </c>
      <c r="H1568" s="1" t="s">
        <v>6513</v>
      </c>
      <c r="I1568" s="2">
        <v>19.690000000000001</v>
      </c>
      <c r="J1568" s="2">
        <v>1.5</v>
      </c>
      <c r="K1568" s="2">
        <v>1.79</v>
      </c>
      <c r="L1568" s="2">
        <v>2.1</v>
      </c>
      <c r="M1568" s="4">
        <f t="shared" si="144"/>
        <v>11</v>
      </c>
      <c r="N1568" s="4">
        <f t="shared" si="145"/>
        <v>9.3761904761904766</v>
      </c>
      <c r="O1568" s="5">
        <f t="shared" si="146"/>
        <v>0.19333333333333336</v>
      </c>
      <c r="P1568" s="5">
        <f t="shared" si="147"/>
        <v>0.17318435754189943</v>
      </c>
      <c r="Q1568" s="4">
        <f t="shared" si="148"/>
        <v>0.56896551724137923</v>
      </c>
      <c r="R1568" s="4">
        <f t="shared" si="149"/>
        <v>0.54139938556067602</v>
      </c>
      <c r="S1568" s="4">
        <v>21.57</v>
      </c>
      <c r="T1568" s="2">
        <v>1.08</v>
      </c>
      <c r="U1568" s="2">
        <v>23.21</v>
      </c>
      <c r="V1568" s="2">
        <v>13.23</v>
      </c>
      <c r="W1568" s="2">
        <v>-5.83</v>
      </c>
      <c r="X1568" s="2">
        <v>-14.43</v>
      </c>
      <c r="Y1568" s="2">
        <v>-3.76</v>
      </c>
      <c r="Z1568" s="2">
        <v>-4.5999999999999996</v>
      </c>
    </row>
    <row r="1569" spans="1:26" x14ac:dyDescent="0.25">
      <c r="A1569" s="1" t="s">
        <v>6514</v>
      </c>
      <c r="B1569" s="1" t="s">
        <v>6515</v>
      </c>
      <c r="C1569" s="1" t="s">
        <v>16</v>
      </c>
      <c r="D1569" s="1" t="s">
        <v>32</v>
      </c>
      <c r="E1569" s="1" t="s">
        <v>364</v>
      </c>
      <c r="F1569" s="1" t="s">
        <v>6516</v>
      </c>
      <c r="G1569" s="1" t="s">
        <v>12479</v>
      </c>
      <c r="H1569" s="1" t="s">
        <v>6517</v>
      </c>
      <c r="I1569" s="2">
        <v>282.02</v>
      </c>
      <c r="J1569" s="2">
        <v>7.16</v>
      </c>
      <c r="K1569" s="2">
        <v>8.3699999999999992</v>
      </c>
      <c r="L1569" s="2">
        <v>9.7799999999999994</v>
      </c>
      <c r="M1569" s="4">
        <f t="shared" si="144"/>
        <v>33.69414575866189</v>
      </c>
      <c r="N1569" s="4">
        <f t="shared" si="145"/>
        <v>28.836400817995909</v>
      </c>
      <c r="O1569" s="5">
        <f t="shared" si="146"/>
        <v>0.16899441340782118</v>
      </c>
      <c r="P1569" s="5">
        <f t="shared" si="147"/>
        <v>0.16845878136200709</v>
      </c>
      <c r="Q1569" s="4">
        <f t="shared" si="148"/>
        <v>1.9938023440662742</v>
      </c>
      <c r="R1569" s="4">
        <f t="shared" si="149"/>
        <v>1.7117778357916726</v>
      </c>
      <c r="S1569" s="4">
        <v>7.95</v>
      </c>
      <c r="T1569" s="2">
        <v>1.1200000000000001</v>
      </c>
      <c r="U1569" s="2">
        <v>313.27</v>
      </c>
      <c r="V1569" s="2">
        <v>127.02</v>
      </c>
      <c r="W1569" s="2">
        <v>-9.98</v>
      </c>
      <c r="X1569" s="2">
        <v>19.53</v>
      </c>
      <c r="Y1569" s="2">
        <v>35.93</v>
      </c>
      <c r="Z1569" s="2">
        <v>38.799999999999997</v>
      </c>
    </row>
    <row r="1570" spans="1:26" x14ac:dyDescent="0.25">
      <c r="A1570" s="1" t="s">
        <v>6518</v>
      </c>
      <c r="B1570" s="1" t="s">
        <v>6519</v>
      </c>
      <c r="C1570" s="1" t="s">
        <v>16</v>
      </c>
      <c r="D1570" s="1" t="s">
        <v>140</v>
      </c>
      <c r="E1570" s="1" t="s">
        <v>5365</v>
      </c>
      <c r="F1570" s="1" t="s">
        <v>6520</v>
      </c>
      <c r="G1570" s="1" t="s">
        <v>12513</v>
      </c>
      <c r="H1570" s="1" t="s">
        <v>512</v>
      </c>
      <c r="I1570" s="2">
        <v>62.63</v>
      </c>
      <c r="J1570" s="2">
        <v>4.88</v>
      </c>
      <c r="K1570" s="2">
        <v>5.2</v>
      </c>
      <c r="L1570" s="2">
        <v>5.71</v>
      </c>
      <c r="M1570" s="4">
        <f t="shared" si="144"/>
        <v>12.044230769230769</v>
      </c>
      <c r="N1570" s="4">
        <f t="shared" si="145"/>
        <v>10.968476357267951</v>
      </c>
      <c r="O1570" s="5">
        <f t="shared" si="146"/>
        <v>6.5573770491803351E-2</v>
      </c>
      <c r="P1570" s="5">
        <f t="shared" si="147"/>
        <v>9.8076923076922951E-2</v>
      </c>
      <c r="Q1570" s="4">
        <f t="shared" si="148"/>
        <v>1.8367451923076901</v>
      </c>
      <c r="R1570" s="4">
        <f t="shared" si="149"/>
        <v>1.1183544521135964</v>
      </c>
      <c r="S1570" s="4">
        <v>-1.23</v>
      </c>
      <c r="T1570" s="2">
        <v>1.32</v>
      </c>
      <c r="U1570" s="2">
        <v>76.459999999999994</v>
      </c>
      <c r="V1570" s="2">
        <v>59.48</v>
      </c>
      <c r="W1570" s="2">
        <v>0.69</v>
      </c>
      <c r="X1570" s="2">
        <v>-5.99</v>
      </c>
      <c r="Y1570" s="2">
        <v>-9.01</v>
      </c>
      <c r="Z1570" s="2">
        <v>-5.13</v>
      </c>
    </row>
    <row r="1571" spans="1:26" x14ac:dyDescent="0.25">
      <c r="A1571" s="1" t="s">
        <v>6521</v>
      </c>
      <c r="B1571" s="1" t="s">
        <v>6522</v>
      </c>
      <c r="C1571" s="1" t="s">
        <v>16</v>
      </c>
      <c r="D1571" s="1" t="s">
        <v>88</v>
      </c>
      <c r="E1571" s="1" t="s">
        <v>89</v>
      </c>
      <c r="F1571" s="1" t="s">
        <v>6523</v>
      </c>
      <c r="G1571" s="1" t="s">
        <v>12480</v>
      </c>
      <c r="H1571" s="1" t="s">
        <v>6524</v>
      </c>
      <c r="I1571" s="2">
        <v>32.520000000000003</v>
      </c>
      <c r="J1571" s="2">
        <v>1.84</v>
      </c>
      <c r="K1571" s="2">
        <v>2.76</v>
      </c>
      <c r="L1571" s="2">
        <v>2.78</v>
      </c>
      <c r="M1571" s="4">
        <f t="shared" si="144"/>
        <v>11.782608695652176</v>
      </c>
      <c r="N1571" s="4">
        <f t="shared" si="145"/>
        <v>11.697841726618707</v>
      </c>
      <c r="O1571" s="5">
        <f t="shared" si="146"/>
        <v>0.49999999999999978</v>
      </c>
      <c r="P1571" s="5">
        <f t="shared" si="147"/>
        <v>7.2463768115942351E-3</v>
      </c>
      <c r="Q1571" s="4">
        <f t="shared" si="148"/>
        <v>0.23565217391304361</v>
      </c>
      <c r="R1571" s="4">
        <f t="shared" si="149"/>
        <v>16.143021582733745</v>
      </c>
      <c r="S1571" s="4">
        <v>36.950000000000003</v>
      </c>
      <c r="T1571" s="2">
        <v>0.73</v>
      </c>
      <c r="U1571" s="2">
        <v>38.07</v>
      </c>
      <c r="V1571" s="2">
        <v>10.56</v>
      </c>
      <c r="W1571" s="2">
        <v>-11.61</v>
      </c>
      <c r="X1571" s="2">
        <v>-4.16</v>
      </c>
      <c r="Y1571" s="2">
        <v>15.48</v>
      </c>
      <c r="Z1571" s="2">
        <v>15.48</v>
      </c>
    </row>
    <row r="1572" spans="1:26" x14ac:dyDescent="0.25">
      <c r="A1572" s="1" t="s">
        <v>6525</v>
      </c>
      <c r="B1572" s="1" t="s">
        <v>6526</v>
      </c>
      <c r="C1572" s="1" t="s">
        <v>31</v>
      </c>
      <c r="D1572" s="1" t="s">
        <v>32</v>
      </c>
      <c r="E1572" s="1" t="s">
        <v>311</v>
      </c>
      <c r="F1572" s="1" t="s">
        <v>6527</v>
      </c>
      <c r="G1572" s="1" t="s">
        <v>12480</v>
      </c>
      <c r="H1572" s="1" t="s">
        <v>2840</v>
      </c>
      <c r="I1572" s="2">
        <v>129.80000000000001</v>
      </c>
      <c r="J1572" s="2">
        <v>-0.56000000000000005</v>
      </c>
      <c r="K1572" s="2"/>
      <c r="L1572" s="2"/>
      <c r="M1572" s="4" t="e">
        <f t="shared" si="144"/>
        <v>#DIV/0!</v>
      </c>
      <c r="N1572" s="4" t="e">
        <f t="shared" si="145"/>
        <v>#DIV/0!</v>
      </c>
      <c r="O1572" s="5">
        <f t="shared" si="146"/>
        <v>-1</v>
      </c>
      <c r="P1572" s="5" t="e">
        <f t="shared" si="147"/>
        <v>#DIV/0!</v>
      </c>
      <c r="Q1572" s="4" t="e">
        <f t="shared" si="148"/>
        <v>#DIV/0!</v>
      </c>
      <c r="R1572" s="4" t="e">
        <f t="shared" si="149"/>
        <v>#DIV/0!</v>
      </c>
      <c r="S1572" s="4">
        <v>8.3000000000000007</v>
      </c>
      <c r="T1572" s="2">
        <v>0.47</v>
      </c>
      <c r="U1572" s="2">
        <v>247.26</v>
      </c>
      <c r="V1572" s="2">
        <v>113.6</v>
      </c>
      <c r="W1572" s="2">
        <v>9.14</v>
      </c>
      <c r="X1572" s="2">
        <v>-13.19</v>
      </c>
      <c r="Y1572" s="2">
        <v>-25.73</v>
      </c>
      <c r="Z1572" s="2" t="s">
        <v>12587</v>
      </c>
    </row>
    <row r="1573" spans="1:26" x14ac:dyDescent="0.25">
      <c r="A1573" s="1" t="s">
        <v>6528</v>
      </c>
      <c r="B1573" s="1" t="s">
        <v>6529</v>
      </c>
      <c r="C1573" s="1" t="s">
        <v>31</v>
      </c>
      <c r="D1573" s="1" t="s">
        <v>67</v>
      </c>
      <c r="E1573" s="1" t="s">
        <v>882</v>
      </c>
      <c r="F1573" s="1" t="s">
        <v>6530</v>
      </c>
      <c r="G1573" s="1" t="s">
        <v>12493</v>
      </c>
      <c r="H1573" s="1" t="s">
        <v>6531</v>
      </c>
      <c r="I1573" s="2">
        <v>8.6300000000000008</v>
      </c>
      <c r="J1573" s="2">
        <v>0.52</v>
      </c>
      <c r="K1573" s="2">
        <v>0.71</v>
      </c>
      <c r="L1573" s="2">
        <v>0.76</v>
      </c>
      <c r="M1573" s="4">
        <f t="shared" si="144"/>
        <v>12.15492957746479</v>
      </c>
      <c r="N1573" s="4">
        <f t="shared" si="145"/>
        <v>11.355263157894738</v>
      </c>
      <c r="O1573" s="5">
        <f t="shared" si="146"/>
        <v>0.3653846153846152</v>
      </c>
      <c r="P1573" s="5">
        <f t="shared" si="147"/>
        <v>7.0422535211267734E-2</v>
      </c>
      <c r="Q1573" s="4">
        <f t="shared" si="148"/>
        <v>0.33266123054114177</v>
      </c>
      <c r="R1573" s="4">
        <f t="shared" si="149"/>
        <v>1.6124473684210499</v>
      </c>
      <c r="S1573" s="4">
        <v>1.21</v>
      </c>
      <c r="T1573" s="2">
        <v>0.97</v>
      </c>
      <c r="U1573" s="2">
        <v>10.16</v>
      </c>
      <c r="V1573" s="2">
        <v>6.13</v>
      </c>
      <c r="W1573" s="2">
        <v>-11.67</v>
      </c>
      <c r="X1573" s="2">
        <v>-9.25</v>
      </c>
      <c r="Y1573" s="2">
        <v>5.63</v>
      </c>
      <c r="Z1573" s="2">
        <v>3.35</v>
      </c>
    </row>
    <row r="1574" spans="1:26" x14ac:dyDescent="0.25">
      <c r="A1574" s="1" t="s">
        <v>6532</v>
      </c>
      <c r="B1574" s="1" t="s">
        <v>6533</v>
      </c>
      <c r="C1574" s="1" t="s">
        <v>16</v>
      </c>
      <c r="D1574" s="1" t="s">
        <v>94</v>
      </c>
      <c r="E1574" s="1" t="s">
        <v>6131</v>
      </c>
      <c r="F1574" s="1" t="s">
        <v>6534</v>
      </c>
      <c r="G1574" s="1" t="s">
        <v>12480</v>
      </c>
      <c r="H1574" s="1" t="s">
        <v>6535</v>
      </c>
      <c r="I1574" s="2">
        <v>55.89</v>
      </c>
      <c r="J1574" s="2">
        <v>1.54</v>
      </c>
      <c r="K1574" s="2">
        <v>2.33</v>
      </c>
      <c r="L1574" s="2">
        <v>2.77</v>
      </c>
      <c r="M1574" s="4">
        <f t="shared" si="144"/>
        <v>23.987124463519311</v>
      </c>
      <c r="N1574" s="4">
        <f t="shared" si="145"/>
        <v>20.176895306859205</v>
      </c>
      <c r="O1574" s="5">
        <f t="shared" si="146"/>
        <v>0.5129870129870131</v>
      </c>
      <c r="P1574" s="5">
        <f t="shared" si="147"/>
        <v>0.18884120171673824</v>
      </c>
      <c r="Q1574" s="4">
        <f t="shared" si="148"/>
        <v>0.46759710979518648</v>
      </c>
      <c r="R1574" s="4">
        <f t="shared" si="149"/>
        <v>1.0684583196586803</v>
      </c>
      <c r="S1574" s="4" t="s">
        <v>12854</v>
      </c>
      <c r="T1574" s="2">
        <v>1.1100000000000001</v>
      </c>
      <c r="U1574" s="2">
        <v>58.16</v>
      </c>
      <c r="V1574" s="2">
        <v>30.23</v>
      </c>
      <c r="W1574" s="2">
        <v>-1.71</v>
      </c>
      <c r="X1574" s="2">
        <v>9.1999999999999993</v>
      </c>
      <c r="Y1574" s="2">
        <v>49.68</v>
      </c>
      <c r="Z1574" s="2">
        <v>49.44</v>
      </c>
    </row>
    <row r="1575" spans="1:26" x14ac:dyDescent="0.25">
      <c r="A1575" s="1" t="s">
        <v>6536</v>
      </c>
      <c r="B1575" s="1" t="s">
        <v>6537</v>
      </c>
      <c r="C1575" s="1" t="s">
        <v>45</v>
      </c>
      <c r="D1575" s="1" t="s">
        <v>128</v>
      </c>
      <c r="E1575" s="1" t="s">
        <v>556</v>
      </c>
      <c r="F1575" s="1" t="s">
        <v>6538</v>
      </c>
      <c r="G1575" s="1" t="s">
        <v>12480</v>
      </c>
      <c r="H1575" s="1" t="s">
        <v>6539</v>
      </c>
      <c r="I1575" s="2">
        <v>24.44</v>
      </c>
      <c r="J1575" s="2">
        <v>2.6</v>
      </c>
      <c r="K1575" s="2">
        <v>2.04</v>
      </c>
      <c r="L1575" s="2">
        <v>2.14</v>
      </c>
      <c r="M1575" s="4">
        <f t="shared" si="144"/>
        <v>11.980392156862745</v>
      </c>
      <c r="N1575" s="4">
        <f t="shared" si="145"/>
        <v>11.420560747663551</v>
      </c>
      <c r="O1575" s="5">
        <f t="shared" si="146"/>
        <v>-0.2153846153846154</v>
      </c>
      <c r="P1575" s="5">
        <f t="shared" si="147"/>
        <v>4.9019607843137303E-2</v>
      </c>
      <c r="Q1575" s="4">
        <f t="shared" si="148"/>
        <v>-0.55623249299719879</v>
      </c>
      <c r="R1575" s="4">
        <f t="shared" si="149"/>
        <v>2.329794392523362</v>
      </c>
      <c r="S1575" s="4">
        <v>-3.5</v>
      </c>
      <c r="T1575" s="2">
        <v>0.06</v>
      </c>
      <c r="U1575" s="2">
        <v>32.22</v>
      </c>
      <c r="V1575" s="2">
        <v>22.4</v>
      </c>
      <c r="W1575" s="2">
        <v>-0.28999999999999998</v>
      </c>
      <c r="X1575" s="2">
        <v>-0.56999999999999995</v>
      </c>
      <c r="Y1575" s="2">
        <v>-0.24</v>
      </c>
      <c r="Z1575" s="2">
        <v>0.78</v>
      </c>
    </row>
    <row r="1576" spans="1:26" x14ac:dyDescent="0.25">
      <c r="A1576" s="1" t="s">
        <v>6540</v>
      </c>
      <c r="B1576" s="1" t="s">
        <v>6541</v>
      </c>
      <c r="C1576" s="1" t="s">
        <v>31</v>
      </c>
      <c r="D1576" s="1" t="s">
        <v>46</v>
      </c>
      <c r="E1576" s="1" t="s">
        <v>1142</v>
      </c>
      <c r="F1576" s="1" t="s">
        <v>12715</v>
      </c>
      <c r="G1576" s="1" t="s">
        <v>12480</v>
      </c>
      <c r="H1576" s="1" t="s">
        <v>6542</v>
      </c>
      <c r="I1576" s="2">
        <v>44.31</v>
      </c>
      <c r="J1576" s="2">
        <v>1.79</v>
      </c>
      <c r="K1576" s="2">
        <v>1.88</v>
      </c>
      <c r="L1576" s="2">
        <v>2.0499999999999998</v>
      </c>
      <c r="M1576" s="4">
        <f t="shared" si="144"/>
        <v>23.569148936170215</v>
      </c>
      <c r="N1576" s="4">
        <f t="shared" si="145"/>
        <v>21.614634146341466</v>
      </c>
      <c r="O1576" s="5">
        <f t="shared" si="146"/>
        <v>5.027932960893855E-2</v>
      </c>
      <c r="P1576" s="5">
        <f t="shared" si="147"/>
        <v>9.0425531914893664E-2</v>
      </c>
      <c r="Q1576" s="4">
        <f t="shared" si="148"/>
        <v>4.6876418439716314</v>
      </c>
      <c r="R1576" s="4">
        <f t="shared" si="149"/>
        <v>2.3903242467718786</v>
      </c>
      <c r="S1576" s="4">
        <v>4.82</v>
      </c>
      <c r="T1576" s="2">
        <v>0.87</v>
      </c>
      <c r="U1576" s="2">
        <v>49.6</v>
      </c>
      <c r="V1576" s="2">
        <v>36.85</v>
      </c>
      <c r="W1576" s="2">
        <v>-5.08</v>
      </c>
      <c r="X1576" s="2">
        <v>-10.66</v>
      </c>
      <c r="Y1576" s="2">
        <v>0.09</v>
      </c>
      <c r="Z1576" s="2">
        <v>1.69</v>
      </c>
    </row>
    <row r="1577" spans="1:26" x14ac:dyDescent="0.25">
      <c r="A1577" s="1" t="s">
        <v>6543</v>
      </c>
      <c r="B1577" s="1" t="s">
        <v>6544</v>
      </c>
      <c r="C1577" s="1" t="s">
        <v>31</v>
      </c>
      <c r="D1577" s="1" t="s">
        <v>25</v>
      </c>
      <c r="E1577" s="1" t="s">
        <v>325</v>
      </c>
      <c r="F1577" s="1" t="s">
        <v>6545</v>
      </c>
      <c r="G1577" s="1" t="s">
        <v>12480</v>
      </c>
      <c r="H1577" s="1" t="s">
        <v>6546</v>
      </c>
      <c r="I1577" s="2">
        <v>14.35</v>
      </c>
      <c r="J1577" s="2">
        <v>0.49</v>
      </c>
      <c r="K1577" s="2">
        <v>1.06</v>
      </c>
      <c r="L1577" s="2">
        <v>1.36</v>
      </c>
      <c r="M1577" s="4">
        <f t="shared" si="144"/>
        <v>13.537735849056602</v>
      </c>
      <c r="N1577" s="4">
        <f t="shared" si="145"/>
        <v>10.551470588235293</v>
      </c>
      <c r="O1577" s="5">
        <f t="shared" si="146"/>
        <v>1.1632653061224492</v>
      </c>
      <c r="P1577" s="5">
        <f t="shared" si="147"/>
        <v>0.28301886792452824</v>
      </c>
      <c r="Q1577" s="4">
        <f t="shared" si="148"/>
        <v>0.11637702747434622</v>
      </c>
      <c r="R1577" s="4">
        <f t="shared" si="149"/>
        <v>0.37281862745098049</v>
      </c>
      <c r="S1577" s="4">
        <v>2.65</v>
      </c>
      <c r="T1577" s="2">
        <v>2.19</v>
      </c>
      <c r="U1577" s="2">
        <v>20.53</v>
      </c>
      <c r="V1577" s="2">
        <v>7.76</v>
      </c>
      <c r="W1577" s="2">
        <v>-13.55</v>
      </c>
      <c r="X1577" s="2">
        <v>-22.81</v>
      </c>
      <c r="Y1577" s="2">
        <v>-23.87</v>
      </c>
      <c r="Z1577" s="2">
        <v>-27.6</v>
      </c>
    </row>
    <row r="1578" spans="1:26" x14ac:dyDescent="0.25">
      <c r="A1578" s="1" t="s">
        <v>6547</v>
      </c>
      <c r="B1578" s="1" t="s">
        <v>6548</v>
      </c>
      <c r="C1578" s="1" t="s">
        <v>16</v>
      </c>
      <c r="D1578" s="1" t="s">
        <v>38</v>
      </c>
      <c r="E1578" s="1" t="s">
        <v>83</v>
      </c>
      <c r="F1578" s="1" t="s">
        <v>6549</v>
      </c>
      <c r="G1578" s="1" t="s">
        <v>12480</v>
      </c>
      <c r="H1578" s="1" t="s">
        <v>6550</v>
      </c>
      <c r="I1578" s="2">
        <v>23.2</v>
      </c>
      <c r="J1578" s="2">
        <v>1.76</v>
      </c>
      <c r="K1578" s="2">
        <v>1.81</v>
      </c>
      <c r="L1578" s="2">
        <v>1.88</v>
      </c>
      <c r="M1578" s="4">
        <f t="shared" si="144"/>
        <v>12.817679558011049</v>
      </c>
      <c r="N1578" s="4">
        <f t="shared" si="145"/>
        <v>12.340425531914894</v>
      </c>
      <c r="O1578" s="5">
        <f t="shared" si="146"/>
        <v>2.8409090909090828E-2</v>
      </c>
      <c r="P1578" s="5">
        <f t="shared" si="147"/>
        <v>3.8674033149171283E-2</v>
      </c>
      <c r="Q1578" s="4">
        <f t="shared" si="148"/>
        <v>4.511823204419902</v>
      </c>
      <c r="R1578" s="4">
        <f t="shared" si="149"/>
        <v>3.1908814589665644</v>
      </c>
      <c r="S1578" s="4">
        <v>5.0599999999999996</v>
      </c>
      <c r="T1578" s="2">
        <v>1.04</v>
      </c>
      <c r="U1578" s="2">
        <v>23.64</v>
      </c>
      <c r="V1578" s="2">
        <v>18.7</v>
      </c>
      <c r="W1578" s="2">
        <v>-1.53</v>
      </c>
      <c r="X1578" s="2">
        <v>6.62</v>
      </c>
      <c r="Y1578" s="2">
        <v>13.17</v>
      </c>
      <c r="Z1578" s="2">
        <v>14.45</v>
      </c>
    </row>
    <row r="1579" spans="1:26" x14ac:dyDescent="0.25">
      <c r="A1579" s="1" t="s">
        <v>6551</v>
      </c>
      <c r="B1579" s="1" t="s">
        <v>6552</v>
      </c>
      <c r="C1579" s="1" t="s">
        <v>31</v>
      </c>
      <c r="D1579" s="1" t="s">
        <v>88</v>
      </c>
      <c r="E1579" s="1" t="s">
        <v>6554</v>
      </c>
      <c r="F1579" s="1" t="s">
        <v>6553</v>
      </c>
      <c r="G1579" s="1" t="s">
        <v>12480</v>
      </c>
      <c r="H1579" s="1" t="s">
        <v>6555</v>
      </c>
      <c r="I1579" s="2">
        <v>6.83</v>
      </c>
      <c r="J1579" s="2">
        <v>0.86</v>
      </c>
      <c r="K1579" s="2"/>
      <c r="L1579" s="2"/>
      <c r="M1579" s="4" t="e">
        <f t="shared" si="144"/>
        <v>#DIV/0!</v>
      </c>
      <c r="N1579" s="4" t="e">
        <f t="shared" si="145"/>
        <v>#DIV/0!</v>
      </c>
      <c r="O1579" s="5">
        <f t="shared" si="146"/>
        <v>-1</v>
      </c>
      <c r="P1579" s="5" t="e">
        <f t="shared" si="147"/>
        <v>#DIV/0!</v>
      </c>
      <c r="Q1579" s="4" t="e">
        <f t="shared" si="148"/>
        <v>#DIV/0!</v>
      </c>
      <c r="R1579" s="4" t="e">
        <f t="shared" si="149"/>
        <v>#DIV/0!</v>
      </c>
      <c r="S1579" s="4">
        <v>4.84</v>
      </c>
      <c r="T1579" s="2">
        <v>0.97</v>
      </c>
      <c r="U1579" s="2">
        <v>8.23</v>
      </c>
      <c r="V1579" s="2">
        <v>4.78</v>
      </c>
      <c r="W1579" s="2">
        <v>-11.3</v>
      </c>
      <c r="X1579" s="2">
        <v>-15.37</v>
      </c>
      <c r="Y1579" s="2">
        <v>1.19</v>
      </c>
      <c r="Z1579" s="2">
        <v>-4.34</v>
      </c>
    </row>
    <row r="1580" spans="1:26" x14ac:dyDescent="0.25">
      <c r="A1580" s="1" t="s">
        <v>6556</v>
      </c>
      <c r="B1580" s="1" t="s">
        <v>6557</v>
      </c>
      <c r="C1580" s="1" t="s">
        <v>31</v>
      </c>
      <c r="D1580" s="1" t="s">
        <v>354</v>
      </c>
      <c r="E1580" s="1" t="s">
        <v>1537</v>
      </c>
      <c r="F1580" s="1" t="s">
        <v>6558</v>
      </c>
      <c r="G1580" s="1" t="s">
        <v>12480</v>
      </c>
      <c r="H1580" s="1" t="s">
        <v>6559</v>
      </c>
      <c r="I1580" s="2">
        <v>5.556</v>
      </c>
      <c r="J1580" s="2">
        <v>0.24</v>
      </c>
      <c r="K1580" s="2">
        <v>0.28000000000000003</v>
      </c>
      <c r="L1580" s="2">
        <v>0.31</v>
      </c>
      <c r="M1580" s="4">
        <f t="shared" si="144"/>
        <v>19.842857142857142</v>
      </c>
      <c r="N1580" s="4">
        <f t="shared" si="145"/>
        <v>17.92258064516129</v>
      </c>
      <c r="O1580" s="5">
        <f t="shared" si="146"/>
        <v>0.16666666666666674</v>
      </c>
      <c r="P1580" s="5">
        <f t="shared" si="147"/>
        <v>0.10714285714285698</v>
      </c>
      <c r="Q1580" s="4">
        <f t="shared" si="148"/>
        <v>1.1905714285714279</v>
      </c>
      <c r="R1580" s="4">
        <f t="shared" si="149"/>
        <v>1.6727741935483897</v>
      </c>
      <c r="S1580" s="4">
        <v>8.14</v>
      </c>
      <c r="T1580" s="2">
        <v>0.24</v>
      </c>
      <c r="U1580" s="2">
        <v>5.66</v>
      </c>
      <c r="V1580" s="2">
        <v>3.87</v>
      </c>
      <c r="W1580" s="2">
        <v>2.7</v>
      </c>
      <c r="X1580" s="2">
        <v>2.89</v>
      </c>
      <c r="Y1580" s="2">
        <v>19.739999999999998</v>
      </c>
      <c r="Z1580" s="2">
        <v>18.72</v>
      </c>
    </row>
    <row r="1581" spans="1:26" x14ac:dyDescent="0.25">
      <c r="A1581" s="1" t="s">
        <v>6556</v>
      </c>
      <c r="B1581" s="1" t="s">
        <v>6560</v>
      </c>
      <c r="C1581" s="1" t="s">
        <v>31</v>
      </c>
      <c r="D1581" s="1" t="s">
        <v>354</v>
      </c>
      <c r="E1581" s="1" t="s">
        <v>1537</v>
      </c>
      <c r="F1581" s="1" t="s">
        <v>6561</v>
      </c>
      <c r="G1581" s="1" t="s">
        <v>12480</v>
      </c>
      <c r="H1581" s="1" t="s">
        <v>6562</v>
      </c>
      <c r="I1581" s="2">
        <v>5.46</v>
      </c>
      <c r="J1581" s="2"/>
      <c r="K1581" s="2"/>
      <c r="L1581" s="2"/>
      <c r="M1581" s="4" t="e">
        <f t="shared" si="144"/>
        <v>#DIV/0!</v>
      </c>
      <c r="N1581" s="4" t="e">
        <f t="shared" si="145"/>
        <v>#DIV/0!</v>
      </c>
      <c r="O1581" s="5" t="e">
        <f t="shared" si="146"/>
        <v>#DIV/0!</v>
      </c>
      <c r="P1581" s="5" t="e">
        <f t="shared" si="147"/>
        <v>#DIV/0!</v>
      </c>
      <c r="Q1581" s="4" t="e">
        <f t="shared" si="148"/>
        <v>#DIV/0!</v>
      </c>
      <c r="R1581" s="4" t="e">
        <f t="shared" si="149"/>
        <v>#DIV/0!</v>
      </c>
      <c r="S1581" s="4">
        <v>2.79</v>
      </c>
      <c r="T1581" s="2">
        <v>0.27</v>
      </c>
      <c r="U1581" s="2">
        <v>5.62</v>
      </c>
      <c r="V1581" s="2">
        <v>3.91</v>
      </c>
      <c r="W1581" s="2">
        <v>-1.97</v>
      </c>
      <c r="X1581" s="2">
        <v>0.55000000000000004</v>
      </c>
      <c r="Y1581" s="2">
        <v>19.21</v>
      </c>
      <c r="Z1581" s="2">
        <v>15.43</v>
      </c>
    </row>
    <row r="1582" spans="1:26" x14ac:dyDescent="0.25">
      <c r="A1582" s="1" t="s">
        <v>6563</v>
      </c>
      <c r="B1582" s="1" t="s">
        <v>6564</v>
      </c>
      <c r="C1582" s="1" t="s">
        <v>16</v>
      </c>
      <c r="D1582" s="1" t="s">
        <v>38</v>
      </c>
      <c r="E1582" s="1" t="s">
        <v>101</v>
      </c>
      <c r="F1582" s="1" t="s">
        <v>6565</v>
      </c>
      <c r="G1582" s="1" t="s">
        <v>12480</v>
      </c>
      <c r="H1582" s="1" t="s">
        <v>6566</v>
      </c>
      <c r="I1582" s="2">
        <v>90.94</v>
      </c>
      <c r="J1582" s="2">
        <v>4.87</v>
      </c>
      <c r="K1582" s="2">
        <v>6.58</v>
      </c>
      <c r="L1582" s="2">
        <v>7.99</v>
      </c>
      <c r="M1582" s="4">
        <f t="shared" si="144"/>
        <v>13.820668693009118</v>
      </c>
      <c r="N1582" s="4">
        <f t="shared" si="145"/>
        <v>11.381727158948685</v>
      </c>
      <c r="O1582" s="5">
        <f t="shared" si="146"/>
        <v>0.35112936344969192</v>
      </c>
      <c r="P1582" s="5">
        <f t="shared" si="147"/>
        <v>0.21428571428571441</v>
      </c>
      <c r="Q1582" s="4">
        <f t="shared" si="148"/>
        <v>0.39360617856698488</v>
      </c>
      <c r="R1582" s="4">
        <f t="shared" si="149"/>
        <v>0.53114726741760498</v>
      </c>
      <c r="S1582" s="4">
        <v>-11.04</v>
      </c>
      <c r="T1582" s="2">
        <v>2.0099999999999998</v>
      </c>
      <c r="U1582" s="2">
        <v>152.16</v>
      </c>
      <c r="V1582" s="2">
        <v>87.68</v>
      </c>
      <c r="W1582" s="2">
        <v>0.36</v>
      </c>
      <c r="X1582" s="2">
        <v>-15.24</v>
      </c>
      <c r="Y1582" s="2">
        <v>-32.54</v>
      </c>
      <c r="Z1582" s="2">
        <v>-28.66</v>
      </c>
    </row>
    <row r="1583" spans="1:26" x14ac:dyDescent="0.25">
      <c r="A1583" s="1" t="s">
        <v>6567</v>
      </c>
      <c r="B1583" s="1" t="s">
        <v>6568</v>
      </c>
      <c r="C1583" s="1" t="s">
        <v>45</v>
      </c>
      <c r="D1583" s="1" t="s">
        <v>32</v>
      </c>
      <c r="E1583" s="1" t="s">
        <v>1607</v>
      </c>
      <c r="F1583" s="1" t="s">
        <v>6569</v>
      </c>
      <c r="G1583" s="1" t="s">
        <v>12502</v>
      </c>
      <c r="H1583" s="1" t="s">
        <v>3833</v>
      </c>
      <c r="I1583" s="2">
        <v>1429.1</v>
      </c>
      <c r="J1583" s="2">
        <v>33.28</v>
      </c>
      <c r="K1583" s="2">
        <v>36.630000000000003</v>
      </c>
      <c r="L1583" s="2">
        <v>46.38</v>
      </c>
      <c r="M1583" s="4">
        <f t="shared" si="144"/>
        <v>39.014469014469007</v>
      </c>
      <c r="N1583" s="4">
        <f t="shared" si="145"/>
        <v>30.812850366537297</v>
      </c>
      <c r="O1583" s="5">
        <f t="shared" si="146"/>
        <v>0.10066105769230771</v>
      </c>
      <c r="P1583" s="5">
        <f t="shared" si="147"/>
        <v>0.2661752661752661</v>
      </c>
      <c r="Q1583" s="4">
        <f t="shared" si="148"/>
        <v>3.87582545910904</v>
      </c>
      <c r="R1583" s="4">
        <f t="shared" si="149"/>
        <v>1.1576150860782168</v>
      </c>
      <c r="S1583" s="4">
        <v>23.89</v>
      </c>
      <c r="T1583" s="2">
        <v>1.45</v>
      </c>
      <c r="U1583" s="2">
        <v>1684.71</v>
      </c>
      <c r="V1583" s="2">
        <v>576.53</v>
      </c>
      <c r="W1583" s="2">
        <v>-6.9</v>
      </c>
      <c r="X1583" s="2">
        <v>-0.77</v>
      </c>
      <c r="Y1583" s="2">
        <v>16.649999999999999</v>
      </c>
      <c r="Z1583" s="2">
        <v>17.61</v>
      </c>
    </row>
    <row r="1584" spans="1:26" x14ac:dyDescent="0.25">
      <c r="A1584" s="1" t="s">
        <v>6570</v>
      </c>
      <c r="B1584" s="1" t="s">
        <v>6571</v>
      </c>
      <c r="C1584" s="1" t="s">
        <v>16</v>
      </c>
      <c r="D1584" s="1" t="s">
        <v>140</v>
      </c>
      <c r="E1584" s="1" t="s">
        <v>1555</v>
      </c>
      <c r="F1584" s="1" t="s">
        <v>6572</v>
      </c>
      <c r="G1584" s="1" t="s">
        <v>12480</v>
      </c>
      <c r="H1584" s="1" t="s">
        <v>6573</v>
      </c>
      <c r="I1584" s="2">
        <v>14.44</v>
      </c>
      <c r="J1584" s="2">
        <v>-0.79</v>
      </c>
      <c r="K1584" s="2">
        <v>-0.12</v>
      </c>
      <c r="L1584" s="2">
        <v>0.8</v>
      </c>
      <c r="M1584" s="4">
        <f t="shared" si="144"/>
        <v>-120.33333333333333</v>
      </c>
      <c r="N1584" s="4">
        <f t="shared" si="145"/>
        <v>18.049999999999997</v>
      </c>
      <c r="O1584" s="5">
        <f t="shared" si="146"/>
        <v>-0.84810126582278489</v>
      </c>
      <c r="P1584" s="5">
        <f t="shared" si="147"/>
        <v>-7.666666666666667</v>
      </c>
      <c r="Q1584" s="4">
        <f t="shared" si="148"/>
        <v>1.4188557213930346</v>
      </c>
      <c r="R1584" s="4">
        <f t="shared" si="149"/>
        <v>-2.3543478260869558E-2</v>
      </c>
      <c r="S1584" s="4">
        <v>24.83</v>
      </c>
      <c r="T1584" s="2"/>
      <c r="U1584" s="2">
        <v>45.82</v>
      </c>
      <c r="V1584" s="2">
        <v>12.82</v>
      </c>
      <c r="W1584" s="2">
        <v>8.9</v>
      </c>
      <c r="X1584" s="2">
        <v>-29.11</v>
      </c>
      <c r="Y1584" s="2">
        <v>-52.26</v>
      </c>
      <c r="Z1584" s="2">
        <v>-50.05</v>
      </c>
    </row>
    <row r="1585" spans="1:26" x14ac:dyDescent="0.25">
      <c r="A1585" s="1" t="s">
        <v>6574</v>
      </c>
      <c r="B1585" s="1" t="s">
        <v>6575</v>
      </c>
      <c r="C1585" s="1" t="s">
        <v>31</v>
      </c>
      <c r="D1585" s="1" t="s">
        <v>88</v>
      </c>
      <c r="E1585" s="1" t="s">
        <v>6156</v>
      </c>
      <c r="F1585" s="1" t="s">
        <v>6576</v>
      </c>
      <c r="G1585" s="1" t="s">
        <v>12480</v>
      </c>
      <c r="H1585" s="1" t="s">
        <v>6577</v>
      </c>
      <c r="I1585" s="2">
        <v>7.59</v>
      </c>
      <c r="J1585" s="2">
        <v>0.41</v>
      </c>
      <c r="K1585" s="2">
        <v>0.85</v>
      </c>
      <c r="L1585" s="2">
        <v>0.82</v>
      </c>
      <c r="M1585" s="4">
        <f t="shared" si="144"/>
        <v>8.9294117647058826</v>
      </c>
      <c r="N1585" s="4">
        <f t="shared" si="145"/>
        <v>9.2560975609756095</v>
      </c>
      <c r="O1585" s="5">
        <f t="shared" si="146"/>
        <v>1.0731707317073171</v>
      </c>
      <c r="P1585" s="5">
        <f t="shared" si="147"/>
        <v>-3.5294117647058809E-2</v>
      </c>
      <c r="Q1585" s="4">
        <f t="shared" si="148"/>
        <v>8.3205882352941171E-2</v>
      </c>
      <c r="R1585" s="4">
        <f t="shared" si="149"/>
        <v>-2.622560975609757</v>
      </c>
      <c r="S1585" s="4">
        <v>1.72</v>
      </c>
      <c r="T1585" s="2">
        <v>0.74</v>
      </c>
      <c r="U1585" s="2">
        <v>9.65</v>
      </c>
      <c r="V1585" s="2">
        <v>5.53</v>
      </c>
      <c r="W1585" s="2">
        <v>-6.53</v>
      </c>
      <c r="X1585" s="2">
        <v>-0.78</v>
      </c>
      <c r="Y1585" s="2">
        <v>6.47</v>
      </c>
      <c r="Z1585" s="2">
        <v>11.13</v>
      </c>
    </row>
    <row r="1586" spans="1:26" x14ac:dyDescent="0.25">
      <c r="A1586" s="1" t="s">
        <v>6578</v>
      </c>
      <c r="B1586" s="1" t="s">
        <v>6579</v>
      </c>
      <c r="C1586" s="1" t="s">
        <v>45</v>
      </c>
      <c r="D1586" s="1" t="s">
        <v>32</v>
      </c>
      <c r="E1586" s="1" t="s">
        <v>226</v>
      </c>
      <c r="F1586" s="1" t="s">
        <v>6580</v>
      </c>
      <c r="G1586" s="1" t="s">
        <v>12485</v>
      </c>
      <c r="H1586" s="1" t="s">
        <v>6581</v>
      </c>
      <c r="I1586" s="2">
        <v>65.45</v>
      </c>
      <c r="J1586" s="2">
        <v>0.21</v>
      </c>
      <c r="K1586" s="2">
        <v>2.68</v>
      </c>
      <c r="L1586" s="2">
        <v>3.37</v>
      </c>
      <c r="M1586" s="4">
        <f t="shared" si="144"/>
        <v>24.421641791044777</v>
      </c>
      <c r="N1586" s="4">
        <f t="shared" si="145"/>
        <v>19.421364985163205</v>
      </c>
      <c r="O1586" s="5">
        <f t="shared" si="146"/>
        <v>11.761904761904763</v>
      </c>
      <c r="P1586" s="5">
        <f t="shared" si="147"/>
        <v>0.25746268656716409</v>
      </c>
      <c r="Q1586" s="4">
        <f t="shared" si="148"/>
        <v>2.076333917457248E-2</v>
      </c>
      <c r="R1586" s="4">
        <f t="shared" si="149"/>
        <v>0.75433707478604939</v>
      </c>
      <c r="S1586" s="4">
        <v>-7.38</v>
      </c>
      <c r="T1586" s="2">
        <v>1.58</v>
      </c>
      <c r="U1586" s="2">
        <v>74.87</v>
      </c>
      <c r="V1586" s="2">
        <v>27.65</v>
      </c>
      <c r="W1586" s="2">
        <v>-6.86</v>
      </c>
      <c r="X1586" s="2">
        <v>-10.24</v>
      </c>
      <c r="Y1586" s="2">
        <v>36.9</v>
      </c>
      <c r="Z1586" s="2">
        <v>43.66</v>
      </c>
    </row>
    <row r="1587" spans="1:26" x14ac:dyDescent="0.25">
      <c r="A1587" s="1" t="s">
        <v>6583</v>
      </c>
      <c r="B1587" s="1" t="s">
        <v>6584</v>
      </c>
      <c r="C1587" s="1" t="s">
        <v>31</v>
      </c>
      <c r="D1587" s="1" t="s">
        <v>94</v>
      </c>
      <c r="E1587" s="1" t="s">
        <v>1542</v>
      </c>
      <c r="F1587" s="1" t="s">
        <v>6585</v>
      </c>
      <c r="G1587" s="1" t="s">
        <v>12480</v>
      </c>
      <c r="H1587" s="1" t="s">
        <v>6586</v>
      </c>
      <c r="I1587" s="2">
        <v>10.89</v>
      </c>
      <c r="J1587" s="2">
        <v>1.02</v>
      </c>
      <c r="K1587" s="2">
        <v>1.04</v>
      </c>
      <c r="L1587" s="2">
        <v>1.1000000000000001</v>
      </c>
      <c r="M1587" s="4">
        <f t="shared" si="144"/>
        <v>10.471153846153847</v>
      </c>
      <c r="N1587" s="4">
        <f t="shared" si="145"/>
        <v>9.9</v>
      </c>
      <c r="O1587" s="5">
        <f t="shared" si="146"/>
        <v>1.9607843137254832E-2</v>
      </c>
      <c r="P1587" s="5">
        <f t="shared" si="147"/>
        <v>5.7692307692307709E-2</v>
      </c>
      <c r="Q1587" s="4">
        <f t="shared" si="148"/>
        <v>5.3402884615384805</v>
      </c>
      <c r="R1587" s="4">
        <f t="shared" si="149"/>
        <v>1.7159999999999995</v>
      </c>
      <c r="S1587" s="4">
        <v>3.69</v>
      </c>
      <c r="T1587" s="2">
        <v>0.02</v>
      </c>
      <c r="U1587" s="2">
        <v>11.69</v>
      </c>
      <c r="V1587" s="2">
        <v>8.39</v>
      </c>
      <c r="W1587" s="2">
        <v>7.96</v>
      </c>
      <c r="X1587" s="2">
        <v>6.24</v>
      </c>
      <c r="Y1587" s="2">
        <v>19.670000000000002</v>
      </c>
      <c r="Z1587" s="2">
        <v>10.11</v>
      </c>
    </row>
    <row r="1588" spans="1:26" x14ac:dyDescent="0.25">
      <c r="A1588" s="1" t="s">
        <v>6587</v>
      </c>
      <c r="B1588" s="1" t="s">
        <v>6588</v>
      </c>
      <c r="C1588" s="1" t="s">
        <v>45</v>
      </c>
      <c r="D1588" s="1" t="s">
        <v>128</v>
      </c>
      <c r="E1588" s="1" t="s">
        <v>210</v>
      </c>
      <c r="F1588" s="1" t="s">
        <v>6589</v>
      </c>
      <c r="G1588" s="1" t="s">
        <v>12480</v>
      </c>
      <c r="H1588" s="1" t="s">
        <v>6590</v>
      </c>
      <c r="I1588" s="2">
        <v>102.85</v>
      </c>
      <c r="J1588" s="2">
        <v>7.53</v>
      </c>
      <c r="K1588" s="2">
        <v>7.35</v>
      </c>
      <c r="L1588" s="2">
        <v>7.67</v>
      </c>
      <c r="M1588" s="4">
        <f t="shared" si="144"/>
        <v>13.993197278911564</v>
      </c>
      <c r="N1588" s="4">
        <f t="shared" si="145"/>
        <v>13.409387222946544</v>
      </c>
      <c r="O1588" s="5">
        <f t="shared" si="146"/>
        <v>-2.3904382470119612E-2</v>
      </c>
      <c r="P1588" s="5">
        <f t="shared" si="147"/>
        <v>4.3537414965986398E-2</v>
      </c>
      <c r="Q1588" s="4">
        <f t="shared" si="148"/>
        <v>-5.8538208616779821</v>
      </c>
      <c r="R1588" s="4">
        <f t="shared" si="149"/>
        <v>3.0799686277705338</v>
      </c>
      <c r="S1588" s="4" t="s">
        <v>12551</v>
      </c>
      <c r="T1588" s="2">
        <v>0.24</v>
      </c>
      <c r="U1588" s="2">
        <v>147.4</v>
      </c>
      <c r="V1588" s="2">
        <v>97.56</v>
      </c>
      <c r="W1588" s="2">
        <v>-6.28</v>
      </c>
      <c r="X1588" s="2">
        <v>-1.77</v>
      </c>
      <c r="Y1588" s="2">
        <v>0.05</v>
      </c>
      <c r="Z1588" s="2">
        <v>1.94</v>
      </c>
    </row>
    <row r="1589" spans="1:26" x14ac:dyDescent="0.25">
      <c r="A1589" s="1" t="s">
        <v>6591</v>
      </c>
      <c r="B1589" s="1" t="s">
        <v>6592</v>
      </c>
      <c r="C1589" s="1" t="s">
        <v>16</v>
      </c>
      <c r="D1589" s="1" t="s">
        <v>94</v>
      </c>
      <c r="E1589" s="1" t="s">
        <v>4079</v>
      </c>
      <c r="F1589" s="1" t="s">
        <v>6593</v>
      </c>
      <c r="G1589" s="1" t="s">
        <v>12480</v>
      </c>
      <c r="H1589" s="1" t="s">
        <v>6594</v>
      </c>
      <c r="I1589" s="2">
        <v>33.299999999999997</v>
      </c>
      <c r="J1589" s="2">
        <v>1.3</v>
      </c>
      <c r="K1589" s="2">
        <v>1.39</v>
      </c>
      <c r="L1589" s="2">
        <v>1.48</v>
      </c>
      <c r="M1589" s="4">
        <f t="shared" si="144"/>
        <v>23.956834532374099</v>
      </c>
      <c r="N1589" s="4">
        <f t="shared" si="145"/>
        <v>22.5</v>
      </c>
      <c r="O1589" s="5">
        <f t="shared" si="146"/>
        <v>6.9230769230769207E-2</v>
      </c>
      <c r="P1589" s="5">
        <f t="shared" si="147"/>
        <v>6.4748201438848962E-2</v>
      </c>
      <c r="Q1589" s="4">
        <f t="shared" si="148"/>
        <v>3.4604316546762601</v>
      </c>
      <c r="R1589" s="4">
        <f t="shared" si="149"/>
        <v>3.4749999999999979</v>
      </c>
      <c r="S1589" s="4">
        <v>12.17</v>
      </c>
      <c r="T1589" s="2">
        <v>0.68</v>
      </c>
      <c r="U1589" s="2">
        <v>33.96</v>
      </c>
      <c r="V1589" s="2">
        <v>25.21</v>
      </c>
      <c r="W1589" s="2">
        <v>-1.74</v>
      </c>
      <c r="X1589" s="2">
        <v>7.45</v>
      </c>
      <c r="Y1589" s="2">
        <v>24.63</v>
      </c>
      <c r="Z1589" s="2">
        <v>21.14</v>
      </c>
    </row>
    <row r="1590" spans="1:26" x14ac:dyDescent="0.25">
      <c r="A1590" s="1" t="s">
        <v>6595</v>
      </c>
      <c r="B1590" s="1" t="s">
        <v>6596</v>
      </c>
      <c r="C1590" s="1" t="s">
        <v>16</v>
      </c>
      <c r="D1590" s="1" t="s">
        <v>38</v>
      </c>
      <c r="E1590" s="1" t="s">
        <v>254</v>
      </c>
      <c r="F1590" s="1" t="s">
        <v>6597</v>
      </c>
      <c r="G1590" s="1" t="s">
        <v>12480</v>
      </c>
      <c r="H1590" s="1" t="s">
        <v>2031</v>
      </c>
      <c r="I1590" s="2">
        <v>30.5</v>
      </c>
      <c r="J1590" s="2">
        <v>3.6</v>
      </c>
      <c r="K1590" s="2">
        <v>3.95</v>
      </c>
      <c r="L1590" s="2">
        <v>5.22</v>
      </c>
      <c r="M1590" s="4">
        <f t="shared" si="144"/>
        <v>7.7215189873417716</v>
      </c>
      <c r="N1590" s="4">
        <f t="shared" si="145"/>
        <v>5.842911877394636</v>
      </c>
      <c r="O1590" s="5">
        <f t="shared" si="146"/>
        <v>9.7222222222222321E-2</v>
      </c>
      <c r="P1590" s="5">
        <f t="shared" si="147"/>
        <v>0.32151898734177209</v>
      </c>
      <c r="Q1590" s="4">
        <f t="shared" si="148"/>
        <v>0.79421338155515286</v>
      </c>
      <c r="R1590" s="4">
        <f t="shared" si="149"/>
        <v>0.18172836154101429</v>
      </c>
      <c r="S1590" s="4">
        <v>3.26</v>
      </c>
      <c r="T1590" s="2">
        <v>1.1599999999999999</v>
      </c>
      <c r="U1590" s="2">
        <v>68.8</v>
      </c>
      <c r="V1590" s="2">
        <v>30.5</v>
      </c>
      <c r="W1590" s="2">
        <v>-6.07</v>
      </c>
      <c r="X1590" s="2">
        <v>-10.56</v>
      </c>
      <c r="Y1590" s="2">
        <v>-25.92</v>
      </c>
      <c r="Z1590" s="2">
        <v>-24.77</v>
      </c>
    </row>
    <row r="1591" spans="1:26" x14ac:dyDescent="0.25">
      <c r="A1591" s="1" t="s">
        <v>6598</v>
      </c>
      <c r="B1591" s="1" t="s">
        <v>6599</v>
      </c>
      <c r="C1591" s="1" t="s">
        <v>16</v>
      </c>
      <c r="D1591" s="1" t="s">
        <v>25</v>
      </c>
      <c r="E1591" s="1" t="s">
        <v>743</v>
      </c>
      <c r="F1591" s="1" t="s">
        <v>6600</v>
      </c>
      <c r="G1591" s="1" t="s">
        <v>12502</v>
      </c>
      <c r="H1591" s="1" t="s">
        <v>6601</v>
      </c>
      <c r="I1591" s="2">
        <v>38.22</v>
      </c>
      <c r="J1591" s="2">
        <v>1.34</v>
      </c>
      <c r="K1591" s="2">
        <v>2.23</v>
      </c>
      <c r="L1591" s="2">
        <v>2.39</v>
      </c>
      <c r="M1591" s="4">
        <f t="shared" si="144"/>
        <v>17.139013452914799</v>
      </c>
      <c r="N1591" s="4">
        <f t="shared" si="145"/>
        <v>15.991631799163178</v>
      </c>
      <c r="O1591" s="5">
        <f t="shared" si="146"/>
        <v>0.66417910447761175</v>
      </c>
      <c r="P1591" s="5">
        <f t="shared" si="147"/>
        <v>7.1748878923766801E-2</v>
      </c>
      <c r="Q1591" s="4">
        <f t="shared" si="148"/>
        <v>0.25804806771804312</v>
      </c>
      <c r="R1591" s="4">
        <f t="shared" si="149"/>
        <v>2.2288336820083683</v>
      </c>
      <c r="S1591" s="4">
        <v>-3.91</v>
      </c>
      <c r="T1591" s="2">
        <v>1.47</v>
      </c>
      <c r="U1591" s="2">
        <v>41.78</v>
      </c>
      <c r="V1591" s="2">
        <v>17.54</v>
      </c>
      <c r="W1591" s="2">
        <v>-6.8</v>
      </c>
      <c r="X1591" s="2">
        <v>-6.12</v>
      </c>
      <c r="Y1591" s="2">
        <v>31.2</v>
      </c>
      <c r="Z1591" s="2">
        <v>34.53</v>
      </c>
    </row>
    <row r="1592" spans="1:26" x14ac:dyDescent="0.25">
      <c r="A1592" s="1" t="s">
        <v>6602</v>
      </c>
      <c r="B1592" s="1" t="s">
        <v>3991</v>
      </c>
      <c r="C1592" s="1" t="s">
        <v>6604</v>
      </c>
      <c r="D1592" s="1" t="s">
        <v>24</v>
      </c>
      <c r="E1592" s="1" t="s">
        <v>18</v>
      </c>
      <c r="F1592" s="1" t="s">
        <v>6603</v>
      </c>
      <c r="G1592" s="1" t="s">
        <v>19</v>
      </c>
      <c r="H1592" s="1" t="s">
        <v>12513</v>
      </c>
      <c r="I1592" s="2">
        <v>14.46</v>
      </c>
      <c r="J1592" s="2" t="s">
        <v>12514</v>
      </c>
      <c r="K1592" s="2">
        <v>-5.01</v>
      </c>
      <c r="L1592" s="2">
        <v>-2.3199999999999998</v>
      </c>
      <c r="M1592" s="4">
        <f t="shared" si="144"/>
        <v>-2.88622754491018</v>
      </c>
      <c r="N1592" s="4">
        <f t="shared" si="145"/>
        <v>-6.2327586206896557</v>
      </c>
      <c r="O1592" s="5">
        <f t="shared" si="146"/>
        <v>-1.0000247402520444</v>
      </c>
      <c r="P1592" s="5">
        <f t="shared" si="147"/>
        <v>-0.53692614770459079</v>
      </c>
      <c r="Q1592" s="4">
        <f t="shared" si="148"/>
        <v>2.8861561406798204E-2</v>
      </c>
      <c r="R1592" s="4">
        <f t="shared" si="149"/>
        <v>0.11608223304704526</v>
      </c>
      <c r="S1592" s="4">
        <v>-2.12</v>
      </c>
      <c r="T1592" s="2">
        <v>23.44</v>
      </c>
      <c r="U1592" s="2">
        <v>58.35</v>
      </c>
      <c r="V1592" s="2">
        <v>28.01</v>
      </c>
      <c r="W1592" s="2"/>
      <c r="X1592" s="2">
        <v>3.03</v>
      </c>
      <c r="Y1592" s="2">
        <v>-12.54</v>
      </c>
      <c r="Z1592" s="2">
        <v>-11.48</v>
      </c>
    </row>
    <row r="1593" spans="1:26" x14ac:dyDescent="0.25">
      <c r="A1593" s="1" t="s">
        <v>6605</v>
      </c>
      <c r="B1593" s="1" t="s">
        <v>6606</v>
      </c>
      <c r="C1593" s="1" t="s">
        <v>31</v>
      </c>
      <c r="D1593" s="1" t="s">
        <v>25</v>
      </c>
      <c r="E1593" s="1" t="s">
        <v>1148</v>
      </c>
      <c r="F1593" s="1" t="s">
        <v>6607</v>
      </c>
      <c r="G1593" s="1" t="s">
        <v>12490</v>
      </c>
      <c r="H1593" s="1" t="s">
        <v>6608</v>
      </c>
      <c r="I1593" s="2">
        <v>43.01</v>
      </c>
      <c r="J1593" s="2">
        <v>3.11</v>
      </c>
      <c r="K1593" s="2">
        <v>2.5</v>
      </c>
      <c r="L1593" s="2">
        <v>2.73</v>
      </c>
      <c r="M1593" s="4">
        <f t="shared" si="144"/>
        <v>17.204000000000001</v>
      </c>
      <c r="N1593" s="4">
        <f t="shared" si="145"/>
        <v>15.754578754578754</v>
      </c>
      <c r="O1593" s="5">
        <f t="shared" si="146"/>
        <v>-0.19614147909967838</v>
      </c>
      <c r="P1593" s="5">
        <f t="shared" si="147"/>
        <v>9.2000000000000082E-2</v>
      </c>
      <c r="Q1593" s="4">
        <f t="shared" si="148"/>
        <v>-0.87712196721311519</v>
      </c>
      <c r="R1593" s="4">
        <f t="shared" si="149"/>
        <v>1.7124542124542108</v>
      </c>
      <c r="S1593" s="4">
        <v>0.67</v>
      </c>
      <c r="T1593" s="2">
        <v>0.97</v>
      </c>
      <c r="U1593" s="2">
        <v>51.09</v>
      </c>
      <c r="V1593" s="2">
        <v>25.61</v>
      </c>
      <c r="W1593" s="2">
        <v>-9.8699999999999992</v>
      </c>
      <c r="X1593" s="2">
        <v>-11.1</v>
      </c>
      <c r="Y1593" s="2">
        <v>33.36</v>
      </c>
      <c r="Z1593" s="2">
        <v>35.47</v>
      </c>
    </row>
    <row r="1594" spans="1:26" x14ac:dyDescent="0.25">
      <c r="A1594" s="1" t="s">
        <v>6609</v>
      </c>
      <c r="B1594" s="1" t="s">
        <v>6610</v>
      </c>
      <c r="C1594" s="1" t="s">
        <v>16</v>
      </c>
      <c r="D1594" s="1" t="s">
        <v>67</v>
      </c>
      <c r="E1594" s="1" t="s">
        <v>68</v>
      </c>
      <c r="F1594" s="1" t="s">
        <v>6611</v>
      </c>
      <c r="G1594" s="1" t="s">
        <v>12487</v>
      </c>
      <c r="H1594" s="1" t="s">
        <v>6612</v>
      </c>
      <c r="I1594" s="2">
        <v>42.5</v>
      </c>
      <c r="J1594" s="2">
        <v>3.27</v>
      </c>
      <c r="K1594" s="2">
        <v>2.77</v>
      </c>
      <c r="L1594" s="2">
        <v>2.72</v>
      </c>
      <c r="M1594" s="4">
        <f t="shared" si="144"/>
        <v>15.342960288808664</v>
      </c>
      <c r="N1594" s="4">
        <f t="shared" si="145"/>
        <v>15.624999999999998</v>
      </c>
      <c r="O1594" s="5">
        <f t="shared" si="146"/>
        <v>-0.15290519877675846</v>
      </c>
      <c r="P1594" s="5">
        <f t="shared" si="147"/>
        <v>-1.8050541516245411E-2</v>
      </c>
      <c r="Q1594" s="4">
        <f t="shared" si="148"/>
        <v>-1.0034296028880865</v>
      </c>
      <c r="R1594" s="4">
        <f t="shared" si="149"/>
        <v>-8.6562500000000355</v>
      </c>
      <c r="S1594" s="4">
        <v>-0.69</v>
      </c>
      <c r="T1594" s="2">
        <v>1.35</v>
      </c>
      <c r="U1594" s="2">
        <v>82.77</v>
      </c>
      <c r="V1594" s="2">
        <v>30.88</v>
      </c>
      <c r="W1594" s="2">
        <v>1.65</v>
      </c>
      <c r="X1594" s="2">
        <v>-8.52</v>
      </c>
      <c r="Y1594" s="2">
        <v>3.86</v>
      </c>
      <c r="Z1594" s="2">
        <v>9.99</v>
      </c>
    </row>
    <row r="1595" spans="1:26" x14ac:dyDescent="0.25">
      <c r="A1595" s="1" t="s">
        <v>6613</v>
      </c>
      <c r="B1595" s="1" t="s">
        <v>6614</v>
      </c>
      <c r="C1595" s="1" t="s">
        <v>16</v>
      </c>
      <c r="D1595" s="1" t="s">
        <v>32</v>
      </c>
      <c r="E1595" s="1" t="s">
        <v>1572</v>
      </c>
      <c r="F1595" s="1" t="s">
        <v>6615</v>
      </c>
      <c r="G1595" s="1" t="s">
        <v>12480</v>
      </c>
      <c r="H1595" s="1" t="s">
        <v>6616</v>
      </c>
      <c r="I1595" s="2">
        <v>25.13</v>
      </c>
      <c r="J1595" s="2">
        <v>1.1100000000000001</v>
      </c>
      <c r="K1595" s="2">
        <v>1.25</v>
      </c>
      <c r="L1595" s="2">
        <v>1.4</v>
      </c>
      <c r="M1595" s="4">
        <f t="shared" si="144"/>
        <v>20.103999999999999</v>
      </c>
      <c r="N1595" s="4">
        <f t="shared" si="145"/>
        <v>17.95</v>
      </c>
      <c r="O1595" s="5">
        <f t="shared" si="146"/>
        <v>0.12612612612612595</v>
      </c>
      <c r="P1595" s="5">
        <f t="shared" si="147"/>
        <v>0.11999999999999988</v>
      </c>
      <c r="Q1595" s="4">
        <f t="shared" si="148"/>
        <v>1.5939600000000023</v>
      </c>
      <c r="R1595" s="4">
        <f t="shared" si="149"/>
        <v>1.4958333333333347</v>
      </c>
      <c r="S1595" s="4">
        <v>7.17</v>
      </c>
      <c r="T1595" s="2">
        <v>1.49</v>
      </c>
      <c r="U1595" s="2">
        <v>28.48</v>
      </c>
      <c r="V1595" s="2">
        <v>12.76</v>
      </c>
      <c r="W1595" s="2">
        <v>-8.9499999999999993</v>
      </c>
      <c r="X1595" s="2">
        <v>-7.75</v>
      </c>
      <c r="Y1595" s="2">
        <v>11.74</v>
      </c>
      <c r="Z1595" s="2">
        <v>17.27</v>
      </c>
    </row>
    <row r="1596" spans="1:26" x14ac:dyDescent="0.25">
      <c r="A1596" s="1" t="s">
        <v>6617</v>
      </c>
      <c r="B1596" s="1" t="s">
        <v>6618</v>
      </c>
      <c r="C1596" s="1" t="s">
        <v>31</v>
      </c>
      <c r="D1596" s="1" t="s">
        <v>128</v>
      </c>
      <c r="E1596" s="1" t="s">
        <v>129</v>
      </c>
      <c r="F1596" s="1" t="s">
        <v>6619</v>
      </c>
      <c r="G1596" s="1" t="s">
        <v>12480</v>
      </c>
      <c r="H1596" s="1" t="s">
        <v>6620</v>
      </c>
      <c r="I1596" s="2">
        <v>16.579999999999998</v>
      </c>
      <c r="J1596" s="2">
        <v>1.22</v>
      </c>
      <c r="K1596" s="2">
        <v>1.3</v>
      </c>
      <c r="L1596" s="2">
        <v>1.39</v>
      </c>
      <c r="M1596" s="4">
        <f t="shared" si="144"/>
        <v>12.753846153846153</v>
      </c>
      <c r="N1596" s="4">
        <f t="shared" si="145"/>
        <v>11.928057553956835</v>
      </c>
      <c r="O1596" s="5">
        <f t="shared" si="146"/>
        <v>6.5573770491803351E-2</v>
      </c>
      <c r="P1596" s="5">
        <f t="shared" si="147"/>
        <v>6.9230769230769207E-2</v>
      </c>
      <c r="Q1596" s="4">
        <f t="shared" si="148"/>
        <v>1.9449615384615362</v>
      </c>
      <c r="R1596" s="4">
        <f t="shared" si="149"/>
        <v>1.7229416466826546</v>
      </c>
      <c r="S1596" s="4">
        <v>5.24</v>
      </c>
      <c r="T1596" s="2">
        <v>-0.11</v>
      </c>
      <c r="U1596" s="2">
        <v>17.78</v>
      </c>
      <c r="V1596" s="2">
        <v>13.25</v>
      </c>
      <c r="W1596" s="2" t="s">
        <v>12494</v>
      </c>
      <c r="X1596" s="2">
        <v>5.61</v>
      </c>
      <c r="Y1596" s="2">
        <v>7.87</v>
      </c>
      <c r="Z1596" s="2">
        <v>10.09</v>
      </c>
    </row>
    <row r="1597" spans="1:26" x14ac:dyDescent="0.25">
      <c r="A1597" s="1" t="s">
        <v>6621</v>
      </c>
      <c r="B1597" s="1" t="s">
        <v>6622</v>
      </c>
      <c r="C1597" s="1" t="s">
        <v>31</v>
      </c>
      <c r="D1597" s="1" t="s">
        <v>32</v>
      </c>
      <c r="E1597" s="1" t="s">
        <v>6624</v>
      </c>
      <c r="F1597" s="1" t="s">
        <v>6623</v>
      </c>
      <c r="G1597" s="1" t="s">
        <v>12490</v>
      </c>
      <c r="H1597" s="1" t="s">
        <v>6625</v>
      </c>
      <c r="I1597" s="2">
        <v>7.74</v>
      </c>
      <c r="J1597" s="2">
        <v>-2.4500000000000002</v>
      </c>
      <c r="K1597" s="2">
        <v>0.89</v>
      </c>
      <c r="L1597" s="2">
        <v>0.74</v>
      </c>
      <c r="M1597" s="4">
        <f t="shared" si="144"/>
        <v>8.6966292134831455</v>
      </c>
      <c r="N1597" s="4">
        <f t="shared" si="145"/>
        <v>10.45945945945946</v>
      </c>
      <c r="O1597" s="5">
        <f t="shared" si="146"/>
        <v>-1.3632653061224489</v>
      </c>
      <c r="P1597" s="5">
        <f t="shared" si="147"/>
        <v>-0.1685393258426966</v>
      </c>
      <c r="Q1597" s="4">
        <f t="shared" si="148"/>
        <v>-6.3792639440220691E-2</v>
      </c>
      <c r="R1597" s="4">
        <f t="shared" si="149"/>
        <v>-0.62059459459459465</v>
      </c>
      <c r="S1597" s="4">
        <v>-7.82</v>
      </c>
      <c r="T1597" s="2">
        <v>0.61</v>
      </c>
      <c r="U1597" s="2">
        <v>8.92</v>
      </c>
      <c r="V1597" s="2">
        <v>5.16</v>
      </c>
      <c r="W1597" s="2" t="s">
        <v>12489</v>
      </c>
      <c r="X1597" s="2" t="s">
        <v>12489</v>
      </c>
      <c r="Y1597" s="2">
        <v>-13.17</v>
      </c>
      <c r="Z1597" s="2">
        <v>-13.23</v>
      </c>
    </row>
    <row r="1598" spans="1:26" x14ac:dyDescent="0.25">
      <c r="A1598" s="1" t="s">
        <v>6626</v>
      </c>
      <c r="B1598" s="1" t="s">
        <v>6627</v>
      </c>
      <c r="C1598" s="1" t="s">
        <v>16</v>
      </c>
      <c r="D1598" s="1" t="s">
        <v>61</v>
      </c>
      <c r="E1598" s="1" t="s">
        <v>170</v>
      </c>
      <c r="F1598" s="1" t="s">
        <v>6628</v>
      </c>
      <c r="G1598" s="1" t="s">
        <v>12480</v>
      </c>
      <c r="H1598" s="1" t="s">
        <v>5269</v>
      </c>
      <c r="I1598" s="2">
        <v>81.5</v>
      </c>
      <c r="J1598" s="2">
        <v>2.76</v>
      </c>
      <c r="K1598" s="2">
        <v>3.21</v>
      </c>
      <c r="L1598" s="2">
        <v>3.65</v>
      </c>
      <c r="M1598" s="4">
        <f t="shared" si="144"/>
        <v>25.389408099688474</v>
      </c>
      <c r="N1598" s="4">
        <f t="shared" si="145"/>
        <v>22.328767123287673</v>
      </c>
      <c r="O1598" s="5">
        <f t="shared" si="146"/>
        <v>0.16304347826086962</v>
      </c>
      <c r="P1598" s="5">
        <f t="shared" si="147"/>
        <v>0.13707165109034269</v>
      </c>
      <c r="Q1598" s="4">
        <f t="shared" si="148"/>
        <v>1.5572170301142261</v>
      </c>
      <c r="R1598" s="4">
        <f t="shared" si="149"/>
        <v>1.6289850560398504</v>
      </c>
      <c r="S1598" s="4">
        <v>8.52</v>
      </c>
      <c r="T1598" s="2">
        <v>0.27</v>
      </c>
      <c r="U1598" s="2">
        <v>102.89</v>
      </c>
      <c r="V1598" s="2">
        <v>59.93</v>
      </c>
      <c r="W1598" s="2">
        <v>-8.1999999999999993</v>
      </c>
      <c r="X1598" s="2">
        <v>3.87</v>
      </c>
      <c r="Y1598" s="2">
        <v>6.86</v>
      </c>
      <c r="Z1598" s="2">
        <v>15.85</v>
      </c>
    </row>
    <row r="1599" spans="1:26" x14ac:dyDescent="0.25">
      <c r="A1599" s="1" t="s">
        <v>6629</v>
      </c>
      <c r="B1599" s="1" t="s">
        <v>6630</v>
      </c>
      <c r="C1599" s="1" t="s">
        <v>31</v>
      </c>
      <c r="D1599" s="1" t="s">
        <v>305</v>
      </c>
      <c r="E1599" s="1" t="s">
        <v>3726</v>
      </c>
      <c r="F1599" s="1" t="s">
        <v>6631</v>
      </c>
      <c r="G1599" s="1" t="s">
        <v>12480</v>
      </c>
      <c r="H1599" s="1" t="s">
        <v>6632</v>
      </c>
      <c r="I1599" s="2">
        <v>30.03</v>
      </c>
      <c r="J1599" s="2"/>
      <c r="K1599" s="2">
        <v>1.22</v>
      </c>
      <c r="L1599" s="2">
        <v>1.39</v>
      </c>
      <c r="M1599" s="4">
        <f t="shared" si="144"/>
        <v>24.614754098360656</v>
      </c>
      <c r="N1599" s="4">
        <f t="shared" si="145"/>
        <v>21.604316546762593</v>
      </c>
      <c r="O1599" s="5" t="e">
        <f t="shared" si="146"/>
        <v>#DIV/0!</v>
      </c>
      <c r="P1599" s="5">
        <f t="shared" si="147"/>
        <v>0.13934426229508201</v>
      </c>
      <c r="Q1599" s="4" t="e">
        <f t="shared" si="148"/>
        <v>#DIV/0!</v>
      </c>
      <c r="R1599" s="4">
        <f t="shared" si="149"/>
        <v>1.550427422767668</v>
      </c>
      <c r="S1599" s="4"/>
      <c r="T1599" s="2"/>
      <c r="U1599" s="2">
        <v>33.869999999999997</v>
      </c>
      <c r="V1599" s="2">
        <v>22.62</v>
      </c>
      <c r="W1599" s="2">
        <v>-5.63</v>
      </c>
      <c r="X1599" s="2">
        <v>-5.09</v>
      </c>
      <c r="Y1599" s="2">
        <v>10.5</v>
      </c>
      <c r="Z1599" s="2">
        <v>7.91</v>
      </c>
    </row>
    <row r="1600" spans="1:26" x14ac:dyDescent="0.25">
      <c r="A1600" s="1" t="s">
        <v>6633</v>
      </c>
      <c r="B1600" s="1" t="s">
        <v>6634</v>
      </c>
      <c r="C1600" s="1" t="s">
        <v>6636</v>
      </c>
      <c r="D1600" s="1" t="s">
        <v>24</v>
      </c>
      <c r="E1600" s="1" t="s">
        <v>18</v>
      </c>
      <c r="F1600" s="1" t="s">
        <v>6635</v>
      </c>
      <c r="G1600" s="1" t="s">
        <v>74</v>
      </c>
      <c r="H1600" s="1" t="s">
        <v>12480</v>
      </c>
      <c r="I1600" s="2">
        <v>18.649999999999999</v>
      </c>
      <c r="J1600" s="2" t="s">
        <v>12481</v>
      </c>
      <c r="K1600" s="2">
        <v>0.75</v>
      </c>
      <c r="L1600" s="2">
        <v>1.33</v>
      </c>
      <c r="M1600" s="4">
        <f t="shared" si="144"/>
        <v>24.866666666666664</v>
      </c>
      <c r="N1600" s="4">
        <f t="shared" si="145"/>
        <v>14.022556390977442</v>
      </c>
      <c r="O1600" s="5">
        <f t="shared" si="146"/>
        <v>-0.99999629651576205</v>
      </c>
      <c r="P1600" s="5">
        <f t="shared" si="147"/>
        <v>0.77333333333333343</v>
      </c>
      <c r="Q1600" s="4">
        <f t="shared" si="148"/>
        <v>-0.24866758760315782</v>
      </c>
      <c r="R1600" s="4">
        <f t="shared" si="149"/>
        <v>0.18132616022815656</v>
      </c>
      <c r="S1600" s="4">
        <v>1.81</v>
      </c>
      <c r="T1600" s="2">
        <v>46.74</v>
      </c>
      <c r="U1600" s="2">
        <v>76.540000000000006</v>
      </c>
      <c r="V1600" s="2">
        <v>47.77</v>
      </c>
      <c r="W1600" s="2">
        <v>0.06</v>
      </c>
      <c r="X1600" s="2">
        <v>1.61</v>
      </c>
      <c r="Y1600" s="2">
        <v>5.39</v>
      </c>
      <c r="Z1600" s="2">
        <v>12.49</v>
      </c>
    </row>
    <row r="1601" spans="1:26" x14ac:dyDescent="0.25">
      <c r="A1601" s="1" t="s">
        <v>6637</v>
      </c>
      <c r="B1601" s="1" t="s">
        <v>6638</v>
      </c>
      <c r="C1601" s="1" t="s">
        <v>16</v>
      </c>
      <c r="D1601" s="1" t="s">
        <v>38</v>
      </c>
      <c r="E1601" s="1" t="s">
        <v>194</v>
      </c>
      <c r="F1601" s="1" t="s">
        <v>6639</v>
      </c>
      <c r="G1601" s="1" t="s">
        <v>12480</v>
      </c>
      <c r="H1601" s="1" t="s">
        <v>1679</v>
      </c>
      <c r="I1601" s="2">
        <v>362.44</v>
      </c>
      <c r="J1601" s="2">
        <v>19.510000000000002</v>
      </c>
      <c r="K1601" s="2">
        <v>20.440000000000001</v>
      </c>
      <c r="L1601" s="2">
        <v>22.56</v>
      </c>
      <c r="M1601" s="4">
        <f t="shared" si="144"/>
        <v>17.731898238747554</v>
      </c>
      <c r="N1601" s="4">
        <f t="shared" si="145"/>
        <v>16.065602836879432</v>
      </c>
      <c r="O1601" s="5">
        <f t="shared" si="146"/>
        <v>4.7667862634546365E-2</v>
      </c>
      <c r="P1601" s="5">
        <f t="shared" si="147"/>
        <v>0.10371819960861051</v>
      </c>
      <c r="Q1601" s="4">
        <f t="shared" si="148"/>
        <v>3.7198853186877949</v>
      </c>
      <c r="R1601" s="4">
        <f t="shared" si="149"/>
        <v>1.5489666131406405</v>
      </c>
      <c r="S1601" s="4">
        <v>18.04</v>
      </c>
      <c r="T1601" s="2">
        <v>1.01</v>
      </c>
      <c r="U1601" s="2">
        <v>501.97</v>
      </c>
      <c r="V1601" s="2">
        <v>354.6</v>
      </c>
      <c r="W1601" s="2">
        <v>-8.52</v>
      </c>
      <c r="X1601" s="2">
        <v>-7.17</v>
      </c>
      <c r="Y1601" s="2">
        <v>-7.58</v>
      </c>
      <c r="Z1601" s="2">
        <v>-7.33</v>
      </c>
    </row>
    <row r="1602" spans="1:26" x14ac:dyDescent="0.25">
      <c r="A1602" s="1" t="s">
        <v>6640</v>
      </c>
      <c r="B1602" s="1" t="s">
        <v>6641</v>
      </c>
      <c r="C1602" s="1" t="s">
        <v>16</v>
      </c>
      <c r="D1602" s="1" t="s">
        <v>94</v>
      </c>
      <c r="E1602" s="1" t="s">
        <v>1042</v>
      </c>
      <c r="F1602" s="1" t="s">
        <v>6642</v>
      </c>
      <c r="G1602" s="1" t="s">
        <v>12480</v>
      </c>
      <c r="H1602" s="1" t="s">
        <v>6643</v>
      </c>
      <c r="I1602" s="2">
        <v>45.37</v>
      </c>
      <c r="J1602" s="2">
        <v>2.82</v>
      </c>
      <c r="K1602" s="2">
        <v>1.23</v>
      </c>
      <c r="L1602" s="2">
        <v>1.9</v>
      </c>
      <c r="M1602" s="4">
        <f t="shared" si="144"/>
        <v>36.886178861788615</v>
      </c>
      <c r="N1602" s="4">
        <f t="shared" si="145"/>
        <v>23.878947368421052</v>
      </c>
      <c r="O1602" s="5">
        <f t="shared" si="146"/>
        <v>-0.56382978723404253</v>
      </c>
      <c r="P1602" s="5">
        <f t="shared" si="147"/>
        <v>0.54471544715447151</v>
      </c>
      <c r="Q1602" s="4">
        <f t="shared" si="148"/>
        <v>-0.65420770056757171</v>
      </c>
      <c r="R1602" s="4">
        <f t="shared" si="149"/>
        <v>0.43837470542026707</v>
      </c>
      <c r="S1602" s="4">
        <v>18.98</v>
      </c>
      <c r="T1602" s="2">
        <v>0.7</v>
      </c>
      <c r="U1602" s="2">
        <v>54.32</v>
      </c>
      <c r="V1602" s="2">
        <v>31.68</v>
      </c>
      <c r="W1602" s="2">
        <v>-3.3</v>
      </c>
      <c r="X1602" s="2">
        <v>7.38</v>
      </c>
      <c r="Y1602" s="2">
        <v>27.73</v>
      </c>
      <c r="Z1602" s="2">
        <v>25.85</v>
      </c>
    </row>
    <row r="1603" spans="1:26" x14ac:dyDescent="0.25">
      <c r="A1603" s="1" t="s">
        <v>6644</v>
      </c>
      <c r="B1603" s="1" t="s">
        <v>6645</v>
      </c>
      <c r="C1603" s="1" t="s">
        <v>16</v>
      </c>
      <c r="D1603" s="1" t="s">
        <v>46</v>
      </c>
      <c r="E1603" s="1" t="s">
        <v>977</v>
      </c>
      <c r="F1603" s="1" t="s">
        <v>6646</v>
      </c>
      <c r="G1603" s="1" t="s">
        <v>12480</v>
      </c>
      <c r="H1603" s="1" t="s">
        <v>6647</v>
      </c>
      <c r="I1603" s="2">
        <v>57.75</v>
      </c>
      <c r="J1603" s="2">
        <v>1.26</v>
      </c>
      <c r="K1603" s="2">
        <v>1.95</v>
      </c>
      <c r="L1603" s="2">
        <v>3.09</v>
      </c>
      <c r="M1603" s="4">
        <f t="shared" ref="M1603:M1666" si="150">I1603/K1603</f>
        <v>29.615384615384617</v>
      </c>
      <c r="N1603" s="4">
        <f t="shared" ref="N1603:N1666" si="151">I1603/L1603</f>
        <v>18.689320388349515</v>
      </c>
      <c r="O1603" s="5">
        <f t="shared" ref="O1603:O1666" si="152">K1603/J1603-1</f>
        <v>0.54761904761904767</v>
      </c>
      <c r="P1603" s="5">
        <f t="shared" ref="P1603:P1666" si="153">L1603/K1603-1</f>
        <v>0.58461538461538454</v>
      </c>
      <c r="Q1603" s="4">
        <f t="shared" ref="Q1603:Q1666" si="154">M1603/(O1603*100)</f>
        <v>0.54080267558528428</v>
      </c>
      <c r="R1603" s="4">
        <f t="shared" ref="R1603:R1666" si="155">N1603/(P1603*100)</f>
        <v>0.31968574348492595</v>
      </c>
      <c r="S1603" s="4">
        <v>0.8</v>
      </c>
      <c r="T1603" s="2">
        <v>1.1200000000000001</v>
      </c>
      <c r="U1603" s="2">
        <v>63.5</v>
      </c>
      <c r="V1603" s="2">
        <v>38.159999999999997</v>
      </c>
      <c r="W1603" s="2">
        <v>-7.23</v>
      </c>
      <c r="X1603" s="2">
        <v>-2.48</v>
      </c>
      <c r="Y1603" s="2">
        <v>8.5500000000000007</v>
      </c>
      <c r="Z1603" s="2">
        <v>10.46</v>
      </c>
    </row>
    <row r="1604" spans="1:26" x14ac:dyDescent="0.25">
      <c r="A1604" s="1" t="s">
        <v>6648</v>
      </c>
      <c r="B1604" s="1" t="s">
        <v>6649</v>
      </c>
      <c r="C1604" s="1" t="s">
        <v>31</v>
      </c>
      <c r="D1604" s="1" t="s">
        <v>25</v>
      </c>
      <c r="E1604" s="1" t="s">
        <v>106</v>
      </c>
      <c r="F1604" s="1" t="s">
        <v>6650</v>
      </c>
      <c r="G1604" s="1" t="s">
        <v>12480</v>
      </c>
      <c r="H1604" s="1" t="s">
        <v>6651</v>
      </c>
      <c r="I1604" s="2">
        <v>33.11</v>
      </c>
      <c r="J1604" s="2">
        <v>1.07</v>
      </c>
      <c r="K1604" s="2">
        <v>1.29</v>
      </c>
      <c r="L1604" s="2"/>
      <c r="M1604" s="4">
        <f t="shared" si="150"/>
        <v>25.666666666666664</v>
      </c>
      <c r="N1604" s="4" t="e">
        <f t="shared" si="151"/>
        <v>#DIV/0!</v>
      </c>
      <c r="O1604" s="5">
        <f t="shared" si="152"/>
        <v>0.20560747663551404</v>
      </c>
      <c r="P1604" s="5">
        <f t="shared" si="153"/>
        <v>-1</v>
      </c>
      <c r="Q1604" s="4">
        <f t="shared" si="154"/>
        <v>1.2483333333333331</v>
      </c>
      <c r="R1604" s="4" t="e">
        <f t="shared" si="155"/>
        <v>#DIV/0!</v>
      </c>
      <c r="S1604" s="4">
        <v>5.9</v>
      </c>
      <c r="T1604" s="2">
        <v>0.64</v>
      </c>
      <c r="U1604" s="2">
        <v>37.71</v>
      </c>
      <c r="V1604" s="2">
        <v>25.67</v>
      </c>
      <c r="W1604" s="2">
        <v>-10.61</v>
      </c>
      <c r="X1604" s="2">
        <v>-6.41</v>
      </c>
      <c r="Y1604" s="2">
        <v>-5.64</v>
      </c>
      <c r="Z1604" s="2">
        <v>-6.47</v>
      </c>
    </row>
    <row r="1605" spans="1:26" x14ac:dyDescent="0.25">
      <c r="A1605" s="1" t="s">
        <v>6652</v>
      </c>
      <c r="B1605" s="1" t="s">
        <v>6653</v>
      </c>
      <c r="C1605" s="1" t="s">
        <v>16</v>
      </c>
      <c r="D1605" s="1" t="s">
        <v>128</v>
      </c>
      <c r="E1605" s="1" t="s">
        <v>2351</v>
      </c>
      <c r="F1605" s="1" t="s">
        <v>6654</v>
      </c>
      <c r="G1605" s="1" t="s">
        <v>12480</v>
      </c>
      <c r="H1605" s="1" t="s">
        <v>6655</v>
      </c>
      <c r="I1605" s="2">
        <v>77.8</v>
      </c>
      <c r="J1605" s="2" t="s">
        <v>12490</v>
      </c>
      <c r="K1605" s="2">
        <v>3.24</v>
      </c>
      <c r="L1605" s="2">
        <v>3.48</v>
      </c>
      <c r="M1605" s="4">
        <f t="shared" si="150"/>
        <v>24.012345679012345</v>
      </c>
      <c r="N1605" s="4">
        <f t="shared" si="151"/>
        <v>22.356321839080458</v>
      </c>
      <c r="O1605" s="5">
        <f t="shared" si="152"/>
        <v>8.0000000000000071E-2</v>
      </c>
      <c r="P1605" s="5">
        <f t="shared" si="153"/>
        <v>7.4074074074073959E-2</v>
      </c>
      <c r="Q1605" s="4">
        <f t="shared" si="154"/>
        <v>3.0015432098765404</v>
      </c>
      <c r="R1605" s="4">
        <f t="shared" si="155"/>
        <v>3.0181034482758666</v>
      </c>
      <c r="S1605" s="4">
        <v>1.87</v>
      </c>
      <c r="T1605" s="2">
        <v>0.35</v>
      </c>
      <c r="U1605" s="2">
        <v>81.56</v>
      </c>
      <c r="V1605" s="2">
        <v>65.67</v>
      </c>
      <c r="W1605" s="2">
        <v>-3.02</v>
      </c>
      <c r="X1605" s="2">
        <v>-0.22</v>
      </c>
      <c r="Y1605" s="2">
        <v>9.6199999999999992</v>
      </c>
      <c r="Z1605" s="2">
        <v>11.29</v>
      </c>
    </row>
    <row r="1606" spans="1:26" x14ac:dyDescent="0.25">
      <c r="A1606" s="1" t="s">
        <v>6656</v>
      </c>
      <c r="B1606" s="1" t="s">
        <v>6657</v>
      </c>
      <c r="C1606" s="1" t="s">
        <v>45</v>
      </c>
      <c r="D1606" s="1" t="s">
        <v>18</v>
      </c>
      <c r="E1606" s="1" t="s">
        <v>74</v>
      </c>
      <c r="F1606" s="1" t="s">
        <v>6658</v>
      </c>
      <c r="G1606" s="1" t="s">
        <v>12480</v>
      </c>
      <c r="H1606" s="1" t="s">
        <v>6659</v>
      </c>
      <c r="I1606" s="2">
        <v>25.72</v>
      </c>
      <c r="J1606" s="2">
        <v>-3.35</v>
      </c>
      <c r="K1606" s="2">
        <v>-3.84</v>
      </c>
      <c r="L1606" s="2">
        <v>-3.69</v>
      </c>
      <c r="M1606" s="4">
        <f t="shared" si="150"/>
        <v>-6.697916666666667</v>
      </c>
      <c r="N1606" s="4">
        <f t="shared" si="151"/>
        <v>-6.9701897018970191</v>
      </c>
      <c r="O1606" s="5">
        <f t="shared" si="152"/>
        <v>0.14626865671641776</v>
      </c>
      <c r="P1606" s="5">
        <f t="shared" si="153"/>
        <v>-3.90625E-2</v>
      </c>
      <c r="Q1606" s="4">
        <f t="shared" si="154"/>
        <v>-0.45791879251700729</v>
      </c>
      <c r="R1606" s="4">
        <f t="shared" si="155"/>
        <v>1.784368563685637</v>
      </c>
      <c r="S1606" s="4"/>
      <c r="T1606" s="2">
        <v>2.61</v>
      </c>
      <c r="U1606" s="2">
        <v>31.08</v>
      </c>
      <c r="V1606" s="2">
        <v>2.06</v>
      </c>
      <c r="W1606" s="2">
        <v>-5.99</v>
      </c>
      <c r="X1606" s="2">
        <v>5.84</v>
      </c>
      <c r="Y1606" s="2">
        <v>11.73</v>
      </c>
      <c r="Z1606" s="2">
        <v>-8.01</v>
      </c>
    </row>
    <row r="1607" spans="1:26" x14ac:dyDescent="0.25">
      <c r="A1607" s="1" t="s">
        <v>6660</v>
      </c>
      <c r="B1607" s="1" t="s">
        <v>6661</v>
      </c>
      <c r="C1607" s="1" t="s">
        <v>16</v>
      </c>
      <c r="D1607" s="1" t="s">
        <v>94</v>
      </c>
      <c r="E1607" s="1" t="s">
        <v>1542</v>
      </c>
      <c r="F1607" s="1" t="s">
        <v>6662</v>
      </c>
      <c r="G1607" s="1" t="s">
        <v>12480</v>
      </c>
      <c r="H1607" s="1" t="s">
        <v>6663</v>
      </c>
      <c r="I1607" s="2">
        <v>2.56</v>
      </c>
      <c r="J1607" s="2">
        <v>-0.73</v>
      </c>
      <c r="K1607" s="2">
        <v>-0.39</v>
      </c>
      <c r="L1607" s="2"/>
      <c r="M1607" s="4">
        <f t="shared" si="150"/>
        <v>-6.5641025641025639</v>
      </c>
      <c r="N1607" s="4" t="e">
        <f t="shared" si="151"/>
        <v>#DIV/0!</v>
      </c>
      <c r="O1607" s="5">
        <f t="shared" si="152"/>
        <v>-0.46575342465753422</v>
      </c>
      <c r="P1607" s="5">
        <f t="shared" si="153"/>
        <v>-1</v>
      </c>
      <c r="Q1607" s="4">
        <f t="shared" si="154"/>
        <v>0.14093514328808446</v>
      </c>
      <c r="R1607" s="4" t="e">
        <f t="shared" si="155"/>
        <v>#DIV/0!</v>
      </c>
      <c r="S1607" s="4">
        <v>-22.91</v>
      </c>
      <c r="T1607" s="2">
        <v>0.76</v>
      </c>
      <c r="U1607" s="2">
        <v>2.57</v>
      </c>
      <c r="V1607" s="2">
        <v>0.87</v>
      </c>
      <c r="W1607" s="2">
        <v>6.67</v>
      </c>
      <c r="X1607" s="2">
        <v>65.16</v>
      </c>
      <c r="Y1607" s="2" t="s">
        <v>12716</v>
      </c>
      <c r="Z1607" s="2">
        <v>182.13</v>
      </c>
    </row>
    <row r="1608" spans="1:26" x14ac:dyDescent="0.25">
      <c r="A1608" s="1" t="s">
        <v>6664</v>
      </c>
      <c r="B1608" s="1" t="s">
        <v>6665</v>
      </c>
      <c r="C1608" s="1" t="s">
        <v>31</v>
      </c>
      <c r="D1608" s="1" t="s">
        <v>46</v>
      </c>
      <c r="E1608" s="1" t="s">
        <v>770</v>
      </c>
      <c r="F1608" s="1" t="s">
        <v>6666</v>
      </c>
      <c r="G1608" s="1" t="s">
        <v>12480</v>
      </c>
      <c r="H1608" s="1" t="s">
        <v>6667</v>
      </c>
      <c r="I1608" s="2">
        <v>18.725000000000001</v>
      </c>
      <c r="J1608" s="2">
        <v>0.85</v>
      </c>
      <c r="K1608" s="2"/>
      <c r="L1608" s="2"/>
      <c r="M1608" s="4" t="e">
        <f t="shared" si="150"/>
        <v>#DIV/0!</v>
      </c>
      <c r="N1608" s="4" t="e">
        <f t="shared" si="151"/>
        <v>#DIV/0!</v>
      </c>
      <c r="O1608" s="5">
        <f t="shared" si="152"/>
        <v>-1</v>
      </c>
      <c r="P1608" s="5" t="e">
        <f t="shared" si="153"/>
        <v>#DIV/0!</v>
      </c>
      <c r="Q1608" s="4" t="e">
        <f t="shared" si="154"/>
        <v>#DIV/0!</v>
      </c>
      <c r="R1608" s="4" t="e">
        <f t="shared" si="155"/>
        <v>#DIV/0!</v>
      </c>
      <c r="S1608" s="4">
        <v>-7.29</v>
      </c>
      <c r="T1608" s="2">
        <v>0.4</v>
      </c>
      <c r="U1608" s="2">
        <v>20.91</v>
      </c>
      <c r="V1608" s="2">
        <v>8.31</v>
      </c>
      <c r="W1608" s="2">
        <v>-5.24</v>
      </c>
      <c r="X1608" s="2">
        <v>-1.45</v>
      </c>
      <c r="Y1608" s="2">
        <v>19.649999999999999</v>
      </c>
      <c r="Z1608" s="2">
        <v>15.59</v>
      </c>
    </row>
    <row r="1609" spans="1:26" x14ac:dyDescent="0.25">
      <c r="A1609" s="1" t="s">
        <v>6668</v>
      </c>
      <c r="B1609" s="1" t="s">
        <v>6669</v>
      </c>
      <c r="C1609" s="1" t="s">
        <v>16</v>
      </c>
      <c r="D1609" s="1" t="s">
        <v>67</v>
      </c>
      <c r="E1609" s="1" t="s">
        <v>3111</v>
      </c>
      <c r="F1609" s="1" t="s">
        <v>6670</v>
      </c>
      <c r="G1609" s="1" t="s">
        <v>12493</v>
      </c>
      <c r="H1609" s="1" t="s">
        <v>6671</v>
      </c>
      <c r="I1609" s="2">
        <v>73.37</v>
      </c>
      <c r="J1609" s="2">
        <v>4.8499999999999996</v>
      </c>
      <c r="K1609" s="2">
        <v>5.26</v>
      </c>
      <c r="L1609" s="2">
        <v>5.63</v>
      </c>
      <c r="M1609" s="4">
        <f t="shared" si="150"/>
        <v>13.948669201520914</v>
      </c>
      <c r="N1609" s="4">
        <f t="shared" si="151"/>
        <v>13.031971580817052</v>
      </c>
      <c r="O1609" s="5">
        <f t="shared" si="152"/>
        <v>8.4536082474226948E-2</v>
      </c>
      <c r="P1609" s="5">
        <f t="shared" si="153"/>
        <v>7.0342205323193907E-2</v>
      </c>
      <c r="Q1609" s="4">
        <f t="shared" si="154"/>
        <v>1.6500255031067395</v>
      </c>
      <c r="R1609" s="4">
        <f t="shared" si="155"/>
        <v>1.8526532571648027</v>
      </c>
      <c r="S1609" s="4">
        <v>0.35</v>
      </c>
      <c r="T1609" s="2">
        <v>0.62</v>
      </c>
      <c r="U1609" s="2">
        <v>74.349999999999994</v>
      </c>
      <c r="V1609" s="2">
        <v>59.28</v>
      </c>
      <c r="W1609" s="2">
        <v>6.26</v>
      </c>
      <c r="X1609" s="2">
        <v>4.66</v>
      </c>
      <c r="Y1609" s="2">
        <v>17.09</v>
      </c>
      <c r="Z1609" s="2">
        <v>17.43</v>
      </c>
    </row>
    <row r="1610" spans="1:26" x14ac:dyDescent="0.25">
      <c r="A1610" s="1" t="s">
        <v>6672</v>
      </c>
      <c r="B1610" s="1" t="s">
        <v>6673</v>
      </c>
      <c r="C1610" s="1" t="s">
        <v>16</v>
      </c>
      <c r="D1610" s="1" t="s">
        <v>38</v>
      </c>
      <c r="E1610" s="1" t="s">
        <v>510</v>
      </c>
      <c r="F1610" s="1" t="s">
        <v>6674</v>
      </c>
      <c r="G1610" s="1" t="s">
        <v>12480</v>
      </c>
      <c r="H1610" s="1" t="s">
        <v>6675</v>
      </c>
      <c r="I1610" s="2">
        <v>29.41</v>
      </c>
      <c r="J1610" s="2">
        <v>4.2</v>
      </c>
      <c r="K1610" s="2">
        <v>3.32</v>
      </c>
      <c r="L1610" s="2">
        <v>3.42</v>
      </c>
      <c r="M1610" s="4">
        <f t="shared" si="150"/>
        <v>8.8584337349397604</v>
      </c>
      <c r="N1610" s="4">
        <f t="shared" si="151"/>
        <v>8.5994152046783636</v>
      </c>
      <c r="O1610" s="5">
        <f t="shared" si="152"/>
        <v>-0.20952380952380956</v>
      </c>
      <c r="P1610" s="5">
        <f t="shared" si="153"/>
        <v>3.0120481927710774E-2</v>
      </c>
      <c r="Q1610" s="4">
        <f t="shared" si="154"/>
        <v>-0.42278888280394306</v>
      </c>
      <c r="R1610" s="4">
        <f t="shared" si="155"/>
        <v>2.8550058479532234</v>
      </c>
      <c r="S1610" s="4">
        <v>-2.02</v>
      </c>
      <c r="T1610" s="2">
        <v>1.1000000000000001</v>
      </c>
      <c r="U1610" s="2">
        <v>44.44</v>
      </c>
      <c r="V1610" s="2">
        <v>28.32</v>
      </c>
      <c r="W1610" s="2">
        <v>-0.88</v>
      </c>
      <c r="X1610" s="2">
        <v>-14.85</v>
      </c>
      <c r="Y1610" s="2">
        <v>-26.55</v>
      </c>
      <c r="Z1610" s="2">
        <v>-21.3</v>
      </c>
    </row>
    <row r="1611" spans="1:26" x14ac:dyDescent="0.25">
      <c r="A1611" s="1" t="s">
        <v>6676</v>
      </c>
      <c r="B1611" s="1" t="s">
        <v>6677</v>
      </c>
      <c r="C1611" s="1" t="s">
        <v>31</v>
      </c>
      <c r="D1611" s="1" t="s">
        <v>38</v>
      </c>
      <c r="E1611" s="1" t="s">
        <v>510</v>
      </c>
      <c r="F1611" s="1" t="s">
        <v>6678</v>
      </c>
      <c r="G1611" s="1" t="s">
        <v>12480</v>
      </c>
      <c r="H1611" s="1" t="s">
        <v>6679</v>
      </c>
      <c r="I1611" s="2">
        <v>0.73</v>
      </c>
      <c r="J1611" s="2">
        <v>0.09</v>
      </c>
      <c r="K1611" s="2"/>
      <c r="L1611" s="2"/>
      <c r="M1611" s="4" t="e">
        <f t="shared" si="150"/>
        <v>#DIV/0!</v>
      </c>
      <c r="N1611" s="4" t="e">
        <f t="shared" si="151"/>
        <v>#DIV/0!</v>
      </c>
      <c r="O1611" s="5">
        <f t="shared" si="152"/>
        <v>-1</v>
      </c>
      <c r="P1611" s="5" t="e">
        <f t="shared" si="153"/>
        <v>#DIV/0!</v>
      </c>
      <c r="Q1611" s="4" t="e">
        <f t="shared" si="154"/>
        <v>#DIV/0!</v>
      </c>
      <c r="R1611" s="4" t="e">
        <f t="shared" si="155"/>
        <v>#DIV/0!</v>
      </c>
      <c r="S1611" s="4">
        <v>7.33</v>
      </c>
      <c r="T1611" s="2">
        <v>0.74</v>
      </c>
      <c r="U1611" s="2">
        <v>0.85</v>
      </c>
      <c r="V1611" s="2">
        <v>0.5</v>
      </c>
      <c r="W1611" s="2">
        <v>-8.76</v>
      </c>
      <c r="X1611" s="2">
        <v>-8.8000000000000007</v>
      </c>
      <c r="Y1611" s="2">
        <v>-5.89</v>
      </c>
      <c r="Z1611" s="2">
        <v>3.49</v>
      </c>
    </row>
    <row r="1612" spans="1:26" x14ac:dyDescent="0.25">
      <c r="A1612" s="1" t="s">
        <v>6680</v>
      </c>
      <c r="B1612" s="1" t="s">
        <v>6681</v>
      </c>
      <c r="C1612" s="1" t="s">
        <v>16</v>
      </c>
      <c r="D1612" s="1" t="s">
        <v>38</v>
      </c>
      <c r="E1612" s="1" t="s">
        <v>83</v>
      </c>
      <c r="F1612" s="1" t="s">
        <v>6682</v>
      </c>
      <c r="G1612" s="1" t="s">
        <v>12480</v>
      </c>
      <c r="H1612" s="1" t="s">
        <v>6683</v>
      </c>
      <c r="I1612" s="2">
        <v>25.81</v>
      </c>
      <c r="J1612" s="2">
        <v>2.06</v>
      </c>
      <c r="K1612" s="2">
        <v>2.1</v>
      </c>
      <c r="L1612" s="2">
        <v>2.1800000000000002</v>
      </c>
      <c r="M1612" s="4">
        <f t="shared" si="150"/>
        <v>12.290476190476189</v>
      </c>
      <c r="N1612" s="4">
        <f t="shared" si="151"/>
        <v>11.839449541284402</v>
      </c>
      <c r="O1612" s="5">
        <f t="shared" si="152"/>
        <v>1.9417475728155331E-2</v>
      </c>
      <c r="P1612" s="5">
        <f t="shared" si="153"/>
        <v>3.8095238095238182E-2</v>
      </c>
      <c r="Q1612" s="4">
        <f t="shared" si="154"/>
        <v>6.3295952380952407</v>
      </c>
      <c r="R1612" s="4">
        <f t="shared" si="155"/>
        <v>3.1078555045871483</v>
      </c>
      <c r="S1612" s="4">
        <v>0.3</v>
      </c>
      <c r="T1612" s="2">
        <v>0.86</v>
      </c>
      <c r="U1612" s="2">
        <v>26.24</v>
      </c>
      <c r="V1612" s="2">
        <v>19.53</v>
      </c>
      <c r="W1612" s="2">
        <v>-1.45</v>
      </c>
      <c r="X1612" s="2">
        <v>4.58</v>
      </c>
      <c r="Y1612" s="2">
        <v>9.27</v>
      </c>
      <c r="Z1612" s="2">
        <v>7.68</v>
      </c>
    </row>
    <row r="1613" spans="1:26" x14ac:dyDescent="0.25">
      <c r="A1613" s="1" t="s">
        <v>6684</v>
      </c>
      <c r="B1613" s="1" t="s">
        <v>6685</v>
      </c>
      <c r="C1613" s="1" t="s">
        <v>16</v>
      </c>
      <c r="D1613" s="1" t="s">
        <v>204</v>
      </c>
      <c r="E1613" s="1" t="s">
        <v>534</v>
      </c>
      <c r="F1613" s="1" t="s">
        <v>6686</v>
      </c>
      <c r="G1613" s="1" t="s">
        <v>12480</v>
      </c>
      <c r="H1613" s="1" t="s">
        <v>6687</v>
      </c>
      <c r="I1613" s="2">
        <v>106.09</v>
      </c>
      <c r="J1613" s="2">
        <v>0.12</v>
      </c>
      <c r="K1613" s="2">
        <v>0.65</v>
      </c>
      <c r="L1613" s="2">
        <v>0.98</v>
      </c>
      <c r="M1613" s="4">
        <f t="shared" si="150"/>
        <v>163.21538461538461</v>
      </c>
      <c r="N1613" s="4">
        <f t="shared" si="151"/>
        <v>108.25510204081633</v>
      </c>
      <c r="O1613" s="5">
        <f t="shared" si="152"/>
        <v>4.416666666666667</v>
      </c>
      <c r="P1613" s="5">
        <f t="shared" si="153"/>
        <v>0.50769230769230766</v>
      </c>
      <c r="Q1613" s="4">
        <f t="shared" si="154"/>
        <v>0.36954426705370097</v>
      </c>
      <c r="R1613" s="4">
        <f t="shared" si="155"/>
        <v>2.1322974644403216</v>
      </c>
      <c r="S1613" s="4">
        <v>22.99</v>
      </c>
      <c r="T1613" s="2"/>
      <c r="U1613" s="2">
        <v>115.29</v>
      </c>
      <c r="V1613" s="2">
        <v>26.77</v>
      </c>
      <c r="W1613" s="2">
        <v>14.03</v>
      </c>
      <c r="X1613" s="2">
        <v>8.84</v>
      </c>
      <c r="Y1613" s="2">
        <v>55.88</v>
      </c>
      <c r="Z1613" s="2">
        <v>44.99</v>
      </c>
    </row>
    <row r="1614" spans="1:26" x14ac:dyDescent="0.25">
      <c r="A1614" s="1" t="s">
        <v>6688</v>
      </c>
      <c r="B1614" s="1" t="s">
        <v>6689</v>
      </c>
      <c r="C1614" s="1" t="s">
        <v>16</v>
      </c>
      <c r="D1614" s="1" t="s">
        <v>94</v>
      </c>
      <c r="E1614" s="1" t="s">
        <v>3650</v>
      </c>
      <c r="F1614" s="1" t="s">
        <v>6690</v>
      </c>
      <c r="G1614" s="1" t="s">
        <v>12480</v>
      </c>
      <c r="H1614" s="1" t="s">
        <v>6691</v>
      </c>
      <c r="I1614" s="2">
        <v>14.3</v>
      </c>
      <c r="J1614" s="2">
        <v>0.62</v>
      </c>
      <c r="K1614" s="2">
        <v>0.68</v>
      </c>
      <c r="L1614" s="2">
        <v>0.74</v>
      </c>
      <c r="M1614" s="4">
        <f t="shared" si="150"/>
        <v>21.02941176470588</v>
      </c>
      <c r="N1614" s="4">
        <f t="shared" si="151"/>
        <v>19.324324324324326</v>
      </c>
      <c r="O1614" s="5">
        <f t="shared" si="152"/>
        <v>9.6774193548387233E-2</v>
      </c>
      <c r="P1614" s="5">
        <f t="shared" si="153"/>
        <v>8.8235294117646967E-2</v>
      </c>
      <c r="Q1614" s="4">
        <f t="shared" si="154"/>
        <v>2.1730392156862717</v>
      </c>
      <c r="R1614" s="4">
        <f t="shared" si="155"/>
        <v>2.1900900900900928</v>
      </c>
      <c r="S1614" s="4">
        <v>7.93</v>
      </c>
      <c r="T1614" s="2">
        <v>0.3</v>
      </c>
      <c r="U1614" s="2">
        <v>15.06</v>
      </c>
      <c r="V1614" s="2">
        <v>11.36</v>
      </c>
      <c r="W1614" s="2">
        <v>-1.85</v>
      </c>
      <c r="X1614" s="2">
        <v>1.56</v>
      </c>
      <c r="Y1614" s="2">
        <v>21.29</v>
      </c>
      <c r="Z1614" s="2">
        <v>21.6</v>
      </c>
    </row>
    <row r="1615" spans="1:26" x14ac:dyDescent="0.25">
      <c r="A1615" s="1" t="s">
        <v>6692</v>
      </c>
      <c r="B1615" s="1" t="s">
        <v>6693</v>
      </c>
      <c r="C1615" s="1" t="s">
        <v>31</v>
      </c>
      <c r="D1615" s="1" t="s">
        <v>128</v>
      </c>
      <c r="E1615" s="1" t="s">
        <v>556</v>
      </c>
      <c r="F1615" s="1" t="s">
        <v>6694</v>
      </c>
      <c r="G1615" s="1" t="s">
        <v>12480</v>
      </c>
      <c r="H1615" s="1" t="s">
        <v>6695</v>
      </c>
      <c r="I1615" s="2">
        <v>81.209999999999994</v>
      </c>
      <c r="J1615" s="2">
        <v>5.45</v>
      </c>
      <c r="K1615" s="2">
        <v>5.93</v>
      </c>
      <c r="L1615" s="2">
        <v>6.49</v>
      </c>
      <c r="M1615" s="4">
        <f t="shared" si="150"/>
        <v>13.69477234401349</v>
      </c>
      <c r="N1615" s="4">
        <f t="shared" si="151"/>
        <v>12.513097072419106</v>
      </c>
      <c r="O1615" s="5">
        <f t="shared" si="152"/>
        <v>8.8073394495412849E-2</v>
      </c>
      <c r="P1615" s="5">
        <f t="shared" si="153"/>
        <v>9.4435075885328956E-2</v>
      </c>
      <c r="Q1615" s="4">
        <f t="shared" si="154"/>
        <v>1.554927276559865</v>
      </c>
      <c r="R1615" s="4">
        <f t="shared" si="155"/>
        <v>1.3250476007043785</v>
      </c>
      <c r="S1615" s="4">
        <v>1.93</v>
      </c>
      <c r="T1615" s="2">
        <v>0.63</v>
      </c>
      <c r="U1615" s="2">
        <v>112.73</v>
      </c>
      <c r="V1615" s="2">
        <v>81.209999999999994</v>
      </c>
      <c r="W1615" s="2">
        <v>-5.13</v>
      </c>
      <c r="X1615" s="2">
        <v>-11.85</v>
      </c>
      <c r="Y1615" s="2">
        <v>-8.83</v>
      </c>
      <c r="Z1615" s="2">
        <v>-10.86</v>
      </c>
    </row>
    <row r="1616" spans="1:26" x14ac:dyDescent="0.25">
      <c r="A1616" s="1" t="s">
        <v>6696</v>
      </c>
      <c r="B1616" s="1" t="s">
        <v>6697</v>
      </c>
      <c r="C1616" s="1" t="s">
        <v>45</v>
      </c>
      <c r="D1616" s="1" t="s">
        <v>18</v>
      </c>
      <c r="E1616" s="1" t="s">
        <v>74</v>
      </c>
      <c r="F1616" s="1" t="s">
        <v>6698</v>
      </c>
      <c r="G1616" s="1" t="s">
        <v>12480</v>
      </c>
      <c r="H1616" s="1" t="s">
        <v>6699</v>
      </c>
      <c r="I1616" s="2">
        <v>258.64999999999998</v>
      </c>
      <c r="J1616" s="2">
        <v>6.84</v>
      </c>
      <c r="K1616" s="2">
        <v>8.09</v>
      </c>
      <c r="L1616" s="2">
        <v>13.32</v>
      </c>
      <c r="M1616" s="4">
        <f t="shared" si="150"/>
        <v>31.971569839307787</v>
      </c>
      <c r="N1616" s="4">
        <f t="shared" si="151"/>
        <v>19.418168168168165</v>
      </c>
      <c r="O1616" s="5">
        <f t="shared" si="152"/>
        <v>0.18274853801169599</v>
      </c>
      <c r="P1616" s="5">
        <f t="shared" si="153"/>
        <v>0.64647713226205195</v>
      </c>
      <c r="Q1616" s="4">
        <f t="shared" si="154"/>
        <v>1.7494843016069213</v>
      </c>
      <c r="R1616" s="4">
        <f t="shared" si="155"/>
        <v>0.30036898753437941</v>
      </c>
      <c r="S1616" s="4">
        <v>33.94</v>
      </c>
      <c r="T1616" s="2">
        <v>0.49</v>
      </c>
      <c r="U1616" s="2">
        <v>291.93</v>
      </c>
      <c r="V1616" s="2">
        <v>123.36</v>
      </c>
      <c r="W1616" s="2">
        <v>-0.06</v>
      </c>
      <c r="X1616" s="2">
        <v>-5.12</v>
      </c>
      <c r="Y1616" s="2">
        <v>6.45</v>
      </c>
      <c r="Z1616" s="2">
        <v>4.91</v>
      </c>
    </row>
    <row r="1617" spans="1:26" x14ac:dyDescent="0.25">
      <c r="A1617" s="1" t="s">
        <v>6700</v>
      </c>
      <c r="B1617" s="1" t="s">
        <v>6701</v>
      </c>
      <c r="C1617" s="1" t="s">
        <v>45</v>
      </c>
      <c r="D1617" s="1" t="s">
        <v>140</v>
      </c>
      <c r="E1617" s="1" t="s">
        <v>1555</v>
      </c>
      <c r="F1617" s="1" t="s">
        <v>6702</v>
      </c>
      <c r="G1617" s="1" t="s">
        <v>12480</v>
      </c>
      <c r="H1617" s="1" t="s">
        <v>6703</v>
      </c>
      <c r="I1617" s="2">
        <v>73.099999999999994</v>
      </c>
      <c r="J1617" s="2">
        <v>10.34</v>
      </c>
      <c r="K1617" s="2">
        <v>11.82</v>
      </c>
      <c r="L1617" s="2">
        <v>13.69</v>
      </c>
      <c r="M1617" s="4">
        <f t="shared" si="150"/>
        <v>6.1844331641285946</v>
      </c>
      <c r="N1617" s="4">
        <f t="shared" si="151"/>
        <v>5.3396639883126369</v>
      </c>
      <c r="O1617" s="5">
        <f t="shared" si="152"/>
        <v>0.14313346228239854</v>
      </c>
      <c r="P1617" s="5">
        <f t="shared" si="153"/>
        <v>0.15820642978003385</v>
      </c>
      <c r="Q1617" s="4">
        <f t="shared" si="154"/>
        <v>0.43207458727763259</v>
      </c>
      <c r="R1617" s="4">
        <f t="shared" si="155"/>
        <v>0.33751245102596455</v>
      </c>
      <c r="S1617" s="4">
        <v>65.98</v>
      </c>
      <c r="T1617" s="2">
        <v>0.93</v>
      </c>
      <c r="U1617" s="2">
        <v>101.53</v>
      </c>
      <c r="V1617" s="2">
        <v>70.59</v>
      </c>
      <c r="W1617" s="2">
        <v>-6.28</v>
      </c>
      <c r="X1617" s="2">
        <v>-4.2699999999999996</v>
      </c>
      <c r="Y1617" s="2">
        <v>-4.3600000000000003</v>
      </c>
      <c r="Z1617" s="2">
        <v>-6.44</v>
      </c>
    </row>
    <row r="1618" spans="1:26" x14ac:dyDescent="0.25">
      <c r="A1618" s="1" t="s">
        <v>6704</v>
      </c>
      <c r="B1618" s="1" t="s">
        <v>6705</v>
      </c>
      <c r="C1618" s="1" t="s">
        <v>16</v>
      </c>
      <c r="D1618" s="1" t="s">
        <v>67</v>
      </c>
      <c r="E1618" s="1" t="s">
        <v>3480</v>
      </c>
      <c r="F1618" s="1" t="s">
        <v>6706</v>
      </c>
      <c r="G1618" s="1" t="s">
        <v>12493</v>
      </c>
      <c r="H1618" s="1" t="s">
        <v>6707</v>
      </c>
      <c r="I1618" s="2">
        <v>14.8</v>
      </c>
      <c r="J1618" s="2">
        <v>1.5</v>
      </c>
      <c r="K1618" s="2">
        <v>1.3</v>
      </c>
      <c r="L1618" s="2">
        <v>1.51</v>
      </c>
      <c r="M1618" s="4">
        <f t="shared" si="150"/>
        <v>11.384615384615385</v>
      </c>
      <c r="N1618" s="4">
        <f t="shared" si="151"/>
        <v>9.8013245033112586</v>
      </c>
      <c r="O1618" s="5">
        <f t="shared" si="152"/>
        <v>-0.1333333333333333</v>
      </c>
      <c r="P1618" s="5">
        <f t="shared" si="153"/>
        <v>0.16153846153846141</v>
      </c>
      <c r="Q1618" s="4">
        <f t="shared" si="154"/>
        <v>-0.85384615384615403</v>
      </c>
      <c r="R1618" s="4">
        <f t="shared" si="155"/>
        <v>0.60674865972879277</v>
      </c>
      <c r="S1618" s="4">
        <v>-7.18</v>
      </c>
      <c r="T1618" s="2">
        <v>1.42</v>
      </c>
      <c r="U1618" s="2">
        <v>24.71</v>
      </c>
      <c r="V1618" s="2">
        <v>6.13</v>
      </c>
      <c r="W1618" s="2">
        <v>-4.3899999999999997</v>
      </c>
      <c r="X1618" s="2">
        <v>-15.67</v>
      </c>
      <c r="Y1618" s="2">
        <v>-33.270000000000003</v>
      </c>
      <c r="Z1618" s="2">
        <v>-27.49</v>
      </c>
    </row>
    <row r="1619" spans="1:26" x14ac:dyDescent="0.25">
      <c r="A1619" s="1" t="s">
        <v>6708</v>
      </c>
      <c r="B1619" s="1" t="s">
        <v>6709</v>
      </c>
      <c r="C1619" s="1" t="s">
        <v>16</v>
      </c>
      <c r="D1619" s="1" t="s">
        <v>147</v>
      </c>
      <c r="E1619" s="1" t="s">
        <v>1931</v>
      </c>
      <c r="F1619" s="1" t="s">
        <v>6710</v>
      </c>
      <c r="G1619" s="1" t="s">
        <v>12480</v>
      </c>
      <c r="H1619" s="1" t="s">
        <v>6711</v>
      </c>
      <c r="I1619" s="2">
        <v>72.95</v>
      </c>
      <c r="J1619" s="2">
        <v>5.59</v>
      </c>
      <c r="K1619" s="2">
        <v>6.46</v>
      </c>
      <c r="L1619" s="2">
        <v>6.95</v>
      </c>
      <c r="M1619" s="4">
        <f t="shared" si="150"/>
        <v>11.292569659442725</v>
      </c>
      <c r="N1619" s="4">
        <f t="shared" si="151"/>
        <v>10.496402877697841</v>
      </c>
      <c r="O1619" s="5">
        <f t="shared" si="152"/>
        <v>0.15563506261180682</v>
      </c>
      <c r="P1619" s="5">
        <f t="shared" si="153"/>
        <v>7.5851393188854477E-2</v>
      </c>
      <c r="Q1619" s="4">
        <f t="shared" si="154"/>
        <v>0.72558005053200947</v>
      </c>
      <c r="R1619" s="4">
        <f t="shared" si="155"/>
        <v>1.3838114814271034</v>
      </c>
      <c r="S1619" s="4">
        <v>20.9</v>
      </c>
      <c r="T1619" s="2">
        <v>1.1499999999999999</v>
      </c>
      <c r="U1619" s="2">
        <v>86.27</v>
      </c>
      <c r="V1619" s="2">
        <v>52.22</v>
      </c>
      <c r="W1619" s="2">
        <v>12.54</v>
      </c>
      <c r="X1619" s="2">
        <v>9.7799999999999994</v>
      </c>
      <c r="Y1619" s="2">
        <v>10.51</v>
      </c>
      <c r="Z1619" s="2">
        <v>19.41</v>
      </c>
    </row>
    <row r="1620" spans="1:26" x14ac:dyDescent="0.25">
      <c r="A1620" s="1" t="s">
        <v>6712</v>
      </c>
      <c r="B1620" s="1" t="s">
        <v>6713</v>
      </c>
      <c r="C1620" s="1" t="s">
        <v>45</v>
      </c>
      <c r="D1620" s="1" t="s">
        <v>204</v>
      </c>
      <c r="E1620" s="1" t="s">
        <v>534</v>
      </c>
      <c r="F1620" s="1" t="s">
        <v>6714</v>
      </c>
      <c r="G1620" s="1" t="s">
        <v>12480</v>
      </c>
      <c r="H1620" s="1" t="s">
        <v>6715</v>
      </c>
      <c r="I1620" s="2">
        <v>92.47</v>
      </c>
      <c r="J1620" s="2">
        <v>0.55000000000000004</v>
      </c>
      <c r="K1620" s="2">
        <v>0.77</v>
      </c>
      <c r="L1620" s="2">
        <v>1.08</v>
      </c>
      <c r="M1620" s="4">
        <f t="shared" si="150"/>
        <v>120.09090909090909</v>
      </c>
      <c r="N1620" s="4">
        <f t="shared" si="151"/>
        <v>85.620370370370367</v>
      </c>
      <c r="O1620" s="5">
        <f t="shared" si="152"/>
        <v>0.39999999999999991</v>
      </c>
      <c r="P1620" s="5">
        <f t="shared" si="153"/>
        <v>0.40259740259740262</v>
      </c>
      <c r="Q1620" s="4">
        <f t="shared" si="154"/>
        <v>3.0022727272727279</v>
      </c>
      <c r="R1620" s="4">
        <f t="shared" si="155"/>
        <v>2.1266995221027476</v>
      </c>
      <c r="S1620" s="4">
        <v>18.53</v>
      </c>
      <c r="T1620" s="2">
        <v>1.1200000000000001</v>
      </c>
      <c r="U1620" s="2">
        <v>130.72</v>
      </c>
      <c r="V1620" s="2">
        <v>26.88</v>
      </c>
      <c r="W1620" s="2">
        <v>1.93</v>
      </c>
      <c r="X1620" s="2">
        <v>-6.42</v>
      </c>
      <c r="Y1620" s="2">
        <v>24.52</v>
      </c>
      <c r="Z1620" s="2">
        <v>21.82</v>
      </c>
    </row>
    <row r="1621" spans="1:26" x14ac:dyDescent="0.25">
      <c r="A1621" s="1" t="s">
        <v>6716</v>
      </c>
      <c r="B1621" s="1" t="s">
        <v>6717</v>
      </c>
      <c r="C1621" s="1" t="s">
        <v>31</v>
      </c>
      <c r="D1621" s="1" t="s">
        <v>25</v>
      </c>
      <c r="E1621" s="1" t="s">
        <v>449</v>
      </c>
      <c r="F1621" s="1" t="s">
        <v>6718</v>
      </c>
      <c r="G1621" s="1" t="s">
        <v>12480</v>
      </c>
      <c r="H1621" s="1" t="s">
        <v>6719</v>
      </c>
      <c r="I1621" s="2">
        <v>85.49</v>
      </c>
      <c r="J1621" s="2">
        <v>5.47</v>
      </c>
      <c r="K1621" s="2">
        <v>4.9000000000000004</v>
      </c>
      <c r="L1621" s="2"/>
      <c r="M1621" s="4">
        <f t="shared" si="150"/>
        <v>17.446938775510201</v>
      </c>
      <c r="N1621" s="4" t="e">
        <f t="shared" si="151"/>
        <v>#DIV/0!</v>
      </c>
      <c r="O1621" s="5">
        <f t="shared" si="152"/>
        <v>-0.10420475319926858</v>
      </c>
      <c r="P1621" s="5">
        <f t="shared" si="153"/>
        <v>-1</v>
      </c>
      <c r="Q1621" s="4">
        <f t="shared" si="154"/>
        <v>-1.6742939491586131</v>
      </c>
      <c r="R1621" s="4" t="e">
        <f t="shared" si="155"/>
        <v>#DIV/0!</v>
      </c>
      <c r="S1621" s="4">
        <v>1.22</v>
      </c>
      <c r="T1621" s="2">
        <v>0.86</v>
      </c>
      <c r="U1621" s="2">
        <v>106.48</v>
      </c>
      <c r="V1621" s="2">
        <v>52.31</v>
      </c>
      <c r="W1621" s="2">
        <v>-13.49</v>
      </c>
      <c r="X1621" s="2">
        <v>-2.13</v>
      </c>
      <c r="Y1621" s="2">
        <v>14.75</v>
      </c>
      <c r="Z1621" s="2">
        <v>22.08</v>
      </c>
    </row>
    <row r="1622" spans="1:26" x14ac:dyDescent="0.25">
      <c r="A1622" s="1" t="s">
        <v>6720</v>
      </c>
      <c r="B1622" s="1" t="s">
        <v>6721</v>
      </c>
      <c r="C1622" s="1" t="s">
        <v>31</v>
      </c>
      <c r="D1622" s="1" t="s">
        <v>88</v>
      </c>
      <c r="E1622" s="1" t="s">
        <v>2983</v>
      </c>
      <c r="F1622" s="1" t="s">
        <v>6722</v>
      </c>
      <c r="G1622" s="1" t="s">
        <v>12480</v>
      </c>
      <c r="H1622" s="1" t="s">
        <v>6723</v>
      </c>
      <c r="I1622" s="2">
        <v>32.799999999999997</v>
      </c>
      <c r="J1622" s="2">
        <v>2.48</v>
      </c>
      <c r="K1622" s="2"/>
      <c r="L1622" s="2"/>
      <c r="M1622" s="4" t="e">
        <f t="shared" si="150"/>
        <v>#DIV/0!</v>
      </c>
      <c r="N1622" s="4" t="e">
        <f t="shared" si="151"/>
        <v>#DIV/0!</v>
      </c>
      <c r="O1622" s="5">
        <f t="shared" si="152"/>
        <v>-1</v>
      </c>
      <c r="P1622" s="5" t="e">
        <f t="shared" si="153"/>
        <v>#DIV/0!</v>
      </c>
      <c r="Q1622" s="4" t="e">
        <f t="shared" si="154"/>
        <v>#DIV/0!</v>
      </c>
      <c r="R1622" s="4" t="e">
        <f t="shared" si="155"/>
        <v>#DIV/0!</v>
      </c>
      <c r="S1622" s="4">
        <v>-1.1200000000000001</v>
      </c>
      <c r="T1622" s="2">
        <v>-0.1</v>
      </c>
      <c r="U1622" s="2">
        <v>40.25</v>
      </c>
      <c r="V1622" s="2">
        <v>28.32</v>
      </c>
      <c r="W1622" s="2">
        <v>-4.8600000000000003</v>
      </c>
      <c r="X1622" s="2">
        <v>-2.2599999999999998</v>
      </c>
      <c r="Y1622" s="2">
        <v>6.56</v>
      </c>
      <c r="Z1622" s="2">
        <v>9.8800000000000008</v>
      </c>
    </row>
    <row r="1623" spans="1:26" x14ac:dyDescent="0.25">
      <c r="A1623" s="1" t="s">
        <v>6724</v>
      </c>
      <c r="B1623" s="1" t="s">
        <v>6725</v>
      </c>
      <c r="C1623" s="1" t="s">
        <v>16</v>
      </c>
      <c r="D1623" s="1" t="s">
        <v>128</v>
      </c>
      <c r="E1623" s="1" t="s">
        <v>210</v>
      </c>
      <c r="F1623" s="1" t="s">
        <v>6726</v>
      </c>
      <c r="G1623" s="1" t="s">
        <v>12480</v>
      </c>
      <c r="H1623" s="1" t="s">
        <v>6727</v>
      </c>
      <c r="I1623" s="2">
        <v>18.16</v>
      </c>
      <c r="J1623" s="2">
        <v>1.08</v>
      </c>
      <c r="K1623" s="2">
        <v>1.0900000000000001</v>
      </c>
      <c r="L1623" s="2">
        <v>1.1499999999999999</v>
      </c>
      <c r="M1623" s="4">
        <f t="shared" si="150"/>
        <v>16.660550458715594</v>
      </c>
      <c r="N1623" s="4">
        <f t="shared" si="151"/>
        <v>15.791304347826088</v>
      </c>
      <c r="O1623" s="5">
        <f t="shared" si="152"/>
        <v>9.2592592592593004E-3</v>
      </c>
      <c r="P1623" s="5">
        <f t="shared" si="153"/>
        <v>5.504587155963292E-2</v>
      </c>
      <c r="Q1623" s="4">
        <f t="shared" si="154"/>
        <v>17.993394495412762</v>
      </c>
      <c r="R1623" s="4">
        <f t="shared" si="155"/>
        <v>2.8687536231884114</v>
      </c>
      <c r="S1623" s="4">
        <v>-2.14</v>
      </c>
      <c r="T1623" s="2">
        <v>0.51</v>
      </c>
      <c r="U1623" s="2">
        <v>24.44</v>
      </c>
      <c r="V1623" s="2">
        <v>14.11</v>
      </c>
      <c r="W1623" s="2">
        <v>-3.86</v>
      </c>
      <c r="X1623" s="2">
        <v>-0.11</v>
      </c>
      <c r="Y1623" s="2">
        <v>5.52</v>
      </c>
      <c r="Z1623" s="2">
        <v>5.28</v>
      </c>
    </row>
    <row r="1624" spans="1:26" x14ac:dyDescent="0.25">
      <c r="A1624" s="1" t="s">
        <v>6728</v>
      </c>
      <c r="B1624" s="1" t="s">
        <v>6729</v>
      </c>
      <c r="C1624" s="1" t="s">
        <v>16</v>
      </c>
      <c r="D1624" s="1" t="s">
        <v>32</v>
      </c>
      <c r="E1624" s="1" t="s">
        <v>311</v>
      </c>
      <c r="F1624" s="1" t="s">
        <v>6730</v>
      </c>
      <c r="G1624" s="1" t="s">
        <v>12480</v>
      </c>
      <c r="H1624" s="1" t="s">
        <v>6731</v>
      </c>
      <c r="I1624" s="2">
        <v>20.5</v>
      </c>
      <c r="J1624" s="2">
        <v>0.67</v>
      </c>
      <c r="K1624" s="2">
        <v>0.84</v>
      </c>
      <c r="L1624" s="2">
        <v>1.03</v>
      </c>
      <c r="M1624" s="4">
        <f t="shared" si="150"/>
        <v>24.404761904761905</v>
      </c>
      <c r="N1624" s="4">
        <f t="shared" si="151"/>
        <v>19.902912621359224</v>
      </c>
      <c r="O1624" s="5">
        <f t="shared" si="152"/>
        <v>0.25373134328358193</v>
      </c>
      <c r="P1624" s="5">
        <f t="shared" si="153"/>
        <v>0.22619047619047628</v>
      </c>
      <c r="Q1624" s="4">
        <f t="shared" si="154"/>
        <v>0.961834733893558</v>
      </c>
      <c r="R1624" s="4">
        <f t="shared" si="155"/>
        <v>0.87991824220746007</v>
      </c>
      <c r="S1624" s="4">
        <v>31.63</v>
      </c>
      <c r="T1624" s="2">
        <v>1.28</v>
      </c>
      <c r="U1624" s="2">
        <v>37.659999999999997</v>
      </c>
      <c r="V1624" s="2">
        <v>15.88</v>
      </c>
      <c r="W1624" s="2">
        <v>12.58</v>
      </c>
      <c r="X1624" s="2">
        <v>4.1100000000000003</v>
      </c>
      <c r="Y1624" s="2">
        <v>-28.94</v>
      </c>
      <c r="Z1624" s="2">
        <v>-36.869999999999997</v>
      </c>
    </row>
    <row r="1625" spans="1:26" x14ac:dyDescent="0.25">
      <c r="A1625" s="1" t="s">
        <v>6732</v>
      </c>
      <c r="B1625" s="1" t="s">
        <v>6733</v>
      </c>
      <c r="C1625" s="1" t="s">
        <v>16</v>
      </c>
      <c r="D1625" s="1" t="s">
        <v>38</v>
      </c>
      <c r="E1625" s="1" t="s">
        <v>1806</v>
      </c>
      <c r="F1625" s="1" t="s">
        <v>6734</v>
      </c>
      <c r="G1625" s="1" t="s">
        <v>12480</v>
      </c>
      <c r="H1625" s="1" t="s">
        <v>6735</v>
      </c>
      <c r="I1625" s="2">
        <v>10.85</v>
      </c>
      <c r="J1625" s="2">
        <v>0.87</v>
      </c>
      <c r="K1625" s="2"/>
      <c r="L1625" s="2"/>
      <c r="M1625" s="4" t="e">
        <f t="shared" si="150"/>
        <v>#DIV/0!</v>
      </c>
      <c r="N1625" s="4" t="e">
        <f t="shared" si="151"/>
        <v>#DIV/0!</v>
      </c>
      <c r="O1625" s="5">
        <f t="shared" si="152"/>
        <v>-1</v>
      </c>
      <c r="P1625" s="5" t="e">
        <f t="shared" si="153"/>
        <v>#DIV/0!</v>
      </c>
      <c r="Q1625" s="4" t="e">
        <f t="shared" si="154"/>
        <v>#DIV/0!</v>
      </c>
      <c r="R1625" s="4" t="e">
        <f t="shared" si="155"/>
        <v>#DIV/0!</v>
      </c>
      <c r="S1625" s="4">
        <v>-5.72</v>
      </c>
      <c r="T1625" s="2">
        <v>0.98</v>
      </c>
      <c r="U1625" s="2">
        <v>10.95</v>
      </c>
      <c r="V1625" s="2">
        <v>6.07</v>
      </c>
      <c r="W1625" s="2">
        <v>-0.64</v>
      </c>
      <c r="X1625" s="2">
        <v>9.82</v>
      </c>
      <c r="Y1625" s="2">
        <v>9.15</v>
      </c>
      <c r="Z1625" s="2">
        <v>12.2</v>
      </c>
    </row>
    <row r="1626" spans="1:26" x14ac:dyDescent="0.25">
      <c r="A1626" s="1" t="s">
        <v>6736</v>
      </c>
      <c r="B1626" s="1" t="s">
        <v>6737</v>
      </c>
      <c r="C1626" s="1" t="s">
        <v>31</v>
      </c>
      <c r="D1626" s="1" t="s">
        <v>25</v>
      </c>
      <c r="E1626" s="1" t="s">
        <v>220</v>
      </c>
      <c r="F1626" s="1" t="s">
        <v>6738</v>
      </c>
      <c r="G1626" s="1" t="s">
        <v>12490</v>
      </c>
      <c r="H1626" s="1" t="s">
        <v>6739</v>
      </c>
      <c r="I1626" s="2">
        <v>41.03</v>
      </c>
      <c r="J1626" s="2">
        <v>1.38</v>
      </c>
      <c r="K1626" s="2">
        <v>1.52</v>
      </c>
      <c r="L1626" s="2">
        <v>2.06</v>
      </c>
      <c r="M1626" s="4">
        <f t="shared" si="150"/>
        <v>26.993421052631579</v>
      </c>
      <c r="N1626" s="4">
        <f t="shared" si="151"/>
        <v>19.917475728155338</v>
      </c>
      <c r="O1626" s="5">
        <f t="shared" si="152"/>
        <v>0.10144927536231885</v>
      </c>
      <c r="P1626" s="5">
        <f t="shared" si="153"/>
        <v>0.35526315789473695</v>
      </c>
      <c r="Q1626" s="4">
        <f t="shared" si="154"/>
        <v>2.6607800751879696</v>
      </c>
      <c r="R1626" s="4">
        <f t="shared" si="155"/>
        <v>0.56064005753326129</v>
      </c>
      <c r="S1626" s="4">
        <v>9.16</v>
      </c>
      <c r="T1626" s="2">
        <v>0.63</v>
      </c>
      <c r="U1626" s="2">
        <v>47.9</v>
      </c>
      <c r="V1626" s="2">
        <v>18.04</v>
      </c>
      <c r="W1626" s="2">
        <v>-11.25</v>
      </c>
      <c r="X1626" s="2">
        <v>-8.74</v>
      </c>
      <c r="Y1626" s="2">
        <v>34.299999999999997</v>
      </c>
      <c r="Z1626" s="2">
        <v>55.39</v>
      </c>
    </row>
    <row r="1627" spans="1:26" x14ac:dyDescent="0.25">
      <c r="A1627" s="1" t="s">
        <v>6742</v>
      </c>
      <c r="B1627" s="1" t="s">
        <v>6743</v>
      </c>
      <c r="C1627" s="1" t="s">
        <v>16</v>
      </c>
      <c r="D1627" s="1" t="s">
        <v>88</v>
      </c>
      <c r="E1627" s="1" t="s">
        <v>1113</v>
      </c>
      <c r="F1627" s="1" t="s">
        <v>6744</v>
      </c>
      <c r="G1627" s="1" t="s">
        <v>12480</v>
      </c>
      <c r="H1627" s="1" t="s">
        <v>6190</v>
      </c>
      <c r="I1627" s="2">
        <v>129.55000000000001</v>
      </c>
      <c r="J1627" s="2">
        <v>7.02</v>
      </c>
      <c r="K1627" s="2">
        <v>8.1</v>
      </c>
      <c r="L1627" s="2">
        <v>9.58</v>
      </c>
      <c r="M1627" s="4">
        <f t="shared" si="150"/>
        <v>15.993827160493829</v>
      </c>
      <c r="N1627" s="4">
        <f t="shared" si="151"/>
        <v>13.522964509394573</v>
      </c>
      <c r="O1627" s="5">
        <f t="shared" si="152"/>
        <v>0.15384615384615397</v>
      </c>
      <c r="P1627" s="5">
        <f t="shared" si="153"/>
        <v>0.18271604938271602</v>
      </c>
      <c r="Q1627" s="4">
        <f t="shared" si="154"/>
        <v>1.0395987654320979</v>
      </c>
      <c r="R1627" s="4">
        <f t="shared" si="155"/>
        <v>0.74010819274389228</v>
      </c>
      <c r="S1627" s="4">
        <v>2.66</v>
      </c>
      <c r="T1627" s="2">
        <v>1.34</v>
      </c>
      <c r="U1627" s="2">
        <v>180.57</v>
      </c>
      <c r="V1627" s="2">
        <v>97.26</v>
      </c>
      <c r="W1627" s="2">
        <v>-11.13</v>
      </c>
      <c r="X1627" s="2">
        <v>-24.23</v>
      </c>
      <c r="Y1627" s="2">
        <v>-6.77</v>
      </c>
      <c r="Z1627" s="2">
        <v>-5.65</v>
      </c>
    </row>
    <row r="1628" spans="1:26" x14ac:dyDescent="0.25">
      <c r="A1628" s="1" t="s">
        <v>6745</v>
      </c>
      <c r="B1628" s="1" t="s">
        <v>6746</v>
      </c>
      <c r="C1628" s="1" t="s">
        <v>31</v>
      </c>
      <c r="D1628" s="1" t="s">
        <v>32</v>
      </c>
      <c r="E1628" s="1" t="s">
        <v>311</v>
      </c>
      <c r="F1628" s="1" t="s">
        <v>6747</v>
      </c>
      <c r="G1628" s="1" t="s">
        <v>12480</v>
      </c>
      <c r="H1628" s="1" t="s">
        <v>6582</v>
      </c>
      <c r="I1628" s="2">
        <v>104.785</v>
      </c>
      <c r="J1628" s="2">
        <v>3.52</v>
      </c>
      <c r="K1628" s="2"/>
      <c r="L1628" s="2"/>
      <c r="M1628" s="4" t="e">
        <f t="shared" si="150"/>
        <v>#DIV/0!</v>
      </c>
      <c r="N1628" s="4" t="e">
        <f t="shared" si="151"/>
        <v>#DIV/0!</v>
      </c>
      <c r="O1628" s="5">
        <f t="shared" si="152"/>
        <v>-1</v>
      </c>
      <c r="P1628" s="5" t="e">
        <f t="shared" si="153"/>
        <v>#DIV/0!</v>
      </c>
      <c r="Q1628" s="4" t="e">
        <f t="shared" si="154"/>
        <v>#DIV/0!</v>
      </c>
      <c r="R1628" s="4" t="e">
        <f t="shared" si="155"/>
        <v>#DIV/0!</v>
      </c>
      <c r="S1628" s="4"/>
      <c r="T1628" s="2"/>
      <c r="U1628" s="2">
        <v>130.03</v>
      </c>
      <c r="V1628" s="2">
        <v>86.64</v>
      </c>
      <c r="W1628" s="2">
        <v>11.1</v>
      </c>
      <c r="X1628" s="2">
        <v>12.27</v>
      </c>
      <c r="Y1628" s="2">
        <v>-17.12</v>
      </c>
      <c r="Z1628" s="2">
        <v>-18.239999999999998</v>
      </c>
    </row>
    <row r="1629" spans="1:26" x14ac:dyDescent="0.25">
      <c r="A1629" s="1" t="s">
        <v>6748</v>
      </c>
      <c r="B1629" s="1" t="s">
        <v>6749</v>
      </c>
      <c r="C1629" s="1" t="s">
        <v>31</v>
      </c>
      <c r="D1629" s="1" t="s">
        <v>25</v>
      </c>
      <c r="E1629" s="1" t="s">
        <v>220</v>
      </c>
      <c r="F1629" s="1" t="s">
        <v>12717</v>
      </c>
      <c r="G1629" s="1" t="s">
        <v>12490</v>
      </c>
      <c r="H1629" s="1" t="s">
        <v>6750</v>
      </c>
      <c r="I1629" s="2">
        <v>369.01</v>
      </c>
      <c r="J1629" s="2"/>
      <c r="K1629" s="2"/>
      <c r="L1629" s="2"/>
      <c r="M1629" s="4" t="e">
        <f t="shared" si="150"/>
        <v>#DIV/0!</v>
      </c>
      <c r="N1629" s="4" t="e">
        <f t="shared" si="151"/>
        <v>#DIV/0!</v>
      </c>
      <c r="O1629" s="5" t="e">
        <f t="shared" si="152"/>
        <v>#DIV/0!</v>
      </c>
      <c r="P1629" s="5" t="e">
        <f t="shared" si="153"/>
        <v>#DIV/0!</v>
      </c>
      <c r="Q1629" s="4" t="e">
        <f t="shared" si="154"/>
        <v>#DIV/0!</v>
      </c>
      <c r="R1629" s="4" t="e">
        <f t="shared" si="155"/>
        <v>#DIV/0!</v>
      </c>
      <c r="S1629" s="4">
        <v>8.77</v>
      </c>
      <c r="T1629" s="2">
        <v>1.1499999999999999</v>
      </c>
      <c r="U1629" s="2" t="s">
        <v>12649</v>
      </c>
      <c r="V1629" s="2">
        <v>332.5</v>
      </c>
      <c r="W1629" s="2">
        <v>-9.5500000000000007</v>
      </c>
      <c r="X1629" s="2">
        <v>2.79</v>
      </c>
      <c r="Y1629" s="2">
        <v>1.64</v>
      </c>
      <c r="Z1629" s="2">
        <v>2.5</v>
      </c>
    </row>
    <row r="1630" spans="1:26" x14ac:dyDescent="0.25">
      <c r="A1630" s="1" t="s">
        <v>6751</v>
      </c>
      <c r="B1630" s="1" t="s">
        <v>6752</v>
      </c>
      <c r="C1630" s="1" t="s">
        <v>45</v>
      </c>
      <c r="D1630" s="1" t="s">
        <v>354</v>
      </c>
      <c r="E1630" s="1" t="s">
        <v>6754</v>
      </c>
      <c r="F1630" s="1" t="s">
        <v>6753</v>
      </c>
      <c r="G1630" s="1" t="s">
        <v>12480</v>
      </c>
      <c r="H1630" s="1" t="s">
        <v>6755</v>
      </c>
      <c r="I1630" s="2">
        <v>11.77</v>
      </c>
      <c r="J1630" s="2"/>
      <c r="K1630" s="2">
        <v>1.29</v>
      </c>
      <c r="L1630" s="2">
        <v>1.48</v>
      </c>
      <c r="M1630" s="4">
        <f t="shared" si="150"/>
        <v>9.1240310077519382</v>
      </c>
      <c r="N1630" s="4">
        <f t="shared" si="151"/>
        <v>7.9527027027027026</v>
      </c>
      <c r="O1630" s="5" t="e">
        <f t="shared" si="152"/>
        <v>#DIV/0!</v>
      </c>
      <c r="P1630" s="5">
        <f t="shared" si="153"/>
        <v>0.1472868217054264</v>
      </c>
      <c r="Q1630" s="4" t="e">
        <f t="shared" si="154"/>
        <v>#DIV/0!</v>
      </c>
      <c r="R1630" s="4">
        <f t="shared" si="155"/>
        <v>0.5399466571834991</v>
      </c>
      <c r="S1630" s="4"/>
      <c r="T1630" s="2"/>
      <c r="U1630" s="2">
        <v>15.17</v>
      </c>
      <c r="V1630" s="2">
        <v>10.43</v>
      </c>
      <c r="W1630" s="2">
        <v>-4.7</v>
      </c>
      <c r="X1630" s="2">
        <v>-3.92</v>
      </c>
      <c r="Y1630" s="2">
        <v>-20.309999999999999</v>
      </c>
      <c r="Z1630" s="2">
        <v>-9.32</v>
      </c>
    </row>
    <row r="1631" spans="1:26" x14ac:dyDescent="0.25">
      <c r="A1631" s="1" t="s">
        <v>6756</v>
      </c>
      <c r="B1631" s="1" t="s">
        <v>6757</v>
      </c>
      <c r="C1631" s="1" t="s">
        <v>45</v>
      </c>
      <c r="D1631" s="1" t="s">
        <v>18</v>
      </c>
      <c r="E1631" s="1" t="s">
        <v>74</v>
      </c>
      <c r="F1631" s="1" t="s">
        <v>6758</v>
      </c>
      <c r="G1631" s="1" t="s">
        <v>12480</v>
      </c>
      <c r="H1631" s="1" t="s">
        <v>3722</v>
      </c>
      <c r="I1631" s="2">
        <v>85.04</v>
      </c>
      <c r="J1631" s="2">
        <v>-3.69</v>
      </c>
      <c r="K1631" s="2">
        <v>-3.66</v>
      </c>
      <c r="L1631" s="2">
        <v>-4.1399999999999997</v>
      </c>
      <c r="M1631" s="4">
        <f t="shared" si="150"/>
        <v>-23.234972677595628</v>
      </c>
      <c r="N1631" s="4">
        <f t="shared" si="151"/>
        <v>-20.54106280193237</v>
      </c>
      <c r="O1631" s="5">
        <f t="shared" si="152"/>
        <v>-8.1300813008129413E-3</v>
      </c>
      <c r="P1631" s="5">
        <f t="shared" si="153"/>
        <v>0.13114754098360648</v>
      </c>
      <c r="Q1631" s="4">
        <f t="shared" si="154"/>
        <v>28.579016393442856</v>
      </c>
      <c r="R1631" s="4">
        <f t="shared" si="155"/>
        <v>-1.5662560386473441</v>
      </c>
      <c r="S1631" s="4">
        <v>-16.7</v>
      </c>
      <c r="T1631" s="2">
        <v>2.2000000000000002</v>
      </c>
      <c r="U1631" s="2">
        <v>95.03</v>
      </c>
      <c r="V1631" s="2">
        <v>21.05</v>
      </c>
      <c r="W1631" s="2">
        <v>-5.62</v>
      </c>
      <c r="X1631" s="2">
        <v>7.62</v>
      </c>
      <c r="Y1631" s="2">
        <v>-0.75</v>
      </c>
      <c r="Z1631" s="2">
        <v>9.2899999999999991</v>
      </c>
    </row>
    <row r="1632" spans="1:26" x14ac:dyDescent="0.25">
      <c r="A1632" s="1" t="s">
        <v>6760</v>
      </c>
      <c r="B1632" s="1" t="s">
        <v>6761</v>
      </c>
      <c r="C1632" s="1" t="s">
        <v>31</v>
      </c>
      <c r="D1632" s="1" t="s">
        <v>32</v>
      </c>
      <c r="E1632" s="1" t="s">
        <v>33</v>
      </c>
      <c r="F1632" s="1" t="s">
        <v>6762</v>
      </c>
      <c r="G1632" s="1" t="s">
        <v>12490</v>
      </c>
      <c r="H1632" s="1" t="s">
        <v>6763</v>
      </c>
      <c r="I1632" s="2">
        <v>16.600000000000001</v>
      </c>
      <c r="J1632" s="2">
        <v>0.11</v>
      </c>
      <c r="K1632" s="2">
        <v>0.48</v>
      </c>
      <c r="L1632" s="2">
        <v>0.55000000000000004</v>
      </c>
      <c r="M1632" s="4">
        <f t="shared" si="150"/>
        <v>34.583333333333336</v>
      </c>
      <c r="N1632" s="4">
        <f t="shared" si="151"/>
        <v>30.181818181818183</v>
      </c>
      <c r="O1632" s="5">
        <f t="shared" si="152"/>
        <v>3.3636363636363633</v>
      </c>
      <c r="P1632" s="5">
        <f t="shared" si="153"/>
        <v>0.14583333333333348</v>
      </c>
      <c r="Q1632" s="4">
        <f t="shared" si="154"/>
        <v>0.10281531531531533</v>
      </c>
      <c r="R1632" s="4">
        <f t="shared" si="155"/>
        <v>2.0696103896103875</v>
      </c>
      <c r="S1632" s="4">
        <v>-4.72</v>
      </c>
      <c r="T1632" s="2">
        <v>0.27</v>
      </c>
      <c r="U1632" s="2">
        <v>18.09</v>
      </c>
      <c r="V1632" s="2">
        <v>10.73</v>
      </c>
      <c r="W1632" s="2">
        <v>-5.68</v>
      </c>
      <c r="X1632" s="2">
        <v>-4.32</v>
      </c>
      <c r="Y1632" s="2">
        <v>15.12</v>
      </c>
      <c r="Z1632" s="2">
        <v>17.23</v>
      </c>
    </row>
    <row r="1633" spans="1:26" x14ac:dyDescent="0.25">
      <c r="A1633" s="1" t="s">
        <v>6764</v>
      </c>
      <c r="B1633" s="1" t="s">
        <v>6765</v>
      </c>
      <c r="C1633" s="1" t="s">
        <v>16</v>
      </c>
      <c r="D1633" s="1" t="s">
        <v>38</v>
      </c>
      <c r="E1633" s="1" t="s">
        <v>254</v>
      </c>
      <c r="F1633" s="1" t="s">
        <v>6766</v>
      </c>
      <c r="G1633" s="1" t="s">
        <v>12480</v>
      </c>
      <c r="H1633" s="1" t="s">
        <v>6767</v>
      </c>
      <c r="I1633" s="2">
        <v>109.1</v>
      </c>
      <c r="J1633" s="2">
        <v>7.97</v>
      </c>
      <c r="K1633" s="2"/>
      <c r="L1633" s="2"/>
      <c r="M1633" s="4" t="e">
        <f t="shared" si="150"/>
        <v>#DIV/0!</v>
      </c>
      <c r="N1633" s="4" t="e">
        <f t="shared" si="151"/>
        <v>#DIV/0!</v>
      </c>
      <c r="O1633" s="5">
        <f t="shared" si="152"/>
        <v>-1</v>
      </c>
      <c r="P1633" s="5" t="e">
        <f t="shared" si="153"/>
        <v>#DIV/0!</v>
      </c>
      <c r="Q1633" s="4" t="e">
        <f t="shared" si="154"/>
        <v>#DIV/0!</v>
      </c>
      <c r="R1633" s="4" t="e">
        <f t="shared" si="155"/>
        <v>#DIV/0!</v>
      </c>
      <c r="S1633" s="4">
        <v>5.39</v>
      </c>
      <c r="T1633" s="2">
        <v>0.6</v>
      </c>
      <c r="U1633" s="2">
        <v>112.19</v>
      </c>
      <c r="V1633" s="2">
        <v>80.89</v>
      </c>
      <c r="W1633" s="2">
        <v>-2.75</v>
      </c>
      <c r="X1633" s="2">
        <v>-1.62</v>
      </c>
      <c r="Y1633" s="2">
        <v>3.5</v>
      </c>
      <c r="Z1633" s="2">
        <v>3.6</v>
      </c>
    </row>
    <row r="1634" spans="1:26" x14ac:dyDescent="0.25">
      <c r="A1634" s="1" t="s">
        <v>6768</v>
      </c>
      <c r="B1634" s="1" t="s">
        <v>6769</v>
      </c>
      <c r="C1634" s="1" t="s">
        <v>16</v>
      </c>
      <c r="D1634" s="1" t="s">
        <v>88</v>
      </c>
      <c r="E1634" s="1" t="s">
        <v>658</v>
      </c>
      <c r="F1634" s="1" t="s">
        <v>6770</v>
      </c>
      <c r="G1634" s="1" t="s">
        <v>12480</v>
      </c>
      <c r="H1634" s="1" t="s">
        <v>6771</v>
      </c>
      <c r="I1634" s="2">
        <v>4.6399999999999997</v>
      </c>
      <c r="J1634" s="2">
        <v>-0.21</v>
      </c>
      <c r="K1634" s="2">
        <v>-0.43</v>
      </c>
      <c r="L1634" s="2">
        <v>-0.14000000000000001</v>
      </c>
      <c r="M1634" s="4">
        <f t="shared" si="150"/>
        <v>-10.790697674418604</v>
      </c>
      <c r="N1634" s="4">
        <f t="shared" si="151"/>
        <v>-33.142857142857139</v>
      </c>
      <c r="O1634" s="5">
        <f t="shared" si="152"/>
        <v>1.0476190476190474</v>
      </c>
      <c r="P1634" s="5">
        <f t="shared" si="153"/>
        <v>-0.67441860465116277</v>
      </c>
      <c r="Q1634" s="4">
        <f t="shared" si="154"/>
        <v>-0.10300211416490487</v>
      </c>
      <c r="R1634" s="4">
        <f t="shared" si="155"/>
        <v>0.49142857142857138</v>
      </c>
      <c r="S1634" s="4"/>
      <c r="T1634" s="2">
        <v>1.49</v>
      </c>
      <c r="U1634" s="2">
        <v>10.050000000000001</v>
      </c>
      <c r="V1634" s="2">
        <v>2.34</v>
      </c>
      <c r="W1634" s="2">
        <v>-9.3800000000000008</v>
      </c>
      <c r="X1634" s="2">
        <v>-4.13</v>
      </c>
      <c r="Y1634" s="2">
        <v>-3.73</v>
      </c>
      <c r="Z1634" s="2">
        <v>6.42</v>
      </c>
    </row>
    <row r="1635" spans="1:26" x14ac:dyDescent="0.25">
      <c r="A1635" s="1" t="s">
        <v>6772</v>
      </c>
      <c r="B1635" s="1" t="s">
        <v>6773</v>
      </c>
      <c r="C1635" s="1" t="s">
        <v>16</v>
      </c>
      <c r="D1635" s="1" t="s">
        <v>67</v>
      </c>
      <c r="E1635" s="1" t="s">
        <v>134</v>
      </c>
      <c r="F1635" s="1" t="s">
        <v>6774</v>
      </c>
      <c r="G1635" s="1" t="s">
        <v>12480</v>
      </c>
      <c r="H1635" s="1" t="s">
        <v>6775</v>
      </c>
      <c r="I1635" s="2">
        <v>265.47000000000003</v>
      </c>
      <c r="J1635" s="2">
        <v>33.46</v>
      </c>
      <c r="K1635" s="2">
        <v>36.83</v>
      </c>
      <c r="L1635" s="2">
        <v>42.63</v>
      </c>
      <c r="M1635" s="4">
        <f t="shared" si="150"/>
        <v>7.2079826228617989</v>
      </c>
      <c r="N1635" s="4">
        <f t="shared" si="151"/>
        <v>6.2273047149894447</v>
      </c>
      <c r="O1635" s="5">
        <f t="shared" si="152"/>
        <v>0.1007172743574416</v>
      </c>
      <c r="P1635" s="5">
        <f t="shared" si="153"/>
        <v>0.15748031496063009</v>
      </c>
      <c r="Q1635" s="4">
        <f t="shared" si="154"/>
        <v>0.71566498089304476</v>
      </c>
      <c r="R1635" s="4">
        <f t="shared" si="155"/>
        <v>0.39543384940182935</v>
      </c>
      <c r="S1635" s="4">
        <v>3.86</v>
      </c>
      <c r="T1635" s="2">
        <v>1.2</v>
      </c>
      <c r="U1635" s="2">
        <v>356.66</v>
      </c>
      <c r="V1635" s="2">
        <v>259.64999999999998</v>
      </c>
      <c r="W1635" s="2">
        <v>-2.88</v>
      </c>
      <c r="X1635" s="2">
        <v>-19.809999999999999</v>
      </c>
      <c r="Y1635" s="2">
        <v>-23.43</v>
      </c>
      <c r="Z1635" s="2">
        <v>-20.12</v>
      </c>
    </row>
    <row r="1636" spans="1:26" x14ac:dyDescent="0.25">
      <c r="A1636" s="1" t="s">
        <v>6776</v>
      </c>
      <c r="B1636" s="1" t="s">
        <v>6777</v>
      </c>
      <c r="C1636" s="1" t="s">
        <v>16</v>
      </c>
      <c r="D1636" s="1" t="s">
        <v>38</v>
      </c>
      <c r="E1636" s="1" t="s">
        <v>153</v>
      </c>
      <c r="F1636" s="1" t="s">
        <v>6778</v>
      </c>
      <c r="G1636" s="1" t="s">
        <v>12480</v>
      </c>
      <c r="H1636" s="1" t="s">
        <v>6779</v>
      </c>
      <c r="I1636" s="2">
        <v>10.25</v>
      </c>
      <c r="J1636" s="2">
        <v>0.88</v>
      </c>
      <c r="K1636" s="2">
        <v>1.02</v>
      </c>
      <c r="L1636" s="2">
        <v>1.18</v>
      </c>
      <c r="M1636" s="4">
        <f t="shared" si="150"/>
        <v>10.049019607843137</v>
      </c>
      <c r="N1636" s="4">
        <f t="shared" si="151"/>
        <v>8.6864406779661021</v>
      </c>
      <c r="O1636" s="5">
        <f t="shared" si="152"/>
        <v>0.15909090909090917</v>
      </c>
      <c r="P1636" s="5">
        <f t="shared" si="153"/>
        <v>0.1568627450980391</v>
      </c>
      <c r="Q1636" s="4">
        <f t="shared" si="154"/>
        <v>0.63165266106442541</v>
      </c>
      <c r="R1636" s="4">
        <f t="shared" si="155"/>
        <v>0.55376059322033944</v>
      </c>
      <c r="S1636" s="4" t="s">
        <v>12718</v>
      </c>
      <c r="T1636" s="2" t="s">
        <v>12493</v>
      </c>
      <c r="U1636" s="2">
        <v>11.81</v>
      </c>
      <c r="V1636" s="2">
        <v>9.86</v>
      </c>
      <c r="W1636" s="2">
        <v>-2.1</v>
      </c>
      <c r="X1636" s="2">
        <v>-0.19</v>
      </c>
      <c r="Y1636" s="2">
        <v>-9.5299999999999994</v>
      </c>
      <c r="Z1636" s="2">
        <v>-6.73</v>
      </c>
    </row>
    <row r="1637" spans="1:26" x14ac:dyDescent="0.25">
      <c r="A1637" s="1" t="s">
        <v>6780</v>
      </c>
      <c r="B1637" s="1" t="s">
        <v>6781</v>
      </c>
      <c r="C1637" s="1" t="s">
        <v>45</v>
      </c>
      <c r="D1637" s="1" t="s">
        <v>38</v>
      </c>
      <c r="E1637" s="1" t="s">
        <v>510</v>
      </c>
      <c r="F1637" s="1" t="s">
        <v>6782</v>
      </c>
      <c r="G1637" s="1" t="s">
        <v>12480</v>
      </c>
      <c r="H1637" s="1" t="s">
        <v>6783</v>
      </c>
      <c r="I1637" s="2">
        <v>136.02000000000001</v>
      </c>
      <c r="J1637" s="2">
        <v>8.26</v>
      </c>
      <c r="K1637" s="2">
        <v>8.61</v>
      </c>
      <c r="L1637" s="2">
        <v>9.2200000000000006</v>
      </c>
      <c r="M1637" s="4">
        <f t="shared" si="150"/>
        <v>15.797909407665507</v>
      </c>
      <c r="N1637" s="4">
        <f t="shared" si="151"/>
        <v>14.752711496746205</v>
      </c>
      <c r="O1637" s="5">
        <f t="shared" si="152"/>
        <v>4.237288135593209E-2</v>
      </c>
      <c r="P1637" s="5">
        <f t="shared" si="153"/>
        <v>7.0847851335656298E-2</v>
      </c>
      <c r="Q1637" s="4">
        <f t="shared" si="154"/>
        <v>3.7283066202090698</v>
      </c>
      <c r="R1637" s="4">
        <f t="shared" si="155"/>
        <v>2.0823089506063059</v>
      </c>
      <c r="S1637" s="4">
        <v>2.68</v>
      </c>
      <c r="T1637" s="2">
        <v>1.21</v>
      </c>
      <c r="U1637" s="2">
        <v>139.18</v>
      </c>
      <c r="V1637" s="2">
        <v>102.35</v>
      </c>
      <c r="W1637" s="2">
        <v>-2.27</v>
      </c>
      <c r="X1637" s="2">
        <v>2.72</v>
      </c>
      <c r="Y1637" s="2">
        <v>7.14</v>
      </c>
      <c r="Z1637" s="2">
        <v>7.46</v>
      </c>
    </row>
    <row r="1638" spans="1:26" x14ac:dyDescent="0.25">
      <c r="A1638" s="1" t="s">
        <v>6784</v>
      </c>
      <c r="B1638" s="1" t="s">
        <v>6785</v>
      </c>
      <c r="C1638" s="1" t="s">
        <v>45</v>
      </c>
      <c r="D1638" s="1" t="s">
        <v>32</v>
      </c>
      <c r="E1638" s="1" t="s">
        <v>57</v>
      </c>
      <c r="F1638" s="1" t="s">
        <v>6786</v>
      </c>
      <c r="G1638" s="1" t="s">
        <v>12480</v>
      </c>
      <c r="H1638" s="1" t="s">
        <v>6787</v>
      </c>
      <c r="I1638" s="2" t="s">
        <v>12719</v>
      </c>
      <c r="J1638" s="2">
        <v>0.24</v>
      </c>
      <c r="K1638" s="2">
        <v>0.38</v>
      </c>
      <c r="L1638" s="2">
        <v>0.62</v>
      </c>
      <c r="M1638" s="4">
        <f t="shared" si="150"/>
        <v>160.52631578947367</v>
      </c>
      <c r="N1638" s="4">
        <f t="shared" si="151"/>
        <v>98.387096774193552</v>
      </c>
      <c r="O1638" s="5">
        <f t="shared" si="152"/>
        <v>0.58333333333333348</v>
      </c>
      <c r="P1638" s="5">
        <f t="shared" si="153"/>
        <v>0.63157894736842102</v>
      </c>
      <c r="Q1638" s="4">
        <f t="shared" si="154"/>
        <v>2.7518796992481191</v>
      </c>
      <c r="R1638" s="4">
        <f t="shared" si="155"/>
        <v>1.5577956989247312</v>
      </c>
      <c r="S1638" s="4">
        <v>31.62</v>
      </c>
      <c r="T1638" s="2">
        <v>2.27</v>
      </c>
      <c r="U1638" s="2">
        <v>67.69</v>
      </c>
      <c r="V1638" s="2">
        <v>6.44</v>
      </c>
      <c r="W1638" s="2">
        <v>-9.8800000000000008</v>
      </c>
      <c r="X1638" s="2">
        <v>11.74</v>
      </c>
      <c r="Y1638" s="2">
        <v>67.12</v>
      </c>
      <c r="Z1638" s="2">
        <v>62.62</v>
      </c>
    </row>
    <row r="1639" spans="1:26" x14ac:dyDescent="0.25">
      <c r="A1639" s="1" t="s">
        <v>6789</v>
      </c>
      <c r="B1639" s="1" t="s">
        <v>6790</v>
      </c>
      <c r="C1639" s="1" t="s">
        <v>45</v>
      </c>
      <c r="D1639" s="1" t="s">
        <v>147</v>
      </c>
      <c r="E1639" s="1" t="s">
        <v>435</v>
      </c>
      <c r="F1639" s="1" t="s">
        <v>6791</v>
      </c>
      <c r="G1639" s="1" t="s">
        <v>12480</v>
      </c>
      <c r="H1639" s="1" t="s">
        <v>6792</v>
      </c>
      <c r="I1639" s="2">
        <v>34.25</v>
      </c>
      <c r="J1639" s="2">
        <v>1.72</v>
      </c>
      <c r="K1639" s="2">
        <v>2.14</v>
      </c>
      <c r="L1639" s="2">
        <v>2.38</v>
      </c>
      <c r="M1639" s="4">
        <f t="shared" si="150"/>
        <v>16.004672897196262</v>
      </c>
      <c r="N1639" s="4">
        <f t="shared" si="151"/>
        <v>14.390756302521009</v>
      </c>
      <c r="O1639" s="5">
        <f t="shared" si="152"/>
        <v>0.2441860465116279</v>
      </c>
      <c r="P1639" s="5">
        <f t="shared" si="153"/>
        <v>0.11214953271028016</v>
      </c>
      <c r="Q1639" s="4">
        <f t="shared" si="154"/>
        <v>0.65542946150422787</v>
      </c>
      <c r="R1639" s="4">
        <f t="shared" si="155"/>
        <v>1.2831757703081257</v>
      </c>
      <c r="S1639" s="4">
        <v>8.64</v>
      </c>
      <c r="T1639" s="2">
        <v>0.59</v>
      </c>
      <c r="U1639" s="2">
        <v>35.97</v>
      </c>
      <c r="V1639" s="2">
        <v>18.34</v>
      </c>
      <c r="W1639" s="2">
        <v>5.74</v>
      </c>
      <c r="X1639" s="2">
        <v>-3.28</v>
      </c>
      <c r="Y1639" s="2">
        <v>4.74</v>
      </c>
      <c r="Z1639" s="2">
        <v>1.72</v>
      </c>
    </row>
    <row r="1640" spans="1:26" x14ac:dyDescent="0.25">
      <c r="A1640" s="1" t="s">
        <v>6793</v>
      </c>
      <c r="B1640" s="1" t="s">
        <v>6794</v>
      </c>
      <c r="C1640" s="1" t="s">
        <v>16</v>
      </c>
      <c r="D1640" s="1" t="s">
        <v>38</v>
      </c>
      <c r="E1640" s="1" t="s">
        <v>52</v>
      </c>
      <c r="F1640" s="1" t="s">
        <v>6795</v>
      </c>
      <c r="G1640" s="1" t="s">
        <v>12480</v>
      </c>
      <c r="H1640" s="1" t="s">
        <v>6796</v>
      </c>
      <c r="I1640" s="2">
        <v>43.18</v>
      </c>
      <c r="J1640" s="2">
        <v>2.44</v>
      </c>
      <c r="K1640" s="2">
        <v>3.67</v>
      </c>
      <c r="L1640" s="2">
        <v>5.05</v>
      </c>
      <c r="M1640" s="4">
        <f t="shared" si="150"/>
        <v>11.76566757493188</v>
      </c>
      <c r="N1640" s="4">
        <f t="shared" si="151"/>
        <v>8.550495049504951</v>
      </c>
      <c r="O1640" s="5">
        <f t="shared" si="152"/>
        <v>0.50409836065573765</v>
      </c>
      <c r="P1640" s="5">
        <f t="shared" si="153"/>
        <v>0.37602179836512262</v>
      </c>
      <c r="Q1640" s="4">
        <f t="shared" si="154"/>
        <v>0.23340023481978692</v>
      </c>
      <c r="R1640" s="4">
        <f t="shared" si="155"/>
        <v>0.22739360022958818</v>
      </c>
      <c r="S1640" s="4" t="s">
        <v>12855</v>
      </c>
      <c r="T1640" s="2">
        <v>1.4</v>
      </c>
      <c r="U1640" s="2">
        <v>57.75</v>
      </c>
      <c r="V1640" s="2">
        <v>33.409999999999997</v>
      </c>
      <c r="W1640" s="2" t="s">
        <v>12635</v>
      </c>
      <c r="X1640" s="2">
        <v>-24.25</v>
      </c>
      <c r="Y1640" s="2">
        <v>-14.78</v>
      </c>
      <c r="Z1640" s="2">
        <v>-11.08</v>
      </c>
    </row>
    <row r="1641" spans="1:26" x14ac:dyDescent="0.25">
      <c r="A1641" s="1" t="s">
        <v>6797</v>
      </c>
      <c r="B1641" s="1" t="s">
        <v>6798</v>
      </c>
      <c r="C1641" s="1" t="s">
        <v>16</v>
      </c>
      <c r="D1641" s="1" t="s">
        <v>94</v>
      </c>
      <c r="E1641" s="1" t="s">
        <v>403</v>
      </c>
      <c r="F1641" s="1" t="s">
        <v>6799</v>
      </c>
      <c r="G1641" s="1" t="s">
        <v>12480</v>
      </c>
      <c r="H1641" s="1" t="s">
        <v>6800</v>
      </c>
      <c r="I1641" s="2">
        <v>73.28</v>
      </c>
      <c r="J1641" s="2">
        <v>0.94</v>
      </c>
      <c r="K1641" s="2">
        <v>3.48</v>
      </c>
      <c r="L1641" s="2">
        <v>6.02</v>
      </c>
      <c r="M1641" s="4">
        <f t="shared" si="150"/>
        <v>21.057471264367816</v>
      </c>
      <c r="N1641" s="4">
        <f t="shared" si="151"/>
        <v>12.172757475083058</v>
      </c>
      <c r="O1641" s="5">
        <f t="shared" si="152"/>
        <v>2.7021276595744683</v>
      </c>
      <c r="P1641" s="5">
        <f t="shared" si="153"/>
        <v>0.72988505747126431</v>
      </c>
      <c r="Q1641" s="4">
        <f t="shared" si="154"/>
        <v>7.7929224364195845E-2</v>
      </c>
      <c r="R1641" s="4">
        <f t="shared" si="155"/>
        <v>0.16677636225704351</v>
      </c>
      <c r="S1641" s="4">
        <v>81.069999999999993</v>
      </c>
      <c r="T1641" s="2">
        <v>0.11</v>
      </c>
      <c r="U1641" s="2">
        <v>85.55</v>
      </c>
      <c r="V1641" s="2">
        <v>44.2</v>
      </c>
      <c r="W1641" s="2">
        <v>-0.97</v>
      </c>
      <c r="X1641" s="2">
        <v>28.56</v>
      </c>
      <c r="Y1641" s="2">
        <v>40.03</v>
      </c>
      <c r="Z1641" s="2">
        <v>49.58</v>
      </c>
    </row>
    <row r="1642" spans="1:26" x14ac:dyDescent="0.25">
      <c r="A1642" s="1" t="s">
        <v>6801</v>
      </c>
      <c r="B1642" s="1" t="s">
        <v>6802</v>
      </c>
      <c r="C1642" s="1" t="s">
        <v>31</v>
      </c>
      <c r="D1642" s="1" t="s">
        <v>128</v>
      </c>
      <c r="E1642" s="1" t="s">
        <v>210</v>
      </c>
      <c r="F1642" s="1" t="s">
        <v>6803</v>
      </c>
      <c r="G1642" s="1" t="s">
        <v>12480</v>
      </c>
      <c r="H1642" s="1" t="s">
        <v>6804</v>
      </c>
      <c r="I1642" s="2">
        <v>46.629899999999999</v>
      </c>
      <c r="J1642" s="2">
        <v>1.66</v>
      </c>
      <c r="K1642" s="2"/>
      <c r="L1642" s="2"/>
      <c r="M1642" s="4" t="e">
        <f t="shared" si="150"/>
        <v>#DIV/0!</v>
      </c>
      <c r="N1642" s="4" t="e">
        <f t="shared" si="151"/>
        <v>#DIV/0!</v>
      </c>
      <c r="O1642" s="5">
        <f t="shared" si="152"/>
        <v>-1</v>
      </c>
      <c r="P1642" s="5" t="e">
        <f t="shared" si="153"/>
        <v>#DIV/0!</v>
      </c>
      <c r="Q1642" s="4" t="e">
        <f t="shared" si="154"/>
        <v>#DIV/0!</v>
      </c>
      <c r="R1642" s="4" t="e">
        <f t="shared" si="155"/>
        <v>#DIV/0!</v>
      </c>
      <c r="S1642" s="4">
        <v>2.71</v>
      </c>
      <c r="T1642" s="2"/>
      <c r="U1642" s="2">
        <v>50.26</v>
      </c>
      <c r="V1642" s="2">
        <v>41.94</v>
      </c>
      <c r="W1642" s="2">
        <v>0.09</v>
      </c>
      <c r="X1642" s="2">
        <v>-5.07</v>
      </c>
      <c r="Y1642" s="2">
        <v>4.93</v>
      </c>
      <c r="Z1642" s="2">
        <v>3.11</v>
      </c>
    </row>
    <row r="1643" spans="1:26" x14ac:dyDescent="0.25">
      <c r="A1643" s="1" t="s">
        <v>6805</v>
      </c>
      <c r="B1643" s="1" t="s">
        <v>6806</v>
      </c>
      <c r="C1643" s="1" t="s">
        <v>45</v>
      </c>
      <c r="D1643" s="1" t="s">
        <v>147</v>
      </c>
      <c r="E1643" s="1" t="s">
        <v>2590</v>
      </c>
      <c r="F1643" s="1" t="s">
        <v>6807</v>
      </c>
      <c r="G1643" s="1" t="s">
        <v>12480</v>
      </c>
      <c r="H1643" s="1" t="s">
        <v>6808</v>
      </c>
      <c r="I1643" s="2">
        <v>51.92</v>
      </c>
      <c r="J1643" s="2">
        <v>-16.3</v>
      </c>
      <c r="K1643" s="2"/>
      <c r="L1643" s="2"/>
      <c r="M1643" s="4" t="e">
        <f t="shared" si="150"/>
        <v>#DIV/0!</v>
      </c>
      <c r="N1643" s="4" t="e">
        <f t="shared" si="151"/>
        <v>#DIV/0!</v>
      </c>
      <c r="O1643" s="5">
        <f t="shared" si="152"/>
        <v>-1</v>
      </c>
      <c r="P1643" s="5" t="e">
        <f t="shared" si="153"/>
        <v>#DIV/0!</v>
      </c>
      <c r="Q1643" s="4" t="e">
        <f t="shared" si="154"/>
        <v>#DIV/0!</v>
      </c>
      <c r="R1643" s="4" t="e">
        <f t="shared" si="155"/>
        <v>#DIV/0!</v>
      </c>
      <c r="S1643" s="4">
        <v>3.57</v>
      </c>
      <c r="T1643" s="2">
        <v>0.95</v>
      </c>
      <c r="U1643" s="2">
        <v>100.28</v>
      </c>
      <c r="V1643" s="2">
        <v>42.4</v>
      </c>
      <c r="W1643" s="2">
        <v>-4.4400000000000004</v>
      </c>
      <c r="X1643" s="2">
        <v>-5.94</v>
      </c>
      <c r="Y1643" s="2">
        <v>7.29</v>
      </c>
      <c r="Z1643" s="2">
        <v>7.54</v>
      </c>
    </row>
    <row r="1644" spans="1:26" x14ac:dyDescent="0.25">
      <c r="A1644" s="1" t="s">
        <v>6805</v>
      </c>
      <c r="B1644" s="1" t="s">
        <v>6809</v>
      </c>
      <c r="C1644" s="1" t="s">
        <v>45</v>
      </c>
      <c r="D1644" s="1" t="s">
        <v>147</v>
      </c>
      <c r="E1644" s="1" t="s">
        <v>2590</v>
      </c>
      <c r="F1644" s="1" t="s">
        <v>6810</v>
      </c>
      <c r="G1644" s="1" t="s">
        <v>12480</v>
      </c>
      <c r="H1644" s="1" t="s">
        <v>6808</v>
      </c>
      <c r="I1644" s="2">
        <v>51.94</v>
      </c>
      <c r="J1644" s="2">
        <v>-16.3</v>
      </c>
      <c r="K1644" s="2"/>
      <c r="L1644" s="2"/>
      <c r="M1644" s="4" t="e">
        <f t="shared" si="150"/>
        <v>#DIV/0!</v>
      </c>
      <c r="N1644" s="4" t="e">
        <f t="shared" si="151"/>
        <v>#DIV/0!</v>
      </c>
      <c r="O1644" s="5">
        <f t="shared" si="152"/>
        <v>-1</v>
      </c>
      <c r="P1644" s="5" t="e">
        <f t="shared" si="153"/>
        <v>#DIV/0!</v>
      </c>
      <c r="Q1644" s="4" t="e">
        <f t="shared" si="154"/>
        <v>#DIV/0!</v>
      </c>
      <c r="R1644" s="4" t="e">
        <f t="shared" si="155"/>
        <v>#DIV/0!</v>
      </c>
      <c r="S1644" s="4">
        <v>3.57</v>
      </c>
      <c r="T1644" s="2">
        <v>0.95</v>
      </c>
      <c r="U1644" s="2">
        <v>101.29</v>
      </c>
      <c r="V1644" s="2">
        <v>42.56</v>
      </c>
      <c r="W1644" s="2">
        <v>-4.47</v>
      </c>
      <c r="X1644" s="2">
        <v>-6.21</v>
      </c>
      <c r="Y1644" s="2">
        <v>6.85</v>
      </c>
      <c r="Z1644" s="2">
        <v>6.87</v>
      </c>
    </row>
    <row r="1645" spans="1:26" x14ac:dyDescent="0.25">
      <c r="A1645" s="1" t="s">
        <v>6812</v>
      </c>
      <c r="B1645" s="1" t="s">
        <v>6813</v>
      </c>
      <c r="C1645" s="1" t="s">
        <v>16</v>
      </c>
      <c r="D1645" s="1" t="s">
        <v>94</v>
      </c>
      <c r="E1645" s="1" t="s">
        <v>1042</v>
      </c>
      <c r="F1645" s="1" t="s">
        <v>6814</v>
      </c>
      <c r="G1645" s="1" t="s">
        <v>12480</v>
      </c>
      <c r="H1645" s="1" t="s">
        <v>6815</v>
      </c>
      <c r="I1645" s="2">
        <v>27.76</v>
      </c>
      <c r="J1645" s="2">
        <v>0.15</v>
      </c>
      <c r="K1645" s="2">
        <v>-0.46</v>
      </c>
      <c r="L1645" s="2">
        <v>-0.06</v>
      </c>
      <c r="M1645" s="4">
        <f t="shared" si="150"/>
        <v>-60.347826086956523</v>
      </c>
      <c r="N1645" s="4">
        <f t="shared" si="151"/>
        <v>-462.66666666666669</v>
      </c>
      <c r="O1645" s="5">
        <f t="shared" si="152"/>
        <v>-4.0666666666666664</v>
      </c>
      <c r="P1645" s="5">
        <f t="shared" si="153"/>
        <v>-0.86956521739130432</v>
      </c>
      <c r="Q1645" s="4">
        <f t="shared" si="154"/>
        <v>0.14839629365645049</v>
      </c>
      <c r="R1645" s="4">
        <f t="shared" si="155"/>
        <v>5.3206666666666669</v>
      </c>
      <c r="S1645" s="4">
        <v>-7.16</v>
      </c>
      <c r="T1645" s="2">
        <v>0.48</v>
      </c>
      <c r="U1645" s="2">
        <v>28.48</v>
      </c>
      <c r="V1645" s="2" t="s">
        <v>12479</v>
      </c>
      <c r="W1645" s="2">
        <v>-2.5299999999999998</v>
      </c>
      <c r="X1645" s="2">
        <v>10.29</v>
      </c>
      <c r="Y1645" s="2">
        <v>45.11</v>
      </c>
      <c r="Z1645" s="2">
        <v>50.38</v>
      </c>
    </row>
    <row r="1646" spans="1:26" x14ac:dyDescent="0.25">
      <c r="A1646" s="1" t="s">
        <v>6816</v>
      </c>
      <c r="B1646" s="1" t="s">
        <v>6817</v>
      </c>
      <c r="C1646" s="1" t="s">
        <v>45</v>
      </c>
      <c r="D1646" s="1" t="s">
        <v>354</v>
      </c>
      <c r="E1646" s="1" t="s">
        <v>1537</v>
      </c>
      <c r="F1646" s="1" t="s">
        <v>6818</v>
      </c>
      <c r="G1646" s="1" t="s">
        <v>12480</v>
      </c>
      <c r="H1646" s="1" t="s">
        <v>6819</v>
      </c>
      <c r="I1646" s="2">
        <v>12.57</v>
      </c>
      <c r="J1646" s="2">
        <v>-20.86</v>
      </c>
      <c r="K1646" s="2">
        <v>-1.34</v>
      </c>
      <c r="L1646" s="2">
        <v>-1.2</v>
      </c>
      <c r="M1646" s="4">
        <f t="shared" si="150"/>
        <v>-9.3805970149253728</v>
      </c>
      <c r="N1646" s="4">
        <f t="shared" si="151"/>
        <v>-10.475000000000001</v>
      </c>
      <c r="O1646" s="5">
        <f t="shared" si="152"/>
        <v>-0.93576222435282841</v>
      </c>
      <c r="P1646" s="5">
        <f t="shared" si="153"/>
        <v>-0.10447761194029859</v>
      </c>
      <c r="Q1646" s="4">
        <f t="shared" si="154"/>
        <v>0.10024551932958159</v>
      </c>
      <c r="R1646" s="4">
        <f t="shared" si="155"/>
        <v>1.0026071428571421</v>
      </c>
      <c r="S1646" s="4">
        <v>12.36</v>
      </c>
      <c r="T1646" s="2">
        <v>1.02</v>
      </c>
      <c r="U1646" s="2">
        <v>13.03</v>
      </c>
      <c r="V1646" s="2">
        <v>9.08</v>
      </c>
      <c r="W1646" s="2">
        <v>-1.1000000000000001</v>
      </c>
      <c r="X1646" s="2">
        <v>8.27</v>
      </c>
      <c r="Y1646" s="2">
        <v>12.13</v>
      </c>
      <c r="Z1646" s="2">
        <v>12.84</v>
      </c>
    </row>
    <row r="1647" spans="1:26" x14ac:dyDescent="0.25">
      <c r="A1647" s="1" t="s">
        <v>6816</v>
      </c>
      <c r="B1647" s="1" t="s">
        <v>6820</v>
      </c>
      <c r="C1647" s="1" t="s">
        <v>45</v>
      </c>
      <c r="D1647" s="1" t="s">
        <v>147</v>
      </c>
      <c r="E1647" s="1" t="s">
        <v>2590</v>
      </c>
      <c r="F1647" s="1" t="s">
        <v>6821</v>
      </c>
      <c r="G1647" s="1" t="s">
        <v>12480</v>
      </c>
      <c r="H1647" s="1" t="s">
        <v>6819</v>
      </c>
      <c r="I1647" s="2">
        <v>13.13</v>
      </c>
      <c r="J1647" s="2">
        <v>-20.86</v>
      </c>
      <c r="K1647" s="2"/>
      <c r="L1647" s="2"/>
      <c r="M1647" s="4" t="e">
        <f t="shared" si="150"/>
        <v>#DIV/0!</v>
      </c>
      <c r="N1647" s="4" t="e">
        <f t="shared" si="151"/>
        <v>#DIV/0!</v>
      </c>
      <c r="O1647" s="5">
        <f t="shared" si="152"/>
        <v>-1</v>
      </c>
      <c r="P1647" s="5" t="e">
        <f t="shared" si="153"/>
        <v>#DIV/0!</v>
      </c>
      <c r="Q1647" s="4" t="e">
        <f t="shared" si="154"/>
        <v>#DIV/0!</v>
      </c>
      <c r="R1647" s="4" t="e">
        <f t="shared" si="155"/>
        <v>#DIV/0!</v>
      </c>
      <c r="S1647" s="4">
        <v>12.36</v>
      </c>
      <c r="T1647" s="2">
        <v>0.37</v>
      </c>
      <c r="U1647" s="2">
        <v>18.010000000000002</v>
      </c>
      <c r="V1647" s="2">
        <v>9.15</v>
      </c>
      <c r="W1647" s="2">
        <v>2.9</v>
      </c>
      <c r="X1647" s="2">
        <v>-14.57</v>
      </c>
      <c r="Y1647" s="2">
        <v>16.399999999999999</v>
      </c>
      <c r="Z1647" s="2">
        <v>11.13</v>
      </c>
    </row>
    <row r="1648" spans="1:26" x14ac:dyDescent="0.25">
      <c r="A1648" s="1" t="s">
        <v>6816</v>
      </c>
      <c r="B1648" s="1" t="s">
        <v>6822</v>
      </c>
      <c r="C1648" s="1" t="s">
        <v>45</v>
      </c>
      <c r="D1648" s="1" t="s">
        <v>147</v>
      </c>
      <c r="E1648" s="1" t="s">
        <v>1695</v>
      </c>
      <c r="F1648" s="1" t="s">
        <v>6823</v>
      </c>
      <c r="G1648" s="1" t="s">
        <v>12480</v>
      </c>
      <c r="H1648" s="1" t="s">
        <v>6819</v>
      </c>
      <c r="I1648" s="2">
        <v>12.3</v>
      </c>
      <c r="J1648" s="2">
        <v>-20.86</v>
      </c>
      <c r="K1648" s="2"/>
      <c r="L1648" s="2"/>
      <c r="M1648" s="4" t="e">
        <f t="shared" si="150"/>
        <v>#DIV/0!</v>
      </c>
      <c r="N1648" s="4" t="e">
        <f t="shared" si="151"/>
        <v>#DIV/0!</v>
      </c>
      <c r="O1648" s="5">
        <f t="shared" si="152"/>
        <v>-1</v>
      </c>
      <c r="P1648" s="5" t="e">
        <f t="shared" si="153"/>
        <v>#DIV/0!</v>
      </c>
      <c r="Q1648" s="4" t="e">
        <f t="shared" si="154"/>
        <v>#DIV/0!</v>
      </c>
      <c r="R1648" s="4" t="e">
        <f t="shared" si="155"/>
        <v>#DIV/0!</v>
      </c>
      <c r="S1648" s="4">
        <v>12.36</v>
      </c>
      <c r="T1648" s="2">
        <v>0.98</v>
      </c>
      <c r="U1648" s="2">
        <v>12.67</v>
      </c>
      <c r="V1648" s="2">
        <v>9.32</v>
      </c>
      <c r="W1648" s="2">
        <v>-0.16</v>
      </c>
      <c r="X1648" s="2">
        <v>5.4</v>
      </c>
      <c r="Y1648" s="2">
        <v>10.41</v>
      </c>
      <c r="Z1648" s="2">
        <v>11.41</v>
      </c>
    </row>
    <row r="1649" spans="1:26" x14ac:dyDescent="0.25">
      <c r="A1649" s="1" t="s">
        <v>6824</v>
      </c>
      <c r="B1649" s="1" t="s">
        <v>6825</v>
      </c>
      <c r="C1649" s="1" t="s">
        <v>16</v>
      </c>
      <c r="D1649" s="1" t="s">
        <v>38</v>
      </c>
      <c r="E1649" s="1" t="s">
        <v>52</v>
      </c>
      <c r="F1649" s="1" t="s">
        <v>6826</v>
      </c>
      <c r="G1649" s="1" t="s">
        <v>12480</v>
      </c>
      <c r="H1649" s="1" t="s">
        <v>6827</v>
      </c>
      <c r="I1649" s="2">
        <v>14.76</v>
      </c>
      <c r="J1649" s="2">
        <v>1.1599999999999999</v>
      </c>
      <c r="K1649" s="2">
        <v>1.64</v>
      </c>
      <c r="L1649" s="2">
        <v>2.15</v>
      </c>
      <c r="M1649" s="4">
        <f t="shared" si="150"/>
        <v>9</v>
      </c>
      <c r="N1649" s="4">
        <f t="shared" si="151"/>
        <v>6.8651162790697677</v>
      </c>
      <c r="O1649" s="5">
        <f t="shared" si="152"/>
        <v>0.4137931034482758</v>
      </c>
      <c r="P1649" s="5">
        <f t="shared" si="153"/>
        <v>0.31097560975609762</v>
      </c>
      <c r="Q1649" s="4">
        <f t="shared" si="154"/>
        <v>0.21750000000000003</v>
      </c>
      <c r="R1649" s="4">
        <f t="shared" si="155"/>
        <v>0.22076060191518465</v>
      </c>
      <c r="S1649" s="4">
        <v>26.92</v>
      </c>
      <c r="T1649" s="2">
        <v>2.11</v>
      </c>
      <c r="U1649" s="2">
        <v>21.58</v>
      </c>
      <c r="V1649" s="2">
        <v>8.56</v>
      </c>
      <c r="W1649" s="2">
        <v>-1.93</v>
      </c>
      <c r="X1649" s="2">
        <v>-14.68</v>
      </c>
      <c r="Y1649" s="2">
        <v>-22.6</v>
      </c>
      <c r="Z1649" s="2">
        <v>-22.07</v>
      </c>
    </row>
    <row r="1650" spans="1:26" x14ac:dyDescent="0.25">
      <c r="A1650" s="1" t="s">
        <v>6828</v>
      </c>
      <c r="B1650" s="1" t="s">
        <v>6829</v>
      </c>
      <c r="C1650" s="1" t="s">
        <v>45</v>
      </c>
      <c r="D1650" s="1" t="s">
        <v>305</v>
      </c>
      <c r="E1650" s="1" t="s">
        <v>349</v>
      </c>
      <c r="F1650" s="1" t="s">
        <v>6830</v>
      </c>
      <c r="G1650" s="1" t="s">
        <v>12480</v>
      </c>
      <c r="H1650" s="1" t="s">
        <v>6831</v>
      </c>
      <c r="I1650" s="2">
        <v>10.4</v>
      </c>
      <c r="J1650" s="2">
        <v>-12.09</v>
      </c>
      <c r="K1650" s="2">
        <v>-9.07</v>
      </c>
      <c r="L1650" s="2">
        <v>-5.73</v>
      </c>
      <c r="M1650" s="4">
        <f t="shared" si="150"/>
        <v>-1.1466372657111357</v>
      </c>
      <c r="N1650" s="4">
        <f t="shared" si="151"/>
        <v>-1.8150087260034904</v>
      </c>
      <c r="O1650" s="5">
        <f t="shared" si="152"/>
        <v>-0.24979321753515293</v>
      </c>
      <c r="P1650" s="5">
        <f t="shared" si="153"/>
        <v>-0.36824696802646084</v>
      </c>
      <c r="Q1650" s="4">
        <f t="shared" si="154"/>
        <v>4.5903458749826605E-2</v>
      </c>
      <c r="R1650" s="4">
        <f t="shared" si="155"/>
        <v>4.9287811810933106E-2</v>
      </c>
      <c r="S1650" s="4">
        <v>67.58</v>
      </c>
      <c r="T1650" s="2">
        <v>1.1200000000000001</v>
      </c>
      <c r="U1650" s="2">
        <v>31.3</v>
      </c>
      <c r="V1650" s="2">
        <v>9.44</v>
      </c>
      <c r="W1650" s="2">
        <v>3.69</v>
      </c>
      <c r="X1650" s="2">
        <v>-6.22</v>
      </c>
      <c r="Y1650" s="2">
        <v>-11.94</v>
      </c>
      <c r="Z1650" s="2">
        <v>-1.61</v>
      </c>
    </row>
    <row r="1651" spans="1:26" x14ac:dyDescent="0.25">
      <c r="A1651" s="1" t="s">
        <v>6832</v>
      </c>
      <c r="B1651" s="1" t="s">
        <v>6833</v>
      </c>
      <c r="C1651" s="1" t="s">
        <v>16</v>
      </c>
      <c r="D1651" s="1" t="s">
        <v>305</v>
      </c>
      <c r="E1651" s="1" t="s">
        <v>306</v>
      </c>
      <c r="F1651" s="1" t="s">
        <v>6834</v>
      </c>
      <c r="G1651" s="1" t="s">
        <v>12480</v>
      </c>
      <c r="H1651" s="1" t="s">
        <v>12720</v>
      </c>
      <c r="I1651" s="2">
        <v>128.77000000000001</v>
      </c>
      <c r="J1651" s="2">
        <v>7.46</v>
      </c>
      <c r="K1651" s="2">
        <v>8.7899999999999991</v>
      </c>
      <c r="L1651" s="2">
        <v>10.050000000000001</v>
      </c>
      <c r="M1651" s="4">
        <f t="shared" si="150"/>
        <v>14.649601820250288</v>
      </c>
      <c r="N1651" s="4">
        <f t="shared" si="151"/>
        <v>12.812935323383085</v>
      </c>
      <c r="O1651" s="5">
        <f t="shared" si="152"/>
        <v>0.17828418230562981</v>
      </c>
      <c r="P1651" s="5">
        <f t="shared" si="153"/>
        <v>0.14334470989761106</v>
      </c>
      <c r="Q1651" s="4">
        <f t="shared" si="154"/>
        <v>0.82169947051930281</v>
      </c>
      <c r="R1651" s="4">
        <f t="shared" si="155"/>
        <v>0.89385477375029543</v>
      </c>
      <c r="S1651" s="4">
        <v>10.18</v>
      </c>
      <c r="T1651" s="2">
        <v>1.33</v>
      </c>
      <c r="U1651" s="2">
        <v>157.13</v>
      </c>
      <c r="V1651" s="2">
        <v>75.069999999999993</v>
      </c>
      <c r="W1651" s="2">
        <v>-2.79</v>
      </c>
      <c r="X1651" s="2">
        <v>-16.579999999999998</v>
      </c>
      <c r="Y1651" s="2">
        <v>6.43</v>
      </c>
      <c r="Z1651" s="2">
        <v>6.12</v>
      </c>
    </row>
    <row r="1652" spans="1:26" x14ac:dyDescent="0.25">
      <c r="A1652" s="1" t="s">
        <v>6835</v>
      </c>
      <c r="B1652" s="1" t="s">
        <v>6836</v>
      </c>
      <c r="C1652" s="1" t="s">
        <v>16</v>
      </c>
      <c r="D1652" s="1" t="s">
        <v>32</v>
      </c>
      <c r="E1652" s="1" t="s">
        <v>248</v>
      </c>
      <c r="F1652" s="1" t="s">
        <v>6837</v>
      </c>
      <c r="G1652" s="1" t="s">
        <v>12480</v>
      </c>
      <c r="H1652" s="1" t="s">
        <v>6838</v>
      </c>
      <c r="I1652" s="2">
        <v>179.54</v>
      </c>
      <c r="J1652" s="2">
        <v>11.99</v>
      </c>
      <c r="K1652" s="2">
        <v>12.36</v>
      </c>
      <c r="L1652" s="2">
        <v>12.95</v>
      </c>
      <c r="M1652" s="4">
        <f t="shared" si="150"/>
        <v>14.525889967637541</v>
      </c>
      <c r="N1652" s="4">
        <f t="shared" si="151"/>
        <v>13.864092664092665</v>
      </c>
      <c r="O1652" s="5">
        <f t="shared" si="152"/>
        <v>3.0859049207673017E-2</v>
      </c>
      <c r="P1652" s="5">
        <f t="shared" si="153"/>
        <v>4.7734627831715226E-2</v>
      </c>
      <c r="Q1652" s="4">
        <f t="shared" si="154"/>
        <v>4.7071735327560642</v>
      </c>
      <c r="R1652" s="4">
        <f t="shared" si="155"/>
        <v>2.9044099208166996</v>
      </c>
      <c r="S1652" s="4">
        <v>3.07</v>
      </c>
      <c r="T1652" s="2">
        <v>0.63</v>
      </c>
      <c r="U1652" s="2">
        <v>199.55</v>
      </c>
      <c r="V1652" s="2">
        <v>132.86000000000001</v>
      </c>
      <c r="W1652" s="2">
        <v>0.08</v>
      </c>
      <c r="X1652" s="2">
        <v>-7.73</v>
      </c>
      <c r="Y1652" s="2">
        <v>-3.45</v>
      </c>
      <c r="Z1652" s="2">
        <v>-0.48</v>
      </c>
    </row>
    <row r="1653" spans="1:26" x14ac:dyDescent="0.25">
      <c r="A1653" s="1" t="s">
        <v>6839</v>
      </c>
      <c r="B1653" s="1" t="s">
        <v>6840</v>
      </c>
      <c r="C1653" s="1" t="s">
        <v>16</v>
      </c>
      <c r="D1653" s="1" t="s">
        <v>305</v>
      </c>
      <c r="E1653" s="1" t="s">
        <v>306</v>
      </c>
      <c r="F1653" s="1" t="s">
        <v>6841</v>
      </c>
      <c r="G1653" s="1" t="s">
        <v>12480</v>
      </c>
      <c r="H1653" s="1" t="s">
        <v>6842</v>
      </c>
      <c r="I1653" s="2">
        <v>120.28</v>
      </c>
      <c r="J1653" s="2">
        <v>12.8</v>
      </c>
      <c r="K1653" s="2">
        <v>14.18</v>
      </c>
      <c r="L1653" s="2">
        <v>16.59</v>
      </c>
      <c r="M1653" s="4">
        <f t="shared" si="150"/>
        <v>8.482369534555712</v>
      </c>
      <c r="N1653" s="4">
        <f t="shared" si="151"/>
        <v>7.2501506931886679</v>
      </c>
      <c r="O1653" s="5">
        <f t="shared" si="152"/>
        <v>0.10781249999999987</v>
      </c>
      <c r="P1653" s="5">
        <f t="shared" si="153"/>
        <v>0.16995768688293378</v>
      </c>
      <c r="Q1653" s="4">
        <f t="shared" si="154"/>
        <v>0.7867705075529946</v>
      </c>
      <c r="R1653" s="4">
        <f t="shared" si="155"/>
        <v>0.42658562999757371</v>
      </c>
      <c r="S1653" s="4">
        <v>-0.2</v>
      </c>
      <c r="T1653" s="2">
        <v>1.26</v>
      </c>
      <c r="U1653" s="2">
        <v>140.94999999999999</v>
      </c>
      <c r="V1653" s="2">
        <v>75.180000000000007</v>
      </c>
      <c r="W1653" s="2">
        <v>-5.69</v>
      </c>
      <c r="X1653" s="2">
        <v>-13.62</v>
      </c>
      <c r="Y1653" s="2">
        <v>3.63</v>
      </c>
      <c r="Z1653" s="2">
        <v>4.96</v>
      </c>
    </row>
    <row r="1654" spans="1:26" x14ac:dyDescent="0.25">
      <c r="A1654" s="1" t="s">
        <v>6844</v>
      </c>
      <c r="B1654" s="1" t="s">
        <v>6845</v>
      </c>
      <c r="C1654" s="1" t="s">
        <v>45</v>
      </c>
      <c r="D1654" s="1" t="s">
        <v>25</v>
      </c>
      <c r="E1654" s="1" t="s">
        <v>743</v>
      </c>
      <c r="F1654" s="1" t="s">
        <v>6846</v>
      </c>
      <c r="G1654" s="1" t="s">
        <v>12480</v>
      </c>
      <c r="H1654" s="1" t="s">
        <v>6847</v>
      </c>
      <c r="I1654" s="2">
        <v>266.8</v>
      </c>
      <c r="J1654" s="2">
        <v>9.8699999999999992</v>
      </c>
      <c r="K1654" s="2">
        <v>10.72</v>
      </c>
      <c r="L1654" s="2">
        <v>11.67</v>
      </c>
      <c r="M1654" s="4">
        <f t="shared" si="150"/>
        <v>24.888059701492537</v>
      </c>
      <c r="N1654" s="4">
        <f t="shared" si="151"/>
        <v>22.86203941730934</v>
      </c>
      <c r="O1654" s="5">
        <f t="shared" si="152"/>
        <v>8.6119554204660664E-2</v>
      </c>
      <c r="P1654" s="5">
        <f t="shared" si="153"/>
        <v>8.8619402985074647E-2</v>
      </c>
      <c r="Q1654" s="4">
        <f t="shared" si="154"/>
        <v>2.8899429323968366</v>
      </c>
      <c r="R1654" s="4">
        <f t="shared" si="155"/>
        <v>2.5798006584584852</v>
      </c>
      <c r="S1654" s="4">
        <v>5.6</v>
      </c>
      <c r="T1654" s="2">
        <v>1.24</v>
      </c>
      <c r="U1654" s="2">
        <v>298.88</v>
      </c>
      <c r="V1654" s="2">
        <v>167.18</v>
      </c>
      <c r="W1654" s="2">
        <v>-7.07</v>
      </c>
      <c r="X1654" s="2">
        <v>-10.35</v>
      </c>
      <c r="Y1654" s="2">
        <v>9.24</v>
      </c>
      <c r="Z1654" s="2">
        <v>11.33</v>
      </c>
    </row>
    <row r="1655" spans="1:26" x14ac:dyDescent="0.25">
      <c r="A1655" s="1" t="s">
        <v>6848</v>
      </c>
      <c r="B1655" s="1" t="s">
        <v>6849</v>
      </c>
      <c r="C1655" s="1" t="s">
        <v>16</v>
      </c>
      <c r="D1655" s="1" t="s">
        <v>147</v>
      </c>
      <c r="E1655" s="1" t="s">
        <v>6851</v>
      </c>
      <c r="F1655" s="1" t="s">
        <v>6850</v>
      </c>
      <c r="G1655" s="1" t="s">
        <v>12480</v>
      </c>
      <c r="H1655" s="1" t="s">
        <v>6852</v>
      </c>
      <c r="I1655" s="2">
        <v>10.67</v>
      </c>
      <c r="J1655" s="2">
        <v>1.05</v>
      </c>
      <c r="K1655" s="2">
        <v>1.08</v>
      </c>
      <c r="L1655" s="2">
        <v>1.17</v>
      </c>
      <c r="M1655" s="4">
        <f t="shared" si="150"/>
        <v>9.8796296296296298</v>
      </c>
      <c r="N1655" s="4">
        <f t="shared" si="151"/>
        <v>9.119658119658121</v>
      </c>
      <c r="O1655" s="5">
        <f t="shared" si="152"/>
        <v>2.8571428571428692E-2</v>
      </c>
      <c r="P1655" s="5">
        <f t="shared" si="153"/>
        <v>8.3333333333333259E-2</v>
      </c>
      <c r="Q1655" s="4">
        <f t="shared" si="154"/>
        <v>3.4578703703703559</v>
      </c>
      <c r="R1655" s="4">
        <f t="shared" si="155"/>
        <v>1.0943589743589757</v>
      </c>
      <c r="S1655" s="4">
        <v>-7.49</v>
      </c>
      <c r="T1655" s="2">
        <v>0.71</v>
      </c>
      <c r="U1655" s="2">
        <v>12.89</v>
      </c>
      <c r="V1655" s="2">
        <v>6.56</v>
      </c>
      <c r="W1655" s="2">
        <v>-7.22</v>
      </c>
      <c r="X1655" s="2">
        <v>-15.65</v>
      </c>
      <c r="Y1655" s="2">
        <v>-8.41</v>
      </c>
      <c r="Z1655" s="2" t="s">
        <v>12590</v>
      </c>
    </row>
    <row r="1656" spans="1:26" x14ac:dyDescent="0.25">
      <c r="A1656" s="1" t="s">
        <v>6853</v>
      </c>
      <c r="B1656" s="1" t="s">
        <v>6854</v>
      </c>
      <c r="C1656" s="1" t="s">
        <v>45</v>
      </c>
      <c r="D1656" s="1" t="s">
        <v>18</v>
      </c>
      <c r="E1656" s="1" t="s">
        <v>74</v>
      </c>
      <c r="F1656" s="1" t="s">
        <v>6855</v>
      </c>
      <c r="G1656" s="1" t="s">
        <v>12480</v>
      </c>
      <c r="H1656" s="1" t="s">
        <v>6856</v>
      </c>
      <c r="I1656" s="2">
        <v>19.14</v>
      </c>
      <c r="J1656" s="2">
        <v>-0.52</v>
      </c>
      <c r="K1656" s="2">
        <v>0.54</v>
      </c>
      <c r="L1656" s="2">
        <v>1.84</v>
      </c>
      <c r="M1656" s="4">
        <f t="shared" si="150"/>
        <v>35.444444444444443</v>
      </c>
      <c r="N1656" s="4">
        <f t="shared" si="151"/>
        <v>10.402173913043478</v>
      </c>
      <c r="O1656" s="5">
        <f t="shared" si="152"/>
        <v>-2.0384615384615383</v>
      </c>
      <c r="P1656" s="5">
        <f t="shared" si="153"/>
        <v>2.4074074074074074</v>
      </c>
      <c r="Q1656" s="4">
        <f t="shared" si="154"/>
        <v>-0.17387840670859539</v>
      </c>
      <c r="R1656" s="4">
        <f t="shared" si="155"/>
        <v>4.3209030100334452E-2</v>
      </c>
      <c r="S1656" s="4">
        <v>119.97</v>
      </c>
      <c r="T1656" s="2">
        <v>7.0000000000000007E-2</v>
      </c>
      <c r="U1656" s="2">
        <v>44.32</v>
      </c>
      <c r="V1656" s="2">
        <v>16.649999999999999</v>
      </c>
      <c r="W1656" s="2">
        <v>3.8</v>
      </c>
      <c r="X1656" s="2">
        <v>11.34</v>
      </c>
      <c r="Y1656" s="2">
        <v>-13.04</v>
      </c>
      <c r="Z1656" s="2">
        <v>-11.96</v>
      </c>
    </row>
    <row r="1657" spans="1:26" x14ac:dyDescent="0.25">
      <c r="A1657" s="1" t="s">
        <v>6857</v>
      </c>
      <c r="B1657" s="1" t="s">
        <v>6858</v>
      </c>
      <c r="C1657" s="1" t="s">
        <v>16</v>
      </c>
      <c r="D1657" s="1" t="s">
        <v>61</v>
      </c>
      <c r="E1657" s="1" t="s">
        <v>2394</v>
      </c>
      <c r="F1657" s="1" t="s">
        <v>6859</v>
      </c>
      <c r="G1657" s="1" t="s">
        <v>12499</v>
      </c>
      <c r="H1657" s="1" t="s">
        <v>6860</v>
      </c>
      <c r="I1657" s="2">
        <v>99.94</v>
      </c>
      <c r="J1657" s="2">
        <v>8.06</v>
      </c>
      <c r="K1657" s="2">
        <v>6.49</v>
      </c>
      <c r="L1657" s="2">
        <v>8.26</v>
      </c>
      <c r="M1657" s="4">
        <f t="shared" si="150"/>
        <v>15.399075500770415</v>
      </c>
      <c r="N1657" s="4">
        <f t="shared" si="151"/>
        <v>12.099273607748184</v>
      </c>
      <c r="O1657" s="5">
        <f t="shared" si="152"/>
        <v>-0.19478908188585609</v>
      </c>
      <c r="P1657" s="5">
        <f t="shared" si="153"/>
        <v>0.27272727272727271</v>
      </c>
      <c r="Q1657" s="4">
        <f t="shared" si="154"/>
        <v>-0.79055126456184421</v>
      </c>
      <c r="R1657" s="4">
        <f t="shared" si="155"/>
        <v>0.44364003228410015</v>
      </c>
      <c r="S1657" s="4">
        <v>-3.54</v>
      </c>
      <c r="T1657" s="2">
        <v>1.43</v>
      </c>
      <c r="U1657" s="2">
        <v>142.4</v>
      </c>
      <c r="V1657" s="2">
        <v>99.94</v>
      </c>
      <c r="W1657" s="2">
        <v>-9.65</v>
      </c>
      <c r="X1657" s="2">
        <v>-12.4</v>
      </c>
      <c r="Y1657" s="2">
        <v>-16.53</v>
      </c>
      <c r="Z1657" s="2">
        <v>-2.78</v>
      </c>
    </row>
    <row r="1658" spans="1:26" x14ac:dyDescent="0.25">
      <c r="A1658" s="1" t="s">
        <v>6857</v>
      </c>
      <c r="B1658" s="1" t="s">
        <v>6861</v>
      </c>
      <c r="C1658" s="1" t="s">
        <v>16</v>
      </c>
      <c r="D1658" s="1" t="s">
        <v>61</v>
      </c>
      <c r="E1658" s="1" t="s">
        <v>2394</v>
      </c>
      <c r="F1658" s="1" t="s">
        <v>6862</v>
      </c>
      <c r="G1658" s="1" t="s">
        <v>12499</v>
      </c>
      <c r="H1658" s="1" t="s">
        <v>6860</v>
      </c>
      <c r="I1658" s="2">
        <v>93.95</v>
      </c>
      <c r="J1658" s="2">
        <v>8.06</v>
      </c>
      <c r="K1658" s="2"/>
      <c r="L1658" s="2"/>
      <c r="M1658" s="4" t="e">
        <f t="shared" si="150"/>
        <v>#DIV/0!</v>
      </c>
      <c r="N1658" s="4" t="e">
        <f t="shared" si="151"/>
        <v>#DIV/0!</v>
      </c>
      <c r="O1658" s="5">
        <f t="shared" si="152"/>
        <v>-1</v>
      </c>
      <c r="P1658" s="5" t="e">
        <f t="shared" si="153"/>
        <v>#DIV/0!</v>
      </c>
      <c r="Q1658" s="4" t="e">
        <f t="shared" si="154"/>
        <v>#DIV/0!</v>
      </c>
      <c r="R1658" s="4" t="e">
        <f t="shared" si="155"/>
        <v>#DIV/0!</v>
      </c>
      <c r="S1658" s="4">
        <v>-3.54</v>
      </c>
      <c r="T1658" s="2">
        <v>1.36</v>
      </c>
      <c r="U1658" s="2">
        <v>136.52000000000001</v>
      </c>
      <c r="V1658" s="2">
        <v>93.95</v>
      </c>
      <c r="W1658" s="2">
        <v>-9.57</v>
      </c>
      <c r="X1658" s="2">
        <v>-11.7</v>
      </c>
      <c r="Y1658" s="2">
        <v>-16.670000000000002</v>
      </c>
      <c r="Z1658" s="2">
        <v>-1.23</v>
      </c>
    </row>
    <row r="1659" spans="1:26" x14ac:dyDescent="0.25">
      <c r="A1659" s="1" t="s">
        <v>6863</v>
      </c>
      <c r="B1659" s="1" t="s">
        <v>6864</v>
      </c>
      <c r="C1659" s="1" t="s">
        <v>16</v>
      </c>
      <c r="D1659" s="1" t="s">
        <v>88</v>
      </c>
      <c r="E1659" s="1" t="s">
        <v>2402</v>
      </c>
      <c r="F1659" s="1" t="s">
        <v>6865</v>
      </c>
      <c r="G1659" s="1" t="s">
        <v>12480</v>
      </c>
      <c r="H1659" s="1" t="s">
        <v>4052</v>
      </c>
      <c r="I1659" s="2">
        <v>195.85</v>
      </c>
      <c r="J1659" s="2">
        <v>3.9</v>
      </c>
      <c r="K1659" s="2">
        <v>3.27</v>
      </c>
      <c r="L1659" s="2">
        <v>3.38</v>
      </c>
      <c r="M1659" s="4">
        <f t="shared" si="150"/>
        <v>59.892966360856271</v>
      </c>
      <c r="N1659" s="4">
        <f t="shared" si="151"/>
        <v>57.943786982248518</v>
      </c>
      <c r="O1659" s="5">
        <f t="shared" si="152"/>
        <v>-0.16153846153846152</v>
      </c>
      <c r="P1659" s="5">
        <f t="shared" si="153"/>
        <v>3.3639143730886722E-2</v>
      </c>
      <c r="Q1659" s="4">
        <f t="shared" si="154"/>
        <v>-3.7076598223387216</v>
      </c>
      <c r="R1659" s="4">
        <f t="shared" si="155"/>
        <v>17.225107584723034</v>
      </c>
      <c r="S1659" s="4">
        <v>1.52</v>
      </c>
      <c r="T1659" s="2">
        <v>1.26</v>
      </c>
      <c r="U1659" s="2" t="s">
        <v>12721</v>
      </c>
      <c r="V1659" s="2">
        <v>54.43</v>
      </c>
      <c r="W1659" s="2">
        <v>-5.84</v>
      </c>
      <c r="X1659" s="2">
        <v>-29.1</v>
      </c>
      <c r="Y1659" s="2">
        <v>-14.38</v>
      </c>
      <c r="Z1659" s="2">
        <v>-19.32</v>
      </c>
    </row>
    <row r="1660" spans="1:26" x14ac:dyDescent="0.25">
      <c r="A1660" s="1" t="s">
        <v>6866</v>
      </c>
      <c r="B1660" s="1" t="s">
        <v>6867</v>
      </c>
      <c r="C1660" s="1" t="s">
        <v>16</v>
      </c>
      <c r="D1660" s="1" t="s">
        <v>67</v>
      </c>
      <c r="E1660" s="1" t="s">
        <v>381</v>
      </c>
      <c r="F1660" s="1" t="s">
        <v>6868</v>
      </c>
      <c r="G1660" s="1" t="s">
        <v>12499</v>
      </c>
      <c r="H1660" s="1" t="s">
        <v>6869</v>
      </c>
      <c r="I1660" s="2">
        <v>18.86</v>
      </c>
      <c r="J1660" s="2">
        <v>1.34</v>
      </c>
      <c r="K1660" s="2">
        <v>1.46</v>
      </c>
      <c r="L1660" s="2">
        <v>1.63</v>
      </c>
      <c r="M1660" s="4">
        <f t="shared" si="150"/>
        <v>12.917808219178083</v>
      </c>
      <c r="N1660" s="4">
        <f t="shared" si="151"/>
        <v>11.570552147239264</v>
      </c>
      <c r="O1660" s="5">
        <f t="shared" si="152"/>
        <v>8.9552238805969964E-2</v>
      </c>
      <c r="P1660" s="5">
        <f t="shared" si="153"/>
        <v>0.11643835616438358</v>
      </c>
      <c r="Q1660" s="4">
        <f t="shared" si="154"/>
        <v>1.4424885844748889</v>
      </c>
      <c r="R1660" s="4">
        <f t="shared" si="155"/>
        <v>0.99370624323348944</v>
      </c>
      <c r="S1660" s="4">
        <v>-1.1499999999999999</v>
      </c>
      <c r="T1660" s="2">
        <v>1.28</v>
      </c>
      <c r="U1660" s="2">
        <v>24.66</v>
      </c>
      <c r="V1660" s="2">
        <v>12.42</v>
      </c>
      <c r="W1660" s="2">
        <v>-12.44</v>
      </c>
      <c r="X1660" s="2">
        <v>-11.58</v>
      </c>
      <c r="Y1660" s="2">
        <v>-14.04</v>
      </c>
      <c r="Z1660" s="2">
        <v>-9.06</v>
      </c>
    </row>
    <row r="1661" spans="1:26" x14ac:dyDescent="0.25">
      <c r="A1661" s="1" t="s">
        <v>6870</v>
      </c>
      <c r="B1661" s="1" t="s">
        <v>6871</v>
      </c>
      <c r="C1661" s="1" t="s">
        <v>45</v>
      </c>
      <c r="D1661" s="1" t="s">
        <v>18</v>
      </c>
      <c r="E1661" s="1" t="s">
        <v>336</v>
      </c>
      <c r="F1661" s="1" t="s">
        <v>6872</v>
      </c>
      <c r="G1661" s="1" t="s">
        <v>12480</v>
      </c>
      <c r="H1661" s="1" t="s">
        <v>6873</v>
      </c>
      <c r="I1661" s="2">
        <v>6.91</v>
      </c>
      <c r="J1661" s="2">
        <v>0.02</v>
      </c>
      <c r="K1661" s="2">
        <v>0.09</v>
      </c>
      <c r="L1661" s="2">
        <v>0.18</v>
      </c>
      <c r="M1661" s="4">
        <f t="shared" si="150"/>
        <v>76.777777777777786</v>
      </c>
      <c r="N1661" s="4">
        <f t="shared" si="151"/>
        <v>38.388888888888893</v>
      </c>
      <c r="O1661" s="5">
        <f t="shared" si="152"/>
        <v>3.5</v>
      </c>
      <c r="P1661" s="5">
        <f t="shared" si="153"/>
        <v>1</v>
      </c>
      <c r="Q1661" s="4">
        <f t="shared" si="154"/>
        <v>0.21936507936507937</v>
      </c>
      <c r="R1661" s="4">
        <f t="shared" si="155"/>
        <v>0.38388888888888895</v>
      </c>
      <c r="S1661" s="4">
        <v>13.85</v>
      </c>
      <c r="T1661" s="2">
        <v>1.1100000000000001</v>
      </c>
      <c r="U1661" s="2">
        <v>7.88</v>
      </c>
      <c r="V1661" s="2">
        <v>3.79</v>
      </c>
      <c r="W1661" s="2">
        <v>-3.22</v>
      </c>
      <c r="X1661" s="2">
        <v>1.47</v>
      </c>
      <c r="Y1661" s="2">
        <v>-0.14000000000000001</v>
      </c>
      <c r="Z1661" s="2">
        <v>-1.85</v>
      </c>
    </row>
    <row r="1662" spans="1:26" x14ac:dyDescent="0.25">
      <c r="A1662" s="1" t="s">
        <v>6874</v>
      </c>
      <c r="B1662" s="1" t="s">
        <v>6875</v>
      </c>
      <c r="C1662" s="1" t="s">
        <v>45</v>
      </c>
      <c r="D1662" s="1" t="s">
        <v>32</v>
      </c>
      <c r="E1662" s="1" t="s">
        <v>33</v>
      </c>
      <c r="F1662" s="1" t="s">
        <v>6876</v>
      </c>
      <c r="G1662" s="1" t="s">
        <v>12480</v>
      </c>
      <c r="H1662" s="1" t="s">
        <v>12550</v>
      </c>
      <c r="I1662" s="2">
        <v>306.93</v>
      </c>
      <c r="J1662" s="2">
        <v>10.68</v>
      </c>
      <c r="K1662" s="2">
        <v>12.98</v>
      </c>
      <c r="L1662" s="2">
        <v>15.19</v>
      </c>
      <c r="M1662" s="4">
        <f t="shared" si="150"/>
        <v>23.646379044684128</v>
      </c>
      <c r="N1662" s="4">
        <f t="shared" si="151"/>
        <v>20.206056616194868</v>
      </c>
      <c r="O1662" s="5">
        <f t="shared" si="152"/>
        <v>0.21535580524344566</v>
      </c>
      <c r="P1662" s="5">
        <f t="shared" si="153"/>
        <v>0.17026194144838214</v>
      </c>
      <c r="Q1662" s="4">
        <f t="shared" si="154"/>
        <v>1.0980144704227239</v>
      </c>
      <c r="R1662" s="4">
        <f t="shared" si="155"/>
        <v>1.186762963249816</v>
      </c>
      <c r="S1662" s="4">
        <v>8.92</v>
      </c>
      <c r="T1662" s="2">
        <v>1.41</v>
      </c>
      <c r="U1662" s="2">
        <v>376.69</v>
      </c>
      <c r="V1662" s="2">
        <v>149.72</v>
      </c>
      <c r="W1662" s="2">
        <v>-15.07</v>
      </c>
      <c r="X1662" s="2">
        <v>-11.98</v>
      </c>
      <c r="Y1662" s="2">
        <v>17.8</v>
      </c>
      <c r="Z1662" s="2">
        <v>21.35</v>
      </c>
    </row>
    <row r="1663" spans="1:26" x14ac:dyDescent="0.25">
      <c r="A1663" s="1" t="s">
        <v>6877</v>
      </c>
      <c r="B1663" s="1" t="s">
        <v>6878</v>
      </c>
      <c r="C1663" s="1" t="s">
        <v>31</v>
      </c>
      <c r="D1663" s="1" t="s">
        <v>38</v>
      </c>
      <c r="E1663" s="1" t="s">
        <v>254</v>
      </c>
      <c r="F1663" s="1" t="s">
        <v>6879</v>
      </c>
      <c r="G1663" s="1" t="s">
        <v>12480</v>
      </c>
      <c r="H1663" s="1" t="s">
        <v>6880</v>
      </c>
      <c r="I1663" s="2">
        <v>17.100000000000001</v>
      </c>
      <c r="J1663" s="2">
        <v>1.29</v>
      </c>
      <c r="K1663" s="2">
        <v>1.62</v>
      </c>
      <c r="L1663" s="2">
        <v>1.83</v>
      </c>
      <c r="M1663" s="4">
        <f t="shared" si="150"/>
        <v>10.555555555555555</v>
      </c>
      <c r="N1663" s="4">
        <f t="shared" si="151"/>
        <v>9.3442622950819683</v>
      </c>
      <c r="O1663" s="5">
        <f t="shared" si="152"/>
        <v>0.2558139534883721</v>
      </c>
      <c r="P1663" s="5">
        <f t="shared" si="153"/>
        <v>0.12962962962962954</v>
      </c>
      <c r="Q1663" s="4">
        <f t="shared" si="154"/>
        <v>0.41262626262626256</v>
      </c>
      <c r="R1663" s="4">
        <f t="shared" si="155"/>
        <v>0.7208430913348951</v>
      </c>
      <c r="S1663" s="4">
        <v>12.91</v>
      </c>
      <c r="T1663" s="2">
        <v>0.87</v>
      </c>
      <c r="U1663" s="2">
        <v>18.739999999999998</v>
      </c>
      <c r="V1663" s="2">
        <v>13.94</v>
      </c>
      <c r="W1663" s="2">
        <v>-4.95</v>
      </c>
      <c r="X1663" s="2">
        <v>-5.37</v>
      </c>
      <c r="Y1663" s="2">
        <v>2.09</v>
      </c>
      <c r="Z1663" s="2">
        <v>-3.34</v>
      </c>
    </row>
    <row r="1664" spans="1:26" x14ac:dyDescent="0.25">
      <c r="A1664" s="1" t="s">
        <v>6881</v>
      </c>
      <c r="B1664" s="1" t="s">
        <v>6882</v>
      </c>
      <c r="C1664" s="1" t="s">
        <v>45</v>
      </c>
      <c r="D1664" s="1" t="s">
        <v>61</v>
      </c>
      <c r="E1664" s="1" t="s">
        <v>2394</v>
      </c>
      <c r="F1664" s="1" t="s">
        <v>6883</v>
      </c>
      <c r="G1664" s="1" t="s">
        <v>12480</v>
      </c>
      <c r="H1664" s="1" t="s">
        <v>1386</v>
      </c>
      <c r="I1664" s="2">
        <v>43.66</v>
      </c>
      <c r="J1664" s="2">
        <v>3.12</v>
      </c>
      <c r="K1664" s="2">
        <v>2.4500000000000002</v>
      </c>
      <c r="L1664" s="2">
        <v>3.22</v>
      </c>
      <c r="M1664" s="4">
        <f t="shared" si="150"/>
        <v>17.820408163265302</v>
      </c>
      <c r="N1664" s="4">
        <f t="shared" si="151"/>
        <v>13.559006211180122</v>
      </c>
      <c r="O1664" s="5">
        <f t="shared" si="152"/>
        <v>-0.21474358974358976</v>
      </c>
      <c r="P1664" s="5">
        <f t="shared" si="153"/>
        <v>0.31428571428571428</v>
      </c>
      <c r="Q1664" s="4">
        <f t="shared" si="154"/>
        <v>-0.82984587267742904</v>
      </c>
      <c r="R1664" s="4">
        <f t="shared" si="155"/>
        <v>0.43142292490118572</v>
      </c>
      <c r="S1664" s="4">
        <v>-22.57</v>
      </c>
      <c r="T1664" s="2">
        <v>1.88</v>
      </c>
      <c r="U1664" s="2">
        <v>75.56</v>
      </c>
      <c r="V1664" s="2">
        <v>40.729999999999997</v>
      </c>
      <c r="W1664" s="2">
        <v>-12.85</v>
      </c>
      <c r="X1664" s="2">
        <v>-25.55</v>
      </c>
      <c r="Y1664" s="2">
        <v>-9.48</v>
      </c>
      <c r="Z1664" s="2">
        <v>1.63</v>
      </c>
    </row>
    <row r="1665" spans="1:26" x14ac:dyDescent="0.25">
      <c r="A1665" s="1" t="s">
        <v>6884</v>
      </c>
      <c r="B1665" s="1" t="s">
        <v>6885</v>
      </c>
      <c r="C1665" s="1" t="s">
        <v>45</v>
      </c>
      <c r="D1665" s="1" t="s">
        <v>61</v>
      </c>
      <c r="E1665" s="1" t="s">
        <v>237</v>
      </c>
      <c r="F1665" s="1" t="s">
        <v>6886</v>
      </c>
      <c r="G1665" s="1" t="s">
        <v>12480</v>
      </c>
      <c r="H1665" s="1" t="s">
        <v>6887</v>
      </c>
      <c r="I1665" s="2">
        <v>50.44</v>
      </c>
      <c r="J1665" s="2"/>
      <c r="K1665" s="2">
        <v>1.39</v>
      </c>
      <c r="L1665" s="2">
        <v>1.56</v>
      </c>
      <c r="M1665" s="4">
        <f t="shared" si="150"/>
        <v>36.28776978417266</v>
      </c>
      <c r="N1665" s="4">
        <f t="shared" si="151"/>
        <v>32.333333333333329</v>
      </c>
      <c r="O1665" s="5" t="e">
        <f t="shared" si="152"/>
        <v>#DIV/0!</v>
      </c>
      <c r="P1665" s="5">
        <f t="shared" si="153"/>
        <v>0.12230215827338142</v>
      </c>
      <c r="Q1665" s="4" t="e">
        <f t="shared" si="154"/>
        <v>#DIV/0!</v>
      </c>
      <c r="R1665" s="4">
        <f t="shared" si="155"/>
        <v>2.6437254901960752</v>
      </c>
      <c r="S1665" s="4"/>
      <c r="T1665" s="2"/>
      <c r="U1665" s="2">
        <v>58.05</v>
      </c>
      <c r="V1665" s="2">
        <v>29.72</v>
      </c>
      <c r="W1665" s="2">
        <v>-10.01</v>
      </c>
      <c r="X1665" s="2">
        <v>-3.02</v>
      </c>
      <c r="Y1665" s="2">
        <v>23.51</v>
      </c>
      <c r="Z1665" s="2">
        <v>17.190000000000001</v>
      </c>
    </row>
    <row r="1666" spans="1:26" x14ac:dyDescent="0.25">
      <c r="A1666" s="1" t="s">
        <v>6889</v>
      </c>
      <c r="B1666" s="1" t="s">
        <v>6890</v>
      </c>
      <c r="C1666" s="1" t="s">
        <v>45</v>
      </c>
      <c r="D1666" s="1" t="s">
        <v>18</v>
      </c>
      <c r="E1666" s="1" t="s">
        <v>74</v>
      </c>
      <c r="F1666" s="1" t="s">
        <v>6891</v>
      </c>
      <c r="G1666" s="1" t="s">
        <v>12480</v>
      </c>
      <c r="H1666" s="1" t="s">
        <v>5155</v>
      </c>
      <c r="I1666" s="2">
        <v>208.16</v>
      </c>
      <c r="J1666" s="2">
        <v>8.1300000000000008</v>
      </c>
      <c r="K1666" s="2">
        <v>8.51</v>
      </c>
      <c r="L1666" s="2">
        <v>9.48</v>
      </c>
      <c r="M1666" s="4">
        <f t="shared" si="150"/>
        <v>24.46063454759107</v>
      </c>
      <c r="N1666" s="4">
        <f t="shared" si="151"/>
        <v>21.957805907172993</v>
      </c>
      <c r="O1666" s="5">
        <f t="shared" si="152"/>
        <v>4.6740467404673858E-2</v>
      </c>
      <c r="P1666" s="5">
        <f t="shared" si="153"/>
        <v>0.11398354876615757</v>
      </c>
      <c r="Q1666" s="4">
        <f t="shared" si="154"/>
        <v>5.2332883913662158</v>
      </c>
      <c r="R1666" s="4">
        <f t="shared" si="155"/>
        <v>1.926401322371567</v>
      </c>
      <c r="S1666" s="4">
        <v>60.4</v>
      </c>
      <c r="T1666" s="2">
        <v>1.17</v>
      </c>
      <c r="U1666" s="2">
        <v>209.29</v>
      </c>
      <c r="V1666" s="2">
        <v>96.67</v>
      </c>
      <c r="W1666" s="2">
        <v>2.77</v>
      </c>
      <c r="X1666" s="2">
        <v>11.36</v>
      </c>
      <c r="Y1666" s="2">
        <v>7.92</v>
      </c>
      <c r="Z1666" s="2">
        <v>10.1</v>
      </c>
    </row>
    <row r="1667" spans="1:26" x14ac:dyDescent="0.25">
      <c r="A1667" s="1" t="s">
        <v>6892</v>
      </c>
      <c r="B1667" s="1" t="s">
        <v>6893</v>
      </c>
      <c r="C1667" s="1" t="s">
        <v>16</v>
      </c>
      <c r="D1667" s="1" t="s">
        <v>18</v>
      </c>
      <c r="E1667" s="1" t="s">
        <v>624</v>
      </c>
      <c r="F1667" s="1" t="s">
        <v>6894</v>
      </c>
      <c r="G1667" s="1" t="s">
        <v>12480</v>
      </c>
      <c r="H1667" s="1" t="s">
        <v>6895</v>
      </c>
      <c r="I1667" s="2">
        <v>273.61</v>
      </c>
      <c r="J1667" s="2">
        <v>16.440000000000001</v>
      </c>
      <c r="K1667" s="2">
        <v>17.649999999999999</v>
      </c>
      <c r="L1667" s="2">
        <v>19.190000000000001</v>
      </c>
      <c r="M1667" s="4">
        <f t="shared" ref="M1667:M1730" si="156">I1667/K1667</f>
        <v>15.501983002832864</v>
      </c>
      <c r="N1667" s="4">
        <f t="shared" ref="N1667:N1730" si="157">I1667/L1667</f>
        <v>14.25794684731631</v>
      </c>
      <c r="O1667" s="5">
        <f t="shared" ref="O1667:O1730" si="158">K1667/J1667-1</f>
        <v>7.360097323600967E-2</v>
      </c>
      <c r="P1667" s="5">
        <f t="shared" ref="P1667:P1730" si="159">L1667/K1667-1</f>
        <v>8.7252124645892604E-2</v>
      </c>
      <c r="Q1667" s="4">
        <f t="shared" ref="Q1667:Q1730" si="160">M1667/(O1667*100)</f>
        <v>2.106219839393161</v>
      </c>
      <c r="R1667" s="4">
        <f t="shared" ref="R1667:R1730" si="161">N1667/(P1667*100)</f>
        <v>1.6341088432151438</v>
      </c>
      <c r="S1667" s="4">
        <v>7.25</v>
      </c>
      <c r="T1667" s="2">
        <v>1.01</v>
      </c>
      <c r="U1667" s="2">
        <v>290.93</v>
      </c>
      <c r="V1667" s="2">
        <v>212.22</v>
      </c>
      <c r="W1667" s="2">
        <v>-4.49</v>
      </c>
      <c r="X1667" s="2">
        <v>-0.15</v>
      </c>
      <c r="Y1667" s="2">
        <v>3.9</v>
      </c>
      <c r="Z1667" s="2">
        <v>9.06</v>
      </c>
    </row>
    <row r="1668" spans="1:26" x14ac:dyDescent="0.25">
      <c r="A1668" s="1" t="s">
        <v>6896</v>
      </c>
      <c r="B1668" s="1" t="s">
        <v>6897</v>
      </c>
      <c r="C1668" s="1" t="s">
        <v>16</v>
      </c>
      <c r="D1668" s="1" t="s">
        <v>204</v>
      </c>
      <c r="E1668" s="1" t="s">
        <v>205</v>
      </c>
      <c r="F1668" s="1" t="s">
        <v>6898</v>
      </c>
      <c r="G1668" s="1" t="s">
        <v>12480</v>
      </c>
      <c r="H1668" s="1" t="s">
        <v>6899</v>
      </c>
      <c r="I1668" s="2">
        <v>371.26</v>
      </c>
      <c r="J1668" s="2">
        <v>10.73</v>
      </c>
      <c r="K1668" s="2">
        <v>11.68</v>
      </c>
      <c r="L1668" s="2">
        <v>13.54</v>
      </c>
      <c r="M1668" s="4">
        <f t="shared" si="156"/>
        <v>31.785958904109588</v>
      </c>
      <c r="N1668" s="4">
        <f t="shared" si="157"/>
        <v>27.419497784342688</v>
      </c>
      <c r="O1668" s="5">
        <f t="shared" si="158"/>
        <v>8.853681267474367E-2</v>
      </c>
      <c r="P1668" s="5">
        <f t="shared" si="159"/>
        <v>0.15924657534246567</v>
      </c>
      <c r="Q1668" s="4">
        <f t="shared" si="160"/>
        <v>3.590140410958905</v>
      </c>
      <c r="R1668" s="4">
        <f t="shared" si="161"/>
        <v>1.7218265275329181</v>
      </c>
      <c r="S1668" s="4">
        <v>2.5299999999999998</v>
      </c>
      <c r="T1668" s="2">
        <v>0.63</v>
      </c>
      <c r="U1668" s="2">
        <v>378.48</v>
      </c>
      <c r="V1668" s="2">
        <v>200.21</v>
      </c>
      <c r="W1668" s="2">
        <v>-1.91</v>
      </c>
      <c r="X1668" s="2">
        <v>5.89</v>
      </c>
      <c r="Y1668" s="2">
        <v>28.67</v>
      </c>
      <c r="Z1668" s="2">
        <v>26.46</v>
      </c>
    </row>
    <row r="1669" spans="1:26" x14ac:dyDescent="0.25">
      <c r="A1669" s="1" t="s">
        <v>6901</v>
      </c>
      <c r="B1669" s="1" t="s">
        <v>6902</v>
      </c>
      <c r="C1669" s="1" t="s">
        <v>45</v>
      </c>
      <c r="D1669" s="1" t="s">
        <v>25</v>
      </c>
      <c r="E1669" s="1" t="s">
        <v>331</v>
      </c>
      <c r="F1669" s="1" t="s">
        <v>6903</v>
      </c>
      <c r="G1669" s="1" t="s">
        <v>12480</v>
      </c>
      <c r="H1669" s="1" t="s">
        <v>6904</v>
      </c>
      <c r="I1669" s="2">
        <v>47.57</v>
      </c>
      <c r="J1669" s="2">
        <v>0.57999999999999996</v>
      </c>
      <c r="K1669" s="2">
        <v>1.33</v>
      </c>
      <c r="L1669" s="2">
        <v>1.71</v>
      </c>
      <c r="M1669" s="4">
        <f t="shared" si="156"/>
        <v>35.766917293233078</v>
      </c>
      <c r="N1669" s="4">
        <f t="shared" si="157"/>
        <v>27.8187134502924</v>
      </c>
      <c r="O1669" s="5">
        <f t="shared" si="158"/>
        <v>1.2931034482758625</v>
      </c>
      <c r="P1669" s="5">
        <f t="shared" si="159"/>
        <v>0.28571428571428559</v>
      </c>
      <c r="Q1669" s="4">
        <f t="shared" si="160"/>
        <v>0.27659749373433573</v>
      </c>
      <c r="R1669" s="4">
        <f t="shared" si="161"/>
        <v>0.97365497076023444</v>
      </c>
      <c r="S1669" s="4">
        <v>31.76</v>
      </c>
      <c r="T1669" s="2">
        <v>3.84</v>
      </c>
      <c r="U1669" s="2">
        <v>110.89</v>
      </c>
      <c r="V1669" s="2">
        <v>31.62</v>
      </c>
      <c r="W1669" s="2">
        <v>-11.56</v>
      </c>
      <c r="X1669" s="2">
        <v>-13.71</v>
      </c>
      <c r="Y1669" s="2">
        <v>-26.49</v>
      </c>
      <c r="Z1669" s="2">
        <v>-25.83</v>
      </c>
    </row>
    <row r="1670" spans="1:26" x14ac:dyDescent="0.25">
      <c r="A1670" s="1" t="s">
        <v>6905</v>
      </c>
      <c r="B1670" s="1" t="s">
        <v>6906</v>
      </c>
      <c r="C1670" s="1" t="s">
        <v>16</v>
      </c>
      <c r="D1670" s="1" t="s">
        <v>61</v>
      </c>
      <c r="E1670" s="1" t="s">
        <v>62</v>
      </c>
      <c r="F1670" s="1" t="s">
        <v>6907</v>
      </c>
      <c r="G1670" s="1" t="s">
        <v>12480</v>
      </c>
      <c r="H1670" s="1" t="s">
        <v>6908</v>
      </c>
      <c r="I1670" s="2">
        <v>516.96</v>
      </c>
      <c r="J1670" s="2">
        <v>23.16</v>
      </c>
      <c r="K1670" s="2">
        <v>24.25</v>
      </c>
      <c r="L1670" s="2">
        <v>26.5</v>
      </c>
      <c r="M1670" s="4">
        <f t="shared" si="156"/>
        <v>21.317938144329897</v>
      </c>
      <c r="N1670" s="4">
        <f t="shared" si="157"/>
        <v>19.507924528301889</v>
      </c>
      <c r="O1670" s="5">
        <f t="shared" si="158"/>
        <v>4.7063903281519881E-2</v>
      </c>
      <c r="P1670" s="5">
        <f t="shared" si="159"/>
        <v>9.2783505154639068E-2</v>
      </c>
      <c r="Q1670" s="4">
        <f t="shared" si="160"/>
        <v>4.5295729121346806</v>
      </c>
      <c r="R1670" s="4">
        <f t="shared" si="161"/>
        <v>2.1025207547169837</v>
      </c>
      <c r="S1670" s="4">
        <v>-2.73</v>
      </c>
      <c r="T1670" s="2">
        <v>1.1599999999999999</v>
      </c>
      <c r="U1670" s="2">
        <v>664.54</v>
      </c>
      <c r="V1670" s="2">
        <v>444.26</v>
      </c>
      <c r="W1670" s="2">
        <v>-8.24</v>
      </c>
      <c r="X1670" s="2">
        <v>-2.33</v>
      </c>
      <c r="Y1670" s="2">
        <v>4.2</v>
      </c>
      <c r="Z1670" s="2">
        <v>6.46</v>
      </c>
    </row>
    <row r="1671" spans="1:26" x14ac:dyDescent="0.25">
      <c r="A1671" s="1" t="s">
        <v>6909</v>
      </c>
      <c r="B1671" s="1" t="s">
        <v>6910</v>
      </c>
      <c r="C1671" s="1" t="s">
        <v>45</v>
      </c>
      <c r="D1671" s="1" t="s">
        <v>32</v>
      </c>
      <c r="E1671" s="1" t="s">
        <v>264</v>
      </c>
      <c r="F1671" s="1" t="s">
        <v>6911</v>
      </c>
      <c r="G1671" s="1" t="s">
        <v>12480</v>
      </c>
      <c r="H1671" s="1" t="s">
        <v>6912</v>
      </c>
      <c r="I1671" s="2">
        <v>7.83</v>
      </c>
      <c r="J1671" s="2">
        <v>-3.06</v>
      </c>
      <c r="K1671" s="2">
        <v>-0.02</v>
      </c>
      <c r="L1671" s="2">
        <v>0.75</v>
      </c>
      <c r="M1671" s="4">
        <f t="shared" si="156"/>
        <v>-391.5</v>
      </c>
      <c r="N1671" s="4">
        <f t="shared" si="157"/>
        <v>10.44</v>
      </c>
      <c r="O1671" s="5">
        <f t="shared" si="158"/>
        <v>-0.99346405228758172</v>
      </c>
      <c r="P1671" s="5">
        <f t="shared" si="159"/>
        <v>-38.5</v>
      </c>
      <c r="Q1671" s="4">
        <f t="shared" si="160"/>
        <v>3.9407565789473682</v>
      </c>
      <c r="R1671" s="4">
        <f t="shared" si="161"/>
        <v>-2.7116883116883117E-3</v>
      </c>
      <c r="S1671" s="4">
        <v>-0.33</v>
      </c>
      <c r="T1671" s="2" t="s">
        <v>12493</v>
      </c>
      <c r="U1671" s="2">
        <v>8.8699999999999992</v>
      </c>
      <c r="V1671" s="2">
        <v>4.5</v>
      </c>
      <c r="W1671" s="2">
        <v>0.38</v>
      </c>
      <c r="X1671" s="2">
        <v>-3.45</v>
      </c>
      <c r="Y1671" s="2">
        <v>-6.9</v>
      </c>
      <c r="Z1671" s="2">
        <v>5.95</v>
      </c>
    </row>
    <row r="1672" spans="1:26" x14ac:dyDescent="0.25">
      <c r="A1672" s="1" t="s">
        <v>6913</v>
      </c>
      <c r="B1672" s="1" t="s">
        <v>6914</v>
      </c>
      <c r="C1672" s="1" t="s">
        <v>45</v>
      </c>
      <c r="D1672" s="1" t="s">
        <v>32</v>
      </c>
      <c r="E1672" s="1" t="s">
        <v>264</v>
      </c>
      <c r="F1672" s="1" t="s">
        <v>6915</v>
      </c>
      <c r="G1672" s="1" t="s">
        <v>12480</v>
      </c>
      <c r="H1672" s="1" t="s">
        <v>6912</v>
      </c>
      <c r="I1672" s="2">
        <v>7.9</v>
      </c>
      <c r="J1672" s="2">
        <v>-3.06</v>
      </c>
      <c r="K1672" s="2"/>
      <c r="L1672" s="2"/>
      <c r="M1672" s="4" t="e">
        <f t="shared" si="156"/>
        <v>#DIV/0!</v>
      </c>
      <c r="N1672" s="4" t="e">
        <f t="shared" si="157"/>
        <v>#DIV/0!</v>
      </c>
      <c r="O1672" s="5">
        <f t="shared" si="158"/>
        <v>-1</v>
      </c>
      <c r="P1672" s="5" t="e">
        <f t="shared" si="159"/>
        <v>#DIV/0!</v>
      </c>
      <c r="Q1672" s="4" t="e">
        <f t="shared" si="160"/>
        <v>#DIV/0!</v>
      </c>
      <c r="R1672" s="4" t="e">
        <f t="shared" si="161"/>
        <v>#DIV/0!</v>
      </c>
      <c r="S1672" s="4">
        <v>-0.33</v>
      </c>
      <c r="T1672" s="2">
        <v>0.97</v>
      </c>
      <c r="U1672" s="2">
        <v>8.94</v>
      </c>
      <c r="V1672" s="2">
        <v>4.54</v>
      </c>
      <c r="W1672" s="2" t="s">
        <v>12489</v>
      </c>
      <c r="X1672" s="2">
        <v>-3.54</v>
      </c>
      <c r="Y1672" s="2">
        <v>-7.06</v>
      </c>
      <c r="Z1672" s="2">
        <v>5.9</v>
      </c>
    </row>
    <row r="1673" spans="1:26" x14ac:dyDescent="0.25">
      <c r="A1673" s="1" t="s">
        <v>6916</v>
      </c>
      <c r="B1673" s="1" t="s">
        <v>6917</v>
      </c>
      <c r="C1673" s="1" t="s">
        <v>45</v>
      </c>
      <c r="D1673" s="1" t="s">
        <v>88</v>
      </c>
      <c r="E1673" s="1" t="s">
        <v>1113</v>
      </c>
      <c r="F1673" s="1" t="s">
        <v>6918</v>
      </c>
      <c r="G1673" s="1" t="s">
        <v>12480</v>
      </c>
      <c r="H1673" s="1" t="s">
        <v>6919</v>
      </c>
      <c r="I1673" s="2">
        <v>483.62</v>
      </c>
      <c r="J1673" s="2">
        <v>16.46</v>
      </c>
      <c r="K1673" s="2">
        <v>17.8</v>
      </c>
      <c r="L1673" s="2">
        <v>19.38</v>
      </c>
      <c r="M1673" s="4">
        <f t="shared" si="156"/>
        <v>27.169662921348312</v>
      </c>
      <c r="N1673" s="4">
        <f t="shared" si="157"/>
        <v>24.954592363261096</v>
      </c>
      <c r="O1673" s="5">
        <f t="shared" si="158"/>
        <v>8.1409477521263707E-2</v>
      </c>
      <c r="P1673" s="5">
        <f t="shared" si="159"/>
        <v>8.8764044943820064E-2</v>
      </c>
      <c r="Q1673" s="4">
        <f t="shared" si="160"/>
        <v>3.3374078483984553</v>
      </c>
      <c r="R1673" s="4">
        <f t="shared" si="161"/>
        <v>2.8113401523167614</v>
      </c>
      <c r="S1673" s="4">
        <v>2.97</v>
      </c>
      <c r="T1673" s="2">
        <v>0.82</v>
      </c>
      <c r="U1673" s="2">
        <v>509.34</v>
      </c>
      <c r="V1673" s="2">
        <v>389.38</v>
      </c>
      <c r="W1673" s="2">
        <v>-5.05</v>
      </c>
      <c r="X1673" s="2">
        <v>5.98</v>
      </c>
      <c r="Y1673" s="2">
        <v>15.98</v>
      </c>
      <c r="Z1673" s="2">
        <v>13.42</v>
      </c>
    </row>
    <row r="1674" spans="1:26" x14ac:dyDescent="0.25">
      <c r="A1674" s="1" t="s">
        <v>6920</v>
      </c>
      <c r="B1674" s="1" t="s">
        <v>6921</v>
      </c>
      <c r="C1674" s="1" t="s">
        <v>45</v>
      </c>
      <c r="D1674" s="1" t="s">
        <v>147</v>
      </c>
      <c r="E1674" s="1" t="s">
        <v>435</v>
      </c>
      <c r="F1674" s="1" t="s">
        <v>6922</v>
      </c>
      <c r="G1674" s="1" t="s">
        <v>12480</v>
      </c>
      <c r="H1674" s="1" t="s">
        <v>6788</v>
      </c>
      <c r="I1674" s="2">
        <v>36.22</v>
      </c>
      <c r="J1674" s="2">
        <v>0.92</v>
      </c>
      <c r="K1674" s="2">
        <v>0.7</v>
      </c>
      <c r="L1674" s="2">
        <v>1.02</v>
      </c>
      <c r="M1674" s="4">
        <f t="shared" si="156"/>
        <v>51.742857142857147</v>
      </c>
      <c r="N1674" s="4">
        <f t="shared" si="157"/>
        <v>35.509803921568626</v>
      </c>
      <c r="O1674" s="5">
        <f t="shared" si="158"/>
        <v>-0.23913043478260876</v>
      </c>
      <c r="P1674" s="5">
        <f t="shared" si="159"/>
        <v>0.4571428571428573</v>
      </c>
      <c r="Q1674" s="4">
        <f t="shared" si="160"/>
        <v>-2.1637922077922074</v>
      </c>
      <c r="R1674" s="4">
        <f t="shared" si="161"/>
        <v>0.77677696078431346</v>
      </c>
      <c r="S1674" s="4">
        <v>17.760000000000002</v>
      </c>
      <c r="T1674" s="2">
        <v>0.92</v>
      </c>
      <c r="U1674" s="2">
        <v>37.020000000000003</v>
      </c>
      <c r="V1674" s="2">
        <v>14.44</v>
      </c>
      <c r="W1674" s="2">
        <v>-1.66</v>
      </c>
      <c r="X1674" s="2">
        <v>36.83</v>
      </c>
      <c r="Y1674" s="2">
        <v>58.58</v>
      </c>
      <c r="Z1674" s="2">
        <v>49.98</v>
      </c>
    </row>
    <row r="1675" spans="1:26" x14ac:dyDescent="0.25">
      <c r="A1675" s="1" t="s">
        <v>6923</v>
      </c>
      <c r="B1675" s="1" t="s">
        <v>6924</v>
      </c>
      <c r="C1675" s="1" t="s">
        <v>45</v>
      </c>
      <c r="D1675" s="1" t="s">
        <v>147</v>
      </c>
      <c r="E1675" s="1" t="s">
        <v>148</v>
      </c>
      <c r="F1675" s="1" t="s">
        <v>6925</v>
      </c>
      <c r="G1675" s="1" t="s">
        <v>12480</v>
      </c>
      <c r="H1675" s="1" t="s">
        <v>6926</v>
      </c>
      <c r="I1675" s="2">
        <v>17.809999999999999</v>
      </c>
      <c r="J1675" s="2">
        <v>-0.28999999999999998</v>
      </c>
      <c r="K1675" s="2">
        <v>0.17</v>
      </c>
      <c r="L1675" s="2">
        <v>0.41</v>
      </c>
      <c r="M1675" s="4">
        <f t="shared" si="156"/>
        <v>104.76470588235293</v>
      </c>
      <c r="N1675" s="4">
        <f t="shared" si="157"/>
        <v>43.439024390243901</v>
      </c>
      <c r="O1675" s="5">
        <f t="shared" si="158"/>
        <v>-1.5862068965517242</v>
      </c>
      <c r="P1675" s="5">
        <f t="shared" si="159"/>
        <v>1.4117647058823528</v>
      </c>
      <c r="Q1675" s="4">
        <f t="shared" si="160"/>
        <v>-0.66047314578005112</v>
      </c>
      <c r="R1675" s="4">
        <f t="shared" si="161"/>
        <v>0.30769308943089435</v>
      </c>
      <c r="S1675" s="4">
        <v>19.59</v>
      </c>
      <c r="T1675" s="2">
        <v>2.2000000000000002</v>
      </c>
      <c r="U1675" s="2">
        <v>20.85</v>
      </c>
      <c r="V1675" s="2">
        <v>7.79</v>
      </c>
      <c r="W1675" s="2">
        <v>-8.1999999999999993</v>
      </c>
      <c r="X1675" s="2">
        <v>-11.7</v>
      </c>
      <c r="Y1675" s="2">
        <v>25.07</v>
      </c>
      <c r="Z1675" s="2">
        <v>23.51</v>
      </c>
    </row>
    <row r="1676" spans="1:26" x14ac:dyDescent="0.25">
      <c r="A1676" s="1" t="s">
        <v>6927</v>
      </c>
      <c r="B1676" s="1" t="s">
        <v>6928</v>
      </c>
      <c r="C1676" s="1" t="s">
        <v>45</v>
      </c>
      <c r="D1676" s="1" t="s">
        <v>38</v>
      </c>
      <c r="E1676" s="1" t="s">
        <v>510</v>
      </c>
      <c r="F1676" s="1" t="s">
        <v>6929</v>
      </c>
      <c r="G1676" s="1" t="s">
        <v>12480</v>
      </c>
      <c r="H1676" s="1" t="s">
        <v>6930</v>
      </c>
      <c r="I1676" s="2" t="s">
        <v>12516</v>
      </c>
      <c r="J1676" s="2">
        <v>3.37</v>
      </c>
      <c r="K1676" s="2">
        <v>2.9</v>
      </c>
      <c r="L1676" s="2">
        <v>3.06</v>
      </c>
      <c r="M1676" s="4">
        <f t="shared" si="156"/>
        <v>13.448275862068966</v>
      </c>
      <c r="N1676" s="4">
        <f t="shared" si="157"/>
        <v>12.745098039215685</v>
      </c>
      <c r="O1676" s="5">
        <f t="shared" si="158"/>
        <v>-0.13946587537091992</v>
      </c>
      <c r="P1676" s="5">
        <f t="shared" si="159"/>
        <v>5.5172413793103559E-2</v>
      </c>
      <c r="Q1676" s="4">
        <f t="shared" si="160"/>
        <v>-0.96426999266324254</v>
      </c>
      <c r="R1676" s="4">
        <f t="shared" si="161"/>
        <v>2.3100490196078383</v>
      </c>
      <c r="S1676" s="4">
        <v>0.28000000000000003</v>
      </c>
      <c r="T1676" s="2">
        <v>-0.42</v>
      </c>
      <c r="U1676" s="2">
        <v>61.26</v>
      </c>
      <c r="V1676" s="2">
        <v>33.07</v>
      </c>
      <c r="W1676" s="2">
        <v>-4.3600000000000003</v>
      </c>
      <c r="X1676" s="2">
        <v>-0.84</v>
      </c>
      <c r="Y1676" s="2">
        <v>7.82</v>
      </c>
      <c r="Z1676" s="2">
        <v>11.43</v>
      </c>
    </row>
    <row r="1677" spans="1:26" x14ac:dyDescent="0.25">
      <c r="A1677" s="1" t="s">
        <v>6931</v>
      </c>
      <c r="B1677" s="1" t="s">
        <v>6932</v>
      </c>
      <c r="C1677" s="1" t="s">
        <v>16</v>
      </c>
      <c r="D1677" s="1" t="s">
        <v>147</v>
      </c>
      <c r="E1677" s="1" t="s">
        <v>1460</v>
      </c>
      <c r="F1677" s="1" t="s">
        <v>6933</v>
      </c>
      <c r="G1677" s="1" t="s">
        <v>12490</v>
      </c>
      <c r="H1677" s="1" t="s">
        <v>6934</v>
      </c>
      <c r="I1677" s="2">
        <v>10.5</v>
      </c>
      <c r="J1677" s="2">
        <v>0.1</v>
      </c>
      <c r="K1677" s="2">
        <v>-0.28000000000000003</v>
      </c>
      <c r="L1677" s="2">
        <v>0.21</v>
      </c>
      <c r="M1677" s="4">
        <f t="shared" si="156"/>
        <v>-37.499999999999993</v>
      </c>
      <c r="N1677" s="4">
        <f t="shared" si="157"/>
        <v>50</v>
      </c>
      <c r="O1677" s="5">
        <f t="shared" si="158"/>
        <v>-3.8000000000000003</v>
      </c>
      <c r="P1677" s="5">
        <f t="shared" si="159"/>
        <v>-1.75</v>
      </c>
      <c r="Q1677" s="4">
        <f t="shared" si="160"/>
        <v>9.8684210526315777E-2</v>
      </c>
      <c r="R1677" s="4">
        <f t="shared" si="161"/>
        <v>-0.2857142857142857</v>
      </c>
      <c r="S1677" s="4" t="s">
        <v>12496</v>
      </c>
      <c r="T1677" s="2">
        <v>-0.39</v>
      </c>
      <c r="U1677" s="2">
        <v>10.66</v>
      </c>
      <c r="V1677" s="2">
        <v>5.59</v>
      </c>
      <c r="W1677" s="2">
        <v>11.7</v>
      </c>
      <c r="X1677" s="2">
        <v>14.01</v>
      </c>
      <c r="Y1677" s="2">
        <v>27.43</v>
      </c>
      <c r="Z1677" s="2">
        <v>15.01</v>
      </c>
    </row>
    <row r="1678" spans="1:26" x14ac:dyDescent="0.25">
      <c r="A1678" s="1" t="s">
        <v>6935</v>
      </c>
      <c r="B1678" s="1" t="s">
        <v>6936</v>
      </c>
      <c r="C1678" s="1" t="s">
        <v>31</v>
      </c>
      <c r="D1678" s="1" t="s">
        <v>128</v>
      </c>
      <c r="E1678" s="1" t="s">
        <v>210</v>
      </c>
      <c r="F1678" s="1" t="s">
        <v>6937</v>
      </c>
      <c r="G1678" s="1" t="s">
        <v>12480</v>
      </c>
      <c r="H1678" s="1" t="s">
        <v>6938</v>
      </c>
      <c r="I1678" s="2">
        <v>11.51</v>
      </c>
      <c r="J1678" s="2">
        <v>0.67</v>
      </c>
      <c r="K1678" s="2"/>
      <c r="L1678" s="2"/>
      <c r="M1678" s="4" t="e">
        <f t="shared" si="156"/>
        <v>#DIV/0!</v>
      </c>
      <c r="N1678" s="4" t="e">
        <f t="shared" si="157"/>
        <v>#DIV/0!</v>
      </c>
      <c r="O1678" s="5">
        <f t="shared" si="158"/>
        <v>-1</v>
      </c>
      <c r="P1678" s="5" t="e">
        <f t="shared" si="159"/>
        <v>#DIV/0!</v>
      </c>
      <c r="Q1678" s="4" t="e">
        <f t="shared" si="160"/>
        <v>#DIV/0!</v>
      </c>
      <c r="R1678" s="4" t="e">
        <f t="shared" si="161"/>
        <v>#DIV/0!</v>
      </c>
      <c r="S1678" s="4">
        <v>3.37</v>
      </c>
      <c r="T1678" s="2">
        <v>0.32</v>
      </c>
      <c r="U1678" s="2">
        <v>11.51</v>
      </c>
      <c r="V1678" s="2">
        <v>9.1300000000000008</v>
      </c>
      <c r="W1678" s="2" t="s">
        <v>12489</v>
      </c>
      <c r="X1678" s="2">
        <v>9.6199999999999992</v>
      </c>
      <c r="Y1678" s="2">
        <v>15.1</v>
      </c>
      <c r="Z1678" s="2">
        <v>9.6199999999999992</v>
      </c>
    </row>
    <row r="1679" spans="1:26" x14ac:dyDescent="0.25">
      <c r="A1679" s="1" t="s">
        <v>6939</v>
      </c>
      <c r="B1679" s="1" t="s">
        <v>6940</v>
      </c>
      <c r="C1679" s="1" t="s">
        <v>45</v>
      </c>
      <c r="D1679" s="1" t="s">
        <v>32</v>
      </c>
      <c r="E1679" s="1" t="s">
        <v>1572</v>
      </c>
      <c r="F1679" s="1" t="s">
        <v>6941</v>
      </c>
      <c r="G1679" s="1" t="s">
        <v>12502</v>
      </c>
      <c r="H1679" s="1" t="s">
        <v>6942</v>
      </c>
      <c r="I1679" s="2">
        <v>640.69000000000005</v>
      </c>
      <c r="J1679" s="2">
        <v>2.06</v>
      </c>
      <c r="K1679" s="2">
        <v>7.71</v>
      </c>
      <c r="L1679" s="2">
        <v>14.71</v>
      </c>
      <c r="M1679" s="4">
        <f t="shared" si="156"/>
        <v>83.098573281452673</v>
      </c>
      <c r="N1679" s="4">
        <f t="shared" si="157"/>
        <v>43.554724677090412</v>
      </c>
      <c r="O1679" s="5">
        <f t="shared" si="158"/>
        <v>2.7427184466019416</v>
      </c>
      <c r="P1679" s="5">
        <f t="shared" si="159"/>
        <v>0.9079118028534372</v>
      </c>
      <c r="Q1679" s="4">
        <f t="shared" si="160"/>
        <v>0.30297886895538495</v>
      </c>
      <c r="R1679" s="4">
        <f t="shared" si="161"/>
        <v>0.4797241818005244</v>
      </c>
      <c r="S1679" s="4">
        <v>21.03</v>
      </c>
      <c r="T1679" s="2">
        <v>1.38</v>
      </c>
      <c r="U1679" s="2">
        <v>783.25</v>
      </c>
      <c r="V1679" s="2">
        <v>49.56</v>
      </c>
      <c r="W1679" s="2">
        <v>-18.2</v>
      </c>
      <c r="X1679" s="2">
        <v>11.01</v>
      </c>
      <c r="Y1679" s="2">
        <v>91.43</v>
      </c>
      <c r="Z1679" s="2">
        <v>73.819999999999993</v>
      </c>
    </row>
    <row r="1680" spans="1:26" x14ac:dyDescent="0.25">
      <c r="A1680" s="1" t="s">
        <v>6943</v>
      </c>
      <c r="B1680" s="1" t="s">
        <v>6944</v>
      </c>
      <c r="C1680" s="1" t="s">
        <v>45</v>
      </c>
      <c r="D1680" s="1" t="s">
        <v>18</v>
      </c>
      <c r="E1680" s="1" t="s">
        <v>594</v>
      </c>
      <c r="F1680" s="1" t="s">
        <v>6945</v>
      </c>
      <c r="G1680" s="1" t="s">
        <v>12480</v>
      </c>
      <c r="H1680" s="1" t="s">
        <v>4942</v>
      </c>
      <c r="I1680" s="2">
        <v>62.06</v>
      </c>
      <c r="J1680" s="2">
        <v>3.9</v>
      </c>
      <c r="K1680" s="2">
        <v>4.18</v>
      </c>
      <c r="L1680" s="2">
        <v>4.45</v>
      </c>
      <c r="M1680" s="4">
        <f t="shared" si="156"/>
        <v>14.846889952153111</v>
      </c>
      <c r="N1680" s="4">
        <f t="shared" si="157"/>
        <v>13.946067415730337</v>
      </c>
      <c r="O1680" s="5">
        <f t="shared" si="158"/>
        <v>7.1794871794871762E-2</v>
      </c>
      <c r="P1680" s="5">
        <f t="shared" si="159"/>
        <v>6.4593301435406758E-2</v>
      </c>
      <c r="Q1680" s="4">
        <f t="shared" si="160"/>
        <v>2.0679596719070412</v>
      </c>
      <c r="R1680" s="4">
        <f t="shared" si="161"/>
        <v>2.1590578443612132</v>
      </c>
      <c r="S1680" s="4">
        <v>10.75</v>
      </c>
      <c r="T1680" s="2">
        <v>0.92</v>
      </c>
      <c r="U1680" s="2" t="s">
        <v>12722</v>
      </c>
      <c r="V1680" s="2">
        <v>33.85</v>
      </c>
      <c r="W1680" s="2">
        <v>-11.68</v>
      </c>
      <c r="X1680" s="2">
        <v>-5.6</v>
      </c>
      <c r="Y1680" s="2">
        <v>-1.59</v>
      </c>
      <c r="Z1680" s="2">
        <v>0.86</v>
      </c>
    </row>
    <row r="1681" spans="1:26" x14ac:dyDescent="0.25">
      <c r="A1681" s="1" t="s">
        <v>6946</v>
      </c>
      <c r="B1681" s="1" t="s">
        <v>6947</v>
      </c>
      <c r="C1681" s="1" t="s">
        <v>31</v>
      </c>
      <c r="D1681" s="1" t="s">
        <v>67</v>
      </c>
      <c r="E1681" s="1" t="s">
        <v>2654</v>
      </c>
      <c r="F1681" s="1" t="s">
        <v>6948</v>
      </c>
      <c r="G1681" s="1" t="s">
        <v>12490</v>
      </c>
      <c r="H1681" s="1" t="s">
        <v>6949</v>
      </c>
      <c r="I1681" s="2">
        <v>4.1900000000000004</v>
      </c>
      <c r="J1681" s="2">
        <v>0.24</v>
      </c>
      <c r="K1681" s="2"/>
      <c r="L1681" s="2"/>
      <c r="M1681" s="4" t="e">
        <f t="shared" si="156"/>
        <v>#DIV/0!</v>
      </c>
      <c r="N1681" s="4" t="e">
        <f t="shared" si="157"/>
        <v>#DIV/0!</v>
      </c>
      <c r="O1681" s="5">
        <f t="shared" si="158"/>
        <v>-1</v>
      </c>
      <c r="P1681" s="5" t="e">
        <f t="shared" si="159"/>
        <v>#DIV/0!</v>
      </c>
      <c r="Q1681" s="4" t="e">
        <f t="shared" si="160"/>
        <v>#DIV/0!</v>
      </c>
      <c r="R1681" s="4" t="e">
        <f t="shared" si="161"/>
        <v>#DIV/0!</v>
      </c>
      <c r="S1681" s="4">
        <v>-12.6</v>
      </c>
      <c r="T1681" s="2">
        <v>-0.15</v>
      </c>
      <c r="U1681" s="2">
        <v>4.25</v>
      </c>
      <c r="V1681" s="2">
        <v>2.0499999999999998</v>
      </c>
      <c r="W1681" s="2" t="s">
        <v>12489</v>
      </c>
      <c r="X1681" s="2">
        <v>0.24</v>
      </c>
      <c r="Y1681" s="2">
        <v>24.33</v>
      </c>
      <c r="Z1681" s="2">
        <v>37.6</v>
      </c>
    </row>
    <row r="1682" spans="1:26" x14ac:dyDescent="0.25">
      <c r="A1682" s="1" t="s">
        <v>6951</v>
      </c>
      <c r="B1682" s="1" t="s">
        <v>6952</v>
      </c>
      <c r="C1682" s="1" t="s">
        <v>45</v>
      </c>
      <c r="D1682" s="1" t="s">
        <v>38</v>
      </c>
      <c r="E1682" s="1" t="s">
        <v>1093</v>
      </c>
      <c r="F1682" s="1" t="s">
        <v>6953</v>
      </c>
      <c r="G1682" s="1" t="s">
        <v>12480</v>
      </c>
      <c r="H1682" s="1" t="s">
        <v>517</v>
      </c>
      <c r="I1682" s="2">
        <v>56.5</v>
      </c>
      <c r="J1682" s="2">
        <v>4.01</v>
      </c>
      <c r="K1682" s="2">
        <v>4.2</v>
      </c>
      <c r="L1682" s="2">
        <v>4.4000000000000004</v>
      </c>
      <c r="M1682" s="4">
        <f t="shared" si="156"/>
        <v>13.452380952380953</v>
      </c>
      <c r="N1682" s="4">
        <f t="shared" si="157"/>
        <v>12.84090909090909</v>
      </c>
      <c r="O1682" s="5">
        <f t="shared" si="158"/>
        <v>4.7381546134663388E-2</v>
      </c>
      <c r="P1682" s="5">
        <f t="shared" si="159"/>
        <v>4.7619047619047672E-2</v>
      </c>
      <c r="Q1682" s="4">
        <f t="shared" si="160"/>
        <v>2.8391604010025033</v>
      </c>
      <c r="R1682" s="4">
        <f t="shared" si="161"/>
        <v>2.6965909090909057</v>
      </c>
      <c r="S1682" s="4">
        <v>-1.93</v>
      </c>
      <c r="T1682" s="2">
        <v>0.73</v>
      </c>
      <c r="U1682" s="2">
        <v>68.73</v>
      </c>
      <c r="V1682" s="2">
        <v>51.45</v>
      </c>
      <c r="W1682" s="2">
        <v>-3.7</v>
      </c>
      <c r="X1682" s="2">
        <v>-9.4600000000000009</v>
      </c>
      <c r="Y1682" s="2">
        <v>-5.73</v>
      </c>
      <c r="Z1682" s="2">
        <v>-0.98</v>
      </c>
    </row>
    <row r="1683" spans="1:26" x14ac:dyDescent="0.25">
      <c r="A1683" s="1" t="s">
        <v>6954</v>
      </c>
      <c r="B1683" s="1" t="s">
        <v>6955</v>
      </c>
      <c r="C1683" s="1" t="s">
        <v>31</v>
      </c>
      <c r="D1683" s="1" t="s">
        <v>128</v>
      </c>
      <c r="E1683" s="1" t="s">
        <v>2351</v>
      </c>
      <c r="F1683" s="1" t="s">
        <v>6956</v>
      </c>
      <c r="G1683" s="1" t="s">
        <v>12480</v>
      </c>
      <c r="H1683" s="1" t="s">
        <v>6957</v>
      </c>
      <c r="I1683" s="2">
        <v>35.200000000000003</v>
      </c>
      <c r="J1683" s="2">
        <v>1.84</v>
      </c>
      <c r="K1683" s="2">
        <v>2.33</v>
      </c>
      <c r="L1683" s="2">
        <v>2.81</v>
      </c>
      <c r="M1683" s="4">
        <f t="shared" si="156"/>
        <v>15.107296137339057</v>
      </c>
      <c r="N1683" s="4">
        <f t="shared" si="157"/>
        <v>12.526690391459075</v>
      </c>
      <c r="O1683" s="5">
        <f t="shared" si="158"/>
        <v>0.26630434782608692</v>
      </c>
      <c r="P1683" s="5">
        <f t="shared" si="159"/>
        <v>0.20600858369098707</v>
      </c>
      <c r="Q1683" s="4">
        <f t="shared" si="160"/>
        <v>0.56729438556538514</v>
      </c>
      <c r="R1683" s="4">
        <f t="shared" si="161"/>
        <v>0.60806642941874278</v>
      </c>
      <c r="S1683" s="4">
        <v>48.92</v>
      </c>
      <c r="T1683" s="2">
        <v>-0.35</v>
      </c>
      <c r="U1683" s="2">
        <v>43.03</v>
      </c>
      <c r="V1683" s="2">
        <v>27.69</v>
      </c>
      <c r="W1683" s="2">
        <v>2.1800000000000002</v>
      </c>
      <c r="X1683" s="2">
        <v>-5.88</v>
      </c>
      <c r="Y1683" s="2">
        <v>2.0299999999999998</v>
      </c>
      <c r="Z1683" s="2">
        <v>5.07</v>
      </c>
    </row>
    <row r="1684" spans="1:26" x14ac:dyDescent="0.25">
      <c r="A1684" s="1" t="s">
        <v>6958</v>
      </c>
      <c r="B1684" s="1" t="s">
        <v>6958</v>
      </c>
      <c r="C1684" s="1" t="s">
        <v>45</v>
      </c>
      <c r="D1684" s="1" t="s">
        <v>305</v>
      </c>
      <c r="E1684" s="1" t="s">
        <v>3726</v>
      </c>
      <c r="F1684" s="1" t="s">
        <v>6959</v>
      </c>
      <c r="G1684" s="1" t="s">
        <v>12480</v>
      </c>
      <c r="H1684" s="1" t="s">
        <v>6960</v>
      </c>
      <c r="I1684" s="2">
        <v>31.34</v>
      </c>
      <c r="J1684" s="2">
        <v>3.01</v>
      </c>
      <c r="K1684" s="2">
        <v>3.06</v>
      </c>
      <c r="L1684" s="2">
        <v>3.34</v>
      </c>
      <c r="M1684" s="4">
        <f t="shared" si="156"/>
        <v>10.241830065359476</v>
      </c>
      <c r="N1684" s="4">
        <f t="shared" si="157"/>
        <v>9.3832335329341312</v>
      </c>
      <c r="O1684" s="5">
        <f t="shared" si="158"/>
        <v>1.6611295681063121E-2</v>
      </c>
      <c r="P1684" s="5">
        <f t="shared" si="159"/>
        <v>9.1503267973856106E-2</v>
      </c>
      <c r="Q1684" s="4">
        <f t="shared" si="160"/>
        <v>6.1655816993464052</v>
      </c>
      <c r="R1684" s="4">
        <f t="shared" si="161"/>
        <v>1.0254533789563742</v>
      </c>
      <c r="S1684" s="4">
        <v>-4.9000000000000004</v>
      </c>
      <c r="T1684" s="2">
        <v>0.89</v>
      </c>
      <c r="U1684" s="2">
        <v>44.05</v>
      </c>
      <c r="V1684" s="2">
        <v>28.17</v>
      </c>
      <c r="W1684" s="2">
        <v>-4.3899999999999997</v>
      </c>
      <c r="X1684" s="2">
        <v>-8.31</v>
      </c>
      <c r="Y1684" s="2">
        <v>2.69</v>
      </c>
      <c r="Z1684" s="2">
        <v>3.77</v>
      </c>
    </row>
    <row r="1685" spans="1:26" x14ac:dyDescent="0.25">
      <c r="A1685" s="1" t="s">
        <v>6961</v>
      </c>
      <c r="B1685" s="1" t="s">
        <v>6962</v>
      </c>
      <c r="C1685" s="1" t="s">
        <v>16</v>
      </c>
      <c r="D1685" s="1" t="s">
        <v>18</v>
      </c>
      <c r="E1685" s="1" t="s">
        <v>113</v>
      </c>
      <c r="F1685" s="1" t="s">
        <v>6963</v>
      </c>
      <c r="G1685" s="1" t="s">
        <v>12480</v>
      </c>
      <c r="H1685" s="1" t="s">
        <v>6964</v>
      </c>
      <c r="I1685" s="2">
        <v>1008.39</v>
      </c>
      <c r="J1685" s="2">
        <v>24.21</v>
      </c>
      <c r="K1685" s="2">
        <v>34.159999999999997</v>
      </c>
      <c r="L1685" s="2">
        <v>41.93</v>
      </c>
      <c r="M1685" s="4">
        <f t="shared" si="156"/>
        <v>29.519613583138177</v>
      </c>
      <c r="N1685" s="4">
        <f t="shared" si="157"/>
        <v>24.049367994276174</v>
      </c>
      <c r="O1685" s="5">
        <f t="shared" si="158"/>
        <v>0.41098719537381223</v>
      </c>
      <c r="P1685" s="5">
        <f t="shared" si="159"/>
        <v>0.22745901639344268</v>
      </c>
      <c r="Q1685" s="4">
        <f t="shared" si="160"/>
        <v>0.71826115060077966</v>
      </c>
      <c r="R1685" s="4">
        <f t="shared" si="161"/>
        <v>1.0573055478564657</v>
      </c>
      <c r="S1685" s="4">
        <v>44.7</v>
      </c>
      <c r="T1685" s="2">
        <v>0.4</v>
      </c>
      <c r="U1685" s="2">
        <v>1109.94</v>
      </c>
      <c r="V1685" s="2">
        <v>625.65</v>
      </c>
      <c r="W1685" s="2">
        <v>-0.94</v>
      </c>
      <c r="X1685" s="2">
        <v>-3.47</v>
      </c>
      <c r="Y1685" s="2">
        <v>-5.07</v>
      </c>
      <c r="Z1685" s="2">
        <v>-6.17</v>
      </c>
    </row>
    <row r="1686" spans="1:26" x14ac:dyDescent="0.25">
      <c r="A1686" s="1" t="s">
        <v>6965</v>
      </c>
      <c r="B1686" s="1" t="s">
        <v>6966</v>
      </c>
      <c r="C1686" s="1" t="s">
        <v>45</v>
      </c>
      <c r="D1686" s="1" t="s">
        <v>2417</v>
      </c>
      <c r="E1686" s="1" t="s">
        <v>2418</v>
      </c>
      <c r="F1686" s="1" t="s">
        <v>6967</v>
      </c>
      <c r="G1686" s="1" t="s">
        <v>12480</v>
      </c>
      <c r="H1686" s="1" t="s">
        <v>6968</v>
      </c>
      <c r="I1686" s="2">
        <v>98.27</v>
      </c>
      <c r="J1686" s="2">
        <v>-0.08</v>
      </c>
      <c r="K1686" s="2">
        <v>0.75</v>
      </c>
      <c r="L1686" s="2">
        <v>1.28</v>
      </c>
      <c r="M1686" s="4">
        <f t="shared" si="156"/>
        <v>131.02666666666667</v>
      </c>
      <c r="N1686" s="4">
        <f t="shared" si="157"/>
        <v>76.7734375</v>
      </c>
      <c r="O1686" s="5">
        <f t="shared" si="158"/>
        <v>-10.375</v>
      </c>
      <c r="P1686" s="5">
        <f t="shared" si="159"/>
        <v>0.70666666666666678</v>
      </c>
      <c r="Q1686" s="4">
        <f t="shared" si="160"/>
        <v>-0.12629076305220885</v>
      </c>
      <c r="R1686" s="4">
        <f t="shared" si="161"/>
        <v>1.0864165683962264</v>
      </c>
      <c r="S1686" s="4"/>
      <c r="T1686" s="2">
        <v>1.23</v>
      </c>
      <c r="U1686" s="2">
        <v>98.96</v>
      </c>
      <c r="V1686" s="2">
        <v>61.51</v>
      </c>
      <c r="W1686" s="2">
        <v>1.28</v>
      </c>
      <c r="X1686" s="2">
        <v>15.94</v>
      </c>
      <c r="Y1686" s="2">
        <v>18.440000000000001</v>
      </c>
      <c r="Z1686" s="2">
        <v>20.58</v>
      </c>
    </row>
    <row r="1687" spans="1:26" x14ac:dyDescent="0.25">
      <c r="A1687" s="1" t="s">
        <v>6965</v>
      </c>
      <c r="B1687" s="1" t="s">
        <v>6969</v>
      </c>
      <c r="C1687" s="1" t="s">
        <v>45</v>
      </c>
      <c r="D1687" s="1" t="s">
        <v>2417</v>
      </c>
      <c r="E1687" s="1" t="s">
        <v>2418</v>
      </c>
      <c r="F1687" s="1" t="s">
        <v>6970</v>
      </c>
      <c r="G1687" s="1" t="s">
        <v>12480</v>
      </c>
      <c r="H1687" s="1" t="s">
        <v>6968</v>
      </c>
      <c r="I1687" s="2">
        <v>100.52</v>
      </c>
      <c r="J1687" s="2">
        <v>-0.08</v>
      </c>
      <c r="K1687" s="2">
        <v>0.75</v>
      </c>
      <c r="L1687" s="2">
        <v>1.28</v>
      </c>
      <c r="M1687" s="4">
        <f t="shared" si="156"/>
        <v>134.02666666666667</v>
      </c>
      <c r="N1687" s="4">
        <f t="shared" si="157"/>
        <v>78.53125</v>
      </c>
      <c r="O1687" s="5">
        <f t="shared" si="158"/>
        <v>-10.375</v>
      </c>
      <c r="P1687" s="5">
        <f t="shared" si="159"/>
        <v>0.70666666666666678</v>
      </c>
      <c r="Q1687" s="4">
        <f t="shared" si="160"/>
        <v>-0.12918232931726908</v>
      </c>
      <c r="R1687" s="4">
        <f t="shared" si="161"/>
        <v>1.1112912735849056</v>
      </c>
      <c r="S1687" s="4"/>
      <c r="T1687" s="2">
        <v>1.26</v>
      </c>
      <c r="U1687" s="2">
        <v>101.9</v>
      </c>
      <c r="V1687" s="2">
        <v>62.48</v>
      </c>
      <c r="W1687" s="2">
        <v>0.69</v>
      </c>
      <c r="X1687" s="2">
        <v>16.170000000000002</v>
      </c>
      <c r="Y1687" s="2">
        <v>18.09</v>
      </c>
      <c r="Z1687" s="2">
        <v>20.88</v>
      </c>
    </row>
    <row r="1688" spans="1:26" x14ac:dyDescent="0.25">
      <c r="A1688" s="1" t="s">
        <v>6972</v>
      </c>
      <c r="B1688" s="1" t="s">
        <v>6973</v>
      </c>
      <c r="C1688" s="1" t="s">
        <v>45</v>
      </c>
      <c r="D1688" s="1" t="s">
        <v>18</v>
      </c>
      <c r="E1688" s="1" t="s">
        <v>19</v>
      </c>
      <c r="F1688" s="1" t="s">
        <v>6974</v>
      </c>
      <c r="G1688" s="1" t="s">
        <v>12480</v>
      </c>
      <c r="H1688" s="1" t="s">
        <v>5452</v>
      </c>
      <c r="I1688" s="2">
        <v>110.07</v>
      </c>
      <c r="J1688" s="2">
        <v>2.52</v>
      </c>
      <c r="K1688" s="2">
        <v>2.82</v>
      </c>
      <c r="L1688" s="2">
        <v>3.12</v>
      </c>
      <c r="M1688" s="4">
        <f t="shared" si="156"/>
        <v>39.031914893617021</v>
      </c>
      <c r="N1688" s="4">
        <f t="shared" si="157"/>
        <v>35.278846153846153</v>
      </c>
      <c r="O1688" s="5">
        <f t="shared" si="158"/>
        <v>0.11904761904761907</v>
      </c>
      <c r="P1688" s="5">
        <f t="shared" si="159"/>
        <v>0.1063829787234043</v>
      </c>
      <c r="Q1688" s="4">
        <f t="shared" si="160"/>
        <v>3.2786808510638292</v>
      </c>
      <c r="R1688" s="4">
        <f t="shared" si="161"/>
        <v>3.3162115384615367</v>
      </c>
      <c r="S1688" s="4">
        <v>13.53</v>
      </c>
      <c r="T1688" s="2">
        <v>0.66</v>
      </c>
      <c r="U1688" s="2">
        <v>113.69</v>
      </c>
      <c r="V1688" s="2">
        <v>77.89</v>
      </c>
      <c r="W1688" s="2">
        <v>2.4900000000000002</v>
      </c>
      <c r="X1688" s="2">
        <v>27.19</v>
      </c>
      <c r="Y1688" s="2">
        <v>32.979999999999997</v>
      </c>
      <c r="Z1688" s="2">
        <v>35.72</v>
      </c>
    </row>
    <row r="1689" spans="1:26" x14ac:dyDescent="0.25">
      <c r="A1689" s="1" t="s">
        <v>6975</v>
      </c>
      <c r="B1689" s="1" t="s">
        <v>6976</v>
      </c>
      <c r="C1689" s="1" t="s">
        <v>16</v>
      </c>
      <c r="D1689" s="1" t="s">
        <v>38</v>
      </c>
      <c r="E1689" s="1" t="s">
        <v>254</v>
      </c>
      <c r="F1689" s="1" t="s">
        <v>6977</v>
      </c>
      <c r="G1689" s="1" t="s">
        <v>12480</v>
      </c>
      <c r="H1689" s="1" t="s">
        <v>6978</v>
      </c>
      <c r="I1689" s="2">
        <v>55.1</v>
      </c>
      <c r="J1689" s="2">
        <v>-2.2400000000000002</v>
      </c>
      <c r="K1689" s="2">
        <v>-1.74</v>
      </c>
      <c r="L1689" s="2">
        <v>-0.73</v>
      </c>
      <c r="M1689" s="4">
        <f t="shared" si="156"/>
        <v>-31.666666666666668</v>
      </c>
      <c r="N1689" s="4">
        <f t="shared" si="157"/>
        <v>-75.479452054794521</v>
      </c>
      <c r="O1689" s="5">
        <f t="shared" si="158"/>
        <v>-0.22321428571428581</v>
      </c>
      <c r="P1689" s="5">
        <f t="shared" si="159"/>
        <v>-0.58045977011494254</v>
      </c>
      <c r="Q1689" s="4">
        <f t="shared" si="160"/>
        <v>1.4186666666666661</v>
      </c>
      <c r="R1689" s="4">
        <f t="shared" si="161"/>
        <v>1.3003390750033907</v>
      </c>
      <c r="S1689" s="4">
        <v>40.15</v>
      </c>
      <c r="T1689" s="2">
        <v>2.12</v>
      </c>
      <c r="U1689" s="2">
        <v>96.57</v>
      </c>
      <c r="V1689" s="2">
        <v>25.12</v>
      </c>
      <c r="W1689" s="2">
        <v>3.45</v>
      </c>
      <c r="X1689" s="2">
        <v>-24.31</v>
      </c>
      <c r="Y1689" s="2">
        <v>-26.6</v>
      </c>
      <c r="Z1689" s="2">
        <v>-22.59</v>
      </c>
    </row>
    <row r="1690" spans="1:26" x14ac:dyDescent="0.25">
      <c r="A1690" s="1" t="s">
        <v>6979</v>
      </c>
      <c r="B1690" s="1" t="s">
        <v>6980</v>
      </c>
      <c r="C1690" s="1" t="s">
        <v>45</v>
      </c>
      <c r="D1690" s="1" t="s">
        <v>18</v>
      </c>
      <c r="E1690" s="1" t="s">
        <v>19</v>
      </c>
      <c r="F1690" s="1" t="s">
        <v>6981</v>
      </c>
      <c r="G1690" s="1" t="s">
        <v>12480</v>
      </c>
      <c r="H1690" s="1" t="s">
        <v>6982</v>
      </c>
      <c r="I1690" s="2">
        <v>14.73</v>
      </c>
      <c r="J1690" s="2"/>
      <c r="K1690" s="2">
        <v>0.68</v>
      </c>
      <c r="L1690" s="2">
        <v>1.02</v>
      </c>
      <c r="M1690" s="4">
        <f t="shared" si="156"/>
        <v>21.661764705882351</v>
      </c>
      <c r="N1690" s="4">
        <f t="shared" si="157"/>
        <v>14.441176470588236</v>
      </c>
      <c r="O1690" s="5" t="e">
        <f t="shared" si="158"/>
        <v>#DIV/0!</v>
      </c>
      <c r="P1690" s="5">
        <f t="shared" si="159"/>
        <v>0.5</v>
      </c>
      <c r="Q1690" s="4" t="e">
        <f t="shared" si="160"/>
        <v>#DIV/0!</v>
      </c>
      <c r="R1690" s="4">
        <f t="shared" si="161"/>
        <v>0.2888235294117647</v>
      </c>
      <c r="S1690" s="4"/>
      <c r="T1690" s="2"/>
      <c r="U1690" s="2">
        <v>18.53</v>
      </c>
      <c r="V1690" s="2">
        <v>10.14</v>
      </c>
      <c r="W1690" s="2">
        <v>-7.18</v>
      </c>
      <c r="X1690" s="2">
        <v>27.53</v>
      </c>
      <c r="Y1690" s="2">
        <v>-20.46</v>
      </c>
      <c r="Z1690" s="2">
        <v>-20.38</v>
      </c>
    </row>
    <row r="1691" spans="1:26" x14ac:dyDescent="0.25">
      <c r="A1691" s="1" t="s">
        <v>6983</v>
      </c>
      <c r="B1691" s="1" t="s">
        <v>6984</v>
      </c>
      <c r="C1691" s="1" t="s">
        <v>16</v>
      </c>
      <c r="D1691" s="1" t="s">
        <v>204</v>
      </c>
      <c r="E1691" s="1" t="s">
        <v>205</v>
      </c>
      <c r="F1691" s="1" t="s">
        <v>6985</v>
      </c>
      <c r="G1691" s="1" t="s">
        <v>12480</v>
      </c>
      <c r="H1691" s="1" t="s">
        <v>6986</v>
      </c>
      <c r="I1691" s="2">
        <v>664.15</v>
      </c>
      <c r="J1691" s="2">
        <v>23.12</v>
      </c>
      <c r="K1691" s="2">
        <v>29.87</v>
      </c>
      <c r="L1691" s="2">
        <v>32.26</v>
      </c>
      <c r="M1691" s="4">
        <f t="shared" si="156"/>
        <v>22.234683629059255</v>
      </c>
      <c r="N1691" s="4">
        <f t="shared" si="157"/>
        <v>20.587414755114693</v>
      </c>
      <c r="O1691" s="5">
        <f t="shared" si="158"/>
        <v>0.29195501730103812</v>
      </c>
      <c r="P1691" s="5">
        <f t="shared" si="159"/>
        <v>8.0013391362571129E-2</v>
      </c>
      <c r="Q1691" s="4">
        <f t="shared" si="160"/>
        <v>0.76157908963533305</v>
      </c>
      <c r="R1691" s="4">
        <f t="shared" si="161"/>
        <v>2.5729961453358832</v>
      </c>
      <c r="S1691" s="4">
        <v>5.64</v>
      </c>
      <c r="T1691" s="2">
        <v>0.22</v>
      </c>
      <c r="U1691" s="2">
        <v>676.7</v>
      </c>
      <c r="V1691" s="2">
        <v>410.74</v>
      </c>
      <c r="W1691" s="2">
        <v>-1.85</v>
      </c>
      <c r="X1691" s="2">
        <v>4.05</v>
      </c>
      <c r="Y1691" s="2">
        <v>37.1</v>
      </c>
      <c r="Z1691" s="2">
        <v>37.31</v>
      </c>
    </row>
    <row r="1692" spans="1:26" x14ac:dyDescent="0.25">
      <c r="A1692" s="1" t="s">
        <v>6987</v>
      </c>
      <c r="B1692" s="1" t="s">
        <v>6988</v>
      </c>
      <c r="C1692" s="1" t="s">
        <v>16</v>
      </c>
      <c r="D1692" s="1" t="s">
        <v>38</v>
      </c>
      <c r="E1692" s="1" t="s">
        <v>39</v>
      </c>
      <c r="F1692" s="1" t="s">
        <v>6989</v>
      </c>
      <c r="G1692" s="1" t="s">
        <v>12480</v>
      </c>
      <c r="H1692" s="1" t="s">
        <v>6990</v>
      </c>
      <c r="I1692" s="2" t="s">
        <v>12548</v>
      </c>
      <c r="J1692" s="2">
        <v>8.23</v>
      </c>
      <c r="K1692" s="2">
        <v>8.01</v>
      </c>
      <c r="L1692" s="2">
        <v>8.67</v>
      </c>
      <c r="M1692" s="4">
        <f t="shared" si="156"/>
        <v>4.2446941323345815</v>
      </c>
      <c r="N1692" s="4">
        <f t="shared" si="157"/>
        <v>3.9215686274509802</v>
      </c>
      <c r="O1692" s="5">
        <f t="shared" si="158"/>
        <v>-2.6731470230862753E-2</v>
      </c>
      <c r="P1692" s="5">
        <f t="shared" si="159"/>
        <v>8.2397003745318331E-2</v>
      </c>
      <c r="Q1692" s="4">
        <f t="shared" si="160"/>
        <v>-1.5879014867778878</v>
      </c>
      <c r="R1692" s="4">
        <f t="shared" si="161"/>
        <v>0.47593582887700547</v>
      </c>
      <c r="S1692" s="4">
        <v>-1.25</v>
      </c>
      <c r="T1692" s="2">
        <v>1.3</v>
      </c>
      <c r="U1692" s="2">
        <v>46.46</v>
      </c>
      <c r="V1692" s="2">
        <v>28.95</v>
      </c>
      <c r="W1692" s="2">
        <v>-1.45</v>
      </c>
      <c r="X1692" s="2">
        <v>-14.34</v>
      </c>
      <c r="Y1692" s="2">
        <v>-24.78</v>
      </c>
      <c r="Z1692" s="2">
        <v>-23.65</v>
      </c>
    </row>
    <row r="1693" spans="1:26" x14ac:dyDescent="0.25">
      <c r="A1693" s="1" t="s">
        <v>6991</v>
      </c>
      <c r="B1693" s="1" t="s">
        <v>6992</v>
      </c>
      <c r="C1693" s="1" t="s">
        <v>16</v>
      </c>
      <c r="D1693" s="1" t="s">
        <v>94</v>
      </c>
      <c r="E1693" s="1" t="s">
        <v>894</v>
      </c>
      <c r="F1693" s="1" t="s">
        <v>6993</v>
      </c>
      <c r="G1693" s="1" t="s">
        <v>12480</v>
      </c>
      <c r="H1693" s="1" t="s">
        <v>6994</v>
      </c>
      <c r="I1693" s="2">
        <v>250.8</v>
      </c>
      <c r="J1693" s="2">
        <v>11.17</v>
      </c>
      <c r="K1693" s="2">
        <v>13.88</v>
      </c>
      <c r="L1693" s="2">
        <v>12.75</v>
      </c>
      <c r="M1693" s="4">
        <f t="shared" si="156"/>
        <v>18.069164265129682</v>
      </c>
      <c r="N1693" s="4">
        <f t="shared" si="157"/>
        <v>19.670588235294119</v>
      </c>
      <c r="O1693" s="5">
        <f t="shared" si="158"/>
        <v>0.24261414503133394</v>
      </c>
      <c r="P1693" s="5">
        <f t="shared" si="159"/>
        <v>-8.1412103746397735E-2</v>
      </c>
      <c r="Q1693" s="4">
        <f t="shared" si="160"/>
        <v>0.74476961196124924</v>
      </c>
      <c r="R1693" s="4">
        <f t="shared" si="161"/>
        <v>-2.4161749089016129</v>
      </c>
      <c r="S1693" s="4">
        <v>27.21</v>
      </c>
      <c r="T1693" s="2">
        <v>0.25</v>
      </c>
      <c r="U1693" s="2">
        <v>255.15</v>
      </c>
      <c r="V1693" s="2">
        <v>188.83</v>
      </c>
      <c r="W1693" s="2">
        <v>0.75</v>
      </c>
      <c r="X1693" s="2">
        <v>16.3</v>
      </c>
      <c r="Y1693" s="2">
        <v>32.82</v>
      </c>
      <c r="Z1693" s="2">
        <v>29.02</v>
      </c>
    </row>
    <row r="1694" spans="1:26" x14ac:dyDescent="0.25">
      <c r="A1694" s="1" t="s">
        <v>6995</v>
      </c>
      <c r="B1694" s="1" t="s">
        <v>6996</v>
      </c>
      <c r="C1694" s="1" t="s">
        <v>16</v>
      </c>
      <c r="D1694" s="1" t="s">
        <v>25</v>
      </c>
      <c r="E1694" s="1" t="s">
        <v>449</v>
      </c>
      <c r="F1694" s="1" t="s">
        <v>6997</v>
      </c>
      <c r="G1694" s="1" t="s">
        <v>12497</v>
      </c>
      <c r="H1694" s="1" t="s">
        <v>12520</v>
      </c>
      <c r="I1694" s="2">
        <v>129.34</v>
      </c>
      <c r="J1694" s="2">
        <v>6.78</v>
      </c>
      <c r="K1694" s="2">
        <v>6.47</v>
      </c>
      <c r="L1694" s="2">
        <v>6.94</v>
      </c>
      <c r="M1694" s="4">
        <f t="shared" si="156"/>
        <v>19.990726429675426</v>
      </c>
      <c r="N1694" s="4">
        <f t="shared" si="157"/>
        <v>18.636887608069163</v>
      </c>
      <c r="O1694" s="5">
        <f t="shared" si="158"/>
        <v>-4.5722713864306819E-2</v>
      </c>
      <c r="P1694" s="5">
        <f t="shared" si="159"/>
        <v>7.2642967542503989E-2</v>
      </c>
      <c r="Q1694" s="4">
        <f t="shared" si="160"/>
        <v>-4.3721653288128799</v>
      </c>
      <c r="R1694" s="4">
        <f t="shared" si="161"/>
        <v>2.5655460175363252</v>
      </c>
      <c r="S1694" s="4">
        <v>11.41</v>
      </c>
      <c r="T1694" s="2">
        <v>0.79</v>
      </c>
      <c r="U1694" s="2">
        <v>148.29</v>
      </c>
      <c r="V1694" s="2">
        <v>106.57</v>
      </c>
      <c r="W1694" s="2">
        <v>-4.28</v>
      </c>
      <c r="X1694" s="2">
        <v>-2.91</v>
      </c>
      <c r="Y1694" s="2">
        <v>8.9600000000000009</v>
      </c>
      <c r="Z1694" s="2">
        <v>9.73</v>
      </c>
    </row>
    <row r="1695" spans="1:26" x14ac:dyDescent="0.25">
      <c r="A1695" s="1" t="s">
        <v>6998</v>
      </c>
      <c r="B1695" s="1" t="s">
        <v>6999</v>
      </c>
      <c r="C1695" s="1" t="s">
        <v>31</v>
      </c>
      <c r="D1695" s="1" t="s">
        <v>67</v>
      </c>
      <c r="E1695" s="1" t="s">
        <v>381</v>
      </c>
      <c r="F1695" s="1" t="s">
        <v>7000</v>
      </c>
      <c r="G1695" s="1" t="s">
        <v>12480</v>
      </c>
      <c r="H1695" s="1" t="s">
        <v>7001</v>
      </c>
      <c r="I1695" s="2">
        <v>65.507999999999996</v>
      </c>
      <c r="J1695" s="2">
        <v>4.05</v>
      </c>
      <c r="K1695" s="2">
        <v>3.93</v>
      </c>
      <c r="L1695" s="2">
        <v>4.45</v>
      </c>
      <c r="M1695" s="4">
        <f t="shared" si="156"/>
        <v>16.668702290076332</v>
      </c>
      <c r="N1695" s="4">
        <f t="shared" si="157"/>
        <v>14.720898876404492</v>
      </c>
      <c r="O1695" s="5">
        <f t="shared" si="158"/>
        <v>-2.9629629629629561E-2</v>
      </c>
      <c r="P1695" s="5">
        <f t="shared" si="159"/>
        <v>0.1323155216284988</v>
      </c>
      <c r="Q1695" s="4">
        <f t="shared" si="160"/>
        <v>-5.6256870229007747</v>
      </c>
      <c r="R1695" s="4">
        <f t="shared" si="161"/>
        <v>1.112560242005185</v>
      </c>
      <c r="S1695" s="4">
        <v>2.15</v>
      </c>
      <c r="T1695" s="2">
        <v>0.54</v>
      </c>
      <c r="U1695" s="2" t="s">
        <v>12545</v>
      </c>
      <c r="V1695" s="2">
        <v>42.13</v>
      </c>
      <c r="W1695" s="2">
        <v>-7.34</v>
      </c>
      <c r="X1695" s="2">
        <v>-5.95</v>
      </c>
      <c r="Y1695" s="2">
        <v>9.56</v>
      </c>
      <c r="Z1695" s="2">
        <v>9.33</v>
      </c>
    </row>
    <row r="1696" spans="1:26" x14ac:dyDescent="0.25">
      <c r="A1696" s="1" t="s">
        <v>7002</v>
      </c>
      <c r="B1696" s="1" t="s">
        <v>7003</v>
      </c>
      <c r="C1696" s="1" t="s">
        <v>45</v>
      </c>
      <c r="D1696" s="1" t="s">
        <v>354</v>
      </c>
      <c r="E1696" s="1" t="s">
        <v>355</v>
      </c>
      <c r="F1696" s="1" t="s">
        <v>7004</v>
      </c>
      <c r="G1696" s="1" t="s">
        <v>12480</v>
      </c>
      <c r="H1696" s="1" t="s">
        <v>7005</v>
      </c>
      <c r="I1696" s="2">
        <v>71.61</v>
      </c>
      <c r="J1696" s="2">
        <v>3.22</v>
      </c>
      <c r="K1696" s="2">
        <v>3.43</v>
      </c>
      <c r="L1696" s="2">
        <v>3.71</v>
      </c>
      <c r="M1696" s="4">
        <f t="shared" si="156"/>
        <v>20.877551020408163</v>
      </c>
      <c r="N1696" s="4">
        <f t="shared" si="157"/>
        <v>19.30188679245283</v>
      </c>
      <c r="O1696" s="5">
        <f t="shared" si="158"/>
        <v>6.5217391304347894E-2</v>
      </c>
      <c r="P1696" s="5">
        <f t="shared" si="159"/>
        <v>8.1632653061224358E-2</v>
      </c>
      <c r="Q1696" s="4">
        <f t="shared" si="160"/>
        <v>3.2012244897959148</v>
      </c>
      <c r="R1696" s="4">
        <f t="shared" si="161"/>
        <v>2.3644811320754751</v>
      </c>
      <c r="S1696" s="4">
        <v>9.57</v>
      </c>
      <c r="T1696" s="2">
        <v>0.66</v>
      </c>
      <c r="U1696" s="2">
        <v>72.34</v>
      </c>
      <c r="V1696" s="2">
        <v>58.79</v>
      </c>
      <c r="W1696" s="2" t="s">
        <v>12609</v>
      </c>
      <c r="X1696" s="2">
        <v>7.04</v>
      </c>
      <c r="Y1696" s="2">
        <v>9.11</v>
      </c>
      <c r="Z1696" s="2">
        <v>10.15</v>
      </c>
    </row>
    <row r="1697" spans="1:26" x14ac:dyDescent="0.25">
      <c r="A1697" s="1" t="s">
        <v>7006</v>
      </c>
      <c r="B1697" s="1" t="s">
        <v>7007</v>
      </c>
      <c r="C1697" s="1" t="s">
        <v>45</v>
      </c>
      <c r="D1697" s="1" t="s">
        <v>18</v>
      </c>
      <c r="E1697" s="1" t="s">
        <v>19</v>
      </c>
      <c r="F1697" s="1" t="s">
        <v>7008</v>
      </c>
      <c r="G1697" s="1" t="s">
        <v>12480</v>
      </c>
      <c r="H1697" s="1" t="s">
        <v>7009</v>
      </c>
      <c r="I1697" s="2">
        <v>80.010000000000005</v>
      </c>
      <c r="J1697" s="2">
        <v>6.08</v>
      </c>
      <c r="K1697" s="2">
        <v>5.22</v>
      </c>
      <c r="L1697" s="2">
        <v>6.39</v>
      </c>
      <c r="M1697" s="4">
        <f t="shared" si="156"/>
        <v>15.327586206896553</v>
      </c>
      <c r="N1697" s="4">
        <f t="shared" si="157"/>
        <v>12.521126760563382</v>
      </c>
      <c r="O1697" s="5">
        <f t="shared" si="158"/>
        <v>-0.14144736842105265</v>
      </c>
      <c r="P1697" s="5">
        <f t="shared" si="159"/>
        <v>0.22413793103448265</v>
      </c>
      <c r="Q1697" s="4">
        <f t="shared" si="160"/>
        <v>-1.0836246992782679</v>
      </c>
      <c r="R1697" s="4">
        <f t="shared" si="161"/>
        <v>0.55863488624052038</v>
      </c>
      <c r="S1697" s="4">
        <v>0.5</v>
      </c>
      <c r="T1697" s="2">
        <v>-0.11</v>
      </c>
      <c r="U1697" s="2">
        <v>110.01</v>
      </c>
      <c r="V1697" s="2">
        <v>50.11</v>
      </c>
      <c r="W1697" s="2">
        <v>4.8600000000000003</v>
      </c>
      <c r="X1697" s="2">
        <v>22.7</v>
      </c>
      <c r="Y1697" s="2">
        <v>20.190000000000001</v>
      </c>
      <c r="Z1697" s="2">
        <v>20.23</v>
      </c>
    </row>
    <row r="1698" spans="1:26" x14ac:dyDescent="0.25">
      <c r="A1698" s="1" t="s">
        <v>7011</v>
      </c>
      <c r="B1698" s="1" t="s">
        <v>7012</v>
      </c>
      <c r="C1698" s="1" t="s">
        <v>31</v>
      </c>
      <c r="D1698" s="1" t="s">
        <v>32</v>
      </c>
      <c r="E1698" s="1" t="s">
        <v>78</v>
      </c>
      <c r="F1698" s="1" t="s">
        <v>7013</v>
      </c>
      <c r="G1698" s="1" t="s">
        <v>12490</v>
      </c>
      <c r="H1698" s="1" t="s">
        <v>7014</v>
      </c>
      <c r="I1698" s="2">
        <v>23.67</v>
      </c>
      <c r="J1698" s="2">
        <v>2.21</v>
      </c>
      <c r="K1698" s="2">
        <v>2.25</v>
      </c>
      <c r="L1698" s="2">
        <v>2.2400000000000002</v>
      </c>
      <c r="M1698" s="4">
        <f t="shared" si="156"/>
        <v>10.520000000000001</v>
      </c>
      <c r="N1698" s="4">
        <f t="shared" si="157"/>
        <v>10.566964285714285</v>
      </c>
      <c r="O1698" s="5">
        <f t="shared" si="158"/>
        <v>1.8099547511312153E-2</v>
      </c>
      <c r="P1698" s="5">
        <f t="shared" si="159"/>
        <v>-4.444444444444362E-3</v>
      </c>
      <c r="Q1698" s="4">
        <f t="shared" si="160"/>
        <v>5.8123000000000218</v>
      </c>
      <c r="R1698" s="4">
        <f t="shared" si="161"/>
        <v>-23.775669642857583</v>
      </c>
      <c r="S1698" s="4">
        <v>21.48</v>
      </c>
      <c r="T1698" s="2">
        <v>0.63</v>
      </c>
      <c r="U1698" s="2">
        <v>32.46</v>
      </c>
      <c r="V1698" s="2">
        <v>19.2</v>
      </c>
      <c r="W1698" s="2">
        <v>-2.75</v>
      </c>
      <c r="X1698" s="2">
        <v>-0.13</v>
      </c>
      <c r="Y1698" s="2">
        <v>-3.23</v>
      </c>
      <c r="Z1698" s="2">
        <v>-0.08</v>
      </c>
    </row>
    <row r="1699" spans="1:26" x14ac:dyDescent="0.25">
      <c r="A1699" s="1" t="s">
        <v>7015</v>
      </c>
      <c r="B1699" s="1" t="s">
        <v>7016</v>
      </c>
      <c r="C1699" s="1" t="s">
        <v>31</v>
      </c>
      <c r="D1699" s="1" t="s">
        <v>147</v>
      </c>
      <c r="E1699" s="1" t="s">
        <v>2000</v>
      </c>
      <c r="F1699" s="1" t="s">
        <v>7017</v>
      </c>
      <c r="G1699" s="1" t="s">
        <v>12480</v>
      </c>
      <c r="H1699" s="1" t="s">
        <v>4034</v>
      </c>
      <c r="I1699" s="2">
        <v>90.97</v>
      </c>
      <c r="J1699" s="2">
        <v>3.26</v>
      </c>
      <c r="K1699" s="2">
        <v>7.3</v>
      </c>
      <c r="L1699" s="2">
        <v>8.51</v>
      </c>
      <c r="M1699" s="4">
        <f t="shared" si="156"/>
        <v>12.461643835616439</v>
      </c>
      <c r="N1699" s="4">
        <f t="shared" si="157"/>
        <v>10.689776733254995</v>
      </c>
      <c r="O1699" s="5">
        <f t="shared" si="158"/>
        <v>1.2392638036809815</v>
      </c>
      <c r="P1699" s="5">
        <f t="shared" si="159"/>
        <v>0.16575342465753429</v>
      </c>
      <c r="Q1699" s="4">
        <f t="shared" si="160"/>
        <v>0.10055682897056829</v>
      </c>
      <c r="R1699" s="4">
        <f t="shared" si="161"/>
        <v>0.64492041448563175</v>
      </c>
      <c r="S1699" s="4">
        <v>3.95</v>
      </c>
      <c r="T1699" s="2">
        <v>1.36</v>
      </c>
      <c r="U1699" s="2">
        <v>122.55</v>
      </c>
      <c r="V1699" s="2">
        <v>71.41</v>
      </c>
      <c r="W1699" s="2">
        <v>1.47</v>
      </c>
      <c r="X1699" s="2">
        <v>-19.739999999999998</v>
      </c>
      <c r="Y1699" s="2">
        <v>-8.11</v>
      </c>
      <c r="Z1699" s="2">
        <v>-11.76</v>
      </c>
    </row>
    <row r="1700" spans="1:26" x14ac:dyDescent="0.25">
      <c r="A1700" s="1" t="s">
        <v>7019</v>
      </c>
      <c r="B1700" s="1" t="s">
        <v>7020</v>
      </c>
      <c r="C1700" s="1" t="s">
        <v>16</v>
      </c>
      <c r="D1700" s="1" t="s">
        <v>204</v>
      </c>
      <c r="E1700" s="1" t="s">
        <v>534</v>
      </c>
      <c r="F1700" s="1" t="s">
        <v>7021</v>
      </c>
      <c r="G1700" s="1" t="s">
        <v>12480</v>
      </c>
      <c r="H1700" s="1" t="s">
        <v>7022</v>
      </c>
      <c r="I1700" s="2">
        <v>69.12</v>
      </c>
      <c r="J1700" s="2">
        <v>1.04</v>
      </c>
      <c r="K1700" s="2">
        <v>0.79</v>
      </c>
      <c r="L1700" s="2"/>
      <c r="M1700" s="4">
        <f t="shared" si="156"/>
        <v>87.493670886075947</v>
      </c>
      <c r="N1700" s="4" t="e">
        <f t="shared" si="157"/>
        <v>#DIV/0!</v>
      </c>
      <c r="O1700" s="5">
        <f t="shared" si="158"/>
        <v>-0.24038461538461542</v>
      </c>
      <c r="P1700" s="5">
        <f t="shared" si="159"/>
        <v>-1</v>
      </c>
      <c r="Q1700" s="4">
        <f t="shared" si="160"/>
        <v>-3.6397367088607591</v>
      </c>
      <c r="R1700" s="4" t="e">
        <f t="shared" si="161"/>
        <v>#DIV/0!</v>
      </c>
      <c r="S1700" s="4">
        <v>23.2</v>
      </c>
      <c r="T1700" s="2">
        <v>0.34</v>
      </c>
      <c r="U1700" s="2">
        <v>99.49</v>
      </c>
      <c r="V1700" s="2">
        <v>63.45</v>
      </c>
      <c r="W1700" s="2">
        <v>-4.4000000000000004</v>
      </c>
      <c r="X1700" s="2">
        <v>5.74</v>
      </c>
      <c r="Y1700" s="2">
        <v>0.44</v>
      </c>
      <c r="Z1700" s="2">
        <v>1.65</v>
      </c>
    </row>
    <row r="1701" spans="1:26" x14ac:dyDescent="0.25">
      <c r="A1701" s="1" t="s">
        <v>7023</v>
      </c>
      <c r="B1701" s="1" t="s">
        <v>7024</v>
      </c>
      <c r="C1701" s="1" t="s">
        <v>16</v>
      </c>
      <c r="D1701" s="1" t="s">
        <v>38</v>
      </c>
      <c r="E1701" s="1" t="s">
        <v>119</v>
      </c>
      <c r="F1701" s="1" t="s">
        <v>7025</v>
      </c>
      <c r="G1701" s="1" t="s">
        <v>12480</v>
      </c>
      <c r="H1701" s="1" t="s">
        <v>860</v>
      </c>
      <c r="I1701" s="2">
        <v>33.4</v>
      </c>
      <c r="J1701" s="2">
        <v>2.23</v>
      </c>
      <c r="K1701" s="2">
        <v>2.86</v>
      </c>
      <c r="L1701" s="2">
        <v>4.0199999999999996</v>
      </c>
      <c r="M1701" s="4">
        <f t="shared" si="156"/>
        <v>11.678321678321678</v>
      </c>
      <c r="N1701" s="4">
        <f t="shared" si="157"/>
        <v>8.3084577114427862</v>
      </c>
      <c r="O1701" s="5">
        <f t="shared" si="158"/>
        <v>0.28251121076233177</v>
      </c>
      <c r="P1701" s="5">
        <f t="shared" si="159"/>
        <v>0.4055944055944054</v>
      </c>
      <c r="Q1701" s="4">
        <f t="shared" si="160"/>
        <v>0.41337551337551348</v>
      </c>
      <c r="R1701" s="4">
        <f t="shared" si="161"/>
        <v>0.20484645736833088</v>
      </c>
      <c r="S1701" s="4">
        <v>10.87</v>
      </c>
      <c r="T1701" s="2">
        <v>1.97</v>
      </c>
      <c r="U1701" s="2">
        <v>41.75</v>
      </c>
      <c r="V1701" s="2">
        <v>23.17</v>
      </c>
      <c r="W1701" s="2">
        <v>-8.74</v>
      </c>
      <c r="X1701" s="2" t="s">
        <v>12723</v>
      </c>
      <c r="Y1701" s="2">
        <v>-5.41</v>
      </c>
      <c r="Z1701" s="2">
        <v>-2.77</v>
      </c>
    </row>
    <row r="1702" spans="1:26" x14ac:dyDescent="0.25">
      <c r="A1702" s="1" t="s">
        <v>7026</v>
      </c>
      <c r="B1702" s="1" t="s">
        <v>7027</v>
      </c>
      <c r="C1702" s="1" t="s">
        <v>31</v>
      </c>
      <c r="D1702" s="1" t="s">
        <v>25</v>
      </c>
      <c r="E1702" s="1" t="s">
        <v>1148</v>
      </c>
      <c r="F1702" s="1" t="s">
        <v>7028</v>
      </c>
      <c r="G1702" s="1" t="s">
        <v>12480</v>
      </c>
      <c r="H1702" s="1" t="s">
        <v>7029</v>
      </c>
      <c r="I1702" s="2">
        <v>0.3619</v>
      </c>
      <c r="J1702" s="2">
        <v>0.03</v>
      </c>
      <c r="K1702" s="2"/>
      <c r="L1702" s="2"/>
      <c r="M1702" s="4" t="e">
        <f t="shared" si="156"/>
        <v>#DIV/0!</v>
      </c>
      <c r="N1702" s="4" t="e">
        <f t="shared" si="157"/>
        <v>#DIV/0!</v>
      </c>
      <c r="O1702" s="5">
        <f t="shared" si="158"/>
        <v>-1</v>
      </c>
      <c r="P1702" s="5" t="e">
        <f t="shared" si="159"/>
        <v>#DIV/0!</v>
      </c>
      <c r="Q1702" s="4" t="e">
        <f t="shared" si="160"/>
        <v>#DIV/0!</v>
      </c>
      <c r="R1702" s="4" t="e">
        <f t="shared" si="161"/>
        <v>#DIV/0!</v>
      </c>
      <c r="S1702" s="4">
        <v>-4.57</v>
      </c>
      <c r="T1702" s="2">
        <v>-0.05</v>
      </c>
      <c r="U1702" s="2">
        <v>0.38</v>
      </c>
      <c r="V1702" s="2">
        <v>0.21</v>
      </c>
      <c r="W1702" s="2" t="s">
        <v>12489</v>
      </c>
      <c r="X1702" s="2" t="s">
        <v>12489</v>
      </c>
      <c r="Y1702" s="2">
        <v>8.68</v>
      </c>
      <c r="Z1702" s="2">
        <v>8.68</v>
      </c>
    </row>
    <row r="1703" spans="1:26" x14ac:dyDescent="0.25">
      <c r="A1703" s="1" t="s">
        <v>7030</v>
      </c>
      <c r="B1703" s="1" t="s">
        <v>7031</v>
      </c>
      <c r="C1703" s="1" t="s">
        <v>45</v>
      </c>
      <c r="D1703" s="1" t="s">
        <v>147</v>
      </c>
      <c r="E1703" s="1" t="s">
        <v>435</v>
      </c>
      <c r="F1703" s="1" t="s">
        <v>7032</v>
      </c>
      <c r="G1703" s="1" t="s">
        <v>12480</v>
      </c>
      <c r="H1703" s="1" t="s">
        <v>3426</v>
      </c>
      <c r="I1703" s="2">
        <v>166.52</v>
      </c>
      <c r="J1703" s="2">
        <v>9.08</v>
      </c>
      <c r="K1703" s="2">
        <v>10.1</v>
      </c>
      <c r="L1703" s="2">
        <v>11.28</v>
      </c>
      <c r="M1703" s="4">
        <f t="shared" si="156"/>
        <v>16.487128712871289</v>
      </c>
      <c r="N1703" s="4">
        <f t="shared" si="157"/>
        <v>14.762411347517732</v>
      </c>
      <c r="O1703" s="5">
        <f t="shared" si="158"/>
        <v>0.11233480176211441</v>
      </c>
      <c r="P1703" s="5">
        <f t="shared" si="159"/>
        <v>0.11683168316831671</v>
      </c>
      <c r="Q1703" s="4">
        <f t="shared" si="160"/>
        <v>1.4676777324791321</v>
      </c>
      <c r="R1703" s="4">
        <f t="shared" si="161"/>
        <v>1.26356232720279</v>
      </c>
      <c r="S1703" s="4">
        <v>7.07</v>
      </c>
      <c r="T1703" s="2">
        <v>0.72</v>
      </c>
      <c r="U1703" s="2">
        <v>220.55</v>
      </c>
      <c r="V1703" s="2">
        <v>150.81</v>
      </c>
      <c r="W1703" s="2">
        <v>2.72</v>
      </c>
      <c r="X1703" s="2">
        <v>-0.99</v>
      </c>
      <c r="Y1703" s="2">
        <v>3.2</v>
      </c>
      <c r="Z1703" s="2">
        <v>0.13</v>
      </c>
    </row>
    <row r="1704" spans="1:26" x14ac:dyDescent="0.25">
      <c r="A1704" s="1" t="s">
        <v>7033</v>
      </c>
      <c r="B1704" s="1" t="s">
        <v>7034</v>
      </c>
      <c r="C1704" s="1" t="s">
        <v>16</v>
      </c>
      <c r="D1704" s="1" t="s">
        <v>67</v>
      </c>
      <c r="E1704" s="1" t="s">
        <v>619</v>
      </c>
      <c r="F1704" s="1" t="s">
        <v>7035</v>
      </c>
      <c r="G1704" s="1" t="s">
        <v>12493</v>
      </c>
      <c r="H1704" s="1" t="s">
        <v>7036</v>
      </c>
      <c r="I1704" s="2">
        <v>250.22</v>
      </c>
      <c r="J1704" s="2">
        <v>12.29</v>
      </c>
      <c r="K1704" s="2">
        <v>12.73</v>
      </c>
      <c r="L1704" s="2">
        <v>13.86</v>
      </c>
      <c r="M1704" s="4">
        <f t="shared" si="156"/>
        <v>19.655930871956009</v>
      </c>
      <c r="N1704" s="4">
        <f t="shared" si="157"/>
        <v>18.053391053391053</v>
      </c>
      <c r="O1704" s="5">
        <f t="shared" si="158"/>
        <v>3.580146460537037E-2</v>
      </c>
      <c r="P1704" s="5">
        <f t="shared" si="159"/>
        <v>8.8766692851531825E-2</v>
      </c>
      <c r="Q1704" s="4">
        <f t="shared" si="160"/>
        <v>5.4902588730985986</v>
      </c>
      <c r="R1704" s="4">
        <f t="shared" si="161"/>
        <v>2.0338023726519299</v>
      </c>
      <c r="S1704" s="4">
        <v>3.12</v>
      </c>
      <c r="T1704" s="2">
        <v>0.98</v>
      </c>
      <c r="U1704" s="2">
        <v>287.39</v>
      </c>
      <c r="V1704" s="2">
        <v>210.83</v>
      </c>
      <c r="W1704" s="2">
        <v>-2.7</v>
      </c>
      <c r="X1704" s="2">
        <v>-9.6300000000000008</v>
      </c>
      <c r="Y1704" s="2">
        <v>0.57999999999999996</v>
      </c>
      <c r="Z1704" s="2">
        <v>3.76</v>
      </c>
    </row>
    <row r="1705" spans="1:26" x14ac:dyDescent="0.25">
      <c r="A1705" s="1" t="s">
        <v>7037</v>
      </c>
      <c r="B1705" s="1" t="s">
        <v>7038</v>
      </c>
      <c r="C1705" s="1" t="s">
        <v>16</v>
      </c>
      <c r="D1705" s="1" t="s">
        <v>46</v>
      </c>
      <c r="E1705" s="1" t="s">
        <v>770</v>
      </c>
      <c r="F1705" s="1" t="s">
        <v>7039</v>
      </c>
      <c r="G1705" s="1" t="s">
        <v>12490</v>
      </c>
      <c r="H1705" s="1" t="s">
        <v>4524</v>
      </c>
      <c r="I1705" s="2">
        <v>34.340000000000003</v>
      </c>
      <c r="J1705" s="2">
        <v>2.27</v>
      </c>
      <c r="K1705" s="2"/>
      <c r="L1705" s="2"/>
      <c r="M1705" s="4" t="e">
        <f t="shared" si="156"/>
        <v>#DIV/0!</v>
      </c>
      <c r="N1705" s="4" t="e">
        <f t="shared" si="157"/>
        <v>#DIV/0!</v>
      </c>
      <c r="O1705" s="5">
        <f t="shared" si="158"/>
        <v>-1</v>
      </c>
      <c r="P1705" s="5" t="e">
        <f t="shared" si="159"/>
        <v>#DIV/0!</v>
      </c>
      <c r="Q1705" s="4" t="e">
        <f t="shared" si="160"/>
        <v>#DIV/0!</v>
      </c>
      <c r="R1705" s="4" t="e">
        <f t="shared" si="161"/>
        <v>#DIV/0!</v>
      </c>
      <c r="S1705" s="4">
        <v>-36.979999999999997</v>
      </c>
      <c r="T1705" s="2">
        <v>0.53</v>
      </c>
      <c r="U1705" s="2">
        <v>37.64</v>
      </c>
      <c r="V1705" s="2">
        <v>17.34</v>
      </c>
      <c r="W1705" s="2">
        <v>-8.77</v>
      </c>
      <c r="X1705" s="2">
        <v>7.92</v>
      </c>
      <c r="Y1705" s="2">
        <v>37.36</v>
      </c>
      <c r="Z1705" s="2">
        <v>41.08</v>
      </c>
    </row>
    <row r="1706" spans="1:26" x14ac:dyDescent="0.25">
      <c r="A1706" s="1" t="s">
        <v>7040</v>
      </c>
      <c r="B1706" s="1" t="s">
        <v>7041</v>
      </c>
      <c r="C1706" s="1" t="s">
        <v>16</v>
      </c>
      <c r="D1706" s="1" t="s">
        <v>32</v>
      </c>
      <c r="E1706" s="1" t="s">
        <v>7042</v>
      </c>
      <c r="F1706" s="1" t="s">
        <v>12724</v>
      </c>
      <c r="G1706" s="1" t="s">
        <v>12480</v>
      </c>
      <c r="H1706" s="1" t="s">
        <v>12725</v>
      </c>
      <c r="I1706" s="2">
        <v>4.05</v>
      </c>
      <c r="J1706" s="2">
        <v>0.21</v>
      </c>
      <c r="K1706" s="2">
        <v>0.08</v>
      </c>
      <c r="L1706" s="2">
        <v>0.12</v>
      </c>
      <c r="M1706" s="4">
        <f t="shared" si="156"/>
        <v>50.625</v>
      </c>
      <c r="N1706" s="4">
        <f t="shared" si="157"/>
        <v>33.75</v>
      </c>
      <c r="O1706" s="5">
        <f t="shared" si="158"/>
        <v>-0.61904761904761907</v>
      </c>
      <c r="P1706" s="5">
        <f t="shared" si="159"/>
        <v>0.5</v>
      </c>
      <c r="Q1706" s="4">
        <f t="shared" si="160"/>
        <v>-0.81778846153846152</v>
      </c>
      <c r="R1706" s="4">
        <f t="shared" si="161"/>
        <v>0.67500000000000004</v>
      </c>
      <c r="S1706" s="4">
        <v>-6.89</v>
      </c>
      <c r="T1706" s="2">
        <v>1.48</v>
      </c>
      <c r="U1706" s="2">
        <v>5.58</v>
      </c>
      <c r="V1706" s="2">
        <v>2.56</v>
      </c>
      <c r="W1706" s="2">
        <v>-18.510000000000002</v>
      </c>
      <c r="X1706" s="2">
        <v>2.02</v>
      </c>
      <c r="Y1706" s="2">
        <v>-3.8</v>
      </c>
      <c r="Z1706" s="2">
        <v>-3.8</v>
      </c>
    </row>
    <row r="1707" spans="1:26" x14ac:dyDescent="0.25">
      <c r="A1707" s="1" t="s">
        <v>7043</v>
      </c>
      <c r="B1707" s="1" t="s">
        <v>7044</v>
      </c>
      <c r="C1707" s="1" t="s">
        <v>45</v>
      </c>
      <c r="D1707" s="1" t="s">
        <v>38</v>
      </c>
      <c r="E1707" s="1" t="s">
        <v>1408</v>
      </c>
      <c r="F1707" s="1" t="s">
        <v>7045</v>
      </c>
      <c r="G1707" s="1" t="s">
        <v>12480</v>
      </c>
      <c r="H1707" s="1" t="s">
        <v>5866</v>
      </c>
      <c r="I1707" s="2">
        <v>312.8</v>
      </c>
      <c r="J1707" s="2">
        <v>20.09</v>
      </c>
      <c r="K1707" s="2">
        <v>23.9</v>
      </c>
      <c r="L1707" s="2">
        <v>29.27</v>
      </c>
      <c r="M1707" s="4">
        <f t="shared" si="156"/>
        <v>13.087866108786612</v>
      </c>
      <c r="N1707" s="4">
        <f t="shared" si="157"/>
        <v>10.686709941920055</v>
      </c>
      <c r="O1707" s="5">
        <f t="shared" si="158"/>
        <v>0.18964659034345432</v>
      </c>
      <c r="P1707" s="5">
        <f t="shared" si="159"/>
        <v>0.22468619246861921</v>
      </c>
      <c r="Q1707" s="4">
        <f t="shared" si="160"/>
        <v>0.69011871424021842</v>
      </c>
      <c r="R1707" s="4">
        <f t="shared" si="161"/>
        <v>0.47562824508731727</v>
      </c>
      <c r="S1707" s="4">
        <v>37.18</v>
      </c>
      <c r="T1707" s="2">
        <v>0.59</v>
      </c>
      <c r="U1707" s="2" t="s">
        <v>12726</v>
      </c>
      <c r="V1707" s="2">
        <v>283.31</v>
      </c>
      <c r="W1707" s="2">
        <v>2.2200000000000002</v>
      </c>
      <c r="X1707" s="2">
        <v>-20.46</v>
      </c>
      <c r="Y1707" s="2">
        <v>-16.239999999999998</v>
      </c>
      <c r="Z1707" s="2">
        <v>-12.42</v>
      </c>
    </row>
    <row r="1708" spans="1:26" x14ac:dyDescent="0.25">
      <c r="A1708" s="1" t="s">
        <v>7046</v>
      </c>
      <c r="B1708" s="1" t="s">
        <v>7047</v>
      </c>
      <c r="C1708" s="1" t="s">
        <v>16</v>
      </c>
      <c r="D1708" s="1" t="s">
        <v>61</v>
      </c>
      <c r="E1708" s="1" t="s">
        <v>1534</v>
      </c>
      <c r="F1708" s="1" t="s">
        <v>7048</v>
      </c>
      <c r="G1708" s="1" t="s">
        <v>12480</v>
      </c>
      <c r="H1708" s="1" t="s">
        <v>7049</v>
      </c>
      <c r="I1708" s="2">
        <v>77.66</v>
      </c>
      <c r="J1708" s="2">
        <v>2.65</v>
      </c>
      <c r="K1708" s="2">
        <v>2.79</v>
      </c>
      <c r="L1708" s="2">
        <v>4.7699999999999996</v>
      </c>
      <c r="M1708" s="4">
        <f t="shared" si="156"/>
        <v>27.835125448028673</v>
      </c>
      <c r="N1708" s="4">
        <f t="shared" si="157"/>
        <v>16.280922431865829</v>
      </c>
      <c r="O1708" s="5">
        <f t="shared" si="158"/>
        <v>5.2830188679245271E-2</v>
      </c>
      <c r="P1708" s="5">
        <f t="shared" si="159"/>
        <v>0.70967741935483852</v>
      </c>
      <c r="Q1708" s="4">
        <f t="shared" si="160"/>
        <v>5.2687916026625716</v>
      </c>
      <c r="R1708" s="4">
        <f t="shared" si="161"/>
        <v>0.22941299790356398</v>
      </c>
      <c r="S1708" s="4">
        <v>-7.92</v>
      </c>
      <c r="T1708" s="2">
        <v>1.78</v>
      </c>
      <c r="U1708" s="2">
        <v>102.75</v>
      </c>
      <c r="V1708" s="2">
        <v>74.599999999999994</v>
      </c>
      <c r="W1708" s="2">
        <v>-7.07</v>
      </c>
      <c r="X1708" s="2">
        <v>-21.21</v>
      </c>
      <c r="Y1708" s="2">
        <v>-9.6</v>
      </c>
      <c r="Z1708" s="2">
        <v>-3.84</v>
      </c>
    </row>
    <row r="1709" spans="1:26" x14ac:dyDescent="0.25">
      <c r="A1709" s="1" t="s">
        <v>7050</v>
      </c>
      <c r="B1709" s="1" t="s">
        <v>7051</v>
      </c>
      <c r="C1709" s="1" t="s">
        <v>16</v>
      </c>
      <c r="D1709" s="1" t="s">
        <v>38</v>
      </c>
      <c r="E1709" s="1" t="s">
        <v>259</v>
      </c>
      <c r="F1709" s="1" t="s">
        <v>7052</v>
      </c>
      <c r="G1709" s="1" t="s">
        <v>12480</v>
      </c>
      <c r="H1709" s="1" t="s">
        <v>7053</v>
      </c>
      <c r="I1709" s="2">
        <v>110.82</v>
      </c>
      <c r="J1709" s="2"/>
      <c r="K1709" s="2"/>
      <c r="L1709" s="2"/>
      <c r="M1709" s="4" t="e">
        <f t="shared" si="156"/>
        <v>#DIV/0!</v>
      </c>
      <c r="N1709" s="4" t="e">
        <f t="shared" si="157"/>
        <v>#DIV/0!</v>
      </c>
      <c r="O1709" s="5" t="e">
        <f t="shared" si="158"/>
        <v>#DIV/0!</v>
      </c>
      <c r="P1709" s="5" t="e">
        <f t="shared" si="159"/>
        <v>#DIV/0!</v>
      </c>
      <c r="Q1709" s="4" t="e">
        <f t="shared" si="160"/>
        <v>#DIV/0!</v>
      </c>
      <c r="R1709" s="4" t="e">
        <f t="shared" si="161"/>
        <v>#DIV/0!</v>
      </c>
      <c r="S1709" s="4"/>
      <c r="T1709" s="2">
        <v>0.46</v>
      </c>
      <c r="U1709" s="2">
        <v>112.92</v>
      </c>
      <c r="V1709" s="2">
        <v>105.23</v>
      </c>
      <c r="W1709" s="2">
        <v>-0.09</v>
      </c>
      <c r="X1709" s="2">
        <v>0.24</v>
      </c>
      <c r="Y1709" s="2">
        <v>0.47</v>
      </c>
      <c r="Z1709" s="2">
        <v>0.56999999999999995</v>
      </c>
    </row>
    <row r="1710" spans="1:26" x14ac:dyDescent="0.25">
      <c r="A1710" s="1" t="s">
        <v>7054</v>
      </c>
      <c r="B1710" s="1" t="s">
        <v>7055</v>
      </c>
      <c r="C1710" s="1" t="s">
        <v>45</v>
      </c>
      <c r="D1710" s="1" t="s">
        <v>18</v>
      </c>
      <c r="E1710" s="1" t="s">
        <v>74</v>
      </c>
      <c r="F1710" s="1" t="s">
        <v>7056</v>
      </c>
      <c r="G1710" s="1" t="s">
        <v>12480</v>
      </c>
      <c r="H1710" s="1" t="s">
        <v>7057</v>
      </c>
      <c r="I1710" s="2">
        <v>35.869999999999997</v>
      </c>
      <c r="J1710" s="2">
        <v>-0.8</v>
      </c>
      <c r="K1710" s="2">
        <v>2.14</v>
      </c>
      <c r="L1710" s="2">
        <v>3.79</v>
      </c>
      <c r="M1710" s="4">
        <f t="shared" si="156"/>
        <v>16.761682242990652</v>
      </c>
      <c r="N1710" s="4">
        <f t="shared" si="157"/>
        <v>9.4643799472295509</v>
      </c>
      <c r="O1710" s="5">
        <f t="shared" si="158"/>
        <v>-3.6749999999999998</v>
      </c>
      <c r="P1710" s="5">
        <f t="shared" si="159"/>
        <v>0.77102803738317749</v>
      </c>
      <c r="Q1710" s="4">
        <f t="shared" si="160"/>
        <v>-4.5610019708818103E-2</v>
      </c>
      <c r="R1710" s="4">
        <f t="shared" si="161"/>
        <v>0.12275013992164389</v>
      </c>
      <c r="S1710" s="4">
        <v>1031.18</v>
      </c>
      <c r="T1710" s="2">
        <v>0.52</v>
      </c>
      <c r="U1710" s="2">
        <v>46.63</v>
      </c>
      <c r="V1710" s="2">
        <v>11.99</v>
      </c>
      <c r="W1710" s="2">
        <v>15.93</v>
      </c>
      <c r="X1710" s="2">
        <v>-15.4</v>
      </c>
      <c r="Y1710" s="2">
        <v>4.91</v>
      </c>
      <c r="Z1710" s="2" t="s">
        <v>12513</v>
      </c>
    </row>
    <row r="1711" spans="1:26" x14ac:dyDescent="0.25">
      <c r="A1711" s="1" t="s">
        <v>7058</v>
      </c>
      <c r="B1711" s="1" t="s">
        <v>7059</v>
      </c>
      <c r="C1711" s="1" t="s">
        <v>45</v>
      </c>
      <c r="D1711" s="1" t="s">
        <v>140</v>
      </c>
      <c r="E1711" s="1" t="s">
        <v>3018</v>
      </c>
      <c r="F1711" s="1" t="s">
        <v>7060</v>
      </c>
      <c r="G1711" s="1" t="s">
        <v>12485</v>
      </c>
      <c r="H1711" s="1" t="s">
        <v>12707</v>
      </c>
      <c r="I1711" s="2">
        <v>32.57</v>
      </c>
      <c r="J1711" s="2">
        <v>1.28</v>
      </c>
      <c r="K1711" s="2">
        <v>1.42</v>
      </c>
      <c r="L1711" s="2">
        <v>1.53</v>
      </c>
      <c r="M1711" s="4">
        <f t="shared" si="156"/>
        <v>22.93661971830986</v>
      </c>
      <c r="N1711" s="4">
        <f t="shared" si="157"/>
        <v>21.287581699346404</v>
      </c>
      <c r="O1711" s="5">
        <f t="shared" si="158"/>
        <v>0.109375</v>
      </c>
      <c r="P1711" s="5">
        <f t="shared" si="159"/>
        <v>7.7464788732394485E-2</v>
      </c>
      <c r="Q1711" s="4">
        <f t="shared" si="160"/>
        <v>2.097062374245473</v>
      </c>
      <c r="R1711" s="4">
        <f t="shared" si="161"/>
        <v>2.7480332739156226</v>
      </c>
      <c r="S1711" s="4">
        <v>31.2</v>
      </c>
      <c r="T1711" s="2">
        <v>1.07</v>
      </c>
      <c r="U1711" s="2">
        <v>33.19</v>
      </c>
      <c r="V1711" s="2">
        <v>22.16</v>
      </c>
      <c r="W1711" s="2">
        <v>1.78</v>
      </c>
      <c r="X1711" s="2">
        <v>-1.87</v>
      </c>
      <c r="Y1711" s="2" t="s">
        <v>12487</v>
      </c>
      <c r="Z1711" s="2">
        <v>7.46</v>
      </c>
    </row>
    <row r="1712" spans="1:26" x14ac:dyDescent="0.25">
      <c r="A1712" s="1" t="s">
        <v>7061</v>
      </c>
      <c r="B1712" s="1" t="s">
        <v>7062</v>
      </c>
      <c r="C1712" s="1" t="s">
        <v>45</v>
      </c>
      <c r="D1712" s="1" t="s">
        <v>32</v>
      </c>
      <c r="E1712" s="1" t="s">
        <v>57</v>
      </c>
      <c r="F1712" s="1" t="s">
        <v>12727</v>
      </c>
      <c r="G1712" s="1" t="s">
        <v>12502</v>
      </c>
      <c r="H1712" s="1" t="s">
        <v>7063</v>
      </c>
      <c r="I1712" s="2">
        <v>211.15</v>
      </c>
      <c r="J1712" s="2">
        <v>4.1399999999999997</v>
      </c>
      <c r="K1712" s="2">
        <v>5.24</v>
      </c>
      <c r="L1712" s="2">
        <v>6.65</v>
      </c>
      <c r="M1712" s="4">
        <f t="shared" si="156"/>
        <v>40.295801526717554</v>
      </c>
      <c r="N1712" s="4">
        <f t="shared" si="157"/>
        <v>31.751879699248118</v>
      </c>
      <c r="O1712" s="5">
        <f t="shared" si="158"/>
        <v>0.26570048309178751</v>
      </c>
      <c r="P1712" s="5">
        <f t="shared" si="159"/>
        <v>0.26908396946564883</v>
      </c>
      <c r="Q1712" s="4">
        <f t="shared" si="160"/>
        <v>1.5165874392782783</v>
      </c>
      <c r="R1712" s="4">
        <f t="shared" si="161"/>
        <v>1.1799989335039727</v>
      </c>
      <c r="S1712" s="4">
        <v>23.68</v>
      </c>
      <c r="T1712" s="2">
        <v>1.77</v>
      </c>
      <c r="U1712" s="2">
        <v>249.48</v>
      </c>
      <c r="V1712" s="2">
        <v>59.09</v>
      </c>
      <c r="W1712" s="2">
        <v>-8.59</v>
      </c>
      <c r="X1712" s="2">
        <v>-7.91</v>
      </c>
      <c r="Y1712" s="2">
        <v>28.51</v>
      </c>
      <c r="Z1712" s="2">
        <v>23.35</v>
      </c>
    </row>
    <row r="1713" spans="1:26" x14ac:dyDescent="0.25">
      <c r="A1713" s="1" t="s">
        <v>7064</v>
      </c>
      <c r="B1713" s="1" t="s">
        <v>7065</v>
      </c>
      <c r="C1713" s="1" t="s">
        <v>31</v>
      </c>
      <c r="D1713" s="1" t="s">
        <v>128</v>
      </c>
      <c r="E1713" s="1" t="s">
        <v>210</v>
      </c>
      <c r="F1713" s="1" t="s">
        <v>7066</v>
      </c>
      <c r="G1713" s="1" t="s">
        <v>12480</v>
      </c>
      <c r="H1713" s="1" t="s">
        <v>7067</v>
      </c>
      <c r="I1713" s="2">
        <v>85.68</v>
      </c>
      <c r="J1713" s="2">
        <v>2.88</v>
      </c>
      <c r="K1713" s="2">
        <v>3.22</v>
      </c>
      <c r="L1713" s="2">
        <v>3.48</v>
      </c>
      <c r="M1713" s="4">
        <f t="shared" si="156"/>
        <v>26.608695652173914</v>
      </c>
      <c r="N1713" s="4">
        <f t="shared" si="157"/>
        <v>24.620689655172416</v>
      </c>
      <c r="O1713" s="5">
        <f t="shared" si="158"/>
        <v>0.11805555555555558</v>
      </c>
      <c r="P1713" s="5">
        <f t="shared" si="159"/>
        <v>8.0745341614906652E-2</v>
      </c>
      <c r="Q1713" s="4">
        <f t="shared" si="160"/>
        <v>2.2539130434782608</v>
      </c>
      <c r="R1713" s="4">
        <f t="shared" si="161"/>
        <v>3.0491777188328988</v>
      </c>
      <c r="S1713" s="4">
        <v>5.88</v>
      </c>
      <c r="T1713" s="2">
        <v>0.9</v>
      </c>
      <c r="U1713" s="2">
        <v>95.28</v>
      </c>
      <c r="V1713" s="2">
        <v>73.05</v>
      </c>
      <c r="W1713" s="2">
        <v>-3.49</v>
      </c>
      <c r="X1713" s="2">
        <v>-7.12</v>
      </c>
      <c r="Y1713" s="2">
        <v>-2.36</v>
      </c>
      <c r="Z1713" s="2">
        <v>0.04</v>
      </c>
    </row>
    <row r="1714" spans="1:26" x14ac:dyDescent="0.25">
      <c r="A1714" s="1" t="s">
        <v>7068</v>
      </c>
      <c r="B1714" s="1" t="s">
        <v>7069</v>
      </c>
      <c r="C1714" s="1" t="s">
        <v>16</v>
      </c>
      <c r="D1714" s="1" t="s">
        <v>147</v>
      </c>
      <c r="E1714" s="1" t="s">
        <v>435</v>
      </c>
      <c r="F1714" s="1" t="s">
        <v>7070</v>
      </c>
      <c r="G1714" s="1" t="s">
        <v>12502</v>
      </c>
      <c r="H1714" s="1" t="s">
        <v>5957</v>
      </c>
      <c r="I1714" s="2">
        <v>85.31</v>
      </c>
      <c r="J1714" s="2">
        <v>8.1</v>
      </c>
      <c r="K1714" s="2">
        <v>8.36</v>
      </c>
      <c r="L1714" s="2">
        <v>9.25</v>
      </c>
      <c r="M1714" s="4">
        <f t="shared" si="156"/>
        <v>10.204545454545455</v>
      </c>
      <c r="N1714" s="4">
        <f t="shared" si="157"/>
        <v>9.2227027027027031</v>
      </c>
      <c r="O1714" s="5">
        <f t="shared" si="158"/>
        <v>3.2098765432098775E-2</v>
      </c>
      <c r="P1714" s="5">
        <f t="shared" si="159"/>
        <v>0.10645933014354081</v>
      </c>
      <c r="Q1714" s="4">
        <f t="shared" si="160"/>
        <v>3.1791083916083909</v>
      </c>
      <c r="R1714" s="4">
        <f t="shared" si="161"/>
        <v>0.8663122988156684</v>
      </c>
      <c r="S1714" s="4">
        <v>17.899999999999999</v>
      </c>
      <c r="T1714" s="2">
        <v>0.12</v>
      </c>
      <c r="U1714" s="2">
        <v>169.81</v>
      </c>
      <c r="V1714" s="2">
        <v>61.02</v>
      </c>
      <c r="W1714" s="2">
        <v>-0.78</v>
      </c>
      <c r="X1714" s="2">
        <v>-2.5099999999999998</v>
      </c>
      <c r="Y1714" s="2">
        <v>33.49</v>
      </c>
      <c r="Z1714" s="2">
        <v>31.39</v>
      </c>
    </row>
    <row r="1715" spans="1:26" x14ac:dyDescent="0.25">
      <c r="A1715" s="1" t="s">
        <v>7071</v>
      </c>
      <c r="B1715" s="1" t="s">
        <v>7072</v>
      </c>
      <c r="C1715" s="1" t="s">
        <v>45</v>
      </c>
      <c r="D1715" s="1" t="s">
        <v>32</v>
      </c>
      <c r="E1715" s="1" t="s">
        <v>57</v>
      </c>
      <c r="F1715" s="1" t="s">
        <v>7073</v>
      </c>
      <c r="G1715" s="1" t="s">
        <v>12480</v>
      </c>
      <c r="H1715" s="1" t="s">
        <v>7074</v>
      </c>
      <c r="I1715" s="2">
        <v>90.63</v>
      </c>
      <c r="J1715" s="2">
        <v>1.05</v>
      </c>
      <c r="K1715" s="2">
        <v>1.53</v>
      </c>
      <c r="L1715" s="2">
        <v>1.96</v>
      </c>
      <c r="M1715" s="4">
        <f t="shared" si="156"/>
        <v>59.235294117647058</v>
      </c>
      <c r="N1715" s="4">
        <f t="shared" si="157"/>
        <v>46.239795918367342</v>
      </c>
      <c r="O1715" s="5">
        <f t="shared" si="158"/>
        <v>0.45714285714285707</v>
      </c>
      <c r="P1715" s="5">
        <f t="shared" si="159"/>
        <v>0.28104575163398682</v>
      </c>
      <c r="Q1715" s="4">
        <f t="shared" si="160"/>
        <v>1.2957720588235295</v>
      </c>
      <c r="R1715" s="4">
        <f t="shared" si="161"/>
        <v>1.6452764594209781</v>
      </c>
      <c r="S1715" s="4">
        <v>2.72</v>
      </c>
      <c r="T1715" s="2">
        <v>1.65</v>
      </c>
      <c r="U1715" s="2">
        <v>105.77</v>
      </c>
      <c r="V1715" s="2">
        <v>37.840000000000003</v>
      </c>
      <c r="W1715" s="2">
        <v>-10.02</v>
      </c>
      <c r="X1715" s="2">
        <v>3.53</v>
      </c>
      <c r="Y1715" s="2">
        <v>19.170000000000002</v>
      </c>
      <c r="Z1715" s="2">
        <v>23.17</v>
      </c>
    </row>
    <row r="1716" spans="1:26" x14ac:dyDescent="0.25">
      <c r="A1716" s="1" t="s">
        <v>7075</v>
      </c>
      <c r="B1716" s="1" t="s">
        <v>7076</v>
      </c>
      <c r="C1716" s="1" t="s">
        <v>31</v>
      </c>
      <c r="D1716" s="1" t="s">
        <v>38</v>
      </c>
      <c r="E1716" s="1" t="s">
        <v>2304</v>
      </c>
      <c r="F1716" s="1" t="s">
        <v>7077</v>
      </c>
      <c r="G1716" s="1" t="s">
        <v>12480</v>
      </c>
      <c r="H1716" s="1" t="s">
        <v>7078</v>
      </c>
      <c r="I1716" s="2">
        <v>29.75</v>
      </c>
      <c r="J1716" s="2">
        <v>1.1499999999999999</v>
      </c>
      <c r="K1716" s="2"/>
      <c r="L1716" s="2"/>
      <c r="M1716" s="4" t="e">
        <f t="shared" si="156"/>
        <v>#DIV/0!</v>
      </c>
      <c r="N1716" s="4" t="e">
        <f t="shared" si="157"/>
        <v>#DIV/0!</v>
      </c>
      <c r="O1716" s="5">
        <f t="shared" si="158"/>
        <v>-1</v>
      </c>
      <c r="P1716" s="5" t="e">
        <f t="shared" si="159"/>
        <v>#DIV/0!</v>
      </c>
      <c r="Q1716" s="4" t="e">
        <f t="shared" si="160"/>
        <v>#DIV/0!</v>
      </c>
      <c r="R1716" s="4" t="e">
        <f t="shared" si="161"/>
        <v>#DIV/0!</v>
      </c>
      <c r="S1716" s="4">
        <v>9.3699999999999992</v>
      </c>
      <c r="T1716" s="2">
        <v>-0.66</v>
      </c>
      <c r="U1716" s="2">
        <v>39.5</v>
      </c>
      <c r="V1716" s="2">
        <v>24.78</v>
      </c>
      <c r="W1716" s="2">
        <v>-0.23</v>
      </c>
      <c r="X1716" s="2">
        <v>14.2</v>
      </c>
      <c r="Y1716" s="2">
        <v>3.51</v>
      </c>
      <c r="Z1716" s="2">
        <v>-2.68</v>
      </c>
    </row>
    <row r="1717" spans="1:26" x14ac:dyDescent="0.25">
      <c r="A1717" s="1" t="s">
        <v>7079</v>
      </c>
      <c r="B1717" s="1" t="s">
        <v>7080</v>
      </c>
      <c r="C1717" s="1" t="s">
        <v>31</v>
      </c>
      <c r="D1717" s="1" t="s">
        <v>38</v>
      </c>
      <c r="E1717" s="1" t="s">
        <v>1755</v>
      </c>
      <c r="F1717" s="1" t="s">
        <v>7081</v>
      </c>
      <c r="G1717" s="1" t="s">
        <v>12490</v>
      </c>
      <c r="H1717" s="1" t="s">
        <v>12728</v>
      </c>
      <c r="I1717" s="2">
        <v>8.94</v>
      </c>
      <c r="J1717" s="2">
        <v>0.64</v>
      </c>
      <c r="K1717" s="2"/>
      <c r="L1717" s="2"/>
      <c r="M1717" s="4" t="e">
        <f t="shared" si="156"/>
        <v>#DIV/0!</v>
      </c>
      <c r="N1717" s="4" t="e">
        <f t="shared" si="157"/>
        <v>#DIV/0!</v>
      </c>
      <c r="O1717" s="5">
        <f t="shared" si="158"/>
        <v>-1</v>
      </c>
      <c r="P1717" s="5" t="e">
        <f t="shared" si="159"/>
        <v>#DIV/0!</v>
      </c>
      <c r="Q1717" s="4" t="e">
        <f t="shared" si="160"/>
        <v>#DIV/0!</v>
      </c>
      <c r="R1717" s="4" t="e">
        <f t="shared" si="161"/>
        <v>#DIV/0!</v>
      </c>
      <c r="S1717" s="4">
        <v>3.71</v>
      </c>
      <c r="T1717" s="2">
        <v>0.71</v>
      </c>
      <c r="U1717" s="2">
        <v>9.35</v>
      </c>
      <c r="V1717" s="2">
        <v>6.47</v>
      </c>
      <c r="W1717" s="2" t="s">
        <v>12489</v>
      </c>
      <c r="X1717" s="2" t="s">
        <v>12489</v>
      </c>
      <c r="Y1717" s="2">
        <v>13.02</v>
      </c>
      <c r="Z1717" s="2">
        <v>6.87</v>
      </c>
    </row>
    <row r="1718" spans="1:26" x14ac:dyDescent="0.25">
      <c r="A1718" s="1" t="s">
        <v>7082</v>
      </c>
      <c r="B1718" s="1" t="s">
        <v>7083</v>
      </c>
      <c r="C1718" s="1" t="s">
        <v>16</v>
      </c>
      <c r="D1718" s="1" t="s">
        <v>32</v>
      </c>
      <c r="E1718" s="1" t="s">
        <v>311</v>
      </c>
      <c r="F1718" s="1" t="s">
        <v>7084</v>
      </c>
      <c r="G1718" s="1" t="s">
        <v>12490</v>
      </c>
      <c r="H1718" s="1" t="s">
        <v>7085</v>
      </c>
      <c r="I1718" s="2">
        <v>9.59</v>
      </c>
      <c r="J1718" s="2">
        <v>0.45</v>
      </c>
      <c r="K1718" s="2">
        <v>0.47</v>
      </c>
      <c r="L1718" s="2">
        <v>0.64</v>
      </c>
      <c r="M1718" s="4">
        <f t="shared" si="156"/>
        <v>20.404255319148938</v>
      </c>
      <c r="N1718" s="4">
        <f t="shared" si="157"/>
        <v>14.984375</v>
      </c>
      <c r="O1718" s="5">
        <f t="shared" si="158"/>
        <v>4.4444444444444287E-2</v>
      </c>
      <c r="P1718" s="5">
        <f t="shared" si="159"/>
        <v>0.36170212765957466</v>
      </c>
      <c r="Q1718" s="4">
        <f t="shared" si="160"/>
        <v>4.5909574468085275</v>
      </c>
      <c r="R1718" s="4">
        <f t="shared" si="161"/>
        <v>0.41427389705882334</v>
      </c>
      <c r="S1718" s="4">
        <v>18.43</v>
      </c>
      <c r="T1718" s="2">
        <v>2.08</v>
      </c>
      <c r="U1718" s="2">
        <v>13.83</v>
      </c>
      <c r="V1718" s="2">
        <v>7.86</v>
      </c>
      <c r="W1718" s="2">
        <v>3.68</v>
      </c>
      <c r="X1718" s="2">
        <v>5.04</v>
      </c>
      <c r="Y1718" s="2">
        <v>-17.89</v>
      </c>
      <c r="Z1718" s="2">
        <v>-20.61</v>
      </c>
    </row>
    <row r="1719" spans="1:26" x14ac:dyDescent="0.25">
      <c r="A1719" s="1" t="s">
        <v>7086</v>
      </c>
      <c r="B1719" s="1" t="s">
        <v>7087</v>
      </c>
      <c r="C1719" s="1" t="s">
        <v>45</v>
      </c>
      <c r="D1719" s="1" t="s">
        <v>46</v>
      </c>
      <c r="E1719" s="1" t="s">
        <v>977</v>
      </c>
      <c r="F1719" s="1" t="s">
        <v>7088</v>
      </c>
      <c r="G1719" s="1" t="s">
        <v>12480</v>
      </c>
      <c r="H1719" s="1" t="s">
        <v>7089</v>
      </c>
      <c r="I1719" s="2">
        <v>152.72999999999999</v>
      </c>
      <c r="J1719" s="2">
        <v>4.5</v>
      </c>
      <c r="K1719" s="2">
        <v>5.41</v>
      </c>
      <c r="L1719" s="2">
        <v>6.95</v>
      </c>
      <c r="M1719" s="4">
        <f t="shared" si="156"/>
        <v>28.231053604436227</v>
      </c>
      <c r="N1719" s="4">
        <f t="shared" si="157"/>
        <v>21.975539568345322</v>
      </c>
      <c r="O1719" s="5">
        <f t="shared" si="158"/>
        <v>0.2022222222222223</v>
      </c>
      <c r="P1719" s="5">
        <f t="shared" si="159"/>
        <v>0.28465804066543443</v>
      </c>
      <c r="Q1719" s="4">
        <f t="shared" si="160"/>
        <v>1.3960411123072856</v>
      </c>
      <c r="R1719" s="4">
        <f t="shared" si="161"/>
        <v>0.77199785106979335</v>
      </c>
      <c r="S1719" s="4">
        <v>-1.57</v>
      </c>
      <c r="T1719" s="2">
        <v>0.82</v>
      </c>
      <c r="U1719" s="2">
        <v>164.51</v>
      </c>
      <c r="V1719" s="2">
        <v>120.68</v>
      </c>
      <c r="W1719" s="2">
        <v>-6.68</v>
      </c>
      <c r="X1719" s="2">
        <v>-5.22</v>
      </c>
      <c r="Y1719" s="2">
        <v>4.3600000000000003</v>
      </c>
      <c r="Z1719" s="2">
        <v>6.28</v>
      </c>
    </row>
    <row r="1720" spans="1:26" x14ac:dyDescent="0.25">
      <c r="A1720" s="1" t="s">
        <v>7090</v>
      </c>
      <c r="B1720" s="1" t="s">
        <v>7091</v>
      </c>
      <c r="C1720" s="1" t="s">
        <v>16</v>
      </c>
      <c r="D1720" s="1" t="s">
        <v>38</v>
      </c>
      <c r="E1720" s="1" t="s">
        <v>510</v>
      </c>
      <c r="F1720" s="1" t="s">
        <v>7092</v>
      </c>
      <c r="G1720" s="1" t="s">
        <v>12480</v>
      </c>
      <c r="H1720" s="1" t="s">
        <v>7093</v>
      </c>
      <c r="I1720" s="2">
        <v>38.770000000000003</v>
      </c>
      <c r="J1720" s="2">
        <v>2.73</v>
      </c>
      <c r="K1720" s="2">
        <v>2.8</v>
      </c>
      <c r="L1720" s="2">
        <v>2.67</v>
      </c>
      <c r="M1720" s="4">
        <f t="shared" si="156"/>
        <v>13.846428571428573</v>
      </c>
      <c r="N1720" s="4">
        <f t="shared" si="157"/>
        <v>14.520599250936332</v>
      </c>
      <c r="O1720" s="5">
        <f t="shared" si="158"/>
        <v>2.564102564102555E-2</v>
      </c>
      <c r="P1720" s="5">
        <f t="shared" si="159"/>
        <v>-4.6428571428571375E-2</v>
      </c>
      <c r="Q1720" s="4">
        <f t="shared" si="160"/>
        <v>5.4001071428571628</v>
      </c>
      <c r="R1720" s="4">
        <f t="shared" si="161"/>
        <v>-3.1275136848170599</v>
      </c>
      <c r="S1720" s="4">
        <v>25.26</v>
      </c>
      <c r="T1720" s="2">
        <v>0.59</v>
      </c>
      <c r="U1720" s="2">
        <v>40.36</v>
      </c>
      <c r="V1720" s="2">
        <v>32.83</v>
      </c>
      <c r="W1720" s="2">
        <v>-3.1</v>
      </c>
      <c r="X1720" s="2" t="s">
        <v>12513</v>
      </c>
      <c r="Y1720" s="2">
        <v>10.84</v>
      </c>
      <c r="Z1720" s="2">
        <v>12.77</v>
      </c>
    </row>
    <row r="1721" spans="1:26" x14ac:dyDescent="0.25">
      <c r="A1721" s="1" t="s">
        <v>7094</v>
      </c>
      <c r="B1721" s="1" t="s">
        <v>7095</v>
      </c>
      <c r="C1721" s="1" t="s">
        <v>16</v>
      </c>
      <c r="D1721" s="1" t="s">
        <v>147</v>
      </c>
      <c r="E1721" s="1" t="s">
        <v>148</v>
      </c>
      <c r="F1721" s="1" t="s">
        <v>7096</v>
      </c>
      <c r="G1721" s="1" t="s">
        <v>12480</v>
      </c>
      <c r="H1721" s="1" t="s">
        <v>7097</v>
      </c>
      <c r="I1721" s="2">
        <v>27.1</v>
      </c>
      <c r="J1721" s="2">
        <v>1.44</v>
      </c>
      <c r="K1721" s="2">
        <v>1.59</v>
      </c>
      <c r="L1721" s="2">
        <v>1.85</v>
      </c>
      <c r="M1721" s="4">
        <f t="shared" si="156"/>
        <v>17.044025157232703</v>
      </c>
      <c r="N1721" s="4">
        <f t="shared" si="157"/>
        <v>14.648648648648649</v>
      </c>
      <c r="O1721" s="5">
        <f t="shared" si="158"/>
        <v>0.10416666666666674</v>
      </c>
      <c r="P1721" s="5">
        <f t="shared" si="159"/>
        <v>0.16352201257861632</v>
      </c>
      <c r="Q1721" s="4">
        <f t="shared" si="160"/>
        <v>1.6362264150943382</v>
      </c>
      <c r="R1721" s="4">
        <f t="shared" si="161"/>
        <v>0.89582120582120617</v>
      </c>
      <c r="S1721" s="4">
        <v>14.28</v>
      </c>
      <c r="T1721" s="2">
        <v>1.69</v>
      </c>
      <c r="U1721" s="2">
        <v>32.97</v>
      </c>
      <c r="V1721" s="2">
        <v>24.59</v>
      </c>
      <c r="W1721" s="2">
        <v>2.5</v>
      </c>
      <c r="X1721" s="2">
        <v>-8.6300000000000008</v>
      </c>
      <c r="Y1721" s="2">
        <v>5.04</v>
      </c>
      <c r="Z1721" s="2">
        <v>1.96</v>
      </c>
    </row>
    <row r="1722" spans="1:26" x14ac:dyDescent="0.25">
      <c r="A1722" s="1" t="s">
        <v>7098</v>
      </c>
      <c r="B1722" s="1" t="s">
        <v>7099</v>
      </c>
      <c r="C1722" s="1" t="s">
        <v>16</v>
      </c>
      <c r="D1722" s="1" t="s">
        <v>46</v>
      </c>
      <c r="E1722" s="1" t="s">
        <v>47</v>
      </c>
      <c r="F1722" s="1" t="s">
        <v>7100</v>
      </c>
      <c r="G1722" s="1" t="s">
        <v>12480</v>
      </c>
      <c r="H1722" s="1" t="s">
        <v>7101</v>
      </c>
      <c r="I1722" s="2">
        <v>48.76</v>
      </c>
      <c r="J1722" s="2">
        <v>4.95</v>
      </c>
      <c r="K1722" s="2">
        <v>6.22</v>
      </c>
      <c r="L1722" s="2">
        <v>6.78</v>
      </c>
      <c r="M1722" s="4">
        <f t="shared" si="156"/>
        <v>7.839228295819936</v>
      </c>
      <c r="N1722" s="4">
        <f t="shared" si="157"/>
        <v>7.1917404129793505</v>
      </c>
      <c r="O1722" s="5">
        <f t="shared" si="158"/>
        <v>0.25656565656565644</v>
      </c>
      <c r="P1722" s="5">
        <f t="shared" si="159"/>
        <v>9.0032154340836001E-2</v>
      </c>
      <c r="Q1722" s="4">
        <f t="shared" si="160"/>
        <v>0.30554472491581658</v>
      </c>
      <c r="R1722" s="4">
        <f t="shared" si="161"/>
        <v>0.79879688158449225</v>
      </c>
      <c r="S1722" s="4">
        <v>12.95</v>
      </c>
      <c r="T1722" s="2">
        <v>3.89</v>
      </c>
      <c r="U1722" s="2">
        <v>68.459999999999994</v>
      </c>
      <c r="V1722" s="2">
        <v>27.32</v>
      </c>
      <c r="W1722" s="2">
        <v>-6.05</v>
      </c>
      <c r="X1722" s="2">
        <v>-24.81</v>
      </c>
      <c r="Y1722" s="2">
        <v>-8.41</v>
      </c>
      <c r="Z1722" s="2">
        <v>-9.7200000000000006</v>
      </c>
    </row>
    <row r="1723" spans="1:26" x14ac:dyDescent="0.25">
      <c r="A1723" s="1" t="s">
        <v>7103</v>
      </c>
      <c r="B1723" s="1" t="s">
        <v>7104</v>
      </c>
      <c r="C1723" s="1" t="s">
        <v>16</v>
      </c>
      <c r="D1723" s="1" t="s">
        <v>38</v>
      </c>
      <c r="E1723" s="1" t="s">
        <v>52</v>
      </c>
      <c r="F1723" s="1" t="s">
        <v>7105</v>
      </c>
      <c r="G1723" s="1" t="s">
        <v>12480</v>
      </c>
      <c r="H1723" s="1" t="s">
        <v>7106</v>
      </c>
      <c r="I1723" s="2">
        <v>2.38</v>
      </c>
      <c r="J1723" s="2">
        <v>-0.77</v>
      </c>
      <c r="K1723" s="2">
        <v>0.64</v>
      </c>
      <c r="L1723" s="2"/>
      <c r="M1723" s="4">
        <f t="shared" si="156"/>
        <v>3.7187499999999996</v>
      </c>
      <c r="N1723" s="4" t="e">
        <f t="shared" si="157"/>
        <v>#DIV/0!</v>
      </c>
      <c r="O1723" s="5">
        <f t="shared" si="158"/>
        <v>-1.831168831168831</v>
      </c>
      <c r="P1723" s="5">
        <f t="shared" si="159"/>
        <v>-1</v>
      </c>
      <c r="Q1723" s="4">
        <f t="shared" si="160"/>
        <v>-2.0308067375886526E-2</v>
      </c>
      <c r="R1723" s="4" t="e">
        <f t="shared" si="161"/>
        <v>#DIV/0!</v>
      </c>
      <c r="S1723" s="4">
        <v>-29.32</v>
      </c>
      <c r="T1723" s="2">
        <v>0.64</v>
      </c>
      <c r="U1723" s="2">
        <v>4.4000000000000004</v>
      </c>
      <c r="V1723" s="2">
        <v>2.36</v>
      </c>
      <c r="W1723" s="2">
        <v>-6.3</v>
      </c>
      <c r="X1723" s="2">
        <v>-17.36</v>
      </c>
      <c r="Y1723" s="2">
        <v>-7.75</v>
      </c>
      <c r="Z1723" s="2">
        <v>-7.03</v>
      </c>
    </row>
    <row r="1724" spans="1:26" x14ac:dyDescent="0.25">
      <c r="A1724" s="1" t="s">
        <v>7107</v>
      </c>
      <c r="B1724" s="1" t="s">
        <v>7108</v>
      </c>
      <c r="C1724" s="1" t="s">
        <v>16</v>
      </c>
      <c r="D1724" s="1" t="s">
        <v>147</v>
      </c>
      <c r="E1724" s="1" t="s">
        <v>148</v>
      </c>
      <c r="F1724" s="1" t="s">
        <v>7109</v>
      </c>
      <c r="G1724" s="1" t="s">
        <v>12502</v>
      </c>
      <c r="H1724" s="1" t="s">
        <v>7110</v>
      </c>
      <c r="I1724" s="2">
        <v>8.61</v>
      </c>
      <c r="J1724" s="2">
        <v>-0.13</v>
      </c>
      <c r="K1724" s="2">
        <v>0.01</v>
      </c>
      <c r="L1724" s="2">
        <v>0.24</v>
      </c>
      <c r="M1724" s="4">
        <f t="shared" si="156"/>
        <v>860.99999999999989</v>
      </c>
      <c r="N1724" s="4">
        <f t="shared" si="157"/>
        <v>35.875</v>
      </c>
      <c r="O1724" s="5">
        <f t="shared" si="158"/>
        <v>-1.0769230769230769</v>
      </c>
      <c r="P1724" s="5">
        <f t="shared" si="159"/>
        <v>23</v>
      </c>
      <c r="Q1724" s="4">
        <f t="shared" si="160"/>
        <v>-7.9949999999999992</v>
      </c>
      <c r="R1724" s="4">
        <f t="shared" si="161"/>
        <v>1.5597826086956522E-2</v>
      </c>
      <c r="S1724" s="4">
        <v>4.05</v>
      </c>
      <c r="T1724" s="2">
        <v>0.7</v>
      </c>
      <c r="U1724" s="2">
        <v>11.24</v>
      </c>
      <c r="V1724" s="2">
        <v>6.34</v>
      </c>
      <c r="W1724" s="2">
        <v>2.0099999999999998</v>
      </c>
      <c r="X1724" s="2">
        <v>19.75</v>
      </c>
      <c r="Y1724" s="2">
        <v>-5.07</v>
      </c>
      <c r="Z1724" s="2">
        <v>1.65</v>
      </c>
    </row>
    <row r="1725" spans="1:26" x14ac:dyDescent="0.25">
      <c r="A1725" s="1" t="s">
        <v>7111</v>
      </c>
      <c r="B1725" s="1" t="s">
        <v>7112</v>
      </c>
      <c r="C1725" s="1" t="s">
        <v>45</v>
      </c>
      <c r="D1725" s="1" t="s">
        <v>147</v>
      </c>
      <c r="E1725" s="1" t="s">
        <v>1931</v>
      </c>
      <c r="F1725" s="1" t="s">
        <v>7113</v>
      </c>
      <c r="G1725" s="1" t="s">
        <v>12493</v>
      </c>
      <c r="H1725" s="1" t="s">
        <v>7114</v>
      </c>
      <c r="I1725" s="2">
        <v>169.76</v>
      </c>
      <c r="J1725" s="2">
        <v>14.64</v>
      </c>
      <c r="K1725" s="2">
        <v>12.81</v>
      </c>
      <c r="L1725" s="2">
        <v>13.67</v>
      </c>
      <c r="M1725" s="4">
        <f t="shared" si="156"/>
        <v>13.25214676034348</v>
      </c>
      <c r="N1725" s="4">
        <f t="shared" si="157"/>
        <v>12.418434528163862</v>
      </c>
      <c r="O1725" s="5">
        <f t="shared" si="158"/>
        <v>-0.125</v>
      </c>
      <c r="P1725" s="5">
        <f t="shared" si="159"/>
        <v>6.7135050741607971E-2</v>
      </c>
      <c r="Q1725" s="4">
        <f t="shared" si="160"/>
        <v>-1.0601717408274784</v>
      </c>
      <c r="R1725" s="4">
        <f t="shared" si="161"/>
        <v>1.8497691430904584</v>
      </c>
      <c r="S1725" s="4">
        <v>10.07</v>
      </c>
      <c r="T1725" s="2" t="s">
        <v>12493</v>
      </c>
      <c r="U1725" s="2">
        <v>347.94</v>
      </c>
      <c r="V1725" s="2">
        <v>159.87</v>
      </c>
      <c r="W1725" s="2">
        <v>-3.64</v>
      </c>
      <c r="X1725" s="2">
        <v>-3.37</v>
      </c>
      <c r="Y1725" s="2">
        <v>-17.71</v>
      </c>
      <c r="Z1725" s="2">
        <v>-18.309999999999999</v>
      </c>
    </row>
    <row r="1726" spans="1:26" x14ac:dyDescent="0.25">
      <c r="A1726" s="1" t="s">
        <v>7115</v>
      </c>
      <c r="B1726" s="1" t="s">
        <v>7116</v>
      </c>
      <c r="C1726" s="1" t="s">
        <v>16</v>
      </c>
      <c r="D1726" s="1" t="s">
        <v>354</v>
      </c>
      <c r="E1726" s="1" t="s">
        <v>1537</v>
      </c>
      <c r="F1726" s="1" t="s">
        <v>7117</v>
      </c>
      <c r="G1726" s="1" t="s">
        <v>12480</v>
      </c>
      <c r="H1726" s="1" t="s">
        <v>7118</v>
      </c>
      <c r="I1726" s="2">
        <v>6.63</v>
      </c>
      <c r="J1726" s="2">
        <v>-0.13</v>
      </c>
      <c r="K1726" s="2">
        <v>-0.11</v>
      </c>
      <c r="L1726" s="2">
        <v>-0.16</v>
      </c>
      <c r="M1726" s="4">
        <f t="shared" si="156"/>
        <v>-60.272727272727273</v>
      </c>
      <c r="N1726" s="4">
        <f t="shared" si="157"/>
        <v>-41.4375</v>
      </c>
      <c r="O1726" s="5">
        <f t="shared" si="158"/>
        <v>-0.15384615384615385</v>
      </c>
      <c r="P1726" s="5">
        <f t="shared" si="159"/>
        <v>0.45454545454545459</v>
      </c>
      <c r="Q1726" s="4">
        <f t="shared" si="160"/>
        <v>3.9177272727272725</v>
      </c>
      <c r="R1726" s="4">
        <f t="shared" si="161"/>
        <v>-0.91162499999999991</v>
      </c>
      <c r="S1726" s="4">
        <v>-5.39</v>
      </c>
      <c r="T1726" s="2">
        <v>1.56</v>
      </c>
      <c r="U1726" s="2">
        <v>11.83</v>
      </c>
      <c r="V1726" s="2">
        <v>3.07</v>
      </c>
      <c r="W1726" s="2">
        <v>-2.5</v>
      </c>
      <c r="X1726" s="2">
        <v>-14.67</v>
      </c>
      <c r="Y1726" s="2">
        <v>-17.739999999999998</v>
      </c>
      <c r="Z1726" s="2">
        <v>-14.67</v>
      </c>
    </row>
    <row r="1727" spans="1:26" x14ac:dyDescent="0.25">
      <c r="A1727" s="1" t="s">
        <v>7119</v>
      </c>
      <c r="B1727" s="1" t="s">
        <v>7120</v>
      </c>
      <c r="C1727" s="1" t="s">
        <v>31</v>
      </c>
      <c r="D1727" s="1" t="s">
        <v>88</v>
      </c>
      <c r="E1727" s="1" t="s">
        <v>2402</v>
      </c>
      <c r="F1727" s="1" t="s">
        <v>7121</v>
      </c>
      <c r="G1727" s="1" t="s">
        <v>12480</v>
      </c>
      <c r="H1727" s="1" t="s">
        <v>7122</v>
      </c>
      <c r="I1727" s="2" t="s">
        <v>12688</v>
      </c>
      <c r="J1727" s="2">
        <v>0.8</v>
      </c>
      <c r="K1727" s="2">
        <v>1.1000000000000001</v>
      </c>
      <c r="L1727" s="2">
        <v>1.1299999999999999</v>
      </c>
      <c r="M1727" s="4">
        <f t="shared" si="156"/>
        <v>23.636363636363633</v>
      </c>
      <c r="N1727" s="4">
        <f t="shared" si="157"/>
        <v>23.008849557522126</v>
      </c>
      <c r="O1727" s="5">
        <f t="shared" si="158"/>
        <v>0.375</v>
      </c>
      <c r="P1727" s="5">
        <f t="shared" si="159"/>
        <v>2.7272727272727115E-2</v>
      </c>
      <c r="Q1727" s="4">
        <f t="shared" si="160"/>
        <v>0.63030303030303025</v>
      </c>
      <c r="R1727" s="4">
        <f t="shared" si="161"/>
        <v>8.4365781710914955</v>
      </c>
      <c r="S1727" s="4">
        <v>18.420000000000002</v>
      </c>
      <c r="T1727" s="2">
        <v>1.1599999999999999</v>
      </c>
      <c r="U1727" s="2">
        <v>32.479999999999997</v>
      </c>
      <c r="V1727" s="2">
        <v>6.41</v>
      </c>
      <c r="W1727" s="2">
        <v>-15.14</v>
      </c>
      <c r="X1727" s="2">
        <v>1.89</v>
      </c>
      <c r="Y1727" s="2">
        <v>29.43</v>
      </c>
      <c r="Z1727" s="2">
        <v>20.82</v>
      </c>
    </row>
    <row r="1728" spans="1:26" x14ac:dyDescent="0.25">
      <c r="A1728" s="1" t="s">
        <v>7123</v>
      </c>
      <c r="B1728" s="1" t="s">
        <v>7124</v>
      </c>
      <c r="C1728" s="1" t="s">
        <v>45</v>
      </c>
      <c r="D1728" s="1" t="s">
        <v>204</v>
      </c>
      <c r="E1728" s="1" t="s">
        <v>205</v>
      </c>
      <c r="F1728" s="1" t="s">
        <v>7125</v>
      </c>
      <c r="G1728" s="1" t="s">
        <v>12480</v>
      </c>
      <c r="H1728" s="1" t="s">
        <v>7126</v>
      </c>
      <c r="I1728" s="2">
        <v>18.079999999999998</v>
      </c>
      <c r="J1728" s="2">
        <v>-4.63</v>
      </c>
      <c r="K1728" s="2">
        <v>-0.11</v>
      </c>
      <c r="L1728" s="2">
        <v>0.31</v>
      </c>
      <c r="M1728" s="4">
        <f t="shared" si="156"/>
        <v>-164.36363636363635</v>
      </c>
      <c r="N1728" s="4">
        <f t="shared" si="157"/>
        <v>58.322580645161288</v>
      </c>
      <c r="O1728" s="5">
        <f t="shared" si="158"/>
        <v>-0.97624190064794814</v>
      </c>
      <c r="P1728" s="5">
        <f t="shared" si="159"/>
        <v>-3.8181818181818183</v>
      </c>
      <c r="Q1728" s="4">
        <f t="shared" si="160"/>
        <v>1.6836363636363634</v>
      </c>
      <c r="R1728" s="4">
        <f t="shared" si="161"/>
        <v>-0.15274961597542241</v>
      </c>
      <c r="S1728" s="4">
        <v>186.72</v>
      </c>
      <c r="T1728" s="2">
        <v>1.4</v>
      </c>
      <c r="U1728" s="2">
        <v>22.81</v>
      </c>
      <c r="V1728" s="2">
        <v>6.48</v>
      </c>
      <c r="W1728" s="2">
        <v>0.5</v>
      </c>
      <c r="X1728" s="2">
        <v>-7.04</v>
      </c>
      <c r="Y1728" s="2">
        <v>62.59</v>
      </c>
      <c r="Z1728" s="2">
        <v>11.4</v>
      </c>
    </row>
    <row r="1729" spans="1:26" x14ac:dyDescent="0.25">
      <c r="A1729" s="1" t="s">
        <v>7127</v>
      </c>
      <c r="B1729" s="1" t="s">
        <v>7128</v>
      </c>
      <c r="C1729" s="1" t="s">
        <v>16</v>
      </c>
      <c r="D1729" s="1" t="s">
        <v>46</v>
      </c>
      <c r="E1729" s="1" t="s">
        <v>47</v>
      </c>
      <c r="F1729" s="1" t="s">
        <v>7129</v>
      </c>
      <c r="G1729" s="1" t="s">
        <v>12480</v>
      </c>
      <c r="H1729" s="1" t="s">
        <v>7130</v>
      </c>
      <c r="I1729" s="2">
        <v>43.03</v>
      </c>
      <c r="J1729" s="2">
        <v>0.93</v>
      </c>
      <c r="K1729" s="2">
        <v>4.38</v>
      </c>
      <c r="L1729" s="2">
        <v>5.17</v>
      </c>
      <c r="M1729" s="4">
        <f t="shared" si="156"/>
        <v>9.8242009132420094</v>
      </c>
      <c r="N1729" s="4">
        <f t="shared" si="157"/>
        <v>8.3230174081237909</v>
      </c>
      <c r="O1729" s="5">
        <f t="shared" si="158"/>
        <v>3.7096774193548381</v>
      </c>
      <c r="P1729" s="5">
        <f t="shared" si="159"/>
        <v>0.18036529680365287</v>
      </c>
      <c r="Q1729" s="4">
        <f t="shared" si="160"/>
        <v>2.6482628548739336E-2</v>
      </c>
      <c r="R1729" s="4">
        <f t="shared" si="161"/>
        <v>0.46145337022255978</v>
      </c>
      <c r="S1729" s="4">
        <v>2.11</v>
      </c>
      <c r="T1729" s="2">
        <v>1.1000000000000001</v>
      </c>
      <c r="U1729" s="2">
        <v>54.8</v>
      </c>
      <c r="V1729" s="2">
        <v>24.04</v>
      </c>
      <c r="W1729" s="2">
        <v>-10.86</v>
      </c>
      <c r="X1729" s="2">
        <v>-19.36</v>
      </c>
      <c r="Y1729" s="2">
        <v>3.14</v>
      </c>
      <c r="Z1729" s="2">
        <v>4.1100000000000003</v>
      </c>
    </row>
    <row r="1730" spans="1:26" x14ac:dyDescent="0.25">
      <c r="A1730" s="1" t="s">
        <v>7131</v>
      </c>
      <c r="B1730" s="1" t="s">
        <v>7132</v>
      </c>
      <c r="C1730" s="1" t="s">
        <v>31</v>
      </c>
      <c r="D1730" s="1" t="s">
        <v>147</v>
      </c>
      <c r="E1730" s="1" t="s">
        <v>1931</v>
      </c>
      <c r="F1730" s="1" t="s">
        <v>7133</v>
      </c>
      <c r="G1730" s="1" t="s">
        <v>12480</v>
      </c>
      <c r="H1730" s="1" t="s">
        <v>7134</v>
      </c>
      <c r="I1730" s="2">
        <v>117.14</v>
      </c>
      <c r="J1730" s="2">
        <v>4.9400000000000004</v>
      </c>
      <c r="K1730" s="2">
        <v>5.54</v>
      </c>
      <c r="L1730" s="2">
        <v>6.33</v>
      </c>
      <c r="M1730" s="4">
        <f t="shared" si="156"/>
        <v>21.144404332129962</v>
      </c>
      <c r="N1730" s="4">
        <f t="shared" si="157"/>
        <v>18.505529225908372</v>
      </c>
      <c r="O1730" s="5">
        <f t="shared" si="158"/>
        <v>0.12145748987854232</v>
      </c>
      <c r="P1730" s="5">
        <f t="shared" si="159"/>
        <v>0.14259927797833938</v>
      </c>
      <c r="Q1730" s="4">
        <f t="shared" si="160"/>
        <v>1.7408892900120361</v>
      </c>
      <c r="R1730" s="4">
        <f t="shared" si="161"/>
        <v>1.2977295178674981</v>
      </c>
      <c r="S1730" s="4">
        <v>-0.26</v>
      </c>
      <c r="T1730" s="2">
        <v>1.19</v>
      </c>
      <c r="U1730" s="2">
        <v>152.07</v>
      </c>
      <c r="V1730" s="2">
        <v>102.31</v>
      </c>
      <c r="W1730" s="2">
        <v>-3.56</v>
      </c>
      <c r="X1730" s="2">
        <v>-8.08</v>
      </c>
      <c r="Y1730" s="2">
        <v>-20.5</v>
      </c>
      <c r="Z1730" s="2">
        <v>-22.33</v>
      </c>
    </row>
    <row r="1731" spans="1:26" x14ac:dyDescent="0.25">
      <c r="A1731" s="1" t="s">
        <v>7135</v>
      </c>
      <c r="B1731" s="1" t="s">
        <v>7136</v>
      </c>
      <c r="C1731" s="1" t="s">
        <v>16</v>
      </c>
      <c r="D1731" s="1" t="s">
        <v>147</v>
      </c>
      <c r="E1731" s="1" t="s">
        <v>2000</v>
      </c>
      <c r="F1731" s="1" t="s">
        <v>7137</v>
      </c>
      <c r="G1731" s="1" t="s">
        <v>12480</v>
      </c>
      <c r="H1731" s="1" t="s">
        <v>7138</v>
      </c>
      <c r="I1731" s="2">
        <v>53.91</v>
      </c>
      <c r="J1731" s="2">
        <v>3.01</v>
      </c>
      <c r="K1731" s="2">
        <v>3.18</v>
      </c>
      <c r="L1731" s="2">
        <v>3.64</v>
      </c>
      <c r="M1731" s="4">
        <f t="shared" ref="M1731:M1794" si="162">I1731/K1731</f>
        <v>16.952830188679243</v>
      </c>
      <c r="N1731" s="4">
        <f t="shared" ref="N1731:N1794" si="163">I1731/L1731</f>
        <v>14.810439560439558</v>
      </c>
      <c r="O1731" s="5">
        <f t="shared" ref="O1731:O1794" si="164">K1731/J1731-1</f>
        <v>5.6478405315614655E-2</v>
      </c>
      <c r="P1731" s="5">
        <f t="shared" ref="P1731:P1794" si="165">L1731/K1731-1</f>
        <v>0.14465408805031443</v>
      </c>
      <c r="Q1731" s="4">
        <f t="shared" ref="Q1731:Q1794" si="166">M1731/(O1731*100)</f>
        <v>3.0016481687014407</v>
      </c>
      <c r="R1731" s="4">
        <f t="shared" ref="R1731:R1794" si="167">N1731/(P1731*100)</f>
        <v>1.0238521261347349</v>
      </c>
      <c r="S1731" s="4">
        <v>15.22</v>
      </c>
      <c r="T1731" s="2">
        <v>0.88</v>
      </c>
      <c r="U1731" s="2">
        <v>69.489999999999995</v>
      </c>
      <c r="V1731" s="2">
        <v>30.7</v>
      </c>
      <c r="W1731" s="2">
        <v>-4.3499999999999996</v>
      </c>
      <c r="X1731" s="2">
        <v>-5.72</v>
      </c>
      <c r="Y1731" s="2">
        <v>-19.53</v>
      </c>
      <c r="Z1731" s="2">
        <v>-17.18</v>
      </c>
    </row>
    <row r="1732" spans="1:26" x14ac:dyDescent="0.25">
      <c r="A1732" s="1" t="s">
        <v>7139</v>
      </c>
      <c r="B1732" s="1" t="s">
        <v>7140</v>
      </c>
      <c r="C1732" s="1" t="s">
        <v>16</v>
      </c>
      <c r="D1732" s="1" t="s">
        <v>128</v>
      </c>
      <c r="E1732" s="1" t="s">
        <v>556</v>
      </c>
      <c r="F1732" s="1" t="s">
        <v>7141</v>
      </c>
      <c r="G1732" s="1" t="s">
        <v>12508</v>
      </c>
      <c r="H1732" s="1" t="s">
        <v>7142</v>
      </c>
      <c r="I1732" s="2">
        <v>45.75</v>
      </c>
      <c r="J1732" s="2">
        <v>3.35</v>
      </c>
      <c r="K1732" s="2">
        <v>2.76</v>
      </c>
      <c r="L1732" s="2">
        <v>3.1</v>
      </c>
      <c r="M1732" s="4">
        <f t="shared" si="162"/>
        <v>16.576086956521742</v>
      </c>
      <c r="N1732" s="4">
        <f t="shared" si="163"/>
        <v>14.758064516129032</v>
      </c>
      <c r="O1732" s="5">
        <f t="shared" si="164"/>
        <v>-0.17611940298507467</v>
      </c>
      <c r="P1732" s="5">
        <f t="shared" si="165"/>
        <v>0.12318840579710155</v>
      </c>
      <c r="Q1732" s="4">
        <f t="shared" si="166"/>
        <v>-0.94118459837877666</v>
      </c>
      <c r="R1732" s="4">
        <f t="shared" si="167"/>
        <v>1.1980075901328262</v>
      </c>
      <c r="S1732" s="4">
        <v>-0.25</v>
      </c>
      <c r="T1732" s="2">
        <v>0.43</v>
      </c>
      <c r="U1732" s="2">
        <v>66.569999999999993</v>
      </c>
      <c r="V1732" s="2">
        <v>40.29</v>
      </c>
      <c r="W1732" s="2">
        <v>-2.2000000000000002</v>
      </c>
      <c r="X1732" s="2">
        <v>-9.69</v>
      </c>
      <c r="Y1732" s="2">
        <v>-23.06</v>
      </c>
      <c r="Z1732" s="2">
        <v>9.2100000000000009</v>
      </c>
    </row>
    <row r="1733" spans="1:26" x14ac:dyDescent="0.25">
      <c r="A1733" s="1" t="s">
        <v>7143</v>
      </c>
      <c r="B1733" s="1" t="s">
        <v>7144</v>
      </c>
      <c r="C1733" s="1" t="s">
        <v>16</v>
      </c>
      <c r="D1733" s="1" t="s">
        <v>38</v>
      </c>
      <c r="E1733" s="1" t="s">
        <v>765</v>
      </c>
      <c r="F1733" s="1" t="s">
        <v>7145</v>
      </c>
      <c r="G1733" s="1" t="s">
        <v>12480</v>
      </c>
      <c r="H1733" s="1" t="s">
        <v>7146</v>
      </c>
      <c r="I1733" s="2">
        <v>47.77</v>
      </c>
      <c r="J1733" s="2">
        <v>3.15</v>
      </c>
      <c r="K1733" s="2">
        <v>3.31</v>
      </c>
      <c r="L1733" s="2">
        <v>3.49</v>
      </c>
      <c r="M1733" s="4">
        <f t="shared" si="162"/>
        <v>14.43202416918429</v>
      </c>
      <c r="N1733" s="4">
        <f t="shared" si="163"/>
        <v>13.687679083094556</v>
      </c>
      <c r="O1733" s="5">
        <f t="shared" si="164"/>
        <v>5.0793650793650835E-2</v>
      </c>
      <c r="P1733" s="5">
        <f t="shared" si="165"/>
        <v>5.4380664652567967E-2</v>
      </c>
      <c r="Q1733" s="4">
        <f t="shared" si="166"/>
        <v>2.8413047583081545</v>
      </c>
      <c r="R1733" s="4">
        <f t="shared" si="167"/>
        <v>2.5170120980579438</v>
      </c>
      <c r="S1733" s="4">
        <v>-2.2999999999999998</v>
      </c>
      <c r="T1733" s="2">
        <v>1.0900000000000001</v>
      </c>
      <c r="U1733" s="2">
        <v>51.64</v>
      </c>
      <c r="V1733" s="2">
        <v>36.1</v>
      </c>
      <c r="W1733" s="2">
        <v>-2.69</v>
      </c>
      <c r="X1733" s="2">
        <v>-6.92</v>
      </c>
      <c r="Y1733" s="2">
        <v>-4.42</v>
      </c>
      <c r="Z1733" s="2">
        <v>-3.65</v>
      </c>
    </row>
    <row r="1734" spans="1:26" x14ac:dyDescent="0.25">
      <c r="A1734" s="1" t="s">
        <v>7147</v>
      </c>
      <c r="B1734" s="1" t="s">
        <v>7148</v>
      </c>
      <c r="C1734" s="1" t="s">
        <v>16</v>
      </c>
      <c r="D1734" s="1" t="s">
        <v>88</v>
      </c>
      <c r="E1734" s="1" t="s">
        <v>504</v>
      </c>
      <c r="F1734" s="1" t="s">
        <v>7149</v>
      </c>
      <c r="G1734" s="1" t="s">
        <v>12480</v>
      </c>
      <c r="H1734" s="1" t="s">
        <v>7150</v>
      </c>
      <c r="I1734" s="2">
        <v>66.819999999999993</v>
      </c>
      <c r="J1734" s="2">
        <v>1.7</v>
      </c>
      <c r="K1734" s="2">
        <v>2.9</v>
      </c>
      <c r="L1734" s="2">
        <v>3.8</v>
      </c>
      <c r="M1734" s="4">
        <f t="shared" si="162"/>
        <v>23.041379310344826</v>
      </c>
      <c r="N1734" s="4">
        <f t="shared" si="163"/>
        <v>17.58421052631579</v>
      </c>
      <c r="O1734" s="5">
        <f t="shared" si="164"/>
        <v>0.70588235294117641</v>
      </c>
      <c r="P1734" s="5">
        <f t="shared" si="165"/>
        <v>0.31034482758620685</v>
      </c>
      <c r="Q1734" s="4">
        <f t="shared" si="166"/>
        <v>0.32641954022988506</v>
      </c>
      <c r="R1734" s="4">
        <f t="shared" si="167"/>
        <v>0.56660233918128666</v>
      </c>
      <c r="S1734" s="4">
        <v>-25.18</v>
      </c>
      <c r="T1734" s="2">
        <v>0.64</v>
      </c>
      <c r="U1734" s="2">
        <v>77.5</v>
      </c>
      <c r="V1734" s="2">
        <v>42.28</v>
      </c>
      <c r="W1734" s="2">
        <v>15.45</v>
      </c>
      <c r="X1734" s="2">
        <v>20.46</v>
      </c>
      <c r="Y1734" s="2">
        <v>54.18</v>
      </c>
      <c r="Z1734" s="2">
        <v>54.32</v>
      </c>
    </row>
    <row r="1735" spans="1:26" x14ac:dyDescent="0.25">
      <c r="A1735" s="1" t="s">
        <v>7151</v>
      </c>
      <c r="B1735" s="1" t="s">
        <v>7152</v>
      </c>
      <c r="C1735" s="1" t="s">
        <v>45</v>
      </c>
      <c r="D1735" s="1" t="s">
        <v>32</v>
      </c>
      <c r="E1735" s="1" t="s">
        <v>565</v>
      </c>
      <c r="F1735" s="1" t="s">
        <v>7153</v>
      </c>
      <c r="G1735" s="1" t="s">
        <v>12480</v>
      </c>
      <c r="H1735" s="1" t="s">
        <v>7154</v>
      </c>
      <c r="I1735" s="2">
        <v>13.76</v>
      </c>
      <c r="J1735" s="2">
        <v>0.48</v>
      </c>
      <c r="K1735" s="2">
        <v>1.54</v>
      </c>
      <c r="L1735" s="2">
        <v>2.02</v>
      </c>
      <c r="M1735" s="4">
        <f t="shared" si="162"/>
        <v>8.9350649350649345</v>
      </c>
      <c r="N1735" s="4">
        <f t="shared" si="163"/>
        <v>6.8118811881188117</v>
      </c>
      <c r="O1735" s="5">
        <f t="shared" si="164"/>
        <v>2.2083333333333335</v>
      </c>
      <c r="P1735" s="5">
        <f t="shared" si="165"/>
        <v>0.31168831168831157</v>
      </c>
      <c r="Q1735" s="4">
        <f t="shared" si="166"/>
        <v>4.0460671404067623E-2</v>
      </c>
      <c r="R1735" s="4">
        <f t="shared" si="167"/>
        <v>0.21854785478547861</v>
      </c>
      <c r="S1735" s="4">
        <v>9.16</v>
      </c>
      <c r="T1735" s="2">
        <v>1.92</v>
      </c>
      <c r="U1735" s="2">
        <v>24.57</v>
      </c>
      <c r="V1735" s="2">
        <v>9.9700000000000006</v>
      </c>
      <c r="W1735" s="2">
        <v>0.22</v>
      </c>
      <c r="X1735" s="2">
        <v>-17.16</v>
      </c>
      <c r="Y1735" s="2">
        <v>-28.03</v>
      </c>
      <c r="Z1735" s="2">
        <v>-28.96</v>
      </c>
    </row>
    <row r="1736" spans="1:26" x14ac:dyDescent="0.25">
      <c r="A1736" s="1" t="s">
        <v>7155</v>
      </c>
      <c r="B1736" s="1" t="s">
        <v>7156</v>
      </c>
      <c r="C1736" s="1" t="s">
        <v>16</v>
      </c>
      <c r="D1736" s="1" t="s">
        <v>38</v>
      </c>
      <c r="E1736" s="1" t="s">
        <v>189</v>
      </c>
      <c r="F1736" s="1" t="s">
        <v>7157</v>
      </c>
      <c r="G1736" s="1" t="s">
        <v>12480</v>
      </c>
      <c r="H1736" s="1" t="s">
        <v>7158</v>
      </c>
      <c r="I1736" s="2">
        <v>5.25</v>
      </c>
      <c r="J1736" s="2">
        <v>0.36</v>
      </c>
      <c r="K1736" s="2">
        <v>0.53</v>
      </c>
      <c r="L1736" s="2">
        <v>0.61</v>
      </c>
      <c r="M1736" s="4">
        <f t="shared" si="162"/>
        <v>9.9056603773584904</v>
      </c>
      <c r="N1736" s="4">
        <f t="shared" si="163"/>
        <v>8.6065573770491799</v>
      </c>
      <c r="O1736" s="5">
        <f t="shared" si="164"/>
        <v>0.47222222222222232</v>
      </c>
      <c r="P1736" s="5">
        <f t="shared" si="165"/>
        <v>0.15094339622641506</v>
      </c>
      <c r="Q1736" s="4">
        <f t="shared" si="166"/>
        <v>0.20976692563817978</v>
      </c>
      <c r="R1736" s="4">
        <f t="shared" si="167"/>
        <v>0.57018442622950827</v>
      </c>
      <c r="S1736" s="4">
        <v>-41.55</v>
      </c>
      <c r="T1736" s="2">
        <v>0.86</v>
      </c>
      <c r="U1736" s="2">
        <v>6.25</v>
      </c>
      <c r="V1736" s="2">
        <v>3.32</v>
      </c>
      <c r="W1736" s="2">
        <v>-4.0199999999999996</v>
      </c>
      <c r="X1736" s="2">
        <v>-10.71</v>
      </c>
      <c r="Y1736" s="2">
        <v>2.34</v>
      </c>
      <c r="Z1736" s="2">
        <v>-0.94</v>
      </c>
    </row>
    <row r="1737" spans="1:26" x14ac:dyDescent="0.25">
      <c r="A1737" s="1" t="s">
        <v>7159</v>
      </c>
      <c r="B1737" s="1" t="s">
        <v>7160</v>
      </c>
      <c r="C1737" s="1" t="s">
        <v>31</v>
      </c>
      <c r="D1737" s="1" t="s">
        <v>88</v>
      </c>
      <c r="E1737" s="1" t="s">
        <v>658</v>
      </c>
      <c r="F1737" s="1" t="s">
        <v>7161</v>
      </c>
      <c r="G1737" s="1" t="s">
        <v>12502</v>
      </c>
      <c r="H1737" s="1" t="s">
        <v>7162</v>
      </c>
      <c r="I1737" s="2">
        <v>12.41</v>
      </c>
      <c r="J1737" s="2">
        <v>0.01</v>
      </c>
      <c r="K1737" s="2">
        <v>0.21</v>
      </c>
      <c r="L1737" s="2">
        <v>0.34</v>
      </c>
      <c r="M1737" s="4">
        <f t="shared" si="162"/>
        <v>59.095238095238095</v>
      </c>
      <c r="N1737" s="4">
        <f t="shared" si="163"/>
        <v>36.5</v>
      </c>
      <c r="O1737" s="5">
        <f t="shared" si="164"/>
        <v>20</v>
      </c>
      <c r="P1737" s="5">
        <f t="shared" si="165"/>
        <v>0.61904761904761929</v>
      </c>
      <c r="Q1737" s="4">
        <f t="shared" si="166"/>
        <v>2.9547619047619048E-2</v>
      </c>
      <c r="R1737" s="4">
        <f t="shared" si="167"/>
        <v>0.58961538461538443</v>
      </c>
      <c r="S1737" s="4">
        <v>17.39</v>
      </c>
      <c r="T1737" s="2">
        <v>0.86</v>
      </c>
      <c r="U1737" s="2">
        <v>15.24</v>
      </c>
      <c r="V1737" s="2">
        <v>4.34</v>
      </c>
      <c r="W1737" s="2">
        <v>-12.91</v>
      </c>
      <c r="X1737" s="2">
        <v>14.59</v>
      </c>
      <c r="Y1737" s="2">
        <v>49.7</v>
      </c>
      <c r="Z1737" s="2">
        <v>50.06</v>
      </c>
    </row>
    <row r="1738" spans="1:26" x14ac:dyDescent="0.25">
      <c r="A1738" s="1" t="s">
        <v>7163</v>
      </c>
      <c r="B1738" s="1" t="s">
        <v>7164</v>
      </c>
      <c r="C1738" s="1" t="s">
        <v>16</v>
      </c>
      <c r="D1738" s="1" t="s">
        <v>147</v>
      </c>
      <c r="E1738" s="1" t="s">
        <v>2822</v>
      </c>
      <c r="F1738" s="1" t="s">
        <v>7165</v>
      </c>
      <c r="G1738" s="1" t="s">
        <v>12480</v>
      </c>
      <c r="H1738" s="1" t="s">
        <v>7166</v>
      </c>
      <c r="I1738" s="2">
        <v>165.8</v>
      </c>
      <c r="J1738" s="2">
        <v>-0.24</v>
      </c>
      <c r="K1738" s="2">
        <v>1.59</v>
      </c>
      <c r="L1738" s="2">
        <v>2.4</v>
      </c>
      <c r="M1738" s="4">
        <f t="shared" si="162"/>
        <v>104.27672955974843</v>
      </c>
      <c r="N1738" s="4">
        <f t="shared" si="163"/>
        <v>69.083333333333343</v>
      </c>
      <c r="O1738" s="5">
        <f t="shared" si="164"/>
        <v>-7.6250000000000009</v>
      </c>
      <c r="P1738" s="5">
        <f t="shared" si="165"/>
        <v>0.50943396226415083</v>
      </c>
      <c r="Q1738" s="4">
        <f t="shared" si="166"/>
        <v>-0.13675636663573562</v>
      </c>
      <c r="R1738" s="4">
        <f t="shared" si="167"/>
        <v>1.3560802469135809</v>
      </c>
      <c r="S1738" s="4">
        <v>8.83</v>
      </c>
      <c r="T1738" s="2">
        <v>1.1100000000000001</v>
      </c>
      <c r="U1738" s="2">
        <v>174.06</v>
      </c>
      <c r="V1738" s="2">
        <v>115.79</v>
      </c>
      <c r="W1738" s="2">
        <v>2.4700000000000002</v>
      </c>
      <c r="X1738" s="2">
        <v>12.1</v>
      </c>
      <c r="Y1738" s="2">
        <v>17.04</v>
      </c>
      <c r="Z1738" s="2">
        <v>16.350000000000001</v>
      </c>
    </row>
    <row r="1739" spans="1:26" x14ac:dyDescent="0.25">
      <c r="A1739" s="1" t="s">
        <v>7167</v>
      </c>
      <c r="B1739" s="1" t="s">
        <v>7168</v>
      </c>
      <c r="C1739" s="1" t="s">
        <v>45</v>
      </c>
      <c r="D1739" s="1" t="s">
        <v>25</v>
      </c>
      <c r="E1739" s="1" t="s">
        <v>325</v>
      </c>
      <c r="F1739" s="1" t="s">
        <v>7169</v>
      </c>
      <c r="G1739" s="1" t="s">
        <v>12480</v>
      </c>
      <c r="H1739" s="1" t="s">
        <v>7170</v>
      </c>
      <c r="I1739" s="2">
        <v>6.46</v>
      </c>
      <c r="J1739" s="2">
        <v>0.62</v>
      </c>
      <c r="K1739" s="2">
        <v>0.75</v>
      </c>
      <c r="L1739" s="2">
        <v>0.87</v>
      </c>
      <c r="M1739" s="4">
        <f t="shared" si="162"/>
        <v>8.6133333333333333</v>
      </c>
      <c r="N1739" s="4">
        <f t="shared" si="163"/>
        <v>7.4252873563218387</v>
      </c>
      <c r="O1739" s="5">
        <f t="shared" si="164"/>
        <v>0.20967741935483875</v>
      </c>
      <c r="P1739" s="5">
        <f t="shared" si="165"/>
        <v>0.15999999999999992</v>
      </c>
      <c r="Q1739" s="4">
        <f t="shared" si="166"/>
        <v>0.41078974358974352</v>
      </c>
      <c r="R1739" s="4">
        <f t="shared" si="167"/>
        <v>0.46408045977011514</v>
      </c>
      <c r="S1739" s="4">
        <v>10.88</v>
      </c>
      <c r="T1739" s="2">
        <v>1.25</v>
      </c>
      <c r="U1739" s="2">
        <v>11.18</v>
      </c>
      <c r="V1739" s="2">
        <v>6.23</v>
      </c>
      <c r="W1739" s="2">
        <v>-6.65</v>
      </c>
      <c r="X1739" s="2">
        <v>-18.329999999999998</v>
      </c>
      <c r="Y1739" s="2">
        <v>-35.79</v>
      </c>
      <c r="Z1739" s="2">
        <v>-34.950000000000003</v>
      </c>
    </row>
    <row r="1740" spans="1:26" x14ac:dyDescent="0.25">
      <c r="A1740" s="1" t="s">
        <v>7171</v>
      </c>
      <c r="B1740" s="1" t="s">
        <v>7172</v>
      </c>
      <c r="C1740" s="1" t="s">
        <v>31</v>
      </c>
      <c r="D1740" s="1" t="s">
        <v>18</v>
      </c>
      <c r="E1740" s="1" t="s">
        <v>19</v>
      </c>
      <c r="F1740" s="1" t="s">
        <v>7173</v>
      </c>
      <c r="G1740" s="1" t="s">
        <v>12480</v>
      </c>
      <c r="H1740" s="1" t="s">
        <v>7174</v>
      </c>
      <c r="I1740" s="2">
        <v>64.61</v>
      </c>
      <c r="J1740" s="2">
        <v>1.81</v>
      </c>
      <c r="K1740" s="2">
        <v>2.27</v>
      </c>
      <c r="L1740" s="2">
        <v>2.63</v>
      </c>
      <c r="M1740" s="4">
        <f t="shared" si="162"/>
        <v>28.462555066079293</v>
      </c>
      <c r="N1740" s="4">
        <f t="shared" si="163"/>
        <v>24.566539923954373</v>
      </c>
      <c r="O1740" s="5">
        <f t="shared" si="164"/>
        <v>0.2541436464088398</v>
      </c>
      <c r="P1740" s="5">
        <f t="shared" si="165"/>
        <v>0.15859030837004395</v>
      </c>
      <c r="Q1740" s="4">
        <f t="shared" si="166"/>
        <v>1.1199396667305113</v>
      </c>
      <c r="R1740" s="4">
        <f t="shared" si="167"/>
        <v>1.5490568229826795</v>
      </c>
      <c r="S1740" s="4">
        <v>5.52</v>
      </c>
      <c r="T1740" s="2">
        <v>1.24</v>
      </c>
      <c r="U1740" s="2">
        <v>73.69</v>
      </c>
      <c r="V1740" s="2">
        <v>57.21</v>
      </c>
      <c r="W1740" s="2">
        <v>-5.01</v>
      </c>
      <c r="X1740" s="2">
        <v>-3.77</v>
      </c>
      <c r="Y1740" s="2">
        <v>-1.76</v>
      </c>
      <c r="Z1740" s="2">
        <v>-3.84</v>
      </c>
    </row>
    <row r="1741" spans="1:26" x14ac:dyDescent="0.25">
      <c r="A1741" s="1" t="s">
        <v>7175</v>
      </c>
      <c r="B1741" s="1" t="s">
        <v>7176</v>
      </c>
      <c r="C1741" s="1" t="s">
        <v>16</v>
      </c>
      <c r="D1741" s="1" t="s">
        <v>147</v>
      </c>
      <c r="E1741" s="1" t="s">
        <v>6851</v>
      </c>
      <c r="F1741" s="1" t="s">
        <v>7177</v>
      </c>
      <c r="G1741" s="1" t="s">
        <v>12513</v>
      </c>
      <c r="H1741" s="1" t="s">
        <v>7178</v>
      </c>
      <c r="I1741" s="2">
        <v>33.869999999999997</v>
      </c>
      <c r="J1741" s="2">
        <v>2.92</v>
      </c>
      <c r="K1741" s="2">
        <v>2.58</v>
      </c>
      <c r="L1741" s="2">
        <v>2.92</v>
      </c>
      <c r="M1741" s="4">
        <f t="shared" si="162"/>
        <v>13.127906976744185</v>
      </c>
      <c r="N1741" s="4">
        <f t="shared" si="163"/>
        <v>11.59931506849315</v>
      </c>
      <c r="O1741" s="5">
        <f t="shared" si="164"/>
        <v>-0.11643835616438347</v>
      </c>
      <c r="P1741" s="5">
        <f t="shared" si="165"/>
        <v>0.13178294573643412</v>
      </c>
      <c r="Q1741" s="4">
        <f t="shared" si="166"/>
        <v>-1.1274555403556781</v>
      </c>
      <c r="R1741" s="4">
        <f t="shared" si="167"/>
        <v>0.88018331990330356</v>
      </c>
      <c r="S1741" s="4">
        <v>3.04</v>
      </c>
      <c r="T1741" s="2">
        <v>1.26</v>
      </c>
      <c r="U1741" s="2">
        <v>44.28</v>
      </c>
      <c r="V1741" s="2">
        <v>29.34</v>
      </c>
      <c r="W1741" s="2">
        <v>-4.99</v>
      </c>
      <c r="X1741" s="2">
        <v>-11.66</v>
      </c>
      <c r="Y1741" s="2">
        <v>-14.36</v>
      </c>
      <c r="Z1741" s="2">
        <v>-9.1199999999999992</v>
      </c>
    </row>
    <row r="1742" spans="1:26" x14ac:dyDescent="0.25">
      <c r="A1742" s="1" t="s">
        <v>7179</v>
      </c>
      <c r="B1742" s="1" t="s">
        <v>7180</v>
      </c>
      <c r="C1742" s="1" t="s">
        <v>16</v>
      </c>
      <c r="D1742" s="1" t="s">
        <v>67</v>
      </c>
      <c r="E1742" s="1" t="s">
        <v>3480</v>
      </c>
      <c r="F1742" s="1" t="s">
        <v>7181</v>
      </c>
      <c r="G1742" s="1" t="s">
        <v>12493</v>
      </c>
      <c r="H1742" s="1" t="s">
        <v>7182</v>
      </c>
      <c r="I1742" s="2">
        <v>17.98</v>
      </c>
      <c r="J1742" s="2">
        <v>2.64</v>
      </c>
      <c r="K1742" s="2">
        <v>2.15</v>
      </c>
      <c r="L1742" s="2">
        <v>2.13</v>
      </c>
      <c r="M1742" s="4">
        <f t="shared" si="162"/>
        <v>8.36279069767442</v>
      </c>
      <c r="N1742" s="4">
        <f t="shared" si="163"/>
        <v>8.4413145539906118</v>
      </c>
      <c r="O1742" s="5">
        <f t="shared" si="164"/>
        <v>-0.18560606060606066</v>
      </c>
      <c r="P1742" s="5">
        <f t="shared" si="165"/>
        <v>-9.302325581395321E-3</v>
      </c>
      <c r="Q1742" s="4">
        <f t="shared" si="166"/>
        <v>-0.4505666824869482</v>
      </c>
      <c r="R1742" s="4">
        <f t="shared" si="167"/>
        <v>-9.0744131455399355</v>
      </c>
      <c r="S1742" s="4">
        <v>-3.6</v>
      </c>
      <c r="T1742" s="2">
        <v>1.51</v>
      </c>
      <c r="U1742" s="2">
        <v>24.15</v>
      </c>
      <c r="V1742" s="2">
        <v>10.02</v>
      </c>
      <c r="W1742" s="2">
        <v>-4.41</v>
      </c>
      <c r="X1742" s="2">
        <v>-16.260000000000002</v>
      </c>
      <c r="Y1742" s="2">
        <v>-24.58</v>
      </c>
      <c r="Z1742" s="2">
        <v>-18.46</v>
      </c>
    </row>
    <row r="1743" spans="1:26" x14ac:dyDescent="0.25">
      <c r="A1743" s="1" t="s">
        <v>7183</v>
      </c>
      <c r="B1743" s="1" t="s">
        <v>7184</v>
      </c>
      <c r="C1743" s="1" t="s">
        <v>16</v>
      </c>
      <c r="D1743" s="1" t="s">
        <v>140</v>
      </c>
      <c r="E1743" s="1" t="s">
        <v>1555</v>
      </c>
      <c r="F1743" s="1" t="s">
        <v>12729</v>
      </c>
      <c r="G1743" s="1" t="s">
        <v>12480</v>
      </c>
      <c r="H1743" s="1" t="s">
        <v>7185</v>
      </c>
      <c r="I1743" s="2">
        <v>517.72</v>
      </c>
      <c r="J1743" s="2">
        <v>17.010000000000002</v>
      </c>
      <c r="K1743" s="2">
        <v>19.39</v>
      </c>
      <c r="L1743" s="2">
        <v>22.43</v>
      </c>
      <c r="M1743" s="4">
        <f t="shared" si="162"/>
        <v>26.700361010830324</v>
      </c>
      <c r="N1743" s="4">
        <f t="shared" si="163"/>
        <v>23.081587160053502</v>
      </c>
      <c r="O1743" s="5">
        <f t="shared" si="164"/>
        <v>0.13991769547325106</v>
      </c>
      <c r="P1743" s="5">
        <f t="shared" si="165"/>
        <v>0.15678184631253211</v>
      </c>
      <c r="Q1743" s="4">
        <f t="shared" si="166"/>
        <v>1.9082905075387551</v>
      </c>
      <c r="R1743" s="4">
        <f t="shared" si="167"/>
        <v>1.4722104441889399</v>
      </c>
      <c r="S1743" s="4">
        <v>16.420000000000002</v>
      </c>
      <c r="T1743" s="2">
        <v>0.83</v>
      </c>
      <c r="U1743" s="2">
        <v>598.96</v>
      </c>
      <c r="V1743" s="2">
        <v>479.92</v>
      </c>
      <c r="W1743" s="2">
        <v>-0.63</v>
      </c>
      <c r="X1743" s="2">
        <v>-3.29</v>
      </c>
      <c r="Y1743" s="2">
        <v>-9.0299999999999994</v>
      </c>
      <c r="Z1743" s="2">
        <v>-9.31</v>
      </c>
    </row>
    <row r="1744" spans="1:26" x14ac:dyDescent="0.25">
      <c r="A1744" s="1" t="s">
        <v>7186</v>
      </c>
      <c r="B1744" s="1" t="s">
        <v>7187</v>
      </c>
      <c r="C1744" s="1" t="s">
        <v>16</v>
      </c>
      <c r="D1744" s="1" t="s">
        <v>38</v>
      </c>
      <c r="E1744" s="1" t="s">
        <v>765</v>
      </c>
      <c r="F1744" s="1" t="s">
        <v>7188</v>
      </c>
      <c r="G1744" s="1" t="s">
        <v>12480</v>
      </c>
      <c r="H1744" s="1" t="s">
        <v>416</v>
      </c>
      <c r="I1744" s="2">
        <v>132.13999999999999</v>
      </c>
      <c r="J1744" s="2">
        <v>8.74</v>
      </c>
      <c r="K1744" s="2">
        <v>8.59</v>
      </c>
      <c r="L1744" s="2">
        <v>8.7899999999999991</v>
      </c>
      <c r="M1744" s="4">
        <f t="shared" si="162"/>
        <v>15.38300349243306</v>
      </c>
      <c r="N1744" s="4">
        <f t="shared" si="163"/>
        <v>15.032992036405005</v>
      </c>
      <c r="O1744" s="5">
        <f t="shared" si="164"/>
        <v>-1.7162471395881007E-2</v>
      </c>
      <c r="P1744" s="5">
        <f t="shared" si="165"/>
        <v>2.3282887077997527E-2</v>
      </c>
      <c r="Q1744" s="4">
        <f t="shared" si="166"/>
        <v>-8.9631633682576624</v>
      </c>
      <c r="R1744" s="4">
        <f t="shared" si="167"/>
        <v>6.4566700796359902</v>
      </c>
      <c r="S1744" s="4">
        <v>0.83</v>
      </c>
      <c r="T1744" s="2">
        <v>0.79</v>
      </c>
      <c r="U1744" s="2" t="s">
        <v>12730</v>
      </c>
      <c r="V1744" s="2">
        <v>126.28</v>
      </c>
      <c r="W1744" s="2">
        <v>-1.47</v>
      </c>
      <c r="X1744" s="2">
        <v>-1.08</v>
      </c>
      <c r="Y1744" s="2">
        <v>-0.42</v>
      </c>
      <c r="Z1744" s="2">
        <v>-4.87</v>
      </c>
    </row>
    <row r="1745" spans="1:26" x14ac:dyDescent="0.25">
      <c r="A1745" s="1" t="s">
        <v>7189</v>
      </c>
      <c r="B1745" s="1" t="s">
        <v>7190</v>
      </c>
      <c r="C1745" s="1" t="s">
        <v>16</v>
      </c>
      <c r="D1745" s="1" t="s">
        <v>38</v>
      </c>
      <c r="E1745" s="1" t="s">
        <v>83</v>
      </c>
      <c r="F1745" s="1" t="s">
        <v>7191</v>
      </c>
      <c r="G1745" s="1" t="s">
        <v>12480</v>
      </c>
      <c r="H1745" s="1" t="s">
        <v>7192</v>
      </c>
      <c r="I1745" s="2">
        <v>19.22</v>
      </c>
      <c r="J1745" s="2">
        <v>1.5</v>
      </c>
      <c r="K1745" s="2">
        <v>1.48</v>
      </c>
      <c r="L1745" s="2">
        <v>1.61</v>
      </c>
      <c r="M1745" s="4">
        <f t="shared" si="162"/>
        <v>12.986486486486486</v>
      </c>
      <c r="N1745" s="4">
        <f t="shared" si="163"/>
        <v>11.937888198757763</v>
      </c>
      <c r="O1745" s="5">
        <f t="shared" si="164"/>
        <v>-1.3333333333333308E-2</v>
      </c>
      <c r="P1745" s="5">
        <f t="shared" si="165"/>
        <v>8.783783783783794E-2</v>
      </c>
      <c r="Q1745" s="4">
        <f t="shared" si="166"/>
        <v>-9.7398648648648827</v>
      </c>
      <c r="R1745" s="4">
        <f t="shared" si="167"/>
        <v>1.3590826564739593</v>
      </c>
      <c r="S1745" s="4">
        <v>10.43</v>
      </c>
      <c r="T1745" s="2">
        <v>2.17</v>
      </c>
      <c r="U1745" s="2">
        <v>20.74</v>
      </c>
      <c r="V1745" s="2">
        <v>13.24</v>
      </c>
      <c r="W1745" s="2">
        <v>-3.85</v>
      </c>
      <c r="X1745" s="2">
        <v>0.89</v>
      </c>
      <c r="Y1745" s="2">
        <v>3.39</v>
      </c>
      <c r="Z1745" s="2">
        <v>4.12</v>
      </c>
    </row>
    <row r="1746" spans="1:26" x14ac:dyDescent="0.25">
      <c r="A1746" s="1" t="s">
        <v>7193</v>
      </c>
      <c r="B1746" s="1" t="s">
        <v>7194</v>
      </c>
      <c r="C1746" s="1" t="s">
        <v>16</v>
      </c>
      <c r="D1746" s="1" t="s">
        <v>38</v>
      </c>
      <c r="E1746" s="1" t="s">
        <v>712</v>
      </c>
      <c r="F1746" s="1" t="s">
        <v>7195</v>
      </c>
      <c r="G1746" s="1" t="s">
        <v>12480</v>
      </c>
      <c r="H1746" s="1" t="s">
        <v>7196</v>
      </c>
      <c r="I1746" s="2">
        <v>56.82</v>
      </c>
      <c r="J1746" s="2">
        <v>4.21</v>
      </c>
      <c r="K1746" s="2">
        <v>4.0999999999999996</v>
      </c>
      <c r="L1746" s="2">
        <v>4.04</v>
      </c>
      <c r="M1746" s="4">
        <f t="shared" si="162"/>
        <v>13.858536585365854</v>
      </c>
      <c r="N1746" s="4">
        <f t="shared" si="163"/>
        <v>14.064356435643564</v>
      </c>
      <c r="O1746" s="5">
        <f t="shared" si="164"/>
        <v>-2.6128266033254244E-2</v>
      </c>
      <c r="P1746" s="5">
        <f t="shared" si="165"/>
        <v>-1.4634146341463317E-2</v>
      </c>
      <c r="Q1746" s="4">
        <f t="shared" si="166"/>
        <v>-5.3040399113081866</v>
      </c>
      <c r="R1746" s="4">
        <f t="shared" si="167"/>
        <v>-9.6106435643564989</v>
      </c>
      <c r="S1746" s="4">
        <v>4.6900000000000004</v>
      </c>
      <c r="T1746" s="2">
        <v>0.8</v>
      </c>
      <c r="U1746" s="2">
        <v>67.540000000000006</v>
      </c>
      <c r="V1746" s="2">
        <v>49.15</v>
      </c>
      <c r="W1746" s="2">
        <v>-1.39</v>
      </c>
      <c r="X1746" s="2">
        <v>-6.56</v>
      </c>
      <c r="Y1746" s="2">
        <v>-6.5</v>
      </c>
      <c r="Z1746" s="2">
        <v>-5.91</v>
      </c>
    </row>
    <row r="1747" spans="1:26" x14ac:dyDescent="0.25">
      <c r="A1747" s="1" t="s">
        <v>7197</v>
      </c>
      <c r="B1747" s="1" t="s">
        <v>7198</v>
      </c>
      <c r="C1747" s="1" t="s">
        <v>31</v>
      </c>
      <c r="D1747" s="1" t="s">
        <v>67</v>
      </c>
      <c r="E1747" s="1" t="s">
        <v>3111</v>
      </c>
      <c r="F1747" s="1" t="s">
        <v>7199</v>
      </c>
      <c r="G1747" s="1" t="s">
        <v>12490</v>
      </c>
      <c r="H1747" s="1" t="s">
        <v>7200</v>
      </c>
      <c r="I1747" s="2">
        <v>9.7799999999999994</v>
      </c>
      <c r="J1747" s="2">
        <v>0.78</v>
      </c>
      <c r="K1747" s="2">
        <v>0.61</v>
      </c>
      <c r="L1747" s="2">
        <v>0.89</v>
      </c>
      <c r="M1747" s="4">
        <f t="shared" si="162"/>
        <v>16.032786885245901</v>
      </c>
      <c r="N1747" s="4">
        <f t="shared" si="163"/>
        <v>10.988764044943819</v>
      </c>
      <c r="O1747" s="5">
        <f t="shared" si="164"/>
        <v>-0.21794871794871795</v>
      </c>
      <c r="P1747" s="5">
        <f t="shared" si="165"/>
        <v>0.45901639344262302</v>
      </c>
      <c r="Q1747" s="4">
        <f t="shared" si="166"/>
        <v>-0.73562198649951782</v>
      </c>
      <c r="R1747" s="4">
        <f t="shared" si="167"/>
        <v>0.23939807383627604</v>
      </c>
      <c r="S1747" s="4">
        <v>8.2899999999999991</v>
      </c>
      <c r="T1747" s="2">
        <v>1.08</v>
      </c>
      <c r="U1747" s="2">
        <v>11.34</v>
      </c>
      <c r="V1747" s="2">
        <v>8.5</v>
      </c>
      <c r="W1747" s="2">
        <v>-7.54</v>
      </c>
      <c r="X1747" s="2">
        <v>-7.59</v>
      </c>
      <c r="Y1747" s="2">
        <v>11.77</v>
      </c>
      <c r="Z1747" s="2">
        <v>11.01</v>
      </c>
    </row>
    <row r="1748" spans="1:26" x14ac:dyDescent="0.25">
      <c r="A1748" s="1" t="s">
        <v>7201</v>
      </c>
      <c r="B1748" s="1" t="s">
        <v>7202</v>
      </c>
      <c r="C1748" s="1" t="s">
        <v>16</v>
      </c>
      <c r="D1748" s="1" t="s">
        <v>140</v>
      </c>
      <c r="E1748" s="1" t="s">
        <v>5365</v>
      </c>
      <c r="F1748" s="1" t="s">
        <v>7203</v>
      </c>
      <c r="G1748" s="1" t="s">
        <v>12480</v>
      </c>
      <c r="H1748" s="1" t="s">
        <v>7204</v>
      </c>
      <c r="I1748" s="2">
        <v>28.41</v>
      </c>
      <c r="J1748" s="2">
        <v>2.97</v>
      </c>
      <c r="K1748" s="2">
        <v>3.77</v>
      </c>
      <c r="L1748" s="2">
        <v>5.16</v>
      </c>
      <c r="M1748" s="4">
        <f t="shared" si="162"/>
        <v>7.5358090185676394</v>
      </c>
      <c r="N1748" s="4">
        <f t="shared" si="163"/>
        <v>5.5058139534883717</v>
      </c>
      <c r="O1748" s="5">
        <f t="shared" si="164"/>
        <v>0.26936026936026924</v>
      </c>
      <c r="P1748" s="5">
        <f t="shared" si="165"/>
        <v>0.36870026525198951</v>
      </c>
      <c r="Q1748" s="4">
        <f t="shared" si="166"/>
        <v>0.27976690981432373</v>
      </c>
      <c r="R1748" s="4">
        <f t="shared" si="167"/>
        <v>0.14933034967374931</v>
      </c>
      <c r="S1748" s="4">
        <v>0.57999999999999996</v>
      </c>
      <c r="T1748" s="2">
        <v>0.91</v>
      </c>
      <c r="U1748" s="2">
        <v>62.66</v>
      </c>
      <c r="V1748" s="2">
        <v>25.75</v>
      </c>
      <c r="W1748" s="2">
        <v>5.14</v>
      </c>
      <c r="X1748" s="2">
        <v>-16.440000000000001</v>
      </c>
      <c r="Y1748" s="2">
        <v>-3.83</v>
      </c>
      <c r="Z1748" s="2">
        <v>-4.4400000000000004</v>
      </c>
    </row>
    <row r="1749" spans="1:26" x14ac:dyDescent="0.25">
      <c r="A1749" s="1" t="s">
        <v>7205</v>
      </c>
      <c r="B1749" s="1" t="s">
        <v>7206</v>
      </c>
      <c r="C1749" s="1" t="s">
        <v>16</v>
      </c>
      <c r="D1749" s="1" t="s">
        <v>18</v>
      </c>
      <c r="E1749" s="1" t="s">
        <v>74</v>
      </c>
      <c r="F1749" s="1" t="s">
        <v>7207</v>
      </c>
      <c r="G1749" s="1" t="s">
        <v>12480</v>
      </c>
      <c r="H1749" s="1" t="s">
        <v>4880</v>
      </c>
      <c r="I1749" s="2">
        <v>51.32</v>
      </c>
      <c r="J1749" s="2"/>
      <c r="K1749" s="2">
        <v>-2.57</v>
      </c>
      <c r="L1749" s="2" t="s">
        <v>12602</v>
      </c>
      <c r="M1749" s="4">
        <f t="shared" si="162"/>
        <v>-19.968871595330739</v>
      </c>
      <c r="N1749" s="4">
        <f t="shared" si="163"/>
        <v>-25.66</v>
      </c>
      <c r="O1749" s="5" t="e">
        <f t="shared" si="164"/>
        <v>#DIV/0!</v>
      </c>
      <c r="P1749" s="5">
        <f t="shared" si="165"/>
        <v>-0.22178988326848248</v>
      </c>
      <c r="Q1749" s="4" t="e">
        <f t="shared" si="166"/>
        <v>#DIV/0!</v>
      </c>
      <c r="R1749" s="4">
        <f t="shared" si="167"/>
        <v>1.1569508771929824</v>
      </c>
      <c r="S1749" s="4"/>
      <c r="T1749" s="2"/>
      <c r="U1749" s="2">
        <v>51.32</v>
      </c>
      <c r="V1749" s="2">
        <v>37.03</v>
      </c>
      <c r="W1749" s="2">
        <v>10.08</v>
      </c>
      <c r="X1749" s="2">
        <v>38.590000000000003</v>
      </c>
      <c r="Y1749" s="2"/>
      <c r="Z1749" s="2"/>
    </row>
    <row r="1750" spans="1:26" x14ac:dyDescent="0.25">
      <c r="A1750" s="1" t="s">
        <v>7208</v>
      </c>
      <c r="B1750" s="1" t="s">
        <v>7209</v>
      </c>
      <c r="C1750" s="1" t="s">
        <v>45</v>
      </c>
      <c r="D1750" s="1" t="s">
        <v>32</v>
      </c>
      <c r="E1750" s="1" t="s">
        <v>215</v>
      </c>
      <c r="F1750" s="1" t="s">
        <v>7210</v>
      </c>
      <c r="G1750" s="1" t="s">
        <v>12480</v>
      </c>
      <c r="H1750" s="1" t="s">
        <v>7211</v>
      </c>
      <c r="I1750" s="2">
        <v>150.16</v>
      </c>
      <c r="J1750" s="2">
        <v>5.0599999999999996</v>
      </c>
      <c r="K1750" s="2">
        <v>5.18</v>
      </c>
      <c r="L1750" s="2">
        <v>5.74</v>
      </c>
      <c r="M1750" s="4">
        <f t="shared" si="162"/>
        <v>28.98841698841699</v>
      </c>
      <c r="N1750" s="4">
        <f t="shared" si="163"/>
        <v>26.160278745644597</v>
      </c>
      <c r="O1750" s="5">
        <f t="shared" si="164"/>
        <v>2.3715415019762931E-2</v>
      </c>
      <c r="P1750" s="5">
        <f t="shared" si="165"/>
        <v>0.10810810810810811</v>
      </c>
      <c r="Q1750" s="4">
        <f t="shared" si="166"/>
        <v>12.22344916344912</v>
      </c>
      <c r="R1750" s="4">
        <f t="shared" si="167"/>
        <v>2.4198257839721253</v>
      </c>
      <c r="S1750" s="4">
        <v>3.75</v>
      </c>
      <c r="T1750" s="2">
        <v>1.05</v>
      </c>
      <c r="U1750" s="2">
        <v>227.94</v>
      </c>
      <c r="V1750" s="2">
        <v>130.1</v>
      </c>
      <c r="W1750" s="2">
        <v>7.28</v>
      </c>
      <c r="X1750" s="2">
        <v>1.19</v>
      </c>
      <c r="Y1750" s="2">
        <v>-11.65</v>
      </c>
      <c r="Z1750" s="2">
        <v>-13.36</v>
      </c>
    </row>
    <row r="1751" spans="1:26" x14ac:dyDescent="0.25">
      <c r="A1751" s="1" t="s">
        <v>7212</v>
      </c>
      <c r="B1751" s="1" t="s">
        <v>7213</v>
      </c>
      <c r="C1751" s="1" t="s">
        <v>16</v>
      </c>
      <c r="D1751" s="1" t="s">
        <v>147</v>
      </c>
      <c r="E1751" s="1" t="s">
        <v>148</v>
      </c>
      <c r="F1751" s="1" t="s">
        <v>7214</v>
      </c>
      <c r="G1751" s="1" t="s">
        <v>12502</v>
      </c>
      <c r="H1751" s="1" t="s">
        <v>7215</v>
      </c>
      <c r="I1751" s="2">
        <v>17.34</v>
      </c>
      <c r="J1751" s="2">
        <v>-0.13</v>
      </c>
      <c r="K1751" s="2"/>
      <c r="L1751" s="2"/>
      <c r="M1751" s="4" t="e">
        <f t="shared" si="162"/>
        <v>#DIV/0!</v>
      </c>
      <c r="N1751" s="4" t="e">
        <f t="shared" si="163"/>
        <v>#DIV/0!</v>
      </c>
      <c r="O1751" s="5">
        <f t="shared" si="164"/>
        <v>-1</v>
      </c>
      <c r="P1751" s="5" t="e">
        <f t="shared" si="165"/>
        <v>#DIV/0!</v>
      </c>
      <c r="Q1751" s="4" t="e">
        <f t="shared" si="166"/>
        <v>#DIV/0!</v>
      </c>
      <c r="R1751" s="4" t="e">
        <f t="shared" si="167"/>
        <v>#DIV/0!</v>
      </c>
      <c r="S1751" s="4">
        <v>3.48</v>
      </c>
      <c r="T1751" s="2">
        <v>0.5</v>
      </c>
      <c r="U1751" s="2">
        <v>19.239999999999998</v>
      </c>
      <c r="V1751" s="2">
        <v>12.21</v>
      </c>
      <c r="W1751" s="2">
        <v>-2.14</v>
      </c>
      <c r="X1751" s="2">
        <v>-1.08</v>
      </c>
      <c r="Y1751" s="2">
        <v>14.08</v>
      </c>
      <c r="Z1751" s="2">
        <v>8.92</v>
      </c>
    </row>
    <row r="1752" spans="1:26" x14ac:dyDescent="0.25">
      <c r="A1752" s="1" t="s">
        <v>7216</v>
      </c>
      <c r="B1752" s="1" t="s">
        <v>7217</v>
      </c>
      <c r="C1752" s="1" t="s">
        <v>45</v>
      </c>
      <c r="D1752" s="1" t="s">
        <v>147</v>
      </c>
      <c r="E1752" s="1" t="s">
        <v>180</v>
      </c>
      <c r="F1752" s="1" t="s">
        <v>7218</v>
      </c>
      <c r="G1752" s="1" t="s">
        <v>12480</v>
      </c>
      <c r="H1752" s="1" t="s">
        <v>7219</v>
      </c>
      <c r="I1752" s="2">
        <v>328.86</v>
      </c>
      <c r="J1752" s="2">
        <v>10.02</v>
      </c>
      <c r="K1752" s="2">
        <v>11.7</v>
      </c>
      <c r="L1752" s="2">
        <v>13.17</v>
      </c>
      <c r="M1752" s="4">
        <f t="shared" si="162"/>
        <v>28.107692307692311</v>
      </c>
      <c r="N1752" s="4">
        <f t="shared" si="163"/>
        <v>24.970387243735765</v>
      </c>
      <c r="O1752" s="5">
        <f t="shared" si="164"/>
        <v>0.16766467065868262</v>
      </c>
      <c r="P1752" s="5">
        <f t="shared" si="165"/>
        <v>0.12564102564102564</v>
      </c>
      <c r="Q1752" s="4">
        <f t="shared" si="166"/>
        <v>1.6764230769230772</v>
      </c>
      <c r="R1752" s="4">
        <f t="shared" si="167"/>
        <v>1.9874389847054996</v>
      </c>
      <c r="S1752" s="4">
        <v>4.33</v>
      </c>
      <c r="T1752" s="2">
        <v>1.0900000000000001</v>
      </c>
      <c r="U1752" s="2">
        <v>359.94</v>
      </c>
      <c r="V1752" s="2">
        <v>211.12</v>
      </c>
      <c r="W1752" s="2">
        <v>-0.49</v>
      </c>
      <c r="X1752" s="2">
        <v>-0.71</v>
      </c>
      <c r="Y1752" s="2">
        <v>6.6</v>
      </c>
      <c r="Z1752" s="2" t="s">
        <v>12502</v>
      </c>
    </row>
    <row r="1753" spans="1:26" x14ac:dyDescent="0.25">
      <c r="A1753" s="1" t="s">
        <v>7220</v>
      </c>
      <c r="B1753" s="1" t="s">
        <v>7221</v>
      </c>
      <c r="C1753" s="1" t="s">
        <v>45</v>
      </c>
      <c r="D1753" s="1" t="s">
        <v>38</v>
      </c>
      <c r="E1753" s="1" t="s">
        <v>52</v>
      </c>
      <c r="F1753" s="1" t="s">
        <v>7222</v>
      </c>
      <c r="G1753" s="1" t="s">
        <v>12480</v>
      </c>
      <c r="H1753" s="1" t="s">
        <v>7223</v>
      </c>
      <c r="I1753" s="2">
        <v>8.66</v>
      </c>
      <c r="J1753" s="2">
        <v>-3.69</v>
      </c>
      <c r="K1753" s="2">
        <v>-0.8</v>
      </c>
      <c r="L1753" s="2">
        <v>0.47</v>
      </c>
      <c r="M1753" s="4">
        <f t="shared" si="162"/>
        <v>-10.824999999999999</v>
      </c>
      <c r="N1753" s="4">
        <f t="shared" si="163"/>
        <v>18.425531914893618</v>
      </c>
      <c r="O1753" s="5">
        <f t="shared" si="164"/>
        <v>-0.78319783197831971</v>
      </c>
      <c r="P1753" s="5">
        <f t="shared" si="165"/>
        <v>-1.5874999999999999</v>
      </c>
      <c r="Q1753" s="4">
        <f t="shared" si="166"/>
        <v>0.13821539792387544</v>
      </c>
      <c r="R1753" s="4">
        <f t="shared" si="167"/>
        <v>-0.11606634277098342</v>
      </c>
      <c r="S1753" s="4">
        <v>38.200000000000003</v>
      </c>
      <c r="T1753" s="2">
        <v>5.51</v>
      </c>
      <c r="U1753" s="2">
        <v>22.84</v>
      </c>
      <c r="V1753" s="2">
        <v>6.73</v>
      </c>
      <c r="W1753" s="2">
        <v>-8.36</v>
      </c>
      <c r="X1753" s="2">
        <v>7.44</v>
      </c>
      <c r="Y1753" s="2">
        <v>-19.07</v>
      </c>
      <c r="Z1753" s="2">
        <v>-3.56</v>
      </c>
    </row>
    <row r="1754" spans="1:26" x14ac:dyDescent="0.25">
      <c r="A1754" s="1" t="s">
        <v>7224</v>
      </c>
      <c r="B1754" s="1" t="s">
        <v>7225</v>
      </c>
      <c r="C1754" s="1" t="s">
        <v>31</v>
      </c>
      <c r="D1754" s="1" t="s">
        <v>2417</v>
      </c>
      <c r="E1754" s="1" t="s">
        <v>2418</v>
      </c>
      <c r="F1754" s="1" t="s">
        <v>7226</v>
      </c>
      <c r="G1754" s="1" t="s">
        <v>12490</v>
      </c>
      <c r="H1754" s="1" t="s">
        <v>7227</v>
      </c>
      <c r="I1754" s="2">
        <v>336.56</v>
      </c>
      <c r="J1754" s="2">
        <v>19.87</v>
      </c>
      <c r="K1754" s="2">
        <v>21.68</v>
      </c>
      <c r="L1754" s="2">
        <v>23.37</v>
      </c>
      <c r="M1754" s="4">
        <f t="shared" si="162"/>
        <v>15.523985239852399</v>
      </c>
      <c r="N1754" s="4">
        <f t="shared" si="163"/>
        <v>14.401369276850662</v>
      </c>
      <c r="O1754" s="5">
        <f t="shared" si="164"/>
        <v>9.1092098641167629E-2</v>
      </c>
      <c r="P1754" s="5">
        <f t="shared" si="165"/>
        <v>7.7952029520295341E-2</v>
      </c>
      <c r="Q1754" s="4">
        <f t="shared" si="166"/>
        <v>1.7042076614136299</v>
      </c>
      <c r="R1754" s="4">
        <f t="shared" si="167"/>
        <v>1.8474655971723184</v>
      </c>
      <c r="S1754" s="4">
        <v>1.86</v>
      </c>
      <c r="T1754" s="2">
        <v>0.56999999999999995</v>
      </c>
      <c r="U1754" s="2">
        <v>408.62</v>
      </c>
      <c r="V1754" s="2">
        <v>141.16</v>
      </c>
      <c r="W1754" s="2">
        <v>-9.6199999999999992</v>
      </c>
      <c r="X1754" s="2">
        <v>-13.1</v>
      </c>
      <c r="Y1754" s="2">
        <v>16.260000000000002</v>
      </c>
      <c r="Z1754" s="2">
        <v>22.05</v>
      </c>
    </row>
    <row r="1755" spans="1:26" x14ac:dyDescent="0.25">
      <c r="A1755" s="1" t="s">
        <v>7228</v>
      </c>
      <c r="B1755" s="1" t="s">
        <v>7229</v>
      </c>
      <c r="C1755" s="1" t="s">
        <v>16</v>
      </c>
      <c r="D1755" s="1" t="s">
        <v>61</v>
      </c>
      <c r="E1755" s="1" t="s">
        <v>170</v>
      </c>
      <c r="F1755" s="1" t="s">
        <v>7230</v>
      </c>
      <c r="G1755" s="1" t="s">
        <v>12480</v>
      </c>
      <c r="H1755" s="1" t="s">
        <v>7231</v>
      </c>
      <c r="I1755" s="2">
        <v>64.239999999999995</v>
      </c>
      <c r="J1755" s="2">
        <v>3.96</v>
      </c>
      <c r="K1755" s="2">
        <v>4.18</v>
      </c>
      <c r="L1755" s="2">
        <v>4.6100000000000003</v>
      </c>
      <c r="M1755" s="4">
        <f t="shared" si="162"/>
        <v>15.368421052631579</v>
      </c>
      <c r="N1755" s="4">
        <f t="shared" si="163"/>
        <v>13.934924078091104</v>
      </c>
      <c r="O1755" s="5">
        <f t="shared" si="164"/>
        <v>5.555555555555558E-2</v>
      </c>
      <c r="P1755" s="5">
        <f t="shared" si="165"/>
        <v>0.10287081339712945</v>
      </c>
      <c r="Q1755" s="4">
        <f t="shared" si="166"/>
        <v>2.766315789473683</v>
      </c>
      <c r="R1755" s="4">
        <f t="shared" si="167"/>
        <v>1.3546042475911784</v>
      </c>
      <c r="S1755" s="4">
        <v>-3.4</v>
      </c>
      <c r="T1755" s="2">
        <v>1.27</v>
      </c>
      <c r="U1755" s="2">
        <v>77.819999999999993</v>
      </c>
      <c r="V1755" s="2">
        <v>58.73</v>
      </c>
      <c r="W1755" s="2">
        <v>-7.97</v>
      </c>
      <c r="X1755" s="2">
        <v>-10.29</v>
      </c>
      <c r="Y1755" s="2">
        <v>-1.05</v>
      </c>
      <c r="Z1755" s="2">
        <v>1.23</v>
      </c>
    </row>
    <row r="1756" spans="1:26" x14ac:dyDescent="0.25">
      <c r="A1756" s="1" t="s">
        <v>7232</v>
      </c>
      <c r="B1756" s="1" t="s">
        <v>7233</v>
      </c>
      <c r="C1756" s="1" t="s">
        <v>45</v>
      </c>
      <c r="D1756" s="1" t="s">
        <v>18</v>
      </c>
      <c r="E1756" s="1" t="s">
        <v>594</v>
      </c>
      <c r="F1756" s="1" t="s">
        <v>7234</v>
      </c>
      <c r="G1756" s="1" t="s">
        <v>12480</v>
      </c>
      <c r="H1756" s="1" t="s">
        <v>7235</v>
      </c>
      <c r="I1756" s="2">
        <v>175.45</v>
      </c>
      <c r="J1756" s="2">
        <v>4.4000000000000004</v>
      </c>
      <c r="K1756" s="2">
        <v>5.74</v>
      </c>
      <c r="L1756" s="2">
        <v>6.31</v>
      </c>
      <c r="M1756" s="4">
        <f t="shared" si="162"/>
        <v>30.566202090592331</v>
      </c>
      <c r="N1756" s="4">
        <f t="shared" si="163"/>
        <v>27.805071315372423</v>
      </c>
      <c r="O1756" s="5">
        <f t="shared" si="164"/>
        <v>0.30454545454545445</v>
      </c>
      <c r="P1756" s="5">
        <f t="shared" si="165"/>
        <v>9.9303135888501703E-2</v>
      </c>
      <c r="Q1756" s="4">
        <f t="shared" si="166"/>
        <v>1.0036663373030321</v>
      </c>
      <c r="R1756" s="4">
        <f t="shared" si="167"/>
        <v>2.8000194622848733</v>
      </c>
      <c r="S1756" s="4">
        <v>-27.1</v>
      </c>
      <c r="T1756" s="2">
        <v>1.21</v>
      </c>
      <c r="U1756" s="2">
        <v>175.61</v>
      </c>
      <c r="V1756" s="2">
        <v>127.4</v>
      </c>
      <c r="W1756" s="2">
        <v>0.03</v>
      </c>
      <c r="X1756" s="2">
        <v>30.16</v>
      </c>
      <c r="Y1756" s="2">
        <v>27.69</v>
      </c>
      <c r="Z1756" s="2">
        <v>34.9</v>
      </c>
    </row>
    <row r="1757" spans="1:26" x14ac:dyDescent="0.25">
      <c r="A1757" s="1" t="s">
        <v>7236</v>
      </c>
      <c r="B1757" s="1" t="s">
        <v>7237</v>
      </c>
      <c r="C1757" s="1" t="s">
        <v>45</v>
      </c>
      <c r="D1757" s="1" t="s">
        <v>147</v>
      </c>
      <c r="E1757" s="1" t="s">
        <v>5356</v>
      </c>
      <c r="F1757" s="1" t="s">
        <v>7238</v>
      </c>
      <c r="G1757" s="1" t="s">
        <v>12480</v>
      </c>
      <c r="H1757" s="1" t="s">
        <v>7239</v>
      </c>
      <c r="I1757" s="2">
        <v>16.010000000000002</v>
      </c>
      <c r="J1757" s="2">
        <v>1.41</v>
      </c>
      <c r="K1757" s="2">
        <v>1.31</v>
      </c>
      <c r="L1757" s="2">
        <v>1.47</v>
      </c>
      <c r="M1757" s="4">
        <f t="shared" si="162"/>
        <v>12.221374045801527</v>
      </c>
      <c r="N1757" s="4">
        <f t="shared" si="163"/>
        <v>10.891156462585036</v>
      </c>
      <c r="O1757" s="5">
        <f t="shared" si="164"/>
        <v>-7.0921985815602717E-2</v>
      </c>
      <c r="P1757" s="5">
        <f t="shared" si="165"/>
        <v>0.12213740458015265</v>
      </c>
      <c r="Q1757" s="4">
        <f t="shared" si="166"/>
        <v>-1.7232137404580181</v>
      </c>
      <c r="R1757" s="4">
        <f t="shared" si="167"/>
        <v>0.89171343537414982</v>
      </c>
      <c r="S1757" s="4">
        <v>-0.59</v>
      </c>
      <c r="T1757" s="2">
        <v>0.72</v>
      </c>
      <c r="U1757" s="2">
        <v>22.16</v>
      </c>
      <c r="V1757" s="2">
        <v>14.55</v>
      </c>
      <c r="W1757" s="2">
        <v>-2.38</v>
      </c>
      <c r="X1757" s="2">
        <v>-25.67</v>
      </c>
      <c r="Y1757" s="2">
        <v>-21.64</v>
      </c>
      <c r="Z1757" s="2">
        <v>-19.3</v>
      </c>
    </row>
    <row r="1758" spans="1:26" x14ac:dyDescent="0.25">
      <c r="A1758" s="1" t="s">
        <v>7240</v>
      </c>
      <c r="B1758" s="1" t="s">
        <v>7241</v>
      </c>
      <c r="C1758" s="1" t="s">
        <v>16</v>
      </c>
      <c r="D1758" s="1" t="s">
        <v>46</v>
      </c>
      <c r="E1758" s="1" t="s">
        <v>1142</v>
      </c>
      <c r="F1758" s="1" t="s">
        <v>12731</v>
      </c>
      <c r="G1758" s="1" t="s">
        <v>12480</v>
      </c>
      <c r="H1758" s="1" t="s">
        <v>7242</v>
      </c>
      <c r="I1758" s="2">
        <v>153.41999999999999</v>
      </c>
      <c r="J1758" s="2">
        <v>13.81</v>
      </c>
      <c r="K1758" s="2"/>
      <c r="L1758" s="2"/>
      <c r="M1758" s="4" t="e">
        <f t="shared" si="162"/>
        <v>#DIV/0!</v>
      </c>
      <c r="N1758" s="4" t="e">
        <f t="shared" si="163"/>
        <v>#DIV/0!</v>
      </c>
      <c r="O1758" s="5">
        <f t="shared" si="164"/>
        <v>-1</v>
      </c>
      <c r="P1758" s="5" t="e">
        <f t="shared" si="165"/>
        <v>#DIV/0!</v>
      </c>
      <c r="Q1758" s="4" t="e">
        <f t="shared" si="166"/>
        <v>#DIV/0!</v>
      </c>
      <c r="R1758" s="4" t="e">
        <f t="shared" si="167"/>
        <v>#DIV/0!</v>
      </c>
      <c r="S1758" s="4">
        <v>-2.2599999999999998</v>
      </c>
      <c r="T1758" s="2">
        <v>1.32</v>
      </c>
      <c r="U1758" s="2">
        <v>171.24</v>
      </c>
      <c r="V1758" s="2">
        <v>88.05</v>
      </c>
      <c r="W1758" s="2">
        <v>-10.41</v>
      </c>
      <c r="X1758" s="2">
        <v>-5.24</v>
      </c>
      <c r="Y1758" s="2">
        <v>26.31</v>
      </c>
      <c r="Z1758" s="2">
        <v>24.18</v>
      </c>
    </row>
    <row r="1759" spans="1:26" x14ac:dyDescent="0.25">
      <c r="A1759" s="1" t="s">
        <v>7243</v>
      </c>
      <c r="B1759" s="1" t="s">
        <v>7244</v>
      </c>
      <c r="C1759" s="1" t="s">
        <v>31</v>
      </c>
      <c r="D1759" s="1" t="s">
        <v>67</v>
      </c>
      <c r="E1759" s="1" t="s">
        <v>3480</v>
      </c>
      <c r="F1759" s="1" t="s">
        <v>7245</v>
      </c>
      <c r="G1759" s="1" t="s">
        <v>12490</v>
      </c>
      <c r="H1759" s="1" t="s">
        <v>7246</v>
      </c>
      <c r="I1759" s="2">
        <v>37.518000000000001</v>
      </c>
      <c r="J1759" s="2">
        <v>1.92</v>
      </c>
      <c r="K1759" s="2"/>
      <c r="L1759" s="2"/>
      <c r="M1759" s="4" t="e">
        <f t="shared" si="162"/>
        <v>#DIV/0!</v>
      </c>
      <c r="N1759" s="4" t="e">
        <f t="shared" si="163"/>
        <v>#DIV/0!</v>
      </c>
      <c r="O1759" s="5">
        <f t="shared" si="164"/>
        <v>-1</v>
      </c>
      <c r="P1759" s="5" t="e">
        <f t="shared" si="165"/>
        <v>#DIV/0!</v>
      </c>
      <c r="Q1759" s="4" t="e">
        <f t="shared" si="166"/>
        <v>#DIV/0!</v>
      </c>
      <c r="R1759" s="4" t="e">
        <f t="shared" si="167"/>
        <v>#DIV/0!</v>
      </c>
      <c r="S1759" s="4">
        <v>2.5299999999999998</v>
      </c>
      <c r="T1759" s="2">
        <v>0.06</v>
      </c>
      <c r="U1759" s="2">
        <v>45.55</v>
      </c>
      <c r="V1759" s="2">
        <v>33.36</v>
      </c>
      <c r="W1759" s="2">
        <v>-10.14</v>
      </c>
      <c r="X1759" s="2">
        <v>-9.9700000000000006</v>
      </c>
      <c r="Y1759" s="2">
        <v>-7.68</v>
      </c>
      <c r="Z1759" s="2">
        <v>-7.8</v>
      </c>
    </row>
    <row r="1760" spans="1:26" x14ac:dyDescent="0.25">
      <c r="A1760" s="1" t="s">
        <v>7247</v>
      </c>
      <c r="B1760" s="1" t="s">
        <v>7248</v>
      </c>
      <c r="C1760" s="1" t="s">
        <v>31</v>
      </c>
      <c r="D1760" s="1" t="s">
        <v>147</v>
      </c>
      <c r="E1760" s="1" t="s">
        <v>6851</v>
      </c>
      <c r="F1760" s="1" t="s">
        <v>7249</v>
      </c>
      <c r="G1760" s="1" t="s">
        <v>12490</v>
      </c>
      <c r="H1760" s="1" t="s">
        <v>7250</v>
      </c>
      <c r="I1760" s="2">
        <v>12.31</v>
      </c>
      <c r="J1760" s="2">
        <v>1.37</v>
      </c>
      <c r="K1760" s="2"/>
      <c r="L1760" s="2"/>
      <c r="M1760" s="4" t="e">
        <f t="shared" si="162"/>
        <v>#DIV/0!</v>
      </c>
      <c r="N1760" s="4" t="e">
        <f t="shared" si="163"/>
        <v>#DIV/0!</v>
      </c>
      <c r="O1760" s="5">
        <f t="shared" si="164"/>
        <v>-1</v>
      </c>
      <c r="P1760" s="5" t="e">
        <f t="shared" si="165"/>
        <v>#DIV/0!</v>
      </c>
      <c r="Q1760" s="4" t="e">
        <f t="shared" si="166"/>
        <v>#DIV/0!</v>
      </c>
      <c r="R1760" s="4" t="e">
        <f t="shared" si="167"/>
        <v>#DIV/0!</v>
      </c>
      <c r="S1760" s="4">
        <v>-9.7200000000000006</v>
      </c>
      <c r="T1760" s="2">
        <v>0.02</v>
      </c>
      <c r="U1760" s="2">
        <v>13.45</v>
      </c>
      <c r="V1760" s="2">
        <v>8.56</v>
      </c>
      <c r="W1760" s="2" t="s">
        <v>12489</v>
      </c>
      <c r="X1760" s="2">
        <v>2.84</v>
      </c>
      <c r="Y1760" s="2">
        <v>12.03</v>
      </c>
      <c r="Z1760" s="2">
        <v>18.25</v>
      </c>
    </row>
    <row r="1761" spans="1:26" x14ac:dyDescent="0.25">
      <c r="A1761" s="1" t="s">
        <v>7251</v>
      </c>
      <c r="B1761" s="1" t="s">
        <v>7252</v>
      </c>
      <c r="C1761" s="1" t="s">
        <v>45</v>
      </c>
      <c r="D1761" s="1" t="s">
        <v>18</v>
      </c>
      <c r="E1761" s="1" t="s">
        <v>74</v>
      </c>
      <c r="F1761" s="1" t="s">
        <v>7253</v>
      </c>
      <c r="G1761" s="1" t="s">
        <v>12480</v>
      </c>
      <c r="H1761" s="1" t="s">
        <v>7254</v>
      </c>
      <c r="I1761" s="2">
        <v>45.06</v>
      </c>
      <c r="J1761" s="2">
        <v>1.25</v>
      </c>
      <c r="K1761" s="2">
        <v>-3.03</v>
      </c>
      <c r="L1761" s="2">
        <v>-3.14</v>
      </c>
      <c r="M1761" s="4">
        <f t="shared" si="162"/>
        <v>-14.871287128712874</v>
      </c>
      <c r="N1761" s="4">
        <f t="shared" si="163"/>
        <v>-14.35031847133758</v>
      </c>
      <c r="O1761" s="5">
        <f t="shared" si="164"/>
        <v>-3.4239999999999999</v>
      </c>
      <c r="P1761" s="5">
        <f t="shared" si="165"/>
        <v>3.630363036303641E-2</v>
      </c>
      <c r="Q1761" s="4">
        <f t="shared" si="166"/>
        <v>4.343249745535302E-2</v>
      </c>
      <c r="R1761" s="4">
        <f t="shared" si="167"/>
        <v>-3.952860451650249</v>
      </c>
      <c r="S1761" s="4"/>
      <c r="T1761" s="2">
        <v>4.47</v>
      </c>
      <c r="U1761" s="2">
        <v>48.37</v>
      </c>
      <c r="V1761" s="2">
        <v>7.57</v>
      </c>
      <c r="W1761" s="2">
        <v>-1.21</v>
      </c>
      <c r="X1761" s="2">
        <v>-5.55</v>
      </c>
      <c r="Y1761" s="2">
        <v>13.47</v>
      </c>
      <c r="Z1761" s="2">
        <v>8.76</v>
      </c>
    </row>
    <row r="1762" spans="1:26" x14ac:dyDescent="0.25">
      <c r="A1762" s="1" t="s">
        <v>7255</v>
      </c>
      <c r="B1762" s="1" t="s">
        <v>7256</v>
      </c>
      <c r="C1762" s="1" t="s">
        <v>45</v>
      </c>
      <c r="D1762" s="1" t="s">
        <v>38</v>
      </c>
      <c r="E1762" s="1" t="s">
        <v>259</v>
      </c>
      <c r="F1762" s="1" t="s">
        <v>7257</v>
      </c>
      <c r="G1762" s="1" t="s">
        <v>12480</v>
      </c>
      <c r="H1762" s="1" t="s">
        <v>7258</v>
      </c>
      <c r="I1762" s="2">
        <v>95.9</v>
      </c>
      <c r="J1762" s="2"/>
      <c r="K1762" s="2"/>
      <c r="L1762" s="2"/>
      <c r="M1762" s="4" t="e">
        <f t="shared" si="162"/>
        <v>#DIV/0!</v>
      </c>
      <c r="N1762" s="4" t="e">
        <f t="shared" si="163"/>
        <v>#DIV/0!</v>
      </c>
      <c r="O1762" s="5" t="e">
        <f t="shared" si="164"/>
        <v>#DIV/0!</v>
      </c>
      <c r="P1762" s="5" t="e">
        <f t="shared" si="165"/>
        <v>#DIV/0!</v>
      </c>
      <c r="Q1762" s="4" t="e">
        <f t="shared" si="166"/>
        <v>#DIV/0!</v>
      </c>
      <c r="R1762" s="4" t="e">
        <f t="shared" si="167"/>
        <v>#DIV/0!</v>
      </c>
      <c r="S1762" s="4"/>
      <c r="T1762" s="2">
        <v>0.28999999999999998</v>
      </c>
      <c r="U1762" s="2">
        <v>96.91</v>
      </c>
      <c r="V1762" s="2">
        <v>91.41</v>
      </c>
      <c r="W1762" s="2">
        <v>-0.16</v>
      </c>
      <c r="X1762" s="2">
        <v>0.37</v>
      </c>
      <c r="Y1762" s="2">
        <v>0.86</v>
      </c>
      <c r="Z1762" s="2">
        <v>0.71</v>
      </c>
    </row>
    <row r="1763" spans="1:26" x14ac:dyDescent="0.25">
      <c r="A1763" s="1" t="s">
        <v>7259</v>
      </c>
      <c r="B1763" s="1" t="s">
        <v>7260</v>
      </c>
      <c r="C1763" s="1" t="s">
        <v>16</v>
      </c>
      <c r="D1763" s="1" t="s">
        <v>147</v>
      </c>
      <c r="E1763" s="1" t="s">
        <v>6851</v>
      </c>
      <c r="F1763" s="1" t="s">
        <v>7261</v>
      </c>
      <c r="G1763" s="1" t="s">
        <v>12480</v>
      </c>
      <c r="H1763" s="1" t="s">
        <v>7262</v>
      </c>
      <c r="I1763" s="2">
        <v>8.57</v>
      </c>
      <c r="J1763" s="2">
        <v>0.91</v>
      </c>
      <c r="K1763" s="2"/>
      <c r="L1763" s="2"/>
      <c r="M1763" s="4" t="e">
        <f t="shared" si="162"/>
        <v>#DIV/0!</v>
      </c>
      <c r="N1763" s="4" t="e">
        <f t="shared" si="163"/>
        <v>#DIV/0!</v>
      </c>
      <c r="O1763" s="5">
        <f t="shared" si="164"/>
        <v>-1</v>
      </c>
      <c r="P1763" s="5" t="e">
        <f t="shared" si="165"/>
        <v>#DIV/0!</v>
      </c>
      <c r="Q1763" s="4" t="e">
        <f t="shared" si="166"/>
        <v>#DIV/0!</v>
      </c>
      <c r="R1763" s="4" t="e">
        <f t="shared" si="167"/>
        <v>#DIV/0!</v>
      </c>
      <c r="S1763" s="4" t="s">
        <v>12856</v>
      </c>
      <c r="T1763" s="2">
        <v>1.54</v>
      </c>
      <c r="U1763" s="2">
        <v>14.05</v>
      </c>
      <c r="V1763" s="2">
        <v>8.57</v>
      </c>
      <c r="W1763" s="2">
        <v>-14.3</v>
      </c>
      <c r="X1763" s="2">
        <v>-36.28</v>
      </c>
      <c r="Y1763" s="2">
        <v>-25.87</v>
      </c>
      <c r="Z1763" s="2">
        <v>-22.37</v>
      </c>
    </row>
    <row r="1764" spans="1:26" x14ac:dyDescent="0.25">
      <c r="A1764" s="1" t="s">
        <v>7263</v>
      </c>
      <c r="B1764" s="1" t="s">
        <v>7264</v>
      </c>
      <c r="C1764" s="1" t="s">
        <v>31</v>
      </c>
      <c r="D1764" s="1" t="s">
        <v>305</v>
      </c>
      <c r="E1764" s="1" t="s">
        <v>1176</v>
      </c>
      <c r="F1764" s="1" t="s">
        <v>7265</v>
      </c>
      <c r="G1764" s="1" t="s">
        <v>12480</v>
      </c>
      <c r="H1764" s="1" t="s">
        <v>7266</v>
      </c>
      <c r="I1764" s="2" t="s">
        <v>12571</v>
      </c>
      <c r="J1764" s="2">
        <v>1.51</v>
      </c>
      <c r="K1764" s="2">
        <v>1.48</v>
      </c>
      <c r="L1764" s="2">
        <v>1.87</v>
      </c>
      <c r="M1764" s="4">
        <f t="shared" si="162"/>
        <v>10.810810810810811</v>
      </c>
      <c r="N1764" s="4">
        <f t="shared" si="163"/>
        <v>8.5561497326203195</v>
      </c>
      <c r="O1764" s="5">
        <f t="shared" si="164"/>
        <v>-1.9867549668874163E-2</v>
      </c>
      <c r="P1764" s="5">
        <f t="shared" si="165"/>
        <v>0.2635135135135136</v>
      </c>
      <c r="Q1764" s="4">
        <f t="shared" si="166"/>
        <v>-5.4414414414414436</v>
      </c>
      <c r="R1764" s="4">
        <f t="shared" si="167"/>
        <v>0.32469491293020686</v>
      </c>
      <c r="S1764" s="4">
        <v>-5.08</v>
      </c>
      <c r="T1764" s="2">
        <v>0.8</v>
      </c>
      <c r="U1764" s="2">
        <v>18.059999999999999</v>
      </c>
      <c r="V1764" s="2">
        <v>12.77</v>
      </c>
      <c r="W1764" s="2">
        <v>-2.79</v>
      </c>
      <c r="X1764" s="2">
        <v>-7.78</v>
      </c>
      <c r="Y1764" s="2">
        <v>-10.31</v>
      </c>
      <c r="Z1764" s="2">
        <v>-8.94</v>
      </c>
    </row>
    <row r="1765" spans="1:26" x14ac:dyDescent="0.25">
      <c r="A1765" s="1" t="s">
        <v>7267</v>
      </c>
      <c r="B1765" s="1" t="s">
        <v>7268</v>
      </c>
      <c r="C1765" s="1" t="s">
        <v>45</v>
      </c>
      <c r="D1765" s="1" t="s">
        <v>38</v>
      </c>
      <c r="E1765" s="1" t="s">
        <v>1244</v>
      </c>
      <c r="F1765" s="1" t="s">
        <v>7269</v>
      </c>
      <c r="G1765" s="1" t="s">
        <v>12480</v>
      </c>
      <c r="H1765" s="1" t="s">
        <v>1432</v>
      </c>
      <c r="I1765" s="2">
        <v>41.91</v>
      </c>
      <c r="J1765" s="2">
        <v>3.78</v>
      </c>
      <c r="K1765" s="2">
        <v>5.24</v>
      </c>
      <c r="L1765" s="2">
        <v>5.75</v>
      </c>
      <c r="M1765" s="4">
        <f t="shared" si="162"/>
        <v>7.9980916030534344</v>
      </c>
      <c r="N1765" s="4">
        <f t="shared" si="163"/>
        <v>7.2886956521739128</v>
      </c>
      <c r="O1765" s="5">
        <f t="shared" si="164"/>
        <v>0.38624338624338628</v>
      </c>
      <c r="P1765" s="5">
        <f t="shared" si="165"/>
        <v>9.7328244274809128E-2</v>
      </c>
      <c r="Q1765" s="4">
        <f t="shared" si="166"/>
        <v>0.20707387849001357</v>
      </c>
      <c r="R1765" s="4">
        <f t="shared" si="167"/>
        <v>0.74887774936061402</v>
      </c>
      <c r="S1765" s="4">
        <v>-5.9</v>
      </c>
      <c r="T1765" s="2">
        <v>1.25</v>
      </c>
      <c r="U1765" s="2">
        <v>47.63</v>
      </c>
      <c r="V1765" s="2">
        <v>29.18</v>
      </c>
      <c r="W1765" s="2">
        <v>-3.34</v>
      </c>
      <c r="X1765" s="2">
        <v>-6.99</v>
      </c>
      <c r="Y1765" s="2">
        <v>14.13</v>
      </c>
      <c r="Z1765" s="2">
        <v>23.05</v>
      </c>
    </row>
    <row r="1766" spans="1:26" x14ac:dyDescent="0.25">
      <c r="A1766" s="1" t="s">
        <v>7270</v>
      </c>
      <c r="B1766" s="1" t="s">
        <v>7271</v>
      </c>
      <c r="C1766" s="1" t="s">
        <v>45</v>
      </c>
      <c r="D1766" s="1" t="s">
        <v>305</v>
      </c>
      <c r="E1766" s="1" t="s">
        <v>306</v>
      </c>
      <c r="F1766" s="1" t="s">
        <v>7272</v>
      </c>
      <c r="G1766" s="1" t="s">
        <v>12480</v>
      </c>
      <c r="H1766" s="1" t="s">
        <v>7273</v>
      </c>
      <c r="I1766" s="2">
        <v>8.0299999999999994</v>
      </c>
      <c r="J1766" s="2">
        <v>0.36</v>
      </c>
      <c r="K1766" s="2">
        <v>0.25</v>
      </c>
      <c r="L1766" s="2">
        <v>0.39</v>
      </c>
      <c r="M1766" s="4">
        <f t="shared" si="162"/>
        <v>32.119999999999997</v>
      </c>
      <c r="N1766" s="4">
        <f t="shared" si="163"/>
        <v>20.589743589743588</v>
      </c>
      <c r="O1766" s="5">
        <f t="shared" si="164"/>
        <v>-0.30555555555555558</v>
      </c>
      <c r="P1766" s="5">
        <f t="shared" si="165"/>
        <v>0.56000000000000005</v>
      </c>
      <c r="Q1766" s="4">
        <f t="shared" si="166"/>
        <v>-1.0511999999999999</v>
      </c>
      <c r="R1766" s="4">
        <f t="shared" si="167"/>
        <v>0.36767399267399259</v>
      </c>
      <c r="S1766" s="4">
        <v>14.51</v>
      </c>
      <c r="T1766" s="2">
        <v>0.59</v>
      </c>
      <c r="U1766" s="2">
        <v>19.079999999999998</v>
      </c>
      <c r="V1766" s="2">
        <v>8.01</v>
      </c>
      <c r="W1766" s="2">
        <v>-3.6</v>
      </c>
      <c r="X1766" s="2">
        <v>-11.47</v>
      </c>
      <c r="Y1766" s="2">
        <v>-23.81</v>
      </c>
      <c r="Z1766" s="2">
        <v>-23.08</v>
      </c>
    </row>
    <row r="1767" spans="1:26" x14ac:dyDescent="0.25">
      <c r="A1767" s="1" t="s">
        <v>7274</v>
      </c>
      <c r="B1767" s="1" t="s">
        <v>7275</v>
      </c>
      <c r="C1767" s="1" t="s">
        <v>31</v>
      </c>
      <c r="D1767" s="1" t="s">
        <v>67</v>
      </c>
      <c r="E1767" s="1" t="s">
        <v>1037</v>
      </c>
      <c r="F1767" s="1" t="s">
        <v>7276</v>
      </c>
      <c r="G1767" s="1" t="s">
        <v>12485</v>
      </c>
      <c r="H1767" s="1" t="s">
        <v>7277</v>
      </c>
      <c r="I1767" s="2">
        <v>3.41</v>
      </c>
      <c r="J1767" s="2">
        <v>0.4</v>
      </c>
      <c r="K1767" s="2"/>
      <c r="L1767" s="2"/>
      <c r="M1767" s="4" t="e">
        <f t="shared" si="162"/>
        <v>#DIV/0!</v>
      </c>
      <c r="N1767" s="4" t="e">
        <f t="shared" si="163"/>
        <v>#DIV/0!</v>
      </c>
      <c r="O1767" s="5">
        <f t="shared" si="164"/>
        <v>-1</v>
      </c>
      <c r="P1767" s="5" t="e">
        <f t="shared" si="165"/>
        <v>#DIV/0!</v>
      </c>
      <c r="Q1767" s="4" t="e">
        <f t="shared" si="166"/>
        <v>#DIV/0!</v>
      </c>
      <c r="R1767" s="4" t="e">
        <f t="shared" si="167"/>
        <v>#DIV/0!</v>
      </c>
      <c r="S1767" s="4">
        <v>6.97</v>
      </c>
      <c r="T1767" s="2">
        <v>0.49</v>
      </c>
      <c r="U1767" s="2">
        <v>3.7</v>
      </c>
      <c r="V1767" s="2">
        <v>3.05</v>
      </c>
      <c r="W1767" s="2" t="s">
        <v>12489</v>
      </c>
      <c r="X1767" s="2" t="s">
        <v>12489</v>
      </c>
      <c r="Y1767" s="2">
        <v>4.92</v>
      </c>
      <c r="Z1767" s="2">
        <v>4.92</v>
      </c>
    </row>
    <row r="1768" spans="1:26" x14ac:dyDescent="0.25">
      <c r="A1768" s="1" t="s">
        <v>7278</v>
      </c>
      <c r="B1768" s="1" t="s">
        <v>7279</v>
      </c>
      <c r="C1768" s="1" t="s">
        <v>45</v>
      </c>
      <c r="D1768" s="1" t="s">
        <v>18</v>
      </c>
      <c r="E1768" s="1" t="s">
        <v>74</v>
      </c>
      <c r="F1768" s="1" t="s">
        <v>7280</v>
      </c>
      <c r="G1768" s="1" t="s">
        <v>12480</v>
      </c>
      <c r="H1768" s="1" t="s">
        <v>7281</v>
      </c>
      <c r="I1768" s="2">
        <v>27.94</v>
      </c>
      <c r="J1768" s="2">
        <v>-5.82</v>
      </c>
      <c r="K1768" s="2">
        <v>-2.81</v>
      </c>
      <c r="L1768" s="2">
        <v>-3.43</v>
      </c>
      <c r="M1768" s="4">
        <f t="shared" si="162"/>
        <v>-9.9430604982206408</v>
      </c>
      <c r="N1768" s="4">
        <f t="shared" si="163"/>
        <v>-8.1457725947521862</v>
      </c>
      <c r="O1768" s="5">
        <f t="shared" si="164"/>
        <v>-0.51718213058419238</v>
      </c>
      <c r="P1768" s="5">
        <f t="shared" si="165"/>
        <v>0.22064056939501775</v>
      </c>
      <c r="Q1768" s="4">
        <f t="shared" si="166"/>
        <v>0.19225452524798717</v>
      </c>
      <c r="R1768" s="4">
        <f t="shared" si="167"/>
        <v>-0.3691874353428008</v>
      </c>
      <c r="S1768" s="4"/>
      <c r="T1768" s="2">
        <v>1.06</v>
      </c>
      <c r="U1768" s="2">
        <v>43.14</v>
      </c>
      <c r="V1768" s="2">
        <v>5.79</v>
      </c>
      <c r="W1768" s="2">
        <v>-15.26</v>
      </c>
      <c r="X1768" s="2">
        <v>-24.55</v>
      </c>
      <c r="Y1768" s="2">
        <v>-1.55</v>
      </c>
      <c r="Z1768" s="2">
        <v>-11.41</v>
      </c>
    </row>
    <row r="1769" spans="1:26" x14ac:dyDescent="0.25">
      <c r="A1769" s="1" t="s">
        <v>7282</v>
      </c>
      <c r="B1769" s="1" t="s">
        <v>7283</v>
      </c>
      <c r="C1769" s="1" t="s">
        <v>16</v>
      </c>
      <c r="D1769" s="1" t="s">
        <v>38</v>
      </c>
      <c r="E1769" s="1" t="s">
        <v>1408</v>
      </c>
      <c r="F1769" s="1" t="s">
        <v>7284</v>
      </c>
      <c r="G1769" s="1" t="s">
        <v>12480</v>
      </c>
      <c r="H1769" s="1" t="s">
        <v>7285</v>
      </c>
      <c r="I1769" s="2">
        <v>54.52</v>
      </c>
      <c r="J1769" s="2">
        <v>2.99</v>
      </c>
      <c r="K1769" s="2">
        <v>3.48</v>
      </c>
      <c r="L1769" s="2">
        <v>4.47</v>
      </c>
      <c r="M1769" s="4">
        <f t="shared" si="162"/>
        <v>15.666666666666668</v>
      </c>
      <c r="N1769" s="4">
        <f t="shared" si="163"/>
        <v>12.196868008948547</v>
      </c>
      <c r="O1769" s="5">
        <f t="shared" si="164"/>
        <v>0.16387959866220725</v>
      </c>
      <c r="P1769" s="5">
        <f t="shared" si="165"/>
        <v>0.2844827586206895</v>
      </c>
      <c r="Q1769" s="4">
        <f t="shared" si="166"/>
        <v>0.95598639455782375</v>
      </c>
      <c r="R1769" s="4">
        <f t="shared" si="167"/>
        <v>0.42873839061758551</v>
      </c>
      <c r="S1769" s="4">
        <v>26.98</v>
      </c>
      <c r="T1769" s="2">
        <v>1.9</v>
      </c>
      <c r="U1769" s="2">
        <v>77.75</v>
      </c>
      <c r="V1769" s="2">
        <v>48.86</v>
      </c>
      <c r="W1769" s="2">
        <v>-8.6</v>
      </c>
      <c r="X1769" s="2">
        <v>-25.54</v>
      </c>
      <c r="Y1769" s="2">
        <v>-21.45</v>
      </c>
      <c r="Z1769" s="2">
        <v>-20.69</v>
      </c>
    </row>
    <row r="1770" spans="1:26" x14ac:dyDescent="0.25">
      <c r="A1770" s="1" t="s">
        <v>7286</v>
      </c>
      <c r="B1770" s="1" t="s">
        <v>7287</v>
      </c>
      <c r="C1770" s="1" t="s">
        <v>16</v>
      </c>
      <c r="D1770" s="1" t="s">
        <v>67</v>
      </c>
      <c r="E1770" s="1" t="s">
        <v>1037</v>
      </c>
      <c r="F1770" s="1" t="s">
        <v>7288</v>
      </c>
      <c r="G1770" s="1" t="s">
        <v>12480</v>
      </c>
      <c r="H1770" s="1" t="s">
        <v>7289</v>
      </c>
      <c r="I1770" s="2">
        <v>330.8</v>
      </c>
      <c r="J1770" s="2">
        <v>12.2</v>
      </c>
      <c r="K1770" s="2">
        <v>13.24</v>
      </c>
      <c r="L1770" s="2">
        <v>14.44</v>
      </c>
      <c r="M1770" s="4">
        <f t="shared" si="162"/>
        <v>24.984894259818731</v>
      </c>
      <c r="N1770" s="4">
        <f t="shared" si="163"/>
        <v>22.908587257617729</v>
      </c>
      <c r="O1770" s="5">
        <f t="shared" si="164"/>
        <v>8.5245901639344313E-2</v>
      </c>
      <c r="P1770" s="5">
        <f t="shared" si="165"/>
        <v>9.0634441087613205E-2</v>
      </c>
      <c r="Q1770" s="4">
        <f t="shared" si="166"/>
        <v>2.9309202881710421</v>
      </c>
      <c r="R1770" s="4">
        <f t="shared" si="167"/>
        <v>2.527580794090492</v>
      </c>
      <c r="S1770" s="4">
        <v>3.72</v>
      </c>
      <c r="T1770" s="2">
        <v>0.51</v>
      </c>
      <c r="U1770" s="2">
        <v>341.06</v>
      </c>
      <c r="V1770" s="2">
        <v>285.55</v>
      </c>
      <c r="W1770" s="2">
        <v>-1.2</v>
      </c>
      <c r="X1770" s="2">
        <v>1.6</v>
      </c>
      <c r="Y1770" s="2">
        <v>3.79</v>
      </c>
      <c r="Z1770" s="2">
        <v>8.24</v>
      </c>
    </row>
    <row r="1771" spans="1:26" x14ac:dyDescent="0.25">
      <c r="A1771" s="1" t="s">
        <v>7290</v>
      </c>
      <c r="B1771" s="1" t="s">
        <v>7291</v>
      </c>
      <c r="C1771" s="1" t="s">
        <v>45</v>
      </c>
      <c r="D1771" s="1" t="s">
        <v>38</v>
      </c>
      <c r="E1771" s="1" t="s">
        <v>119</v>
      </c>
      <c r="F1771" s="1" t="s">
        <v>7292</v>
      </c>
      <c r="G1771" s="1" t="s">
        <v>12480</v>
      </c>
      <c r="H1771" s="1" t="s">
        <v>7293</v>
      </c>
      <c r="I1771" s="2">
        <v>14.2</v>
      </c>
      <c r="J1771" s="2">
        <v>1.28</v>
      </c>
      <c r="K1771" s="2"/>
      <c r="L1771" s="2"/>
      <c r="M1771" s="4" t="e">
        <f t="shared" si="162"/>
        <v>#DIV/0!</v>
      </c>
      <c r="N1771" s="4" t="e">
        <f t="shared" si="163"/>
        <v>#DIV/0!</v>
      </c>
      <c r="O1771" s="5">
        <f t="shared" si="164"/>
        <v>-1</v>
      </c>
      <c r="P1771" s="5" t="e">
        <f t="shared" si="165"/>
        <v>#DIV/0!</v>
      </c>
      <c r="Q1771" s="4" t="e">
        <f t="shared" si="166"/>
        <v>#DIV/0!</v>
      </c>
      <c r="R1771" s="4" t="e">
        <f t="shared" si="167"/>
        <v>#DIV/0!</v>
      </c>
      <c r="S1771" s="4">
        <v>188.86</v>
      </c>
      <c r="T1771" s="2">
        <v>1.55</v>
      </c>
      <c r="U1771" s="2">
        <v>15.73</v>
      </c>
      <c r="V1771" s="2">
        <v>8.61</v>
      </c>
      <c r="W1771" s="2">
        <v>-4.38</v>
      </c>
      <c r="X1771" s="2">
        <v>-9.32</v>
      </c>
      <c r="Y1771" s="2">
        <v>-2.4700000000000002</v>
      </c>
      <c r="Z1771" s="2">
        <v>-2.94</v>
      </c>
    </row>
    <row r="1772" spans="1:26" x14ac:dyDescent="0.25">
      <c r="A1772" s="1" t="s">
        <v>7294</v>
      </c>
      <c r="B1772" s="1" t="s">
        <v>7295</v>
      </c>
      <c r="C1772" s="1" t="s">
        <v>45</v>
      </c>
      <c r="D1772" s="1" t="s">
        <v>32</v>
      </c>
      <c r="E1772" s="1" t="s">
        <v>290</v>
      </c>
      <c r="F1772" s="1" t="s">
        <v>7296</v>
      </c>
      <c r="G1772" s="1" t="s">
        <v>12490</v>
      </c>
      <c r="H1772" s="1" t="s">
        <v>7297</v>
      </c>
      <c r="I1772" s="2" t="s">
        <v>12732</v>
      </c>
      <c r="J1772" s="2">
        <v>1.31</v>
      </c>
      <c r="K1772" s="2">
        <v>1.55</v>
      </c>
      <c r="L1772" s="2">
        <v>2.5</v>
      </c>
      <c r="M1772" s="4">
        <f t="shared" si="162"/>
        <v>41.935483870967744</v>
      </c>
      <c r="N1772" s="4">
        <f t="shared" si="163"/>
        <v>26</v>
      </c>
      <c r="O1772" s="5">
        <f t="shared" si="164"/>
        <v>0.18320610687022909</v>
      </c>
      <c r="P1772" s="5">
        <f t="shared" si="165"/>
        <v>0.61290322580645151</v>
      </c>
      <c r="Q1772" s="4">
        <f t="shared" si="166"/>
        <v>2.2889784946236547</v>
      </c>
      <c r="R1772" s="4">
        <f t="shared" si="167"/>
        <v>0.42421052631578954</v>
      </c>
      <c r="S1772" s="4">
        <v>-42.35</v>
      </c>
      <c r="T1772" s="2">
        <v>1.45</v>
      </c>
      <c r="U1772" s="2">
        <v>80.75</v>
      </c>
      <c r="V1772" s="2">
        <v>35.340000000000003</v>
      </c>
      <c r="W1772" s="2">
        <v>-12.53</v>
      </c>
      <c r="X1772" s="2">
        <v>-12.65</v>
      </c>
      <c r="Y1772" s="2">
        <v>-3.25</v>
      </c>
      <c r="Z1772" s="2">
        <v>2.0099999999999998</v>
      </c>
    </row>
    <row r="1773" spans="1:26" x14ac:dyDescent="0.25">
      <c r="A1773" s="1" t="s">
        <v>7298</v>
      </c>
      <c r="B1773" s="1" t="s">
        <v>7299</v>
      </c>
      <c r="C1773" s="1" t="s">
        <v>16</v>
      </c>
      <c r="D1773" s="1" t="s">
        <v>18</v>
      </c>
      <c r="E1773" s="1" t="s">
        <v>610</v>
      </c>
      <c r="F1773" s="1" t="s">
        <v>7300</v>
      </c>
      <c r="G1773" s="1" t="s">
        <v>12490</v>
      </c>
      <c r="H1773" s="1" t="s">
        <v>7301</v>
      </c>
      <c r="I1773" s="2">
        <v>942.16</v>
      </c>
      <c r="J1773" s="2">
        <v>33.049999999999997</v>
      </c>
      <c r="K1773" s="2">
        <v>38.92</v>
      </c>
      <c r="L1773" s="2">
        <v>44.01</v>
      </c>
      <c r="M1773" s="4">
        <f t="shared" si="162"/>
        <v>24.207605344295988</v>
      </c>
      <c r="N1773" s="4">
        <f t="shared" si="163"/>
        <v>21.407861849579643</v>
      </c>
      <c r="O1773" s="5">
        <f t="shared" si="164"/>
        <v>0.17760968229954632</v>
      </c>
      <c r="P1773" s="5">
        <f t="shared" si="165"/>
        <v>0.13078108941418276</v>
      </c>
      <c r="Q1773" s="4">
        <f t="shared" si="166"/>
        <v>1.362966535994858</v>
      </c>
      <c r="R1773" s="4">
        <f t="shared" si="167"/>
        <v>1.6369233461407484</v>
      </c>
      <c r="S1773" s="4">
        <v>16.22</v>
      </c>
      <c r="T1773" s="2">
        <v>0.38</v>
      </c>
      <c r="U1773" s="2">
        <v>995.69</v>
      </c>
      <c r="V1773" s="2">
        <v>640.66</v>
      </c>
      <c r="W1773" s="2">
        <v>-4.92</v>
      </c>
      <c r="X1773" s="2">
        <v>-2.09</v>
      </c>
      <c r="Y1773" s="2">
        <v>14.48</v>
      </c>
      <c r="Z1773" s="2">
        <v>14.86</v>
      </c>
    </row>
    <row r="1774" spans="1:26" x14ac:dyDescent="0.25">
      <c r="A1774" s="1" t="s">
        <v>7302</v>
      </c>
      <c r="B1774" s="1" t="s">
        <v>7303</v>
      </c>
      <c r="C1774" s="1" t="s">
        <v>16</v>
      </c>
      <c r="D1774" s="1" t="s">
        <v>38</v>
      </c>
      <c r="E1774" s="1" t="s">
        <v>52</v>
      </c>
      <c r="F1774" s="1" t="s">
        <v>7304</v>
      </c>
      <c r="G1774" s="1" t="s">
        <v>12480</v>
      </c>
      <c r="H1774" s="1" t="s">
        <v>12733</v>
      </c>
      <c r="I1774" s="2">
        <v>462.69</v>
      </c>
      <c r="J1774" s="2">
        <v>14.94</v>
      </c>
      <c r="K1774" s="2">
        <v>16.690000000000001</v>
      </c>
      <c r="L1774" s="2">
        <v>18.649999999999999</v>
      </c>
      <c r="M1774" s="4">
        <f t="shared" si="162"/>
        <v>27.722588376273215</v>
      </c>
      <c r="N1774" s="4">
        <f t="shared" si="163"/>
        <v>24.809115281501342</v>
      </c>
      <c r="O1774" s="5">
        <f t="shared" si="164"/>
        <v>0.1171352074966534</v>
      </c>
      <c r="P1774" s="5">
        <f t="shared" si="165"/>
        <v>0.11743559017375649</v>
      </c>
      <c r="Q1774" s="4">
        <f t="shared" si="166"/>
        <v>2.3667169733801221</v>
      </c>
      <c r="R1774" s="4">
        <f t="shared" si="167"/>
        <v>2.1125721124911139</v>
      </c>
      <c r="S1774" s="4">
        <v>8.89</v>
      </c>
      <c r="T1774" s="2">
        <v>1.45</v>
      </c>
      <c r="U1774" s="2">
        <v>539.61</v>
      </c>
      <c r="V1774" s="2">
        <v>396.7</v>
      </c>
      <c r="W1774" s="2">
        <v>-0.73</v>
      </c>
      <c r="X1774" s="2">
        <v>2.94</v>
      </c>
      <c r="Y1774" s="2">
        <v>-5.09</v>
      </c>
      <c r="Z1774" s="2">
        <v>-9.43</v>
      </c>
    </row>
    <row r="1775" spans="1:26" x14ac:dyDescent="0.25">
      <c r="A1775" s="1" t="s">
        <v>7305</v>
      </c>
      <c r="B1775" s="1" t="s">
        <v>7306</v>
      </c>
      <c r="C1775" s="1" t="s">
        <v>45</v>
      </c>
      <c r="D1775" s="1" t="s">
        <v>147</v>
      </c>
      <c r="E1775" s="1" t="s">
        <v>2000</v>
      </c>
      <c r="F1775" s="1" t="s">
        <v>7307</v>
      </c>
      <c r="G1775" s="1" t="s">
        <v>12480</v>
      </c>
      <c r="H1775" s="1" t="s">
        <v>292</v>
      </c>
      <c r="I1775" s="2">
        <v>97.73</v>
      </c>
      <c r="J1775" s="2">
        <v>5.43</v>
      </c>
      <c r="K1775" s="2">
        <v>5.95</v>
      </c>
      <c r="L1775" s="2">
        <v>6.14</v>
      </c>
      <c r="M1775" s="4">
        <f t="shared" si="162"/>
        <v>16.425210084033612</v>
      </c>
      <c r="N1775" s="4">
        <f t="shared" si="163"/>
        <v>15.916938110749188</v>
      </c>
      <c r="O1775" s="5">
        <f t="shared" si="164"/>
        <v>9.576427255985287E-2</v>
      </c>
      <c r="P1775" s="5">
        <f t="shared" si="165"/>
        <v>3.1932773109243584E-2</v>
      </c>
      <c r="Q1775" s="4">
        <f t="shared" si="166"/>
        <v>1.7151709760827372</v>
      </c>
      <c r="R1775" s="4">
        <f t="shared" si="167"/>
        <v>4.9845148294188419</v>
      </c>
      <c r="S1775" s="4">
        <v>4.3899999999999997</v>
      </c>
      <c r="T1775" s="2">
        <v>1.29</v>
      </c>
      <c r="U1775" s="2">
        <v>108.21</v>
      </c>
      <c r="V1775" s="2">
        <v>72.42</v>
      </c>
      <c r="W1775" s="2">
        <v>0.9</v>
      </c>
      <c r="X1775" s="2">
        <v>-1.19</v>
      </c>
      <c r="Y1775" s="2">
        <v>-2.4</v>
      </c>
      <c r="Z1775" s="2">
        <v>2.12</v>
      </c>
    </row>
    <row r="1776" spans="1:26" x14ac:dyDescent="0.25">
      <c r="A1776" s="1" t="s">
        <v>7308</v>
      </c>
      <c r="B1776" s="1" t="s">
        <v>7309</v>
      </c>
      <c r="C1776" s="1" t="s">
        <v>45</v>
      </c>
      <c r="D1776" s="1" t="s">
        <v>305</v>
      </c>
      <c r="E1776" s="1" t="s">
        <v>3726</v>
      </c>
      <c r="F1776" s="1" t="s">
        <v>7310</v>
      </c>
      <c r="G1776" s="1" t="s">
        <v>12480</v>
      </c>
      <c r="H1776" s="1" t="s">
        <v>7311</v>
      </c>
      <c r="I1776" s="2">
        <v>7.03</v>
      </c>
      <c r="J1776" s="2">
        <v>0.44</v>
      </c>
      <c r="K1776" s="2">
        <v>0.48</v>
      </c>
      <c r="L1776" s="2">
        <v>0.53</v>
      </c>
      <c r="M1776" s="4">
        <f t="shared" si="162"/>
        <v>14.645833333333334</v>
      </c>
      <c r="N1776" s="4">
        <f t="shared" si="163"/>
        <v>13.264150943396226</v>
      </c>
      <c r="O1776" s="5">
        <f t="shared" si="164"/>
        <v>9.0909090909090828E-2</v>
      </c>
      <c r="P1776" s="5">
        <f t="shared" si="165"/>
        <v>0.10416666666666674</v>
      </c>
      <c r="Q1776" s="4">
        <f t="shared" si="166"/>
        <v>1.6110416666666683</v>
      </c>
      <c r="R1776" s="4">
        <f t="shared" si="167"/>
        <v>1.2733584905660367</v>
      </c>
      <c r="S1776" s="4">
        <v>5.73</v>
      </c>
      <c r="T1776" s="2">
        <v>1.41</v>
      </c>
      <c r="U1776" s="2">
        <v>8.4700000000000006</v>
      </c>
      <c r="V1776" s="2">
        <v>4.68</v>
      </c>
      <c r="W1776" s="2">
        <v>-1.26</v>
      </c>
      <c r="X1776" s="2">
        <v>14.12</v>
      </c>
      <c r="Y1776" s="2">
        <v>24.2</v>
      </c>
      <c r="Z1776" s="2">
        <v>26.44</v>
      </c>
    </row>
    <row r="1777" spans="1:26" x14ac:dyDescent="0.25">
      <c r="A1777" s="1" t="s">
        <v>7312</v>
      </c>
      <c r="B1777" s="1" t="s">
        <v>7313</v>
      </c>
      <c r="C1777" s="1" t="s">
        <v>16</v>
      </c>
      <c r="D1777" s="1" t="s">
        <v>38</v>
      </c>
      <c r="E1777" s="1" t="s">
        <v>194</v>
      </c>
      <c r="F1777" s="1" t="s">
        <v>7314</v>
      </c>
      <c r="G1777" s="1" t="s">
        <v>12480</v>
      </c>
      <c r="H1777" s="1" t="s">
        <v>6741</v>
      </c>
      <c r="I1777" s="2">
        <v>89.69</v>
      </c>
      <c r="J1777" s="2">
        <v>7.9</v>
      </c>
      <c r="K1777" s="2" t="s">
        <v>12485</v>
      </c>
      <c r="L1777" s="2" t="s">
        <v>12497</v>
      </c>
      <c r="M1777" s="4">
        <f t="shared" si="162"/>
        <v>9.9655555555555555</v>
      </c>
      <c r="N1777" s="4">
        <f t="shared" si="163"/>
        <v>11.21125</v>
      </c>
      <c r="O1777" s="5">
        <f t="shared" si="164"/>
        <v>0.13924050632911378</v>
      </c>
      <c r="P1777" s="5">
        <f t="shared" si="165"/>
        <v>-0.11111111111111116</v>
      </c>
      <c r="Q1777" s="4">
        <f t="shared" si="166"/>
        <v>0.71570808080808157</v>
      </c>
      <c r="R1777" s="4">
        <f t="shared" si="167"/>
        <v>-1.0090124999999994</v>
      </c>
      <c r="S1777" s="4">
        <v>9.44</v>
      </c>
      <c r="T1777" s="2">
        <v>0.92</v>
      </c>
      <c r="U1777" s="2">
        <v>96.19</v>
      </c>
      <c r="V1777" s="2">
        <v>49.04</v>
      </c>
      <c r="W1777" s="2">
        <v>-2.06</v>
      </c>
      <c r="X1777" s="2">
        <v>-3.4</v>
      </c>
      <c r="Y1777" s="2">
        <v>-3.88</v>
      </c>
      <c r="Z1777" s="2">
        <v>-4.6500000000000004</v>
      </c>
    </row>
    <row r="1778" spans="1:26" x14ac:dyDescent="0.25">
      <c r="A1778" s="1" t="s">
        <v>7315</v>
      </c>
      <c r="B1778" s="1" t="s">
        <v>7316</v>
      </c>
      <c r="C1778" s="1" t="s">
        <v>16</v>
      </c>
      <c r="D1778" s="1" t="s">
        <v>18</v>
      </c>
      <c r="E1778" s="1" t="s">
        <v>624</v>
      </c>
      <c r="F1778" s="1" t="s">
        <v>7317</v>
      </c>
      <c r="G1778" s="1" t="s">
        <v>12480</v>
      </c>
      <c r="H1778" s="1" t="s">
        <v>12556</v>
      </c>
      <c r="I1778" s="2">
        <v>20.100000000000001</v>
      </c>
      <c r="J1778" s="2">
        <v>2.04</v>
      </c>
      <c r="K1778" s="2">
        <v>2.1800000000000002</v>
      </c>
      <c r="L1778" s="2">
        <v>2.2000000000000002</v>
      </c>
      <c r="M1778" s="4">
        <f t="shared" si="162"/>
        <v>9.2201834862385326</v>
      </c>
      <c r="N1778" s="4">
        <f t="shared" si="163"/>
        <v>9.1363636363636367</v>
      </c>
      <c r="O1778" s="5">
        <f t="shared" si="164"/>
        <v>6.8627450980392135E-2</v>
      </c>
      <c r="P1778" s="5">
        <f t="shared" si="165"/>
        <v>9.1743119266054496E-3</v>
      </c>
      <c r="Q1778" s="4">
        <f t="shared" si="166"/>
        <v>1.343512450851901</v>
      </c>
      <c r="R1778" s="4">
        <f t="shared" si="167"/>
        <v>9.9586363636364243</v>
      </c>
      <c r="S1778" s="4">
        <v>-4.92</v>
      </c>
      <c r="T1778" s="2">
        <v>0.79</v>
      </c>
      <c r="U1778" s="2">
        <v>24.65</v>
      </c>
      <c r="V1778" s="2">
        <v>11.98</v>
      </c>
      <c r="W1778" s="2">
        <v>2.71</v>
      </c>
      <c r="X1778" s="2">
        <v>-3.78</v>
      </c>
      <c r="Y1778" s="2">
        <v>-11.42</v>
      </c>
      <c r="Z1778" s="2">
        <v>-6.03</v>
      </c>
    </row>
    <row r="1779" spans="1:26" x14ac:dyDescent="0.25">
      <c r="A1779" s="1" t="s">
        <v>7318</v>
      </c>
      <c r="B1779" s="1" t="s">
        <v>7319</v>
      </c>
      <c r="C1779" s="1" t="s">
        <v>45</v>
      </c>
      <c r="D1779" s="1" t="s">
        <v>32</v>
      </c>
      <c r="E1779" s="1" t="s">
        <v>311</v>
      </c>
      <c r="F1779" s="1" t="s">
        <v>7320</v>
      </c>
      <c r="G1779" s="1" t="s">
        <v>12493</v>
      </c>
      <c r="H1779" s="1" t="s">
        <v>7321</v>
      </c>
      <c r="I1779" s="2">
        <v>271.74</v>
      </c>
      <c r="J1779" s="2">
        <v>4.97</v>
      </c>
      <c r="K1779" s="2">
        <v>5.67</v>
      </c>
      <c r="L1779" s="2">
        <v>6.86</v>
      </c>
      <c r="M1779" s="4">
        <f t="shared" si="162"/>
        <v>47.925925925925931</v>
      </c>
      <c r="N1779" s="4">
        <f t="shared" si="163"/>
        <v>39.612244897959187</v>
      </c>
      <c r="O1779" s="5">
        <f t="shared" si="164"/>
        <v>0.14084507042253525</v>
      </c>
      <c r="P1779" s="5">
        <f t="shared" si="165"/>
        <v>0.20987654320987659</v>
      </c>
      <c r="Q1779" s="4">
        <f t="shared" si="166"/>
        <v>3.4027407407407404</v>
      </c>
      <c r="R1779" s="4">
        <f t="shared" si="167"/>
        <v>1.8874069627851138</v>
      </c>
      <c r="S1779" s="4">
        <v>22.79</v>
      </c>
      <c r="T1779" s="2">
        <v>1.4</v>
      </c>
      <c r="U1779" s="2">
        <v>440.6</v>
      </c>
      <c r="V1779" s="2">
        <v>145.85</v>
      </c>
      <c r="W1779" s="2">
        <v>-16.39</v>
      </c>
      <c r="X1779" s="2">
        <v>-24.05</v>
      </c>
      <c r="Y1779" s="2">
        <v>-34.68</v>
      </c>
      <c r="Z1779" s="2">
        <v>-35.25</v>
      </c>
    </row>
    <row r="1780" spans="1:26" x14ac:dyDescent="0.25">
      <c r="A1780" s="1" t="s">
        <v>7322</v>
      </c>
      <c r="B1780" s="1" t="s">
        <v>7323</v>
      </c>
      <c r="C1780" s="1" t="s">
        <v>45</v>
      </c>
      <c r="D1780" s="1" t="s">
        <v>18</v>
      </c>
      <c r="E1780" s="1" t="s">
        <v>780</v>
      </c>
      <c r="F1780" s="1" t="s">
        <v>7324</v>
      </c>
      <c r="G1780" s="1" t="s">
        <v>12480</v>
      </c>
      <c r="H1780" s="1" t="s">
        <v>7325</v>
      </c>
      <c r="I1780" s="2">
        <v>433.2</v>
      </c>
      <c r="J1780" s="2">
        <v>-12.85</v>
      </c>
      <c r="K1780" s="2">
        <v>-2.6</v>
      </c>
      <c r="L1780" s="2">
        <v>15.39</v>
      </c>
      <c r="M1780" s="4">
        <f t="shared" si="162"/>
        <v>-166.61538461538461</v>
      </c>
      <c r="N1780" s="4">
        <f t="shared" si="163"/>
        <v>28.148148148148145</v>
      </c>
      <c r="O1780" s="5">
        <f t="shared" si="164"/>
        <v>-0.7976653696498055</v>
      </c>
      <c r="P1780" s="5">
        <f t="shared" si="165"/>
        <v>-6.9192307692307695</v>
      </c>
      <c r="Q1780" s="4">
        <f t="shared" si="166"/>
        <v>2.0887879924953094</v>
      </c>
      <c r="R1780" s="4">
        <f t="shared" si="167"/>
        <v>-4.0681036789986205E-2</v>
      </c>
      <c r="S1780" s="4">
        <v>432.05</v>
      </c>
      <c r="T1780" s="2">
        <v>-0.97</v>
      </c>
      <c r="U1780" s="2">
        <v>602.83000000000004</v>
      </c>
      <c r="V1780" s="2">
        <v>267.56</v>
      </c>
      <c r="W1780" s="2">
        <v>-0.56000000000000005</v>
      </c>
      <c r="X1780" s="2">
        <v>-11.28</v>
      </c>
      <c r="Y1780" s="2">
        <v>-22.72</v>
      </c>
      <c r="Z1780" s="2">
        <v>-25.61</v>
      </c>
    </row>
    <row r="1781" spans="1:26" x14ac:dyDescent="0.25">
      <c r="A1781" s="1" t="s">
        <v>7326</v>
      </c>
      <c r="B1781" s="1" t="s">
        <v>7327</v>
      </c>
      <c r="C1781" s="1" t="s">
        <v>45</v>
      </c>
      <c r="D1781" s="1" t="s">
        <v>18</v>
      </c>
      <c r="E1781" s="1" t="s">
        <v>19</v>
      </c>
      <c r="F1781" s="1" t="s">
        <v>7328</v>
      </c>
      <c r="G1781" s="1" t="s">
        <v>12480</v>
      </c>
      <c r="H1781" s="1" t="s">
        <v>7329</v>
      </c>
      <c r="I1781" s="2">
        <v>43.41</v>
      </c>
      <c r="J1781" s="2">
        <v>-0.01</v>
      </c>
      <c r="K1781" s="2">
        <v>1.43</v>
      </c>
      <c r="L1781" s="2">
        <v>1.58</v>
      </c>
      <c r="M1781" s="4">
        <f t="shared" si="162"/>
        <v>30.356643356643357</v>
      </c>
      <c r="N1781" s="4">
        <f t="shared" si="163"/>
        <v>27.474683544303794</v>
      </c>
      <c r="O1781" s="5">
        <f t="shared" si="164"/>
        <v>-144</v>
      </c>
      <c r="P1781" s="5">
        <f t="shared" si="165"/>
        <v>0.10489510489510501</v>
      </c>
      <c r="Q1781" s="4">
        <f t="shared" si="166"/>
        <v>-2.108100233100233E-3</v>
      </c>
      <c r="R1781" s="4">
        <f t="shared" si="167"/>
        <v>2.6192531645569588</v>
      </c>
      <c r="S1781" s="4"/>
      <c r="T1781" s="2"/>
      <c r="U1781" s="2">
        <v>49.99</v>
      </c>
      <c r="V1781" s="2" t="s">
        <v>12516</v>
      </c>
      <c r="W1781" s="2">
        <v>-5.32</v>
      </c>
      <c r="X1781" s="2">
        <v>-8.36</v>
      </c>
      <c r="Y1781" s="2"/>
      <c r="Z1781" s="2">
        <v>3.36</v>
      </c>
    </row>
    <row r="1782" spans="1:26" x14ac:dyDescent="0.25">
      <c r="A1782" s="1" t="s">
        <v>7330</v>
      </c>
      <c r="B1782" s="1" t="s">
        <v>7331</v>
      </c>
      <c r="C1782" s="1" t="s">
        <v>45</v>
      </c>
      <c r="D1782" s="1" t="s">
        <v>128</v>
      </c>
      <c r="E1782" s="1" t="s">
        <v>556</v>
      </c>
      <c r="F1782" s="1" t="s">
        <v>7332</v>
      </c>
      <c r="G1782" s="1" t="s">
        <v>12480</v>
      </c>
      <c r="H1782" s="1" t="s">
        <v>7333</v>
      </c>
      <c r="I1782" s="2">
        <v>58.17</v>
      </c>
      <c r="J1782" s="2">
        <v>2.92</v>
      </c>
      <c r="K1782" s="2">
        <v>3.06</v>
      </c>
      <c r="L1782" s="2">
        <v>3.39</v>
      </c>
      <c r="M1782" s="4">
        <f t="shared" si="162"/>
        <v>19.009803921568629</v>
      </c>
      <c r="N1782" s="4">
        <f t="shared" si="163"/>
        <v>17.159292035398231</v>
      </c>
      <c r="O1782" s="5">
        <f t="shared" si="164"/>
        <v>4.7945205479452024E-2</v>
      </c>
      <c r="P1782" s="5">
        <f t="shared" si="165"/>
        <v>0.10784313725490202</v>
      </c>
      <c r="Q1782" s="4">
        <f t="shared" si="166"/>
        <v>3.9649019607843168</v>
      </c>
      <c r="R1782" s="4">
        <f t="shared" si="167"/>
        <v>1.5911343523732895</v>
      </c>
      <c r="S1782" s="4">
        <v>5.75</v>
      </c>
      <c r="T1782" s="2">
        <v>0.38</v>
      </c>
      <c r="U1782" s="2">
        <v>70.75</v>
      </c>
      <c r="V1782" s="2">
        <v>51.51</v>
      </c>
      <c r="W1782" s="2">
        <v>-3.76</v>
      </c>
      <c r="X1782" s="2">
        <v>-4.22</v>
      </c>
      <c r="Y1782" s="2">
        <v>7.21</v>
      </c>
      <c r="Z1782" s="2">
        <v>8.06</v>
      </c>
    </row>
    <row r="1783" spans="1:26" x14ac:dyDescent="0.25">
      <c r="A1783" s="1" t="s">
        <v>7334</v>
      </c>
      <c r="B1783" s="1" t="s">
        <v>7335</v>
      </c>
      <c r="C1783" s="1" t="s">
        <v>16</v>
      </c>
      <c r="D1783" s="1" t="s">
        <v>18</v>
      </c>
      <c r="E1783" s="1" t="s">
        <v>19</v>
      </c>
      <c r="F1783" s="1" t="s">
        <v>7336</v>
      </c>
      <c r="G1783" s="1" t="s">
        <v>12513</v>
      </c>
      <c r="H1783" s="1" t="s">
        <v>7337</v>
      </c>
      <c r="I1783" s="2">
        <v>91.34</v>
      </c>
      <c r="J1783" s="2">
        <v>5.49</v>
      </c>
      <c r="K1783" s="2">
        <v>5.64</v>
      </c>
      <c r="L1783" s="2">
        <v>6.1</v>
      </c>
      <c r="M1783" s="4">
        <f t="shared" si="162"/>
        <v>16.195035460992909</v>
      </c>
      <c r="N1783" s="4">
        <f t="shared" si="163"/>
        <v>14.973770491803281</v>
      </c>
      <c r="O1783" s="5">
        <f t="shared" si="164"/>
        <v>2.7322404371584508E-2</v>
      </c>
      <c r="P1783" s="5">
        <f t="shared" si="165"/>
        <v>8.1560283687943214E-2</v>
      </c>
      <c r="Q1783" s="4">
        <f t="shared" si="166"/>
        <v>5.927382978723446</v>
      </c>
      <c r="R1783" s="4">
        <f t="shared" si="167"/>
        <v>1.8359144689950122</v>
      </c>
      <c r="S1783" s="4">
        <v>3.62</v>
      </c>
      <c r="T1783" s="2">
        <v>0.71</v>
      </c>
      <c r="U1783" s="2">
        <v>105.35</v>
      </c>
      <c r="V1783" s="2">
        <v>80.680000000000007</v>
      </c>
      <c r="W1783" s="2">
        <v>-6.89</v>
      </c>
      <c r="X1783" s="2">
        <v>-10.14</v>
      </c>
      <c r="Y1783" s="2">
        <v>-7.33</v>
      </c>
      <c r="Z1783" s="2">
        <v>-4.91</v>
      </c>
    </row>
    <row r="1784" spans="1:26" x14ac:dyDescent="0.25">
      <c r="A1784" s="1" t="s">
        <v>7338</v>
      </c>
      <c r="B1784" s="1" t="s">
        <v>7339</v>
      </c>
      <c r="C1784" s="1" t="s">
        <v>16</v>
      </c>
      <c r="D1784" s="1" t="s">
        <v>354</v>
      </c>
      <c r="E1784" s="1" t="s">
        <v>1213</v>
      </c>
      <c r="F1784" s="1" t="s">
        <v>7340</v>
      </c>
      <c r="G1784" s="1" t="s">
        <v>12480</v>
      </c>
      <c r="H1784" s="1" t="s">
        <v>7341</v>
      </c>
      <c r="I1784" s="2">
        <v>21.34</v>
      </c>
      <c r="J1784" s="2">
        <v>0.93</v>
      </c>
      <c r="K1784" s="2">
        <v>0.99</v>
      </c>
      <c r="L1784" s="2">
        <v>1.05</v>
      </c>
      <c r="M1784" s="4">
        <f t="shared" si="162"/>
        <v>21.555555555555557</v>
      </c>
      <c r="N1784" s="4">
        <f t="shared" si="163"/>
        <v>20.323809523809523</v>
      </c>
      <c r="O1784" s="5">
        <f t="shared" si="164"/>
        <v>6.4516129032258007E-2</v>
      </c>
      <c r="P1784" s="5">
        <f t="shared" si="165"/>
        <v>6.0606060606060552E-2</v>
      </c>
      <c r="Q1784" s="4">
        <f t="shared" si="166"/>
        <v>3.3411111111111143</v>
      </c>
      <c r="R1784" s="4">
        <f t="shared" si="167"/>
        <v>3.3534285714285743</v>
      </c>
      <c r="S1784" s="4">
        <v>6.66</v>
      </c>
      <c r="T1784" s="2">
        <v>0.75</v>
      </c>
      <c r="U1784" s="2">
        <v>21.34</v>
      </c>
      <c r="V1784" s="2">
        <v>15.6</v>
      </c>
      <c r="W1784" s="2">
        <v>2.35</v>
      </c>
      <c r="X1784" s="2">
        <v>6.06</v>
      </c>
      <c r="Y1784" s="2">
        <v>9.1</v>
      </c>
      <c r="Z1784" s="2">
        <v>9.32</v>
      </c>
    </row>
    <row r="1785" spans="1:26" x14ac:dyDescent="0.25">
      <c r="A1785" s="1" t="s">
        <v>7342</v>
      </c>
      <c r="B1785" s="1" t="s">
        <v>7343</v>
      </c>
      <c r="C1785" s="1" t="s">
        <v>45</v>
      </c>
      <c r="D1785" s="1" t="s">
        <v>18</v>
      </c>
      <c r="E1785" s="1" t="s">
        <v>624</v>
      </c>
      <c r="F1785" s="1" t="s">
        <v>7344</v>
      </c>
      <c r="G1785" s="1" t="s">
        <v>12480</v>
      </c>
      <c r="H1785" s="1" t="s">
        <v>4280</v>
      </c>
      <c r="I1785" s="2">
        <v>478.54</v>
      </c>
      <c r="J1785" s="2">
        <v>15.28</v>
      </c>
      <c r="K1785" s="2">
        <v>17.04</v>
      </c>
      <c r="L1785" s="2">
        <v>18.98</v>
      </c>
      <c r="M1785" s="4">
        <f t="shared" si="162"/>
        <v>28.083333333333336</v>
      </c>
      <c r="N1785" s="4">
        <f t="shared" si="163"/>
        <v>25.212855637513172</v>
      </c>
      <c r="O1785" s="5">
        <f t="shared" si="164"/>
        <v>0.11518324607329844</v>
      </c>
      <c r="P1785" s="5">
        <f t="shared" si="165"/>
        <v>0.113849765258216</v>
      </c>
      <c r="Q1785" s="4">
        <f t="shared" si="166"/>
        <v>2.4381439393939393</v>
      </c>
      <c r="R1785" s="4">
        <f t="shared" si="167"/>
        <v>2.2145724745527029</v>
      </c>
      <c r="S1785" s="4">
        <v>19.97</v>
      </c>
      <c r="T1785" s="2">
        <v>1.44</v>
      </c>
      <c r="U1785" s="2">
        <v>620.59</v>
      </c>
      <c r="V1785" s="2">
        <v>277.23</v>
      </c>
      <c r="W1785" s="2">
        <v>4.6100000000000003</v>
      </c>
      <c r="X1785" s="2">
        <v>-9.77</v>
      </c>
      <c r="Y1785" s="2">
        <v>-14.41</v>
      </c>
      <c r="Z1785" s="2">
        <v>-14.8</v>
      </c>
    </row>
    <row r="1786" spans="1:26" x14ac:dyDescent="0.25">
      <c r="A1786" s="1" t="s">
        <v>7345</v>
      </c>
      <c r="B1786" s="1" t="s">
        <v>7346</v>
      </c>
      <c r="C1786" s="1" t="s">
        <v>45</v>
      </c>
      <c r="D1786" s="1" t="s">
        <v>67</v>
      </c>
      <c r="E1786" s="1" t="s">
        <v>833</v>
      </c>
      <c r="F1786" s="1" t="s">
        <v>7347</v>
      </c>
      <c r="G1786" s="1" t="s">
        <v>12480</v>
      </c>
      <c r="H1786" s="1" t="s">
        <v>1333</v>
      </c>
      <c r="I1786" s="2">
        <v>1769.52</v>
      </c>
      <c r="J1786" s="2">
        <v>39.4</v>
      </c>
      <c r="K1786" s="2">
        <v>59.21</v>
      </c>
      <c r="L1786" s="2">
        <v>84.95</v>
      </c>
      <c r="M1786" s="4">
        <f t="shared" si="162"/>
        <v>29.885492315487248</v>
      </c>
      <c r="N1786" s="4">
        <f t="shared" si="163"/>
        <v>20.830135373749265</v>
      </c>
      <c r="O1786" s="5">
        <f t="shared" si="164"/>
        <v>0.50279187817258886</v>
      </c>
      <c r="P1786" s="5">
        <f t="shared" si="165"/>
        <v>0.43472386421212628</v>
      </c>
      <c r="Q1786" s="4">
        <f t="shared" si="166"/>
        <v>0.59439091228177565</v>
      </c>
      <c r="R1786" s="4">
        <f t="shared" si="167"/>
        <v>0.47915785372171493</v>
      </c>
      <c r="S1786" s="4">
        <v>39.06</v>
      </c>
      <c r="T1786" s="2">
        <v>1.48</v>
      </c>
      <c r="U1786" s="2">
        <v>2613.63</v>
      </c>
      <c r="V1786" s="2">
        <v>1714.01</v>
      </c>
      <c r="W1786" s="2">
        <v>-0.42</v>
      </c>
      <c r="X1786" s="2">
        <v>-13.07</v>
      </c>
      <c r="Y1786" s="2">
        <v>-10.029999999999999</v>
      </c>
      <c r="Z1786" s="2">
        <v>-12.15</v>
      </c>
    </row>
    <row r="1787" spans="1:26" x14ac:dyDescent="0.25">
      <c r="A1787" s="1" t="s">
        <v>7348</v>
      </c>
      <c r="B1787" s="1" t="s">
        <v>7349</v>
      </c>
      <c r="C1787" s="1" t="s">
        <v>45</v>
      </c>
      <c r="D1787" s="1" t="s">
        <v>88</v>
      </c>
      <c r="E1787" s="1" t="s">
        <v>504</v>
      </c>
      <c r="F1787" s="1" t="s">
        <v>7350</v>
      </c>
      <c r="G1787" s="1" t="s">
        <v>12480</v>
      </c>
      <c r="H1787" s="1" t="s">
        <v>350</v>
      </c>
      <c r="I1787" s="2">
        <v>53.01</v>
      </c>
      <c r="J1787" s="2">
        <v>2.0299999999999998</v>
      </c>
      <c r="K1787" s="2">
        <v>3.9</v>
      </c>
      <c r="L1787" s="2">
        <v>4.1500000000000004</v>
      </c>
      <c r="M1787" s="4">
        <f t="shared" si="162"/>
        <v>13.592307692307692</v>
      </c>
      <c r="N1787" s="4">
        <f t="shared" si="163"/>
        <v>12.773493975903612</v>
      </c>
      <c r="O1787" s="5">
        <f t="shared" si="164"/>
        <v>0.92118226600985231</v>
      </c>
      <c r="P1787" s="5">
        <f t="shared" si="165"/>
        <v>6.4102564102564319E-2</v>
      </c>
      <c r="Q1787" s="4">
        <f t="shared" si="166"/>
        <v>0.14755285890580008</v>
      </c>
      <c r="R1787" s="4">
        <f t="shared" si="167"/>
        <v>1.9926650602409568</v>
      </c>
      <c r="S1787" s="4">
        <v>-3.52</v>
      </c>
      <c r="T1787" s="2">
        <v>0.65</v>
      </c>
      <c r="U1787" s="2">
        <v>57.05</v>
      </c>
      <c r="V1787" s="2">
        <v>25.87</v>
      </c>
      <c r="W1787" s="2">
        <v>0.89</v>
      </c>
      <c r="X1787" s="2">
        <v>11.13</v>
      </c>
      <c r="Y1787" s="2">
        <v>35.96</v>
      </c>
      <c r="Z1787" s="2">
        <v>33.46</v>
      </c>
    </row>
    <row r="1788" spans="1:26" x14ac:dyDescent="0.25">
      <c r="A1788" s="1" t="s">
        <v>7351</v>
      </c>
      <c r="B1788" s="1" t="s">
        <v>7352</v>
      </c>
      <c r="C1788" s="1" t="s">
        <v>45</v>
      </c>
      <c r="D1788" s="1" t="s">
        <v>18</v>
      </c>
      <c r="E1788" s="1" t="s">
        <v>74</v>
      </c>
      <c r="F1788" s="1" t="s">
        <v>7353</v>
      </c>
      <c r="G1788" s="1" t="s">
        <v>12502</v>
      </c>
      <c r="H1788" s="1" t="s">
        <v>7354</v>
      </c>
      <c r="I1788" s="2">
        <v>15.43</v>
      </c>
      <c r="J1788" s="2">
        <v>-0.85</v>
      </c>
      <c r="K1788" s="2">
        <v>-0.03</v>
      </c>
      <c r="L1788" s="2">
        <v>-0.02</v>
      </c>
      <c r="M1788" s="4">
        <f t="shared" si="162"/>
        <v>-514.33333333333337</v>
      </c>
      <c r="N1788" s="4">
        <f t="shared" si="163"/>
        <v>-771.5</v>
      </c>
      <c r="O1788" s="5">
        <f t="shared" si="164"/>
        <v>-0.96470588235294119</v>
      </c>
      <c r="P1788" s="5">
        <f t="shared" si="165"/>
        <v>-0.33333333333333326</v>
      </c>
      <c r="Q1788" s="4">
        <f t="shared" si="166"/>
        <v>5.3315040650406509</v>
      </c>
      <c r="R1788" s="4">
        <f t="shared" si="167"/>
        <v>23.145000000000003</v>
      </c>
      <c r="S1788" s="4">
        <v>191.39</v>
      </c>
      <c r="T1788" s="2">
        <v>2.17</v>
      </c>
      <c r="U1788" s="2">
        <v>20.96</v>
      </c>
      <c r="V1788" s="2">
        <v>10.029999999999999</v>
      </c>
      <c r="W1788" s="2">
        <v>6.34</v>
      </c>
      <c r="X1788" s="2">
        <v>-8.0500000000000007</v>
      </c>
      <c r="Y1788" s="2">
        <v>-12.87</v>
      </c>
      <c r="Z1788" s="2">
        <v>-14.47</v>
      </c>
    </row>
    <row r="1789" spans="1:26" x14ac:dyDescent="0.25">
      <c r="A1789" s="1" t="s">
        <v>7355</v>
      </c>
      <c r="B1789" s="1" t="s">
        <v>7356</v>
      </c>
      <c r="C1789" s="1" t="s">
        <v>16</v>
      </c>
      <c r="D1789" s="1" t="s">
        <v>38</v>
      </c>
      <c r="E1789" s="1" t="s">
        <v>254</v>
      </c>
      <c r="F1789" s="1" t="s">
        <v>7357</v>
      </c>
      <c r="G1789" s="1" t="s">
        <v>12480</v>
      </c>
      <c r="H1789" s="1" t="s">
        <v>7358</v>
      </c>
      <c r="I1789" s="2">
        <v>70.77</v>
      </c>
      <c r="J1789" s="2">
        <v>8.83</v>
      </c>
      <c r="K1789" s="2">
        <v>9.85</v>
      </c>
      <c r="L1789" s="2">
        <v>10.97</v>
      </c>
      <c r="M1789" s="4">
        <f t="shared" si="162"/>
        <v>7.1847715736040607</v>
      </c>
      <c r="N1789" s="4">
        <f t="shared" si="163"/>
        <v>6.4512306289881485</v>
      </c>
      <c r="O1789" s="5">
        <f t="shared" si="164"/>
        <v>0.11551528878822181</v>
      </c>
      <c r="P1789" s="5">
        <f t="shared" si="165"/>
        <v>0.11370558375634521</v>
      </c>
      <c r="Q1789" s="4">
        <f t="shared" si="166"/>
        <v>0.62197581367572485</v>
      </c>
      <c r="R1789" s="4">
        <f t="shared" si="167"/>
        <v>0.56736269371011827</v>
      </c>
      <c r="S1789" s="4">
        <v>8.59</v>
      </c>
      <c r="T1789" s="2">
        <v>0.76</v>
      </c>
      <c r="U1789" s="2">
        <v>84.18</v>
      </c>
      <c r="V1789" s="2">
        <v>68.42</v>
      </c>
      <c r="W1789" s="2">
        <v>-3.37</v>
      </c>
      <c r="X1789" s="2">
        <v>-7.22</v>
      </c>
      <c r="Y1789" s="2">
        <v>-14.33</v>
      </c>
      <c r="Z1789" s="2">
        <v>-10.35</v>
      </c>
    </row>
    <row r="1790" spans="1:26" x14ac:dyDescent="0.25">
      <c r="A1790" s="1" t="s">
        <v>7359</v>
      </c>
      <c r="B1790" s="1" t="s">
        <v>7360</v>
      </c>
      <c r="C1790" s="1" t="s">
        <v>45</v>
      </c>
      <c r="D1790" s="1" t="s">
        <v>32</v>
      </c>
      <c r="E1790" s="1" t="s">
        <v>311</v>
      </c>
      <c r="F1790" s="1" t="s">
        <v>7361</v>
      </c>
      <c r="G1790" s="1" t="s">
        <v>12480</v>
      </c>
      <c r="H1790" s="1" t="s">
        <v>7362</v>
      </c>
      <c r="I1790" s="2">
        <v>647.39</v>
      </c>
      <c r="J1790" s="2">
        <v>23.49</v>
      </c>
      <c r="K1790" s="2">
        <v>29.68</v>
      </c>
      <c r="L1790" s="2">
        <v>34.1</v>
      </c>
      <c r="M1790" s="4">
        <f t="shared" si="162"/>
        <v>21.81233153638814</v>
      </c>
      <c r="N1790" s="4">
        <f t="shared" si="163"/>
        <v>18.985043988269794</v>
      </c>
      <c r="O1790" s="5">
        <f t="shared" si="164"/>
        <v>0.26351638995317161</v>
      </c>
      <c r="P1790" s="5">
        <f t="shared" si="165"/>
        <v>0.14892183288409711</v>
      </c>
      <c r="Q1790" s="4">
        <f t="shared" si="166"/>
        <v>0.82774098188975331</v>
      </c>
      <c r="R1790" s="4">
        <f t="shared" si="167"/>
        <v>1.2748328180358535</v>
      </c>
      <c r="S1790" s="4">
        <v>22.17</v>
      </c>
      <c r="T1790" s="2">
        <v>1.3</v>
      </c>
      <c r="U1790" s="2" t="s">
        <v>12734</v>
      </c>
      <c r="V1790" s="2">
        <v>484.66</v>
      </c>
      <c r="W1790" s="2">
        <v>-0.94</v>
      </c>
      <c r="X1790" s="2">
        <v>-4.4000000000000004</v>
      </c>
      <c r="Y1790" s="2">
        <v>-0.02</v>
      </c>
      <c r="Z1790" s="2">
        <v>-1.92</v>
      </c>
    </row>
    <row r="1791" spans="1:26" x14ac:dyDescent="0.25">
      <c r="A1791" s="1" t="s">
        <v>7363</v>
      </c>
      <c r="B1791" s="1" t="s">
        <v>7364</v>
      </c>
      <c r="C1791" s="1" t="s">
        <v>16</v>
      </c>
      <c r="D1791" s="1" t="s">
        <v>38</v>
      </c>
      <c r="E1791" s="1" t="s">
        <v>153</v>
      </c>
      <c r="F1791" s="1" t="s">
        <v>7365</v>
      </c>
      <c r="G1791" s="1" t="s">
        <v>12480</v>
      </c>
      <c r="H1791" s="1" t="s">
        <v>5313</v>
      </c>
      <c r="I1791" s="2">
        <v>10.11</v>
      </c>
      <c r="J1791" s="2" t="s">
        <v>12493</v>
      </c>
      <c r="K1791" s="2"/>
      <c r="L1791" s="2"/>
      <c r="M1791" s="4" t="e">
        <f t="shared" si="162"/>
        <v>#DIV/0!</v>
      </c>
      <c r="N1791" s="4" t="e">
        <f t="shared" si="163"/>
        <v>#DIV/0!</v>
      </c>
      <c r="O1791" s="5">
        <f t="shared" si="164"/>
        <v>-1</v>
      </c>
      <c r="P1791" s="5" t="e">
        <f t="shared" si="165"/>
        <v>#DIV/0!</v>
      </c>
      <c r="Q1791" s="4" t="e">
        <f t="shared" si="166"/>
        <v>#DIV/0!</v>
      </c>
      <c r="R1791" s="4" t="e">
        <f t="shared" si="167"/>
        <v>#DIV/0!</v>
      </c>
      <c r="S1791" s="4">
        <v>2.91</v>
      </c>
      <c r="T1791" s="2">
        <v>1.57</v>
      </c>
      <c r="U1791" s="2" t="s">
        <v>12499</v>
      </c>
      <c r="V1791" s="2">
        <v>8.17</v>
      </c>
      <c r="W1791" s="2">
        <v>-1.17</v>
      </c>
      <c r="X1791" s="2">
        <v>5.42</v>
      </c>
      <c r="Y1791" s="2">
        <v>5.31</v>
      </c>
      <c r="Z1791" s="2">
        <v>8.59</v>
      </c>
    </row>
    <row r="1792" spans="1:26" x14ac:dyDescent="0.25">
      <c r="A1792" s="1" t="s">
        <v>7366</v>
      </c>
      <c r="B1792" s="1" t="s">
        <v>7367</v>
      </c>
      <c r="C1792" s="1" t="s">
        <v>16</v>
      </c>
      <c r="D1792" s="1" t="s">
        <v>38</v>
      </c>
      <c r="E1792" s="1" t="s">
        <v>39</v>
      </c>
      <c r="F1792" s="1" t="s">
        <v>7368</v>
      </c>
      <c r="G1792" s="1" t="s">
        <v>12480</v>
      </c>
      <c r="H1792" s="1" t="s">
        <v>7369</v>
      </c>
      <c r="I1792" s="2">
        <v>33.4</v>
      </c>
      <c r="J1792" s="2">
        <v>3.01</v>
      </c>
      <c r="K1792" s="2">
        <v>3.28</v>
      </c>
      <c r="L1792" s="2">
        <v>3.56</v>
      </c>
      <c r="M1792" s="4">
        <f t="shared" si="162"/>
        <v>10.182926829268293</v>
      </c>
      <c r="N1792" s="4">
        <f t="shared" si="163"/>
        <v>9.382022471910112</v>
      </c>
      <c r="O1792" s="5">
        <f t="shared" si="164"/>
        <v>8.9700996677740896E-2</v>
      </c>
      <c r="P1792" s="5">
        <f t="shared" si="165"/>
        <v>8.5365853658536661E-2</v>
      </c>
      <c r="Q1792" s="4">
        <f t="shared" si="166"/>
        <v>1.1352077687443538</v>
      </c>
      <c r="R1792" s="4">
        <f t="shared" si="167"/>
        <v>1.0990369181380406</v>
      </c>
      <c r="S1792" s="4">
        <v>12.17</v>
      </c>
      <c r="T1792" s="2">
        <v>0.83</v>
      </c>
      <c r="U1792" s="2">
        <v>38.549999999999997</v>
      </c>
      <c r="V1792" s="2">
        <v>26.93</v>
      </c>
      <c r="W1792" s="2">
        <v>-4.43</v>
      </c>
      <c r="X1792" s="2">
        <v>-12.11</v>
      </c>
      <c r="Y1792" s="2">
        <v>-6.6</v>
      </c>
      <c r="Z1792" s="2">
        <v>-7.94</v>
      </c>
    </row>
    <row r="1793" spans="1:26" x14ac:dyDescent="0.25">
      <c r="A1793" s="1" t="s">
        <v>7370</v>
      </c>
      <c r="B1793" s="1" t="s">
        <v>7371</v>
      </c>
      <c r="C1793" s="1" t="s">
        <v>16</v>
      </c>
      <c r="D1793" s="1" t="s">
        <v>38</v>
      </c>
      <c r="E1793" s="1" t="s">
        <v>189</v>
      </c>
      <c r="F1793" s="1" t="s">
        <v>7372</v>
      </c>
      <c r="G1793" s="1" t="s">
        <v>12490</v>
      </c>
      <c r="H1793" s="1" t="s">
        <v>7373</v>
      </c>
      <c r="I1793" s="2">
        <v>8.11</v>
      </c>
      <c r="J1793" s="2">
        <v>0.45</v>
      </c>
      <c r="K1793" s="2">
        <v>0.62</v>
      </c>
      <c r="L1793" s="2">
        <v>0.69</v>
      </c>
      <c r="M1793" s="4">
        <f t="shared" si="162"/>
        <v>13.080645161290322</v>
      </c>
      <c r="N1793" s="4">
        <f t="shared" si="163"/>
        <v>11.753623188405797</v>
      </c>
      <c r="O1793" s="5">
        <f t="shared" si="164"/>
        <v>0.37777777777777777</v>
      </c>
      <c r="P1793" s="5">
        <f t="shared" si="165"/>
        <v>0.11290322580645151</v>
      </c>
      <c r="Q1793" s="4">
        <f t="shared" si="166"/>
        <v>0.34625237191650854</v>
      </c>
      <c r="R1793" s="4">
        <f t="shared" si="167"/>
        <v>1.0410351966873714</v>
      </c>
      <c r="S1793" s="4">
        <v>-2.14</v>
      </c>
      <c r="T1793" s="2">
        <v>0.36</v>
      </c>
      <c r="U1793" s="2">
        <v>10.09</v>
      </c>
      <c r="V1793" s="2">
        <v>4.25</v>
      </c>
      <c r="W1793" s="2">
        <v>-6.46</v>
      </c>
      <c r="X1793" s="2">
        <v>-17.25</v>
      </c>
      <c r="Y1793" s="2">
        <v>6.85</v>
      </c>
      <c r="Z1793" s="2">
        <v>10.79</v>
      </c>
    </row>
    <row r="1794" spans="1:26" x14ac:dyDescent="0.25">
      <c r="A1794" s="1" t="s">
        <v>7374</v>
      </c>
      <c r="B1794" s="1" t="s">
        <v>7375</v>
      </c>
      <c r="C1794" s="1" t="s">
        <v>16</v>
      </c>
      <c r="D1794" s="1" t="s">
        <v>305</v>
      </c>
      <c r="E1794" s="1" t="s">
        <v>306</v>
      </c>
      <c r="F1794" s="1" t="s">
        <v>7376</v>
      </c>
      <c r="G1794" s="1" t="s">
        <v>12480</v>
      </c>
      <c r="H1794" s="1" t="s">
        <v>7377</v>
      </c>
      <c r="I1794" s="2">
        <v>57.81</v>
      </c>
      <c r="J1794" s="2">
        <v>5.73</v>
      </c>
      <c r="K1794" s="2">
        <v>6.8</v>
      </c>
      <c r="L1794" s="2">
        <v>7.82</v>
      </c>
      <c r="M1794" s="4">
        <f t="shared" si="162"/>
        <v>8.5014705882352946</v>
      </c>
      <c r="N1794" s="4">
        <f t="shared" si="163"/>
        <v>7.3925831202046037</v>
      </c>
      <c r="O1794" s="5">
        <f t="shared" si="164"/>
        <v>0.18673647469458965</v>
      </c>
      <c r="P1794" s="5">
        <f t="shared" si="165"/>
        <v>0.15000000000000013</v>
      </c>
      <c r="Q1794" s="4">
        <f t="shared" si="166"/>
        <v>0.45526566794942336</v>
      </c>
      <c r="R1794" s="4">
        <f t="shared" si="167"/>
        <v>0.49283887468030646</v>
      </c>
      <c r="S1794" s="4">
        <v>-1.93</v>
      </c>
      <c r="T1794" s="2">
        <v>1.43</v>
      </c>
      <c r="U1794" s="2">
        <v>68.73</v>
      </c>
      <c r="V1794" s="2">
        <v>30.82</v>
      </c>
      <c r="W1794" s="2">
        <v>-8.51</v>
      </c>
      <c r="X1794" s="2">
        <v>6.19</v>
      </c>
      <c r="Y1794" s="2">
        <v>10.41</v>
      </c>
      <c r="Z1794" s="2">
        <v>8.4600000000000009</v>
      </c>
    </row>
    <row r="1795" spans="1:26" x14ac:dyDescent="0.25">
      <c r="A1795" s="1" t="s">
        <v>7378</v>
      </c>
      <c r="B1795" s="1" t="s">
        <v>7379</v>
      </c>
      <c r="C1795" s="1" t="s">
        <v>31</v>
      </c>
      <c r="D1795" s="1" t="s">
        <v>61</v>
      </c>
      <c r="E1795" s="1" t="s">
        <v>62</v>
      </c>
      <c r="F1795" s="1" t="s">
        <v>7380</v>
      </c>
      <c r="G1795" s="1" t="s">
        <v>12480</v>
      </c>
      <c r="H1795" s="1" t="s">
        <v>7381</v>
      </c>
      <c r="I1795" s="2">
        <v>10.81</v>
      </c>
      <c r="J1795" s="2"/>
      <c r="K1795" s="2"/>
      <c r="L1795" s="2"/>
      <c r="M1795" s="4" t="e">
        <f t="shared" ref="M1795:M1858" si="168">I1795/K1795</f>
        <v>#DIV/0!</v>
      </c>
      <c r="N1795" s="4" t="e">
        <f t="shared" ref="N1795:N1858" si="169">I1795/L1795</f>
        <v>#DIV/0!</v>
      </c>
      <c r="O1795" s="5" t="e">
        <f t="shared" ref="O1795:O1858" si="170">K1795/J1795-1</f>
        <v>#DIV/0!</v>
      </c>
      <c r="P1795" s="5" t="e">
        <f t="shared" ref="P1795:P1858" si="171">L1795/K1795-1</f>
        <v>#DIV/0!</v>
      </c>
      <c r="Q1795" s="4" t="e">
        <f t="shared" ref="Q1795:Q1858" si="172">M1795/(O1795*100)</f>
        <v>#DIV/0!</v>
      </c>
      <c r="R1795" s="4" t="e">
        <f t="shared" ref="R1795:R1858" si="173">N1795/(P1795*100)</f>
        <v>#DIV/0!</v>
      </c>
      <c r="S1795" s="4"/>
      <c r="T1795" s="2"/>
      <c r="U1795" s="2">
        <v>12.17</v>
      </c>
      <c r="V1795" s="2">
        <v>10.1</v>
      </c>
      <c r="W1795" s="2">
        <v>-3.05</v>
      </c>
      <c r="X1795" s="2">
        <v>-4.08</v>
      </c>
      <c r="Y1795" s="2">
        <v>-7.61</v>
      </c>
      <c r="Z1795" s="2">
        <v>-0.83</v>
      </c>
    </row>
    <row r="1796" spans="1:26" x14ac:dyDescent="0.25">
      <c r="A1796" s="1" t="s">
        <v>7382</v>
      </c>
      <c r="B1796" s="1" t="s">
        <v>7383</v>
      </c>
      <c r="C1796" s="1" t="s">
        <v>31</v>
      </c>
      <c r="D1796" s="1" t="s">
        <v>305</v>
      </c>
      <c r="E1796" s="1" t="s">
        <v>5289</v>
      </c>
      <c r="F1796" s="1" t="s">
        <v>7384</v>
      </c>
      <c r="G1796" s="1" t="s">
        <v>12480</v>
      </c>
      <c r="H1796" s="1" t="s">
        <v>7385</v>
      </c>
      <c r="I1796" s="2">
        <v>17.779900000000001</v>
      </c>
      <c r="J1796" s="2">
        <v>1.32</v>
      </c>
      <c r="K1796" s="2">
        <v>1.71</v>
      </c>
      <c r="L1796" s="2">
        <v>1.95</v>
      </c>
      <c r="M1796" s="4">
        <f t="shared" si="168"/>
        <v>10.397602339181288</v>
      </c>
      <c r="N1796" s="4">
        <f t="shared" si="169"/>
        <v>9.1178974358974365</v>
      </c>
      <c r="O1796" s="5">
        <f t="shared" si="170"/>
        <v>0.29545454545454541</v>
      </c>
      <c r="P1796" s="5">
        <f t="shared" si="171"/>
        <v>0.14035087719298245</v>
      </c>
      <c r="Q1796" s="4">
        <f t="shared" si="172"/>
        <v>0.35191884840305904</v>
      </c>
      <c r="R1796" s="4">
        <f t="shared" si="173"/>
        <v>0.64965019230769239</v>
      </c>
      <c r="S1796" s="4">
        <v>-0.1</v>
      </c>
      <c r="T1796" s="2">
        <v>0.96</v>
      </c>
      <c r="U1796" s="2">
        <v>20.399999999999999</v>
      </c>
      <c r="V1796" s="2">
        <v>14.84</v>
      </c>
      <c r="W1796" s="2">
        <v>-7.37</v>
      </c>
      <c r="X1796" s="2">
        <v>-8.91</v>
      </c>
      <c r="Y1796" s="2">
        <v>7.37</v>
      </c>
      <c r="Z1796" s="2">
        <v>7.17</v>
      </c>
    </row>
    <row r="1797" spans="1:26" x14ac:dyDescent="0.25">
      <c r="A1797" s="1" t="s">
        <v>7386</v>
      </c>
      <c r="B1797" s="1" t="s">
        <v>7387</v>
      </c>
      <c r="C1797" s="1" t="s">
        <v>45</v>
      </c>
      <c r="D1797" s="1" t="s">
        <v>354</v>
      </c>
      <c r="E1797" s="1" t="s">
        <v>355</v>
      </c>
      <c r="F1797" s="1" t="s">
        <v>7388</v>
      </c>
      <c r="G1797" s="1" t="s">
        <v>12480</v>
      </c>
      <c r="H1797" s="1" t="s">
        <v>6506</v>
      </c>
      <c r="I1797" s="2" t="s">
        <v>12639</v>
      </c>
      <c r="J1797" s="2">
        <v>3.72</v>
      </c>
      <c r="K1797" s="2">
        <v>3.92</v>
      </c>
      <c r="L1797" s="2">
        <v>4.18</v>
      </c>
      <c r="M1797" s="4">
        <f t="shared" si="168"/>
        <v>19.897959183673471</v>
      </c>
      <c r="N1797" s="4">
        <f t="shared" si="169"/>
        <v>18.660287081339714</v>
      </c>
      <c r="O1797" s="5">
        <f t="shared" si="170"/>
        <v>5.3763440860215006E-2</v>
      </c>
      <c r="P1797" s="5">
        <f t="shared" si="171"/>
        <v>6.6326530612244916E-2</v>
      </c>
      <c r="Q1797" s="4">
        <f t="shared" si="172"/>
        <v>3.7010204081632692</v>
      </c>
      <c r="R1797" s="4">
        <f t="shared" si="173"/>
        <v>2.8133971291866025</v>
      </c>
      <c r="S1797" s="4">
        <v>9.85</v>
      </c>
      <c r="T1797" s="2">
        <v>0.81</v>
      </c>
      <c r="U1797" s="2">
        <v>93.48</v>
      </c>
      <c r="V1797" s="2">
        <v>77.5</v>
      </c>
      <c r="W1797" s="2">
        <v>-4.7</v>
      </c>
      <c r="X1797" s="2">
        <v>-0.93</v>
      </c>
      <c r="Y1797" s="2">
        <v>-4.63</v>
      </c>
      <c r="Z1797" s="2">
        <v>-0.54</v>
      </c>
    </row>
    <row r="1798" spans="1:26" x14ac:dyDescent="0.25">
      <c r="A1798" s="1" t="s">
        <v>7389</v>
      </c>
      <c r="B1798" s="1" t="s">
        <v>7390</v>
      </c>
      <c r="C1798" s="1" t="s">
        <v>16</v>
      </c>
      <c r="D1798" s="1" t="s">
        <v>147</v>
      </c>
      <c r="E1798" s="1" t="s">
        <v>2000</v>
      </c>
      <c r="F1798" s="1" t="s">
        <v>7391</v>
      </c>
      <c r="G1798" s="1" t="s">
        <v>12480</v>
      </c>
      <c r="H1798" s="1" t="s">
        <v>7392</v>
      </c>
      <c r="I1798" s="2">
        <v>35.64</v>
      </c>
      <c r="J1798" s="2">
        <v>3.31</v>
      </c>
      <c r="K1798" s="2">
        <v>2.0299999999999998</v>
      </c>
      <c r="L1798" s="2">
        <v>2.64</v>
      </c>
      <c r="M1798" s="4">
        <f t="shared" si="168"/>
        <v>17.55665024630542</v>
      </c>
      <c r="N1798" s="4">
        <f t="shared" si="169"/>
        <v>13.5</v>
      </c>
      <c r="O1798" s="5">
        <f t="shared" si="170"/>
        <v>-0.38670694864048349</v>
      </c>
      <c r="P1798" s="5">
        <f t="shared" si="171"/>
        <v>0.30049261083743861</v>
      </c>
      <c r="Q1798" s="4">
        <f t="shared" si="172"/>
        <v>-0.45400400246305406</v>
      </c>
      <c r="R1798" s="4">
        <f t="shared" si="173"/>
        <v>0.44926229508196691</v>
      </c>
      <c r="S1798" s="4">
        <v>1.72</v>
      </c>
      <c r="T1798" s="2">
        <v>1.38</v>
      </c>
      <c r="U1798" s="2">
        <v>39.770000000000003</v>
      </c>
      <c r="V1798" s="2">
        <v>25.79</v>
      </c>
      <c r="W1798" s="2">
        <v>-0.22</v>
      </c>
      <c r="X1798" s="2">
        <v>-6.36</v>
      </c>
      <c r="Y1798" s="2">
        <v>-4.6500000000000004</v>
      </c>
      <c r="Z1798" s="2">
        <v>-2.33</v>
      </c>
    </row>
    <row r="1799" spans="1:26" x14ac:dyDescent="0.25">
      <c r="A1799" s="1" t="s">
        <v>7394</v>
      </c>
      <c r="B1799" s="1" t="s">
        <v>7395</v>
      </c>
      <c r="C1799" s="1" t="s">
        <v>45</v>
      </c>
      <c r="D1799" s="1" t="s">
        <v>32</v>
      </c>
      <c r="E1799" s="1" t="s">
        <v>311</v>
      </c>
      <c r="F1799" s="1" t="s">
        <v>7396</v>
      </c>
      <c r="G1799" s="1" t="s">
        <v>12480</v>
      </c>
      <c r="H1799" s="1" t="s">
        <v>7397</v>
      </c>
      <c r="I1799" s="2">
        <v>13.53</v>
      </c>
      <c r="J1799" s="2">
        <v>0.87</v>
      </c>
      <c r="K1799" s="2">
        <v>1.05</v>
      </c>
      <c r="L1799" s="2">
        <v>1.33</v>
      </c>
      <c r="M1799" s="4">
        <f t="shared" si="168"/>
        <v>12.885714285714284</v>
      </c>
      <c r="N1799" s="4">
        <f t="shared" si="169"/>
        <v>10.172932330827066</v>
      </c>
      <c r="O1799" s="5">
        <f t="shared" si="170"/>
        <v>0.2068965517241379</v>
      </c>
      <c r="P1799" s="5">
        <f t="shared" si="171"/>
        <v>0.26666666666666661</v>
      </c>
      <c r="Q1799" s="4">
        <f t="shared" si="172"/>
        <v>0.62280952380952381</v>
      </c>
      <c r="R1799" s="4">
        <f t="shared" si="173"/>
        <v>0.38148496240601509</v>
      </c>
      <c r="S1799" s="4">
        <v>6.85</v>
      </c>
      <c r="T1799" s="2">
        <v>2.34</v>
      </c>
      <c r="U1799" s="2">
        <v>26.52</v>
      </c>
      <c r="V1799" s="2" t="s">
        <v>12485</v>
      </c>
      <c r="W1799" s="2">
        <v>-0.22</v>
      </c>
      <c r="X1799" s="2">
        <v>15.94</v>
      </c>
      <c r="Y1799" s="2">
        <v>-14.58</v>
      </c>
      <c r="Z1799" s="2">
        <v>-16.64</v>
      </c>
    </row>
    <row r="1800" spans="1:26" x14ac:dyDescent="0.25">
      <c r="A1800" s="1" t="s">
        <v>7398</v>
      </c>
      <c r="B1800" s="1" t="s">
        <v>7399</v>
      </c>
      <c r="C1800" s="1" t="s">
        <v>45</v>
      </c>
      <c r="D1800" s="1" t="s">
        <v>38</v>
      </c>
      <c r="E1800" s="1" t="s">
        <v>7401</v>
      </c>
      <c r="F1800" s="1" t="s">
        <v>7400</v>
      </c>
      <c r="G1800" s="1" t="s">
        <v>12480</v>
      </c>
      <c r="H1800" s="1" t="s">
        <v>7402</v>
      </c>
      <c r="I1800" s="2">
        <v>105.34</v>
      </c>
      <c r="J1800" s="2">
        <v>6.35</v>
      </c>
      <c r="K1800" s="2">
        <v>6.52</v>
      </c>
      <c r="L1800" s="2">
        <v>7.16</v>
      </c>
      <c r="M1800" s="4">
        <f t="shared" si="168"/>
        <v>16.156441717791413</v>
      </c>
      <c r="N1800" s="4">
        <f t="shared" si="169"/>
        <v>14.712290502793296</v>
      </c>
      <c r="O1800" s="5">
        <f t="shared" si="170"/>
        <v>2.6771653543307128E-2</v>
      </c>
      <c r="P1800" s="5">
        <f t="shared" si="171"/>
        <v>9.8159509202454087E-2</v>
      </c>
      <c r="Q1800" s="4">
        <f t="shared" si="172"/>
        <v>6.0349061710573713</v>
      </c>
      <c r="R1800" s="4">
        <f t="shared" si="173"/>
        <v>1.4988145949720655</v>
      </c>
      <c r="S1800" s="4">
        <v>3.65</v>
      </c>
      <c r="T1800" s="2">
        <v>0.5</v>
      </c>
      <c r="U1800" s="2">
        <v>127.77</v>
      </c>
      <c r="V1800" s="2">
        <v>95.6</v>
      </c>
      <c r="W1800" s="2">
        <v>-4.41</v>
      </c>
      <c r="X1800" s="2">
        <v>-9.91</v>
      </c>
      <c r="Y1800" s="2">
        <v>-2.38</v>
      </c>
      <c r="Z1800" s="2">
        <v>0.39</v>
      </c>
    </row>
    <row r="1801" spans="1:26" x14ac:dyDescent="0.25">
      <c r="A1801" s="1" t="s">
        <v>7403</v>
      </c>
      <c r="B1801" s="1" t="s">
        <v>7404</v>
      </c>
      <c r="C1801" s="1" t="s">
        <v>16</v>
      </c>
      <c r="D1801" s="1" t="s">
        <v>94</v>
      </c>
      <c r="E1801" s="1" t="s">
        <v>894</v>
      </c>
      <c r="F1801" s="1" t="s">
        <v>7405</v>
      </c>
      <c r="G1801" s="1" t="s">
        <v>12480</v>
      </c>
      <c r="H1801" s="1" t="s">
        <v>7406</v>
      </c>
      <c r="I1801" s="2">
        <v>29.06</v>
      </c>
      <c r="J1801" s="2">
        <v>1.79</v>
      </c>
      <c r="K1801" s="2">
        <v>1.53</v>
      </c>
      <c r="L1801" s="2">
        <v>1.99</v>
      </c>
      <c r="M1801" s="4">
        <f t="shared" si="168"/>
        <v>18.993464052287582</v>
      </c>
      <c r="N1801" s="4">
        <f t="shared" si="169"/>
        <v>14.603015075376884</v>
      </c>
      <c r="O1801" s="5">
        <f t="shared" si="170"/>
        <v>-0.14525139664804465</v>
      </c>
      <c r="P1801" s="5">
        <f t="shared" si="171"/>
        <v>0.30065359477124187</v>
      </c>
      <c r="Q1801" s="4">
        <f t="shared" si="172"/>
        <v>-1.3076269482151839</v>
      </c>
      <c r="R1801" s="4">
        <f t="shared" si="173"/>
        <v>0.48570897968101373</v>
      </c>
      <c r="S1801" s="4">
        <v>-0.31</v>
      </c>
      <c r="T1801" s="2">
        <v>0.89</v>
      </c>
      <c r="U1801" s="2">
        <v>29.22</v>
      </c>
      <c r="V1801" s="2">
        <v>19.600000000000001</v>
      </c>
      <c r="W1801" s="2">
        <v>1.79</v>
      </c>
      <c r="X1801" s="2">
        <v>6.56</v>
      </c>
      <c r="Y1801" s="2">
        <v>30.08</v>
      </c>
      <c r="Z1801" s="2">
        <v>32.76</v>
      </c>
    </row>
    <row r="1802" spans="1:26" x14ac:dyDescent="0.25">
      <c r="A1802" s="1" t="s">
        <v>7407</v>
      </c>
      <c r="B1802" s="1" t="s">
        <v>7408</v>
      </c>
      <c r="C1802" s="1" t="s">
        <v>16</v>
      </c>
      <c r="D1802" s="1" t="s">
        <v>147</v>
      </c>
      <c r="E1802" s="1" t="s">
        <v>435</v>
      </c>
      <c r="F1802" s="1" t="s">
        <v>7409</v>
      </c>
      <c r="G1802" s="1" t="s">
        <v>12490</v>
      </c>
      <c r="H1802" s="1" t="s">
        <v>12735</v>
      </c>
      <c r="I1802" s="2">
        <v>13.91</v>
      </c>
      <c r="J1802" s="2"/>
      <c r="K1802" s="2">
        <v>1.78</v>
      </c>
      <c r="L1802" s="2">
        <v>1.78</v>
      </c>
      <c r="M1802" s="4">
        <f t="shared" si="168"/>
        <v>7.8146067415730336</v>
      </c>
      <c r="N1802" s="4">
        <f t="shared" si="169"/>
        <v>7.8146067415730336</v>
      </c>
      <c r="O1802" s="5" t="e">
        <f t="shared" si="170"/>
        <v>#DIV/0!</v>
      </c>
      <c r="P1802" s="5">
        <f t="shared" si="171"/>
        <v>0</v>
      </c>
      <c r="Q1802" s="4" t="e">
        <f t="shared" si="172"/>
        <v>#DIV/0!</v>
      </c>
      <c r="R1802" s="4" t="e">
        <f t="shared" si="173"/>
        <v>#DIV/0!</v>
      </c>
      <c r="S1802" s="4"/>
      <c r="T1802" s="2"/>
      <c r="U1802" s="2">
        <v>17.989999999999998</v>
      </c>
      <c r="V1802" s="2">
        <v>10.87</v>
      </c>
      <c r="W1802" s="2">
        <v>-1.07</v>
      </c>
      <c r="X1802" s="2">
        <v>9.44</v>
      </c>
      <c r="Y1802" s="2">
        <v>-19.36</v>
      </c>
      <c r="Z1802" s="2">
        <v>-15.7</v>
      </c>
    </row>
    <row r="1803" spans="1:26" x14ac:dyDescent="0.25">
      <c r="A1803" s="1" t="s">
        <v>7410</v>
      </c>
      <c r="B1803" s="1" t="s">
        <v>7411</v>
      </c>
      <c r="C1803" s="1" t="s">
        <v>31</v>
      </c>
      <c r="D1803" s="1" t="s">
        <v>128</v>
      </c>
      <c r="E1803" s="1" t="s">
        <v>556</v>
      </c>
      <c r="F1803" s="1" t="s">
        <v>7412</v>
      </c>
      <c r="G1803" s="1" t="s">
        <v>12480</v>
      </c>
      <c r="H1803" s="1" t="s">
        <v>7413</v>
      </c>
      <c r="I1803" s="2">
        <v>22.6</v>
      </c>
      <c r="J1803" s="2">
        <v>1.04</v>
      </c>
      <c r="K1803" s="2"/>
      <c r="L1803" s="2"/>
      <c r="M1803" s="4" t="e">
        <f t="shared" si="168"/>
        <v>#DIV/0!</v>
      </c>
      <c r="N1803" s="4" t="e">
        <f t="shared" si="169"/>
        <v>#DIV/0!</v>
      </c>
      <c r="O1803" s="5">
        <f t="shared" si="170"/>
        <v>-1</v>
      </c>
      <c r="P1803" s="5" t="e">
        <f t="shared" si="171"/>
        <v>#DIV/0!</v>
      </c>
      <c r="Q1803" s="4" t="e">
        <f t="shared" si="172"/>
        <v>#DIV/0!</v>
      </c>
      <c r="R1803" s="4" t="e">
        <f t="shared" si="173"/>
        <v>#DIV/0!</v>
      </c>
      <c r="S1803" s="4">
        <v>6.69</v>
      </c>
      <c r="T1803" s="2" t="s">
        <v>12493</v>
      </c>
      <c r="U1803" s="2">
        <v>24.81</v>
      </c>
      <c r="V1803" s="2">
        <v>16.38</v>
      </c>
      <c r="W1803" s="2">
        <v>-1.99</v>
      </c>
      <c r="X1803" s="2" t="s">
        <v>12736</v>
      </c>
      <c r="Y1803" s="2">
        <v>-2.88</v>
      </c>
      <c r="Z1803" s="2">
        <v>-6.11</v>
      </c>
    </row>
    <row r="1804" spans="1:26" x14ac:dyDescent="0.25">
      <c r="A1804" s="1" t="s">
        <v>7414</v>
      </c>
      <c r="B1804" s="1" t="s">
        <v>7415</v>
      </c>
      <c r="C1804" s="1" t="s">
        <v>16</v>
      </c>
      <c r="D1804" s="1" t="s">
        <v>147</v>
      </c>
      <c r="E1804" s="1" t="s">
        <v>1902</v>
      </c>
      <c r="F1804" s="1" t="s">
        <v>7416</v>
      </c>
      <c r="G1804" s="1" t="s">
        <v>12480</v>
      </c>
      <c r="H1804" s="1" t="s">
        <v>7417</v>
      </c>
      <c r="I1804" s="2">
        <v>107.85</v>
      </c>
      <c r="J1804" s="2">
        <v>8.9600000000000009</v>
      </c>
      <c r="K1804" s="2">
        <v>9.49</v>
      </c>
      <c r="L1804" s="2">
        <v>10.9</v>
      </c>
      <c r="M1804" s="4">
        <f t="shared" si="168"/>
        <v>11.364594309799788</v>
      </c>
      <c r="N1804" s="4">
        <f t="shared" si="169"/>
        <v>9.8944954128440354</v>
      </c>
      <c r="O1804" s="5">
        <f t="shared" si="170"/>
        <v>5.9151785714285587E-2</v>
      </c>
      <c r="P1804" s="5">
        <f t="shared" si="171"/>
        <v>0.14857744994731292</v>
      </c>
      <c r="Q1804" s="4">
        <f t="shared" si="172"/>
        <v>1.9212597172793644</v>
      </c>
      <c r="R1804" s="4">
        <f t="shared" si="173"/>
        <v>0.66594866289283638</v>
      </c>
      <c r="S1804" s="4">
        <v>-0.48</v>
      </c>
      <c r="T1804" s="2">
        <v>1.19</v>
      </c>
      <c r="U1804" s="2">
        <v>139.75</v>
      </c>
      <c r="V1804" s="2">
        <v>97.99</v>
      </c>
      <c r="W1804" s="2">
        <v>-9.5399999999999991</v>
      </c>
      <c r="X1804" s="2">
        <v>-18.38</v>
      </c>
      <c r="Y1804" s="2">
        <v>-3.26</v>
      </c>
      <c r="Z1804" s="2">
        <v>-1.33</v>
      </c>
    </row>
    <row r="1805" spans="1:26" x14ac:dyDescent="0.25">
      <c r="A1805" s="1" t="s">
        <v>7418</v>
      </c>
      <c r="B1805" s="1" t="s">
        <v>7419</v>
      </c>
      <c r="C1805" s="1" t="s">
        <v>16</v>
      </c>
      <c r="D1805" s="1" t="s">
        <v>61</v>
      </c>
      <c r="E1805" s="1" t="s">
        <v>2394</v>
      </c>
      <c r="F1805" s="1" t="s">
        <v>7420</v>
      </c>
      <c r="G1805" s="1" t="s">
        <v>12480</v>
      </c>
      <c r="H1805" s="1" t="s">
        <v>41</v>
      </c>
      <c r="I1805" s="2">
        <v>133.94</v>
      </c>
      <c r="J1805" s="2">
        <v>14.74</v>
      </c>
      <c r="K1805" s="2">
        <v>13.63</v>
      </c>
      <c r="L1805" s="2">
        <v>16.09</v>
      </c>
      <c r="M1805" s="4">
        <f t="shared" si="168"/>
        <v>9.8268525311812169</v>
      </c>
      <c r="N1805" s="4">
        <f t="shared" si="169"/>
        <v>8.3244251087632062</v>
      </c>
      <c r="O1805" s="5">
        <f t="shared" si="170"/>
        <v>-7.5305291723202106E-2</v>
      </c>
      <c r="P1805" s="5">
        <f t="shared" si="171"/>
        <v>0.18048422597212022</v>
      </c>
      <c r="Q1805" s="4">
        <f t="shared" si="172"/>
        <v>-1.3049351919784797</v>
      </c>
      <c r="R1805" s="4">
        <f t="shared" si="173"/>
        <v>0.46122729362781534</v>
      </c>
      <c r="S1805" s="4">
        <v>-1.93</v>
      </c>
      <c r="T1805" s="2">
        <v>1.77</v>
      </c>
      <c r="U1805" s="2">
        <v>157.22</v>
      </c>
      <c r="V1805" s="2">
        <v>103.9</v>
      </c>
      <c r="W1805" s="2">
        <v>-5.27</v>
      </c>
      <c r="X1805" s="2">
        <v>-5.52</v>
      </c>
      <c r="Y1805" s="2">
        <v>-0.73</v>
      </c>
      <c r="Z1805" s="2">
        <v>4.68</v>
      </c>
    </row>
    <row r="1806" spans="1:26" x14ac:dyDescent="0.25">
      <c r="A1806" s="1" t="s">
        <v>7421</v>
      </c>
      <c r="B1806" s="1" t="s">
        <v>7422</v>
      </c>
      <c r="C1806" s="1" t="s">
        <v>31</v>
      </c>
      <c r="D1806" s="1" t="s">
        <v>25</v>
      </c>
      <c r="E1806" s="1" t="s">
        <v>220</v>
      </c>
      <c r="F1806" s="1" t="s">
        <v>7423</v>
      </c>
      <c r="G1806" s="1" t="s">
        <v>12490</v>
      </c>
      <c r="H1806" s="1" t="s">
        <v>7424</v>
      </c>
      <c r="I1806" s="2">
        <v>30.26</v>
      </c>
      <c r="J1806" s="2">
        <v>0.48</v>
      </c>
      <c r="K1806" s="2">
        <v>0.46</v>
      </c>
      <c r="L1806" s="2">
        <v>0.65</v>
      </c>
      <c r="M1806" s="4">
        <f t="shared" si="168"/>
        <v>65.782608695652172</v>
      </c>
      <c r="N1806" s="4">
        <f t="shared" si="169"/>
        <v>46.553846153846152</v>
      </c>
      <c r="O1806" s="5">
        <f t="shared" si="170"/>
        <v>-4.166666666666663E-2</v>
      </c>
      <c r="P1806" s="5">
        <f t="shared" si="171"/>
        <v>0.41304347826086962</v>
      </c>
      <c r="Q1806" s="4">
        <f t="shared" si="172"/>
        <v>-15.787826086956537</v>
      </c>
      <c r="R1806" s="4">
        <f t="shared" si="173"/>
        <v>1.1270931174089067</v>
      </c>
      <c r="S1806" s="4">
        <v>2.34</v>
      </c>
      <c r="T1806" s="2">
        <v>0.47</v>
      </c>
      <c r="U1806" s="2">
        <v>33.57</v>
      </c>
      <c r="V1806" s="2">
        <v>14.83</v>
      </c>
      <c r="W1806" s="2">
        <v>-9.35</v>
      </c>
      <c r="X1806" s="2">
        <v>-6.46</v>
      </c>
      <c r="Y1806" s="2">
        <v>15.08</v>
      </c>
      <c r="Z1806" s="2">
        <v>22.41</v>
      </c>
    </row>
    <row r="1807" spans="1:26" x14ac:dyDescent="0.25">
      <c r="A1807" s="1" t="s">
        <v>7425</v>
      </c>
      <c r="B1807" s="1" t="s">
        <v>7426</v>
      </c>
      <c r="C1807" s="1" t="s">
        <v>16</v>
      </c>
      <c r="D1807" s="1" t="s">
        <v>140</v>
      </c>
      <c r="E1807" s="1" t="s">
        <v>284</v>
      </c>
      <c r="F1807" s="1" t="s">
        <v>7427</v>
      </c>
      <c r="G1807" s="1" t="s">
        <v>12480</v>
      </c>
      <c r="H1807" s="1" t="s">
        <v>7428</v>
      </c>
      <c r="I1807" s="2">
        <v>41.19</v>
      </c>
      <c r="J1807" s="2">
        <v>1.82</v>
      </c>
      <c r="K1807" s="2">
        <v>1.42</v>
      </c>
      <c r="L1807" s="2">
        <v>1.7</v>
      </c>
      <c r="M1807" s="4">
        <f t="shared" si="168"/>
        <v>29.007042253521128</v>
      </c>
      <c r="N1807" s="4">
        <f t="shared" si="169"/>
        <v>24.229411764705883</v>
      </c>
      <c r="O1807" s="5">
        <f t="shared" si="170"/>
        <v>-0.21978021978021989</v>
      </c>
      <c r="P1807" s="5">
        <f t="shared" si="171"/>
        <v>0.19718309859154926</v>
      </c>
      <c r="Q1807" s="4">
        <f t="shared" si="172"/>
        <v>-1.3198204225352106</v>
      </c>
      <c r="R1807" s="4">
        <f t="shared" si="173"/>
        <v>1.22877731092437</v>
      </c>
      <c r="S1807" s="4"/>
      <c r="T1807" s="2"/>
      <c r="U1807" s="2">
        <v>50.96</v>
      </c>
      <c r="V1807" s="2">
        <v>30.74</v>
      </c>
      <c r="W1807" s="2">
        <v>-3.96</v>
      </c>
      <c r="X1807" s="2">
        <v>-0.34</v>
      </c>
      <c r="Y1807" s="2">
        <v>-3.26</v>
      </c>
      <c r="Z1807" s="2">
        <v>-7.19</v>
      </c>
    </row>
    <row r="1808" spans="1:26" x14ac:dyDescent="0.25">
      <c r="A1808" s="1" t="s">
        <v>7429</v>
      </c>
      <c r="B1808" s="1" t="s">
        <v>7430</v>
      </c>
      <c r="C1808" s="1" t="s">
        <v>16</v>
      </c>
      <c r="D1808" s="1" t="s">
        <v>128</v>
      </c>
      <c r="E1808" s="1" t="s">
        <v>556</v>
      </c>
      <c r="F1808" s="1" t="s">
        <v>7431</v>
      </c>
      <c r="G1808" s="1" t="s">
        <v>12480</v>
      </c>
      <c r="H1808" s="1" t="s">
        <v>7432</v>
      </c>
      <c r="I1808" s="2">
        <v>15.28</v>
      </c>
      <c r="J1808" s="2"/>
      <c r="K1808" s="2">
        <v>1.31</v>
      </c>
      <c r="L1808" s="2">
        <v>1.45</v>
      </c>
      <c r="M1808" s="4">
        <f t="shared" si="168"/>
        <v>11.664122137404579</v>
      </c>
      <c r="N1808" s="4">
        <f t="shared" si="169"/>
        <v>10.537931034482758</v>
      </c>
      <c r="O1808" s="5" t="e">
        <f t="shared" si="170"/>
        <v>#DIV/0!</v>
      </c>
      <c r="P1808" s="5">
        <f t="shared" si="171"/>
        <v>0.10687022900763354</v>
      </c>
      <c r="Q1808" s="4" t="e">
        <f t="shared" si="172"/>
        <v>#DIV/0!</v>
      </c>
      <c r="R1808" s="4">
        <f t="shared" si="173"/>
        <v>0.98604926108374424</v>
      </c>
      <c r="S1808" s="4"/>
      <c r="T1808" s="2"/>
      <c r="U1808" s="2">
        <v>19.87</v>
      </c>
      <c r="V1808" s="2">
        <v>14.51</v>
      </c>
      <c r="W1808" s="2">
        <v>-1.04</v>
      </c>
      <c r="X1808" s="2">
        <v>-19.03</v>
      </c>
      <c r="Y1808" s="2">
        <v>-7.23</v>
      </c>
      <c r="Z1808" s="2">
        <v>-3.6</v>
      </c>
    </row>
    <row r="1809" spans="1:26" x14ac:dyDescent="0.25">
      <c r="A1809" s="1" t="s">
        <v>7433</v>
      </c>
      <c r="B1809" s="1" t="s">
        <v>7434</v>
      </c>
      <c r="C1809" s="1" t="s">
        <v>45</v>
      </c>
      <c r="D1809" s="1" t="s">
        <v>25</v>
      </c>
      <c r="E1809" s="1" t="s">
        <v>220</v>
      </c>
      <c r="F1809" s="1" t="s">
        <v>7435</v>
      </c>
      <c r="G1809" s="1" t="s">
        <v>12480</v>
      </c>
      <c r="H1809" s="1" t="s">
        <v>7436</v>
      </c>
      <c r="I1809" s="2">
        <v>149.88</v>
      </c>
      <c r="J1809" s="2">
        <v>9.27</v>
      </c>
      <c r="K1809" s="2">
        <v>9.26</v>
      </c>
      <c r="L1809" s="2">
        <v>10.19</v>
      </c>
      <c r="M1809" s="4">
        <f t="shared" si="168"/>
        <v>16.185745140388768</v>
      </c>
      <c r="N1809" s="4">
        <f t="shared" si="169"/>
        <v>14.708537782139352</v>
      </c>
      <c r="O1809" s="5">
        <f t="shared" si="170"/>
        <v>-1.0787486515642097E-3</v>
      </c>
      <c r="P1809" s="5">
        <f t="shared" si="171"/>
        <v>0.10043196544276456</v>
      </c>
      <c r="Q1809" s="4">
        <f t="shared" si="172"/>
        <v>-150.04185745140052</v>
      </c>
      <c r="R1809" s="4">
        <f t="shared" si="173"/>
        <v>1.4645275254044132</v>
      </c>
      <c r="S1809" s="4">
        <v>-17.39</v>
      </c>
      <c r="T1809" s="2">
        <v>1.37</v>
      </c>
      <c r="U1809" s="2">
        <v>168.86</v>
      </c>
      <c r="V1809" s="2">
        <v>111.68</v>
      </c>
      <c r="W1809" s="2">
        <v>-9.16</v>
      </c>
      <c r="X1809" s="2">
        <v>-6.93</v>
      </c>
      <c r="Y1809" s="2">
        <v>1.77</v>
      </c>
      <c r="Z1809" s="2">
        <v>0.81</v>
      </c>
    </row>
    <row r="1810" spans="1:26" x14ac:dyDescent="0.25">
      <c r="A1810" s="1" t="s">
        <v>7437</v>
      </c>
      <c r="B1810" s="1" t="s">
        <v>7438</v>
      </c>
      <c r="C1810" s="1" t="s">
        <v>31</v>
      </c>
      <c r="D1810" s="1" t="s">
        <v>32</v>
      </c>
      <c r="E1810" s="1" t="s">
        <v>1607</v>
      </c>
      <c r="F1810" s="1" t="s">
        <v>7439</v>
      </c>
      <c r="G1810" s="1" t="s">
        <v>12490</v>
      </c>
      <c r="H1810" s="1" t="s">
        <v>7440</v>
      </c>
      <c r="I1810" s="2">
        <v>68.31</v>
      </c>
      <c r="J1810" s="2">
        <v>2.04</v>
      </c>
      <c r="K1810" s="2">
        <v>2.2200000000000002</v>
      </c>
      <c r="L1810" s="2">
        <v>3.01</v>
      </c>
      <c r="M1810" s="4">
        <f t="shared" si="168"/>
        <v>30.77027027027027</v>
      </c>
      <c r="N1810" s="4">
        <f t="shared" si="169"/>
        <v>22.694352159468441</v>
      </c>
      <c r="O1810" s="5">
        <f t="shared" si="170"/>
        <v>8.8235294117647189E-2</v>
      </c>
      <c r="P1810" s="5">
        <f t="shared" si="171"/>
        <v>0.35585585585585555</v>
      </c>
      <c r="Q1810" s="4">
        <f t="shared" si="172"/>
        <v>3.487297297297292</v>
      </c>
      <c r="R1810" s="4">
        <f t="shared" si="173"/>
        <v>0.63774002270911367</v>
      </c>
      <c r="S1810" s="4">
        <v>-0.56000000000000005</v>
      </c>
      <c r="T1810" s="2">
        <v>0.52</v>
      </c>
      <c r="U1810" s="2">
        <v>77.430000000000007</v>
      </c>
      <c r="V1810" s="2">
        <v>32.57</v>
      </c>
      <c r="W1810" s="2">
        <v>-8.98</v>
      </c>
      <c r="X1810" s="2">
        <v>-8.9</v>
      </c>
      <c r="Y1810" s="2">
        <v>10.41</v>
      </c>
      <c r="Z1810" s="2">
        <v>17.78</v>
      </c>
    </row>
    <row r="1811" spans="1:26" x14ac:dyDescent="0.25">
      <c r="A1811" s="1" t="s">
        <v>7441</v>
      </c>
      <c r="B1811" s="1" t="s">
        <v>7442</v>
      </c>
      <c r="C1811" s="1" t="s">
        <v>16</v>
      </c>
      <c r="D1811" s="1" t="s">
        <v>140</v>
      </c>
      <c r="E1811" s="1" t="s">
        <v>284</v>
      </c>
      <c r="F1811" s="1" t="s">
        <v>7443</v>
      </c>
      <c r="G1811" s="1" t="s">
        <v>12480</v>
      </c>
      <c r="H1811" s="1" t="s">
        <v>7444</v>
      </c>
      <c r="I1811" s="2">
        <v>21.42</v>
      </c>
      <c r="J1811" s="2">
        <v>0.46</v>
      </c>
      <c r="K1811" s="2">
        <v>0.55000000000000004</v>
      </c>
      <c r="L1811" s="2">
        <v>0.66</v>
      </c>
      <c r="M1811" s="4">
        <f t="shared" si="168"/>
        <v>38.945454545454545</v>
      </c>
      <c r="N1811" s="4">
        <f t="shared" si="169"/>
        <v>32.454545454545453</v>
      </c>
      <c r="O1811" s="5">
        <f t="shared" si="170"/>
        <v>0.19565217391304346</v>
      </c>
      <c r="P1811" s="5">
        <f t="shared" si="171"/>
        <v>0.19999999999999996</v>
      </c>
      <c r="Q1811" s="4">
        <f t="shared" si="172"/>
        <v>1.9905454545454548</v>
      </c>
      <c r="R1811" s="4">
        <f t="shared" si="173"/>
        <v>1.622727272727273</v>
      </c>
      <c r="S1811" s="4">
        <v>7.5</v>
      </c>
      <c r="T1811" s="2">
        <v>0.99</v>
      </c>
      <c r="U1811" s="2">
        <v>29.75</v>
      </c>
      <c r="V1811" s="2">
        <v>12.7</v>
      </c>
      <c r="W1811" s="2">
        <v>-3.86</v>
      </c>
      <c r="X1811" s="2">
        <v>-11.08</v>
      </c>
      <c r="Y1811" s="2">
        <v>-11.92</v>
      </c>
      <c r="Z1811" s="2">
        <v>-8.5399999999999991</v>
      </c>
    </row>
    <row r="1812" spans="1:26" x14ac:dyDescent="0.25">
      <c r="A1812" s="1" t="s">
        <v>7445</v>
      </c>
      <c r="B1812" s="1" t="s">
        <v>7446</v>
      </c>
      <c r="C1812" s="1" t="s">
        <v>45</v>
      </c>
      <c r="D1812" s="1" t="s">
        <v>18</v>
      </c>
      <c r="E1812" s="1" t="s">
        <v>74</v>
      </c>
      <c r="F1812" s="1" t="s">
        <v>7447</v>
      </c>
      <c r="G1812" s="1" t="s">
        <v>12480</v>
      </c>
      <c r="H1812" s="1" t="s">
        <v>6430</v>
      </c>
      <c r="I1812" s="2">
        <v>88.78</v>
      </c>
      <c r="J1812" s="2">
        <v>-0.47</v>
      </c>
      <c r="K1812" s="2">
        <v>-1.43</v>
      </c>
      <c r="L1812" s="2">
        <v>0.32</v>
      </c>
      <c r="M1812" s="4">
        <f t="shared" si="168"/>
        <v>-62.083916083916087</v>
      </c>
      <c r="N1812" s="4">
        <f t="shared" si="169"/>
        <v>277.4375</v>
      </c>
      <c r="O1812" s="5">
        <f t="shared" si="170"/>
        <v>2.0425531914893615</v>
      </c>
      <c r="P1812" s="5">
        <f t="shared" si="171"/>
        <v>-1.2237762237762237</v>
      </c>
      <c r="Q1812" s="4">
        <f t="shared" si="172"/>
        <v>-0.30395250582750583</v>
      </c>
      <c r="R1812" s="4">
        <f t="shared" si="173"/>
        <v>-2.2670607142857144</v>
      </c>
      <c r="S1812" s="4">
        <v>54.74</v>
      </c>
      <c r="T1812" s="2">
        <v>0.52</v>
      </c>
      <c r="U1812" s="2">
        <v>108.62</v>
      </c>
      <c r="V1812" s="2">
        <v>38.39</v>
      </c>
      <c r="W1812" s="2">
        <v>-1.45</v>
      </c>
      <c r="X1812" s="2">
        <v>-11.7</v>
      </c>
      <c r="Y1812" s="2">
        <v>38.5</v>
      </c>
      <c r="Z1812" s="2">
        <v>12.39</v>
      </c>
    </row>
    <row r="1813" spans="1:26" x14ac:dyDescent="0.25">
      <c r="A1813" s="1" t="s">
        <v>7448</v>
      </c>
      <c r="B1813" s="1" t="s">
        <v>7449</v>
      </c>
      <c r="C1813" s="1" t="s">
        <v>31</v>
      </c>
      <c r="D1813" s="1" t="s">
        <v>38</v>
      </c>
      <c r="E1813" s="1" t="s">
        <v>1755</v>
      </c>
      <c r="F1813" s="1" t="s">
        <v>12737</v>
      </c>
      <c r="G1813" s="1" t="s">
        <v>12490</v>
      </c>
      <c r="H1813" s="1" t="s">
        <v>7450</v>
      </c>
      <c r="I1813" s="2">
        <v>31.16</v>
      </c>
      <c r="J1813" s="2">
        <v>0.71</v>
      </c>
      <c r="K1813" s="2">
        <v>1.18</v>
      </c>
      <c r="L1813" s="2"/>
      <c r="M1813" s="4">
        <f t="shared" si="168"/>
        <v>26.406779661016952</v>
      </c>
      <c r="N1813" s="4" t="e">
        <f t="shared" si="169"/>
        <v>#DIV/0!</v>
      </c>
      <c r="O1813" s="5">
        <f t="shared" si="170"/>
        <v>0.6619718309859155</v>
      </c>
      <c r="P1813" s="5">
        <f t="shared" si="171"/>
        <v>-1</v>
      </c>
      <c r="Q1813" s="4">
        <f t="shared" si="172"/>
        <v>0.39891092679408585</v>
      </c>
      <c r="R1813" s="4" t="e">
        <f t="shared" si="173"/>
        <v>#DIV/0!</v>
      </c>
      <c r="S1813" s="4">
        <v>-0.46</v>
      </c>
      <c r="T1813" s="2">
        <v>0.03</v>
      </c>
      <c r="U1813" s="2">
        <v>34.090000000000003</v>
      </c>
      <c r="V1813" s="2">
        <v>14.6</v>
      </c>
      <c r="W1813" s="2">
        <v>-5.38</v>
      </c>
      <c r="X1813" s="2">
        <v>5.0199999999999996</v>
      </c>
      <c r="Y1813" s="2">
        <v>22.87</v>
      </c>
      <c r="Z1813" s="2">
        <v>28.71</v>
      </c>
    </row>
    <row r="1814" spans="1:26" x14ac:dyDescent="0.25">
      <c r="A1814" s="1" t="s">
        <v>7451</v>
      </c>
      <c r="B1814" s="1" t="s">
        <v>7452</v>
      </c>
      <c r="C1814" s="1" t="s">
        <v>31</v>
      </c>
      <c r="D1814" s="1" t="s">
        <v>140</v>
      </c>
      <c r="E1814" s="1" t="s">
        <v>141</v>
      </c>
      <c r="F1814" s="1" t="s">
        <v>7453</v>
      </c>
      <c r="G1814" s="1" t="s">
        <v>12490</v>
      </c>
      <c r="H1814" s="1" t="s">
        <v>7454</v>
      </c>
      <c r="I1814" s="2">
        <v>9.2100000000000009</v>
      </c>
      <c r="J1814" s="2">
        <v>0.6</v>
      </c>
      <c r="K1814" s="2"/>
      <c r="L1814" s="2"/>
      <c r="M1814" s="4" t="e">
        <f t="shared" si="168"/>
        <v>#DIV/0!</v>
      </c>
      <c r="N1814" s="4" t="e">
        <f t="shared" si="169"/>
        <v>#DIV/0!</v>
      </c>
      <c r="O1814" s="5">
        <f t="shared" si="170"/>
        <v>-1</v>
      </c>
      <c r="P1814" s="5" t="e">
        <f t="shared" si="171"/>
        <v>#DIV/0!</v>
      </c>
      <c r="Q1814" s="4" t="e">
        <f t="shared" si="172"/>
        <v>#DIV/0!</v>
      </c>
      <c r="R1814" s="4" t="e">
        <f t="shared" si="173"/>
        <v>#DIV/0!</v>
      </c>
      <c r="S1814" s="4">
        <v>16.04</v>
      </c>
      <c r="T1814" s="2">
        <v>1.1200000000000001</v>
      </c>
      <c r="U1814" s="2">
        <v>10.119999999999999</v>
      </c>
      <c r="V1814" s="2">
        <v>5.65</v>
      </c>
      <c r="W1814" s="2">
        <v>-4.71</v>
      </c>
      <c r="X1814" s="2">
        <v>-2.54</v>
      </c>
      <c r="Y1814" s="2">
        <v>2.73</v>
      </c>
      <c r="Z1814" s="2">
        <v>1.54</v>
      </c>
    </row>
    <row r="1815" spans="1:26" x14ac:dyDescent="0.25">
      <c r="A1815" s="1" t="s">
        <v>7455</v>
      </c>
      <c r="B1815" s="1" t="s">
        <v>7456</v>
      </c>
      <c r="C1815" s="1" t="s">
        <v>31</v>
      </c>
      <c r="D1815" s="1" t="s">
        <v>2417</v>
      </c>
      <c r="E1815" s="1" t="s">
        <v>2418</v>
      </c>
      <c r="F1815" s="1" t="s">
        <v>7457</v>
      </c>
      <c r="G1815" s="1" t="s">
        <v>12490</v>
      </c>
      <c r="H1815" s="1" t="s">
        <v>7458</v>
      </c>
      <c r="I1815" s="2">
        <v>762.91</v>
      </c>
      <c r="J1815" s="2">
        <v>40.25</v>
      </c>
      <c r="K1815" s="2">
        <v>37.69</v>
      </c>
      <c r="L1815" s="2">
        <v>44.74</v>
      </c>
      <c r="M1815" s="4">
        <f t="shared" si="168"/>
        <v>20.241708676041391</v>
      </c>
      <c r="N1815" s="4">
        <f t="shared" si="169"/>
        <v>17.052078676799283</v>
      </c>
      <c r="O1815" s="5">
        <f t="shared" si="170"/>
        <v>-6.3602484472049747E-2</v>
      </c>
      <c r="P1815" s="5">
        <f t="shared" si="171"/>
        <v>0.18705226850623524</v>
      </c>
      <c r="Q1815" s="4">
        <f t="shared" si="172"/>
        <v>-3.1825342742604112</v>
      </c>
      <c r="R1815" s="4">
        <f t="shared" si="173"/>
        <v>0.9116210572036374</v>
      </c>
      <c r="S1815" s="4">
        <v>4.32</v>
      </c>
      <c r="T1815" s="2">
        <v>0.57999999999999996</v>
      </c>
      <c r="U1815" s="2">
        <v>762.91</v>
      </c>
      <c r="V1815" s="2">
        <v>341.25</v>
      </c>
      <c r="W1815" s="2">
        <v>1.04</v>
      </c>
      <c r="X1815" s="2">
        <v>9.6999999999999993</v>
      </c>
      <c r="Y1815" s="2">
        <v>28.78</v>
      </c>
      <c r="Z1815" s="2">
        <v>30.1</v>
      </c>
    </row>
    <row r="1816" spans="1:26" x14ac:dyDescent="0.25">
      <c r="A1816" s="1" t="s">
        <v>7460</v>
      </c>
      <c r="B1816" s="1" t="s">
        <v>7461</v>
      </c>
      <c r="C1816" s="1" t="s">
        <v>16</v>
      </c>
      <c r="D1816" s="1" t="s">
        <v>128</v>
      </c>
      <c r="E1816" s="1" t="s">
        <v>556</v>
      </c>
      <c r="F1816" s="1" t="s">
        <v>7462</v>
      </c>
      <c r="G1816" s="1" t="s">
        <v>12499</v>
      </c>
      <c r="H1816" s="1" t="s">
        <v>7463</v>
      </c>
      <c r="I1816" s="2">
        <v>64.180000000000007</v>
      </c>
      <c r="J1816" s="2" t="s">
        <v>12490</v>
      </c>
      <c r="K1816" s="2">
        <v>3.1</v>
      </c>
      <c r="L1816" s="2">
        <v>3.36</v>
      </c>
      <c r="M1816" s="4">
        <f t="shared" si="168"/>
        <v>20.703225806451613</v>
      </c>
      <c r="N1816" s="4">
        <f t="shared" si="169"/>
        <v>19.101190476190478</v>
      </c>
      <c r="O1816" s="5">
        <f t="shared" si="170"/>
        <v>3.3333333333333437E-2</v>
      </c>
      <c r="P1816" s="5">
        <f t="shared" si="171"/>
        <v>8.3870967741935365E-2</v>
      </c>
      <c r="Q1816" s="4">
        <f t="shared" si="172"/>
        <v>6.2109677419354643</v>
      </c>
      <c r="R1816" s="4">
        <f t="shared" si="173"/>
        <v>2.277449633699637</v>
      </c>
      <c r="S1816" s="4">
        <v>1.73</v>
      </c>
      <c r="T1816" s="2">
        <v>0.59</v>
      </c>
      <c r="U1816" s="2">
        <v>84.19</v>
      </c>
      <c r="V1816" s="2">
        <v>60.79</v>
      </c>
      <c r="W1816" s="2">
        <v>-8.18</v>
      </c>
      <c r="X1816" s="2">
        <v>-5.38</v>
      </c>
      <c r="Y1816" s="2">
        <v>-6.24</v>
      </c>
      <c r="Z1816" s="2">
        <v>-5.77</v>
      </c>
    </row>
    <row r="1817" spans="1:26" x14ac:dyDescent="0.25">
      <c r="A1817" s="1" t="s">
        <v>7460</v>
      </c>
      <c r="B1817" s="1" t="s">
        <v>7464</v>
      </c>
      <c r="C1817" s="1" t="s">
        <v>16</v>
      </c>
      <c r="D1817" s="1" t="s">
        <v>128</v>
      </c>
      <c r="E1817" s="1" t="s">
        <v>556</v>
      </c>
      <c r="F1817" s="1" t="s">
        <v>7465</v>
      </c>
      <c r="G1817" s="1" t="s">
        <v>12499</v>
      </c>
      <c r="H1817" s="1" t="s">
        <v>7463</v>
      </c>
      <c r="I1817" s="2">
        <v>64.239999999999995</v>
      </c>
      <c r="J1817" s="2" t="s">
        <v>12490</v>
      </c>
      <c r="K1817" s="2"/>
      <c r="L1817" s="2"/>
      <c r="M1817" s="4" t="e">
        <f t="shared" si="168"/>
        <v>#DIV/0!</v>
      </c>
      <c r="N1817" s="4" t="e">
        <f t="shared" si="169"/>
        <v>#DIV/0!</v>
      </c>
      <c r="O1817" s="5">
        <f t="shared" si="170"/>
        <v>-1</v>
      </c>
      <c r="P1817" s="5" t="e">
        <f t="shared" si="171"/>
        <v>#DIV/0!</v>
      </c>
      <c r="Q1817" s="4" t="e">
        <f t="shared" si="172"/>
        <v>#DIV/0!</v>
      </c>
      <c r="R1817" s="4" t="e">
        <f t="shared" si="173"/>
        <v>#DIV/0!</v>
      </c>
      <c r="S1817" s="4" t="s">
        <v>12857</v>
      </c>
      <c r="T1817" s="2">
        <v>0.46</v>
      </c>
      <c r="U1817" s="2">
        <v>84.5</v>
      </c>
      <c r="V1817" s="2">
        <v>60.44</v>
      </c>
      <c r="W1817" s="2">
        <v>-7.61</v>
      </c>
      <c r="X1817" s="2">
        <v>-5.19</v>
      </c>
      <c r="Y1817" s="2">
        <v>-5.83</v>
      </c>
      <c r="Z1817" s="2">
        <v>-5.54</v>
      </c>
    </row>
    <row r="1818" spans="1:26" x14ac:dyDescent="0.25">
      <c r="A1818" s="1" t="s">
        <v>7466</v>
      </c>
      <c r="B1818" s="1" t="s">
        <v>7467</v>
      </c>
      <c r="C1818" s="1" t="s">
        <v>31</v>
      </c>
      <c r="D1818" s="1" t="s">
        <v>18</v>
      </c>
      <c r="E1818" s="1" t="s">
        <v>780</v>
      </c>
      <c r="F1818" s="1" t="s">
        <v>7468</v>
      </c>
      <c r="G1818" s="1" t="s">
        <v>12480</v>
      </c>
      <c r="H1818" s="1" t="s">
        <v>7469</v>
      </c>
      <c r="I1818" s="2">
        <v>24.94</v>
      </c>
      <c r="J1818" s="2">
        <v>2.2599999999999998</v>
      </c>
      <c r="K1818" s="2">
        <v>1.86</v>
      </c>
      <c r="L1818" s="2">
        <v>2.0699999999999998</v>
      </c>
      <c r="M1818" s="4">
        <f t="shared" si="168"/>
        <v>13.408602150537634</v>
      </c>
      <c r="N1818" s="4">
        <f t="shared" si="169"/>
        <v>12.048309178743963</v>
      </c>
      <c r="O1818" s="5">
        <f t="shared" si="170"/>
        <v>-0.17699115044247771</v>
      </c>
      <c r="P1818" s="5">
        <f t="shared" si="171"/>
        <v>0.11290322580645151</v>
      </c>
      <c r="Q1818" s="4">
        <f t="shared" si="172"/>
        <v>-0.75758602150537713</v>
      </c>
      <c r="R1818" s="4">
        <f t="shared" si="173"/>
        <v>1.0671359558316091</v>
      </c>
      <c r="S1818" s="4">
        <v>5.76</v>
      </c>
      <c r="T1818" s="2">
        <v>0.96</v>
      </c>
      <c r="U1818" s="2">
        <v>30.91</v>
      </c>
      <c r="V1818" s="2">
        <v>24.36</v>
      </c>
      <c r="W1818" s="2">
        <v>-15.63</v>
      </c>
      <c r="X1818" s="2">
        <v>-15.54</v>
      </c>
      <c r="Y1818" s="2">
        <v>-10.45</v>
      </c>
      <c r="Z1818" s="2">
        <v>-13.04</v>
      </c>
    </row>
    <row r="1819" spans="1:26" x14ac:dyDescent="0.25">
      <c r="A1819" s="1" t="s">
        <v>7470</v>
      </c>
      <c r="B1819" s="1" t="s">
        <v>7471</v>
      </c>
      <c r="C1819" s="1" t="s">
        <v>16</v>
      </c>
      <c r="D1819" s="1" t="s">
        <v>38</v>
      </c>
      <c r="E1819" s="1" t="s">
        <v>254</v>
      </c>
      <c r="F1819" s="1" t="s">
        <v>7472</v>
      </c>
      <c r="G1819" s="1" t="s">
        <v>12480</v>
      </c>
      <c r="H1819" s="1" t="s">
        <v>12574</v>
      </c>
      <c r="I1819" s="2">
        <v>1961.7</v>
      </c>
      <c r="J1819" s="2">
        <v>96.76</v>
      </c>
      <c r="K1819" s="2">
        <v>114.94</v>
      </c>
      <c r="L1819" s="2">
        <v>122.92</v>
      </c>
      <c r="M1819" s="4">
        <f t="shared" si="168"/>
        <v>17.067165477640508</v>
      </c>
      <c r="N1819" s="4">
        <f t="shared" si="169"/>
        <v>15.959160429547673</v>
      </c>
      <c r="O1819" s="5">
        <f t="shared" si="170"/>
        <v>0.18788755684167002</v>
      </c>
      <c r="P1819" s="5">
        <f t="shared" si="171"/>
        <v>6.9427527405602874E-2</v>
      </c>
      <c r="Q1819" s="4">
        <f t="shared" si="172"/>
        <v>0.90837124951402448</v>
      </c>
      <c r="R1819" s="4">
        <f t="shared" si="173"/>
        <v>2.2986790723962542</v>
      </c>
      <c r="S1819" s="4">
        <v>-6.66</v>
      </c>
      <c r="T1819" s="2">
        <v>0.77</v>
      </c>
      <c r="U1819" s="2">
        <v>2191.9</v>
      </c>
      <c r="V1819" s="2">
        <v>1678.5</v>
      </c>
      <c r="W1819" s="2">
        <v>-5.72</v>
      </c>
      <c r="X1819" s="2">
        <v>-5.53</v>
      </c>
      <c r="Y1819" s="2">
        <v>-9.19</v>
      </c>
      <c r="Z1819" s="2">
        <v>-8.74</v>
      </c>
    </row>
    <row r="1820" spans="1:26" x14ac:dyDescent="0.25">
      <c r="A1820" s="1" t="s">
        <v>7473</v>
      </c>
      <c r="B1820" s="1" t="s">
        <v>7474</v>
      </c>
      <c r="C1820" s="1" t="s">
        <v>45</v>
      </c>
      <c r="D1820" s="1" t="s">
        <v>32</v>
      </c>
      <c r="E1820" s="1" t="s">
        <v>1607</v>
      </c>
      <c r="F1820" s="1" t="s">
        <v>7475</v>
      </c>
      <c r="G1820" s="1" t="s">
        <v>12480</v>
      </c>
      <c r="H1820" s="1" t="s">
        <v>7476</v>
      </c>
      <c r="I1820" s="2">
        <v>218.36</v>
      </c>
      <c r="J1820" s="2">
        <v>7.88</v>
      </c>
      <c r="K1820" s="2">
        <v>9.65</v>
      </c>
      <c r="L1820" s="2">
        <v>11.67</v>
      </c>
      <c r="M1820" s="4">
        <f t="shared" si="168"/>
        <v>22.627979274611398</v>
      </c>
      <c r="N1820" s="4">
        <f t="shared" si="169"/>
        <v>18.711225364181665</v>
      </c>
      <c r="O1820" s="5">
        <f t="shared" si="170"/>
        <v>0.22461928934010156</v>
      </c>
      <c r="P1820" s="5">
        <f t="shared" si="171"/>
        <v>0.20932642487046627</v>
      </c>
      <c r="Q1820" s="4">
        <f t="shared" si="172"/>
        <v>1.0073925236380665</v>
      </c>
      <c r="R1820" s="4">
        <f t="shared" si="173"/>
        <v>0.89387784536808468</v>
      </c>
      <c r="S1820" s="4">
        <v>9.6199999999999992</v>
      </c>
      <c r="T1820" s="2">
        <v>1.94</v>
      </c>
      <c r="U1820" s="2">
        <v>262.94</v>
      </c>
      <c r="V1820" s="2">
        <v>58.78</v>
      </c>
      <c r="W1820" s="2">
        <v>-10.6</v>
      </c>
      <c r="X1820" s="2">
        <v>-12.87</v>
      </c>
      <c r="Y1820" s="2">
        <v>37.07</v>
      </c>
      <c r="Z1820" s="2">
        <v>36.65</v>
      </c>
    </row>
    <row r="1821" spans="1:26" x14ac:dyDescent="0.25">
      <c r="A1821" s="1" t="s">
        <v>7477</v>
      </c>
      <c r="B1821" s="1" t="s">
        <v>7478</v>
      </c>
      <c r="C1821" s="1" t="s">
        <v>31</v>
      </c>
      <c r="D1821" s="1" t="s">
        <v>147</v>
      </c>
      <c r="E1821" s="1" t="s">
        <v>7480</v>
      </c>
      <c r="F1821" s="1" t="s">
        <v>7479</v>
      </c>
      <c r="G1821" s="1" t="s">
        <v>12490</v>
      </c>
      <c r="H1821" s="1" t="s">
        <v>7481</v>
      </c>
      <c r="I1821" s="2">
        <v>35.04</v>
      </c>
      <c r="J1821" s="2">
        <v>1.94</v>
      </c>
      <c r="K1821" s="2"/>
      <c r="L1821" s="2"/>
      <c r="M1821" s="4" t="e">
        <f t="shared" si="168"/>
        <v>#DIV/0!</v>
      </c>
      <c r="N1821" s="4" t="e">
        <f t="shared" si="169"/>
        <v>#DIV/0!</v>
      </c>
      <c r="O1821" s="5">
        <f t="shared" si="170"/>
        <v>-1</v>
      </c>
      <c r="P1821" s="5" t="e">
        <f t="shared" si="171"/>
        <v>#DIV/0!</v>
      </c>
      <c r="Q1821" s="4" t="e">
        <f t="shared" si="172"/>
        <v>#DIV/0!</v>
      </c>
      <c r="R1821" s="4" t="e">
        <f t="shared" si="173"/>
        <v>#DIV/0!</v>
      </c>
      <c r="S1821" s="4">
        <v>-3.7</v>
      </c>
      <c r="T1821" s="2">
        <v>0.53</v>
      </c>
      <c r="U1821" s="2">
        <v>40.25</v>
      </c>
      <c r="V1821" s="2">
        <v>25.71</v>
      </c>
      <c r="W1821" s="2">
        <v>-8.06</v>
      </c>
      <c r="X1821" s="2">
        <v>-10.06</v>
      </c>
      <c r="Y1821" s="2">
        <v>11.17</v>
      </c>
      <c r="Z1821" s="2">
        <v>15.45</v>
      </c>
    </row>
    <row r="1822" spans="1:26" x14ac:dyDescent="0.25">
      <c r="A1822" s="1" t="s">
        <v>7482</v>
      </c>
      <c r="B1822" s="1" t="s">
        <v>7483</v>
      </c>
      <c r="C1822" s="1" t="s">
        <v>45</v>
      </c>
      <c r="D1822" s="1" t="s">
        <v>38</v>
      </c>
      <c r="E1822" s="1" t="s">
        <v>1408</v>
      </c>
      <c r="F1822" s="1" t="s">
        <v>7484</v>
      </c>
      <c r="G1822" s="1" t="s">
        <v>12480</v>
      </c>
      <c r="H1822" s="1" t="s">
        <v>1263</v>
      </c>
      <c r="I1822" s="2">
        <v>185.12</v>
      </c>
      <c r="J1822" s="2">
        <v>7.39</v>
      </c>
      <c r="K1822" s="2">
        <v>8.14</v>
      </c>
      <c r="L1822" s="2">
        <v>8.94</v>
      </c>
      <c r="M1822" s="4">
        <f t="shared" si="168"/>
        <v>22.742014742014742</v>
      </c>
      <c r="N1822" s="4">
        <f t="shared" si="169"/>
        <v>20.706935123042506</v>
      </c>
      <c r="O1822" s="5">
        <f t="shared" si="170"/>
        <v>0.10148849797023018</v>
      </c>
      <c r="P1822" s="5">
        <f t="shared" si="171"/>
        <v>9.8280098280098205E-2</v>
      </c>
      <c r="Q1822" s="4">
        <f t="shared" si="172"/>
        <v>2.2408465192465159</v>
      </c>
      <c r="R1822" s="4">
        <f t="shared" si="173"/>
        <v>2.1069306487695765</v>
      </c>
      <c r="S1822" s="4">
        <v>3.57</v>
      </c>
      <c r="T1822" s="2">
        <v>0.93</v>
      </c>
      <c r="U1822" s="2">
        <v>231.09</v>
      </c>
      <c r="V1822" s="2">
        <v>158.85</v>
      </c>
      <c r="W1822" s="2">
        <v>-3.61</v>
      </c>
      <c r="X1822" s="2">
        <v>8.11</v>
      </c>
      <c r="Y1822" s="2">
        <v>3.3</v>
      </c>
      <c r="Z1822" s="2">
        <v>2.14</v>
      </c>
    </row>
    <row r="1823" spans="1:26" x14ac:dyDescent="0.25">
      <c r="A1823" s="1" t="s">
        <v>7485</v>
      </c>
      <c r="B1823" s="1" t="s">
        <v>7486</v>
      </c>
      <c r="C1823" s="1" t="s">
        <v>45</v>
      </c>
      <c r="D1823" s="1" t="s">
        <v>147</v>
      </c>
      <c r="E1823" s="1" t="s">
        <v>2000</v>
      </c>
      <c r="F1823" s="1" t="s">
        <v>7487</v>
      </c>
      <c r="G1823" s="1" t="s">
        <v>12480</v>
      </c>
      <c r="H1823" s="1" t="s">
        <v>7488</v>
      </c>
      <c r="I1823" s="2">
        <v>5.66</v>
      </c>
      <c r="J1823" s="2">
        <v>0.46</v>
      </c>
      <c r="K1823" s="2">
        <v>0.52</v>
      </c>
      <c r="L1823" s="2">
        <v>0.71</v>
      </c>
      <c r="M1823" s="4">
        <f t="shared" si="168"/>
        <v>10.884615384615385</v>
      </c>
      <c r="N1823" s="4">
        <f t="shared" si="169"/>
        <v>7.9718309859154939</v>
      </c>
      <c r="O1823" s="5">
        <f t="shared" si="170"/>
        <v>0.13043478260869557</v>
      </c>
      <c r="P1823" s="5">
        <f t="shared" si="171"/>
        <v>0.3653846153846152</v>
      </c>
      <c r="Q1823" s="4">
        <f t="shared" si="172"/>
        <v>0.8344871794871801</v>
      </c>
      <c r="R1823" s="4">
        <f t="shared" si="173"/>
        <v>0.21817642698295048</v>
      </c>
      <c r="S1823" s="4">
        <v>11.32</v>
      </c>
      <c r="T1823" s="2">
        <v>0.57999999999999996</v>
      </c>
      <c r="U1823" s="2">
        <v>10.130000000000001</v>
      </c>
      <c r="V1823" s="2">
        <v>4.6100000000000003</v>
      </c>
      <c r="W1823" s="2">
        <v>-7.21</v>
      </c>
      <c r="X1823" s="2">
        <v>-11.84</v>
      </c>
      <c r="Y1823" s="2">
        <v>-29.07</v>
      </c>
      <c r="Z1823" s="2">
        <v>-25.23</v>
      </c>
    </row>
    <row r="1824" spans="1:26" x14ac:dyDescent="0.25">
      <c r="A1824" s="1" t="s">
        <v>7489</v>
      </c>
      <c r="B1824" s="1" t="s">
        <v>7490</v>
      </c>
      <c r="C1824" s="1" t="s">
        <v>16</v>
      </c>
      <c r="D1824" s="1" t="s">
        <v>25</v>
      </c>
      <c r="E1824" s="1" t="s">
        <v>2467</v>
      </c>
      <c r="F1824" s="1" t="s">
        <v>7491</v>
      </c>
      <c r="G1824" s="1" t="s">
        <v>12480</v>
      </c>
      <c r="H1824" s="1" t="s">
        <v>7492</v>
      </c>
      <c r="I1824" s="2">
        <v>114.47</v>
      </c>
      <c r="J1824" s="2">
        <v>6.59</v>
      </c>
      <c r="K1824" s="2"/>
      <c r="L1824" s="2"/>
      <c r="M1824" s="4" t="e">
        <f t="shared" si="168"/>
        <v>#DIV/0!</v>
      </c>
      <c r="N1824" s="4" t="e">
        <f t="shared" si="169"/>
        <v>#DIV/0!</v>
      </c>
      <c r="O1824" s="5">
        <f t="shared" si="170"/>
        <v>-1</v>
      </c>
      <c r="P1824" s="5" t="e">
        <f t="shared" si="171"/>
        <v>#DIV/0!</v>
      </c>
      <c r="Q1824" s="4" t="e">
        <f t="shared" si="172"/>
        <v>#DIV/0!</v>
      </c>
      <c r="R1824" s="4" t="e">
        <f t="shared" si="173"/>
        <v>#DIV/0!</v>
      </c>
      <c r="S1824" s="4">
        <v>10.87</v>
      </c>
      <c r="T1824" s="2">
        <v>1.04</v>
      </c>
      <c r="U1824" s="2">
        <v>139.18</v>
      </c>
      <c r="V1824" s="2">
        <v>68.45</v>
      </c>
      <c r="W1824" s="2">
        <v>-3.86</v>
      </c>
      <c r="X1824" s="2">
        <v>-1.23</v>
      </c>
      <c r="Y1824" s="2">
        <v>-0.13</v>
      </c>
      <c r="Z1824" s="2">
        <v>-0.28999999999999998</v>
      </c>
    </row>
    <row r="1825" spans="1:26" x14ac:dyDescent="0.25">
      <c r="A1825" s="1" t="s">
        <v>7493</v>
      </c>
      <c r="B1825" s="1" t="s">
        <v>7494</v>
      </c>
      <c r="C1825" s="1" t="s">
        <v>45</v>
      </c>
      <c r="D1825" s="1" t="s">
        <v>147</v>
      </c>
      <c r="E1825" s="1" t="s">
        <v>6851</v>
      </c>
      <c r="F1825" s="1" t="s">
        <v>7495</v>
      </c>
      <c r="G1825" s="1" t="s">
        <v>12508</v>
      </c>
      <c r="H1825" s="1" t="s">
        <v>7496</v>
      </c>
      <c r="I1825" s="2">
        <v>19.11</v>
      </c>
      <c r="J1825" s="2">
        <v>1.95</v>
      </c>
      <c r="K1825" s="2">
        <v>1.97</v>
      </c>
      <c r="L1825" s="2">
        <v>2.3199999999999998</v>
      </c>
      <c r="M1825" s="4">
        <f t="shared" si="168"/>
        <v>9.7005076142131976</v>
      </c>
      <c r="N1825" s="4">
        <f t="shared" si="169"/>
        <v>8.237068965517242</v>
      </c>
      <c r="O1825" s="5">
        <f t="shared" si="170"/>
        <v>1.025641025641022E-2</v>
      </c>
      <c r="P1825" s="5">
        <f t="shared" si="171"/>
        <v>0.17766497461928932</v>
      </c>
      <c r="Q1825" s="4">
        <f t="shared" si="172"/>
        <v>9.4579949238579015</v>
      </c>
      <c r="R1825" s="4">
        <f t="shared" si="173"/>
        <v>0.46362931034482768</v>
      </c>
      <c r="S1825" s="4">
        <v>1.1399999999999999</v>
      </c>
      <c r="T1825" s="2">
        <v>1.31</v>
      </c>
      <c r="U1825" s="2">
        <v>22.86</v>
      </c>
      <c r="V1825" s="2">
        <v>13.88</v>
      </c>
      <c r="W1825" s="2">
        <v>-4.6900000000000004</v>
      </c>
      <c r="X1825" s="2">
        <v>-13.41</v>
      </c>
      <c r="Y1825" s="2">
        <v>14.84</v>
      </c>
      <c r="Z1825" s="2">
        <v>4.54</v>
      </c>
    </row>
    <row r="1826" spans="1:26" x14ac:dyDescent="0.25">
      <c r="A1826" s="1" t="s">
        <v>7497</v>
      </c>
      <c r="B1826" s="1" t="s">
        <v>7498</v>
      </c>
      <c r="C1826" s="1" t="s">
        <v>16</v>
      </c>
      <c r="D1826" s="1" t="s">
        <v>61</v>
      </c>
      <c r="E1826" s="1" t="s">
        <v>2186</v>
      </c>
      <c r="F1826" s="1" t="s">
        <v>7499</v>
      </c>
      <c r="G1826" s="1" t="s">
        <v>12480</v>
      </c>
      <c r="H1826" s="1" t="s">
        <v>7500</v>
      </c>
      <c r="I1826" s="2">
        <v>612.52</v>
      </c>
      <c r="J1826" s="2">
        <v>16.34</v>
      </c>
      <c r="K1826" s="2">
        <v>20.440000000000001</v>
      </c>
      <c r="L1826" s="2">
        <v>23.45</v>
      </c>
      <c r="M1826" s="4">
        <f t="shared" si="168"/>
        <v>29.966731898238745</v>
      </c>
      <c r="N1826" s="4">
        <f t="shared" si="169"/>
        <v>26.120255863539445</v>
      </c>
      <c r="O1826" s="5">
        <f t="shared" si="170"/>
        <v>0.25091799265605874</v>
      </c>
      <c r="P1826" s="5">
        <f t="shared" si="171"/>
        <v>0.14726027397260255</v>
      </c>
      <c r="Q1826" s="4">
        <f t="shared" si="172"/>
        <v>1.1942839005298076</v>
      </c>
      <c r="R1826" s="4">
        <f t="shared" si="173"/>
        <v>1.7737476074775647</v>
      </c>
      <c r="S1826" s="4">
        <v>-5.91</v>
      </c>
      <c r="T1826" s="2">
        <v>1.1299999999999999</v>
      </c>
      <c r="U1826" s="2">
        <v>708.11</v>
      </c>
      <c r="V1826" s="2">
        <v>452.51</v>
      </c>
      <c r="W1826" s="2">
        <v>-7.94</v>
      </c>
      <c r="X1826" s="2">
        <v>-11.96</v>
      </c>
      <c r="Y1826" s="2">
        <v>-3.37</v>
      </c>
      <c r="Z1826" s="2">
        <v>-1.63</v>
      </c>
    </row>
    <row r="1827" spans="1:26" x14ac:dyDescent="0.25">
      <c r="A1827" s="1" t="s">
        <v>7501</v>
      </c>
      <c r="B1827" s="1" t="s">
        <v>7502</v>
      </c>
      <c r="C1827" s="1" t="s">
        <v>45</v>
      </c>
      <c r="D1827" s="1" t="s">
        <v>18</v>
      </c>
      <c r="E1827" s="1" t="s">
        <v>74</v>
      </c>
      <c r="F1827" s="1" t="s">
        <v>7503</v>
      </c>
      <c r="G1827" s="1" t="s">
        <v>12480</v>
      </c>
      <c r="H1827" s="1" t="s">
        <v>7504</v>
      </c>
      <c r="I1827" s="2">
        <v>18.32</v>
      </c>
      <c r="J1827" s="2">
        <v>-3.53</v>
      </c>
      <c r="K1827" s="2">
        <v>-3.56</v>
      </c>
      <c r="L1827" s="2">
        <v>-3.62</v>
      </c>
      <c r="M1827" s="4">
        <f t="shared" si="168"/>
        <v>-5.1460674157303368</v>
      </c>
      <c r="N1827" s="4">
        <f t="shared" si="169"/>
        <v>-5.0607734806629834</v>
      </c>
      <c r="O1827" s="5">
        <f t="shared" si="170"/>
        <v>8.4985835694051381E-3</v>
      </c>
      <c r="P1827" s="5">
        <f t="shared" si="171"/>
        <v>1.6853932584269593E-2</v>
      </c>
      <c r="Q1827" s="4">
        <f t="shared" si="172"/>
        <v>-6.0552059925093351</v>
      </c>
      <c r="R1827" s="4">
        <f t="shared" si="173"/>
        <v>-3.0027255985267161</v>
      </c>
      <c r="S1827" s="4"/>
      <c r="T1827" s="2">
        <v>1.2</v>
      </c>
      <c r="U1827" s="2">
        <v>61.99</v>
      </c>
      <c r="V1827" s="2">
        <v>6.24</v>
      </c>
      <c r="W1827" s="2">
        <v>3.62</v>
      </c>
      <c r="X1827" s="2">
        <v>16.32</v>
      </c>
      <c r="Y1827" s="2">
        <v>27.93</v>
      </c>
      <c r="Z1827" s="2" t="s">
        <v>12516</v>
      </c>
    </row>
    <row r="1828" spans="1:26" x14ac:dyDescent="0.25">
      <c r="A1828" s="1" t="s">
        <v>7505</v>
      </c>
      <c r="B1828" s="1" t="s">
        <v>7506</v>
      </c>
      <c r="C1828" s="1" t="s">
        <v>45</v>
      </c>
      <c r="D1828" s="1" t="s">
        <v>18</v>
      </c>
      <c r="E1828" s="1" t="s">
        <v>74</v>
      </c>
      <c r="F1828" s="1" t="s">
        <v>7507</v>
      </c>
      <c r="G1828" s="1" t="s">
        <v>12480</v>
      </c>
      <c r="H1828" s="1" t="s">
        <v>2445</v>
      </c>
      <c r="I1828" s="2">
        <v>27.24</v>
      </c>
      <c r="J1828" s="2">
        <v>-3.66</v>
      </c>
      <c r="K1828" s="2">
        <v>-2.5</v>
      </c>
      <c r="L1828" s="2">
        <v>-2.88</v>
      </c>
      <c r="M1828" s="4">
        <f t="shared" si="168"/>
        <v>-10.895999999999999</v>
      </c>
      <c r="N1828" s="4">
        <f t="shared" si="169"/>
        <v>-9.4583333333333339</v>
      </c>
      <c r="O1828" s="5">
        <f t="shared" si="170"/>
        <v>-0.31693989071038253</v>
      </c>
      <c r="P1828" s="5">
        <f t="shared" si="171"/>
        <v>0.15199999999999991</v>
      </c>
      <c r="Q1828" s="4">
        <f t="shared" si="172"/>
        <v>0.34378758620689648</v>
      </c>
      <c r="R1828" s="4">
        <f t="shared" si="173"/>
        <v>-0.62225877192982493</v>
      </c>
      <c r="S1828" s="4"/>
      <c r="T1828" s="2">
        <v>0.56999999999999995</v>
      </c>
      <c r="U1828" s="2">
        <v>47.33</v>
      </c>
      <c r="V1828" s="2">
        <v>10.52</v>
      </c>
      <c r="W1828" s="2">
        <v>-7.09</v>
      </c>
      <c r="X1828" s="2">
        <v>-14.18</v>
      </c>
      <c r="Y1828" s="2">
        <v>-24.38</v>
      </c>
      <c r="Z1828" s="2">
        <v>-24.94</v>
      </c>
    </row>
    <row r="1829" spans="1:26" x14ac:dyDescent="0.25">
      <c r="A1829" s="1" t="s">
        <v>7508</v>
      </c>
      <c r="B1829" s="1" t="s">
        <v>7509</v>
      </c>
      <c r="C1829" s="1" t="s">
        <v>16</v>
      </c>
      <c r="D1829" s="1" t="s">
        <v>38</v>
      </c>
      <c r="E1829" s="1" t="s">
        <v>1755</v>
      </c>
      <c r="F1829" s="1" t="s">
        <v>7510</v>
      </c>
      <c r="G1829" s="1" t="s">
        <v>12480</v>
      </c>
      <c r="H1829" s="1" t="s">
        <v>7511</v>
      </c>
      <c r="I1829" s="2">
        <v>26.78</v>
      </c>
      <c r="J1829" s="2">
        <v>0.03</v>
      </c>
      <c r="K1829" s="2"/>
      <c r="L1829" s="2"/>
      <c r="M1829" s="4" t="e">
        <f t="shared" si="168"/>
        <v>#DIV/0!</v>
      </c>
      <c r="N1829" s="4" t="e">
        <f t="shared" si="169"/>
        <v>#DIV/0!</v>
      </c>
      <c r="O1829" s="5">
        <f t="shared" si="170"/>
        <v>-1</v>
      </c>
      <c r="P1829" s="5" t="e">
        <f t="shared" si="171"/>
        <v>#DIV/0!</v>
      </c>
      <c r="Q1829" s="4" t="e">
        <f t="shared" si="172"/>
        <v>#DIV/0!</v>
      </c>
      <c r="R1829" s="4" t="e">
        <f t="shared" si="173"/>
        <v>#DIV/0!</v>
      </c>
      <c r="S1829" s="4">
        <v>8.49</v>
      </c>
      <c r="T1829" s="2">
        <v>1.32</v>
      </c>
      <c r="U1829" s="2">
        <v>38.75</v>
      </c>
      <c r="V1829" s="2">
        <v>25.01</v>
      </c>
      <c r="W1829" s="2">
        <v>1.1299999999999999</v>
      </c>
      <c r="X1829" s="2">
        <v>0.68</v>
      </c>
      <c r="Y1829" s="2">
        <v>-3.6</v>
      </c>
      <c r="Z1829" s="2">
        <v>-1.87</v>
      </c>
    </row>
    <row r="1830" spans="1:26" x14ac:dyDescent="0.25">
      <c r="A1830" s="1" t="s">
        <v>7512</v>
      </c>
      <c r="B1830" s="1" t="s">
        <v>7513</v>
      </c>
      <c r="C1830" s="1" t="s">
        <v>16</v>
      </c>
      <c r="D1830" s="1" t="s">
        <v>2417</v>
      </c>
      <c r="E1830" s="1" t="s">
        <v>2418</v>
      </c>
      <c r="F1830" s="1" t="s">
        <v>7514</v>
      </c>
      <c r="G1830" s="1" t="s">
        <v>12480</v>
      </c>
      <c r="H1830" s="1" t="s">
        <v>7515</v>
      </c>
      <c r="I1830" s="2">
        <v>151.63</v>
      </c>
      <c r="J1830" s="2">
        <v>8.06</v>
      </c>
      <c r="K1830" s="2">
        <v>8.59</v>
      </c>
      <c r="L1830" s="2">
        <v>9.26</v>
      </c>
      <c r="M1830" s="4">
        <f t="shared" si="168"/>
        <v>17.651920838183933</v>
      </c>
      <c r="N1830" s="4">
        <f t="shared" si="169"/>
        <v>16.374730021598271</v>
      </c>
      <c r="O1830" s="5">
        <f t="shared" si="170"/>
        <v>6.575682382133996E-2</v>
      </c>
      <c r="P1830" s="5">
        <f t="shared" si="171"/>
        <v>7.7997671711292238E-2</v>
      </c>
      <c r="Q1830" s="4">
        <f t="shared" si="172"/>
        <v>2.6844241878445749</v>
      </c>
      <c r="R1830" s="4">
        <f t="shared" si="173"/>
        <v>2.0993870281422251</v>
      </c>
      <c r="S1830" s="4">
        <v>1.52</v>
      </c>
      <c r="T1830" s="2">
        <v>1.08</v>
      </c>
      <c r="U1830" s="2">
        <v>174.61</v>
      </c>
      <c r="V1830" s="2">
        <v>126.09</v>
      </c>
      <c r="W1830" s="2">
        <v>-6.09</v>
      </c>
      <c r="X1830" s="2">
        <v>-10.95</v>
      </c>
      <c r="Y1830" s="2">
        <v>-8.49</v>
      </c>
      <c r="Z1830" s="2">
        <v>-5.29</v>
      </c>
    </row>
    <row r="1831" spans="1:26" x14ac:dyDescent="0.25">
      <c r="A1831" s="1" t="s">
        <v>7516</v>
      </c>
      <c r="B1831" s="1" t="s">
        <v>7517</v>
      </c>
      <c r="C1831" s="1" t="s">
        <v>16</v>
      </c>
      <c r="D1831" s="1" t="s">
        <v>140</v>
      </c>
      <c r="E1831" s="1" t="s">
        <v>4994</v>
      </c>
      <c r="F1831" s="1" t="s">
        <v>7518</v>
      </c>
      <c r="G1831" s="1" t="s">
        <v>12485</v>
      </c>
      <c r="H1831" s="1" t="s">
        <v>7519</v>
      </c>
      <c r="I1831" s="2">
        <v>77.28</v>
      </c>
      <c r="J1831" s="2">
        <v>7.36</v>
      </c>
      <c r="K1831" s="2">
        <v>8.4600000000000009</v>
      </c>
      <c r="L1831" s="2">
        <v>8.8800000000000008</v>
      </c>
      <c r="M1831" s="4">
        <f t="shared" si="168"/>
        <v>9.1347517730496453</v>
      </c>
      <c r="N1831" s="4">
        <f t="shared" si="169"/>
        <v>8.7027027027027017</v>
      </c>
      <c r="O1831" s="5">
        <f t="shared" si="170"/>
        <v>0.1494565217391306</v>
      </c>
      <c r="P1831" s="5">
        <f t="shared" si="171"/>
        <v>4.9645390070921946E-2</v>
      </c>
      <c r="Q1831" s="4">
        <f t="shared" si="172"/>
        <v>0.61119793681495738</v>
      </c>
      <c r="R1831" s="4">
        <f t="shared" si="173"/>
        <v>1.7529729729729742</v>
      </c>
      <c r="S1831" s="4">
        <v>2.36</v>
      </c>
      <c r="T1831" s="2">
        <v>0.59</v>
      </c>
      <c r="U1831" s="2">
        <v>98.93</v>
      </c>
      <c r="V1831" s="2">
        <v>65.540000000000006</v>
      </c>
      <c r="W1831" s="2">
        <v>4.62</v>
      </c>
      <c r="X1831" s="2">
        <v>2.94</v>
      </c>
      <c r="Y1831" s="2">
        <v>-10.66</v>
      </c>
      <c r="Z1831" s="2">
        <v>-10.47</v>
      </c>
    </row>
    <row r="1832" spans="1:26" x14ac:dyDescent="0.25">
      <c r="A1832" s="1" t="s">
        <v>7520</v>
      </c>
      <c r="B1832" s="1" t="s">
        <v>7521</v>
      </c>
      <c r="C1832" s="1" t="s">
        <v>45</v>
      </c>
      <c r="D1832" s="1" t="s">
        <v>18</v>
      </c>
      <c r="E1832" s="1" t="s">
        <v>610</v>
      </c>
      <c r="F1832" s="1" t="s">
        <v>7522</v>
      </c>
      <c r="G1832" s="1" t="s">
        <v>12480</v>
      </c>
      <c r="H1832" s="1" t="s">
        <v>7523</v>
      </c>
      <c r="I1832" s="2">
        <v>71.88</v>
      </c>
      <c r="J1832" s="2">
        <v>3.83</v>
      </c>
      <c r="K1832" s="2">
        <v>4.05</v>
      </c>
      <c r="L1832" s="2">
        <v>4.38</v>
      </c>
      <c r="M1832" s="4">
        <f t="shared" si="168"/>
        <v>17.748148148148147</v>
      </c>
      <c r="N1832" s="4">
        <f t="shared" si="169"/>
        <v>16.410958904109588</v>
      </c>
      <c r="O1832" s="5">
        <f t="shared" si="170"/>
        <v>5.7441253263707415E-2</v>
      </c>
      <c r="P1832" s="5">
        <f t="shared" si="171"/>
        <v>8.1481481481481488E-2</v>
      </c>
      <c r="Q1832" s="4">
        <f t="shared" si="172"/>
        <v>3.089791245791254</v>
      </c>
      <c r="R1832" s="4">
        <f t="shared" si="173"/>
        <v>2.014072229140722</v>
      </c>
      <c r="S1832" s="4">
        <v>11.75</v>
      </c>
      <c r="T1832" s="2">
        <v>0.62</v>
      </c>
      <c r="U1832" s="2">
        <v>107.04</v>
      </c>
      <c r="V1832" s="2">
        <v>71.88</v>
      </c>
      <c r="W1832" s="2">
        <v>-6.04</v>
      </c>
      <c r="X1832" s="2">
        <v>-11.07</v>
      </c>
      <c r="Y1832" s="2">
        <v>-16.82</v>
      </c>
      <c r="Z1832" s="2">
        <v>-18.45</v>
      </c>
    </row>
    <row r="1833" spans="1:26" x14ac:dyDescent="0.25">
      <c r="A1833" s="1" t="s">
        <v>7524</v>
      </c>
      <c r="B1833" s="1" t="s">
        <v>7525</v>
      </c>
      <c r="C1833" s="1" t="s">
        <v>45</v>
      </c>
      <c r="D1833" s="1" t="s">
        <v>32</v>
      </c>
      <c r="E1833" s="1" t="s">
        <v>4957</v>
      </c>
      <c r="F1833" s="1" t="s">
        <v>7526</v>
      </c>
      <c r="G1833" s="1" t="s">
        <v>12490</v>
      </c>
      <c r="H1833" s="1" t="s">
        <v>7527</v>
      </c>
      <c r="I1833" s="2">
        <v>50.31</v>
      </c>
      <c r="J1833" s="2">
        <v>1.56</v>
      </c>
      <c r="K1833" s="2">
        <v>1.51</v>
      </c>
      <c r="L1833" s="2">
        <v>1.8</v>
      </c>
      <c r="M1833" s="4">
        <f t="shared" si="168"/>
        <v>33.317880794701985</v>
      </c>
      <c r="N1833" s="4">
        <f t="shared" si="169"/>
        <v>27.95</v>
      </c>
      <c r="O1833" s="5">
        <f t="shared" si="170"/>
        <v>-3.2051282051282048E-2</v>
      </c>
      <c r="P1833" s="5">
        <f t="shared" si="171"/>
        <v>0.19205298013245042</v>
      </c>
      <c r="Q1833" s="4">
        <f t="shared" si="172"/>
        <v>-10.395178807947021</v>
      </c>
      <c r="R1833" s="4">
        <f t="shared" si="173"/>
        <v>1.455327586206896</v>
      </c>
      <c r="S1833" s="4">
        <v>25.02</v>
      </c>
      <c r="T1833" s="2">
        <v>0.64</v>
      </c>
      <c r="U1833" s="2">
        <v>113.21</v>
      </c>
      <c r="V1833" s="2">
        <v>49.05</v>
      </c>
      <c r="W1833" s="2">
        <v>-10.06</v>
      </c>
      <c r="X1833" s="2" t="s">
        <v>12635</v>
      </c>
      <c r="Y1833" s="2">
        <v>-40.53</v>
      </c>
      <c r="Z1833" s="2">
        <v>-38.74</v>
      </c>
    </row>
    <row r="1834" spans="1:26" x14ac:dyDescent="0.25">
      <c r="A1834" s="1" t="s">
        <v>7528</v>
      </c>
      <c r="B1834" s="1" t="s">
        <v>7529</v>
      </c>
      <c r="C1834" s="1" t="s">
        <v>45</v>
      </c>
      <c r="D1834" s="1" t="s">
        <v>32</v>
      </c>
      <c r="E1834" s="1" t="s">
        <v>311</v>
      </c>
      <c r="F1834" s="1" t="s">
        <v>7530</v>
      </c>
      <c r="G1834" s="1" t="s">
        <v>12480</v>
      </c>
      <c r="H1834" s="1" t="s">
        <v>7531</v>
      </c>
      <c r="I1834" s="2">
        <v>81.06</v>
      </c>
      <c r="J1834" s="2">
        <v>4.4000000000000004</v>
      </c>
      <c r="K1834" s="2">
        <v>4.26</v>
      </c>
      <c r="L1834" s="2">
        <v>5.18</v>
      </c>
      <c r="M1834" s="4">
        <f t="shared" si="168"/>
        <v>19.028169014084508</v>
      </c>
      <c r="N1834" s="4">
        <f t="shared" si="169"/>
        <v>15.648648648648649</v>
      </c>
      <c r="O1834" s="5">
        <f t="shared" si="170"/>
        <v>-3.1818181818181968E-2</v>
      </c>
      <c r="P1834" s="5">
        <f t="shared" si="171"/>
        <v>0.215962441314554</v>
      </c>
      <c r="Q1834" s="4">
        <f t="shared" si="172"/>
        <v>-5.9802816901408171</v>
      </c>
      <c r="R1834" s="4">
        <f t="shared" si="173"/>
        <v>0.72460047003525263</v>
      </c>
      <c r="S1834" s="4">
        <v>26.75</v>
      </c>
      <c r="T1834" s="2">
        <v>1.31</v>
      </c>
      <c r="U1834" s="2">
        <v>314.48</v>
      </c>
      <c r="V1834" s="2">
        <v>70.13</v>
      </c>
      <c r="W1834" s="2">
        <v>14.2</v>
      </c>
      <c r="X1834" s="2">
        <v>4.42</v>
      </c>
      <c r="Y1834" s="2">
        <v>-46.34</v>
      </c>
      <c r="Z1834" s="2">
        <v>-45.07</v>
      </c>
    </row>
    <row r="1835" spans="1:26" x14ac:dyDescent="0.25">
      <c r="A1835" s="1" t="s">
        <v>7532</v>
      </c>
      <c r="B1835" s="1" t="s">
        <v>7533</v>
      </c>
      <c r="C1835" s="1" t="s">
        <v>16</v>
      </c>
      <c r="D1835" s="1" t="s">
        <v>94</v>
      </c>
      <c r="E1835" s="1" t="s">
        <v>894</v>
      </c>
      <c r="F1835" s="1" t="s">
        <v>7534</v>
      </c>
      <c r="G1835" s="1" t="s">
        <v>12480</v>
      </c>
      <c r="H1835" s="1" t="s">
        <v>7535</v>
      </c>
      <c r="I1835" s="2">
        <v>13.26</v>
      </c>
      <c r="J1835" s="2">
        <v>2.27</v>
      </c>
      <c r="K1835" s="2">
        <v>1.04</v>
      </c>
      <c r="L1835" s="2">
        <v>1.06</v>
      </c>
      <c r="M1835" s="4">
        <f t="shared" si="168"/>
        <v>12.75</v>
      </c>
      <c r="N1835" s="4">
        <f t="shared" si="169"/>
        <v>12.509433962264151</v>
      </c>
      <c r="O1835" s="5">
        <f t="shared" si="170"/>
        <v>-0.54185022026431717</v>
      </c>
      <c r="P1835" s="5">
        <f t="shared" si="171"/>
        <v>1.9230769230769162E-2</v>
      </c>
      <c r="Q1835" s="4">
        <f t="shared" si="172"/>
        <v>-0.2353048780487805</v>
      </c>
      <c r="R1835" s="4">
        <f t="shared" si="173"/>
        <v>6.5049056603773812</v>
      </c>
      <c r="S1835" s="4">
        <v>27.2</v>
      </c>
      <c r="T1835" s="2">
        <v>-0.24</v>
      </c>
      <c r="U1835" s="2">
        <v>15.77</v>
      </c>
      <c r="V1835" s="2">
        <v>10.8</v>
      </c>
      <c r="W1835" s="2">
        <v>2.39</v>
      </c>
      <c r="X1835" s="2">
        <v>5.07</v>
      </c>
      <c r="Y1835" s="2">
        <v>13.24</v>
      </c>
      <c r="Z1835" s="2">
        <v>20.11</v>
      </c>
    </row>
    <row r="1836" spans="1:26" x14ac:dyDescent="0.25">
      <c r="A1836" s="1" t="s">
        <v>7536</v>
      </c>
      <c r="B1836" s="1" t="s">
        <v>7537</v>
      </c>
      <c r="C1836" s="1" t="s">
        <v>16</v>
      </c>
      <c r="D1836" s="1" t="s">
        <v>67</v>
      </c>
      <c r="E1836" s="1" t="s">
        <v>381</v>
      </c>
      <c r="F1836" s="1" t="s">
        <v>7538</v>
      </c>
      <c r="G1836" s="1" t="s">
        <v>12480</v>
      </c>
      <c r="H1836" s="1" t="s">
        <v>7539</v>
      </c>
      <c r="I1836" s="2">
        <v>16.98</v>
      </c>
      <c r="J1836" s="2">
        <v>1.1499999999999999</v>
      </c>
      <c r="K1836" s="2">
        <v>1.57</v>
      </c>
      <c r="L1836" s="2">
        <v>1.93</v>
      </c>
      <c r="M1836" s="4">
        <f t="shared" si="168"/>
        <v>10.815286624203821</v>
      </c>
      <c r="N1836" s="4">
        <f t="shared" si="169"/>
        <v>8.7979274611398974</v>
      </c>
      <c r="O1836" s="5">
        <f t="shared" si="170"/>
        <v>0.36521739130434794</v>
      </c>
      <c r="P1836" s="5">
        <f t="shared" si="171"/>
        <v>0.22929936305732479</v>
      </c>
      <c r="Q1836" s="4">
        <f t="shared" si="172"/>
        <v>0.29613284804367596</v>
      </c>
      <c r="R1836" s="4">
        <f t="shared" si="173"/>
        <v>0.38368739205526786</v>
      </c>
      <c r="S1836" s="4">
        <v>47.15</v>
      </c>
      <c r="T1836" s="2">
        <v>0.16</v>
      </c>
      <c r="U1836" s="2">
        <v>26.63</v>
      </c>
      <c r="V1836" s="2">
        <v>14.31</v>
      </c>
      <c r="W1836" s="2">
        <v>-2.36</v>
      </c>
      <c r="X1836" s="2">
        <v>-11.05</v>
      </c>
      <c r="Y1836" s="2">
        <v>-15.52</v>
      </c>
      <c r="Z1836" s="2">
        <v>-9.44</v>
      </c>
    </row>
    <row r="1837" spans="1:26" x14ac:dyDescent="0.25">
      <c r="A1837" s="1" t="s">
        <v>7540</v>
      </c>
      <c r="B1837" s="1" t="s">
        <v>7541</v>
      </c>
      <c r="C1837" s="1" t="s">
        <v>45</v>
      </c>
      <c r="D1837" s="1" t="s">
        <v>128</v>
      </c>
      <c r="E1837" s="1" t="s">
        <v>2351</v>
      </c>
      <c r="F1837" s="1" t="s">
        <v>7542</v>
      </c>
      <c r="G1837" s="1" t="s">
        <v>12480</v>
      </c>
      <c r="H1837" s="1" t="s">
        <v>7543</v>
      </c>
      <c r="I1837" s="2">
        <v>75.724999999999994</v>
      </c>
      <c r="J1837" s="2">
        <v>2.06</v>
      </c>
      <c r="K1837" s="2">
        <v>2.2999999999999998</v>
      </c>
      <c r="L1837" s="2">
        <v>2.6</v>
      </c>
      <c r="M1837" s="4">
        <f t="shared" si="168"/>
        <v>32.923913043478258</v>
      </c>
      <c r="N1837" s="4">
        <f t="shared" si="169"/>
        <v>29.124999999999996</v>
      </c>
      <c r="O1837" s="5">
        <f t="shared" si="170"/>
        <v>0.11650485436893199</v>
      </c>
      <c r="P1837" s="5">
        <f t="shared" si="171"/>
        <v>0.13043478260869579</v>
      </c>
      <c r="Q1837" s="4">
        <f t="shared" si="172"/>
        <v>2.8259692028985519</v>
      </c>
      <c r="R1837" s="4">
        <f t="shared" si="173"/>
        <v>2.232916666666664</v>
      </c>
      <c r="S1837" s="4">
        <v>10.7</v>
      </c>
      <c r="T1837" s="2">
        <v>0.44</v>
      </c>
      <c r="U1837" s="2">
        <v>86.66</v>
      </c>
      <c r="V1837" s="2">
        <v>54.34</v>
      </c>
      <c r="W1837" s="2">
        <v>-6.58</v>
      </c>
      <c r="X1837" s="2">
        <v>-6.4</v>
      </c>
      <c r="Y1837" s="2">
        <v>1.17</v>
      </c>
      <c r="Z1837" s="2">
        <v>-1.23</v>
      </c>
    </row>
    <row r="1838" spans="1:26" x14ac:dyDescent="0.25">
      <c r="A1838" s="1" t="s">
        <v>7544</v>
      </c>
      <c r="B1838" s="1" t="s">
        <v>7545</v>
      </c>
      <c r="C1838" s="1" t="s">
        <v>16</v>
      </c>
      <c r="D1838" s="1" t="s">
        <v>128</v>
      </c>
      <c r="E1838" s="1" t="s">
        <v>2055</v>
      </c>
      <c r="F1838" s="1" t="s">
        <v>7546</v>
      </c>
      <c r="G1838" s="1" t="s">
        <v>12480</v>
      </c>
      <c r="H1838" s="1" t="s">
        <v>7547</v>
      </c>
      <c r="I1838" s="2">
        <v>67.040000000000006</v>
      </c>
      <c r="J1838" s="2">
        <v>5.42</v>
      </c>
      <c r="K1838" s="2">
        <v>5.61</v>
      </c>
      <c r="L1838" s="2">
        <v>5.78</v>
      </c>
      <c r="M1838" s="4">
        <f t="shared" si="168"/>
        <v>11.950089126559716</v>
      </c>
      <c r="N1838" s="4">
        <f t="shared" si="169"/>
        <v>11.598615916955017</v>
      </c>
      <c r="O1838" s="5">
        <f t="shared" si="170"/>
        <v>3.5055350553505615E-2</v>
      </c>
      <c r="P1838" s="5">
        <f t="shared" si="171"/>
        <v>3.0303030303030276E-2</v>
      </c>
      <c r="Q1838" s="4">
        <f t="shared" si="172"/>
        <v>3.4089201613659741</v>
      </c>
      <c r="R1838" s="4">
        <f t="shared" si="173"/>
        <v>3.8275432525951589</v>
      </c>
      <c r="S1838" s="4">
        <v>-3.08</v>
      </c>
      <c r="T1838" s="2">
        <v>0.45</v>
      </c>
      <c r="U1838" s="2">
        <v>69.7</v>
      </c>
      <c r="V1838" s="2">
        <v>54.72</v>
      </c>
      <c r="W1838" s="2">
        <v>-2.4</v>
      </c>
      <c r="X1838" s="2">
        <v>4.0999999999999996</v>
      </c>
      <c r="Y1838" s="2">
        <v>13.45</v>
      </c>
      <c r="Z1838" s="2">
        <v>16.27</v>
      </c>
    </row>
    <row r="1839" spans="1:26" x14ac:dyDescent="0.25">
      <c r="A1839" s="1" t="s">
        <v>7548</v>
      </c>
      <c r="B1839" s="1" t="s">
        <v>7549</v>
      </c>
      <c r="C1839" s="1" t="s">
        <v>16</v>
      </c>
      <c r="D1839" s="1" t="s">
        <v>305</v>
      </c>
      <c r="E1839" s="1" t="s">
        <v>306</v>
      </c>
      <c r="F1839" s="1" t="s">
        <v>7550</v>
      </c>
      <c r="G1839" s="1" t="s">
        <v>12490</v>
      </c>
      <c r="H1839" s="1" t="s">
        <v>5613</v>
      </c>
      <c r="I1839" s="2">
        <v>201.07</v>
      </c>
      <c r="J1839" s="2">
        <v>4.05</v>
      </c>
      <c r="K1839" s="2">
        <v>4.82</v>
      </c>
      <c r="L1839" s="2">
        <v>7.22</v>
      </c>
      <c r="M1839" s="4">
        <f t="shared" si="168"/>
        <v>41.715767634854771</v>
      </c>
      <c r="N1839" s="4">
        <f t="shared" si="169"/>
        <v>27.849030470914126</v>
      </c>
      <c r="O1839" s="5">
        <f t="shared" si="170"/>
        <v>0.19012345679012355</v>
      </c>
      <c r="P1839" s="5">
        <f t="shared" si="171"/>
        <v>0.49792531120331929</v>
      </c>
      <c r="Q1839" s="4">
        <f t="shared" si="172"/>
        <v>2.1941410249501523</v>
      </c>
      <c r="R1839" s="4">
        <f t="shared" si="173"/>
        <v>0.55930136195752556</v>
      </c>
      <c r="S1839" s="4">
        <v>7.3</v>
      </c>
      <c r="T1839" s="2">
        <v>1.67</v>
      </c>
      <c r="U1839" s="2">
        <v>238.5</v>
      </c>
      <c r="V1839" s="2">
        <v>69.3</v>
      </c>
      <c r="W1839" s="2">
        <v>-15.69</v>
      </c>
      <c r="X1839" s="2">
        <v>-8.24</v>
      </c>
      <c r="Y1839" s="2">
        <v>41.33</v>
      </c>
      <c r="Z1839" s="2">
        <v>50.6</v>
      </c>
    </row>
    <row r="1840" spans="1:26" x14ac:dyDescent="0.25">
      <c r="A1840" s="1" t="s">
        <v>7551</v>
      </c>
      <c r="B1840" s="1" t="s">
        <v>7552</v>
      </c>
      <c r="C1840" s="1" t="s">
        <v>16</v>
      </c>
      <c r="D1840" s="1" t="s">
        <v>204</v>
      </c>
      <c r="E1840" s="1" t="s">
        <v>534</v>
      </c>
      <c r="F1840" s="1" t="s">
        <v>7553</v>
      </c>
      <c r="G1840" s="1" t="s">
        <v>12485</v>
      </c>
      <c r="H1840" s="1" t="s">
        <v>2507</v>
      </c>
      <c r="I1840" s="2">
        <v>316.08</v>
      </c>
      <c r="J1840" s="2">
        <v>8.69</v>
      </c>
      <c r="K1840" s="2">
        <v>10.15</v>
      </c>
      <c r="L1840" s="2">
        <v>11.3</v>
      </c>
      <c r="M1840" s="4">
        <f t="shared" si="168"/>
        <v>31.140886699507387</v>
      </c>
      <c r="N1840" s="4">
        <f t="shared" si="169"/>
        <v>27.971681415929201</v>
      </c>
      <c r="O1840" s="5">
        <f t="shared" si="170"/>
        <v>0.16800920598388958</v>
      </c>
      <c r="P1840" s="5">
        <f t="shared" si="171"/>
        <v>0.11330049261083741</v>
      </c>
      <c r="Q1840" s="4">
        <f t="shared" si="172"/>
        <v>1.8535226398542408</v>
      </c>
      <c r="R1840" s="4">
        <f t="shared" si="173"/>
        <v>2.4688049249711432</v>
      </c>
      <c r="S1840" s="4">
        <v>6.97</v>
      </c>
      <c r="T1840" s="2">
        <v>0.94</v>
      </c>
      <c r="U1840" s="2">
        <v>349.6</v>
      </c>
      <c r="V1840" s="2">
        <v>150.9</v>
      </c>
      <c r="W1840" s="2">
        <v>-8.4499999999999993</v>
      </c>
      <c r="X1840" s="2">
        <v>-2.77</v>
      </c>
      <c r="Y1840" s="2">
        <v>28.3</v>
      </c>
      <c r="Z1840" s="2">
        <v>29.78</v>
      </c>
    </row>
    <row r="1841" spans="1:26" x14ac:dyDescent="0.25">
      <c r="A1841" s="1" t="s">
        <v>7551</v>
      </c>
      <c r="B1841" s="1" t="s">
        <v>7554</v>
      </c>
      <c r="C1841" s="1" t="s">
        <v>16</v>
      </c>
      <c r="D1841" s="1" t="s">
        <v>204</v>
      </c>
      <c r="E1841" s="1" t="s">
        <v>534</v>
      </c>
      <c r="F1841" s="1" t="s">
        <v>7555</v>
      </c>
      <c r="G1841" s="1" t="s">
        <v>12485</v>
      </c>
      <c r="H1841" s="1" t="s">
        <v>2507</v>
      </c>
      <c r="I1841" s="2">
        <v>343.39</v>
      </c>
      <c r="J1841" s="2">
        <v>8.69</v>
      </c>
      <c r="K1841" s="2"/>
      <c r="L1841" s="2"/>
      <c r="M1841" s="4" t="e">
        <f t="shared" si="168"/>
        <v>#DIV/0!</v>
      </c>
      <c r="N1841" s="4" t="e">
        <f t="shared" si="169"/>
        <v>#DIV/0!</v>
      </c>
      <c r="O1841" s="5">
        <f t="shared" si="170"/>
        <v>-1</v>
      </c>
      <c r="P1841" s="5" t="e">
        <f t="shared" si="171"/>
        <v>#DIV/0!</v>
      </c>
      <c r="Q1841" s="4" t="e">
        <f t="shared" si="172"/>
        <v>#DIV/0!</v>
      </c>
      <c r="R1841" s="4" t="e">
        <f t="shared" si="173"/>
        <v>#DIV/0!</v>
      </c>
      <c r="S1841" s="4">
        <v>6.97</v>
      </c>
      <c r="T1841" s="2">
        <v>0.66</v>
      </c>
      <c r="U1841" s="2">
        <v>344.41</v>
      </c>
      <c r="V1841" s="2">
        <v>153.27000000000001</v>
      </c>
      <c r="W1841" s="2">
        <v>-0.3</v>
      </c>
      <c r="X1841" s="2">
        <v>5.54</v>
      </c>
      <c r="Y1841" s="2">
        <v>37.26</v>
      </c>
      <c r="Z1841" s="2">
        <v>38.299999999999997</v>
      </c>
    </row>
    <row r="1842" spans="1:26" x14ac:dyDescent="0.25">
      <c r="A1842" s="1" t="s">
        <v>7556</v>
      </c>
      <c r="B1842" s="1" t="s">
        <v>7557</v>
      </c>
      <c r="C1842" s="1" t="s">
        <v>16</v>
      </c>
      <c r="D1842" s="1" t="s">
        <v>18</v>
      </c>
      <c r="E1842" s="1" t="s">
        <v>2606</v>
      </c>
      <c r="F1842" s="1" t="s">
        <v>7558</v>
      </c>
      <c r="G1842" s="1" t="s">
        <v>12480</v>
      </c>
      <c r="H1842" s="1" t="s">
        <v>5039</v>
      </c>
      <c r="I1842" s="2">
        <v>146.03</v>
      </c>
      <c r="J1842" s="2">
        <v>11.03</v>
      </c>
      <c r="K1842" s="2">
        <v>7.01</v>
      </c>
      <c r="L1842" s="2">
        <v>10.47</v>
      </c>
      <c r="M1842" s="4">
        <f t="shared" si="168"/>
        <v>20.83166904422254</v>
      </c>
      <c r="N1842" s="4">
        <f t="shared" si="169"/>
        <v>13.947468958930276</v>
      </c>
      <c r="O1842" s="5">
        <f t="shared" si="170"/>
        <v>-0.36446056210335442</v>
      </c>
      <c r="P1842" s="5">
        <f t="shared" si="171"/>
        <v>0.49358059914408003</v>
      </c>
      <c r="Q1842" s="4">
        <f t="shared" si="172"/>
        <v>-0.57157539690988723</v>
      </c>
      <c r="R1842" s="4">
        <f t="shared" si="173"/>
        <v>0.28257733353208442</v>
      </c>
      <c r="S1842" s="4">
        <v>11.75</v>
      </c>
      <c r="T1842" s="2">
        <v>0.52</v>
      </c>
      <c r="U1842" s="2">
        <v>353.24</v>
      </c>
      <c r="V1842" s="2">
        <v>122.65</v>
      </c>
      <c r="W1842" s="2">
        <v>-4.1900000000000004</v>
      </c>
      <c r="X1842" s="2">
        <v>14.51</v>
      </c>
      <c r="Y1842" s="2">
        <v>-12.29</v>
      </c>
      <c r="Z1842" s="2">
        <v>-15.85</v>
      </c>
    </row>
    <row r="1843" spans="1:26" x14ac:dyDescent="0.25">
      <c r="A1843" s="1" t="s">
        <v>7559</v>
      </c>
      <c r="B1843" s="1" t="s">
        <v>7560</v>
      </c>
      <c r="C1843" s="1" t="s">
        <v>31</v>
      </c>
      <c r="D1843" s="1" t="s">
        <v>88</v>
      </c>
      <c r="E1843" s="1" t="s">
        <v>6156</v>
      </c>
      <c r="F1843" s="1" t="s">
        <v>7561</v>
      </c>
      <c r="G1843" s="1" t="s">
        <v>12480</v>
      </c>
      <c r="H1843" s="1" t="s">
        <v>4056</v>
      </c>
      <c r="I1843" s="2">
        <v>22.51</v>
      </c>
      <c r="J1843" s="2">
        <v>1.0900000000000001</v>
      </c>
      <c r="K1843" s="2" t="s">
        <v>12493</v>
      </c>
      <c r="L1843" s="2">
        <v>1.82</v>
      </c>
      <c r="M1843" s="4">
        <f t="shared" si="168"/>
        <v>22.51</v>
      </c>
      <c r="N1843" s="4">
        <f t="shared" si="169"/>
        <v>12.368131868131869</v>
      </c>
      <c r="O1843" s="5">
        <f t="shared" si="170"/>
        <v>-8.2568807339449601E-2</v>
      </c>
      <c r="P1843" s="5">
        <f t="shared" si="171"/>
        <v>0.82000000000000006</v>
      </c>
      <c r="Q1843" s="4">
        <f t="shared" si="172"/>
        <v>-2.7262111111111094</v>
      </c>
      <c r="R1843" s="4">
        <f t="shared" si="173"/>
        <v>0.15083087644063253</v>
      </c>
      <c r="S1843" s="4" t="s">
        <v>12497</v>
      </c>
      <c r="T1843" s="2">
        <v>0.83</v>
      </c>
      <c r="U1843" s="2">
        <v>33.869999999999997</v>
      </c>
      <c r="V1843" s="2">
        <v>21.9</v>
      </c>
      <c r="W1843" s="2">
        <v>-2.5499999999999998</v>
      </c>
      <c r="X1843" s="2">
        <v>-10.75</v>
      </c>
      <c r="Y1843" s="2">
        <v>-4.74</v>
      </c>
      <c r="Z1843" s="2">
        <v>-8.8800000000000008</v>
      </c>
    </row>
    <row r="1844" spans="1:26" x14ac:dyDescent="0.25">
      <c r="A1844" s="1" t="s">
        <v>7562</v>
      </c>
      <c r="B1844" s="1" t="s">
        <v>7563</v>
      </c>
      <c r="C1844" s="1" t="s">
        <v>31</v>
      </c>
      <c r="D1844" s="1" t="s">
        <v>67</v>
      </c>
      <c r="E1844" s="1" t="s">
        <v>833</v>
      </c>
      <c r="F1844" s="1" t="s">
        <v>7564</v>
      </c>
      <c r="G1844" s="1" t="s">
        <v>12480</v>
      </c>
      <c r="H1844" s="1" t="s">
        <v>7565</v>
      </c>
      <c r="I1844" s="2">
        <v>13.069900000000001</v>
      </c>
      <c r="J1844" s="2">
        <v>0.44</v>
      </c>
      <c r="K1844" s="2">
        <v>0.49</v>
      </c>
      <c r="L1844" s="2">
        <v>0.56000000000000005</v>
      </c>
      <c r="M1844" s="4">
        <f t="shared" si="168"/>
        <v>26.673265306122449</v>
      </c>
      <c r="N1844" s="4">
        <f t="shared" si="169"/>
        <v>23.339107142857141</v>
      </c>
      <c r="O1844" s="5">
        <f t="shared" si="170"/>
        <v>0.11363636363636354</v>
      </c>
      <c r="P1844" s="5">
        <f t="shared" si="171"/>
        <v>0.14285714285714302</v>
      </c>
      <c r="Q1844" s="4">
        <f t="shared" si="172"/>
        <v>2.3472473469387776</v>
      </c>
      <c r="R1844" s="4">
        <f t="shared" si="173"/>
        <v>1.6337374999999981</v>
      </c>
      <c r="S1844" s="4">
        <v>17.2</v>
      </c>
      <c r="T1844" s="2" t="s">
        <v>12493</v>
      </c>
      <c r="U1844" s="2">
        <v>21.28</v>
      </c>
      <c r="V1844" s="2">
        <v>12.01</v>
      </c>
      <c r="W1844" s="2">
        <v>0.85</v>
      </c>
      <c r="X1844" s="2">
        <v>-5.0199999999999996</v>
      </c>
      <c r="Y1844" s="2">
        <v>-14.63</v>
      </c>
      <c r="Z1844" s="2">
        <v>-17.75</v>
      </c>
    </row>
    <row r="1845" spans="1:26" x14ac:dyDescent="0.25">
      <c r="A1845" s="1" t="s">
        <v>7566</v>
      </c>
      <c r="B1845" s="1" t="s">
        <v>7567</v>
      </c>
      <c r="C1845" s="1" t="s">
        <v>45</v>
      </c>
      <c r="D1845" s="1" t="s">
        <v>140</v>
      </c>
      <c r="E1845" s="1" t="s">
        <v>4364</v>
      </c>
      <c r="F1845" s="1" t="s">
        <v>7568</v>
      </c>
      <c r="G1845" s="1" t="s">
        <v>12480</v>
      </c>
      <c r="H1845" s="1" t="s">
        <v>5116</v>
      </c>
      <c r="I1845" s="2">
        <v>191.02</v>
      </c>
      <c r="J1845" s="2">
        <v>9.86</v>
      </c>
      <c r="K1845" s="2"/>
      <c r="L1845" s="2"/>
      <c r="M1845" s="4" t="e">
        <f t="shared" si="168"/>
        <v>#DIV/0!</v>
      </c>
      <c r="N1845" s="4" t="e">
        <f t="shared" si="169"/>
        <v>#DIV/0!</v>
      </c>
      <c r="O1845" s="5">
        <f t="shared" si="170"/>
        <v>-1</v>
      </c>
      <c r="P1845" s="5" t="e">
        <f t="shared" si="171"/>
        <v>#DIV/0!</v>
      </c>
      <c r="Q1845" s="4" t="e">
        <f t="shared" si="172"/>
        <v>#DIV/0!</v>
      </c>
      <c r="R1845" s="4" t="e">
        <f t="shared" si="173"/>
        <v>#DIV/0!</v>
      </c>
      <c r="S1845" s="4">
        <v>7.49</v>
      </c>
      <c r="T1845" s="2">
        <v>1.1000000000000001</v>
      </c>
      <c r="U1845" s="2">
        <v>313.93</v>
      </c>
      <c r="V1845" s="2">
        <v>154.01</v>
      </c>
      <c r="W1845" s="2">
        <v>4.78</v>
      </c>
      <c r="X1845" s="2">
        <v>16.690000000000001</v>
      </c>
      <c r="Y1845" s="2">
        <v>-9.34</v>
      </c>
      <c r="Z1845" s="2">
        <v>-12.1</v>
      </c>
    </row>
    <row r="1846" spans="1:26" x14ac:dyDescent="0.25">
      <c r="A1846" s="1" t="s">
        <v>7569</v>
      </c>
      <c r="B1846" s="1" t="s">
        <v>7570</v>
      </c>
      <c r="C1846" s="1" t="s">
        <v>16</v>
      </c>
      <c r="D1846" s="1" t="s">
        <v>88</v>
      </c>
      <c r="E1846" s="1" t="s">
        <v>2299</v>
      </c>
      <c r="F1846" s="1" t="s">
        <v>7571</v>
      </c>
      <c r="G1846" s="1" t="s">
        <v>12480</v>
      </c>
      <c r="H1846" s="1" t="s">
        <v>7572</v>
      </c>
      <c r="I1846" s="2">
        <v>26.92</v>
      </c>
      <c r="J1846" s="2">
        <v>2.27</v>
      </c>
      <c r="K1846" s="2">
        <v>1.71</v>
      </c>
      <c r="L1846" s="2">
        <v>2.29</v>
      </c>
      <c r="M1846" s="4">
        <f t="shared" si="168"/>
        <v>15.742690058479534</v>
      </c>
      <c r="N1846" s="4">
        <f t="shared" si="169"/>
        <v>11.755458515283843</v>
      </c>
      <c r="O1846" s="5">
        <f t="shared" si="170"/>
        <v>-0.24669603524229078</v>
      </c>
      <c r="P1846" s="5">
        <f t="shared" si="171"/>
        <v>0.33918128654970769</v>
      </c>
      <c r="Q1846" s="4">
        <f t="shared" si="172"/>
        <v>-0.63814118629908101</v>
      </c>
      <c r="R1846" s="4">
        <f t="shared" si="173"/>
        <v>0.34658334588164424</v>
      </c>
      <c r="S1846" s="4">
        <v>8.36</v>
      </c>
      <c r="T1846" s="2">
        <v>0.95</v>
      </c>
      <c r="U1846" s="2">
        <v>37.81</v>
      </c>
      <c r="V1846" s="2">
        <v>22.76</v>
      </c>
      <c r="W1846" s="2">
        <v>-2.14</v>
      </c>
      <c r="X1846" s="2">
        <v>-8.93</v>
      </c>
      <c r="Y1846" s="2">
        <v>8.2899999999999991</v>
      </c>
      <c r="Z1846" s="2">
        <v>11.75</v>
      </c>
    </row>
    <row r="1847" spans="1:26" x14ac:dyDescent="0.25">
      <c r="A1847" s="1" t="s">
        <v>7573</v>
      </c>
      <c r="B1847" s="1" t="s">
        <v>7574</v>
      </c>
      <c r="C1847" s="1" t="s">
        <v>16</v>
      </c>
      <c r="D1847" s="1" t="s">
        <v>88</v>
      </c>
      <c r="E1847" s="1" t="s">
        <v>658</v>
      </c>
      <c r="F1847" s="1" t="s">
        <v>12738</v>
      </c>
      <c r="G1847" s="1" t="s">
        <v>12480</v>
      </c>
      <c r="H1847" s="1" t="s">
        <v>7575</v>
      </c>
      <c r="I1847" s="2">
        <v>60.3</v>
      </c>
      <c r="J1847" s="2">
        <v>-0.24</v>
      </c>
      <c r="K1847" s="2">
        <v>0.38</v>
      </c>
      <c r="L1847" s="2">
        <v>1.1100000000000001</v>
      </c>
      <c r="M1847" s="4">
        <f t="shared" si="168"/>
        <v>158.68421052631578</v>
      </c>
      <c r="N1847" s="4">
        <f t="shared" si="169"/>
        <v>54.324324324324316</v>
      </c>
      <c r="O1847" s="5">
        <f t="shared" si="170"/>
        <v>-2.5833333333333335</v>
      </c>
      <c r="P1847" s="5">
        <f t="shared" si="171"/>
        <v>1.9210526315789478</v>
      </c>
      <c r="Q1847" s="4">
        <f t="shared" si="172"/>
        <v>-0.61426146010186744</v>
      </c>
      <c r="R1847" s="4">
        <f t="shared" si="173"/>
        <v>0.28278415401703066</v>
      </c>
      <c r="S1847" s="4">
        <v>10.1</v>
      </c>
      <c r="T1847" s="2">
        <v>1.55</v>
      </c>
      <c r="U1847" s="2">
        <v>98.65</v>
      </c>
      <c r="V1847" s="2">
        <v>18.77</v>
      </c>
      <c r="W1847" s="2">
        <v>-5.38</v>
      </c>
      <c r="X1847" s="2">
        <v>-3.98</v>
      </c>
      <c r="Y1847" s="2">
        <v>13.22</v>
      </c>
      <c r="Z1847" s="2">
        <v>19.36</v>
      </c>
    </row>
    <row r="1848" spans="1:26" x14ac:dyDescent="0.25">
      <c r="A1848" s="1" t="s">
        <v>7576</v>
      </c>
      <c r="B1848" s="1" t="s">
        <v>7577</v>
      </c>
      <c r="C1848" s="1" t="s">
        <v>16</v>
      </c>
      <c r="D1848" s="1" t="s">
        <v>94</v>
      </c>
      <c r="E1848" s="1" t="s">
        <v>3284</v>
      </c>
      <c r="F1848" s="1" t="s">
        <v>7578</v>
      </c>
      <c r="G1848" s="1" t="s">
        <v>12480</v>
      </c>
      <c r="H1848" s="1" t="s">
        <v>7579</v>
      </c>
      <c r="I1848" s="2">
        <v>215.7</v>
      </c>
      <c r="J1848" s="2">
        <v>10.7</v>
      </c>
      <c r="K1848" s="2">
        <v>13.96</v>
      </c>
      <c r="L1848" s="2">
        <v>14.16</v>
      </c>
      <c r="M1848" s="4">
        <f t="shared" si="168"/>
        <v>15.451289398280801</v>
      </c>
      <c r="N1848" s="4">
        <f t="shared" si="169"/>
        <v>15.233050847457626</v>
      </c>
      <c r="O1848" s="5">
        <f t="shared" si="170"/>
        <v>0.30467289719626178</v>
      </c>
      <c r="P1848" s="5">
        <f t="shared" si="171"/>
        <v>1.4326647564469885E-2</v>
      </c>
      <c r="Q1848" s="4">
        <f t="shared" si="172"/>
        <v>0.50714354773498316</v>
      </c>
      <c r="R1848" s="4">
        <f t="shared" si="173"/>
        <v>10.632669491525444</v>
      </c>
      <c r="S1848" s="4">
        <v>-3.7</v>
      </c>
      <c r="T1848" s="2">
        <v>0.69</v>
      </c>
      <c r="U1848" s="2">
        <v>221.28</v>
      </c>
      <c r="V1848" s="2">
        <v>118.55</v>
      </c>
      <c r="W1848" s="2">
        <v>2.8</v>
      </c>
      <c r="X1848" s="2">
        <v>5.6</v>
      </c>
      <c r="Y1848" s="2">
        <v>16.27</v>
      </c>
      <c r="Z1848" s="2">
        <v>32.630000000000003</v>
      </c>
    </row>
    <row r="1849" spans="1:26" x14ac:dyDescent="0.25">
      <c r="A1849" s="1" t="s">
        <v>7580</v>
      </c>
      <c r="B1849" s="1" t="s">
        <v>7581</v>
      </c>
      <c r="C1849" s="1" t="s">
        <v>16</v>
      </c>
      <c r="D1849" s="1" t="s">
        <v>94</v>
      </c>
      <c r="E1849" s="1" t="s">
        <v>4079</v>
      </c>
      <c r="F1849" s="1" t="s">
        <v>7582</v>
      </c>
      <c r="G1849" s="1" t="s">
        <v>12480</v>
      </c>
      <c r="H1849" s="1" t="s">
        <v>7583</v>
      </c>
      <c r="I1849" s="2">
        <v>58.19</v>
      </c>
      <c r="J1849" s="2">
        <v>4.82</v>
      </c>
      <c r="K1849" s="2">
        <v>4.51</v>
      </c>
      <c r="L1849" s="2">
        <v>4.8099999999999996</v>
      </c>
      <c r="M1849" s="4">
        <f t="shared" si="168"/>
        <v>12.902439024390244</v>
      </c>
      <c r="N1849" s="4">
        <f t="shared" si="169"/>
        <v>12.097713097713099</v>
      </c>
      <c r="O1849" s="5">
        <f t="shared" si="170"/>
        <v>-6.431535269709554E-2</v>
      </c>
      <c r="P1849" s="5">
        <f t="shared" si="171"/>
        <v>6.6518847006651782E-2</v>
      </c>
      <c r="Q1849" s="4">
        <f t="shared" si="172"/>
        <v>-2.0061211644374475</v>
      </c>
      <c r="R1849" s="4">
        <f t="shared" si="173"/>
        <v>1.8186895356895387</v>
      </c>
      <c r="S1849" s="4">
        <v>8.92</v>
      </c>
      <c r="T1849" s="2">
        <v>0.56000000000000005</v>
      </c>
      <c r="U1849" s="2">
        <v>59.14</v>
      </c>
      <c r="V1849" s="2">
        <v>46.68</v>
      </c>
      <c r="W1849" s="2">
        <v>-1.61</v>
      </c>
      <c r="X1849" s="2">
        <v>5.78</v>
      </c>
      <c r="Y1849" s="2">
        <v>5.99</v>
      </c>
      <c r="Z1849" s="2">
        <v>9.0299999999999994</v>
      </c>
    </row>
    <row r="1850" spans="1:26" x14ac:dyDescent="0.25">
      <c r="A1850" s="1" t="s">
        <v>7584</v>
      </c>
      <c r="B1850" s="1" t="s">
        <v>7585</v>
      </c>
      <c r="C1850" s="1" t="s">
        <v>31</v>
      </c>
      <c r="D1850" s="1" t="s">
        <v>140</v>
      </c>
      <c r="E1850" s="1" t="s">
        <v>284</v>
      </c>
      <c r="F1850" s="1" t="s">
        <v>7586</v>
      </c>
      <c r="G1850" s="1" t="s">
        <v>12480</v>
      </c>
      <c r="H1850" s="1" t="s">
        <v>7587</v>
      </c>
      <c r="I1850" s="2">
        <v>20.440000000000001</v>
      </c>
      <c r="J1850" s="2">
        <v>1.93</v>
      </c>
      <c r="K1850" s="2">
        <v>0.24</v>
      </c>
      <c r="L1850" s="2">
        <v>2.72</v>
      </c>
      <c r="M1850" s="4">
        <f t="shared" si="168"/>
        <v>85.166666666666671</v>
      </c>
      <c r="N1850" s="4">
        <f t="shared" si="169"/>
        <v>7.5147058823529411</v>
      </c>
      <c r="O1850" s="5">
        <f t="shared" si="170"/>
        <v>-0.87564766839378239</v>
      </c>
      <c r="P1850" s="5">
        <f t="shared" si="171"/>
        <v>10.333333333333334</v>
      </c>
      <c r="Q1850" s="4">
        <f t="shared" si="172"/>
        <v>-0.97261341222879694</v>
      </c>
      <c r="R1850" s="4">
        <f t="shared" si="173"/>
        <v>7.2722960151802643E-3</v>
      </c>
      <c r="S1850" s="4">
        <v>19.93</v>
      </c>
      <c r="T1850" s="2">
        <v>-0.06</v>
      </c>
      <c r="U1850" s="2">
        <v>46.73</v>
      </c>
      <c r="V1850" s="2">
        <v>18.79</v>
      </c>
      <c r="W1850" s="2">
        <v>2.92</v>
      </c>
      <c r="X1850" s="2">
        <v>-12.65</v>
      </c>
      <c r="Y1850" s="2">
        <v>-20.78</v>
      </c>
      <c r="Z1850" s="2">
        <v>-22.55</v>
      </c>
    </row>
    <row r="1851" spans="1:26" x14ac:dyDescent="0.25">
      <c r="A1851" s="1" t="s">
        <v>7588</v>
      </c>
      <c r="B1851" s="1" t="s">
        <v>7589</v>
      </c>
      <c r="C1851" s="1" t="s">
        <v>16</v>
      </c>
      <c r="D1851" s="1" t="s">
        <v>38</v>
      </c>
      <c r="E1851" s="1" t="s">
        <v>510</v>
      </c>
      <c r="F1851" s="1" t="s">
        <v>7590</v>
      </c>
      <c r="G1851" s="1" t="s">
        <v>12480</v>
      </c>
      <c r="H1851" s="1" t="s">
        <v>730</v>
      </c>
      <c r="I1851" s="2">
        <v>5.51</v>
      </c>
      <c r="J1851" s="2">
        <v>0.57999999999999996</v>
      </c>
      <c r="K1851" s="2">
        <v>0.66</v>
      </c>
      <c r="L1851" s="2">
        <v>0.75</v>
      </c>
      <c r="M1851" s="4">
        <f t="shared" si="168"/>
        <v>8.3484848484848477</v>
      </c>
      <c r="N1851" s="4">
        <f t="shared" si="169"/>
        <v>7.3466666666666667</v>
      </c>
      <c r="O1851" s="5">
        <f t="shared" si="170"/>
        <v>0.13793103448275867</v>
      </c>
      <c r="P1851" s="5">
        <f t="shared" si="171"/>
        <v>0.13636363636363624</v>
      </c>
      <c r="Q1851" s="4">
        <f t="shared" si="172"/>
        <v>0.60526515151515115</v>
      </c>
      <c r="R1851" s="4">
        <f t="shared" si="173"/>
        <v>0.53875555555555599</v>
      </c>
      <c r="S1851" s="4">
        <v>-2.36</v>
      </c>
      <c r="T1851" s="2">
        <v>1.39</v>
      </c>
      <c r="U1851" s="2">
        <v>6.21</v>
      </c>
      <c r="V1851" s="2">
        <v>3.98</v>
      </c>
      <c r="W1851" s="2">
        <v>-2.48</v>
      </c>
      <c r="X1851" s="2">
        <v>0.92</v>
      </c>
      <c r="Y1851" s="2">
        <v>9.33</v>
      </c>
      <c r="Z1851" s="2">
        <v>10.199999999999999</v>
      </c>
    </row>
    <row r="1852" spans="1:26" x14ac:dyDescent="0.25">
      <c r="A1852" s="1" t="s">
        <v>7591</v>
      </c>
      <c r="B1852" s="1" t="s">
        <v>7592</v>
      </c>
      <c r="C1852" s="1" t="s">
        <v>45</v>
      </c>
      <c r="D1852" s="1" t="s">
        <v>32</v>
      </c>
      <c r="E1852" s="1" t="s">
        <v>290</v>
      </c>
      <c r="F1852" s="1" t="s">
        <v>7593</v>
      </c>
      <c r="G1852" s="1" t="s">
        <v>12480</v>
      </c>
      <c r="H1852" s="1" t="s">
        <v>7594</v>
      </c>
      <c r="I1852" s="2" t="s">
        <v>12739</v>
      </c>
      <c r="J1852" s="2">
        <v>17.77</v>
      </c>
      <c r="K1852" s="2">
        <v>21.63</v>
      </c>
      <c r="L1852" s="2">
        <v>26.02</v>
      </c>
      <c r="M1852" s="4">
        <f t="shared" si="168"/>
        <v>49.098474341192791</v>
      </c>
      <c r="N1852" s="4">
        <f t="shared" si="169"/>
        <v>40.814757878554957</v>
      </c>
      <c r="O1852" s="5">
        <f t="shared" si="170"/>
        <v>0.21722003376477206</v>
      </c>
      <c r="P1852" s="5">
        <f t="shared" si="171"/>
        <v>0.20295885344429032</v>
      </c>
      <c r="Q1852" s="4">
        <f t="shared" si="172"/>
        <v>2.2603105933756376</v>
      </c>
      <c r="R1852" s="4">
        <f t="shared" si="173"/>
        <v>2.0109868175698038</v>
      </c>
      <c r="S1852" s="4">
        <v>26.43</v>
      </c>
      <c r="T1852" s="2">
        <v>1.45</v>
      </c>
      <c r="U1852" s="2">
        <v>1231.95</v>
      </c>
      <c r="V1852" s="2">
        <v>455.19</v>
      </c>
      <c r="W1852" s="2">
        <v>-7.05</v>
      </c>
      <c r="X1852" s="2">
        <v>-11.95</v>
      </c>
      <c r="Y1852" s="2">
        <v>11.86</v>
      </c>
      <c r="Z1852" s="2">
        <v>17.170000000000002</v>
      </c>
    </row>
    <row r="1853" spans="1:26" x14ac:dyDescent="0.25">
      <c r="A1853" s="1" t="s">
        <v>7595</v>
      </c>
      <c r="B1853" s="1" t="s">
        <v>7596</v>
      </c>
      <c r="C1853" s="1" t="s">
        <v>45</v>
      </c>
      <c r="D1853" s="1" t="s">
        <v>140</v>
      </c>
      <c r="E1853" s="1" t="s">
        <v>1555</v>
      </c>
      <c r="F1853" s="1" t="s">
        <v>7597</v>
      </c>
      <c r="G1853" s="1" t="s">
        <v>12480</v>
      </c>
      <c r="H1853" s="1" t="s">
        <v>7598</v>
      </c>
      <c r="I1853" s="2">
        <v>4.08</v>
      </c>
      <c r="J1853" s="2">
        <v>-0.03</v>
      </c>
      <c r="K1853" s="2">
        <v>0.01</v>
      </c>
      <c r="L1853" s="2">
        <v>7.0000000000000007E-2</v>
      </c>
      <c r="M1853" s="4">
        <f t="shared" si="168"/>
        <v>408</v>
      </c>
      <c r="N1853" s="4">
        <f t="shared" si="169"/>
        <v>58.285714285714285</v>
      </c>
      <c r="O1853" s="5">
        <f t="shared" si="170"/>
        <v>-1.3333333333333335</v>
      </c>
      <c r="P1853" s="5">
        <f t="shared" si="171"/>
        <v>6.0000000000000009</v>
      </c>
      <c r="Q1853" s="4">
        <f t="shared" si="172"/>
        <v>-3.0599999999999996</v>
      </c>
      <c r="R1853" s="4">
        <f t="shared" si="173"/>
        <v>9.7142857142857128E-2</v>
      </c>
      <c r="S1853" s="4">
        <v>23.25</v>
      </c>
      <c r="T1853" s="2">
        <v>1.48</v>
      </c>
      <c r="U1853" s="2">
        <v>6.83</v>
      </c>
      <c r="V1853" s="2">
        <v>3.71</v>
      </c>
      <c r="W1853" s="2">
        <v>4.88</v>
      </c>
      <c r="X1853" s="2">
        <v>-2.86</v>
      </c>
      <c r="Y1853" s="2">
        <v>-15.35</v>
      </c>
      <c r="Z1853" s="2">
        <v>-14.11</v>
      </c>
    </row>
    <row r="1854" spans="1:26" x14ac:dyDescent="0.25">
      <c r="A1854" s="1" t="s">
        <v>7599</v>
      </c>
      <c r="B1854" s="1" t="s">
        <v>7600</v>
      </c>
      <c r="C1854" s="1" t="s">
        <v>16</v>
      </c>
      <c r="D1854" s="1" t="s">
        <v>38</v>
      </c>
      <c r="E1854" s="1" t="s">
        <v>259</v>
      </c>
      <c r="F1854" s="1" t="s">
        <v>7601</v>
      </c>
      <c r="G1854" s="1" t="s">
        <v>12479</v>
      </c>
      <c r="H1854" s="1" t="s">
        <v>7602</v>
      </c>
      <c r="I1854" s="2">
        <v>11.59</v>
      </c>
      <c r="J1854" s="2"/>
      <c r="K1854" s="2"/>
      <c r="L1854" s="2"/>
      <c r="M1854" s="4" t="e">
        <f t="shared" si="168"/>
        <v>#DIV/0!</v>
      </c>
      <c r="N1854" s="4" t="e">
        <f t="shared" si="169"/>
        <v>#DIV/0!</v>
      </c>
      <c r="O1854" s="5" t="e">
        <f t="shared" si="170"/>
        <v>#DIV/0!</v>
      </c>
      <c r="P1854" s="5" t="e">
        <f t="shared" si="171"/>
        <v>#DIV/0!</v>
      </c>
      <c r="Q1854" s="4" t="e">
        <f t="shared" si="172"/>
        <v>#DIV/0!</v>
      </c>
      <c r="R1854" s="4" t="e">
        <f t="shared" si="173"/>
        <v>#DIV/0!</v>
      </c>
      <c r="S1854" s="4"/>
      <c r="T1854" s="2">
        <v>0.72</v>
      </c>
      <c r="U1854" s="2">
        <v>11.96</v>
      </c>
      <c r="V1854" s="2">
        <v>10.66</v>
      </c>
      <c r="W1854" s="2">
        <v>-2.11</v>
      </c>
      <c r="X1854" s="2">
        <v>-0.94</v>
      </c>
      <c r="Y1854" s="2">
        <v>2.02</v>
      </c>
      <c r="Z1854" s="2">
        <v>2.57</v>
      </c>
    </row>
    <row r="1855" spans="1:26" x14ac:dyDescent="0.25">
      <c r="A1855" s="1" t="s">
        <v>7603</v>
      </c>
      <c r="B1855" s="1" t="s">
        <v>7604</v>
      </c>
      <c r="C1855" s="1" t="s">
        <v>31</v>
      </c>
      <c r="D1855" s="1" t="s">
        <v>25</v>
      </c>
      <c r="E1855" s="1" t="s">
        <v>106</v>
      </c>
      <c r="F1855" s="1" t="s">
        <v>7605</v>
      </c>
      <c r="G1855" s="1" t="s">
        <v>12490</v>
      </c>
      <c r="H1855" s="1" t="s">
        <v>7606</v>
      </c>
      <c r="I1855" s="2">
        <v>11.35</v>
      </c>
      <c r="J1855" s="2">
        <v>0.41</v>
      </c>
      <c r="K1855" s="2">
        <v>0.39</v>
      </c>
      <c r="L1855" s="2"/>
      <c r="M1855" s="4">
        <f t="shared" si="168"/>
        <v>29.102564102564102</v>
      </c>
      <c r="N1855" s="4" t="e">
        <f t="shared" si="169"/>
        <v>#DIV/0!</v>
      </c>
      <c r="O1855" s="5">
        <f t="shared" si="170"/>
        <v>-4.8780487804877981E-2</v>
      </c>
      <c r="P1855" s="5">
        <f t="shared" si="171"/>
        <v>-1</v>
      </c>
      <c r="Q1855" s="4">
        <f t="shared" si="172"/>
        <v>-5.9660256410256487</v>
      </c>
      <c r="R1855" s="4" t="e">
        <f t="shared" si="173"/>
        <v>#DIV/0!</v>
      </c>
      <c r="S1855" s="4">
        <v>0.77</v>
      </c>
      <c r="T1855" s="2">
        <v>0.9</v>
      </c>
      <c r="U1855" s="2">
        <v>13.74</v>
      </c>
      <c r="V1855" s="2">
        <v>6.4</v>
      </c>
      <c r="W1855" s="2">
        <v>-11.47</v>
      </c>
      <c r="X1855" s="2">
        <v>7.28</v>
      </c>
      <c r="Y1855" s="2">
        <v>8.7200000000000006</v>
      </c>
      <c r="Z1855" s="2">
        <v>10.19</v>
      </c>
    </row>
    <row r="1856" spans="1:26" x14ac:dyDescent="0.25">
      <c r="A1856" s="1" t="s">
        <v>7607</v>
      </c>
      <c r="B1856" s="1" t="s">
        <v>7608</v>
      </c>
      <c r="C1856" s="1" t="s">
        <v>45</v>
      </c>
      <c r="D1856" s="1" t="s">
        <v>204</v>
      </c>
      <c r="E1856" s="1" t="s">
        <v>534</v>
      </c>
      <c r="F1856" s="1" t="s">
        <v>7609</v>
      </c>
      <c r="G1856" s="1" t="s">
        <v>12502</v>
      </c>
      <c r="H1856" s="1" t="s">
        <v>7610</v>
      </c>
      <c r="I1856" s="2">
        <v>89.36</v>
      </c>
      <c r="J1856" s="2">
        <v>0.64</v>
      </c>
      <c r="K1856" s="2">
        <v>0.92</v>
      </c>
      <c r="L1856" s="2">
        <v>1.41</v>
      </c>
      <c r="M1856" s="4">
        <f t="shared" si="168"/>
        <v>97.130434782608688</v>
      </c>
      <c r="N1856" s="4">
        <f t="shared" si="169"/>
        <v>63.375886524822697</v>
      </c>
      <c r="O1856" s="5">
        <f t="shared" si="170"/>
        <v>0.4375</v>
      </c>
      <c r="P1856" s="5">
        <f t="shared" si="171"/>
        <v>0.53260869565217384</v>
      </c>
      <c r="Q1856" s="4">
        <f t="shared" si="172"/>
        <v>2.2201242236024843</v>
      </c>
      <c r="R1856" s="4">
        <f t="shared" si="173"/>
        <v>1.1899146041395283</v>
      </c>
      <c r="S1856" s="4">
        <v>9.19</v>
      </c>
      <c r="T1856" s="2">
        <v>0.77</v>
      </c>
      <c r="U1856" s="2">
        <v>103.02</v>
      </c>
      <c r="V1856" s="2">
        <v>41.52</v>
      </c>
      <c r="W1856" s="2">
        <v>-1.81</v>
      </c>
      <c r="X1856" s="2">
        <v>4.67</v>
      </c>
      <c r="Y1856" s="2">
        <v>19.96</v>
      </c>
      <c r="Z1856" s="2">
        <v>22.39</v>
      </c>
    </row>
    <row r="1857" spans="1:26" x14ac:dyDescent="0.25">
      <c r="A1857" s="1" t="s">
        <v>7611</v>
      </c>
      <c r="B1857" s="1" t="s">
        <v>7612</v>
      </c>
      <c r="C1857" s="1" t="s">
        <v>16</v>
      </c>
      <c r="D1857" s="1" t="s">
        <v>18</v>
      </c>
      <c r="E1857" s="1" t="s">
        <v>113</v>
      </c>
      <c r="F1857" s="1" t="s">
        <v>7613</v>
      </c>
      <c r="G1857" s="1" t="s">
        <v>12480</v>
      </c>
      <c r="H1857" s="1" t="s">
        <v>7614</v>
      </c>
      <c r="I1857" s="2">
        <v>117.11</v>
      </c>
      <c r="J1857" s="2">
        <v>8.98</v>
      </c>
      <c r="K1857" s="2">
        <v>5.47</v>
      </c>
      <c r="L1857" s="2">
        <v>9.89</v>
      </c>
      <c r="M1857" s="4">
        <f t="shared" si="168"/>
        <v>21.409506398537477</v>
      </c>
      <c r="N1857" s="4">
        <f t="shared" si="169"/>
        <v>11.841253791708796</v>
      </c>
      <c r="O1857" s="5">
        <f t="shared" si="170"/>
        <v>-0.39086859688195996</v>
      </c>
      <c r="P1857" s="5">
        <f t="shared" si="171"/>
        <v>0.80804387568555769</v>
      </c>
      <c r="Q1857" s="4">
        <f t="shared" si="172"/>
        <v>-0.54774178763209835</v>
      </c>
      <c r="R1857" s="4">
        <f t="shared" si="173"/>
        <v>0.14654221321413374</v>
      </c>
      <c r="S1857" s="4">
        <v>1.31</v>
      </c>
      <c r="T1857" s="2">
        <v>0.27</v>
      </c>
      <c r="U1857" s="2">
        <v>123.93</v>
      </c>
      <c r="V1857" s="2">
        <v>73.47</v>
      </c>
      <c r="W1857" s="2">
        <v>-3.54</v>
      </c>
      <c r="X1857" s="2">
        <v>-0.46</v>
      </c>
      <c r="Y1857" s="2">
        <v>16.809999999999999</v>
      </c>
      <c r="Z1857" s="2">
        <v>11.26</v>
      </c>
    </row>
    <row r="1858" spans="1:26" x14ac:dyDescent="0.25">
      <c r="A1858" s="1" t="s">
        <v>7616</v>
      </c>
      <c r="B1858" s="1" t="s">
        <v>7617</v>
      </c>
      <c r="C1858" s="1" t="s">
        <v>45</v>
      </c>
      <c r="D1858" s="1" t="s">
        <v>18</v>
      </c>
      <c r="E1858" s="1" t="s">
        <v>74</v>
      </c>
      <c r="F1858" s="1" t="s">
        <v>7618</v>
      </c>
      <c r="G1858" s="1" t="s">
        <v>12480</v>
      </c>
      <c r="H1858" s="1" t="s">
        <v>7619</v>
      </c>
      <c r="I1858" s="2">
        <v>55.74</v>
      </c>
      <c r="J1858" s="2">
        <v>-7.26</v>
      </c>
      <c r="K1858" s="2">
        <v>-6.9</v>
      </c>
      <c r="L1858" s="2">
        <v>-4.33</v>
      </c>
      <c r="M1858" s="4">
        <f t="shared" si="168"/>
        <v>-8.0782608695652165</v>
      </c>
      <c r="N1858" s="4">
        <f t="shared" si="169"/>
        <v>-12.872979214780601</v>
      </c>
      <c r="O1858" s="5">
        <f t="shared" si="170"/>
        <v>-4.9586776859504078E-2</v>
      </c>
      <c r="P1858" s="5">
        <f t="shared" si="171"/>
        <v>-0.37246376811594206</v>
      </c>
      <c r="Q1858" s="4">
        <f t="shared" si="172"/>
        <v>1.6291159420289874</v>
      </c>
      <c r="R1858" s="4">
        <f t="shared" si="173"/>
        <v>0.34561695168087997</v>
      </c>
      <c r="S1858" s="4">
        <v>-39.93</v>
      </c>
      <c r="T1858" s="2">
        <v>1.29</v>
      </c>
      <c r="U1858" s="2">
        <v>57.8</v>
      </c>
      <c r="V1858" s="2">
        <v>22.36</v>
      </c>
      <c r="W1858" s="2">
        <v>5.48</v>
      </c>
      <c r="X1858" s="2">
        <v>32.869999999999997</v>
      </c>
      <c r="Y1858" s="2">
        <v>86.3</v>
      </c>
      <c r="Z1858" s="2">
        <v>89.01</v>
      </c>
    </row>
    <row r="1859" spans="1:26" x14ac:dyDescent="0.25">
      <c r="A1859" s="1" t="s">
        <v>7620</v>
      </c>
      <c r="B1859" s="1" t="s">
        <v>7621</v>
      </c>
      <c r="C1859" s="1" t="s">
        <v>31</v>
      </c>
      <c r="D1859" s="1" t="s">
        <v>94</v>
      </c>
      <c r="E1859" s="1" t="s">
        <v>95</v>
      </c>
      <c r="F1859" s="1" t="s">
        <v>7622</v>
      </c>
      <c r="G1859" s="1" t="s">
        <v>12480</v>
      </c>
      <c r="H1859" s="1" t="s">
        <v>7623</v>
      </c>
      <c r="I1859" s="2">
        <v>1.601</v>
      </c>
      <c r="J1859" s="2">
        <v>0.12</v>
      </c>
      <c r="K1859" s="2">
        <v>0.08</v>
      </c>
      <c r="L1859" s="2">
        <v>0.12</v>
      </c>
      <c r="M1859" s="4">
        <f t="shared" ref="M1859:M1922" si="174">I1859/K1859</f>
        <v>20.012499999999999</v>
      </c>
      <c r="N1859" s="4">
        <f t="shared" ref="N1859:N1922" si="175">I1859/L1859</f>
        <v>13.341666666666667</v>
      </c>
      <c r="O1859" s="5">
        <f t="shared" ref="O1859:O1922" si="176">K1859/J1859-1</f>
        <v>-0.33333333333333326</v>
      </c>
      <c r="P1859" s="5">
        <f t="shared" ref="P1859:P1922" si="177">L1859/K1859-1</f>
        <v>0.5</v>
      </c>
      <c r="Q1859" s="4">
        <f t="shared" ref="Q1859:Q1922" si="178">M1859/(O1859*100)</f>
        <v>-0.6003750000000001</v>
      </c>
      <c r="R1859" s="4">
        <f t="shared" ref="R1859:R1922" si="179">N1859/(P1859*100)</f>
        <v>0.26683333333333331</v>
      </c>
      <c r="S1859" s="4"/>
      <c r="T1859" s="2">
        <v>0.37</v>
      </c>
      <c r="U1859" s="2">
        <v>1.73</v>
      </c>
      <c r="V1859" s="2">
        <v>1.18</v>
      </c>
      <c r="W1859" s="2">
        <v>0.06</v>
      </c>
      <c r="X1859" s="2">
        <v>3.59</v>
      </c>
      <c r="Y1859" s="2">
        <v>23.15</v>
      </c>
      <c r="Z1859" s="2">
        <v>22.21</v>
      </c>
    </row>
    <row r="1860" spans="1:26" x14ac:dyDescent="0.25">
      <c r="A1860" s="1" t="s">
        <v>7624</v>
      </c>
      <c r="B1860" s="1" t="s">
        <v>7625</v>
      </c>
      <c r="C1860" s="1" t="s">
        <v>16</v>
      </c>
      <c r="D1860" s="1" t="s">
        <v>38</v>
      </c>
      <c r="E1860" s="1" t="s">
        <v>1806</v>
      </c>
      <c r="F1860" s="1" t="s">
        <v>7626</v>
      </c>
      <c r="G1860" s="1" t="s">
        <v>12480</v>
      </c>
      <c r="H1860" s="1" t="s">
        <v>12740</v>
      </c>
      <c r="I1860" s="2">
        <v>29.99</v>
      </c>
      <c r="J1860" s="2">
        <v>2.44</v>
      </c>
      <c r="K1860" s="2"/>
      <c r="L1860" s="2"/>
      <c r="M1860" s="4" t="e">
        <f t="shared" si="174"/>
        <v>#DIV/0!</v>
      </c>
      <c r="N1860" s="4" t="e">
        <f t="shared" si="175"/>
        <v>#DIV/0!</v>
      </c>
      <c r="O1860" s="5">
        <f t="shared" si="176"/>
        <v>-1</v>
      </c>
      <c r="P1860" s="5" t="e">
        <f t="shared" si="177"/>
        <v>#DIV/0!</v>
      </c>
      <c r="Q1860" s="4" t="e">
        <f t="shared" si="178"/>
        <v>#DIV/0!</v>
      </c>
      <c r="R1860" s="4" t="e">
        <f t="shared" si="179"/>
        <v>#DIV/0!</v>
      </c>
      <c r="S1860" s="4"/>
      <c r="T1860" s="2"/>
      <c r="U1860" s="2">
        <v>35.5</v>
      </c>
      <c r="V1860" s="2">
        <v>21.22</v>
      </c>
      <c r="W1860" s="2">
        <v>-3.26</v>
      </c>
      <c r="X1860" s="2">
        <v>-4.43</v>
      </c>
      <c r="Y1860" s="2">
        <v>-5.21</v>
      </c>
      <c r="Z1860" s="2">
        <v>0.4</v>
      </c>
    </row>
    <row r="1861" spans="1:26" x14ac:dyDescent="0.25">
      <c r="A1861" s="1" t="s">
        <v>7627</v>
      </c>
      <c r="B1861" s="1" t="s">
        <v>7628</v>
      </c>
      <c r="C1861" s="1" t="s">
        <v>16</v>
      </c>
      <c r="D1861" s="1" t="s">
        <v>140</v>
      </c>
      <c r="E1861" s="1" t="s">
        <v>141</v>
      </c>
      <c r="F1861" s="1" t="s">
        <v>7629</v>
      </c>
      <c r="G1861" s="1" t="s">
        <v>12480</v>
      </c>
      <c r="H1861" s="1" t="s">
        <v>7630</v>
      </c>
      <c r="I1861" s="2">
        <v>179.97</v>
      </c>
      <c r="J1861" s="2">
        <v>9.75</v>
      </c>
      <c r="K1861" s="2">
        <v>10.35</v>
      </c>
      <c r="L1861" s="2">
        <v>11.28</v>
      </c>
      <c r="M1861" s="4">
        <f t="shared" si="174"/>
        <v>17.388405797101449</v>
      </c>
      <c r="N1861" s="4">
        <f t="shared" si="175"/>
        <v>15.954787234042554</v>
      </c>
      <c r="O1861" s="5">
        <f t="shared" si="176"/>
        <v>6.1538461538461542E-2</v>
      </c>
      <c r="P1861" s="5">
        <f t="shared" si="177"/>
        <v>8.9855072463768115E-2</v>
      </c>
      <c r="Q1861" s="4">
        <f t="shared" si="178"/>
        <v>2.825615942028985</v>
      </c>
      <c r="R1861" s="4">
        <f t="shared" si="179"/>
        <v>1.775613417982155</v>
      </c>
      <c r="S1861" s="4">
        <v>10.32</v>
      </c>
      <c r="T1861" s="2">
        <v>0.74</v>
      </c>
      <c r="U1861" s="2">
        <v>244.27</v>
      </c>
      <c r="V1861" s="2">
        <v>171.14</v>
      </c>
      <c r="W1861" s="2">
        <v>-3.47</v>
      </c>
      <c r="X1861" s="2">
        <v>5.16</v>
      </c>
      <c r="Y1861" s="2">
        <v>-3.91</v>
      </c>
      <c r="Z1861" s="2">
        <v>-2.99</v>
      </c>
    </row>
    <row r="1862" spans="1:26" x14ac:dyDescent="0.25">
      <c r="A1862" s="1" t="s">
        <v>7632</v>
      </c>
      <c r="B1862" s="1" t="s">
        <v>7633</v>
      </c>
      <c r="C1862" s="1" t="s">
        <v>45</v>
      </c>
      <c r="D1862" s="1" t="s">
        <v>46</v>
      </c>
      <c r="E1862" s="1" t="s">
        <v>977</v>
      </c>
      <c r="F1862" s="1" t="s">
        <v>7634</v>
      </c>
      <c r="G1862" s="1" t="s">
        <v>12480</v>
      </c>
      <c r="H1862" s="1" t="s">
        <v>7635</v>
      </c>
      <c r="I1862" s="2">
        <v>12.52</v>
      </c>
      <c r="J1862" s="2">
        <v>0.21</v>
      </c>
      <c r="K1862" s="2">
        <v>0.23</v>
      </c>
      <c r="L1862" s="2">
        <v>0.37</v>
      </c>
      <c r="M1862" s="4">
        <f t="shared" si="174"/>
        <v>54.434782608695649</v>
      </c>
      <c r="N1862" s="4">
        <f t="shared" si="175"/>
        <v>33.837837837837839</v>
      </c>
      <c r="O1862" s="5">
        <f t="shared" si="176"/>
        <v>9.5238095238095344E-2</v>
      </c>
      <c r="P1862" s="5">
        <f t="shared" si="177"/>
        <v>0.60869565217391286</v>
      </c>
      <c r="Q1862" s="4">
        <f t="shared" si="178"/>
        <v>5.7156521739130364</v>
      </c>
      <c r="R1862" s="4">
        <f t="shared" si="179"/>
        <v>0.5559073359073361</v>
      </c>
      <c r="S1862" s="4">
        <v>-8.31</v>
      </c>
      <c r="T1862" s="2">
        <v>0.84</v>
      </c>
      <c r="U1862" s="2">
        <v>14.43</v>
      </c>
      <c r="V1862" s="2">
        <v>9.41</v>
      </c>
      <c r="W1862" s="2">
        <v>-7.33</v>
      </c>
      <c r="X1862" s="2">
        <v>-6.78</v>
      </c>
      <c r="Y1862" s="2">
        <v>6.55</v>
      </c>
      <c r="Z1862" s="2">
        <v>10.02</v>
      </c>
    </row>
    <row r="1863" spans="1:26" x14ac:dyDescent="0.25">
      <c r="A1863" s="1" t="s">
        <v>7636</v>
      </c>
      <c r="B1863" s="1" t="s">
        <v>7637</v>
      </c>
      <c r="C1863" s="1" t="s">
        <v>45</v>
      </c>
      <c r="D1863" s="1" t="s">
        <v>32</v>
      </c>
      <c r="E1863" s="1" t="s">
        <v>57</v>
      </c>
      <c r="F1863" s="1" t="s">
        <v>7638</v>
      </c>
      <c r="G1863" s="1" t="s">
        <v>12493</v>
      </c>
      <c r="H1863" s="1" t="s">
        <v>7639</v>
      </c>
      <c r="I1863" s="2">
        <v>92.65</v>
      </c>
      <c r="J1863" s="2">
        <v>2.84</v>
      </c>
      <c r="K1863" s="2">
        <v>3.42</v>
      </c>
      <c r="L1863" s="2">
        <v>4.7699999999999996</v>
      </c>
      <c r="M1863" s="4">
        <f t="shared" si="174"/>
        <v>27.090643274853804</v>
      </c>
      <c r="N1863" s="4">
        <f t="shared" si="175"/>
        <v>19.423480083857445</v>
      </c>
      <c r="O1863" s="5">
        <f t="shared" si="176"/>
        <v>0.20422535211267601</v>
      </c>
      <c r="P1863" s="5">
        <f t="shared" si="177"/>
        <v>0.39473684210526305</v>
      </c>
      <c r="Q1863" s="4">
        <f t="shared" si="178"/>
        <v>1.3265073603549107</v>
      </c>
      <c r="R1863" s="4">
        <f t="shared" si="179"/>
        <v>0.49206149545772204</v>
      </c>
      <c r="S1863" s="4">
        <v>42.09</v>
      </c>
      <c r="T1863" s="2">
        <v>1.97</v>
      </c>
      <c r="U1863" s="2">
        <v>100.2</v>
      </c>
      <c r="V1863" s="2">
        <v>49.38</v>
      </c>
      <c r="W1863" s="2">
        <v>14.58</v>
      </c>
      <c r="X1863" s="2">
        <v>12.51</v>
      </c>
      <c r="Y1863" s="2">
        <v>9.9600000000000009</v>
      </c>
      <c r="Z1863" s="2">
        <v>9.0299999999999994</v>
      </c>
    </row>
    <row r="1864" spans="1:26" x14ac:dyDescent="0.25">
      <c r="A1864" s="1" t="s">
        <v>7641</v>
      </c>
      <c r="B1864" s="1" t="s">
        <v>7642</v>
      </c>
      <c r="C1864" s="1" t="s">
        <v>45</v>
      </c>
      <c r="D1864" s="1" t="s">
        <v>38</v>
      </c>
      <c r="E1864" s="1" t="s">
        <v>52</v>
      </c>
      <c r="F1864" s="1" t="s">
        <v>7643</v>
      </c>
      <c r="G1864" s="1" t="s">
        <v>12480</v>
      </c>
      <c r="H1864" s="1" t="s">
        <v>7644</v>
      </c>
      <c r="I1864" s="2">
        <v>36.03</v>
      </c>
      <c r="J1864" s="2">
        <v>3.99</v>
      </c>
      <c r="K1864" s="2">
        <v>4.38</v>
      </c>
      <c r="L1864" s="2">
        <v>5.0199999999999996</v>
      </c>
      <c r="M1864" s="4">
        <f t="shared" si="174"/>
        <v>8.2260273972602747</v>
      </c>
      <c r="N1864" s="4">
        <f t="shared" si="175"/>
        <v>7.1772908366533876</v>
      </c>
      <c r="O1864" s="5">
        <f t="shared" si="176"/>
        <v>9.7744360902255467E-2</v>
      </c>
      <c r="P1864" s="5">
        <f t="shared" si="177"/>
        <v>0.14611872146118721</v>
      </c>
      <c r="Q1864" s="4">
        <f t="shared" si="178"/>
        <v>0.84158587987355271</v>
      </c>
      <c r="R1864" s="4">
        <f t="shared" si="179"/>
        <v>0.49119584163346625</v>
      </c>
      <c r="S1864" s="4">
        <v>26.93</v>
      </c>
      <c r="T1864" s="2">
        <v>-0.74</v>
      </c>
      <c r="U1864" s="2">
        <v>48.33</v>
      </c>
      <c r="V1864" s="2">
        <v>28.24</v>
      </c>
      <c r="W1864" s="2">
        <v>-17.760000000000002</v>
      </c>
      <c r="X1864" s="2">
        <v>-12.12</v>
      </c>
      <c r="Y1864" s="2">
        <v>-5.36</v>
      </c>
      <c r="Z1864" s="2">
        <v>-6.07</v>
      </c>
    </row>
    <row r="1865" spans="1:26" x14ac:dyDescent="0.25">
      <c r="A1865" s="1" t="s">
        <v>7645</v>
      </c>
      <c r="B1865" s="1" t="s">
        <v>7646</v>
      </c>
      <c r="C1865" s="1" t="s">
        <v>16</v>
      </c>
      <c r="D1865" s="1" t="s">
        <v>38</v>
      </c>
      <c r="E1865" s="1" t="s">
        <v>1408</v>
      </c>
      <c r="F1865" s="1" t="s">
        <v>7647</v>
      </c>
      <c r="G1865" s="1" t="s">
        <v>12480</v>
      </c>
      <c r="H1865" s="1" t="s">
        <v>7648</v>
      </c>
      <c r="I1865" s="2">
        <v>160.44999999999999</v>
      </c>
      <c r="J1865" s="2">
        <v>10.210000000000001</v>
      </c>
      <c r="K1865" s="2">
        <v>11.09</v>
      </c>
      <c r="L1865" s="2">
        <v>11.87</v>
      </c>
      <c r="M1865" s="4">
        <f t="shared" si="174"/>
        <v>14.467989179440936</v>
      </c>
      <c r="N1865" s="4">
        <f t="shared" si="175"/>
        <v>13.517270429654591</v>
      </c>
      <c r="O1865" s="5">
        <f t="shared" si="176"/>
        <v>8.6190009794319122E-2</v>
      </c>
      <c r="P1865" s="5">
        <f t="shared" si="177"/>
        <v>7.0333633904418269E-2</v>
      </c>
      <c r="Q1865" s="4">
        <f t="shared" si="178"/>
        <v>1.6786155627510482</v>
      </c>
      <c r="R1865" s="4">
        <f t="shared" si="179"/>
        <v>1.9218785777547396</v>
      </c>
      <c r="S1865" s="4">
        <v>11.54</v>
      </c>
      <c r="T1865" s="2">
        <v>1.2</v>
      </c>
      <c r="U1865" s="2">
        <v>191.23</v>
      </c>
      <c r="V1865" s="2">
        <v>99.83</v>
      </c>
      <c r="W1865" s="2">
        <v>-3.92</v>
      </c>
      <c r="X1865" s="2">
        <v>-12.01</v>
      </c>
      <c r="Y1865" s="2">
        <v>-9.75</v>
      </c>
      <c r="Z1865" s="2">
        <v>-9.6199999999999992</v>
      </c>
    </row>
    <row r="1866" spans="1:26" x14ac:dyDescent="0.25">
      <c r="A1866" s="1" t="s">
        <v>7649</v>
      </c>
      <c r="B1866" s="1" t="s">
        <v>7650</v>
      </c>
      <c r="C1866" s="1" t="s">
        <v>16</v>
      </c>
      <c r="D1866" s="1" t="s">
        <v>25</v>
      </c>
      <c r="E1866" s="1" t="s">
        <v>331</v>
      </c>
      <c r="F1866" s="1" t="s">
        <v>7651</v>
      </c>
      <c r="G1866" s="1" t="s">
        <v>12480</v>
      </c>
      <c r="H1866" s="1" t="s">
        <v>7652</v>
      </c>
      <c r="I1866" s="2">
        <v>184.86</v>
      </c>
      <c r="J1866" s="2">
        <v>7.93</v>
      </c>
      <c r="K1866" s="2">
        <v>8.74</v>
      </c>
      <c r="L1866" s="2">
        <v>9.52</v>
      </c>
      <c r="M1866" s="4">
        <f t="shared" si="174"/>
        <v>21.151029748283754</v>
      </c>
      <c r="N1866" s="4">
        <f t="shared" si="175"/>
        <v>19.418067226890759</v>
      </c>
      <c r="O1866" s="5">
        <f t="shared" si="176"/>
        <v>0.10214375788146279</v>
      </c>
      <c r="P1866" s="5">
        <f t="shared" si="177"/>
        <v>8.9244851258581059E-2</v>
      </c>
      <c r="Q1866" s="4">
        <f t="shared" si="178"/>
        <v>2.0707119247393848</v>
      </c>
      <c r="R1866" s="4">
        <f t="shared" si="179"/>
        <v>2.1758193277310971</v>
      </c>
      <c r="S1866" s="4">
        <v>3.69</v>
      </c>
      <c r="T1866" s="2">
        <v>0.96</v>
      </c>
      <c r="U1866" s="2">
        <v>203.08</v>
      </c>
      <c r="V1866" s="2">
        <v>130.21</v>
      </c>
      <c r="W1866" s="2">
        <v>-6.72</v>
      </c>
      <c r="X1866" s="2">
        <v>-5.01</v>
      </c>
      <c r="Y1866" s="2">
        <v>15.29</v>
      </c>
      <c r="Z1866" s="2">
        <v>15.44</v>
      </c>
    </row>
    <row r="1867" spans="1:26" x14ac:dyDescent="0.25">
      <c r="A1867" s="1" t="s">
        <v>7653</v>
      </c>
      <c r="B1867" s="1" t="s">
        <v>7654</v>
      </c>
      <c r="C1867" s="1" t="s">
        <v>31</v>
      </c>
      <c r="D1867" s="1" t="s">
        <v>38</v>
      </c>
      <c r="E1867" s="1" t="s">
        <v>194</v>
      </c>
      <c r="F1867" s="1" t="s">
        <v>7655</v>
      </c>
      <c r="G1867" s="1" t="s">
        <v>12490</v>
      </c>
      <c r="H1867" s="1" t="s">
        <v>7656</v>
      </c>
      <c r="I1867" s="2">
        <v>25.89</v>
      </c>
      <c r="J1867" s="2">
        <v>3.02</v>
      </c>
      <c r="K1867" s="2"/>
      <c r="L1867" s="2"/>
      <c r="M1867" s="4" t="e">
        <f t="shared" si="174"/>
        <v>#DIV/0!</v>
      </c>
      <c r="N1867" s="4" t="e">
        <f t="shared" si="175"/>
        <v>#DIV/0!</v>
      </c>
      <c r="O1867" s="5">
        <f t="shared" si="176"/>
        <v>-1</v>
      </c>
      <c r="P1867" s="5" t="e">
        <f t="shared" si="177"/>
        <v>#DIV/0!</v>
      </c>
      <c r="Q1867" s="4" t="e">
        <f t="shared" si="178"/>
        <v>#DIV/0!</v>
      </c>
      <c r="R1867" s="4" t="e">
        <f t="shared" si="179"/>
        <v>#DIV/0!</v>
      </c>
      <c r="S1867" s="4">
        <v>-3.93</v>
      </c>
      <c r="T1867" s="2">
        <v>0.33</v>
      </c>
      <c r="U1867" s="2">
        <v>27.99</v>
      </c>
      <c r="V1867" s="2">
        <v>18.53</v>
      </c>
      <c r="W1867" s="2" t="s">
        <v>12494</v>
      </c>
      <c r="X1867" s="2">
        <v>-4.08</v>
      </c>
      <c r="Y1867" s="2">
        <v>6.15</v>
      </c>
      <c r="Z1867" s="2">
        <v>10.5</v>
      </c>
    </row>
    <row r="1868" spans="1:26" x14ac:dyDescent="0.25">
      <c r="A1868" s="1" t="s">
        <v>7657</v>
      </c>
      <c r="B1868" s="1" t="s">
        <v>7658</v>
      </c>
      <c r="C1868" s="1" t="s">
        <v>31</v>
      </c>
      <c r="D1868" s="1" t="s">
        <v>2417</v>
      </c>
      <c r="E1868" s="1" t="s">
        <v>2418</v>
      </c>
      <c r="F1868" s="1" t="s">
        <v>7659</v>
      </c>
      <c r="G1868" s="1" t="s">
        <v>12490</v>
      </c>
      <c r="H1868" s="1" t="s">
        <v>7660</v>
      </c>
      <c r="I1868" s="2">
        <v>31.725000000000001</v>
      </c>
      <c r="J1868" s="2">
        <v>1.56</v>
      </c>
      <c r="K1868" s="2"/>
      <c r="L1868" s="2"/>
      <c r="M1868" s="4" t="e">
        <f t="shared" si="174"/>
        <v>#DIV/0!</v>
      </c>
      <c r="N1868" s="4" t="e">
        <f t="shared" si="175"/>
        <v>#DIV/0!</v>
      </c>
      <c r="O1868" s="5">
        <f t="shared" si="176"/>
        <v>-1</v>
      </c>
      <c r="P1868" s="5" t="e">
        <f t="shared" si="177"/>
        <v>#DIV/0!</v>
      </c>
      <c r="Q1868" s="4" t="e">
        <f t="shared" si="178"/>
        <v>#DIV/0!</v>
      </c>
      <c r="R1868" s="4" t="e">
        <f t="shared" si="179"/>
        <v>#DIV/0!</v>
      </c>
      <c r="S1868" s="4">
        <v>-9.8000000000000007</v>
      </c>
      <c r="T1868" s="2">
        <v>0.59</v>
      </c>
      <c r="U1868" s="2">
        <v>34.47</v>
      </c>
      <c r="V1868" s="2">
        <v>16.510000000000002</v>
      </c>
      <c r="W1868" s="2">
        <v>-6.74</v>
      </c>
      <c r="X1868" s="2">
        <v>-1.95</v>
      </c>
      <c r="Y1868" s="2">
        <v>33.86</v>
      </c>
      <c r="Z1868" s="2">
        <v>38.6</v>
      </c>
    </row>
    <row r="1869" spans="1:26" x14ac:dyDescent="0.25">
      <c r="A1869" s="1" t="s">
        <v>7661</v>
      </c>
      <c r="B1869" s="1" t="s">
        <v>7661</v>
      </c>
      <c r="C1869" s="1" t="s">
        <v>16</v>
      </c>
      <c r="D1869" s="1" t="s">
        <v>38</v>
      </c>
      <c r="E1869" s="1" t="s">
        <v>101</v>
      </c>
      <c r="F1869" s="1" t="s">
        <v>7662</v>
      </c>
      <c r="G1869" s="1" t="s">
        <v>12480</v>
      </c>
      <c r="H1869" s="1" t="s">
        <v>7615</v>
      </c>
      <c r="I1869" s="2">
        <v>564.41</v>
      </c>
      <c r="J1869" s="2">
        <v>17.28</v>
      </c>
      <c r="K1869" s="2">
        <v>19.440000000000001</v>
      </c>
      <c r="L1869" s="2" t="s">
        <v>12741</v>
      </c>
      <c r="M1869" s="4">
        <f t="shared" si="174"/>
        <v>29.033436213991767</v>
      </c>
      <c r="N1869" s="4">
        <f t="shared" si="175"/>
        <v>25.654999999999998</v>
      </c>
      <c r="O1869" s="5">
        <f t="shared" si="176"/>
        <v>0.125</v>
      </c>
      <c r="P1869" s="5">
        <f t="shared" si="177"/>
        <v>0.13168724279835375</v>
      </c>
      <c r="Q1869" s="4">
        <f t="shared" si="178"/>
        <v>2.3226748971193412</v>
      </c>
      <c r="R1869" s="4">
        <f t="shared" si="179"/>
        <v>1.948176562500002</v>
      </c>
      <c r="S1869" s="4">
        <v>9.75</v>
      </c>
      <c r="T1869" s="2">
        <v>1.29</v>
      </c>
      <c r="U1869" s="2">
        <v>624.75</v>
      </c>
      <c r="V1869" s="2">
        <v>506.56</v>
      </c>
      <c r="W1869" s="2">
        <v>-1.65</v>
      </c>
      <c r="X1869" s="2">
        <v>0.9</v>
      </c>
      <c r="Y1869" s="2">
        <v>1.97</v>
      </c>
      <c r="Z1869" s="2">
        <v>-1.62</v>
      </c>
    </row>
    <row r="1870" spans="1:26" x14ac:dyDescent="0.25">
      <c r="A1870" s="1" t="s">
        <v>7663</v>
      </c>
      <c r="B1870" s="1" t="s">
        <v>7664</v>
      </c>
      <c r="C1870" s="1" t="s">
        <v>16</v>
      </c>
      <c r="D1870" s="1" t="s">
        <v>38</v>
      </c>
      <c r="E1870" s="1" t="s">
        <v>712</v>
      </c>
      <c r="F1870" s="1" t="s">
        <v>7665</v>
      </c>
      <c r="G1870" s="1" t="s">
        <v>12480</v>
      </c>
      <c r="H1870" s="1" t="s">
        <v>7666</v>
      </c>
      <c r="I1870" s="2">
        <v>14.76</v>
      </c>
      <c r="J1870" s="2">
        <v>2.02</v>
      </c>
      <c r="K1870" s="2">
        <v>1.86</v>
      </c>
      <c r="L1870" s="2">
        <v>1.87</v>
      </c>
      <c r="M1870" s="4">
        <f t="shared" si="174"/>
        <v>7.9354838709677411</v>
      </c>
      <c r="N1870" s="4">
        <f t="shared" si="175"/>
        <v>7.8930481283422456</v>
      </c>
      <c r="O1870" s="5">
        <f t="shared" si="176"/>
        <v>-7.9207920792079167E-2</v>
      </c>
      <c r="P1870" s="5">
        <f t="shared" si="177"/>
        <v>5.3763440860215006E-3</v>
      </c>
      <c r="Q1870" s="4">
        <f t="shared" si="178"/>
        <v>-1.0018548387096777</v>
      </c>
      <c r="R1870" s="4">
        <f t="shared" si="179"/>
        <v>14.68106951871659</v>
      </c>
      <c r="S1870" s="4">
        <v>-4.5199999999999996</v>
      </c>
      <c r="T1870" s="2">
        <v>0.34</v>
      </c>
      <c r="U1870" s="2">
        <v>20.87</v>
      </c>
      <c r="V1870" s="2">
        <v>14.58</v>
      </c>
      <c r="W1870" s="2">
        <v>0.2</v>
      </c>
      <c r="X1870" s="2">
        <v>-5.75</v>
      </c>
      <c r="Y1870" s="2">
        <v>-14.29</v>
      </c>
      <c r="Z1870" s="2">
        <v>-10.44</v>
      </c>
    </row>
    <row r="1871" spans="1:26" x14ac:dyDescent="0.25">
      <c r="A1871" s="1" t="s">
        <v>7667</v>
      </c>
      <c r="B1871" s="1" t="s">
        <v>7668</v>
      </c>
      <c r="C1871" s="1" t="s">
        <v>45</v>
      </c>
      <c r="D1871" s="1" t="s">
        <v>354</v>
      </c>
      <c r="E1871" s="1" t="s">
        <v>1319</v>
      </c>
      <c r="F1871" s="1" t="s">
        <v>7669</v>
      </c>
      <c r="G1871" s="1" t="s">
        <v>12480</v>
      </c>
      <c r="H1871" s="1" t="s">
        <v>337</v>
      </c>
      <c r="I1871" s="2">
        <v>54.04</v>
      </c>
      <c r="J1871" s="2">
        <v>2.36</v>
      </c>
      <c r="K1871" s="2">
        <v>2.63</v>
      </c>
      <c r="L1871" s="2"/>
      <c r="M1871" s="4">
        <f t="shared" si="174"/>
        <v>20.547528517110266</v>
      </c>
      <c r="N1871" s="4" t="e">
        <f t="shared" si="175"/>
        <v>#DIV/0!</v>
      </c>
      <c r="O1871" s="5">
        <f t="shared" si="176"/>
        <v>0.11440677966101687</v>
      </c>
      <c r="P1871" s="5">
        <f t="shared" si="177"/>
        <v>-1</v>
      </c>
      <c r="Q1871" s="4">
        <f t="shared" si="178"/>
        <v>1.7960061963103802</v>
      </c>
      <c r="R1871" s="4" t="e">
        <f t="shared" si="179"/>
        <v>#DIV/0!</v>
      </c>
      <c r="S1871" s="4">
        <v>1.47</v>
      </c>
      <c r="T1871" s="2">
        <v>0.9</v>
      </c>
      <c r="U1871" s="2">
        <v>66.569999999999993</v>
      </c>
      <c r="V1871" s="2">
        <v>48.59</v>
      </c>
      <c r="W1871" s="2">
        <v>-0.93</v>
      </c>
      <c r="X1871" s="2">
        <v>5.98</v>
      </c>
      <c r="Y1871" s="2">
        <v>1.83</v>
      </c>
      <c r="Z1871" s="2">
        <v>7.18</v>
      </c>
    </row>
    <row r="1872" spans="1:26" x14ac:dyDescent="0.25">
      <c r="A1872" s="1" t="s">
        <v>7670</v>
      </c>
      <c r="B1872" s="1" t="s">
        <v>7671</v>
      </c>
      <c r="C1872" s="1" t="s">
        <v>45</v>
      </c>
      <c r="D1872" s="1" t="s">
        <v>32</v>
      </c>
      <c r="E1872" s="1" t="s">
        <v>215</v>
      </c>
      <c r="F1872" s="1" t="s">
        <v>12742</v>
      </c>
      <c r="G1872" s="1" t="s">
        <v>12502</v>
      </c>
      <c r="H1872" s="1" t="s">
        <v>7672</v>
      </c>
      <c r="I1872" s="2">
        <v>409.41</v>
      </c>
      <c r="J1872" s="2">
        <v>13.64</v>
      </c>
      <c r="K1872" s="2">
        <v>16.97</v>
      </c>
      <c r="L1872" s="2">
        <v>18.73</v>
      </c>
      <c r="M1872" s="4">
        <f t="shared" si="174"/>
        <v>24.12551561579258</v>
      </c>
      <c r="N1872" s="4">
        <f t="shared" si="175"/>
        <v>21.858515750133478</v>
      </c>
      <c r="O1872" s="5">
        <f t="shared" si="176"/>
        <v>0.2441348973607036</v>
      </c>
      <c r="P1872" s="5">
        <f t="shared" si="177"/>
        <v>0.10371243370654115</v>
      </c>
      <c r="Q1872" s="4">
        <f t="shared" si="178"/>
        <v>0.98820430330153475</v>
      </c>
      <c r="R1872" s="4">
        <f t="shared" si="179"/>
        <v>2.1076080243168431</v>
      </c>
      <c r="S1872" s="4">
        <v>14.93</v>
      </c>
      <c r="T1872" s="2">
        <v>1.1000000000000001</v>
      </c>
      <c r="U1872" s="2">
        <v>542.07000000000005</v>
      </c>
      <c r="V1872" s="2">
        <v>354.56</v>
      </c>
      <c r="W1872" s="2">
        <v>2.72</v>
      </c>
      <c r="X1872" s="2">
        <v>-1.01</v>
      </c>
      <c r="Y1872" s="2">
        <v>-13.78</v>
      </c>
      <c r="Z1872" s="2">
        <v>-15.35</v>
      </c>
    </row>
    <row r="1873" spans="1:26" x14ac:dyDescent="0.25">
      <c r="A1873" s="1" t="s">
        <v>7673</v>
      </c>
      <c r="B1873" s="1" t="s">
        <v>7674</v>
      </c>
      <c r="C1873" s="1" t="s">
        <v>16</v>
      </c>
      <c r="D1873" s="1" t="s">
        <v>147</v>
      </c>
      <c r="E1873" s="1" t="s">
        <v>1460</v>
      </c>
      <c r="F1873" s="1" t="s">
        <v>7675</v>
      </c>
      <c r="G1873" s="1" t="s">
        <v>12502</v>
      </c>
      <c r="H1873" s="1" t="s">
        <v>7676</v>
      </c>
      <c r="I1873" s="2">
        <v>58.85</v>
      </c>
      <c r="J1873" s="2">
        <v>1.08</v>
      </c>
      <c r="K1873" s="2">
        <v>1.1599999999999999</v>
      </c>
      <c r="L1873" s="2">
        <v>2.3199999999999998</v>
      </c>
      <c r="M1873" s="4">
        <f t="shared" si="174"/>
        <v>50.732758620689658</v>
      </c>
      <c r="N1873" s="4">
        <f t="shared" si="175"/>
        <v>25.366379310344829</v>
      </c>
      <c r="O1873" s="5">
        <f t="shared" si="176"/>
        <v>7.4074074074073959E-2</v>
      </c>
      <c r="P1873" s="5">
        <f t="shared" si="177"/>
        <v>1</v>
      </c>
      <c r="Q1873" s="4">
        <f t="shared" si="178"/>
        <v>6.8489224137931144</v>
      </c>
      <c r="R1873" s="4">
        <f t="shared" si="179"/>
        <v>0.25366379310344828</v>
      </c>
      <c r="S1873" s="4">
        <v>-1.72</v>
      </c>
      <c r="T1873" s="2">
        <v>0.38</v>
      </c>
      <c r="U1873" s="2">
        <v>64.34</v>
      </c>
      <c r="V1873" s="2">
        <v>28.9</v>
      </c>
      <c r="W1873" s="2">
        <v>-5.28</v>
      </c>
      <c r="X1873" s="2">
        <v>-3.05</v>
      </c>
      <c r="Y1873" s="2">
        <v>11.65</v>
      </c>
      <c r="Z1873" s="2">
        <v>9.1999999999999993</v>
      </c>
    </row>
    <row r="1874" spans="1:26" x14ac:dyDescent="0.25">
      <c r="A1874" s="1" t="s">
        <v>7678</v>
      </c>
      <c r="B1874" s="1" t="s">
        <v>7679</v>
      </c>
      <c r="C1874" s="1" t="s">
        <v>16</v>
      </c>
      <c r="D1874" s="1" t="s">
        <v>147</v>
      </c>
      <c r="E1874" s="1" t="s">
        <v>148</v>
      </c>
      <c r="F1874" s="1" t="s">
        <v>7680</v>
      </c>
      <c r="G1874" s="1" t="s">
        <v>12502</v>
      </c>
      <c r="H1874" s="1" t="s">
        <v>12637</v>
      </c>
      <c r="I1874" s="2">
        <v>317.47000000000003</v>
      </c>
      <c r="J1874" s="2">
        <v>-0.93</v>
      </c>
      <c r="K1874" s="2">
        <v>-0.35</v>
      </c>
      <c r="L1874" s="2">
        <v>-0.27</v>
      </c>
      <c r="M1874" s="4">
        <f t="shared" si="174"/>
        <v>-907.05714285714305</v>
      </c>
      <c r="N1874" s="4">
        <f t="shared" si="175"/>
        <v>-1175.8148148148148</v>
      </c>
      <c r="O1874" s="5">
        <f t="shared" si="176"/>
        <v>-0.62365591397849474</v>
      </c>
      <c r="P1874" s="5">
        <f t="shared" si="177"/>
        <v>-0.22857142857142843</v>
      </c>
      <c r="Q1874" s="4">
        <f t="shared" si="178"/>
        <v>14.544192118226603</v>
      </c>
      <c r="R1874" s="4">
        <f t="shared" si="179"/>
        <v>51.441898148148177</v>
      </c>
      <c r="S1874" s="4">
        <v>1.18</v>
      </c>
      <c r="T1874" s="2">
        <v>0.56000000000000005</v>
      </c>
      <c r="U1874" s="2">
        <v>341.76</v>
      </c>
      <c r="V1874" s="2">
        <v>175.61</v>
      </c>
      <c r="W1874" s="2">
        <v>-3.38</v>
      </c>
      <c r="X1874" s="2">
        <v>13.68</v>
      </c>
      <c r="Y1874" s="2">
        <v>33.549999999999997</v>
      </c>
      <c r="Z1874" s="2">
        <v>22.74</v>
      </c>
    </row>
    <row r="1875" spans="1:26" x14ac:dyDescent="0.25">
      <c r="A1875" s="1" t="s">
        <v>7681</v>
      </c>
      <c r="B1875" s="1" t="s">
        <v>7682</v>
      </c>
      <c r="C1875" s="1" t="s">
        <v>16</v>
      </c>
      <c r="D1875" s="1" t="s">
        <v>32</v>
      </c>
      <c r="E1875" s="1" t="s">
        <v>1159</v>
      </c>
      <c r="F1875" s="1" t="s">
        <v>7683</v>
      </c>
      <c r="G1875" s="1" t="s">
        <v>12480</v>
      </c>
      <c r="H1875" s="1" t="s">
        <v>7684</v>
      </c>
      <c r="I1875" s="2">
        <v>458.03</v>
      </c>
      <c r="J1875" s="2">
        <v>15.38</v>
      </c>
      <c r="K1875" s="2">
        <v>16.7</v>
      </c>
      <c r="L1875" s="2" t="s">
        <v>12518</v>
      </c>
      <c r="M1875" s="4">
        <f t="shared" si="174"/>
        <v>27.426946107784431</v>
      </c>
      <c r="N1875" s="4">
        <f t="shared" si="175"/>
        <v>25.446111111111108</v>
      </c>
      <c r="O1875" s="5">
        <f t="shared" si="176"/>
        <v>8.582574772431717E-2</v>
      </c>
      <c r="P1875" s="5">
        <f t="shared" si="177"/>
        <v>7.7844311377245567E-2</v>
      </c>
      <c r="Q1875" s="4">
        <f t="shared" si="178"/>
        <v>3.1956547813464029</v>
      </c>
      <c r="R1875" s="4">
        <f t="shared" si="179"/>
        <v>3.2688465811965783</v>
      </c>
      <c r="S1875" s="4" t="s">
        <v>12497</v>
      </c>
      <c r="T1875" s="2">
        <v>0.96</v>
      </c>
      <c r="U1875" s="2">
        <v>490.3</v>
      </c>
      <c r="V1875" s="2">
        <v>363.83</v>
      </c>
      <c r="W1875" s="2">
        <v>-5.78</v>
      </c>
      <c r="X1875" s="2">
        <v>8.39</v>
      </c>
      <c r="Y1875" s="2">
        <v>25.54</v>
      </c>
      <c r="Z1875" s="2">
        <v>19.489999999999998</v>
      </c>
    </row>
    <row r="1876" spans="1:26" x14ac:dyDescent="0.25">
      <c r="A1876" s="1" t="s">
        <v>7685</v>
      </c>
      <c r="B1876" s="1" t="s">
        <v>7686</v>
      </c>
      <c r="C1876" s="1" t="s">
        <v>16</v>
      </c>
      <c r="D1876" s="1" t="s">
        <v>25</v>
      </c>
      <c r="E1876" s="1" t="s">
        <v>325</v>
      </c>
      <c r="F1876" s="1" t="s">
        <v>7687</v>
      </c>
      <c r="G1876" s="1" t="s">
        <v>12497</v>
      </c>
      <c r="H1876" s="1" t="s">
        <v>7688</v>
      </c>
      <c r="I1876" s="2">
        <v>90.15</v>
      </c>
      <c r="J1876" s="2">
        <v>3.76</v>
      </c>
      <c r="K1876" s="2">
        <v>4.3</v>
      </c>
      <c r="L1876" s="2">
        <v>4.87</v>
      </c>
      <c r="M1876" s="4">
        <f t="shared" si="174"/>
        <v>20.965116279069768</v>
      </c>
      <c r="N1876" s="4">
        <f t="shared" si="175"/>
        <v>18.511293634496919</v>
      </c>
      <c r="O1876" s="5">
        <f t="shared" si="176"/>
        <v>0.1436170212765957</v>
      </c>
      <c r="P1876" s="5">
        <f t="shared" si="177"/>
        <v>0.13255813953488382</v>
      </c>
      <c r="Q1876" s="4">
        <f t="shared" si="178"/>
        <v>1.4597932816537473</v>
      </c>
      <c r="R1876" s="4">
        <f t="shared" si="179"/>
        <v>1.3964660110234508</v>
      </c>
      <c r="S1876" s="4">
        <v>-1.35</v>
      </c>
      <c r="T1876" s="2">
        <v>0.81</v>
      </c>
      <c r="U1876" s="2">
        <v>95.56</v>
      </c>
      <c r="V1876" s="2">
        <v>70.150000000000006</v>
      </c>
      <c r="W1876" s="2">
        <v>-4.18</v>
      </c>
      <c r="X1876" s="2">
        <v>-4.28</v>
      </c>
      <c r="Y1876" s="2">
        <v>5.14</v>
      </c>
      <c r="Z1876" s="2">
        <v>7.19</v>
      </c>
    </row>
    <row r="1877" spans="1:26" x14ac:dyDescent="0.25">
      <c r="A1877" s="1" t="s">
        <v>7689</v>
      </c>
      <c r="B1877" s="1" t="s">
        <v>7690</v>
      </c>
      <c r="C1877" s="1" t="s">
        <v>45</v>
      </c>
      <c r="D1877" s="1" t="s">
        <v>38</v>
      </c>
      <c r="E1877" s="1" t="s">
        <v>52</v>
      </c>
      <c r="F1877" s="1" t="s">
        <v>7691</v>
      </c>
      <c r="G1877" s="1" t="s">
        <v>12480</v>
      </c>
      <c r="H1877" s="1" t="s">
        <v>7692</v>
      </c>
      <c r="I1877" s="2">
        <v>138.94999999999999</v>
      </c>
      <c r="J1877" s="2">
        <v>-15.23</v>
      </c>
      <c r="K1877" s="2">
        <v>107.99</v>
      </c>
      <c r="L1877" s="2">
        <v>74.73</v>
      </c>
      <c r="M1877" s="4">
        <f t="shared" si="174"/>
        <v>1.2866932123344754</v>
      </c>
      <c r="N1877" s="4">
        <f t="shared" si="175"/>
        <v>1.8593603639769836</v>
      </c>
      <c r="O1877" s="5">
        <f t="shared" si="176"/>
        <v>-8.0906106369008519</v>
      </c>
      <c r="P1877" s="5">
        <f t="shared" si="177"/>
        <v>-0.30799148069265669</v>
      </c>
      <c r="Q1877" s="4">
        <f t="shared" si="178"/>
        <v>-1.5903536458248713E-3</v>
      </c>
      <c r="R1877" s="4">
        <f t="shared" si="179"/>
        <v>-6.0370512840010368E-2</v>
      </c>
      <c r="S1877" s="4">
        <v>2.97</v>
      </c>
      <c r="T1877" s="2">
        <v>3.55</v>
      </c>
      <c r="U1877" s="2">
        <v>455.9</v>
      </c>
      <c r="V1877" s="2">
        <v>106.99</v>
      </c>
      <c r="W1877" s="2">
        <v>0.94</v>
      </c>
      <c r="X1877" s="2">
        <v>0.37</v>
      </c>
      <c r="Y1877" s="2">
        <v>-14.27</v>
      </c>
      <c r="Z1877" s="2">
        <v>-8.56</v>
      </c>
    </row>
    <row r="1878" spans="1:26" x14ac:dyDescent="0.25">
      <c r="A1878" s="1" t="s">
        <v>7693</v>
      </c>
      <c r="B1878" s="1" t="s">
        <v>7694</v>
      </c>
      <c r="C1878" s="1" t="s">
        <v>16</v>
      </c>
      <c r="D1878" s="1" t="s">
        <v>88</v>
      </c>
      <c r="E1878" s="1" t="s">
        <v>912</v>
      </c>
      <c r="F1878" s="1" t="s">
        <v>7695</v>
      </c>
      <c r="G1878" s="1" t="s">
        <v>12480</v>
      </c>
      <c r="H1878" s="1" t="s">
        <v>12603</v>
      </c>
      <c r="I1878" s="2">
        <v>55.83</v>
      </c>
      <c r="J1878" s="2">
        <v>3.85</v>
      </c>
      <c r="K1878" s="2" t="s">
        <v>12508</v>
      </c>
      <c r="L1878" s="2">
        <v>7.13</v>
      </c>
      <c r="M1878" s="4">
        <f t="shared" si="174"/>
        <v>11.166</v>
      </c>
      <c r="N1878" s="4">
        <f t="shared" si="175"/>
        <v>7.8302945301542772</v>
      </c>
      <c r="O1878" s="5">
        <f t="shared" si="176"/>
        <v>0.29870129870129869</v>
      </c>
      <c r="P1878" s="5">
        <f t="shared" si="177"/>
        <v>0.42599999999999993</v>
      </c>
      <c r="Q1878" s="4">
        <f t="shared" si="178"/>
        <v>0.37381826086956527</v>
      </c>
      <c r="R1878" s="4">
        <f t="shared" si="179"/>
        <v>0.18380973075479526</v>
      </c>
      <c r="S1878" s="4">
        <v>-1.74</v>
      </c>
      <c r="T1878" s="2">
        <v>1.48</v>
      </c>
      <c r="U1878" s="2">
        <v>67.12</v>
      </c>
      <c r="V1878" s="2">
        <v>23.47</v>
      </c>
      <c r="W1878" s="2">
        <v>-13.44</v>
      </c>
      <c r="X1878" s="2">
        <v>-10.07</v>
      </c>
      <c r="Y1878" s="2">
        <v>20.95</v>
      </c>
      <c r="Z1878" s="2">
        <v>22.51</v>
      </c>
    </row>
    <row r="1879" spans="1:26" x14ac:dyDescent="0.25">
      <c r="A1879" s="1" t="s">
        <v>7696</v>
      </c>
      <c r="B1879" s="1" t="s">
        <v>7697</v>
      </c>
      <c r="C1879" s="1" t="s">
        <v>16</v>
      </c>
      <c r="D1879" s="1" t="s">
        <v>38</v>
      </c>
      <c r="E1879" s="1" t="s">
        <v>1739</v>
      </c>
      <c r="F1879" s="1" t="s">
        <v>7698</v>
      </c>
      <c r="G1879" s="1" t="s">
        <v>12480</v>
      </c>
      <c r="H1879" s="1" t="s">
        <v>12663</v>
      </c>
      <c r="I1879" s="2">
        <v>208.66</v>
      </c>
      <c r="J1879" s="2">
        <v>17.2</v>
      </c>
      <c r="K1879" s="2">
        <v>18.77</v>
      </c>
      <c r="L1879" s="2">
        <v>20.94</v>
      </c>
      <c r="M1879" s="4">
        <f t="shared" si="174"/>
        <v>11.116675546084178</v>
      </c>
      <c r="N1879" s="4">
        <f t="shared" si="175"/>
        <v>9.9646609360076397</v>
      </c>
      <c r="O1879" s="5">
        <f t="shared" si="176"/>
        <v>9.1279069767441934E-2</v>
      </c>
      <c r="P1879" s="5">
        <f t="shared" si="177"/>
        <v>0.11561001598295162</v>
      </c>
      <c r="Q1879" s="4">
        <f t="shared" si="178"/>
        <v>1.2178778305264186</v>
      </c>
      <c r="R1879" s="4">
        <f t="shared" si="179"/>
        <v>0.86192021091642046</v>
      </c>
      <c r="S1879" s="4">
        <v>-1.67</v>
      </c>
      <c r="T1879" s="2">
        <v>0.57999999999999996</v>
      </c>
      <c r="U1879" s="2">
        <v>238.01</v>
      </c>
      <c r="V1879" s="2">
        <v>156.58000000000001</v>
      </c>
      <c r="W1879" s="2">
        <v>-4.9400000000000004</v>
      </c>
      <c r="X1879" s="2">
        <v>-11.68</v>
      </c>
      <c r="Y1879" s="2">
        <v>1.93</v>
      </c>
      <c r="Z1879" s="2">
        <v>3.56</v>
      </c>
    </row>
    <row r="1880" spans="1:26" x14ac:dyDescent="0.25">
      <c r="A1880" s="1" t="s">
        <v>7699</v>
      </c>
      <c r="B1880" s="1" t="s">
        <v>7700</v>
      </c>
      <c r="C1880" s="1" t="s">
        <v>45</v>
      </c>
      <c r="D1880" s="1" t="s">
        <v>32</v>
      </c>
      <c r="E1880" s="1" t="s">
        <v>311</v>
      </c>
      <c r="F1880" s="1" t="s">
        <v>7701</v>
      </c>
      <c r="G1880" s="1" t="s">
        <v>12480</v>
      </c>
      <c r="H1880" s="1" t="s">
        <v>7702</v>
      </c>
      <c r="I1880" s="2">
        <v>31.11</v>
      </c>
      <c r="J1880" s="2">
        <v>3.28</v>
      </c>
      <c r="K1880" s="2">
        <v>3.91</v>
      </c>
      <c r="L1880" s="2">
        <v>4.41</v>
      </c>
      <c r="M1880" s="4">
        <f t="shared" si="174"/>
        <v>7.9565217391304346</v>
      </c>
      <c r="N1880" s="4">
        <f t="shared" si="175"/>
        <v>7.0544217687074831</v>
      </c>
      <c r="O1880" s="5">
        <f t="shared" si="176"/>
        <v>0.19207317073170738</v>
      </c>
      <c r="P1880" s="5">
        <f t="shared" si="177"/>
        <v>0.12787723785166238</v>
      </c>
      <c r="Q1880" s="4">
        <f t="shared" si="178"/>
        <v>0.4142443064182193</v>
      </c>
      <c r="R1880" s="4">
        <f t="shared" si="179"/>
        <v>0.55165578231292522</v>
      </c>
      <c r="S1880" s="4">
        <v>0.22</v>
      </c>
      <c r="T1880" s="2">
        <v>1.3</v>
      </c>
      <c r="U1880" s="2">
        <v>38.770000000000003</v>
      </c>
      <c r="V1880" s="2">
        <v>27.03</v>
      </c>
      <c r="W1880" s="2">
        <v>-0.57999999999999996</v>
      </c>
      <c r="X1880" s="2">
        <v>-4.54</v>
      </c>
      <c r="Y1880" s="2">
        <v>-4.63</v>
      </c>
      <c r="Z1880" s="2">
        <v>-3.65</v>
      </c>
    </row>
    <row r="1881" spans="1:26" x14ac:dyDescent="0.25">
      <c r="A1881" s="1" t="s">
        <v>7703</v>
      </c>
      <c r="B1881" s="1" t="s">
        <v>7704</v>
      </c>
      <c r="C1881" s="1" t="s">
        <v>16</v>
      </c>
      <c r="D1881" s="1" t="s">
        <v>18</v>
      </c>
      <c r="E1881" s="1" t="s">
        <v>594</v>
      </c>
      <c r="F1881" s="1" t="s">
        <v>7705</v>
      </c>
      <c r="G1881" s="1" t="s">
        <v>12480</v>
      </c>
      <c r="H1881" s="1" t="s">
        <v>2622</v>
      </c>
      <c r="I1881" s="2">
        <v>1248.6199999999999</v>
      </c>
      <c r="J1881" s="2">
        <v>42.73</v>
      </c>
      <c r="K1881" s="2">
        <v>46.39</v>
      </c>
      <c r="L1881" s="2">
        <v>51.36</v>
      </c>
      <c r="M1881" s="4">
        <f t="shared" si="174"/>
        <v>26.915714593662425</v>
      </c>
      <c r="N1881" s="4">
        <f t="shared" si="175"/>
        <v>24.311137071651089</v>
      </c>
      <c r="O1881" s="5">
        <f t="shared" si="176"/>
        <v>8.5654107184647943E-2</v>
      </c>
      <c r="P1881" s="5">
        <f t="shared" si="177"/>
        <v>0.10713515843931876</v>
      </c>
      <c r="Q1881" s="4">
        <f t="shared" si="178"/>
        <v>3.1423729087081789</v>
      </c>
      <c r="R1881" s="4">
        <f t="shared" si="179"/>
        <v>2.2692025125832891</v>
      </c>
      <c r="S1881" s="4">
        <v>3.98</v>
      </c>
      <c r="T1881" s="2">
        <v>1.43</v>
      </c>
      <c r="U1881" s="2">
        <v>1506.02</v>
      </c>
      <c r="V1881" s="2">
        <v>970.15</v>
      </c>
      <c r="W1881" s="2">
        <v>-5.77</v>
      </c>
      <c r="X1881" s="2">
        <v>-9.58</v>
      </c>
      <c r="Y1881" s="2">
        <v>-11.6</v>
      </c>
      <c r="Z1881" s="2">
        <v>-10.44</v>
      </c>
    </row>
    <row r="1882" spans="1:26" x14ac:dyDescent="0.25">
      <c r="A1882" s="1" t="s">
        <v>7706</v>
      </c>
      <c r="B1882" s="1" t="s">
        <v>7707</v>
      </c>
      <c r="C1882" s="1" t="s">
        <v>16</v>
      </c>
      <c r="D1882" s="1" t="s">
        <v>94</v>
      </c>
      <c r="E1882" s="1" t="s">
        <v>894</v>
      </c>
      <c r="F1882" s="1" t="s">
        <v>7708</v>
      </c>
      <c r="G1882" s="1" t="s">
        <v>12480</v>
      </c>
      <c r="H1882" s="1" t="s">
        <v>442</v>
      </c>
      <c r="I1882" s="2">
        <v>56.15</v>
      </c>
      <c r="J1882" s="2">
        <v>1.83</v>
      </c>
      <c r="K1882" s="2">
        <v>4.34</v>
      </c>
      <c r="L1882" s="2">
        <v>6.08</v>
      </c>
      <c r="M1882" s="4">
        <f t="shared" si="174"/>
        <v>12.93778801843318</v>
      </c>
      <c r="N1882" s="4">
        <f t="shared" si="175"/>
        <v>9.2351973684210531</v>
      </c>
      <c r="O1882" s="5">
        <f t="shared" si="176"/>
        <v>1.3715846994535519</v>
      </c>
      <c r="P1882" s="5">
        <f t="shared" si="177"/>
        <v>0.40092165898617527</v>
      </c>
      <c r="Q1882" s="4">
        <f t="shared" si="178"/>
        <v>9.4327299098536724E-2</v>
      </c>
      <c r="R1882" s="4">
        <f t="shared" si="179"/>
        <v>0.23034917574107677</v>
      </c>
      <c r="S1882" s="4">
        <v>5.46</v>
      </c>
      <c r="T1882" s="2">
        <v>1.07</v>
      </c>
      <c r="U1882" s="2">
        <v>56.32</v>
      </c>
      <c r="V1882" s="2">
        <v>36.67</v>
      </c>
      <c r="W1882" s="2">
        <v>3.75</v>
      </c>
      <c r="X1882" s="2">
        <v>17.760000000000002</v>
      </c>
      <c r="Y1882" s="2">
        <v>29.95</v>
      </c>
      <c r="Z1882" s="2">
        <v>32.299999999999997</v>
      </c>
    </row>
    <row r="1883" spans="1:26" x14ac:dyDescent="0.25">
      <c r="A1883" s="1" t="s">
        <v>7709</v>
      </c>
      <c r="B1883" s="1" t="s">
        <v>7710</v>
      </c>
      <c r="C1883" s="1" t="s">
        <v>16</v>
      </c>
      <c r="D1883" s="1" t="s">
        <v>38</v>
      </c>
      <c r="E1883" s="1" t="s">
        <v>254</v>
      </c>
      <c r="F1883" s="1" t="s">
        <v>7711</v>
      </c>
      <c r="G1883" s="1" t="s">
        <v>12480</v>
      </c>
      <c r="H1883" s="1" t="s">
        <v>7712</v>
      </c>
      <c r="I1883" s="2">
        <v>26.57</v>
      </c>
      <c r="J1883" s="2">
        <v>3.14</v>
      </c>
      <c r="K1883" s="2">
        <v>3.09</v>
      </c>
      <c r="L1883" s="2">
        <v>3.39</v>
      </c>
      <c r="M1883" s="4">
        <f t="shared" si="174"/>
        <v>8.5987055016181237</v>
      </c>
      <c r="N1883" s="4">
        <f t="shared" si="175"/>
        <v>7.8377581120943951</v>
      </c>
      <c r="O1883" s="5">
        <f t="shared" si="176"/>
        <v>-1.5923566878980999E-2</v>
      </c>
      <c r="P1883" s="5">
        <f t="shared" si="177"/>
        <v>9.7087378640776878E-2</v>
      </c>
      <c r="Q1883" s="4">
        <f t="shared" si="178"/>
        <v>-5.3999870550161448</v>
      </c>
      <c r="R1883" s="4">
        <f t="shared" si="179"/>
        <v>0.80728908554572132</v>
      </c>
      <c r="S1883" s="4">
        <v>0.49</v>
      </c>
      <c r="T1883" s="2">
        <v>0.83</v>
      </c>
      <c r="U1883" s="2">
        <v>29.86</v>
      </c>
      <c r="V1883" s="2">
        <v>22.43</v>
      </c>
      <c r="W1883" s="2">
        <v>-2.0299999999999998</v>
      </c>
      <c r="X1883" s="2">
        <v>-0.19</v>
      </c>
      <c r="Y1883" s="2">
        <v>-8.85</v>
      </c>
      <c r="Z1883" s="2">
        <v>-9.07</v>
      </c>
    </row>
    <row r="1884" spans="1:26" x14ac:dyDescent="0.25">
      <c r="A1884" s="1" t="s">
        <v>7713</v>
      </c>
      <c r="B1884" s="1" t="s">
        <v>7714</v>
      </c>
      <c r="C1884" s="1" t="s">
        <v>16</v>
      </c>
      <c r="D1884" s="1" t="s">
        <v>61</v>
      </c>
      <c r="E1884" s="1" t="s">
        <v>2394</v>
      </c>
      <c r="F1884" s="1" t="s">
        <v>7715</v>
      </c>
      <c r="G1884" s="1" t="s">
        <v>12480</v>
      </c>
      <c r="H1884" s="1" t="s">
        <v>3845</v>
      </c>
      <c r="I1884" s="2">
        <v>68.03</v>
      </c>
      <c r="J1884" s="2">
        <v>7.05</v>
      </c>
      <c r="K1884" s="2">
        <v>5.84</v>
      </c>
      <c r="L1884" s="2">
        <v>7.28</v>
      </c>
      <c r="M1884" s="4">
        <f t="shared" si="174"/>
        <v>11.648972602739727</v>
      </c>
      <c r="N1884" s="4">
        <f t="shared" si="175"/>
        <v>9.344780219780219</v>
      </c>
      <c r="O1884" s="5">
        <f t="shared" si="176"/>
        <v>-0.17163120567375889</v>
      </c>
      <c r="P1884" s="5">
        <f t="shared" si="177"/>
        <v>0.24657534246575352</v>
      </c>
      <c r="Q1884" s="4">
        <f t="shared" si="178"/>
        <v>-0.67872113098607501</v>
      </c>
      <c r="R1884" s="4">
        <f t="shared" si="179"/>
        <v>0.37898275335775317</v>
      </c>
      <c r="S1884" s="4">
        <v>-8.4</v>
      </c>
      <c r="T1884" s="2">
        <v>1.46</v>
      </c>
      <c r="U1884" s="2">
        <v>82.83</v>
      </c>
      <c r="V1884" s="2">
        <v>62.44</v>
      </c>
      <c r="W1884" s="2">
        <v>-6.41</v>
      </c>
      <c r="X1884" s="2">
        <v>-9.85</v>
      </c>
      <c r="Y1884" s="2">
        <v>-4.32</v>
      </c>
      <c r="Z1884" s="2">
        <v>3.39</v>
      </c>
    </row>
    <row r="1885" spans="1:26" x14ac:dyDescent="0.25">
      <c r="A1885" s="1" t="s">
        <v>7716</v>
      </c>
      <c r="B1885" s="1" t="s">
        <v>7717</v>
      </c>
      <c r="C1885" s="1" t="s">
        <v>31</v>
      </c>
      <c r="D1885" s="1" t="s">
        <v>88</v>
      </c>
      <c r="E1885" s="1" t="s">
        <v>504</v>
      </c>
      <c r="F1885" s="1" t="s">
        <v>7718</v>
      </c>
      <c r="G1885" s="1" t="s">
        <v>12490</v>
      </c>
      <c r="H1885" s="1" t="s">
        <v>7719</v>
      </c>
      <c r="I1885" s="2" t="s">
        <v>12542</v>
      </c>
      <c r="J1885" s="2">
        <v>1.04</v>
      </c>
      <c r="K1885" s="2"/>
      <c r="L1885" s="2"/>
      <c r="M1885" s="4" t="e">
        <f t="shared" si="174"/>
        <v>#DIV/0!</v>
      </c>
      <c r="N1885" s="4" t="e">
        <f t="shared" si="175"/>
        <v>#DIV/0!</v>
      </c>
      <c r="O1885" s="5">
        <f t="shared" si="176"/>
        <v>-1</v>
      </c>
      <c r="P1885" s="5" t="e">
        <f t="shared" si="177"/>
        <v>#DIV/0!</v>
      </c>
      <c r="Q1885" s="4" t="e">
        <f t="shared" si="178"/>
        <v>#DIV/0!</v>
      </c>
      <c r="R1885" s="4" t="e">
        <f t="shared" si="179"/>
        <v>#DIV/0!</v>
      </c>
      <c r="S1885" s="4">
        <v>-4.76</v>
      </c>
      <c r="T1885" s="2">
        <v>0.62</v>
      </c>
      <c r="U1885" s="2">
        <v>38.74</v>
      </c>
      <c r="V1885" s="2">
        <v>19.95</v>
      </c>
      <c r="W1885" s="2">
        <v>-21.24</v>
      </c>
      <c r="X1885" s="2">
        <v>-16.440000000000001</v>
      </c>
      <c r="Y1885" s="2">
        <v>-4.01</v>
      </c>
      <c r="Z1885" s="2">
        <v>-4.76</v>
      </c>
    </row>
    <row r="1886" spans="1:26" x14ac:dyDescent="0.25">
      <c r="A1886" s="1" t="s">
        <v>7720</v>
      </c>
      <c r="B1886" s="1" t="s">
        <v>7721</v>
      </c>
      <c r="C1886" s="1" t="s">
        <v>16</v>
      </c>
      <c r="D1886" s="1" t="s">
        <v>147</v>
      </c>
      <c r="E1886" s="1" t="s">
        <v>148</v>
      </c>
      <c r="F1886" s="1" t="s">
        <v>7722</v>
      </c>
      <c r="G1886" s="1" t="s">
        <v>12496</v>
      </c>
      <c r="H1886" s="1" t="s">
        <v>3393</v>
      </c>
      <c r="I1886" s="2">
        <v>133.94</v>
      </c>
      <c r="J1886" s="2">
        <v>7.53</v>
      </c>
      <c r="K1886" s="2">
        <v>6.43</v>
      </c>
      <c r="L1886" s="2">
        <v>7.51</v>
      </c>
      <c r="M1886" s="4">
        <f t="shared" si="174"/>
        <v>20.830482115085537</v>
      </c>
      <c r="N1886" s="4">
        <f t="shared" si="175"/>
        <v>17.834886817576564</v>
      </c>
      <c r="O1886" s="5">
        <f t="shared" si="176"/>
        <v>-0.14608233731739717</v>
      </c>
      <c r="P1886" s="5">
        <f t="shared" si="177"/>
        <v>0.16796267496111983</v>
      </c>
      <c r="Q1886" s="4">
        <f t="shared" si="178"/>
        <v>-1.4259411847872183</v>
      </c>
      <c r="R1886" s="4">
        <f t="shared" si="179"/>
        <v>1.0618363170094189</v>
      </c>
      <c r="S1886" s="4">
        <v>2.74</v>
      </c>
      <c r="T1886" s="2">
        <v>0.78</v>
      </c>
      <c r="U1886" s="2">
        <v>169.63</v>
      </c>
      <c r="V1886" s="2">
        <v>128.35</v>
      </c>
      <c r="W1886" s="2">
        <v>-0.73</v>
      </c>
      <c r="X1886" s="2">
        <v>-5.09</v>
      </c>
      <c r="Y1886" s="2">
        <v>-16.28</v>
      </c>
      <c r="Z1886" s="2">
        <v>0.86</v>
      </c>
    </row>
    <row r="1887" spans="1:26" x14ac:dyDescent="0.25">
      <c r="A1887" s="1" t="s">
        <v>7723</v>
      </c>
      <c r="B1887" s="1" t="s">
        <v>7724</v>
      </c>
      <c r="C1887" s="1" t="s">
        <v>31</v>
      </c>
      <c r="D1887" s="1" t="s">
        <v>32</v>
      </c>
      <c r="E1887" s="1" t="s">
        <v>829</v>
      </c>
      <c r="F1887" s="1" t="s">
        <v>7725</v>
      </c>
      <c r="G1887" s="1" t="s">
        <v>12480</v>
      </c>
      <c r="H1887" s="1" t="s">
        <v>7726</v>
      </c>
      <c r="I1887" s="2">
        <v>11.73</v>
      </c>
      <c r="J1887" s="2">
        <v>0.05</v>
      </c>
      <c r="K1887" s="2"/>
      <c r="L1887" s="2"/>
      <c r="M1887" s="4" t="e">
        <f t="shared" si="174"/>
        <v>#DIV/0!</v>
      </c>
      <c r="N1887" s="4" t="e">
        <f t="shared" si="175"/>
        <v>#DIV/0!</v>
      </c>
      <c r="O1887" s="5">
        <f t="shared" si="176"/>
        <v>-1</v>
      </c>
      <c r="P1887" s="5" t="e">
        <f t="shared" si="177"/>
        <v>#DIV/0!</v>
      </c>
      <c r="Q1887" s="4" t="e">
        <f t="shared" si="178"/>
        <v>#DIV/0!</v>
      </c>
      <c r="R1887" s="4" t="e">
        <f t="shared" si="179"/>
        <v>#DIV/0!</v>
      </c>
      <c r="S1887" s="4">
        <v>-14.41</v>
      </c>
      <c r="T1887" s="2">
        <v>1.2</v>
      </c>
      <c r="U1887" s="2">
        <v>13.05</v>
      </c>
      <c r="V1887" s="2">
        <v>5.15</v>
      </c>
      <c r="W1887" s="2">
        <v>-10.119999999999999</v>
      </c>
      <c r="X1887" s="2">
        <v>-0.93</v>
      </c>
      <c r="Y1887" s="2">
        <v>25.59</v>
      </c>
      <c r="Z1887" s="2">
        <v>14.37</v>
      </c>
    </row>
    <row r="1888" spans="1:26" x14ac:dyDescent="0.25">
      <c r="A1888" s="1" t="s">
        <v>7727</v>
      </c>
      <c r="B1888" s="1" t="s">
        <v>7728</v>
      </c>
      <c r="C1888" s="1" t="s">
        <v>31</v>
      </c>
      <c r="D1888" s="1" t="s">
        <v>128</v>
      </c>
      <c r="E1888" s="1" t="s">
        <v>210</v>
      </c>
      <c r="F1888" s="1" t="s">
        <v>7729</v>
      </c>
      <c r="G1888" s="1" t="s">
        <v>12485</v>
      </c>
      <c r="H1888" s="1" t="s">
        <v>7730</v>
      </c>
      <c r="I1888" s="2">
        <v>69.644999999999996</v>
      </c>
      <c r="J1888" s="2">
        <v>3.41</v>
      </c>
      <c r="K1888" s="2"/>
      <c r="L1888" s="2"/>
      <c r="M1888" s="4" t="e">
        <f t="shared" si="174"/>
        <v>#DIV/0!</v>
      </c>
      <c r="N1888" s="4" t="e">
        <f t="shared" si="175"/>
        <v>#DIV/0!</v>
      </c>
      <c r="O1888" s="5">
        <f t="shared" si="176"/>
        <v>-1</v>
      </c>
      <c r="P1888" s="5" t="e">
        <f t="shared" si="177"/>
        <v>#DIV/0!</v>
      </c>
      <c r="Q1888" s="4" t="e">
        <f t="shared" si="178"/>
        <v>#DIV/0!</v>
      </c>
      <c r="R1888" s="4" t="e">
        <f t="shared" si="179"/>
        <v>#DIV/0!</v>
      </c>
      <c r="S1888" s="4">
        <v>0.91</v>
      </c>
      <c r="T1888" s="2"/>
      <c r="U1888" s="2">
        <v>73.98</v>
      </c>
      <c r="V1888" s="2">
        <v>66.23</v>
      </c>
      <c r="W1888" s="2">
        <v>-2.74</v>
      </c>
      <c r="X1888" s="2">
        <v>-0.73</v>
      </c>
      <c r="Y1888" s="2">
        <v>-1.92</v>
      </c>
      <c r="Z1888" s="2">
        <v>-3.41</v>
      </c>
    </row>
    <row r="1889" spans="1:26" x14ac:dyDescent="0.25">
      <c r="A1889" s="1" t="s">
        <v>7731</v>
      </c>
      <c r="B1889" s="1" t="s">
        <v>7732</v>
      </c>
      <c r="C1889" s="1" t="s">
        <v>16</v>
      </c>
      <c r="D1889" s="1" t="s">
        <v>88</v>
      </c>
      <c r="E1889" s="1" t="s">
        <v>658</v>
      </c>
      <c r="F1889" s="1" t="s">
        <v>7733</v>
      </c>
      <c r="G1889" s="1" t="s">
        <v>12480</v>
      </c>
      <c r="H1889" s="1" t="s">
        <v>572</v>
      </c>
      <c r="I1889" s="2">
        <v>145.22999999999999</v>
      </c>
      <c r="J1889" s="2">
        <v>5.44</v>
      </c>
      <c r="K1889" s="2">
        <v>6.38</v>
      </c>
      <c r="L1889" s="2">
        <v>7.59</v>
      </c>
      <c r="M1889" s="4">
        <f t="shared" si="174"/>
        <v>22.763322884012538</v>
      </c>
      <c r="N1889" s="4">
        <f t="shared" si="175"/>
        <v>19.134387351778656</v>
      </c>
      <c r="O1889" s="5">
        <f t="shared" si="176"/>
        <v>0.17279411764705865</v>
      </c>
      <c r="P1889" s="5">
        <f t="shared" si="177"/>
        <v>0.18965517241379315</v>
      </c>
      <c r="Q1889" s="4">
        <f t="shared" si="178"/>
        <v>1.3173667711598758</v>
      </c>
      <c r="R1889" s="4">
        <f t="shared" si="179"/>
        <v>1.0089040603665107</v>
      </c>
      <c r="S1889" s="4">
        <v>6.04</v>
      </c>
      <c r="T1889" s="2">
        <v>0.84</v>
      </c>
      <c r="U1889" s="2">
        <v>166.59</v>
      </c>
      <c r="V1889" s="2">
        <v>72.150000000000006</v>
      </c>
      <c r="W1889" s="2">
        <v>-12.82</v>
      </c>
      <c r="X1889" s="2">
        <v>-3.35</v>
      </c>
      <c r="Y1889" s="2">
        <v>15.27</v>
      </c>
      <c r="Z1889" s="2">
        <v>16.82</v>
      </c>
    </row>
    <row r="1890" spans="1:26" x14ac:dyDescent="0.25">
      <c r="A1890" s="1" t="s">
        <v>7734</v>
      </c>
      <c r="B1890" s="1" t="s">
        <v>7735</v>
      </c>
      <c r="C1890" s="1" t="s">
        <v>45</v>
      </c>
      <c r="D1890" s="1" t="s">
        <v>32</v>
      </c>
      <c r="E1890" s="1" t="s">
        <v>290</v>
      </c>
      <c r="F1890" s="1" t="s">
        <v>7736</v>
      </c>
      <c r="G1890" s="1" t="s">
        <v>12485</v>
      </c>
      <c r="H1890" s="1" t="s">
        <v>7737</v>
      </c>
      <c r="I1890" s="2">
        <v>218.73</v>
      </c>
      <c r="J1890" s="2">
        <v>3.47</v>
      </c>
      <c r="K1890" s="2">
        <v>4.4000000000000004</v>
      </c>
      <c r="L1890" s="2">
        <v>5.22</v>
      </c>
      <c r="M1890" s="4">
        <f t="shared" si="174"/>
        <v>49.711363636363629</v>
      </c>
      <c r="N1890" s="4">
        <f t="shared" si="175"/>
        <v>41.902298850574709</v>
      </c>
      <c r="O1890" s="5">
        <f t="shared" si="176"/>
        <v>0.26801152737752165</v>
      </c>
      <c r="P1890" s="5">
        <f t="shared" si="177"/>
        <v>0.18636363636363629</v>
      </c>
      <c r="Q1890" s="4">
        <f t="shared" si="178"/>
        <v>1.8548218475073308</v>
      </c>
      <c r="R1890" s="4">
        <f t="shared" si="179"/>
        <v>2.2484160358844973</v>
      </c>
      <c r="S1890" s="4">
        <v>32.58</v>
      </c>
      <c r="T1890" s="2">
        <v>1.41</v>
      </c>
      <c r="U1890" s="2">
        <v>258.54000000000002</v>
      </c>
      <c r="V1890" s="2">
        <v>87.64</v>
      </c>
      <c r="W1890" s="2">
        <v>-15.4</v>
      </c>
      <c r="X1890" s="2">
        <v>-7.2</v>
      </c>
      <c r="Y1890" s="2">
        <v>24.78</v>
      </c>
      <c r="Z1890" s="2">
        <v>27.7</v>
      </c>
    </row>
    <row r="1891" spans="1:26" x14ac:dyDescent="0.25">
      <c r="A1891" s="1" t="s">
        <v>7738</v>
      </c>
      <c r="B1891" s="1" t="s">
        <v>7739</v>
      </c>
      <c r="C1891" s="1" t="s">
        <v>31</v>
      </c>
      <c r="D1891" s="1" t="s">
        <v>147</v>
      </c>
      <c r="E1891" s="1" t="s">
        <v>1084</v>
      </c>
      <c r="F1891" s="1" t="s">
        <v>7740</v>
      </c>
      <c r="G1891" s="1" t="s">
        <v>12485</v>
      </c>
      <c r="H1891" s="1" t="s">
        <v>7741</v>
      </c>
      <c r="I1891" s="2">
        <v>1.04</v>
      </c>
      <c r="J1891" s="2">
        <v>0.03</v>
      </c>
      <c r="K1891" s="2"/>
      <c r="L1891" s="2"/>
      <c r="M1891" s="4" t="e">
        <f t="shared" si="174"/>
        <v>#DIV/0!</v>
      </c>
      <c r="N1891" s="4" t="e">
        <f t="shared" si="175"/>
        <v>#DIV/0!</v>
      </c>
      <c r="O1891" s="5">
        <f t="shared" si="176"/>
        <v>-1</v>
      </c>
      <c r="P1891" s="5" t="e">
        <f t="shared" si="177"/>
        <v>#DIV/0!</v>
      </c>
      <c r="Q1891" s="4" t="e">
        <f t="shared" si="178"/>
        <v>#DIV/0!</v>
      </c>
      <c r="R1891" s="4" t="e">
        <f t="shared" si="179"/>
        <v>#DIV/0!</v>
      </c>
      <c r="S1891" s="4">
        <v>4.8</v>
      </c>
      <c r="T1891" s="2">
        <v>1.3</v>
      </c>
      <c r="U1891" s="2">
        <v>1.06</v>
      </c>
      <c r="V1891" s="2">
        <v>0.56000000000000005</v>
      </c>
      <c r="W1891" s="2">
        <v>-1.89</v>
      </c>
      <c r="X1891" s="2" t="s">
        <v>12513</v>
      </c>
      <c r="Y1891" s="2">
        <v>11.83</v>
      </c>
      <c r="Z1891" s="2">
        <v>9.19</v>
      </c>
    </row>
    <row r="1892" spans="1:26" x14ac:dyDescent="0.25">
      <c r="A1892" s="1" t="s">
        <v>7742</v>
      </c>
      <c r="B1892" s="1" t="s">
        <v>7743</v>
      </c>
      <c r="C1892" s="1" t="s">
        <v>31</v>
      </c>
      <c r="D1892" s="1" t="s">
        <v>204</v>
      </c>
      <c r="E1892" s="1" t="s">
        <v>205</v>
      </c>
      <c r="F1892" s="1" t="s">
        <v>7744</v>
      </c>
      <c r="G1892" s="1" t="s">
        <v>12480</v>
      </c>
      <c r="H1892" s="1" t="s">
        <v>7745</v>
      </c>
      <c r="I1892" s="2">
        <v>201.15</v>
      </c>
      <c r="J1892" s="2">
        <v>10.06</v>
      </c>
      <c r="K1892" s="2">
        <v>11.47</v>
      </c>
      <c r="L1892" s="2">
        <v>12.45</v>
      </c>
      <c r="M1892" s="4">
        <f t="shared" si="174"/>
        <v>17.537053182214471</v>
      </c>
      <c r="N1892" s="4">
        <f t="shared" si="175"/>
        <v>16.156626506024097</v>
      </c>
      <c r="O1892" s="5">
        <f t="shared" si="176"/>
        <v>0.14015904572564608</v>
      </c>
      <c r="P1892" s="5">
        <f t="shared" si="177"/>
        <v>8.5440278988665908E-2</v>
      </c>
      <c r="Q1892" s="4">
        <f t="shared" si="178"/>
        <v>1.2512252128587067</v>
      </c>
      <c r="R1892" s="4">
        <f t="shared" si="179"/>
        <v>1.890984755347926</v>
      </c>
      <c r="S1892" s="4">
        <v>23.59</v>
      </c>
      <c r="T1892" s="2">
        <v>1.0900000000000001</v>
      </c>
      <c r="U1892" s="2">
        <v>237.85</v>
      </c>
      <c r="V1892" s="2">
        <v>146.77000000000001</v>
      </c>
      <c r="W1892" s="2">
        <v>-3.64</v>
      </c>
      <c r="X1892" s="2">
        <v>-12.68</v>
      </c>
      <c r="Y1892" s="2">
        <v>-3.27</v>
      </c>
      <c r="Z1892" s="2">
        <v>-3.49</v>
      </c>
    </row>
    <row r="1893" spans="1:26" x14ac:dyDescent="0.25">
      <c r="A1893" s="1" t="s">
        <v>7746</v>
      </c>
      <c r="B1893" s="1" t="s">
        <v>7747</v>
      </c>
      <c r="C1893" s="1" t="s">
        <v>16</v>
      </c>
      <c r="D1893" s="1" t="s">
        <v>88</v>
      </c>
      <c r="E1893" s="1" t="s">
        <v>1113</v>
      </c>
      <c r="F1893" s="1" t="s">
        <v>7748</v>
      </c>
      <c r="G1893" s="1" t="s">
        <v>12480</v>
      </c>
      <c r="H1893" s="1" t="s">
        <v>12613</v>
      </c>
      <c r="I1893" s="2">
        <v>67.45</v>
      </c>
      <c r="J1893" s="2">
        <v>5.52</v>
      </c>
      <c r="K1893" s="2">
        <v>6.25</v>
      </c>
      <c r="L1893" s="2">
        <v>7.12</v>
      </c>
      <c r="M1893" s="4">
        <f t="shared" si="174"/>
        <v>10.792</v>
      </c>
      <c r="N1893" s="4">
        <f t="shared" si="175"/>
        <v>9.4733146067415728</v>
      </c>
      <c r="O1893" s="5">
        <f t="shared" si="176"/>
        <v>0.13224637681159424</v>
      </c>
      <c r="P1893" s="5">
        <f t="shared" si="177"/>
        <v>0.13919999999999999</v>
      </c>
      <c r="Q1893" s="4">
        <f t="shared" si="178"/>
        <v>0.8160526027397258</v>
      </c>
      <c r="R1893" s="4">
        <f t="shared" si="179"/>
        <v>0.68055421025442342</v>
      </c>
      <c r="S1893" s="4">
        <v>-2.17</v>
      </c>
      <c r="T1893" s="2">
        <v>1.24</v>
      </c>
      <c r="U1893" s="2">
        <v>74.16</v>
      </c>
      <c r="V1893" s="2">
        <v>50.93</v>
      </c>
      <c r="W1893" s="2" t="s">
        <v>12736</v>
      </c>
      <c r="X1893" s="2">
        <v>-6.44</v>
      </c>
      <c r="Y1893" s="2">
        <v>8.44</v>
      </c>
      <c r="Z1893" s="2">
        <v>10.66</v>
      </c>
    </row>
    <row r="1894" spans="1:26" x14ac:dyDescent="0.25">
      <c r="A1894" s="1" t="s">
        <v>7749</v>
      </c>
      <c r="B1894" s="1" t="s">
        <v>7750</v>
      </c>
      <c r="C1894" s="1" t="s">
        <v>16</v>
      </c>
      <c r="D1894" s="1" t="s">
        <v>61</v>
      </c>
      <c r="E1894" s="1" t="s">
        <v>3884</v>
      </c>
      <c r="F1894" s="1" t="s">
        <v>7751</v>
      </c>
      <c r="G1894" s="1" t="s">
        <v>12480</v>
      </c>
      <c r="H1894" s="1" t="s">
        <v>7752</v>
      </c>
      <c r="I1894" s="2">
        <v>297.81</v>
      </c>
      <c r="J1894" s="2">
        <v>6.55</v>
      </c>
      <c r="K1894" s="2">
        <v>8.58</v>
      </c>
      <c r="L1894" s="2">
        <v>10.89</v>
      </c>
      <c r="M1894" s="4">
        <f t="shared" si="174"/>
        <v>34.709790209790206</v>
      </c>
      <c r="N1894" s="4">
        <f t="shared" si="175"/>
        <v>27.347107438016529</v>
      </c>
      <c r="O1894" s="5">
        <f t="shared" si="176"/>
        <v>0.30992366412213745</v>
      </c>
      <c r="P1894" s="5">
        <f t="shared" si="177"/>
        <v>0.26923076923076938</v>
      </c>
      <c r="Q1894" s="4">
        <f t="shared" si="178"/>
        <v>1.1199464328774671</v>
      </c>
      <c r="R1894" s="4">
        <f t="shared" si="179"/>
        <v>1.0157497048406134</v>
      </c>
      <c r="S1894" s="4">
        <v>16.22</v>
      </c>
      <c r="T1894" s="2">
        <v>1.89</v>
      </c>
      <c r="U1894" s="2">
        <v>304.52999999999997</v>
      </c>
      <c r="V1894" s="2">
        <v>106.07</v>
      </c>
      <c r="W1894" s="2">
        <v>-2.21</v>
      </c>
      <c r="X1894" s="2">
        <v>13.62</v>
      </c>
      <c r="Y1894" s="2">
        <v>35.14</v>
      </c>
      <c r="Z1894" s="2">
        <v>37.01</v>
      </c>
    </row>
    <row r="1895" spans="1:26" x14ac:dyDescent="0.25">
      <c r="A1895" s="1" t="s">
        <v>7753</v>
      </c>
      <c r="B1895" s="1" t="s">
        <v>7754</v>
      </c>
      <c r="C1895" s="1" t="s">
        <v>45</v>
      </c>
      <c r="D1895" s="1" t="s">
        <v>32</v>
      </c>
      <c r="E1895" s="1" t="s">
        <v>490</v>
      </c>
      <c r="F1895" s="1" t="s">
        <v>7755</v>
      </c>
      <c r="G1895" s="1" t="s">
        <v>12497</v>
      </c>
      <c r="H1895" s="1" t="s">
        <v>7756</v>
      </c>
      <c r="I1895" s="2">
        <v>389.32</v>
      </c>
      <c r="J1895" s="2">
        <v>8.2899999999999991</v>
      </c>
      <c r="K1895" s="2">
        <v>35.119999999999997</v>
      </c>
      <c r="L1895" s="2">
        <v>49.17</v>
      </c>
      <c r="M1895" s="4">
        <f t="shared" si="174"/>
        <v>11.085421412300684</v>
      </c>
      <c r="N1895" s="4">
        <f t="shared" si="175"/>
        <v>7.9178360789099038</v>
      </c>
      <c r="O1895" s="5">
        <f t="shared" si="176"/>
        <v>3.2364294330518701</v>
      </c>
      <c r="P1895" s="5">
        <f t="shared" si="177"/>
        <v>0.40005694760820054</v>
      </c>
      <c r="Q1895" s="4">
        <f t="shared" si="178"/>
        <v>3.4252010252692006E-2</v>
      </c>
      <c r="R1895" s="4">
        <f t="shared" si="179"/>
        <v>0.19791772462015356</v>
      </c>
      <c r="S1895" s="4">
        <v>48.85</v>
      </c>
      <c r="T1895" s="2">
        <v>1.5</v>
      </c>
      <c r="U1895" s="2">
        <v>437.8</v>
      </c>
      <c r="V1895" s="2">
        <v>64.72</v>
      </c>
      <c r="W1895" s="2">
        <v>-5.66</v>
      </c>
      <c r="X1895" s="2">
        <v>1.52</v>
      </c>
      <c r="Y1895" s="2">
        <v>63.92</v>
      </c>
      <c r="Z1895" s="2">
        <v>36.409999999999997</v>
      </c>
    </row>
    <row r="1896" spans="1:26" x14ac:dyDescent="0.25">
      <c r="A1896" s="1" t="s">
        <v>7757</v>
      </c>
      <c r="B1896" s="1" t="s">
        <v>7758</v>
      </c>
      <c r="C1896" s="1" t="s">
        <v>16</v>
      </c>
      <c r="D1896" s="1" t="s">
        <v>38</v>
      </c>
      <c r="E1896" s="1" t="s">
        <v>259</v>
      </c>
      <c r="F1896" s="1" t="s">
        <v>7759</v>
      </c>
      <c r="G1896" s="1" t="s">
        <v>12480</v>
      </c>
      <c r="H1896" s="1" t="s">
        <v>12743</v>
      </c>
      <c r="I1896" s="2">
        <v>107.68</v>
      </c>
      <c r="J1896" s="2"/>
      <c r="K1896" s="2"/>
      <c r="L1896" s="2"/>
      <c r="M1896" s="4" t="e">
        <f t="shared" si="174"/>
        <v>#DIV/0!</v>
      </c>
      <c r="N1896" s="4" t="e">
        <f t="shared" si="175"/>
        <v>#DIV/0!</v>
      </c>
      <c r="O1896" s="5" t="e">
        <f t="shared" si="176"/>
        <v>#DIV/0!</v>
      </c>
      <c r="P1896" s="5" t="e">
        <f t="shared" si="177"/>
        <v>#DIV/0!</v>
      </c>
      <c r="Q1896" s="4" t="e">
        <f t="shared" si="178"/>
        <v>#DIV/0!</v>
      </c>
      <c r="R1896" s="4" t="e">
        <f t="shared" si="179"/>
        <v>#DIV/0!</v>
      </c>
      <c r="S1896" s="4"/>
      <c r="T1896" s="2">
        <v>0.25</v>
      </c>
      <c r="U1896" s="2">
        <v>108.92</v>
      </c>
      <c r="V1896" s="2">
        <v>102.31</v>
      </c>
      <c r="W1896" s="2">
        <v>-0.54</v>
      </c>
      <c r="X1896" s="2">
        <v>-0.1</v>
      </c>
      <c r="Y1896" s="2">
        <v>0.79</v>
      </c>
      <c r="Z1896" s="2">
        <v>0.53</v>
      </c>
    </row>
    <row r="1897" spans="1:26" x14ac:dyDescent="0.25">
      <c r="A1897" s="1" t="s">
        <v>7761</v>
      </c>
      <c r="B1897" s="1" t="s">
        <v>7762</v>
      </c>
      <c r="C1897" s="1" t="s">
        <v>16</v>
      </c>
      <c r="D1897" s="1" t="s">
        <v>38</v>
      </c>
      <c r="E1897" s="1" t="s">
        <v>259</v>
      </c>
      <c r="F1897" s="1" t="s">
        <v>7763</v>
      </c>
      <c r="G1897" s="1" t="s">
        <v>12480</v>
      </c>
      <c r="H1897" s="1" t="s">
        <v>7764</v>
      </c>
      <c r="I1897" s="2">
        <v>10.8</v>
      </c>
      <c r="J1897" s="2"/>
      <c r="K1897" s="2"/>
      <c r="L1897" s="2"/>
      <c r="M1897" s="4" t="e">
        <f t="shared" si="174"/>
        <v>#DIV/0!</v>
      </c>
      <c r="N1897" s="4" t="e">
        <f t="shared" si="175"/>
        <v>#DIV/0!</v>
      </c>
      <c r="O1897" s="5" t="e">
        <f t="shared" si="176"/>
        <v>#DIV/0!</v>
      </c>
      <c r="P1897" s="5" t="e">
        <f t="shared" si="177"/>
        <v>#DIV/0!</v>
      </c>
      <c r="Q1897" s="4" t="e">
        <f t="shared" si="178"/>
        <v>#DIV/0!</v>
      </c>
      <c r="R1897" s="4" t="e">
        <f t="shared" si="179"/>
        <v>#DIV/0!</v>
      </c>
      <c r="S1897" s="4"/>
      <c r="T1897" s="2">
        <v>0.66</v>
      </c>
      <c r="U1897" s="2">
        <v>11.02</v>
      </c>
      <c r="V1897" s="2">
        <v>10.02</v>
      </c>
      <c r="W1897" s="2">
        <v>-1.91</v>
      </c>
      <c r="X1897" s="2">
        <v>-0.74</v>
      </c>
      <c r="Y1897" s="2">
        <v>1.31</v>
      </c>
      <c r="Z1897" s="2">
        <v>1.89</v>
      </c>
    </row>
    <row r="1898" spans="1:26" x14ac:dyDescent="0.25">
      <c r="A1898" s="1" t="s">
        <v>7765</v>
      </c>
      <c r="B1898" s="1" t="s">
        <v>7766</v>
      </c>
      <c r="C1898" s="1" t="s">
        <v>16</v>
      </c>
      <c r="D1898" s="1" t="s">
        <v>38</v>
      </c>
      <c r="E1898" s="1" t="s">
        <v>189</v>
      </c>
      <c r="F1898" s="1" t="s">
        <v>7767</v>
      </c>
      <c r="G1898" s="1" t="s">
        <v>12490</v>
      </c>
      <c r="H1898" s="1" t="s">
        <v>7768</v>
      </c>
      <c r="I1898" s="2">
        <v>17.28</v>
      </c>
      <c r="J1898" s="2">
        <v>1.1200000000000001</v>
      </c>
      <c r="K1898" s="2">
        <v>1.23</v>
      </c>
      <c r="L1898" s="2">
        <v>1.46</v>
      </c>
      <c r="M1898" s="4">
        <f t="shared" si="174"/>
        <v>14.04878048780488</v>
      </c>
      <c r="N1898" s="4">
        <f t="shared" si="175"/>
        <v>11.835616438356166</v>
      </c>
      <c r="O1898" s="5">
        <f t="shared" si="176"/>
        <v>9.8214285714285587E-2</v>
      </c>
      <c r="P1898" s="5">
        <f t="shared" si="177"/>
        <v>0.18699186991869921</v>
      </c>
      <c r="Q1898" s="4">
        <f t="shared" si="178"/>
        <v>1.4304212860310441</v>
      </c>
      <c r="R1898" s="4">
        <f t="shared" si="179"/>
        <v>0.63294818344252524</v>
      </c>
      <c r="S1898" s="4">
        <v>8.67</v>
      </c>
      <c r="T1898" s="2">
        <v>0.33</v>
      </c>
      <c r="U1898" s="2">
        <v>19.73</v>
      </c>
      <c r="V1898" s="2">
        <v>10.79</v>
      </c>
      <c r="W1898" s="2">
        <v>-4.4800000000000004</v>
      </c>
      <c r="X1898" s="2">
        <v>-10.050000000000001</v>
      </c>
      <c r="Y1898" s="2">
        <v>5.43</v>
      </c>
      <c r="Z1898" s="2">
        <v>8.9499999999999993</v>
      </c>
    </row>
    <row r="1899" spans="1:26" x14ac:dyDescent="0.25">
      <c r="A1899" s="1" t="s">
        <v>7769</v>
      </c>
      <c r="B1899" s="1" t="s">
        <v>7770</v>
      </c>
      <c r="C1899" s="1" t="s">
        <v>16</v>
      </c>
      <c r="D1899" s="1" t="s">
        <v>94</v>
      </c>
      <c r="E1899" s="1" t="s">
        <v>894</v>
      </c>
      <c r="F1899" s="1" t="s">
        <v>7771</v>
      </c>
      <c r="G1899" s="1" t="s">
        <v>12480</v>
      </c>
      <c r="H1899" s="1" t="s">
        <v>7772</v>
      </c>
      <c r="I1899" s="2">
        <v>33.659999999999997</v>
      </c>
      <c r="J1899" s="2">
        <v>1.37</v>
      </c>
      <c r="K1899" s="2">
        <v>0.28999999999999998</v>
      </c>
      <c r="L1899" s="2">
        <v>1.6</v>
      </c>
      <c r="M1899" s="4">
        <f t="shared" si="174"/>
        <v>116.06896551724138</v>
      </c>
      <c r="N1899" s="4">
        <f t="shared" si="175"/>
        <v>21.037499999999998</v>
      </c>
      <c r="O1899" s="5">
        <f t="shared" si="176"/>
        <v>-0.78832116788321172</v>
      </c>
      <c r="P1899" s="5">
        <f t="shared" si="177"/>
        <v>4.5172413793103452</v>
      </c>
      <c r="Q1899" s="4">
        <f t="shared" si="178"/>
        <v>-1.4723563218390805</v>
      </c>
      <c r="R1899" s="4">
        <f t="shared" si="179"/>
        <v>4.6571564885496172E-2</v>
      </c>
      <c r="S1899" s="4">
        <v>-10.220000000000001</v>
      </c>
      <c r="T1899" s="2">
        <v>0.72</v>
      </c>
      <c r="U1899" s="2">
        <v>34.869999999999997</v>
      </c>
      <c r="V1899" s="2">
        <v>19.62</v>
      </c>
      <c r="W1899" s="2">
        <v>-3.33</v>
      </c>
      <c r="X1899" s="2">
        <v>3.35</v>
      </c>
      <c r="Y1899" s="2">
        <v>3.31</v>
      </c>
      <c r="Z1899" s="2">
        <v>7.71</v>
      </c>
    </row>
    <row r="1900" spans="1:26" x14ac:dyDescent="0.25">
      <c r="A1900" s="1" t="s">
        <v>7773</v>
      </c>
      <c r="B1900" s="1" t="s">
        <v>7774</v>
      </c>
      <c r="C1900" s="1" t="s">
        <v>31</v>
      </c>
      <c r="D1900" s="1" t="s">
        <v>38</v>
      </c>
      <c r="E1900" s="1" t="s">
        <v>254</v>
      </c>
      <c r="F1900" s="1" t="s">
        <v>7775</v>
      </c>
      <c r="G1900" s="1" t="s">
        <v>12480</v>
      </c>
      <c r="H1900" s="1" t="s">
        <v>7776</v>
      </c>
      <c r="I1900" s="2">
        <v>12.32</v>
      </c>
      <c r="J1900" s="2">
        <v>1.07</v>
      </c>
      <c r="K1900" s="2">
        <v>1.18</v>
      </c>
      <c r="L1900" s="2">
        <v>1.25</v>
      </c>
      <c r="M1900" s="4">
        <f t="shared" si="174"/>
        <v>10.440677966101696</v>
      </c>
      <c r="N1900" s="4">
        <f t="shared" si="175"/>
        <v>9.8559999999999999</v>
      </c>
      <c r="O1900" s="5">
        <f t="shared" si="176"/>
        <v>0.10280373831775691</v>
      </c>
      <c r="P1900" s="5">
        <f t="shared" si="177"/>
        <v>5.9322033898305149E-2</v>
      </c>
      <c r="Q1900" s="4">
        <f t="shared" si="178"/>
        <v>1.0155932203389841</v>
      </c>
      <c r="R1900" s="4">
        <f t="shared" si="179"/>
        <v>1.6614399999999983</v>
      </c>
      <c r="S1900" s="4">
        <v>3.8</v>
      </c>
      <c r="T1900" s="2">
        <v>0.47</v>
      </c>
      <c r="U1900" s="2">
        <v>14.15</v>
      </c>
      <c r="V1900" s="2">
        <v>11.49</v>
      </c>
      <c r="W1900" s="2">
        <v>-4.2</v>
      </c>
      <c r="X1900" s="2">
        <v>-1.91</v>
      </c>
      <c r="Y1900" s="2">
        <v>-5.59</v>
      </c>
      <c r="Z1900" s="2">
        <v>-6.6</v>
      </c>
    </row>
    <row r="1901" spans="1:26" x14ac:dyDescent="0.25">
      <c r="A1901" s="1" t="s">
        <v>7777</v>
      </c>
      <c r="B1901" s="1" t="s">
        <v>7778</v>
      </c>
      <c r="C1901" s="1" t="s">
        <v>16</v>
      </c>
      <c r="D1901" s="1" t="s">
        <v>67</v>
      </c>
      <c r="E1901" s="1" t="s">
        <v>2270</v>
      </c>
      <c r="F1901" s="1" t="s">
        <v>7779</v>
      </c>
      <c r="G1901" s="1" t="s">
        <v>12480</v>
      </c>
      <c r="H1901" s="1" t="s">
        <v>405</v>
      </c>
      <c r="I1901" s="2">
        <v>436.79</v>
      </c>
      <c r="J1901" s="2">
        <v>24.1</v>
      </c>
      <c r="K1901" s="2">
        <v>24.6</v>
      </c>
      <c r="L1901" s="2">
        <v>26.78</v>
      </c>
      <c r="M1901" s="4">
        <f t="shared" si="174"/>
        <v>17.755691056910567</v>
      </c>
      <c r="N1901" s="4">
        <f t="shared" si="175"/>
        <v>16.310306198655713</v>
      </c>
      <c r="O1901" s="5">
        <f t="shared" si="176"/>
        <v>2.0746887966804906E-2</v>
      </c>
      <c r="P1901" s="5">
        <f t="shared" si="177"/>
        <v>8.8617886178861793E-2</v>
      </c>
      <c r="Q1901" s="4">
        <f t="shared" si="178"/>
        <v>8.558243089430924</v>
      </c>
      <c r="R1901" s="4">
        <f t="shared" si="179"/>
        <v>1.8405207912244517</v>
      </c>
      <c r="S1901" s="4">
        <v>-4.25</v>
      </c>
      <c r="T1901" s="2">
        <v>0.4</v>
      </c>
      <c r="U1901" s="2">
        <v>520.27</v>
      </c>
      <c r="V1901" s="2">
        <v>356.57</v>
      </c>
      <c r="W1901" s="2">
        <v>8.3699999999999992</v>
      </c>
      <c r="X1901" s="2">
        <v>18.38</v>
      </c>
      <c r="Y1901" s="2">
        <v>7.8</v>
      </c>
      <c r="Z1901" s="2">
        <v>8.24</v>
      </c>
    </row>
    <row r="1902" spans="1:26" x14ac:dyDescent="0.25">
      <c r="A1902" s="1" t="s">
        <v>7780</v>
      </c>
      <c r="B1902" s="1" t="s">
        <v>7781</v>
      </c>
      <c r="C1902" s="1" t="s">
        <v>16</v>
      </c>
      <c r="D1902" s="1" t="s">
        <v>88</v>
      </c>
      <c r="E1902" s="1" t="s">
        <v>658</v>
      </c>
      <c r="F1902" s="1" t="s">
        <v>7782</v>
      </c>
      <c r="G1902" s="1" t="s">
        <v>12480</v>
      </c>
      <c r="H1902" s="1" t="s">
        <v>7783</v>
      </c>
      <c r="I1902" s="2">
        <v>24.5</v>
      </c>
      <c r="J1902" s="2">
        <v>-0.86</v>
      </c>
      <c r="K1902" s="2">
        <v>0.93</v>
      </c>
      <c r="L1902" s="2"/>
      <c r="M1902" s="4">
        <f t="shared" si="174"/>
        <v>26.344086021505376</v>
      </c>
      <c r="N1902" s="4" t="e">
        <f t="shared" si="175"/>
        <v>#DIV/0!</v>
      </c>
      <c r="O1902" s="5">
        <f t="shared" si="176"/>
        <v>-2.0813953488372094</v>
      </c>
      <c r="P1902" s="5">
        <f t="shared" si="177"/>
        <v>-1</v>
      </c>
      <c r="Q1902" s="4">
        <f t="shared" si="178"/>
        <v>-0.12656935183516549</v>
      </c>
      <c r="R1902" s="4" t="e">
        <f t="shared" si="179"/>
        <v>#DIV/0!</v>
      </c>
      <c r="S1902" s="4">
        <v>4.96</v>
      </c>
      <c r="T1902" s="2">
        <v>1.1100000000000001</v>
      </c>
      <c r="U1902" s="2">
        <v>29.05</v>
      </c>
      <c r="V1902" s="2">
        <v>6.56</v>
      </c>
      <c r="W1902" s="2">
        <v>-13.76</v>
      </c>
      <c r="X1902" s="2">
        <v>-8.34</v>
      </c>
      <c r="Y1902" s="2">
        <v>29.7</v>
      </c>
      <c r="Z1902" s="2">
        <v>32.36</v>
      </c>
    </row>
    <row r="1903" spans="1:26" x14ac:dyDescent="0.25">
      <c r="A1903" s="1" t="s">
        <v>7784</v>
      </c>
      <c r="B1903" s="1" t="s">
        <v>7785</v>
      </c>
      <c r="C1903" s="1" t="s">
        <v>16</v>
      </c>
      <c r="D1903" s="1" t="s">
        <v>25</v>
      </c>
      <c r="E1903" s="1" t="s">
        <v>220</v>
      </c>
      <c r="F1903" s="1" t="s">
        <v>7786</v>
      </c>
      <c r="G1903" s="1" t="s">
        <v>12485</v>
      </c>
      <c r="H1903" s="1" t="s">
        <v>4347</v>
      </c>
      <c r="I1903" s="2">
        <v>27.99</v>
      </c>
      <c r="J1903" s="2">
        <v>1.31</v>
      </c>
      <c r="K1903" s="2">
        <v>1.45</v>
      </c>
      <c r="L1903" s="2">
        <v>1.57</v>
      </c>
      <c r="M1903" s="4">
        <f t="shared" si="174"/>
        <v>19.303448275862067</v>
      </c>
      <c r="N1903" s="4">
        <f t="shared" si="175"/>
        <v>17.828025477707005</v>
      </c>
      <c r="O1903" s="5">
        <f t="shared" si="176"/>
        <v>0.10687022900763354</v>
      </c>
      <c r="P1903" s="5">
        <f t="shared" si="177"/>
        <v>8.2758620689655338E-2</v>
      </c>
      <c r="Q1903" s="4">
        <f t="shared" si="178"/>
        <v>1.8062512315270942</v>
      </c>
      <c r="R1903" s="4">
        <f t="shared" si="179"/>
        <v>2.1542197452229255</v>
      </c>
      <c r="S1903" s="4">
        <v>8.75</v>
      </c>
      <c r="T1903" s="2">
        <v>1.1499999999999999</v>
      </c>
      <c r="U1903" s="2">
        <v>30.15</v>
      </c>
      <c r="V1903" s="2">
        <v>22.82</v>
      </c>
      <c r="W1903" s="2">
        <v>-5.73</v>
      </c>
      <c r="X1903" s="2">
        <v>-5.66</v>
      </c>
      <c r="Y1903" s="2">
        <v>11.65</v>
      </c>
      <c r="Z1903" s="2">
        <v>17.510000000000002</v>
      </c>
    </row>
    <row r="1904" spans="1:26" x14ac:dyDescent="0.25">
      <c r="A1904" s="1" t="s">
        <v>7787</v>
      </c>
      <c r="B1904" s="1" t="s">
        <v>7788</v>
      </c>
      <c r="C1904" s="1" t="s">
        <v>45</v>
      </c>
      <c r="D1904" s="1" t="s">
        <v>354</v>
      </c>
      <c r="E1904" s="1" t="s">
        <v>7790</v>
      </c>
      <c r="F1904" s="1" t="s">
        <v>7789</v>
      </c>
      <c r="G1904" s="1" t="s">
        <v>12480</v>
      </c>
      <c r="H1904" s="1" t="s">
        <v>7791</v>
      </c>
      <c r="I1904" s="2">
        <v>28.22</v>
      </c>
      <c r="J1904" s="2"/>
      <c r="K1904" s="2"/>
      <c r="L1904" s="2"/>
      <c r="M1904" s="4" t="e">
        <f t="shared" si="174"/>
        <v>#DIV/0!</v>
      </c>
      <c r="N1904" s="4" t="e">
        <f t="shared" si="175"/>
        <v>#DIV/0!</v>
      </c>
      <c r="O1904" s="5" t="e">
        <f t="shared" si="176"/>
        <v>#DIV/0!</v>
      </c>
      <c r="P1904" s="5" t="e">
        <f t="shared" si="177"/>
        <v>#DIV/0!</v>
      </c>
      <c r="Q1904" s="4" t="e">
        <f t="shared" si="178"/>
        <v>#DIV/0!</v>
      </c>
      <c r="R1904" s="4" t="e">
        <f t="shared" si="179"/>
        <v>#DIV/0!</v>
      </c>
      <c r="S1904" s="4"/>
      <c r="T1904" s="2"/>
      <c r="U1904" s="2">
        <v>32.340000000000003</v>
      </c>
      <c r="V1904" s="2">
        <v>27.04</v>
      </c>
      <c r="W1904" s="2">
        <v>-10.5</v>
      </c>
      <c r="X1904" s="2"/>
      <c r="Y1904" s="2"/>
      <c r="Z1904" s="2"/>
    </row>
    <row r="1905" spans="1:26" x14ac:dyDescent="0.25">
      <c r="A1905" s="1" t="s">
        <v>7792</v>
      </c>
      <c r="B1905" s="1" t="s">
        <v>7793</v>
      </c>
      <c r="C1905" s="1" t="s">
        <v>31</v>
      </c>
      <c r="D1905" s="1" t="s">
        <v>88</v>
      </c>
      <c r="E1905" s="1" t="s">
        <v>1113</v>
      </c>
      <c r="F1905" s="1" t="s">
        <v>7794</v>
      </c>
      <c r="G1905" s="1" t="s">
        <v>12480</v>
      </c>
      <c r="H1905" s="1" t="s">
        <v>12744</v>
      </c>
      <c r="I1905" s="2">
        <v>1.9750000000000001</v>
      </c>
      <c r="J1905" s="2">
        <v>0.16</v>
      </c>
      <c r="K1905" s="2">
        <v>0.06</v>
      </c>
      <c r="L1905" s="2">
        <v>0.09</v>
      </c>
      <c r="M1905" s="4">
        <f t="shared" si="174"/>
        <v>32.916666666666671</v>
      </c>
      <c r="N1905" s="4">
        <f t="shared" si="175"/>
        <v>21.944444444444446</v>
      </c>
      <c r="O1905" s="5">
        <f t="shared" si="176"/>
        <v>-0.625</v>
      </c>
      <c r="P1905" s="5">
        <f t="shared" si="177"/>
        <v>0.5</v>
      </c>
      <c r="Q1905" s="4">
        <f t="shared" si="178"/>
        <v>-0.52666666666666673</v>
      </c>
      <c r="R1905" s="4">
        <f t="shared" si="179"/>
        <v>0.43888888888888894</v>
      </c>
      <c r="S1905" s="4">
        <v>-8.51</v>
      </c>
      <c r="T1905" s="2">
        <v>0.59</v>
      </c>
      <c r="U1905" s="2">
        <v>2.44</v>
      </c>
      <c r="V1905" s="2">
        <v>1.18</v>
      </c>
      <c r="W1905" s="2">
        <v>-11.04</v>
      </c>
      <c r="X1905" s="2">
        <v>-19.059999999999999</v>
      </c>
      <c r="Y1905" s="2">
        <v>9.1199999999999992</v>
      </c>
      <c r="Z1905" s="2">
        <v>19.329999999999998</v>
      </c>
    </row>
    <row r="1906" spans="1:26" x14ac:dyDescent="0.25">
      <c r="A1906" s="1" t="s">
        <v>7795</v>
      </c>
      <c r="B1906" s="1" t="s">
        <v>7796</v>
      </c>
      <c r="C1906" s="1" t="s">
        <v>45</v>
      </c>
      <c r="D1906" s="1" t="s">
        <v>32</v>
      </c>
      <c r="E1906" s="1" t="s">
        <v>290</v>
      </c>
      <c r="F1906" s="1" t="s">
        <v>7797</v>
      </c>
      <c r="G1906" s="1" t="s">
        <v>12480</v>
      </c>
      <c r="H1906" s="1" t="s">
        <v>7798</v>
      </c>
      <c r="I1906" s="2">
        <v>15.94</v>
      </c>
      <c r="J1906" s="2">
        <v>0.31</v>
      </c>
      <c r="K1906" s="2">
        <v>0.85</v>
      </c>
      <c r="L1906" s="2">
        <v>1.06</v>
      </c>
      <c r="M1906" s="4">
        <f t="shared" si="174"/>
        <v>18.752941176470589</v>
      </c>
      <c r="N1906" s="4">
        <f t="shared" si="175"/>
        <v>15.037735849056602</v>
      </c>
      <c r="O1906" s="5">
        <f t="shared" si="176"/>
        <v>1.7419354838709675</v>
      </c>
      <c r="P1906" s="5">
        <f t="shared" si="177"/>
        <v>0.24705882352941178</v>
      </c>
      <c r="Q1906" s="4">
        <f t="shared" si="178"/>
        <v>0.10765577342047933</v>
      </c>
      <c r="R1906" s="4">
        <f t="shared" si="179"/>
        <v>0.60867026055705298</v>
      </c>
      <c r="S1906" s="4">
        <v>29.71</v>
      </c>
      <c r="T1906" s="2">
        <v>1.7</v>
      </c>
      <c r="U1906" s="2">
        <v>19.96</v>
      </c>
      <c r="V1906" s="2">
        <v>9.15</v>
      </c>
      <c r="W1906" s="2">
        <v>-11.4</v>
      </c>
      <c r="X1906" s="2">
        <v>-16.149999999999999</v>
      </c>
      <c r="Y1906" s="2">
        <v>-7.33</v>
      </c>
      <c r="Z1906" s="2">
        <v>-8.5500000000000007</v>
      </c>
    </row>
    <row r="1907" spans="1:26" x14ac:dyDescent="0.25">
      <c r="A1907" s="1" t="s">
        <v>7799</v>
      </c>
      <c r="B1907" s="1" t="s">
        <v>7800</v>
      </c>
      <c r="C1907" s="1" t="s">
        <v>45</v>
      </c>
      <c r="D1907" s="1" t="s">
        <v>354</v>
      </c>
      <c r="E1907" s="1" t="s">
        <v>7790</v>
      </c>
      <c r="F1907" s="1" t="s">
        <v>7801</v>
      </c>
      <c r="G1907" s="1" t="s">
        <v>12480</v>
      </c>
      <c r="H1907" s="1" t="s">
        <v>2699</v>
      </c>
      <c r="I1907" s="2">
        <v>267.31</v>
      </c>
      <c r="J1907" s="2">
        <v>7.53</v>
      </c>
      <c r="K1907" s="2">
        <v>8.98</v>
      </c>
      <c r="L1907" s="2">
        <v>9.2899999999999991</v>
      </c>
      <c r="M1907" s="4">
        <f t="shared" si="174"/>
        <v>29.767260579064587</v>
      </c>
      <c r="N1907" s="4">
        <f t="shared" si="175"/>
        <v>28.773950484391822</v>
      </c>
      <c r="O1907" s="5">
        <f t="shared" si="176"/>
        <v>0.1925630810092962</v>
      </c>
      <c r="P1907" s="5">
        <f t="shared" si="177"/>
        <v>3.4521158129175777E-2</v>
      </c>
      <c r="Q1907" s="4">
        <f t="shared" si="178"/>
        <v>1.5458446355886641</v>
      </c>
      <c r="R1907" s="4">
        <f t="shared" si="179"/>
        <v>8.3351637209625746</v>
      </c>
      <c r="S1907" s="4">
        <v>8.7899999999999991</v>
      </c>
      <c r="T1907" s="2">
        <v>1.1499999999999999</v>
      </c>
      <c r="U1907" s="2">
        <v>281.01</v>
      </c>
      <c r="V1907" s="2">
        <v>101.85</v>
      </c>
      <c r="W1907" s="2">
        <v>-2.2799999999999998</v>
      </c>
      <c r="X1907" s="2">
        <v>-1.07</v>
      </c>
      <c r="Y1907" s="2">
        <v>21.22</v>
      </c>
      <c r="Z1907" s="2">
        <v>22.34</v>
      </c>
    </row>
    <row r="1908" spans="1:26" x14ac:dyDescent="0.25">
      <c r="A1908" s="1" t="s">
        <v>7802</v>
      </c>
      <c r="B1908" s="1" t="s">
        <v>7803</v>
      </c>
      <c r="C1908" s="1" t="s">
        <v>31</v>
      </c>
      <c r="D1908" s="1" t="s">
        <v>305</v>
      </c>
      <c r="E1908" s="1" t="s">
        <v>1176</v>
      </c>
      <c r="F1908" s="1" t="s">
        <v>7804</v>
      </c>
      <c r="G1908" s="1" t="s">
        <v>12490</v>
      </c>
      <c r="H1908" s="1" t="s">
        <v>7805</v>
      </c>
      <c r="I1908" s="2">
        <v>3.61</v>
      </c>
      <c r="J1908" s="2">
        <v>0.76</v>
      </c>
      <c r="K1908" s="2">
        <v>0.1</v>
      </c>
      <c r="L1908" s="2">
        <v>0.66</v>
      </c>
      <c r="M1908" s="4">
        <f t="shared" si="174"/>
        <v>36.099999999999994</v>
      </c>
      <c r="N1908" s="4">
        <f t="shared" si="175"/>
        <v>5.4696969696969688</v>
      </c>
      <c r="O1908" s="5">
        <f t="shared" si="176"/>
        <v>-0.86842105263157898</v>
      </c>
      <c r="P1908" s="5">
        <f t="shared" si="177"/>
        <v>5.6</v>
      </c>
      <c r="Q1908" s="4">
        <f t="shared" si="178"/>
        <v>-0.41569696969696956</v>
      </c>
      <c r="R1908" s="4">
        <f t="shared" si="179"/>
        <v>9.7673160173160165E-3</v>
      </c>
      <c r="S1908" s="4">
        <v>-1.44</v>
      </c>
      <c r="T1908" s="2">
        <v>0.45</v>
      </c>
      <c r="U1908" s="2">
        <v>4.5</v>
      </c>
      <c r="V1908" s="2">
        <v>2.61</v>
      </c>
      <c r="W1908" s="2">
        <v>-13.84</v>
      </c>
      <c r="X1908" s="2">
        <v>-7.08</v>
      </c>
      <c r="Y1908" s="2">
        <v>-6.57</v>
      </c>
      <c r="Z1908" s="2">
        <v>-6.23</v>
      </c>
    </row>
    <row r="1909" spans="1:26" x14ac:dyDescent="0.25">
      <c r="A1909" s="1" t="s">
        <v>7806</v>
      </c>
      <c r="B1909" s="1" t="s">
        <v>7807</v>
      </c>
      <c r="C1909" s="1" t="s">
        <v>45</v>
      </c>
      <c r="D1909" s="1" t="s">
        <v>128</v>
      </c>
      <c r="E1909" s="1" t="s">
        <v>556</v>
      </c>
      <c r="F1909" s="1" t="s">
        <v>7808</v>
      </c>
      <c r="G1909" s="1" t="s">
        <v>12502</v>
      </c>
      <c r="H1909" s="1" t="s">
        <v>7809</v>
      </c>
      <c r="I1909" s="2">
        <v>163.97</v>
      </c>
      <c r="J1909" s="2">
        <v>6.61</v>
      </c>
      <c r="K1909" s="2"/>
      <c r="L1909" s="2"/>
      <c r="M1909" s="4" t="e">
        <f t="shared" si="174"/>
        <v>#DIV/0!</v>
      </c>
      <c r="N1909" s="4" t="e">
        <f t="shared" si="175"/>
        <v>#DIV/0!</v>
      </c>
      <c r="O1909" s="5">
        <f t="shared" si="176"/>
        <v>-1</v>
      </c>
      <c r="P1909" s="5" t="e">
        <f t="shared" si="177"/>
        <v>#DIV/0!</v>
      </c>
      <c r="Q1909" s="4" t="e">
        <f t="shared" si="178"/>
        <v>#DIV/0!</v>
      </c>
      <c r="R1909" s="4" t="e">
        <f t="shared" si="179"/>
        <v>#DIV/0!</v>
      </c>
      <c r="S1909" s="4" t="s">
        <v>12487</v>
      </c>
      <c r="T1909" s="2">
        <v>0.4</v>
      </c>
      <c r="U1909" s="2">
        <v>192.9</v>
      </c>
      <c r="V1909" s="2">
        <v>154.51</v>
      </c>
      <c r="W1909" s="2">
        <v>-0.53</v>
      </c>
      <c r="X1909" s="2">
        <v>6.12</v>
      </c>
      <c r="Y1909" s="2">
        <v>-3.55</v>
      </c>
      <c r="Z1909" s="2">
        <v>-0.27</v>
      </c>
    </row>
    <row r="1910" spans="1:26" x14ac:dyDescent="0.25">
      <c r="A1910" s="1" t="s">
        <v>7810</v>
      </c>
      <c r="B1910" s="1" t="s">
        <v>7811</v>
      </c>
      <c r="C1910" s="1" t="s">
        <v>31</v>
      </c>
      <c r="D1910" s="1" t="s">
        <v>38</v>
      </c>
      <c r="E1910" s="1" t="s">
        <v>189</v>
      </c>
      <c r="F1910" s="1" t="s">
        <v>7812</v>
      </c>
      <c r="G1910" s="1" t="s">
        <v>12485</v>
      </c>
      <c r="H1910" s="1" t="s">
        <v>7813</v>
      </c>
      <c r="I1910" s="2">
        <v>16.579999999999998</v>
      </c>
      <c r="J1910" s="2">
        <v>0.74</v>
      </c>
      <c r="K1910" s="2">
        <v>0.9</v>
      </c>
      <c r="L1910" s="2">
        <v>0.92</v>
      </c>
      <c r="M1910" s="4">
        <f t="shared" si="174"/>
        <v>18.422222222222221</v>
      </c>
      <c r="N1910" s="4">
        <f t="shared" si="175"/>
        <v>18.021739130434781</v>
      </c>
      <c r="O1910" s="5">
        <f t="shared" si="176"/>
        <v>0.21621621621621623</v>
      </c>
      <c r="P1910" s="5">
        <f t="shared" si="177"/>
        <v>2.2222222222222143E-2</v>
      </c>
      <c r="Q1910" s="4">
        <f t="shared" si="178"/>
        <v>0.85202777777777772</v>
      </c>
      <c r="R1910" s="4">
        <f t="shared" si="179"/>
        <v>8.1097826086956797</v>
      </c>
      <c r="S1910" s="4">
        <v>5.2</v>
      </c>
      <c r="T1910" s="2">
        <v>1.1100000000000001</v>
      </c>
      <c r="U1910" s="2">
        <v>17.64</v>
      </c>
      <c r="V1910" s="2">
        <v>9.33</v>
      </c>
      <c r="W1910" s="2">
        <v>-1.89</v>
      </c>
      <c r="X1910" s="2">
        <v>5.4</v>
      </c>
      <c r="Y1910" s="2">
        <v>18.09</v>
      </c>
      <c r="Z1910" s="2">
        <v>17.84</v>
      </c>
    </row>
    <row r="1911" spans="1:26" x14ac:dyDescent="0.25">
      <c r="A1911" s="1" t="s">
        <v>7814</v>
      </c>
      <c r="B1911" s="1" t="s">
        <v>7815</v>
      </c>
      <c r="C1911" s="1" t="s">
        <v>45</v>
      </c>
      <c r="D1911" s="1" t="s">
        <v>18</v>
      </c>
      <c r="E1911" s="1" t="s">
        <v>780</v>
      </c>
      <c r="F1911" s="1" t="s">
        <v>7816</v>
      </c>
      <c r="G1911" s="1" t="s">
        <v>12480</v>
      </c>
      <c r="H1911" s="1" t="s">
        <v>7817</v>
      </c>
      <c r="I1911" s="2">
        <v>30.77</v>
      </c>
      <c r="J1911" s="2">
        <v>-1.67</v>
      </c>
      <c r="K1911" s="2">
        <v>-1.89</v>
      </c>
      <c r="L1911" s="2">
        <v>-1.1499999999999999</v>
      </c>
      <c r="M1911" s="4">
        <f t="shared" si="174"/>
        <v>-16.280423280423282</v>
      </c>
      <c r="N1911" s="4">
        <f t="shared" si="175"/>
        <v>-26.756521739130438</v>
      </c>
      <c r="O1911" s="5">
        <f t="shared" si="176"/>
        <v>0.13173652694610771</v>
      </c>
      <c r="P1911" s="5">
        <f t="shared" si="177"/>
        <v>-0.39153439153439151</v>
      </c>
      <c r="Q1911" s="4">
        <f t="shared" si="178"/>
        <v>-1.2358321308321316</v>
      </c>
      <c r="R1911" s="4">
        <f t="shared" si="179"/>
        <v>0.68337602820211529</v>
      </c>
      <c r="S1911" s="4">
        <v>-50.61</v>
      </c>
      <c r="T1911" s="2">
        <v>0.04</v>
      </c>
      <c r="U1911" s="2">
        <v>41.45</v>
      </c>
      <c r="V1911" s="2">
        <v>14.9</v>
      </c>
      <c r="W1911" s="2">
        <v>-6.27</v>
      </c>
      <c r="X1911" s="2">
        <v>-12.09</v>
      </c>
      <c r="Y1911" s="2">
        <v>-12.96</v>
      </c>
      <c r="Z1911" s="2">
        <v>-12.29</v>
      </c>
    </row>
    <row r="1912" spans="1:26" x14ac:dyDescent="0.25">
      <c r="A1912" s="1" t="s">
        <v>7818</v>
      </c>
      <c r="B1912" s="1" t="s">
        <v>7819</v>
      </c>
      <c r="C1912" s="1" t="s">
        <v>16</v>
      </c>
      <c r="D1912" s="1" t="s">
        <v>46</v>
      </c>
      <c r="E1912" s="1" t="s">
        <v>770</v>
      </c>
      <c r="F1912" s="1" t="s">
        <v>7820</v>
      </c>
      <c r="G1912" s="1" t="s">
        <v>12480</v>
      </c>
      <c r="H1912" s="1" t="s">
        <v>7821</v>
      </c>
      <c r="I1912" s="2">
        <v>5.63</v>
      </c>
      <c r="J1912" s="2">
        <v>0.06</v>
      </c>
      <c r="K1912" s="2">
        <v>0.38</v>
      </c>
      <c r="L1912" s="2">
        <v>0.38</v>
      </c>
      <c r="M1912" s="4">
        <f t="shared" si="174"/>
        <v>14.815789473684211</v>
      </c>
      <c r="N1912" s="4">
        <f t="shared" si="175"/>
        <v>14.815789473684211</v>
      </c>
      <c r="O1912" s="5">
        <f t="shared" si="176"/>
        <v>5.3333333333333339</v>
      </c>
      <c r="P1912" s="5">
        <f t="shared" si="177"/>
        <v>0</v>
      </c>
      <c r="Q1912" s="4">
        <f t="shared" si="178"/>
        <v>2.7779605263157894E-2</v>
      </c>
      <c r="R1912" s="4" t="e">
        <f t="shared" si="179"/>
        <v>#DIV/0!</v>
      </c>
      <c r="S1912" s="4">
        <v>-18.91</v>
      </c>
      <c r="T1912" s="2">
        <v>-0.49</v>
      </c>
      <c r="U1912" s="2">
        <v>5.96</v>
      </c>
      <c r="V1912" s="2">
        <v>2.21</v>
      </c>
      <c r="W1912" s="2">
        <v>-5.54</v>
      </c>
      <c r="X1912" s="2">
        <v>32.47</v>
      </c>
      <c r="Y1912" s="2">
        <v>60.86</v>
      </c>
      <c r="Z1912" s="2">
        <v>63.66</v>
      </c>
    </row>
    <row r="1913" spans="1:26" x14ac:dyDescent="0.25">
      <c r="A1913" s="1" t="s">
        <v>7822</v>
      </c>
      <c r="B1913" s="1" t="s">
        <v>7823</v>
      </c>
      <c r="C1913" s="1" t="s">
        <v>16</v>
      </c>
      <c r="D1913" s="1" t="s">
        <v>32</v>
      </c>
      <c r="E1913" s="1" t="s">
        <v>311</v>
      </c>
      <c r="F1913" s="1" t="s">
        <v>7824</v>
      </c>
      <c r="G1913" s="1" t="s">
        <v>12480</v>
      </c>
      <c r="H1913" s="1" t="s">
        <v>7825</v>
      </c>
      <c r="I1913" s="2">
        <v>45.09</v>
      </c>
      <c r="J1913" s="2">
        <v>4.13</v>
      </c>
      <c r="K1913" s="2">
        <v>4.9800000000000004</v>
      </c>
      <c r="L1913" s="2">
        <v>4.8499999999999996</v>
      </c>
      <c r="M1913" s="4">
        <f t="shared" si="174"/>
        <v>9.0542168674698793</v>
      </c>
      <c r="N1913" s="4">
        <f t="shared" si="175"/>
        <v>9.2969072164948461</v>
      </c>
      <c r="O1913" s="5">
        <f t="shared" si="176"/>
        <v>0.20581113801452799</v>
      </c>
      <c r="P1913" s="5">
        <f t="shared" si="177"/>
        <v>-2.6104417670682833E-2</v>
      </c>
      <c r="Q1913" s="4">
        <f t="shared" si="178"/>
        <v>0.43992841956059497</v>
      </c>
      <c r="R1913" s="4">
        <f t="shared" si="179"/>
        <v>-3.561430610626473</v>
      </c>
      <c r="S1913" s="4">
        <v>0.86</v>
      </c>
      <c r="T1913" s="2">
        <v>0.79</v>
      </c>
      <c r="U1913" s="2">
        <v>48.13</v>
      </c>
      <c r="V1913" s="2">
        <v>23.09</v>
      </c>
      <c r="W1913" s="2">
        <v>-6.32</v>
      </c>
      <c r="X1913" s="2">
        <v>12.33</v>
      </c>
      <c r="Y1913" s="2">
        <v>17.3</v>
      </c>
      <c r="Z1913" s="2">
        <v>18.32</v>
      </c>
    </row>
    <row r="1914" spans="1:26" x14ac:dyDescent="0.25">
      <c r="A1914" s="1" t="s">
        <v>7826</v>
      </c>
      <c r="B1914" s="1" t="s">
        <v>7827</v>
      </c>
      <c r="C1914" s="1" t="s">
        <v>45</v>
      </c>
      <c r="D1914" s="1" t="s">
        <v>32</v>
      </c>
      <c r="E1914" s="1" t="s">
        <v>311</v>
      </c>
      <c r="F1914" s="1" t="s">
        <v>7828</v>
      </c>
      <c r="G1914" s="1" t="s">
        <v>12493</v>
      </c>
      <c r="H1914" s="1" t="s">
        <v>7829</v>
      </c>
      <c r="I1914" s="2">
        <v>9.89</v>
      </c>
      <c r="J1914" s="2"/>
      <c r="K1914" s="2">
        <v>0.04</v>
      </c>
      <c r="L1914" s="2">
        <v>0.09</v>
      </c>
      <c r="M1914" s="4">
        <f t="shared" si="174"/>
        <v>247.25</v>
      </c>
      <c r="N1914" s="4">
        <f t="shared" si="175"/>
        <v>109.8888888888889</v>
      </c>
      <c r="O1914" s="5" t="e">
        <f t="shared" si="176"/>
        <v>#DIV/0!</v>
      </c>
      <c r="P1914" s="5">
        <f t="shared" si="177"/>
        <v>1.25</v>
      </c>
      <c r="Q1914" s="4" t="e">
        <f t="shared" si="178"/>
        <v>#DIV/0!</v>
      </c>
      <c r="R1914" s="4">
        <f t="shared" si="179"/>
        <v>0.87911111111111118</v>
      </c>
      <c r="S1914" s="4"/>
      <c r="T1914" s="2"/>
      <c r="U1914" s="2">
        <v>20.27</v>
      </c>
      <c r="V1914" s="2">
        <v>9.16</v>
      </c>
      <c r="W1914" s="2">
        <v>-0.8</v>
      </c>
      <c r="X1914" s="2">
        <v>-9.18</v>
      </c>
      <c r="Y1914" s="2">
        <v>-32.42</v>
      </c>
      <c r="Z1914" s="2">
        <v>-42.1</v>
      </c>
    </row>
    <row r="1915" spans="1:26" x14ac:dyDescent="0.25">
      <c r="A1915" s="1" t="s">
        <v>7830</v>
      </c>
      <c r="B1915" s="1" t="s">
        <v>7831</v>
      </c>
      <c r="C1915" s="1" t="s">
        <v>16</v>
      </c>
      <c r="D1915" s="1" t="s">
        <v>38</v>
      </c>
      <c r="E1915" s="1" t="s">
        <v>119</v>
      </c>
      <c r="F1915" s="1" t="s">
        <v>7832</v>
      </c>
      <c r="G1915" s="1" t="s">
        <v>12480</v>
      </c>
      <c r="H1915" s="1" t="s">
        <v>7833</v>
      </c>
      <c r="I1915" s="2">
        <v>39.729999999999997</v>
      </c>
      <c r="J1915" s="2">
        <v>3.06</v>
      </c>
      <c r="K1915" s="2">
        <v>3.65</v>
      </c>
      <c r="L1915" s="2">
        <v>4.05</v>
      </c>
      <c r="M1915" s="4">
        <f t="shared" si="174"/>
        <v>10.884931506849314</v>
      </c>
      <c r="N1915" s="4">
        <f t="shared" si="175"/>
        <v>9.8098765432098762</v>
      </c>
      <c r="O1915" s="5">
        <f t="shared" si="176"/>
        <v>0.19281045751633985</v>
      </c>
      <c r="P1915" s="5">
        <f t="shared" si="177"/>
        <v>0.1095890410958904</v>
      </c>
      <c r="Q1915" s="4">
        <f t="shared" si="178"/>
        <v>0.56454051543998141</v>
      </c>
      <c r="R1915" s="4">
        <f t="shared" si="179"/>
        <v>0.89515123456790124</v>
      </c>
      <c r="S1915" s="4">
        <v>-2.0299999999999998</v>
      </c>
      <c r="T1915" s="2">
        <v>0.79</v>
      </c>
      <c r="U1915" s="2">
        <v>42.52</v>
      </c>
      <c r="V1915" s="2">
        <v>33.92</v>
      </c>
      <c r="W1915" s="2">
        <v>-2.34</v>
      </c>
      <c r="X1915" s="2">
        <v>-5.18</v>
      </c>
      <c r="Y1915" s="2">
        <v>-0.8</v>
      </c>
      <c r="Z1915" s="2">
        <v>4.53</v>
      </c>
    </row>
    <row r="1916" spans="1:26" x14ac:dyDescent="0.25">
      <c r="A1916" s="1" t="s">
        <v>7834</v>
      </c>
      <c r="B1916" s="1" t="s">
        <v>7835</v>
      </c>
      <c r="C1916" s="1" t="s">
        <v>45</v>
      </c>
      <c r="D1916" s="1" t="s">
        <v>32</v>
      </c>
      <c r="E1916" s="1" t="s">
        <v>3521</v>
      </c>
      <c r="F1916" s="1" t="s">
        <v>7836</v>
      </c>
      <c r="G1916" s="1" t="s">
        <v>12480</v>
      </c>
      <c r="H1916" s="1" t="s">
        <v>7837</v>
      </c>
      <c r="I1916" s="2">
        <v>94.94</v>
      </c>
      <c r="J1916" s="2">
        <v>-1.77</v>
      </c>
      <c r="K1916" s="2">
        <v>-2.44</v>
      </c>
      <c r="L1916" s="2">
        <v>-0.01</v>
      </c>
      <c r="M1916" s="4">
        <f t="shared" si="174"/>
        <v>-38.909836065573771</v>
      </c>
      <c r="N1916" s="4">
        <f t="shared" si="175"/>
        <v>-9494</v>
      </c>
      <c r="O1916" s="5">
        <f t="shared" si="176"/>
        <v>0.37853107344632764</v>
      </c>
      <c r="P1916" s="5">
        <f t="shared" si="177"/>
        <v>-0.99590163934426235</v>
      </c>
      <c r="Q1916" s="4">
        <f t="shared" si="178"/>
        <v>-1.0279165647173969</v>
      </c>
      <c r="R1916" s="4">
        <f t="shared" si="179"/>
        <v>95.330699588477373</v>
      </c>
      <c r="S1916" s="4">
        <v>350.89</v>
      </c>
      <c r="T1916" s="2">
        <v>4.0199999999999996</v>
      </c>
      <c r="U1916" s="2">
        <v>135.46</v>
      </c>
      <c r="V1916" s="2">
        <v>20.059999999999999</v>
      </c>
      <c r="W1916" s="2">
        <v>4.32</v>
      </c>
      <c r="X1916" s="2">
        <v>2.2200000000000002</v>
      </c>
      <c r="Y1916" s="2">
        <v>17.010000000000002</v>
      </c>
      <c r="Z1916" s="2">
        <v>13.42</v>
      </c>
    </row>
    <row r="1917" spans="1:26" x14ac:dyDescent="0.25">
      <c r="A1917" s="1" t="s">
        <v>7838</v>
      </c>
      <c r="B1917" s="1" t="s">
        <v>7839</v>
      </c>
      <c r="C1917" s="1" t="s">
        <v>45</v>
      </c>
      <c r="D1917" s="1" t="s">
        <v>18</v>
      </c>
      <c r="E1917" s="1" t="s">
        <v>780</v>
      </c>
      <c r="F1917" s="1" t="s">
        <v>7840</v>
      </c>
      <c r="G1917" s="1" t="s">
        <v>12480</v>
      </c>
      <c r="H1917" s="1" t="s">
        <v>7841</v>
      </c>
      <c r="I1917" s="2">
        <v>129.93</v>
      </c>
      <c r="J1917" s="2">
        <v>6.39</v>
      </c>
      <c r="K1917" s="2">
        <v>7.8</v>
      </c>
      <c r="L1917" s="2">
        <v>8.65</v>
      </c>
      <c r="M1917" s="4">
        <f t="shared" si="174"/>
        <v>16.657692307692308</v>
      </c>
      <c r="N1917" s="4">
        <f t="shared" si="175"/>
        <v>15.020809248554913</v>
      </c>
      <c r="O1917" s="5">
        <f t="shared" si="176"/>
        <v>0.22065727699530524</v>
      </c>
      <c r="P1917" s="5">
        <f t="shared" si="177"/>
        <v>0.10897435897435903</v>
      </c>
      <c r="Q1917" s="4">
        <f t="shared" si="178"/>
        <v>0.75491243862520441</v>
      </c>
      <c r="R1917" s="4">
        <f t="shared" si="179"/>
        <v>1.3783801428085678</v>
      </c>
      <c r="S1917" s="4">
        <v>21.45</v>
      </c>
      <c r="T1917" s="2">
        <v>0.32</v>
      </c>
      <c r="U1917" s="2">
        <v>155.63</v>
      </c>
      <c r="V1917" s="2">
        <v>87.54</v>
      </c>
      <c r="W1917" s="2">
        <v>-1.85</v>
      </c>
      <c r="X1917" s="2">
        <v>-6.9</v>
      </c>
      <c r="Y1917" s="2">
        <v>-15.66</v>
      </c>
      <c r="Z1917" s="2">
        <v>-8.39</v>
      </c>
    </row>
    <row r="1918" spans="1:26" x14ac:dyDescent="0.25">
      <c r="A1918" s="1" t="s">
        <v>7842</v>
      </c>
      <c r="B1918" s="1" t="s">
        <v>7843</v>
      </c>
      <c r="C1918" s="1" t="s">
        <v>16</v>
      </c>
      <c r="D1918" s="1" t="s">
        <v>94</v>
      </c>
      <c r="E1918" s="1" t="s">
        <v>1925</v>
      </c>
      <c r="F1918" s="1" t="s">
        <v>7844</v>
      </c>
      <c r="G1918" s="1" t="s">
        <v>12480</v>
      </c>
      <c r="H1918" s="1" t="s">
        <v>935</v>
      </c>
      <c r="I1918" s="2">
        <v>81.13</v>
      </c>
      <c r="J1918" s="2">
        <v>-12.23</v>
      </c>
      <c r="K1918" s="2">
        <v>-6.29</v>
      </c>
      <c r="L1918" s="2">
        <v>-3.15</v>
      </c>
      <c r="M1918" s="4">
        <f t="shared" si="174"/>
        <v>-12.898251192368839</v>
      </c>
      <c r="N1918" s="4">
        <f t="shared" si="175"/>
        <v>-25.755555555555556</v>
      </c>
      <c r="O1918" s="5">
        <f t="shared" si="176"/>
        <v>-0.48569092395748159</v>
      </c>
      <c r="P1918" s="5">
        <f t="shared" si="177"/>
        <v>-0.49920508744038161</v>
      </c>
      <c r="Q1918" s="4">
        <f t="shared" si="178"/>
        <v>0.26556500350618001</v>
      </c>
      <c r="R1918" s="4">
        <f t="shared" si="179"/>
        <v>0.51593135173389948</v>
      </c>
      <c r="S1918" s="4">
        <v>8.1999999999999993</v>
      </c>
      <c r="T1918" s="2">
        <v>0.89</v>
      </c>
      <c r="U1918" s="2">
        <v>81.13</v>
      </c>
      <c r="V1918" s="2">
        <v>24.6</v>
      </c>
      <c r="W1918" s="2">
        <v>5.5</v>
      </c>
      <c r="X1918" s="2">
        <v>15.21</v>
      </c>
      <c r="Y1918" s="2">
        <v>51.53</v>
      </c>
      <c r="Z1918" s="2">
        <v>49.41</v>
      </c>
    </row>
    <row r="1919" spans="1:26" x14ac:dyDescent="0.25">
      <c r="A1919" s="1" t="s">
        <v>7845</v>
      </c>
      <c r="B1919" s="1" t="s">
        <v>7846</v>
      </c>
      <c r="C1919" s="1" t="s">
        <v>45</v>
      </c>
      <c r="D1919" s="1" t="s">
        <v>38</v>
      </c>
      <c r="E1919" s="1" t="s">
        <v>1244</v>
      </c>
      <c r="F1919" s="1" t="s">
        <v>7847</v>
      </c>
      <c r="G1919" s="1" t="s">
        <v>12480</v>
      </c>
      <c r="H1919" s="1" t="s">
        <v>7848</v>
      </c>
      <c r="I1919" s="2">
        <v>41.41</v>
      </c>
      <c r="J1919" s="2">
        <v>3.82</v>
      </c>
      <c r="K1919" s="2">
        <v>4.17</v>
      </c>
      <c r="L1919" s="2">
        <v>4.49</v>
      </c>
      <c r="M1919" s="4">
        <f t="shared" si="174"/>
        <v>9.9304556354916063</v>
      </c>
      <c r="N1919" s="4">
        <f t="shared" si="175"/>
        <v>9.2227171492204896</v>
      </c>
      <c r="O1919" s="5">
        <f t="shared" si="176"/>
        <v>9.1623036649214784E-2</v>
      </c>
      <c r="P1919" s="5">
        <f t="shared" si="177"/>
        <v>7.6738609112709799E-2</v>
      </c>
      <c r="Q1919" s="4">
        <f t="shared" si="178"/>
        <v>1.0838383007879397</v>
      </c>
      <c r="R1919" s="4">
        <f t="shared" si="179"/>
        <v>1.2018353285077956</v>
      </c>
      <c r="S1919" s="4">
        <v>14.96</v>
      </c>
      <c r="T1919" s="2">
        <v>0.5</v>
      </c>
      <c r="U1919" s="2">
        <v>46.65</v>
      </c>
      <c r="V1919" s="2">
        <v>38.619999999999997</v>
      </c>
      <c r="W1919" s="2">
        <v>-3.2</v>
      </c>
      <c r="X1919" s="2">
        <v>-10.54</v>
      </c>
      <c r="Y1919" s="2">
        <v>-6.86</v>
      </c>
      <c r="Z1919" s="2">
        <v>-0.26</v>
      </c>
    </row>
    <row r="1920" spans="1:26" x14ac:dyDescent="0.25">
      <c r="A1920" s="1" t="s">
        <v>7849</v>
      </c>
      <c r="B1920" s="1" t="s">
        <v>7850</v>
      </c>
      <c r="C1920" s="1" t="s">
        <v>45</v>
      </c>
      <c r="D1920" s="1" t="s">
        <v>18</v>
      </c>
      <c r="E1920" s="1" t="s">
        <v>74</v>
      </c>
      <c r="F1920" s="1" t="s">
        <v>7851</v>
      </c>
      <c r="G1920" s="1" t="s">
        <v>12480</v>
      </c>
      <c r="H1920" s="1" t="s">
        <v>7852</v>
      </c>
      <c r="I1920" s="2">
        <v>40.130000000000003</v>
      </c>
      <c r="J1920" s="2">
        <v>-1.56</v>
      </c>
      <c r="K1920" s="2">
        <v>1.05</v>
      </c>
      <c r="L1920" s="2">
        <v>-0.32</v>
      </c>
      <c r="M1920" s="4">
        <f t="shared" si="174"/>
        <v>38.219047619047622</v>
      </c>
      <c r="N1920" s="4">
        <f t="shared" si="175"/>
        <v>-125.40625</v>
      </c>
      <c r="O1920" s="5">
        <f t="shared" si="176"/>
        <v>-1.6730769230769231</v>
      </c>
      <c r="P1920" s="5">
        <f t="shared" si="177"/>
        <v>-1.3047619047619048</v>
      </c>
      <c r="Q1920" s="4">
        <f t="shared" si="178"/>
        <v>-0.22843568691844554</v>
      </c>
      <c r="R1920" s="4">
        <f t="shared" si="179"/>
        <v>0.96114279197080288</v>
      </c>
      <c r="S1920" s="4"/>
      <c r="T1920" s="2">
        <v>0.63</v>
      </c>
      <c r="U1920" s="2">
        <v>40.130000000000003</v>
      </c>
      <c r="V1920" s="2">
        <v>3.02</v>
      </c>
      <c r="W1920" s="2">
        <v>25.56</v>
      </c>
      <c r="X1920" s="2">
        <v>70.260000000000005</v>
      </c>
      <c r="Y1920" s="2">
        <v>79.59</v>
      </c>
      <c r="Z1920" s="2">
        <v>73.569999999999993</v>
      </c>
    </row>
    <row r="1921" spans="1:26" x14ac:dyDescent="0.25">
      <c r="A1921" s="1" t="s">
        <v>7853</v>
      </c>
      <c r="B1921" s="1" t="s">
        <v>7854</v>
      </c>
      <c r="C1921" s="1" t="s">
        <v>31</v>
      </c>
      <c r="D1921" s="1" t="s">
        <v>147</v>
      </c>
      <c r="E1921" s="1" t="s">
        <v>1073</v>
      </c>
      <c r="F1921" s="1" t="s">
        <v>7855</v>
      </c>
      <c r="G1921" s="1" t="s">
        <v>12490</v>
      </c>
      <c r="H1921" s="1" t="s">
        <v>7856</v>
      </c>
      <c r="I1921" s="2">
        <v>13.26</v>
      </c>
      <c r="J1921" s="2"/>
      <c r="K1921" s="2"/>
      <c r="L1921" s="2"/>
      <c r="M1921" s="4" t="e">
        <f t="shared" si="174"/>
        <v>#DIV/0!</v>
      </c>
      <c r="N1921" s="4" t="e">
        <f t="shared" si="175"/>
        <v>#DIV/0!</v>
      </c>
      <c r="O1921" s="5" t="e">
        <f t="shared" si="176"/>
        <v>#DIV/0!</v>
      </c>
      <c r="P1921" s="5" t="e">
        <f t="shared" si="177"/>
        <v>#DIV/0!</v>
      </c>
      <c r="Q1921" s="4" t="e">
        <f t="shared" si="178"/>
        <v>#DIV/0!</v>
      </c>
      <c r="R1921" s="4" t="e">
        <f t="shared" si="179"/>
        <v>#DIV/0!</v>
      </c>
      <c r="S1921" s="4"/>
      <c r="T1921" s="2"/>
      <c r="U1921" s="2">
        <v>19.16</v>
      </c>
      <c r="V1921" s="2">
        <v>12.43</v>
      </c>
      <c r="W1921" s="2">
        <v>0.3</v>
      </c>
      <c r="X1921" s="2">
        <v>-1.56</v>
      </c>
      <c r="Y1921" s="2">
        <v>-1.85</v>
      </c>
      <c r="Z1921" s="2" t="s">
        <v>12489</v>
      </c>
    </row>
    <row r="1922" spans="1:26" x14ac:dyDescent="0.25">
      <c r="A1922" s="1" t="s">
        <v>7857</v>
      </c>
      <c r="B1922" s="1" t="s">
        <v>7858</v>
      </c>
      <c r="C1922" s="1" t="s">
        <v>16</v>
      </c>
      <c r="D1922" s="1" t="s">
        <v>147</v>
      </c>
      <c r="E1922" s="1" t="s">
        <v>148</v>
      </c>
      <c r="F1922" s="1" t="s">
        <v>7859</v>
      </c>
      <c r="G1922" s="1" t="s">
        <v>12480</v>
      </c>
      <c r="H1922" s="1" t="s">
        <v>7860</v>
      </c>
      <c r="I1922" s="2">
        <v>20.71</v>
      </c>
      <c r="J1922" s="2">
        <v>2.11</v>
      </c>
      <c r="K1922" s="2">
        <v>2.5299999999999998</v>
      </c>
      <c r="L1922" s="2">
        <v>2.87</v>
      </c>
      <c r="M1922" s="4">
        <f t="shared" si="174"/>
        <v>8.1857707509881426</v>
      </c>
      <c r="N1922" s="4">
        <f t="shared" si="175"/>
        <v>7.2160278745644604</v>
      </c>
      <c r="O1922" s="5">
        <f t="shared" si="176"/>
        <v>0.19905213270142186</v>
      </c>
      <c r="P1922" s="5">
        <f t="shared" si="177"/>
        <v>0.13438735177865624</v>
      </c>
      <c r="Q1922" s="4">
        <f t="shared" si="178"/>
        <v>0.41123753058535661</v>
      </c>
      <c r="R1922" s="4">
        <f t="shared" si="179"/>
        <v>0.53695736831317853</v>
      </c>
      <c r="S1922" s="4">
        <v>3.67</v>
      </c>
      <c r="T1922" s="2" t="s">
        <v>12487</v>
      </c>
      <c r="U1922" s="2">
        <v>26.94</v>
      </c>
      <c r="V1922" s="2">
        <v>15.5</v>
      </c>
      <c r="W1922" s="2">
        <v>-6.63</v>
      </c>
      <c r="X1922" s="2">
        <v>-9.3699999999999992</v>
      </c>
      <c r="Y1922" s="2">
        <v>-4.34</v>
      </c>
      <c r="Z1922" s="2">
        <v>-7.21</v>
      </c>
    </row>
    <row r="1923" spans="1:26" x14ac:dyDescent="0.25">
      <c r="A1923" s="1" t="s">
        <v>7861</v>
      </c>
      <c r="B1923" s="1" t="s">
        <v>7862</v>
      </c>
      <c r="C1923" s="1" t="s">
        <v>31</v>
      </c>
      <c r="D1923" s="1" t="s">
        <v>128</v>
      </c>
      <c r="E1923" s="1" t="s">
        <v>210</v>
      </c>
      <c r="F1923" s="1" t="s">
        <v>7863</v>
      </c>
      <c r="G1923" s="1" t="s">
        <v>12490</v>
      </c>
      <c r="H1923" s="1" t="s">
        <v>7864</v>
      </c>
      <c r="I1923" s="2">
        <v>9.17</v>
      </c>
      <c r="J1923" s="2">
        <v>0.52</v>
      </c>
      <c r="K1923" s="2"/>
      <c r="L1923" s="2"/>
      <c r="M1923" s="4" t="e">
        <f t="shared" ref="M1923:M1986" si="180">I1923/K1923</f>
        <v>#DIV/0!</v>
      </c>
      <c r="N1923" s="4" t="e">
        <f t="shared" ref="N1923:N1986" si="181">I1923/L1923</f>
        <v>#DIV/0!</v>
      </c>
      <c r="O1923" s="5">
        <f t="shared" ref="O1923:O1986" si="182">K1923/J1923-1</f>
        <v>-1</v>
      </c>
      <c r="P1923" s="5" t="e">
        <f t="shared" ref="P1923:P1986" si="183">L1923/K1923-1</f>
        <v>#DIV/0!</v>
      </c>
      <c r="Q1923" s="4" t="e">
        <f t="shared" ref="Q1923:Q1986" si="184">M1923/(O1923*100)</f>
        <v>#DIV/0!</v>
      </c>
      <c r="R1923" s="4" t="e">
        <f t="shared" ref="R1923:R1986" si="185">N1923/(P1923*100)</f>
        <v>#DIV/0!</v>
      </c>
      <c r="S1923" s="4">
        <v>-1.69</v>
      </c>
      <c r="T1923" s="2">
        <v>0.66</v>
      </c>
      <c r="U1923" s="2">
        <v>12.66</v>
      </c>
      <c r="V1923" s="2">
        <v>7.72</v>
      </c>
      <c r="W1923" s="2">
        <v>-5.56</v>
      </c>
      <c r="X1923" s="2">
        <v>-1.4</v>
      </c>
      <c r="Y1923" s="2">
        <v>-0.33</v>
      </c>
      <c r="Z1923" s="2">
        <v>5.4</v>
      </c>
    </row>
    <row r="1924" spans="1:26" x14ac:dyDescent="0.25">
      <c r="A1924" s="1" t="s">
        <v>7865</v>
      </c>
      <c r="B1924" s="1" t="s">
        <v>7866</v>
      </c>
      <c r="C1924" s="1" t="s">
        <v>45</v>
      </c>
      <c r="D1924" s="1" t="s">
        <v>32</v>
      </c>
      <c r="E1924" s="1" t="s">
        <v>311</v>
      </c>
      <c r="F1924" s="1" t="s">
        <v>7867</v>
      </c>
      <c r="G1924" s="1" t="s">
        <v>12493</v>
      </c>
      <c r="H1924" s="1" t="s">
        <v>7868</v>
      </c>
      <c r="I1924" s="2">
        <v>16.27</v>
      </c>
      <c r="J1924" s="2">
        <v>0.65</v>
      </c>
      <c r="K1924" s="2">
        <v>0.99</v>
      </c>
      <c r="L1924" s="2">
        <v>1.22</v>
      </c>
      <c r="M1924" s="4">
        <f t="shared" si="180"/>
        <v>16.434343434343432</v>
      </c>
      <c r="N1924" s="4">
        <f t="shared" si="181"/>
        <v>13.336065573770492</v>
      </c>
      <c r="O1924" s="5">
        <f t="shared" si="182"/>
        <v>0.52307692307692299</v>
      </c>
      <c r="P1924" s="5">
        <f t="shared" si="183"/>
        <v>0.23232323232323226</v>
      </c>
      <c r="Q1924" s="4">
        <f t="shared" si="184"/>
        <v>0.31418597742127158</v>
      </c>
      <c r="R1924" s="4">
        <f t="shared" si="185"/>
        <v>0.57403064861012132</v>
      </c>
      <c r="S1924" s="4">
        <v>13.45</v>
      </c>
      <c r="T1924" s="2">
        <v>0.59</v>
      </c>
      <c r="U1924" s="2">
        <v>32.69</v>
      </c>
      <c r="V1924" s="2">
        <v>14.64</v>
      </c>
      <c r="W1924" s="2">
        <v>0.87</v>
      </c>
      <c r="X1924" s="2">
        <v>-11.04</v>
      </c>
      <c r="Y1924" s="2">
        <v>-33.65</v>
      </c>
      <c r="Z1924" s="2">
        <v>-36.54</v>
      </c>
    </row>
    <row r="1925" spans="1:26" x14ac:dyDescent="0.25">
      <c r="A1925" s="1" t="s">
        <v>7869</v>
      </c>
      <c r="B1925" s="1" t="s">
        <v>7870</v>
      </c>
      <c r="C1925" s="1" t="s">
        <v>31</v>
      </c>
      <c r="D1925" s="1" t="s">
        <v>46</v>
      </c>
      <c r="E1925" s="1" t="s">
        <v>391</v>
      </c>
      <c r="F1925" s="1" t="s">
        <v>7871</v>
      </c>
      <c r="G1925" s="1" t="s">
        <v>12480</v>
      </c>
      <c r="H1925" s="1" t="s">
        <v>7872</v>
      </c>
      <c r="I1925" s="2">
        <v>27.81</v>
      </c>
      <c r="J1925" s="2">
        <v>0.83</v>
      </c>
      <c r="K1925" s="2"/>
      <c r="L1925" s="2"/>
      <c r="M1925" s="4" t="e">
        <f t="shared" si="180"/>
        <v>#DIV/0!</v>
      </c>
      <c r="N1925" s="4" t="e">
        <f t="shared" si="181"/>
        <v>#DIV/0!</v>
      </c>
      <c r="O1925" s="5">
        <f t="shared" si="182"/>
        <v>-1</v>
      </c>
      <c r="P1925" s="5" t="e">
        <f t="shared" si="183"/>
        <v>#DIV/0!</v>
      </c>
      <c r="Q1925" s="4" t="e">
        <f t="shared" si="184"/>
        <v>#DIV/0!</v>
      </c>
      <c r="R1925" s="4" t="e">
        <f t="shared" si="185"/>
        <v>#DIV/0!</v>
      </c>
      <c r="S1925" s="4">
        <v>-3.7</v>
      </c>
      <c r="T1925" s="2">
        <v>0.05</v>
      </c>
      <c r="U1925" s="2">
        <v>27.81</v>
      </c>
      <c r="V1925" s="2">
        <v>15.81</v>
      </c>
      <c r="W1925" s="2" t="s">
        <v>12489</v>
      </c>
      <c r="X1925" s="2" t="s">
        <v>12489</v>
      </c>
      <c r="Y1925" s="2">
        <v>10.97</v>
      </c>
      <c r="Z1925" s="2">
        <v>10.97</v>
      </c>
    </row>
    <row r="1926" spans="1:26" x14ac:dyDescent="0.25">
      <c r="A1926" s="1" t="s">
        <v>7873</v>
      </c>
      <c r="B1926" s="1" t="s">
        <v>7874</v>
      </c>
      <c r="C1926" s="1" t="s">
        <v>45</v>
      </c>
      <c r="D1926" s="1" t="s">
        <v>38</v>
      </c>
      <c r="E1926" s="1" t="s">
        <v>2304</v>
      </c>
      <c r="F1926" s="1" t="s">
        <v>7875</v>
      </c>
      <c r="G1926" s="1" t="s">
        <v>12480</v>
      </c>
      <c r="H1926" s="1" t="s">
        <v>7876</v>
      </c>
      <c r="I1926" s="2">
        <v>88.05</v>
      </c>
      <c r="J1926" s="2">
        <v>3.48</v>
      </c>
      <c r="K1926" s="2">
        <v>3.81</v>
      </c>
      <c r="L1926" s="2">
        <v>4.29</v>
      </c>
      <c r="M1926" s="4">
        <f t="shared" si="180"/>
        <v>23.110236220472441</v>
      </c>
      <c r="N1926" s="4">
        <f t="shared" si="181"/>
        <v>20.524475524475523</v>
      </c>
      <c r="O1926" s="5">
        <f t="shared" si="182"/>
        <v>9.4827586206896575E-2</v>
      </c>
      <c r="P1926" s="5">
        <f t="shared" si="183"/>
        <v>0.12598425196850394</v>
      </c>
      <c r="Q1926" s="4">
        <f t="shared" si="184"/>
        <v>2.4370794559770927</v>
      </c>
      <c r="R1926" s="4">
        <f t="shared" si="185"/>
        <v>1.6291302447552447</v>
      </c>
      <c r="S1926" s="4">
        <v>11.05</v>
      </c>
      <c r="T1926" s="2">
        <v>1.03</v>
      </c>
      <c r="U1926" s="2">
        <v>100.98</v>
      </c>
      <c r="V1926" s="2">
        <v>66.400000000000006</v>
      </c>
      <c r="W1926" s="2">
        <v>-0.05</v>
      </c>
      <c r="X1926" s="2">
        <v>2.0299999999999998</v>
      </c>
      <c r="Y1926" s="2">
        <v>-5.25</v>
      </c>
      <c r="Z1926" s="2">
        <v>-9.35</v>
      </c>
    </row>
    <row r="1927" spans="1:26" x14ac:dyDescent="0.25">
      <c r="A1927" s="1" t="s">
        <v>7877</v>
      </c>
      <c r="B1927" s="1" t="s">
        <v>7878</v>
      </c>
      <c r="C1927" s="1" t="s">
        <v>31</v>
      </c>
      <c r="D1927" s="1" t="s">
        <v>32</v>
      </c>
      <c r="E1927" s="1" t="s">
        <v>1123</v>
      </c>
      <c r="F1927" s="1" t="s">
        <v>7879</v>
      </c>
      <c r="G1927" s="1" t="s">
        <v>12490</v>
      </c>
      <c r="H1927" s="1" t="s">
        <v>7880</v>
      </c>
      <c r="I1927" s="2">
        <v>20.7</v>
      </c>
      <c r="J1927" s="2">
        <v>1.28</v>
      </c>
      <c r="K1927" s="2">
        <v>1.3</v>
      </c>
      <c r="L1927" s="2"/>
      <c r="M1927" s="4">
        <f t="shared" si="180"/>
        <v>15.923076923076922</v>
      </c>
      <c r="N1927" s="4" t="e">
        <f t="shared" si="181"/>
        <v>#DIV/0!</v>
      </c>
      <c r="O1927" s="5">
        <f t="shared" si="182"/>
        <v>1.5625E-2</v>
      </c>
      <c r="P1927" s="5">
        <f t="shared" si="183"/>
        <v>-1</v>
      </c>
      <c r="Q1927" s="4">
        <f t="shared" si="184"/>
        <v>10.190769230769229</v>
      </c>
      <c r="R1927" s="4" t="e">
        <f t="shared" si="185"/>
        <v>#DIV/0!</v>
      </c>
      <c r="S1927" s="4">
        <v>5.03</v>
      </c>
      <c r="T1927" s="2">
        <v>0.88</v>
      </c>
      <c r="U1927" s="2">
        <v>25.97</v>
      </c>
      <c r="V1927" s="2">
        <v>16.239999999999998</v>
      </c>
      <c r="W1927" s="2">
        <v>-7.8</v>
      </c>
      <c r="X1927" s="2">
        <v>-10.78</v>
      </c>
      <c r="Y1927" s="2">
        <v>-15.68</v>
      </c>
      <c r="Z1927" s="2">
        <v>-12.85</v>
      </c>
    </row>
    <row r="1928" spans="1:26" x14ac:dyDescent="0.25">
      <c r="A1928" s="1" t="s">
        <v>7881</v>
      </c>
      <c r="B1928" s="1" t="s">
        <v>7882</v>
      </c>
      <c r="C1928" s="1" t="s">
        <v>45</v>
      </c>
      <c r="D1928" s="1" t="s">
        <v>25</v>
      </c>
      <c r="E1928" s="1" t="s">
        <v>220</v>
      </c>
      <c r="F1928" s="1" t="s">
        <v>7883</v>
      </c>
      <c r="G1928" s="1" t="s">
        <v>12479</v>
      </c>
      <c r="H1928" s="1" t="s">
        <v>4255</v>
      </c>
      <c r="I1928" s="2">
        <v>271.49</v>
      </c>
      <c r="J1928" s="2">
        <v>10.24</v>
      </c>
      <c r="K1928" s="2">
        <v>11.35</v>
      </c>
      <c r="L1928" s="2">
        <v>12.19</v>
      </c>
      <c r="M1928" s="4">
        <f t="shared" si="180"/>
        <v>23.919823788546257</v>
      </c>
      <c r="N1928" s="4">
        <f t="shared" si="181"/>
        <v>22.271534044298608</v>
      </c>
      <c r="O1928" s="5">
        <f t="shared" si="182"/>
        <v>0.1083984375</v>
      </c>
      <c r="P1928" s="5">
        <f t="shared" si="183"/>
        <v>7.4008810572687267E-2</v>
      </c>
      <c r="Q1928" s="4">
        <f t="shared" si="184"/>
        <v>2.2066576179703934</v>
      </c>
      <c r="R1928" s="4">
        <f t="shared" si="185"/>
        <v>3.0093084690808221</v>
      </c>
      <c r="S1928" s="4">
        <v>3.78</v>
      </c>
      <c r="T1928" s="2">
        <v>0.98</v>
      </c>
      <c r="U1928" s="2">
        <v>299.29000000000002</v>
      </c>
      <c r="V1928" s="2">
        <v>167.51</v>
      </c>
      <c r="W1928" s="2">
        <v>-7.08</v>
      </c>
      <c r="X1928" s="2">
        <v>-6.79</v>
      </c>
      <c r="Y1928" s="2">
        <v>14.17</v>
      </c>
      <c r="Z1928" s="2">
        <v>12.92</v>
      </c>
    </row>
    <row r="1929" spans="1:26" x14ac:dyDescent="0.25">
      <c r="A1929" s="1" t="s">
        <v>7884</v>
      </c>
      <c r="B1929" s="1" t="s">
        <v>7885</v>
      </c>
      <c r="C1929" s="1" t="s">
        <v>16</v>
      </c>
      <c r="D1929" s="1" t="s">
        <v>94</v>
      </c>
      <c r="E1929" s="1" t="s">
        <v>1925</v>
      </c>
      <c r="F1929" s="1" t="s">
        <v>7886</v>
      </c>
      <c r="G1929" s="1" t="s">
        <v>12480</v>
      </c>
      <c r="H1929" s="1" t="s">
        <v>7887</v>
      </c>
      <c r="I1929" s="2">
        <v>45.46</v>
      </c>
      <c r="J1929" s="2">
        <v>0.67</v>
      </c>
      <c r="K1929" s="2">
        <v>1.1499999999999999</v>
      </c>
      <c r="L1929" s="2">
        <v>2.4900000000000002</v>
      </c>
      <c r="M1929" s="4">
        <f t="shared" si="180"/>
        <v>39.530434782608701</v>
      </c>
      <c r="N1929" s="4">
        <f t="shared" si="181"/>
        <v>18.257028112449799</v>
      </c>
      <c r="O1929" s="5">
        <f t="shared" si="182"/>
        <v>0.71641791044776104</v>
      </c>
      <c r="P1929" s="5">
        <f t="shared" si="183"/>
        <v>1.1652173913043482</v>
      </c>
      <c r="Q1929" s="4">
        <f t="shared" si="184"/>
        <v>0.55177898550724658</v>
      </c>
      <c r="R1929" s="4">
        <f t="shared" si="185"/>
        <v>0.15668345021878552</v>
      </c>
      <c r="S1929" s="4">
        <v>7.45</v>
      </c>
      <c r="T1929" s="2">
        <v>1.07</v>
      </c>
      <c r="U1929" s="2">
        <v>46.15</v>
      </c>
      <c r="V1929" s="2">
        <v>18.41</v>
      </c>
      <c r="W1929" s="2">
        <v>-1.1299999999999999</v>
      </c>
      <c r="X1929" s="2">
        <v>8.6</v>
      </c>
      <c r="Y1929" s="2">
        <v>52.91</v>
      </c>
      <c r="Z1929" s="2">
        <v>60.98</v>
      </c>
    </row>
    <row r="1930" spans="1:26" x14ac:dyDescent="0.25">
      <c r="A1930" s="1" t="s">
        <v>7888</v>
      </c>
      <c r="B1930" s="1" t="s">
        <v>7889</v>
      </c>
      <c r="C1930" s="1" t="s">
        <v>16</v>
      </c>
      <c r="D1930" s="1" t="s">
        <v>354</v>
      </c>
      <c r="E1930" s="1" t="s">
        <v>355</v>
      </c>
      <c r="F1930" s="1" t="s">
        <v>7890</v>
      </c>
      <c r="G1930" s="1" t="s">
        <v>12480</v>
      </c>
      <c r="H1930" s="1" t="s">
        <v>7891</v>
      </c>
      <c r="I1930" s="2">
        <v>92.01</v>
      </c>
      <c r="J1930" s="2">
        <v>3.71</v>
      </c>
      <c r="K1930" s="2" t="s">
        <v>12513</v>
      </c>
      <c r="L1930" s="2">
        <v>4.37</v>
      </c>
      <c r="M1930" s="4">
        <f t="shared" si="180"/>
        <v>23.002500000000001</v>
      </c>
      <c r="N1930" s="4">
        <f t="shared" si="181"/>
        <v>21.054919908466818</v>
      </c>
      <c r="O1930" s="5">
        <f t="shared" si="182"/>
        <v>7.8167115902964879E-2</v>
      </c>
      <c r="P1930" s="5">
        <f t="shared" si="183"/>
        <v>9.2500000000000027E-2</v>
      </c>
      <c r="Q1930" s="4">
        <f t="shared" si="184"/>
        <v>2.9427336206896584</v>
      </c>
      <c r="R1930" s="4">
        <f t="shared" si="185"/>
        <v>2.2762075576720875</v>
      </c>
      <c r="S1930" s="4">
        <v>10.74</v>
      </c>
      <c r="T1930" s="2">
        <v>0.76</v>
      </c>
      <c r="U1930" s="2">
        <v>95.68</v>
      </c>
      <c r="V1930" s="2">
        <v>64.11</v>
      </c>
      <c r="W1930" s="2">
        <v>-0.76</v>
      </c>
      <c r="X1930" s="2">
        <v>2.83</v>
      </c>
      <c r="Y1930" s="2">
        <v>12.69</v>
      </c>
      <c r="Z1930" s="2">
        <v>14.61</v>
      </c>
    </row>
    <row r="1931" spans="1:26" x14ac:dyDescent="0.25">
      <c r="A1931" s="1" t="s">
        <v>7892</v>
      </c>
      <c r="B1931" s="1" t="s">
        <v>7893</v>
      </c>
      <c r="C1931" s="1" t="s">
        <v>16</v>
      </c>
      <c r="D1931" s="1" t="s">
        <v>88</v>
      </c>
      <c r="E1931" s="1" t="s">
        <v>89</v>
      </c>
      <c r="F1931" s="1" t="s">
        <v>7894</v>
      </c>
      <c r="G1931" s="1" t="s">
        <v>12480</v>
      </c>
      <c r="H1931" s="1" t="s">
        <v>7895</v>
      </c>
      <c r="I1931" s="2">
        <v>116.96</v>
      </c>
      <c r="J1931" s="2">
        <v>6.89</v>
      </c>
      <c r="K1931" s="2">
        <v>8.7899999999999991</v>
      </c>
      <c r="L1931" s="2">
        <v>10.34</v>
      </c>
      <c r="M1931" s="4">
        <f t="shared" si="180"/>
        <v>13.306029579067122</v>
      </c>
      <c r="N1931" s="4">
        <f t="shared" si="181"/>
        <v>11.311411992263055</v>
      </c>
      <c r="O1931" s="5">
        <f t="shared" si="182"/>
        <v>0.27576197387518131</v>
      </c>
      <c r="P1931" s="5">
        <f t="shared" si="183"/>
        <v>0.17633674630261664</v>
      </c>
      <c r="Q1931" s="4">
        <f t="shared" si="184"/>
        <v>0.48251865157775004</v>
      </c>
      <c r="R1931" s="4">
        <f t="shared" si="185"/>
        <v>0.64146652523865955</v>
      </c>
      <c r="S1931" s="4">
        <v>21.34</v>
      </c>
      <c r="T1931" s="2">
        <v>0.39</v>
      </c>
      <c r="U1931" s="2">
        <v>131.94999999999999</v>
      </c>
      <c r="V1931" s="2">
        <v>42.37</v>
      </c>
      <c r="W1931" s="2">
        <v>-9.14</v>
      </c>
      <c r="X1931" s="2">
        <v>-3.12</v>
      </c>
      <c r="Y1931" s="2">
        <v>17.32</v>
      </c>
      <c r="Z1931" s="2">
        <v>17.14</v>
      </c>
    </row>
    <row r="1932" spans="1:26" x14ac:dyDescent="0.25">
      <c r="A1932" s="1" t="s">
        <v>7897</v>
      </c>
      <c r="B1932" s="1" t="s">
        <v>7898</v>
      </c>
      <c r="C1932" s="1" t="s">
        <v>45</v>
      </c>
      <c r="D1932" s="1" t="s">
        <v>18</v>
      </c>
      <c r="E1932" s="1" t="s">
        <v>74</v>
      </c>
      <c r="F1932" s="1" t="s">
        <v>7899</v>
      </c>
      <c r="G1932" s="1" t="s">
        <v>12480</v>
      </c>
      <c r="H1932" s="1" t="s">
        <v>7900</v>
      </c>
      <c r="I1932" s="2">
        <v>8.92</v>
      </c>
      <c r="J1932" s="2">
        <v>0.12</v>
      </c>
      <c r="K1932" s="2">
        <v>0.15</v>
      </c>
      <c r="L1932" s="2">
        <v>0.28999999999999998</v>
      </c>
      <c r="M1932" s="4">
        <f t="shared" si="180"/>
        <v>59.466666666666669</v>
      </c>
      <c r="N1932" s="4">
        <f t="shared" si="181"/>
        <v>30.758620689655174</v>
      </c>
      <c r="O1932" s="5">
        <f t="shared" si="182"/>
        <v>0.25</v>
      </c>
      <c r="P1932" s="5">
        <f t="shared" si="183"/>
        <v>0.93333333333333335</v>
      </c>
      <c r="Q1932" s="4">
        <f t="shared" si="184"/>
        <v>2.3786666666666667</v>
      </c>
      <c r="R1932" s="4">
        <f t="shared" si="185"/>
        <v>0.32955665024630548</v>
      </c>
      <c r="S1932" s="4">
        <v>10.11</v>
      </c>
      <c r="T1932" s="2">
        <v>1.62</v>
      </c>
      <c r="U1932" s="2">
        <v>13.22</v>
      </c>
      <c r="V1932" s="2">
        <v>4.84</v>
      </c>
      <c r="W1932" s="2">
        <v>-6.11</v>
      </c>
      <c r="X1932" s="2">
        <v>-21.41</v>
      </c>
      <c r="Y1932" s="2">
        <v>-25.17</v>
      </c>
      <c r="Z1932" s="2">
        <v>-24.15</v>
      </c>
    </row>
    <row r="1933" spans="1:26" x14ac:dyDescent="0.25">
      <c r="A1933" s="1" t="s">
        <v>7901</v>
      </c>
      <c r="B1933" s="1" t="s">
        <v>7902</v>
      </c>
      <c r="C1933" s="1" t="s">
        <v>45</v>
      </c>
      <c r="D1933" s="1" t="s">
        <v>18</v>
      </c>
      <c r="E1933" s="1" t="s">
        <v>19</v>
      </c>
      <c r="F1933" s="1" t="s">
        <v>12745</v>
      </c>
      <c r="G1933" s="1" t="s">
        <v>12508</v>
      </c>
      <c r="H1933" s="1" t="s">
        <v>7903</v>
      </c>
      <c r="I1933" s="2">
        <v>9.6999999999999993</v>
      </c>
      <c r="J1933" s="2">
        <v>0.33</v>
      </c>
      <c r="K1933" s="2">
        <v>0.28000000000000003</v>
      </c>
      <c r="L1933" s="2">
        <v>0.31</v>
      </c>
      <c r="M1933" s="4">
        <f t="shared" si="180"/>
        <v>34.642857142857139</v>
      </c>
      <c r="N1933" s="4">
        <f t="shared" si="181"/>
        <v>31.29032258064516</v>
      </c>
      <c r="O1933" s="5">
        <f t="shared" si="182"/>
        <v>-0.15151515151515149</v>
      </c>
      <c r="P1933" s="5">
        <f t="shared" si="183"/>
        <v>0.10714285714285698</v>
      </c>
      <c r="Q1933" s="4">
        <f t="shared" si="184"/>
        <v>-2.2864285714285715</v>
      </c>
      <c r="R1933" s="4">
        <f t="shared" si="185"/>
        <v>2.9204301075268861</v>
      </c>
      <c r="S1933" s="4">
        <v>-3.2</v>
      </c>
      <c r="T1933" s="2">
        <v>1.95</v>
      </c>
      <c r="U1933" s="2">
        <v>11.33</v>
      </c>
      <c r="V1933" s="2">
        <v>4.3899999999999997</v>
      </c>
      <c r="W1933" s="2" t="s">
        <v>12746</v>
      </c>
      <c r="X1933" s="2">
        <v>-8.58</v>
      </c>
      <c r="Y1933" s="2">
        <v>41.61</v>
      </c>
      <c r="Z1933" s="2">
        <v>38.770000000000003</v>
      </c>
    </row>
    <row r="1934" spans="1:26" x14ac:dyDescent="0.25">
      <c r="A1934" s="1" t="s">
        <v>7904</v>
      </c>
      <c r="B1934" s="1" t="s">
        <v>7905</v>
      </c>
      <c r="C1934" s="1" t="s">
        <v>45</v>
      </c>
      <c r="D1934" s="1" t="s">
        <v>94</v>
      </c>
      <c r="E1934" s="1" t="s">
        <v>6131</v>
      </c>
      <c r="F1934" s="1" t="s">
        <v>7906</v>
      </c>
      <c r="G1934" s="1" t="s">
        <v>12480</v>
      </c>
      <c r="H1934" s="1" t="s">
        <v>7907</v>
      </c>
      <c r="I1934" s="2">
        <v>20.74</v>
      </c>
      <c r="J1934" s="2">
        <v>0.82</v>
      </c>
      <c r="K1934" s="2">
        <v>1.59</v>
      </c>
      <c r="L1934" s="2">
        <v>2.39</v>
      </c>
      <c r="M1934" s="4">
        <f t="shared" si="180"/>
        <v>13.044025157232703</v>
      </c>
      <c r="N1934" s="4">
        <f t="shared" si="181"/>
        <v>8.6778242677824249</v>
      </c>
      <c r="O1934" s="5">
        <f t="shared" si="182"/>
        <v>0.93902439024390261</v>
      </c>
      <c r="P1934" s="5">
        <f t="shared" si="183"/>
        <v>0.50314465408805042</v>
      </c>
      <c r="Q1934" s="4">
        <f t="shared" si="184"/>
        <v>0.13891039777832226</v>
      </c>
      <c r="R1934" s="4">
        <f t="shared" si="185"/>
        <v>0.17247175732217565</v>
      </c>
      <c r="S1934" s="4">
        <v>1.72</v>
      </c>
      <c r="T1934" s="2">
        <v>0.18</v>
      </c>
      <c r="U1934" s="2">
        <v>26.36</v>
      </c>
      <c r="V1934" s="2">
        <v>5.49</v>
      </c>
      <c r="W1934" s="2" t="s">
        <v>12538</v>
      </c>
      <c r="X1934" s="2">
        <v>-0.96</v>
      </c>
      <c r="Y1934" s="2">
        <v>39.85</v>
      </c>
      <c r="Z1934" s="2">
        <v>32.44</v>
      </c>
    </row>
    <row r="1935" spans="1:26" x14ac:dyDescent="0.25">
      <c r="A1935" s="1" t="s">
        <v>7908</v>
      </c>
      <c r="B1935" s="1" t="s">
        <v>7909</v>
      </c>
      <c r="C1935" s="1" t="s">
        <v>16</v>
      </c>
      <c r="D1935" s="1" t="s">
        <v>32</v>
      </c>
      <c r="E1935" s="1" t="s">
        <v>311</v>
      </c>
      <c r="F1935" s="1" t="s">
        <v>7910</v>
      </c>
      <c r="G1935" s="1" t="s">
        <v>12480</v>
      </c>
      <c r="H1935" s="1" t="s">
        <v>7911</v>
      </c>
      <c r="I1935" s="2">
        <v>201.48</v>
      </c>
      <c r="J1935" s="2">
        <v>0.93</v>
      </c>
      <c r="K1935" s="2">
        <v>1.1000000000000001</v>
      </c>
      <c r="L1935" s="2">
        <v>1.38</v>
      </c>
      <c r="M1935" s="4">
        <f t="shared" si="180"/>
        <v>183.16363636363633</v>
      </c>
      <c r="N1935" s="4">
        <f t="shared" si="181"/>
        <v>146</v>
      </c>
      <c r="O1935" s="5">
        <f t="shared" si="182"/>
        <v>0.18279569892473124</v>
      </c>
      <c r="P1935" s="5">
        <f t="shared" si="183"/>
        <v>0.25454545454545441</v>
      </c>
      <c r="Q1935" s="4">
        <f t="shared" si="184"/>
        <v>10.020128342245984</v>
      </c>
      <c r="R1935" s="4">
        <f t="shared" si="185"/>
        <v>5.7357142857142893</v>
      </c>
      <c r="S1935" s="4">
        <v>29.85</v>
      </c>
      <c r="T1935" s="2">
        <v>1.98</v>
      </c>
      <c r="U1935" s="2">
        <v>253.3</v>
      </c>
      <c r="V1935" s="2">
        <v>97.08</v>
      </c>
      <c r="W1935" s="2">
        <v>11.3</v>
      </c>
      <c r="X1935" s="2">
        <v>15.96</v>
      </c>
      <c r="Y1935" s="2">
        <v>2.4300000000000002</v>
      </c>
      <c r="Z1935" s="2">
        <v>2.2000000000000002</v>
      </c>
    </row>
    <row r="1936" spans="1:26" x14ac:dyDescent="0.25">
      <c r="A1936" s="1" t="s">
        <v>7912</v>
      </c>
      <c r="B1936" s="1" t="s">
        <v>7913</v>
      </c>
      <c r="C1936" s="1" t="s">
        <v>16</v>
      </c>
      <c r="D1936" s="1" t="s">
        <v>88</v>
      </c>
      <c r="E1936" s="1" t="s">
        <v>1113</v>
      </c>
      <c r="F1936" s="1" t="s">
        <v>7914</v>
      </c>
      <c r="G1936" s="1" t="s">
        <v>12480</v>
      </c>
      <c r="H1936" s="1" t="s">
        <v>12604</v>
      </c>
      <c r="I1936" s="2">
        <v>620.79999999999995</v>
      </c>
      <c r="J1936" s="2">
        <v>44.44</v>
      </c>
      <c r="K1936" s="2"/>
      <c r="L1936" s="2"/>
      <c r="M1936" s="4" t="e">
        <f t="shared" si="180"/>
        <v>#DIV/0!</v>
      </c>
      <c r="N1936" s="4" t="e">
        <f t="shared" si="181"/>
        <v>#DIV/0!</v>
      </c>
      <c r="O1936" s="5">
        <f t="shared" si="182"/>
        <v>-1</v>
      </c>
      <c r="P1936" s="5" t="e">
        <f t="shared" si="183"/>
        <v>#DIV/0!</v>
      </c>
      <c r="Q1936" s="4" t="e">
        <f t="shared" si="184"/>
        <v>#DIV/0!</v>
      </c>
      <c r="R1936" s="4" t="e">
        <f t="shared" si="185"/>
        <v>#DIV/0!</v>
      </c>
      <c r="S1936" s="4">
        <v>-2.2000000000000002</v>
      </c>
      <c r="T1936" s="2">
        <v>0.5</v>
      </c>
      <c r="U1936" s="2">
        <v>873.09</v>
      </c>
      <c r="V1936" s="2">
        <v>519.38</v>
      </c>
      <c r="W1936" s="2">
        <v>-0.72</v>
      </c>
      <c r="X1936" s="2">
        <v>-13.03</v>
      </c>
      <c r="Y1936" s="2">
        <v>-15.87</v>
      </c>
      <c r="Z1936" s="2">
        <v>-9.67</v>
      </c>
    </row>
    <row r="1937" spans="1:26" x14ac:dyDescent="0.25">
      <c r="A1937" s="1" t="s">
        <v>7915</v>
      </c>
      <c r="B1937" s="1" t="s">
        <v>7916</v>
      </c>
      <c r="C1937" s="1" t="s">
        <v>45</v>
      </c>
      <c r="D1937" s="1" t="s">
        <v>94</v>
      </c>
      <c r="E1937" s="1" t="s">
        <v>3606</v>
      </c>
      <c r="F1937" s="1" t="s">
        <v>7917</v>
      </c>
      <c r="G1937" s="1" t="s">
        <v>12480</v>
      </c>
      <c r="H1937" s="1" t="s">
        <v>7918</v>
      </c>
      <c r="I1937" s="2">
        <v>5.56</v>
      </c>
      <c r="J1937" s="2">
        <v>-1.01</v>
      </c>
      <c r="K1937" s="2">
        <v>-2.9</v>
      </c>
      <c r="L1937" s="2">
        <v>-2.12</v>
      </c>
      <c r="M1937" s="4">
        <f t="shared" si="180"/>
        <v>-1.9172413793103447</v>
      </c>
      <c r="N1937" s="4">
        <f t="shared" si="181"/>
        <v>-2.6226415094339619</v>
      </c>
      <c r="O1937" s="5">
        <f t="shared" si="182"/>
        <v>1.8712871287128712</v>
      </c>
      <c r="P1937" s="5">
        <f t="shared" si="183"/>
        <v>-0.26896551724137929</v>
      </c>
      <c r="Q1937" s="4">
        <f t="shared" si="184"/>
        <v>-1.0245575624885969E-2</v>
      </c>
      <c r="R1937" s="4">
        <f t="shared" si="185"/>
        <v>9.7508466376390893E-2</v>
      </c>
      <c r="S1937" s="4"/>
      <c r="T1937" s="2">
        <v>2.02</v>
      </c>
      <c r="U1937" s="2" t="s">
        <v>12480</v>
      </c>
      <c r="V1937" s="2">
        <v>4.8</v>
      </c>
      <c r="W1937" s="2">
        <v>-0.89</v>
      </c>
      <c r="X1937" s="2">
        <v>3.35</v>
      </c>
      <c r="Y1937" s="2">
        <v>8.3800000000000008</v>
      </c>
      <c r="Z1937" s="2">
        <v>5.5</v>
      </c>
    </row>
    <row r="1938" spans="1:26" x14ac:dyDescent="0.25">
      <c r="A1938" s="1" t="s">
        <v>7919</v>
      </c>
      <c r="B1938" s="1" t="s">
        <v>7920</v>
      </c>
      <c r="C1938" s="1" t="s">
        <v>16</v>
      </c>
      <c r="D1938" s="1" t="s">
        <v>94</v>
      </c>
      <c r="E1938" s="1" t="s">
        <v>403</v>
      </c>
      <c r="F1938" s="1" t="s">
        <v>12747</v>
      </c>
      <c r="G1938" s="1" t="s">
        <v>12485</v>
      </c>
      <c r="H1938" s="1" t="s">
        <v>6759</v>
      </c>
      <c r="I1938" s="2">
        <v>92.89</v>
      </c>
      <c r="J1938" s="2">
        <v>6.91</v>
      </c>
      <c r="K1938" s="2">
        <v>7.88</v>
      </c>
      <c r="L1938" s="2">
        <v>8.43</v>
      </c>
      <c r="M1938" s="4">
        <f t="shared" si="180"/>
        <v>11.788071065989849</v>
      </c>
      <c r="N1938" s="4">
        <f t="shared" si="181"/>
        <v>11.018979833926453</v>
      </c>
      <c r="O1938" s="5">
        <f t="shared" si="182"/>
        <v>0.14037626628075239</v>
      </c>
      <c r="P1938" s="5">
        <f t="shared" si="183"/>
        <v>6.9796954314720772E-2</v>
      </c>
      <c r="Q1938" s="4">
        <f t="shared" si="184"/>
        <v>0.83974815531948388</v>
      </c>
      <c r="R1938" s="4">
        <f t="shared" si="185"/>
        <v>1.5787192925698272</v>
      </c>
      <c r="S1938" s="4">
        <v>17.11</v>
      </c>
      <c r="T1938" s="2">
        <v>0.56999999999999995</v>
      </c>
      <c r="U1938" s="2">
        <v>93.72</v>
      </c>
      <c r="V1938" s="2" t="s">
        <v>12545</v>
      </c>
      <c r="W1938" s="2">
        <v>0.25</v>
      </c>
      <c r="X1938" s="2">
        <v>9.3000000000000007</v>
      </c>
      <c r="Y1938" s="2">
        <v>12.73</v>
      </c>
      <c r="Z1938" s="2">
        <v>16.02</v>
      </c>
    </row>
    <row r="1939" spans="1:26" x14ac:dyDescent="0.25">
      <c r="A1939" s="1" t="s">
        <v>7921</v>
      </c>
      <c r="B1939" s="1" t="s">
        <v>7922</v>
      </c>
      <c r="C1939" s="1" t="s">
        <v>45</v>
      </c>
      <c r="D1939" s="1" t="s">
        <v>147</v>
      </c>
      <c r="E1939" s="1" t="s">
        <v>1695</v>
      </c>
      <c r="F1939" s="1" t="s">
        <v>7923</v>
      </c>
      <c r="G1939" s="1" t="s">
        <v>12480</v>
      </c>
      <c r="H1939" s="1" t="s">
        <v>7924</v>
      </c>
      <c r="I1939" s="2">
        <v>98.32</v>
      </c>
      <c r="J1939" s="2">
        <v>2.5299999999999998</v>
      </c>
      <c r="K1939" s="2">
        <v>3.14</v>
      </c>
      <c r="L1939" s="2">
        <v>3.82</v>
      </c>
      <c r="M1939" s="4">
        <f t="shared" si="180"/>
        <v>31.312101910828023</v>
      </c>
      <c r="N1939" s="4">
        <f t="shared" si="181"/>
        <v>25.738219895287958</v>
      </c>
      <c r="O1939" s="5">
        <f t="shared" si="182"/>
        <v>0.2411067193675891</v>
      </c>
      <c r="P1939" s="5">
        <f t="shared" si="183"/>
        <v>0.21656050955414008</v>
      </c>
      <c r="Q1939" s="4">
        <f t="shared" si="184"/>
        <v>1.2986822595802434</v>
      </c>
      <c r="R1939" s="4">
        <f t="shared" si="185"/>
        <v>1.1885001539882971</v>
      </c>
      <c r="S1939" s="4">
        <v>15.85</v>
      </c>
      <c r="T1939" s="2">
        <v>1.68</v>
      </c>
      <c r="U1939" s="2">
        <v>133.91</v>
      </c>
      <c r="V1939" s="2">
        <v>75.86</v>
      </c>
      <c r="W1939" s="2">
        <v>1.27</v>
      </c>
      <c r="X1939" s="2">
        <v>20.68</v>
      </c>
      <c r="Y1939" s="2">
        <v>4.8499999999999996</v>
      </c>
      <c r="Z1939" s="2">
        <v>4.8600000000000003</v>
      </c>
    </row>
    <row r="1940" spans="1:26" x14ac:dyDescent="0.25">
      <c r="A1940" s="1" t="s">
        <v>7926</v>
      </c>
      <c r="B1940" s="1" t="s">
        <v>7927</v>
      </c>
      <c r="C1940" s="1" t="s">
        <v>1118</v>
      </c>
      <c r="D1940" s="1" t="s">
        <v>88</v>
      </c>
      <c r="E1940" s="1" t="s">
        <v>89</v>
      </c>
      <c r="F1940" s="1" t="s">
        <v>7928</v>
      </c>
      <c r="G1940" s="1" t="s">
        <v>12499</v>
      </c>
      <c r="H1940" s="1" t="s">
        <v>7929</v>
      </c>
      <c r="I1940" s="2">
        <v>11.99</v>
      </c>
      <c r="J1940" s="2">
        <v>-0.14000000000000001</v>
      </c>
      <c r="K1940" s="2">
        <v>-0.25</v>
      </c>
      <c r="L1940" s="2">
        <v>-0.25</v>
      </c>
      <c r="M1940" s="4">
        <f t="shared" si="180"/>
        <v>-47.96</v>
      </c>
      <c r="N1940" s="4">
        <f t="shared" si="181"/>
        <v>-47.96</v>
      </c>
      <c r="O1940" s="5">
        <f t="shared" si="182"/>
        <v>0.78571428571428559</v>
      </c>
      <c r="P1940" s="5">
        <f t="shared" si="183"/>
        <v>0</v>
      </c>
      <c r="Q1940" s="4">
        <f t="shared" si="184"/>
        <v>-0.61040000000000016</v>
      </c>
      <c r="R1940" s="4" t="e">
        <f t="shared" si="185"/>
        <v>#DIV/0!</v>
      </c>
      <c r="S1940" s="4"/>
      <c r="T1940" s="2">
        <v>0.75</v>
      </c>
      <c r="U1940" s="2">
        <v>14.2</v>
      </c>
      <c r="V1940" s="2">
        <v>2.2799999999999998</v>
      </c>
      <c r="W1940" s="2">
        <v>-15.56</v>
      </c>
      <c r="X1940" s="2">
        <v>19.78</v>
      </c>
      <c r="Y1940" s="2">
        <v>21.85</v>
      </c>
      <c r="Z1940" s="2">
        <v>28.65</v>
      </c>
    </row>
    <row r="1941" spans="1:26" x14ac:dyDescent="0.25">
      <c r="A1941" s="1" t="s">
        <v>7930</v>
      </c>
      <c r="B1941" s="1" t="s">
        <v>7931</v>
      </c>
      <c r="C1941" s="1" t="s">
        <v>1118</v>
      </c>
      <c r="D1941" s="1" t="s">
        <v>88</v>
      </c>
      <c r="E1941" s="1" t="s">
        <v>89</v>
      </c>
      <c r="F1941" s="1" t="s">
        <v>7932</v>
      </c>
      <c r="G1941" s="1" t="s">
        <v>12480</v>
      </c>
      <c r="H1941" s="1" t="s">
        <v>7933</v>
      </c>
      <c r="I1941" s="2">
        <v>11.17</v>
      </c>
      <c r="J1941" s="2">
        <v>0.2</v>
      </c>
      <c r="K1941" s="2">
        <v>1.64</v>
      </c>
      <c r="L1941" s="2">
        <v>1.35</v>
      </c>
      <c r="M1941" s="4">
        <f t="shared" si="180"/>
        <v>6.8109756097560981</v>
      </c>
      <c r="N1941" s="4">
        <f t="shared" si="181"/>
        <v>8.2740740740740737</v>
      </c>
      <c r="O1941" s="5">
        <f t="shared" si="182"/>
        <v>7.1999999999999993</v>
      </c>
      <c r="P1941" s="5">
        <f t="shared" si="183"/>
        <v>-0.17682926829268286</v>
      </c>
      <c r="Q1941" s="4">
        <f t="shared" si="184"/>
        <v>9.4596883468834707E-3</v>
      </c>
      <c r="R1941" s="4">
        <f t="shared" si="185"/>
        <v>-0.46791315453384436</v>
      </c>
      <c r="S1941" s="4">
        <v>17.55</v>
      </c>
      <c r="T1941" s="2">
        <v>0.56999999999999995</v>
      </c>
      <c r="U1941" s="2">
        <v>13.42</v>
      </c>
      <c r="V1941" s="2">
        <v>2.79</v>
      </c>
      <c r="W1941" s="2">
        <v>-16.2</v>
      </c>
      <c r="X1941" s="2">
        <v>-1.76</v>
      </c>
      <c r="Y1941" s="2">
        <v>35.89</v>
      </c>
      <c r="Z1941" s="2">
        <v>28.24</v>
      </c>
    </row>
    <row r="1942" spans="1:26" x14ac:dyDescent="0.25">
      <c r="A1942" s="1" t="s">
        <v>7934</v>
      </c>
      <c r="B1942" s="1" t="s">
        <v>7935</v>
      </c>
      <c r="C1942" s="1" t="s">
        <v>16</v>
      </c>
      <c r="D1942" s="1" t="s">
        <v>94</v>
      </c>
      <c r="E1942" s="1" t="s">
        <v>95</v>
      </c>
      <c r="F1942" s="1" t="s">
        <v>7936</v>
      </c>
      <c r="G1942" s="1" t="s">
        <v>12490</v>
      </c>
      <c r="H1942" s="1" t="s">
        <v>7937</v>
      </c>
      <c r="I1942" s="2">
        <v>90.41</v>
      </c>
      <c r="J1942" s="2">
        <v>3.57</v>
      </c>
      <c r="K1942" s="2">
        <v>5.23</v>
      </c>
      <c r="L1942" s="2">
        <v>5.92</v>
      </c>
      <c r="M1942" s="4">
        <f t="shared" si="180"/>
        <v>17.286806883365198</v>
      </c>
      <c r="N1942" s="4">
        <f t="shared" si="181"/>
        <v>15.27195945945946</v>
      </c>
      <c r="O1942" s="5">
        <f t="shared" si="182"/>
        <v>0.46498599439775923</v>
      </c>
      <c r="P1942" s="5">
        <f t="shared" si="183"/>
        <v>0.13193116634799229</v>
      </c>
      <c r="Q1942" s="4">
        <f t="shared" si="184"/>
        <v>0.37177048538321533</v>
      </c>
      <c r="R1942" s="4">
        <f t="shared" si="185"/>
        <v>1.1575702604778697</v>
      </c>
      <c r="S1942" s="4">
        <v>-5.36</v>
      </c>
      <c r="T1942" s="2">
        <v>0.79</v>
      </c>
      <c r="U1942" s="2">
        <v>93.93</v>
      </c>
      <c r="V1942" s="2">
        <v>59.44</v>
      </c>
      <c r="W1942" s="2">
        <v>-3.7</v>
      </c>
      <c r="X1942" s="2">
        <v>2.29</v>
      </c>
      <c r="Y1942" s="2">
        <v>18.91</v>
      </c>
      <c r="Z1942" s="2">
        <v>16.88</v>
      </c>
    </row>
    <row r="1943" spans="1:26" x14ac:dyDescent="0.25">
      <c r="A1943" s="1" t="s">
        <v>7938</v>
      </c>
      <c r="B1943" s="1" t="s">
        <v>7939</v>
      </c>
      <c r="C1943" s="1" t="s">
        <v>16</v>
      </c>
      <c r="D1943" s="1" t="s">
        <v>94</v>
      </c>
      <c r="E1943" s="1" t="s">
        <v>4976</v>
      </c>
      <c r="F1943" s="1" t="s">
        <v>7940</v>
      </c>
      <c r="G1943" s="1" t="s">
        <v>12490</v>
      </c>
      <c r="H1943" s="1" t="s">
        <v>7941</v>
      </c>
      <c r="I1943" s="2">
        <v>11.54</v>
      </c>
      <c r="J1943" s="2">
        <v>-0.25</v>
      </c>
      <c r="K1943" s="2">
        <v>0.34</v>
      </c>
      <c r="L1943" s="2">
        <v>0.82</v>
      </c>
      <c r="M1943" s="4">
        <f t="shared" si="180"/>
        <v>33.941176470588232</v>
      </c>
      <c r="N1943" s="4">
        <f t="shared" si="181"/>
        <v>14.073170731707316</v>
      </c>
      <c r="O1943" s="5">
        <f t="shared" si="182"/>
        <v>-2.3600000000000003</v>
      </c>
      <c r="P1943" s="5">
        <f t="shared" si="183"/>
        <v>1.4117647058823528</v>
      </c>
      <c r="Q1943" s="4">
        <f t="shared" si="184"/>
        <v>-0.14381854436689928</v>
      </c>
      <c r="R1943" s="4">
        <f t="shared" si="185"/>
        <v>9.9684959349593497E-2</v>
      </c>
      <c r="S1943" s="4">
        <v>-50.13</v>
      </c>
      <c r="T1943" s="2">
        <v>0.34</v>
      </c>
      <c r="U1943" s="2">
        <v>12.42</v>
      </c>
      <c r="V1943" s="2">
        <v>2.8</v>
      </c>
      <c r="W1943" s="2">
        <v>-7.09</v>
      </c>
      <c r="X1943" s="2">
        <v>-4.8600000000000003</v>
      </c>
      <c r="Y1943" s="2">
        <v>19.09</v>
      </c>
      <c r="Z1943" s="2">
        <v>15.4</v>
      </c>
    </row>
    <row r="1944" spans="1:26" x14ac:dyDescent="0.25">
      <c r="A1944" s="1" t="s">
        <v>7942</v>
      </c>
      <c r="B1944" s="1" t="s">
        <v>7943</v>
      </c>
      <c r="C1944" s="1" t="s">
        <v>31</v>
      </c>
      <c r="D1944" s="1" t="s">
        <v>88</v>
      </c>
      <c r="E1944" s="1" t="s">
        <v>658</v>
      </c>
      <c r="F1944" s="1" t="s">
        <v>7944</v>
      </c>
      <c r="G1944" s="1" t="s">
        <v>12480</v>
      </c>
      <c r="H1944" s="1" t="s">
        <v>7945</v>
      </c>
      <c r="I1944" s="2">
        <v>21.64</v>
      </c>
      <c r="J1944" s="2">
        <v>0.4</v>
      </c>
      <c r="K1944" s="2">
        <v>0.84</v>
      </c>
      <c r="L1944" s="2">
        <v>1.1399999999999999</v>
      </c>
      <c r="M1944" s="4">
        <f t="shared" si="180"/>
        <v>25.761904761904763</v>
      </c>
      <c r="N1944" s="4">
        <f t="shared" si="181"/>
        <v>18.98245614035088</v>
      </c>
      <c r="O1944" s="5">
        <f t="shared" si="182"/>
        <v>1.0999999999999996</v>
      </c>
      <c r="P1944" s="5">
        <f t="shared" si="183"/>
        <v>0.35714285714285698</v>
      </c>
      <c r="Q1944" s="4">
        <f t="shared" si="184"/>
        <v>0.23419913419913427</v>
      </c>
      <c r="R1944" s="4">
        <f t="shared" si="185"/>
        <v>0.53150877192982482</v>
      </c>
      <c r="S1944" s="4">
        <v>-32.04</v>
      </c>
      <c r="T1944" s="2">
        <v>0.86</v>
      </c>
      <c r="U1944" s="2">
        <v>25.9</v>
      </c>
      <c r="V1944" s="2">
        <v>13.08</v>
      </c>
      <c r="W1944" s="2">
        <v>-10.84</v>
      </c>
      <c r="X1944" s="2">
        <v>-12.14</v>
      </c>
      <c r="Y1944" s="2">
        <v>13.84</v>
      </c>
      <c r="Z1944" s="2">
        <v>4.59</v>
      </c>
    </row>
    <row r="1945" spans="1:26" x14ac:dyDescent="0.25">
      <c r="A1945" s="1" t="s">
        <v>7946</v>
      </c>
      <c r="B1945" s="1" t="s">
        <v>7947</v>
      </c>
      <c r="C1945" s="1" t="s">
        <v>16</v>
      </c>
      <c r="D1945" s="1" t="s">
        <v>88</v>
      </c>
      <c r="E1945" s="1" t="s">
        <v>1113</v>
      </c>
      <c r="F1945" s="1" t="s">
        <v>7948</v>
      </c>
      <c r="G1945" s="1" t="s">
        <v>12480</v>
      </c>
      <c r="H1945" s="1" t="s">
        <v>2764</v>
      </c>
      <c r="I1945" s="2">
        <v>66.08</v>
      </c>
      <c r="J1945" s="2">
        <v>4.13</v>
      </c>
      <c r="K1945" s="2">
        <v>5.05</v>
      </c>
      <c r="L1945" s="2">
        <v>5.7</v>
      </c>
      <c r="M1945" s="4">
        <f t="shared" si="180"/>
        <v>13.085148514851486</v>
      </c>
      <c r="N1945" s="4">
        <f t="shared" si="181"/>
        <v>11.59298245614035</v>
      </c>
      <c r="O1945" s="5">
        <f t="shared" si="182"/>
        <v>0.22276029055690061</v>
      </c>
      <c r="P1945" s="5">
        <f t="shared" si="183"/>
        <v>0.12871287128712883</v>
      </c>
      <c r="Q1945" s="4">
        <f t="shared" si="184"/>
        <v>0.58740938441670287</v>
      </c>
      <c r="R1945" s="4">
        <f t="shared" si="185"/>
        <v>0.90068556005398026</v>
      </c>
      <c r="S1945" s="4">
        <v>-16.98</v>
      </c>
      <c r="T1945" s="2">
        <v>1.31</v>
      </c>
      <c r="U1945" s="2">
        <v>76.569999999999993</v>
      </c>
      <c r="V1945" s="2">
        <v>29.88</v>
      </c>
      <c r="W1945" s="2">
        <v>-7.76</v>
      </c>
      <c r="X1945" s="2">
        <v>-9.59</v>
      </c>
      <c r="Y1945" s="2">
        <v>14.88</v>
      </c>
      <c r="Z1945" s="2">
        <v>11.66</v>
      </c>
    </row>
    <row r="1946" spans="1:26" x14ac:dyDescent="0.25">
      <c r="A1946" s="1" t="s">
        <v>7949</v>
      </c>
      <c r="B1946" s="1" t="s">
        <v>7950</v>
      </c>
      <c r="C1946" s="1" t="s">
        <v>1118</v>
      </c>
      <c r="D1946" s="1" t="s">
        <v>18</v>
      </c>
      <c r="E1946" s="1" t="s">
        <v>1744</v>
      </c>
      <c r="F1946" s="1" t="s">
        <v>7951</v>
      </c>
      <c r="G1946" s="1" t="s">
        <v>12480</v>
      </c>
      <c r="H1946" s="1" t="s">
        <v>2699</v>
      </c>
      <c r="I1946" s="2">
        <v>160.52000000000001</v>
      </c>
      <c r="J1946" s="2">
        <v>6.65</v>
      </c>
      <c r="K1946" s="2"/>
      <c r="L1946" s="2"/>
      <c r="M1946" s="4" t="e">
        <f t="shared" si="180"/>
        <v>#DIV/0!</v>
      </c>
      <c r="N1946" s="4" t="e">
        <f t="shared" si="181"/>
        <v>#DIV/0!</v>
      </c>
      <c r="O1946" s="5">
        <f t="shared" si="182"/>
        <v>-1</v>
      </c>
      <c r="P1946" s="5" t="e">
        <f t="shared" si="183"/>
        <v>#DIV/0!</v>
      </c>
      <c r="Q1946" s="4" t="e">
        <f t="shared" si="184"/>
        <v>#DIV/0!</v>
      </c>
      <c r="R1946" s="4" t="e">
        <f t="shared" si="185"/>
        <v>#DIV/0!</v>
      </c>
      <c r="S1946" s="4">
        <v>16.09</v>
      </c>
      <c r="T1946" s="2">
        <v>0.6</v>
      </c>
      <c r="U1946" s="2">
        <v>172.83</v>
      </c>
      <c r="V1946" s="2">
        <v>89.91</v>
      </c>
      <c r="W1946" s="2">
        <v>-6.21</v>
      </c>
      <c r="X1946" s="2">
        <v>-1.25</v>
      </c>
      <c r="Y1946" s="2">
        <v>14.76</v>
      </c>
      <c r="Z1946" s="2">
        <v>17.09</v>
      </c>
    </row>
    <row r="1947" spans="1:26" x14ac:dyDescent="0.25">
      <c r="A1947" s="1" t="s">
        <v>7952</v>
      </c>
      <c r="B1947" s="1" t="s">
        <v>7953</v>
      </c>
      <c r="C1947" s="1" t="s">
        <v>16</v>
      </c>
      <c r="D1947" s="1" t="s">
        <v>38</v>
      </c>
      <c r="E1947" s="1" t="s">
        <v>510</v>
      </c>
      <c r="F1947" s="1" t="s">
        <v>7954</v>
      </c>
      <c r="G1947" s="1" t="s">
        <v>12480</v>
      </c>
      <c r="H1947" s="1" t="s">
        <v>7955</v>
      </c>
      <c r="I1947" s="2">
        <v>85.66</v>
      </c>
      <c r="J1947" s="2">
        <v>4.91</v>
      </c>
      <c r="K1947" s="2">
        <v>5.08</v>
      </c>
      <c r="L1947" s="2">
        <v>5.37</v>
      </c>
      <c r="M1947" s="4">
        <f t="shared" si="180"/>
        <v>16.862204724409448</v>
      </c>
      <c r="N1947" s="4">
        <f t="shared" si="181"/>
        <v>15.951582867783983</v>
      </c>
      <c r="O1947" s="5">
        <f t="shared" si="182"/>
        <v>3.4623217922606919E-2</v>
      </c>
      <c r="P1947" s="5">
        <f t="shared" si="183"/>
        <v>5.7086614173228245E-2</v>
      </c>
      <c r="Q1947" s="4">
        <f t="shared" si="184"/>
        <v>4.8702014821676709</v>
      </c>
      <c r="R1947" s="4">
        <f t="shared" si="185"/>
        <v>2.7942772747704407</v>
      </c>
      <c r="S1947" s="4">
        <v>12.07</v>
      </c>
      <c r="T1947" s="2">
        <v>0.65</v>
      </c>
      <c r="U1947" s="2">
        <v>91.02</v>
      </c>
      <c r="V1947" s="2">
        <v>68.739999999999995</v>
      </c>
      <c r="W1947" s="2">
        <v>-2.19</v>
      </c>
      <c r="X1947" s="2">
        <v>0.66</v>
      </c>
      <c r="Y1947" s="2">
        <v>9.7799999999999994</v>
      </c>
      <c r="Z1947" s="2">
        <v>12.16</v>
      </c>
    </row>
    <row r="1948" spans="1:26" x14ac:dyDescent="0.25">
      <c r="A1948" s="1" t="s">
        <v>7956</v>
      </c>
      <c r="B1948" s="1" t="s">
        <v>7957</v>
      </c>
      <c r="C1948" s="1" t="s">
        <v>31</v>
      </c>
      <c r="D1948" s="1" t="s">
        <v>18</v>
      </c>
      <c r="E1948" s="1" t="s">
        <v>594</v>
      </c>
      <c r="F1948" s="1" t="s">
        <v>7958</v>
      </c>
      <c r="G1948" s="1" t="s">
        <v>12490</v>
      </c>
      <c r="H1948" s="1" t="s">
        <v>2450</v>
      </c>
      <c r="I1948" s="2">
        <v>9.6199999999999992</v>
      </c>
      <c r="J1948" s="2">
        <v>0.51</v>
      </c>
      <c r="K1948" s="2"/>
      <c r="L1948" s="2"/>
      <c r="M1948" s="4" t="e">
        <f t="shared" si="180"/>
        <v>#DIV/0!</v>
      </c>
      <c r="N1948" s="4" t="e">
        <f t="shared" si="181"/>
        <v>#DIV/0!</v>
      </c>
      <c r="O1948" s="5">
        <f t="shared" si="182"/>
        <v>-1</v>
      </c>
      <c r="P1948" s="5" t="e">
        <f t="shared" si="183"/>
        <v>#DIV/0!</v>
      </c>
      <c r="Q1948" s="4" t="e">
        <f t="shared" si="184"/>
        <v>#DIV/0!</v>
      </c>
      <c r="R1948" s="4" t="e">
        <f t="shared" si="185"/>
        <v>#DIV/0!</v>
      </c>
      <c r="S1948" s="4">
        <v>-3.73</v>
      </c>
      <c r="T1948" s="2">
        <v>0.39</v>
      </c>
      <c r="U1948" s="2">
        <v>16.86</v>
      </c>
      <c r="V1948" s="2">
        <v>9.25</v>
      </c>
      <c r="W1948" s="2">
        <v>-16.57</v>
      </c>
      <c r="X1948" s="2">
        <v>-14.26</v>
      </c>
      <c r="Y1948" s="2">
        <v>-9.42</v>
      </c>
      <c r="Z1948" s="2">
        <v>-8.9</v>
      </c>
    </row>
    <row r="1949" spans="1:26" x14ac:dyDescent="0.25">
      <c r="A1949" s="1" t="s">
        <v>7959</v>
      </c>
      <c r="B1949" s="1" t="s">
        <v>7960</v>
      </c>
      <c r="C1949" s="1" t="s">
        <v>31</v>
      </c>
      <c r="D1949" s="1" t="s">
        <v>88</v>
      </c>
      <c r="E1949" s="1" t="s">
        <v>658</v>
      </c>
      <c r="F1949" s="1" t="s">
        <v>7961</v>
      </c>
      <c r="G1949" s="1" t="s">
        <v>12480</v>
      </c>
      <c r="H1949" s="1" t="s">
        <v>7962</v>
      </c>
      <c r="I1949" s="2">
        <v>9.5399999999999991</v>
      </c>
      <c r="J1949" s="2">
        <v>0.48</v>
      </c>
      <c r="K1949" s="2">
        <v>0.66</v>
      </c>
      <c r="L1949" s="2">
        <v>0.82</v>
      </c>
      <c r="M1949" s="4">
        <f t="shared" si="180"/>
        <v>14.454545454545453</v>
      </c>
      <c r="N1949" s="4">
        <f t="shared" si="181"/>
        <v>11.634146341463413</v>
      </c>
      <c r="O1949" s="5">
        <f t="shared" si="182"/>
        <v>0.37500000000000022</v>
      </c>
      <c r="P1949" s="5">
        <f t="shared" si="183"/>
        <v>0.24242424242424221</v>
      </c>
      <c r="Q1949" s="4">
        <f t="shared" si="184"/>
        <v>0.38545454545454522</v>
      </c>
      <c r="R1949" s="4">
        <f t="shared" si="185"/>
        <v>0.47990853658536625</v>
      </c>
      <c r="S1949" s="4">
        <v>3.3</v>
      </c>
      <c r="T1949" s="2">
        <v>1.1100000000000001</v>
      </c>
      <c r="U1949" s="2">
        <v>9.6999999999999993</v>
      </c>
      <c r="V1949" s="2">
        <v>4.79</v>
      </c>
      <c r="W1949" s="2">
        <v>0.26</v>
      </c>
      <c r="X1949" s="2">
        <v>1.38</v>
      </c>
      <c r="Y1949" s="2">
        <v>28.23</v>
      </c>
      <c r="Z1949" s="2">
        <v>22.78</v>
      </c>
    </row>
    <row r="1950" spans="1:26" x14ac:dyDescent="0.25">
      <c r="A1950" s="1" t="s">
        <v>7963</v>
      </c>
      <c r="B1950" s="1" t="s">
        <v>7964</v>
      </c>
      <c r="C1950" s="1" t="s">
        <v>16</v>
      </c>
      <c r="D1950" s="1" t="s">
        <v>354</v>
      </c>
      <c r="E1950" s="1" t="s">
        <v>355</v>
      </c>
      <c r="F1950" s="1" t="s">
        <v>7965</v>
      </c>
      <c r="G1950" s="1" t="s">
        <v>12480</v>
      </c>
      <c r="H1950" s="1" t="s">
        <v>7966</v>
      </c>
      <c r="I1950" s="2">
        <v>47.03</v>
      </c>
      <c r="J1950" s="2">
        <v>1.9</v>
      </c>
      <c r="K1950" s="2">
        <v>2.0499999999999998</v>
      </c>
      <c r="L1950" s="2">
        <v>2.2200000000000002</v>
      </c>
      <c r="M1950" s="4">
        <f t="shared" si="180"/>
        <v>22.94146341463415</v>
      </c>
      <c r="N1950" s="4">
        <f t="shared" si="181"/>
        <v>21.184684684684683</v>
      </c>
      <c r="O1950" s="5">
        <f t="shared" si="182"/>
        <v>7.8947368421052655E-2</v>
      </c>
      <c r="P1950" s="5">
        <f t="shared" si="183"/>
        <v>8.2926829268292979E-2</v>
      </c>
      <c r="Q1950" s="4">
        <f t="shared" si="184"/>
        <v>2.9059186991869916</v>
      </c>
      <c r="R1950" s="4">
        <f t="shared" si="185"/>
        <v>2.5546237413884381</v>
      </c>
      <c r="S1950" s="4">
        <v>21.76</v>
      </c>
      <c r="T1950" s="2">
        <v>0.64</v>
      </c>
      <c r="U1950" s="2">
        <v>47.56</v>
      </c>
      <c r="V1950" s="2">
        <v>37.11</v>
      </c>
      <c r="W1950" s="2">
        <v>-0.04</v>
      </c>
      <c r="X1950" s="2">
        <v>5.8</v>
      </c>
      <c r="Y1950" s="2">
        <v>12.43</v>
      </c>
      <c r="Z1950" s="2">
        <v>12.62</v>
      </c>
    </row>
    <row r="1951" spans="1:26" x14ac:dyDescent="0.25">
      <c r="A1951" s="1" t="s">
        <v>7967</v>
      </c>
      <c r="B1951" s="1" t="s">
        <v>7968</v>
      </c>
      <c r="C1951" s="1" t="s">
        <v>16</v>
      </c>
      <c r="D1951" s="1" t="s">
        <v>38</v>
      </c>
      <c r="E1951" s="1" t="s">
        <v>1244</v>
      </c>
      <c r="F1951" s="1" t="s">
        <v>7969</v>
      </c>
      <c r="G1951" s="1" t="s">
        <v>12480</v>
      </c>
      <c r="H1951" s="1" t="s">
        <v>12705</v>
      </c>
      <c r="I1951" s="2">
        <v>150.05000000000001</v>
      </c>
      <c r="J1951" s="2">
        <v>9.82</v>
      </c>
      <c r="K1951" s="2">
        <v>12.45</v>
      </c>
      <c r="L1951" s="2">
        <v>14.2</v>
      </c>
      <c r="M1951" s="4">
        <f t="shared" si="180"/>
        <v>12.052208835341368</v>
      </c>
      <c r="N1951" s="4">
        <f t="shared" si="181"/>
        <v>10.566901408450706</v>
      </c>
      <c r="O1951" s="5">
        <f t="shared" si="182"/>
        <v>0.26782077393075343</v>
      </c>
      <c r="P1951" s="5">
        <f t="shared" si="183"/>
        <v>0.14056224899598391</v>
      </c>
      <c r="Q1951" s="4">
        <f t="shared" si="184"/>
        <v>0.45001023103822163</v>
      </c>
      <c r="R1951" s="4">
        <f t="shared" si="185"/>
        <v>0.75175955734406463</v>
      </c>
      <c r="S1951" s="4">
        <v>6.89</v>
      </c>
      <c r="T1951" s="2">
        <v>0.77</v>
      </c>
      <c r="U1951" s="2">
        <v>161.37</v>
      </c>
      <c r="V1951" s="2">
        <v>100.68</v>
      </c>
      <c r="W1951" s="2">
        <v>-3.84</v>
      </c>
      <c r="X1951" s="2">
        <v>-2.13</v>
      </c>
      <c r="Y1951" s="2">
        <v>13.42</v>
      </c>
      <c r="Z1951" s="2">
        <v>23.7</v>
      </c>
    </row>
    <row r="1952" spans="1:26" x14ac:dyDescent="0.25">
      <c r="A1952" s="1" t="s">
        <v>7970</v>
      </c>
      <c r="B1952" s="1" t="s">
        <v>7971</v>
      </c>
      <c r="C1952" s="1" t="s">
        <v>45</v>
      </c>
      <c r="D1952" s="1" t="s">
        <v>32</v>
      </c>
      <c r="E1952" s="1" t="s">
        <v>311</v>
      </c>
      <c r="F1952" s="1" t="s">
        <v>7972</v>
      </c>
      <c r="G1952" s="1" t="s">
        <v>12480</v>
      </c>
      <c r="H1952" s="1" t="s">
        <v>7973</v>
      </c>
      <c r="I1952" s="2">
        <v>125.63</v>
      </c>
      <c r="J1952" s="2">
        <v>12.3</v>
      </c>
      <c r="K1952" s="2">
        <v>10.95</v>
      </c>
      <c r="L1952" s="2">
        <v>12.34</v>
      </c>
      <c r="M1952" s="4">
        <f t="shared" si="180"/>
        <v>11.473059360730593</v>
      </c>
      <c r="N1952" s="4">
        <f t="shared" si="181"/>
        <v>10.180713128038898</v>
      </c>
      <c r="O1952" s="5">
        <f t="shared" si="182"/>
        <v>-0.10975609756097571</v>
      </c>
      <c r="P1952" s="5">
        <f t="shared" si="183"/>
        <v>0.12694063926940635</v>
      </c>
      <c r="Q1952" s="4">
        <f t="shared" si="184"/>
        <v>-1.0453231861998975</v>
      </c>
      <c r="R1952" s="4">
        <f t="shared" si="185"/>
        <v>0.80200581835989893</v>
      </c>
      <c r="S1952" s="4">
        <v>7.68</v>
      </c>
      <c r="T1952" s="2">
        <v>0.95</v>
      </c>
      <c r="U1952" s="2">
        <v>178.32</v>
      </c>
      <c r="V1952" s="2">
        <v>95.31</v>
      </c>
      <c r="W1952" s="2">
        <v>7.95</v>
      </c>
      <c r="X1952" s="2">
        <v>12.8</v>
      </c>
      <c r="Y1952" s="2">
        <v>18.61</v>
      </c>
      <c r="Z1952" s="2">
        <v>11.14</v>
      </c>
    </row>
    <row r="1953" spans="1:26" x14ac:dyDescent="0.25">
      <c r="A1953" s="1" t="s">
        <v>7974</v>
      </c>
      <c r="B1953" s="1" t="s">
        <v>7975</v>
      </c>
      <c r="C1953" s="1" t="s">
        <v>31</v>
      </c>
      <c r="D1953" s="1" t="s">
        <v>32</v>
      </c>
      <c r="E1953" s="1" t="s">
        <v>226</v>
      </c>
      <c r="F1953" s="1" t="s">
        <v>7976</v>
      </c>
      <c r="G1953" s="1" t="s">
        <v>12490</v>
      </c>
      <c r="H1953" s="1" t="s">
        <v>7977</v>
      </c>
      <c r="I1953" s="2">
        <v>12.01</v>
      </c>
      <c r="J1953" s="2">
        <v>0.12</v>
      </c>
      <c r="K1953" s="2">
        <v>0.52</v>
      </c>
      <c r="L1953" s="2">
        <v>0.61</v>
      </c>
      <c r="M1953" s="4">
        <f t="shared" si="180"/>
        <v>23.096153846153847</v>
      </c>
      <c r="N1953" s="4">
        <f t="shared" si="181"/>
        <v>19.688524590163933</v>
      </c>
      <c r="O1953" s="5">
        <f t="shared" si="182"/>
        <v>3.3333333333333339</v>
      </c>
      <c r="P1953" s="5">
        <f t="shared" si="183"/>
        <v>0.17307692307692291</v>
      </c>
      <c r="Q1953" s="4">
        <f t="shared" si="184"/>
        <v>6.9288461538461535E-2</v>
      </c>
      <c r="R1953" s="4">
        <f t="shared" si="185"/>
        <v>1.137559198542806</v>
      </c>
      <c r="S1953" s="4">
        <v>-5.46</v>
      </c>
      <c r="T1953" s="2">
        <v>0.56999999999999995</v>
      </c>
      <c r="U1953" s="2" t="s">
        <v>12633</v>
      </c>
      <c r="V1953" s="2">
        <v>8.6199999999999992</v>
      </c>
      <c r="W1953" s="2">
        <v>-4.3</v>
      </c>
      <c r="X1953" s="2">
        <v>-4.3</v>
      </c>
      <c r="Y1953" s="2">
        <v>3.45</v>
      </c>
      <c r="Z1953" s="2">
        <v>7.39</v>
      </c>
    </row>
    <row r="1954" spans="1:26" x14ac:dyDescent="0.25">
      <c r="A1954" s="1" t="s">
        <v>7978</v>
      </c>
      <c r="B1954" s="1" t="s">
        <v>7978</v>
      </c>
      <c r="C1954" s="1" t="s">
        <v>16</v>
      </c>
      <c r="D1954" s="1" t="s">
        <v>305</v>
      </c>
      <c r="E1954" s="1" t="s">
        <v>1176</v>
      </c>
      <c r="F1954" s="1" t="s">
        <v>7979</v>
      </c>
      <c r="G1954" s="1" t="s">
        <v>12480</v>
      </c>
      <c r="H1954" s="1" t="s">
        <v>7980</v>
      </c>
      <c r="I1954" s="2">
        <v>4.9400000000000004</v>
      </c>
      <c r="J1954" s="2">
        <v>-1.51</v>
      </c>
      <c r="K1954" s="2">
        <v>-0.43</v>
      </c>
      <c r="L1954" s="2">
        <v>-0.1</v>
      </c>
      <c r="M1954" s="4">
        <f t="shared" si="180"/>
        <v>-11.488372093023257</v>
      </c>
      <c r="N1954" s="4">
        <f t="shared" si="181"/>
        <v>-49.4</v>
      </c>
      <c r="O1954" s="5">
        <f t="shared" si="182"/>
        <v>-0.71523178807947019</v>
      </c>
      <c r="P1954" s="5">
        <f t="shared" si="183"/>
        <v>-0.76744186046511631</v>
      </c>
      <c r="Q1954" s="4">
        <f t="shared" si="184"/>
        <v>0.1606244616709733</v>
      </c>
      <c r="R1954" s="4">
        <f t="shared" si="185"/>
        <v>0.64369696969696966</v>
      </c>
      <c r="S1954" s="4">
        <v>14.96</v>
      </c>
      <c r="T1954" s="2">
        <v>1.1100000000000001</v>
      </c>
      <c r="U1954" s="2">
        <v>7.89</v>
      </c>
      <c r="V1954" s="2">
        <v>3.14</v>
      </c>
      <c r="W1954" s="2">
        <v>4.66</v>
      </c>
      <c r="X1954" s="2">
        <v>1.02</v>
      </c>
      <c r="Y1954" s="2" t="s">
        <v>12609</v>
      </c>
      <c r="Z1954" s="2">
        <v>-3.14</v>
      </c>
    </row>
    <row r="1955" spans="1:26" x14ac:dyDescent="0.25">
      <c r="A1955" s="1" t="s">
        <v>7981</v>
      </c>
      <c r="B1955" s="1" t="s">
        <v>7982</v>
      </c>
      <c r="C1955" s="1" t="s">
        <v>16</v>
      </c>
      <c r="D1955" s="1" t="s">
        <v>140</v>
      </c>
      <c r="E1955" s="1" t="s">
        <v>2376</v>
      </c>
      <c r="F1955" s="1" t="s">
        <v>7983</v>
      </c>
      <c r="G1955" s="1" t="s">
        <v>12480</v>
      </c>
      <c r="H1955" s="1" t="s">
        <v>7984</v>
      </c>
      <c r="I1955" s="2">
        <v>12.44</v>
      </c>
      <c r="J1955" s="2">
        <v>0.23</v>
      </c>
      <c r="K1955" s="2">
        <v>0.98</v>
      </c>
      <c r="L1955" s="2">
        <v>1.21</v>
      </c>
      <c r="M1955" s="4">
        <f t="shared" si="180"/>
        <v>12.693877551020408</v>
      </c>
      <c r="N1955" s="4">
        <f t="shared" si="181"/>
        <v>10.28099173553719</v>
      </c>
      <c r="O1955" s="5">
        <f t="shared" si="182"/>
        <v>3.2608695652173907</v>
      </c>
      <c r="P1955" s="5">
        <f t="shared" si="183"/>
        <v>0.23469387755102034</v>
      </c>
      <c r="Q1955" s="4">
        <f t="shared" si="184"/>
        <v>3.8927891156462592E-2</v>
      </c>
      <c r="R1955" s="4">
        <f t="shared" si="185"/>
        <v>0.43805964786201956</v>
      </c>
      <c r="S1955" s="4">
        <v>5.68</v>
      </c>
      <c r="T1955" s="2"/>
      <c r="U1955" s="2">
        <v>19.739999999999998</v>
      </c>
      <c r="V1955" s="2">
        <v>10.44</v>
      </c>
      <c r="W1955" s="2">
        <v>-9.7899999999999991</v>
      </c>
      <c r="X1955" s="2">
        <v>19.16</v>
      </c>
      <c r="Y1955" s="2">
        <v>-19.27</v>
      </c>
      <c r="Z1955" s="2">
        <v>-24.56</v>
      </c>
    </row>
    <row r="1956" spans="1:26" x14ac:dyDescent="0.25">
      <c r="A1956" s="1" t="s">
        <v>7985</v>
      </c>
      <c r="B1956" s="1" t="s">
        <v>7986</v>
      </c>
      <c r="C1956" s="1" t="s">
        <v>31</v>
      </c>
      <c r="D1956" s="1" t="s">
        <v>32</v>
      </c>
      <c r="E1956" s="1" t="s">
        <v>33</v>
      </c>
      <c r="F1956" s="1" t="s">
        <v>7987</v>
      </c>
      <c r="G1956" s="1" t="s">
        <v>12490</v>
      </c>
      <c r="H1956" s="1" t="s">
        <v>7988</v>
      </c>
      <c r="I1956" s="2">
        <v>3.64</v>
      </c>
      <c r="J1956" s="2">
        <v>0.24</v>
      </c>
      <c r="K1956" s="2"/>
      <c r="L1956" s="2"/>
      <c r="M1956" s="4" t="e">
        <f t="shared" si="180"/>
        <v>#DIV/0!</v>
      </c>
      <c r="N1956" s="4" t="e">
        <f t="shared" si="181"/>
        <v>#DIV/0!</v>
      </c>
      <c r="O1956" s="5">
        <f t="shared" si="182"/>
        <v>-1</v>
      </c>
      <c r="P1956" s="5" t="e">
        <f t="shared" si="183"/>
        <v>#DIV/0!</v>
      </c>
      <c r="Q1956" s="4" t="e">
        <f t="shared" si="184"/>
        <v>#DIV/0!</v>
      </c>
      <c r="R1956" s="4" t="e">
        <f t="shared" si="185"/>
        <v>#DIV/0!</v>
      </c>
      <c r="S1956" s="4">
        <v>5.26</v>
      </c>
      <c r="T1956" s="2">
        <v>0.96</v>
      </c>
      <c r="U1956" s="2">
        <v>5.54</v>
      </c>
      <c r="V1956" s="2">
        <v>2.7</v>
      </c>
      <c r="W1956" s="2" t="s">
        <v>12489</v>
      </c>
      <c r="X1956" s="2">
        <v>-3.45</v>
      </c>
      <c r="Y1956" s="2">
        <v>13.75</v>
      </c>
      <c r="Z1956" s="2">
        <v>9.64</v>
      </c>
    </row>
    <row r="1957" spans="1:26" x14ac:dyDescent="0.25">
      <c r="A1957" s="1" t="s">
        <v>7989</v>
      </c>
      <c r="B1957" s="1" t="s">
        <v>7990</v>
      </c>
      <c r="C1957" s="1" t="s">
        <v>16</v>
      </c>
      <c r="D1957" s="1" t="s">
        <v>354</v>
      </c>
      <c r="E1957" s="1" t="s">
        <v>1213</v>
      </c>
      <c r="F1957" s="1" t="s">
        <v>7991</v>
      </c>
      <c r="G1957" s="1" t="s">
        <v>12485</v>
      </c>
      <c r="H1957" s="1" t="s">
        <v>7992</v>
      </c>
      <c r="I1957" s="2">
        <v>54.74</v>
      </c>
      <c r="J1957" s="2">
        <v>3.27</v>
      </c>
      <c r="K1957" s="2">
        <v>3.31</v>
      </c>
      <c r="L1957" s="2">
        <v>3.47</v>
      </c>
      <c r="M1957" s="4">
        <f t="shared" si="180"/>
        <v>16.537764350453173</v>
      </c>
      <c r="N1957" s="4">
        <f t="shared" si="181"/>
        <v>15.775216138328529</v>
      </c>
      <c r="O1957" s="5">
        <f t="shared" si="182"/>
        <v>1.2232415902140747E-2</v>
      </c>
      <c r="P1957" s="5">
        <f t="shared" si="183"/>
        <v>4.8338368580060465E-2</v>
      </c>
      <c r="Q1957" s="4">
        <f t="shared" si="184"/>
        <v>13.519622356495386</v>
      </c>
      <c r="R1957" s="4">
        <f t="shared" si="185"/>
        <v>3.2634978386167117</v>
      </c>
      <c r="S1957" s="4">
        <v>13.35</v>
      </c>
      <c r="T1957" s="2">
        <v>0.56999999999999995</v>
      </c>
      <c r="U1957" s="2">
        <v>55.25</v>
      </c>
      <c r="V1957" s="2">
        <v>44.13</v>
      </c>
      <c r="W1957" s="2">
        <v>0.46</v>
      </c>
      <c r="X1957" s="2">
        <v>5.76</v>
      </c>
      <c r="Y1957" s="2">
        <v>18.25</v>
      </c>
      <c r="Z1957" s="2">
        <v>18.690000000000001</v>
      </c>
    </row>
    <row r="1958" spans="1:26" x14ac:dyDescent="0.25">
      <c r="A1958" s="1" t="s">
        <v>7993</v>
      </c>
      <c r="B1958" s="1" t="s">
        <v>7994</v>
      </c>
      <c r="C1958" s="1" t="s">
        <v>16</v>
      </c>
      <c r="D1958" s="1" t="s">
        <v>147</v>
      </c>
      <c r="E1958" s="1" t="s">
        <v>279</v>
      </c>
      <c r="F1958" s="1" t="s">
        <v>7995</v>
      </c>
      <c r="G1958" s="1" t="s">
        <v>12508</v>
      </c>
      <c r="H1958" s="1" t="s">
        <v>7996</v>
      </c>
      <c r="I1958" s="2">
        <v>56.53</v>
      </c>
      <c r="J1958" s="2">
        <v>2.16</v>
      </c>
      <c r="K1958" s="2">
        <v>1.57</v>
      </c>
      <c r="L1958" s="2">
        <v>2.42</v>
      </c>
      <c r="M1958" s="4">
        <f t="shared" si="180"/>
        <v>36.00636942675159</v>
      </c>
      <c r="N1958" s="4">
        <f t="shared" si="181"/>
        <v>23.359504132231407</v>
      </c>
      <c r="O1958" s="5">
        <f t="shared" si="182"/>
        <v>-0.27314814814814814</v>
      </c>
      <c r="P1958" s="5">
        <f t="shared" si="183"/>
        <v>0.5414012738853502</v>
      </c>
      <c r="Q1958" s="4">
        <f t="shared" si="184"/>
        <v>-1.318199287487855</v>
      </c>
      <c r="R1958" s="4">
        <f t="shared" si="185"/>
        <v>0.43146378220709786</v>
      </c>
      <c r="S1958" s="4">
        <v>-9.84</v>
      </c>
      <c r="T1958" s="2">
        <v>1.27</v>
      </c>
      <c r="U1958" s="2">
        <v>79.239999999999995</v>
      </c>
      <c r="V1958" s="2">
        <v>53.27</v>
      </c>
      <c r="W1958" s="2">
        <v>-7.34</v>
      </c>
      <c r="X1958" s="2">
        <v>-9.42</v>
      </c>
      <c r="Y1958" s="2">
        <v>-16.600000000000001</v>
      </c>
      <c r="Z1958" s="2">
        <v>-11.27</v>
      </c>
    </row>
    <row r="1959" spans="1:26" x14ac:dyDescent="0.25">
      <c r="A1959" s="1" t="s">
        <v>7997</v>
      </c>
      <c r="B1959" s="1" t="s">
        <v>7998</v>
      </c>
      <c r="C1959" s="1" t="s">
        <v>45</v>
      </c>
      <c r="D1959" s="1" t="s">
        <v>18</v>
      </c>
      <c r="E1959" s="1" t="s">
        <v>780</v>
      </c>
      <c r="F1959" s="1" t="s">
        <v>7999</v>
      </c>
      <c r="G1959" s="1" t="s">
        <v>12480</v>
      </c>
      <c r="H1959" s="1" t="s">
        <v>6435</v>
      </c>
      <c r="I1959" s="2">
        <v>69.150000000000006</v>
      </c>
      <c r="J1959" s="2">
        <v>-10.5</v>
      </c>
      <c r="K1959" s="2">
        <v>-10.65</v>
      </c>
      <c r="L1959" s="2">
        <v>-12.39</v>
      </c>
      <c r="M1959" s="4">
        <f t="shared" si="180"/>
        <v>-6.4929577464788739</v>
      </c>
      <c r="N1959" s="4">
        <f t="shared" si="181"/>
        <v>-5.5811138014527844</v>
      </c>
      <c r="O1959" s="5">
        <f t="shared" si="182"/>
        <v>1.4285714285714235E-2</v>
      </c>
      <c r="P1959" s="5">
        <f t="shared" si="183"/>
        <v>0.16338028169014085</v>
      </c>
      <c r="Q1959" s="4">
        <f t="shared" si="184"/>
        <v>-4.5450704225352281</v>
      </c>
      <c r="R1959" s="4">
        <f t="shared" si="185"/>
        <v>-0.3416026550889204</v>
      </c>
      <c r="S1959" s="4">
        <v>9.2200000000000006</v>
      </c>
      <c r="T1959" s="2">
        <v>1.17</v>
      </c>
      <c r="U1959" s="2">
        <v>73.86</v>
      </c>
      <c r="V1959" s="2">
        <v>7.35</v>
      </c>
      <c r="W1959" s="2">
        <v>1.1599999999999999</v>
      </c>
      <c r="X1959" s="2">
        <v>86.54</v>
      </c>
      <c r="Y1959" s="2">
        <v>29.74</v>
      </c>
      <c r="Z1959" s="2">
        <v>63.55</v>
      </c>
    </row>
    <row r="1960" spans="1:26" x14ac:dyDescent="0.25">
      <c r="A1960" s="1" t="s">
        <v>8000</v>
      </c>
      <c r="B1960" s="1" t="s">
        <v>8001</v>
      </c>
      <c r="C1960" s="1" t="s">
        <v>16</v>
      </c>
      <c r="D1960" s="1" t="s">
        <v>38</v>
      </c>
      <c r="E1960" s="1" t="s">
        <v>153</v>
      </c>
      <c r="F1960" s="1" t="s">
        <v>8002</v>
      </c>
      <c r="G1960" s="1" t="s">
        <v>12480</v>
      </c>
      <c r="H1960" s="1" t="s">
        <v>8003</v>
      </c>
      <c r="I1960" s="2">
        <v>22.19</v>
      </c>
      <c r="J1960" s="2">
        <v>2.92</v>
      </c>
      <c r="K1960" s="2">
        <v>2.96</v>
      </c>
      <c r="L1960" s="2">
        <v>2.96</v>
      </c>
      <c r="M1960" s="4">
        <f t="shared" si="180"/>
        <v>7.4966216216216219</v>
      </c>
      <c r="N1960" s="4">
        <f t="shared" si="181"/>
        <v>7.4966216216216219</v>
      </c>
      <c r="O1960" s="5">
        <f t="shared" si="182"/>
        <v>1.3698630136986356E-2</v>
      </c>
      <c r="P1960" s="5">
        <f t="shared" si="183"/>
        <v>0</v>
      </c>
      <c r="Q1960" s="4">
        <f t="shared" si="184"/>
        <v>5.4725337837837618</v>
      </c>
      <c r="R1960" s="4" t="e">
        <f t="shared" si="185"/>
        <v>#DIV/0!</v>
      </c>
      <c r="S1960" s="4">
        <v>23.12</v>
      </c>
      <c r="T1960" s="2">
        <v>1.24</v>
      </c>
      <c r="U1960" s="2">
        <v>24.4</v>
      </c>
      <c r="V1960" s="2">
        <v>17.3</v>
      </c>
      <c r="W1960" s="2">
        <v>-4.3899999999999997</v>
      </c>
      <c r="X1960" s="2">
        <v>-1.94</v>
      </c>
      <c r="Y1960" s="2">
        <v>-0.76</v>
      </c>
      <c r="Z1960" s="2">
        <v>-0.76</v>
      </c>
    </row>
    <row r="1961" spans="1:26" x14ac:dyDescent="0.25">
      <c r="A1961" s="1" t="s">
        <v>8004</v>
      </c>
      <c r="B1961" s="1" t="s">
        <v>8005</v>
      </c>
      <c r="C1961" s="1" t="s">
        <v>45</v>
      </c>
      <c r="D1961" s="1" t="s">
        <v>38</v>
      </c>
      <c r="E1961" s="1" t="s">
        <v>194</v>
      </c>
      <c r="F1961" s="1" t="s">
        <v>8006</v>
      </c>
      <c r="G1961" s="1" t="s">
        <v>12480</v>
      </c>
      <c r="H1961" s="1" t="s">
        <v>8007</v>
      </c>
      <c r="I1961" s="2">
        <v>38.549999999999997</v>
      </c>
      <c r="J1961" s="2">
        <v>4.92</v>
      </c>
      <c r="K1961" s="2">
        <v>5.13</v>
      </c>
      <c r="L1961" s="2">
        <v>5.49</v>
      </c>
      <c r="M1961" s="4">
        <f t="shared" si="180"/>
        <v>7.5146198830409352</v>
      </c>
      <c r="N1961" s="4">
        <f t="shared" si="181"/>
        <v>7.0218579234972669</v>
      </c>
      <c r="O1961" s="5">
        <f t="shared" si="182"/>
        <v>4.2682926829268331E-2</v>
      </c>
      <c r="P1961" s="5">
        <f t="shared" si="183"/>
        <v>7.0175438596491224E-2</v>
      </c>
      <c r="Q1961" s="4">
        <f t="shared" si="184"/>
        <v>1.7605680868838747</v>
      </c>
      <c r="R1961" s="4">
        <f t="shared" si="185"/>
        <v>1.0006147540983605</v>
      </c>
      <c r="S1961" s="4">
        <v>8.52</v>
      </c>
      <c r="T1961" s="2">
        <v>0.63</v>
      </c>
      <c r="U1961" s="2">
        <v>43.15</v>
      </c>
      <c r="V1961" s="2">
        <v>32.79</v>
      </c>
      <c r="W1961" s="2">
        <v>-2.73</v>
      </c>
      <c r="X1961" s="2">
        <v>-3.48</v>
      </c>
      <c r="Y1961" s="2">
        <v>-3.94</v>
      </c>
      <c r="Z1961" s="2">
        <v>-5.49</v>
      </c>
    </row>
    <row r="1962" spans="1:26" x14ac:dyDescent="0.25">
      <c r="A1962" s="1" t="s">
        <v>8008</v>
      </c>
      <c r="B1962" s="1" t="s">
        <v>8009</v>
      </c>
      <c r="C1962" s="1" t="s">
        <v>16</v>
      </c>
      <c r="D1962" s="1" t="s">
        <v>46</v>
      </c>
      <c r="E1962" s="1" t="s">
        <v>770</v>
      </c>
      <c r="F1962" s="1" t="s">
        <v>8010</v>
      </c>
      <c r="G1962" s="1" t="s">
        <v>12480</v>
      </c>
      <c r="H1962" s="1" t="s">
        <v>8011</v>
      </c>
      <c r="I1962" s="2">
        <v>67.2</v>
      </c>
      <c r="J1962" s="2">
        <v>9.94</v>
      </c>
      <c r="K1962" s="2"/>
      <c r="L1962" s="2"/>
      <c r="M1962" s="4" t="e">
        <f t="shared" si="180"/>
        <v>#DIV/0!</v>
      </c>
      <c r="N1962" s="4" t="e">
        <f t="shared" si="181"/>
        <v>#DIV/0!</v>
      </c>
      <c r="O1962" s="5">
        <f t="shared" si="182"/>
        <v>-1</v>
      </c>
      <c r="P1962" s="5" t="e">
        <f t="shared" si="183"/>
        <v>#DIV/0!</v>
      </c>
      <c r="Q1962" s="4" t="e">
        <f t="shared" si="184"/>
        <v>#DIV/0!</v>
      </c>
      <c r="R1962" s="4" t="e">
        <f t="shared" si="185"/>
        <v>#DIV/0!</v>
      </c>
      <c r="S1962" s="4">
        <v>0.76</v>
      </c>
      <c r="T1962" s="2">
        <v>1.31</v>
      </c>
      <c r="U1962" s="2">
        <v>72.599999999999994</v>
      </c>
      <c r="V1962" s="2">
        <v>29.54</v>
      </c>
      <c r="W1962" s="2">
        <v>-7.44</v>
      </c>
      <c r="X1962" s="2">
        <v>8.6999999999999993</v>
      </c>
      <c r="Y1962" s="2">
        <v>32.700000000000003</v>
      </c>
      <c r="Z1962" s="2">
        <v>28.17</v>
      </c>
    </row>
    <row r="1963" spans="1:26" x14ac:dyDescent="0.25">
      <c r="A1963" s="1" t="s">
        <v>8013</v>
      </c>
      <c r="B1963" s="1" t="s">
        <v>8014</v>
      </c>
      <c r="C1963" s="1" t="s">
        <v>16</v>
      </c>
      <c r="D1963" s="1" t="s">
        <v>38</v>
      </c>
      <c r="E1963" s="1" t="s">
        <v>1408</v>
      </c>
      <c r="F1963" s="1" t="s">
        <v>8015</v>
      </c>
      <c r="G1963" s="1" t="s">
        <v>12490</v>
      </c>
      <c r="H1963" s="1" t="s">
        <v>8016</v>
      </c>
      <c r="I1963" s="2">
        <v>7.76</v>
      </c>
      <c r="J1963" s="2">
        <v>0.73</v>
      </c>
      <c r="K1963" s="2">
        <v>0.82</v>
      </c>
      <c r="L1963" s="2">
        <v>0.78</v>
      </c>
      <c r="M1963" s="4">
        <f t="shared" si="180"/>
        <v>9.463414634146341</v>
      </c>
      <c r="N1963" s="4">
        <f t="shared" si="181"/>
        <v>9.9487179487179489</v>
      </c>
      <c r="O1963" s="5">
        <f t="shared" si="182"/>
        <v>0.12328767123287676</v>
      </c>
      <c r="P1963" s="5">
        <f t="shared" si="183"/>
        <v>-4.8780487804877981E-2</v>
      </c>
      <c r="Q1963" s="4">
        <f t="shared" si="184"/>
        <v>0.7675880758807585</v>
      </c>
      <c r="R1963" s="4">
        <f t="shared" si="185"/>
        <v>-2.0394871794871823</v>
      </c>
      <c r="S1963" s="4">
        <v>187.48</v>
      </c>
      <c r="T1963" s="2">
        <v>0.67</v>
      </c>
      <c r="U1963" s="2">
        <v>9.5399999999999991</v>
      </c>
      <c r="V1963" s="2">
        <v>4.95</v>
      </c>
      <c r="W1963" s="2">
        <v>-10.29</v>
      </c>
      <c r="X1963" s="2">
        <v>-16.47</v>
      </c>
      <c r="Y1963" s="2">
        <v>-7.29</v>
      </c>
      <c r="Z1963" s="2">
        <v>-7.51</v>
      </c>
    </row>
    <row r="1964" spans="1:26" x14ac:dyDescent="0.25">
      <c r="A1964" s="1" t="s">
        <v>8017</v>
      </c>
      <c r="B1964" s="1" t="s">
        <v>8018</v>
      </c>
      <c r="C1964" s="1" t="s">
        <v>45</v>
      </c>
      <c r="D1964" s="1" t="s">
        <v>38</v>
      </c>
      <c r="E1964" s="1" t="s">
        <v>1806</v>
      </c>
      <c r="F1964" s="1" t="s">
        <v>8019</v>
      </c>
      <c r="G1964" s="1" t="s">
        <v>12480</v>
      </c>
      <c r="H1964" s="1" t="s">
        <v>8020</v>
      </c>
      <c r="I1964" s="2">
        <v>14.49</v>
      </c>
      <c r="J1964" s="2">
        <v>1.62</v>
      </c>
      <c r="K1964" s="2">
        <v>1.88</v>
      </c>
      <c r="L1964" s="2" t="s">
        <v>12487</v>
      </c>
      <c r="M1964" s="4">
        <f t="shared" si="180"/>
        <v>7.7074468085106389</v>
      </c>
      <c r="N1964" s="4">
        <f t="shared" si="181"/>
        <v>7.2450000000000001</v>
      </c>
      <c r="O1964" s="5">
        <f t="shared" si="182"/>
        <v>0.16049382716049365</v>
      </c>
      <c r="P1964" s="5">
        <f t="shared" si="183"/>
        <v>6.3829787234042534E-2</v>
      </c>
      <c r="Q1964" s="4">
        <f t="shared" si="184"/>
        <v>0.48023322422258646</v>
      </c>
      <c r="R1964" s="4">
        <f t="shared" si="185"/>
        <v>1.1350500000000003</v>
      </c>
      <c r="S1964" s="4">
        <v>19.61</v>
      </c>
      <c r="T1964" s="2">
        <v>1.89</v>
      </c>
      <c r="U1964" s="2">
        <v>19.579999999999998</v>
      </c>
      <c r="V1964" s="2">
        <v>10.09</v>
      </c>
      <c r="W1964" s="2">
        <v>2.19</v>
      </c>
      <c r="X1964" s="2">
        <v>-16.190000000000001</v>
      </c>
      <c r="Y1964" s="2">
        <v>-15.06</v>
      </c>
      <c r="Z1964" s="2">
        <v>-16.440000000000001</v>
      </c>
    </row>
    <row r="1965" spans="1:26" x14ac:dyDescent="0.25">
      <c r="A1965" s="1" t="s">
        <v>8021</v>
      </c>
      <c r="B1965" s="1" t="s">
        <v>8022</v>
      </c>
      <c r="C1965" s="1" t="s">
        <v>45</v>
      </c>
      <c r="D1965" s="1" t="s">
        <v>140</v>
      </c>
      <c r="E1965" s="1" t="s">
        <v>284</v>
      </c>
      <c r="F1965" s="1" t="s">
        <v>8023</v>
      </c>
      <c r="G1965" s="1" t="s">
        <v>12480</v>
      </c>
      <c r="H1965" s="1" t="s">
        <v>8024</v>
      </c>
      <c r="I1965" s="2">
        <v>16.5</v>
      </c>
      <c r="J1965" s="2">
        <v>-0.84</v>
      </c>
      <c r="K1965" s="2">
        <v>-0.56999999999999995</v>
      </c>
      <c r="L1965" s="2"/>
      <c r="M1965" s="4">
        <f t="shared" si="180"/>
        <v>-28.947368421052634</v>
      </c>
      <c r="N1965" s="4" t="e">
        <f t="shared" si="181"/>
        <v>#DIV/0!</v>
      </c>
      <c r="O1965" s="5">
        <f t="shared" si="182"/>
        <v>-0.32142857142857151</v>
      </c>
      <c r="P1965" s="5">
        <f t="shared" si="183"/>
        <v>-1</v>
      </c>
      <c r="Q1965" s="4">
        <f t="shared" si="184"/>
        <v>0.90058479532163715</v>
      </c>
      <c r="R1965" s="4" t="e">
        <f t="shared" si="185"/>
        <v>#DIV/0!</v>
      </c>
      <c r="S1965" s="4">
        <v>46.79</v>
      </c>
      <c r="T1965" s="2">
        <v>0.96</v>
      </c>
      <c r="U1965" s="2">
        <v>17.940000000000001</v>
      </c>
      <c r="V1965" s="2">
        <v>10.16</v>
      </c>
      <c r="W1965" s="2">
        <v>-2.02</v>
      </c>
      <c r="X1965" s="2" t="s">
        <v>12489</v>
      </c>
      <c r="Y1965" s="2">
        <v>2.42</v>
      </c>
      <c r="Z1965" s="2">
        <v>-0.84</v>
      </c>
    </row>
    <row r="1966" spans="1:26" x14ac:dyDescent="0.25">
      <c r="A1966" s="1" t="s">
        <v>8025</v>
      </c>
      <c r="B1966" s="1" t="s">
        <v>8026</v>
      </c>
      <c r="C1966" s="1" t="s">
        <v>31</v>
      </c>
      <c r="D1966" s="1" t="s">
        <v>88</v>
      </c>
      <c r="E1966" s="1" t="s">
        <v>1113</v>
      </c>
      <c r="F1966" s="1" t="s">
        <v>8027</v>
      </c>
      <c r="G1966" s="1" t="s">
        <v>12490</v>
      </c>
      <c r="H1966" s="1" t="s">
        <v>3271</v>
      </c>
      <c r="I1966" s="2">
        <v>38.161000000000001</v>
      </c>
      <c r="J1966" s="2">
        <v>1.99</v>
      </c>
      <c r="K1966" s="2"/>
      <c r="L1966" s="2"/>
      <c r="M1966" s="4" t="e">
        <f t="shared" si="180"/>
        <v>#DIV/0!</v>
      </c>
      <c r="N1966" s="4" t="e">
        <f t="shared" si="181"/>
        <v>#DIV/0!</v>
      </c>
      <c r="O1966" s="5">
        <f t="shared" si="182"/>
        <v>-1</v>
      </c>
      <c r="P1966" s="5" t="e">
        <f t="shared" si="183"/>
        <v>#DIV/0!</v>
      </c>
      <c r="Q1966" s="4" t="e">
        <f t="shared" si="184"/>
        <v>#DIV/0!</v>
      </c>
      <c r="R1966" s="4" t="e">
        <f t="shared" si="185"/>
        <v>#DIV/0!</v>
      </c>
      <c r="S1966" s="4">
        <v>5.1100000000000003</v>
      </c>
      <c r="T1966" s="2">
        <v>-0.23</v>
      </c>
      <c r="U1966" s="2">
        <v>49.63</v>
      </c>
      <c r="V1966" s="2">
        <v>24.74</v>
      </c>
      <c r="W1966" s="2">
        <v>-11.3</v>
      </c>
      <c r="X1966" s="2">
        <v>-4.6399999999999997</v>
      </c>
      <c r="Y1966" s="2">
        <v>7.72</v>
      </c>
      <c r="Z1966" s="2">
        <v>11.58</v>
      </c>
    </row>
    <row r="1967" spans="1:26" x14ac:dyDescent="0.25">
      <c r="A1967" s="1" t="s">
        <v>8028</v>
      </c>
      <c r="B1967" s="1" t="s">
        <v>8029</v>
      </c>
      <c r="C1967" s="1" t="s">
        <v>45</v>
      </c>
      <c r="D1967" s="1" t="s">
        <v>94</v>
      </c>
      <c r="E1967" s="1" t="s">
        <v>95</v>
      </c>
      <c r="F1967" s="1" t="s">
        <v>8030</v>
      </c>
      <c r="G1967" s="1" t="s">
        <v>12485</v>
      </c>
      <c r="H1967" s="1" t="s">
        <v>2327</v>
      </c>
      <c r="I1967" s="2">
        <v>23.68</v>
      </c>
      <c r="J1967" s="2">
        <v>-1.06</v>
      </c>
      <c r="K1967" s="2">
        <v>-1.4</v>
      </c>
      <c r="L1967" s="2">
        <v>-2.06</v>
      </c>
      <c r="M1967" s="4">
        <f t="shared" si="180"/>
        <v>-16.914285714285715</v>
      </c>
      <c r="N1967" s="4">
        <f t="shared" si="181"/>
        <v>-11.495145631067961</v>
      </c>
      <c r="O1967" s="5">
        <f t="shared" si="182"/>
        <v>0.320754716981132</v>
      </c>
      <c r="P1967" s="5">
        <f t="shared" si="183"/>
        <v>0.47142857142857153</v>
      </c>
      <c r="Q1967" s="4">
        <f t="shared" si="184"/>
        <v>-0.52732773109243714</v>
      </c>
      <c r="R1967" s="4">
        <f t="shared" si="185"/>
        <v>-0.24383642247719914</v>
      </c>
      <c r="S1967" s="4"/>
      <c r="T1967" s="2">
        <v>7.59</v>
      </c>
      <c r="U1967" s="2">
        <v>56.63</v>
      </c>
      <c r="V1967" s="2">
        <v>18.52</v>
      </c>
      <c r="W1967" s="2">
        <v>-14.11</v>
      </c>
      <c r="X1967" s="2">
        <v>-16.97</v>
      </c>
      <c r="Y1967" s="2">
        <v>-24.47</v>
      </c>
      <c r="Z1967" s="2">
        <v>-1.37</v>
      </c>
    </row>
    <row r="1968" spans="1:26" x14ac:dyDescent="0.25">
      <c r="A1968" s="1" t="s">
        <v>8031</v>
      </c>
      <c r="B1968" s="1" t="s">
        <v>8032</v>
      </c>
      <c r="C1968" s="1" t="s">
        <v>31</v>
      </c>
      <c r="D1968" s="1" t="s">
        <v>38</v>
      </c>
      <c r="E1968" s="1" t="s">
        <v>39</v>
      </c>
      <c r="F1968" s="1" t="s">
        <v>8033</v>
      </c>
      <c r="G1968" s="1" t="s">
        <v>12480</v>
      </c>
      <c r="H1968" s="1" t="s">
        <v>8034</v>
      </c>
      <c r="I1968" s="2">
        <v>38.71</v>
      </c>
      <c r="J1968" s="2">
        <v>3.02</v>
      </c>
      <c r="K1968" s="2">
        <v>4.8099999999999996</v>
      </c>
      <c r="L1968" s="2">
        <v>5.07</v>
      </c>
      <c r="M1968" s="4">
        <f t="shared" si="180"/>
        <v>8.0478170478170483</v>
      </c>
      <c r="N1968" s="4">
        <f t="shared" si="181"/>
        <v>7.6351084812623276</v>
      </c>
      <c r="O1968" s="5">
        <f t="shared" si="182"/>
        <v>0.59271523178807928</v>
      </c>
      <c r="P1968" s="5">
        <f t="shared" si="183"/>
        <v>5.4054054054054168E-2</v>
      </c>
      <c r="Q1968" s="4">
        <f t="shared" si="184"/>
        <v>0.13577881276205303</v>
      </c>
      <c r="R1968" s="4">
        <f t="shared" si="185"/>
        <v>1.4124950690335276</v>
      </c>
      <c r="S1968" s="4">
        <v>9.35</v>
      </c>
      <c r="T1968" s="2">
        <v>0.74</v>
      </c>
      <c r="U1968" s="2">
        <v>41.8</v>
      </c>
      <c r="V1968" s="2">
        <v>24.73</v>
      </c>
      <c r="W1968" s="2">
        <v>-3.2</v>
      </c>
      <c r="X1968" s="2">
        <v>-5.82</v>
      </c>
      <c r="Y1968" s="2">
        <v>2.73</v>
      </c>
      <c r="Z1968" s="2">
        <v>0.6</v>
      </c>
    </row>
    <row r="1969" spans="1:26" x14ac:dyDescent="0.25">
      <c r="A1969" s="1" t="s">
        <v>8035</v>
      </c>
      <c r="B1969" s="1" t="s">
        <v>8036</v>
      </c>
      <c r="C1969" s="1" t="s">
        <v>16</v>
      </c>
      <c r="D1969" s="1" t="s">
        <v>38</v>
      </c>
      <c r="E1969" s="1" t="s">
        <v>653</v>
      </c>
      <c r="F1969" s="1" t="s">
        <v>8037</v>
      </c>
      <c r="G1969" s="1" t="s">
        <v>12480</v>
      </c>
      <c r="H1969" s="1" t="s">
        <v>2985</v>
      </c>
      <c r="I1969" s="2">
        <v>131.81</v>
      </c>
      <c r="J1969" s="2">
        <v>11.98</v>
      </c>
      <c r="K1969" s="2">
        <v>9.1999999999999993</v>
      </c>
      <c r="L1969" s="2" t="s">
        <v>12479</v>
      </c>
      <c r="M1969" s="4">
        <f t="shared" si="180"/>
        <v>14.327173913043479</v>
      </c>
      <c r="N1969" s="4">
        <f t="shared" si="181"/>
        <v>13.181000000000001</v>
      </c>
      <c r="O1969" s="5">
        <f t="shared" si="182"/>
        <v>-0.23205342237061777</v>
      </c>
      <c r="P1969" s="5">
        <f t="shared" si="183"/>
        <v>8.6956521739130599E-2</v>
      </c>
      <c r="Q1969" s="4">
        <f t="shared" si="184"/>
        <v>-0.61740842977791666</v>
      </c>
      <c r="R1969" s="4">
        <f t="shared" si="185"/>
        <v>1.515814999999997</v>
      </c>
      <c r="S1969" s="4">
        <v>5.49</v>
      </c>
      <c r="T1969" s="2">
        <v>0.82</v>
      </c>
      <c r="U1969" s="2">
        <v>141.13</v>
      </c>
      <c r="V1969" s="2">
        <v>101.27</v>
      </c>
      <c r="W1969" s="2">
        <v>0.08</v>
      </c>
      <c r="X1969" s="2">
        <v>1.49</v>
      </c>
      <c r="Y1969" s="2">
        <v>-1.59</v>
      </c>
      <c r="Z1969" s="2">
        <v>-0.86</v>
      </c>
    </row>
    <row r="1970" spans="1:26" x14ac:dyDescent="0.25">
      <c r="A1970" s="1" t="s">
        <v>8038</v>
      </c>
      <c r="B1970" s="1" t="s">
        <v>8039</v>
      </c>
      <c r="C1970" s="1" t="s">
        <v>16</v>
      </c>
      <c r="D1970" s="1" t="s">
        <v>38</v>
      </c>
      <c r="E1970" s="1" t="s">
        <v>510</v>
      </c>
      <c r="F1970" s="1" t="s">
        <v>8040</v>
      </c>
      <c r="G1970" s="1" t="s">
        <v>12480</v>
      </c>
      <c r="H1970" s="1" t="s">
        <v>3307</v>
      </c>
      <c r="I1970" s="2">
        <v>45.45</v>
      </c>
      <c r="J1970" s="2">
        <v>3.44</v>
      </c>
      <c r="K1970" s="2">
        <v>3.54</v>
      </c>
      <c r="L1970" s="2">
        <v>3.68</v>
      </c>
      <c r="M1970" s="4">
        <f t="shared" si="180"/>
        <v>12.838983050847459</v>
      </c>
      <c r="N1970" s="4">
        <f t="shared" si="181"/>
        <v>12.350543478260869</v>
      </c>
      <c r="O1970" s="5">
        <f t="shared" si="182"/>
        <v>2.9069767441860517E-2</v>
      </c>
      <c r="P1970" s="5">
        <f t="shared" si="183"/>
        <v>3.9548022598870025E-2</v>
      </c>
      <c r="Q1970" s="4">
        <f t="shared" si="184"/>
        <v>4.4166101694915181</v>
      </c>
      <c r="R1970" s="4">
        <f t="shared" si="185"/>
        <v>3.1229231366459653</v>
      </c>
      <c r="S1970" s="4" t="s">
        <v>12858</v>
      </c>
      <c r="T1970" s="2">
        <v>0.83</v>
      </c>
      <c r="U1970" s="2">
        <v>45.83</v>
      </c>
      <c r="V1970" s="2">
        <v>37.56</v>
      </c>
      <c r="W1970" s="2">
        <v>-0.83</v>
      </c>
      <c r="X1970" s="2">
        <v>6.07</v>
      </c>
      <c r="Y1970" s="2">
        <v>12.39</v>
      </c>
      <c r="Z1970" s="2">
        <v>14.69</v>
      </c>
    </row>
    <row r="1971" spans="1:26" x14ac:dyDescent="0.25">
      <c r="A1971" s="1" t="s">
        <v>8041</v>
      </c>
      <c r="B1971" s="1" t="s">
        <v>8042</v>
      </c>
      <c r="C1971" s="1" t="s">
        <v>45</v>
      </c>
      <c r="D1971" s="1" t="s">
        <v>18</v>
      </c>
      <c r="E1971" s="1" t="s">
        <v>74</v>
      </c>
      <c r="F1971" s="1" t="s">
        <v>8043</v>
      </c>
      <c r="G1971" s="1" t="s">
        <v>12480</v>
      </c>
      <c r="H1971" s="1" t="s">
        <v>8044</v>
      </c>
      <c r="I1971" s="2">
        <v>22.21</v>
      </c>
      <c r="J1971" s="2">
        <v>0.06</v>
      </c>
      <c r="K1971" s="2"/>
      <c r="L1971" s="2"/>
      <c r="M1971" s="4" t="e">
        <f t="shared" si="180"/>
        <v>#DIV/0!</v>
      </c>
      <c r="N1971" s="4" t="e">
        <f t="shared" si="181"/>
        <v>#DIV/0!</v>
      </c>
      <c r="O1971" s="5">
        <f t="shared" si="182"/>
        <v>-1</v>
      </c>
      <c r="P1971" s="5" t="e">
        <f t="shared" si="183"/>
        <v>#DIV/0!</v>
      </c>
      <c r="Q1971" s="4" t="e">
        <f t="shared" si="184"/>
        <v>#DIV/0!</v>
      </c>
      <c r="R1971" s="4" t="e">
        <f t="shared" si="185"/>
        <v>#DIV/0!</v>
      </c>
      <c r="S1971" s="4">
        <v>21.95</v>
      </c>
      <c r="T1971" s="2"/>
      <c r="U1971" s="2">
        <v>52.1</v>
      </c>
      <c r="V1971" s="2">
        <v>6.1</v>
      </c>
      <c r="W1971" s="2">
        <v>-3.06</v>
      </c>
      <c r="X1971" s="2">
        <v>-4.51</v>
      </c>
      <c r="Y1971" s="2">
        <v>-21.8</v>
      </c>
      <c r="Z1971" s="2">
        <v>-26.14</v>
      </c>
    </row>
    <row r="1972" spans="1:26" x14ac:dyDescent="0.25">
      <c r="A1972" s="1" t="s">
        <v>8045</v>
      </c>
      <c r="B1972" s="1" t="s">
        <v>8046</v>
      </c>
      <c r="C1972" s="1" t="s">
        <v>16</v>
      </c>
      <c r="D1972" s="1" t="s">
        <v>204</v>
      </c>
      <c r="E1972" s="1" t="s">
        <v>205</v>
      </c>
      <c r="F1972" s="1" t="s">
        <v>8047</v>
      </c>
      <c r="G1972" s="1" t="s">
        <v>12480</v>
      </c>
      <c r="H1972" s="1" t="s">
        <v>8048</v>
      </c>
      <c r="I1972" s="2">
        <v>747.34</v>
      </c>
      <c r="J1972" s="2">
        <v>26.34</v>
      </c>
      <c r="K1972" s="2">
        <v>28.18</v>
      </c>
      <c r="L1972" s="2">
        <v>30.39</v>
      </c>
      <c r="M1972" s="4">
        <f t="shared" si="180"/>
        <v>26.520227111426546</v>
      </c>
      <c r="N1972" s="4">
        <f t="shared" si="181"/>
        <v>24.591641987495887</v>
      </c>
      <c r="O1972" s="5">
        <f t="shared" si="182"/>
        <v>6.9855732725892183E-2</v>
      </c>
      <c r="P1972" s="5">
        <f t="shared" si="183"/>
        <v>7.8424414478353466E-2</v>
      </c>
      <c r="Q1972" s="4">
        <f t="shared" si="184"/>
        <v>3.7964281636683435</v>
      </c>
      <c r="R1972" s="4">
        <f t="shared" si="185"/>
        <v>3.1357125394010583</v>
      </c>
      <c r="S1972" s="4">
        <v>2.2400000000000002</v>
      </c>
      <c r="T1972" s="2">
        <v>0.03</v>
      </c>
      <c r="U1972" s="2">
        <v>768.02</v>
      </c>
      <c r="V1972" s="2">
        <v>456.3</v>
      </c>
      <c r="W1972" s="2">
        <v>-2.69</v>
      </c>
      <c r="X1972" s="2">
        <v>7.07</v>
      </c>
      <c r="Y1972" s="2">
        <v>29.79</v>
      </c>
      <c r="Z1972" s="2">
        <v>31.06</v>
      </c>
    </row>
    <row r="1973" spans="1:26" x14ac:dyDescent="0.25">
      <c r="A1973" s="1" t="s">
        <v>8049</v>
      </c>
      <c r="B1973" s="1" t="s">
        <v>8050</v>
      </c>
      <c r="C1973" s="1" t="s">
        <v>16</v>
      </c>
      <c r="D1973" s="1" t="s">
        <v>94</v>
      </c>
      <c r="E1973" s="1" t="s">
        <v>894</v>
      </c>
      <c r="F1973" s="1" t="s">
        <v>8051</v>
      </c>
      <c r="G1973" s="1" t="s">
        <v>12480</v>
      </c>
      <c r="H1973" s="1" t="s">
        <v>8052</v>
      </c>
      <c r="I1973" s="2">
        <v>28.37</v>
      </c>
      <c r="J1973" s="2">
        <v>4.57</v>
      </c>
      <c r="K1973" s="2">
        <v>2.86</v>
      </c>
      <c r="L1973" s="2">
        <v>2.84</v>
      </c>
      <c r="M1973" s="4">
        <f t="shared" si="180"/>
        <v>9.91958041958042</v>
      </c>
      <c r="N1973" s="4">
        <f t="shared" si="181"/>
        <v>9.98943661971831</v>
      </c>
      <c r="O1973" s="5">
        <f t="shared" si="182"/>
        <v>-0.37417943107221008</v>
      </c>
      <c r="P1973" s="5">
        <f t="shared" si="183"/>
        <v>-6.9930069930069783E-3</v>
      </c>
      <c r="Q1973" s="4">
        <f t="shared" si="184"/>
        <v>-0.26510223694434221</v>
      </c>
      <c r="R1973" s="4">
        <f t="shared" si="185"/>
        <v>-14.284894366197213</v>
      </c>
      <c r="S1973" s="4">
        <v>11.23</v>
      </c>
      <c r="T1973" s="2">
        <v>0.96</v>
      </c>
      <c r="U1973" s="2">
        <v>32.159999999999997</v>
      </c>
      <c r="V1973" s="2">
        <v>20.39</v>
      </c>
      <c r="W1973" s="2">
        <v>1.58</v>
      </c>
      <c r="X1973" s="2">
        <v>9.6199999999999992</v>
      </c>
      <c r="Y1973" s="2">
        <v>25.53</v>
      </c>
      <c r="Z1973" s="2">
        <v>32.14</v>
      </c>
    </row>
    <row r="1974" spans="1:26" x14ac:dyDescent="0.25">
      <c r="A1974" s="1" t="s">
        <v>8053</v>
      </c>
      <c r="B1974" s="1" t="s">
        <v>8054</v>
      </c>
      <c r="C1974" s="1" t="s">
        <v>16</v>
      </c>
      <c r="D1974" s="1" t="s">
        <v>32</v>
      </c>
      <c r="E1974" s="1" t="s">
        <v>1159</v>
      </c>
      <c r="F1974" s="1" t="s">
        <v>8055</v>
      </c>
      <c r="G1974" s="1" t="s">
        <v>12480</v>
      </c>
      <c r="H1974" s="1" t="s">
        <v>8056</v>
      </c>
      <c r="I1974" s="2">
        <v>7.89</v>
      </c>
      <c r="J1974" s="2">
        <v>0.33</v>
      </c>
      <c r="K1974" s="2">
        <v>0.37</v>
      </c>
      <c r="L1974" s="2">
        <v>0.43</v>
      </c>
      <c r="M1974" s="4">
        <f t="shared" si="180"/>
        <v>21.324324324324323</v>
      </c>
      <c r="N1974" s="4">
        <f t="shared" si="181"/>
        <v>18.348837209302324</v>
      </c>
      <c r="O1974" s="5">
        <f t="shared" si="182"/>
        <v>0.1212121212121211</v>
      </c>
      <c r="P1974" s="5">
        <f t="shared" si="183"/>
        <v>0.16216216216216206</v>
      </c>
      <c r="Q1974" s="4">
        <f t="shared" si="184"/>
        <v>1.7592567567567583</v>
      </c>
      <c r="R1974" s="4">
        <f t="shared" si="185"/>
        <v>1.1315116279069772</v>
      </c>
      <c r="S1974" s="4">
        <v>8.16</v>
      </c>
      <c r="T1974" s="2">
        <v>0.8</v>
      </c>
      <c r="U1974" s="2">
        <v>8.26</v>
      </c>
      <c r="V1974" s="2">
        <v>4.05</v>
      </c>
      <c r="W1974" s="2">
        <v>-4.4800000000000004</v>
      </c>
      <c r="X1974" s="2">
        <v>9.89</v>
      </c>
      <c r="Y1974" s="2">
        <v>27.26</v>
      </c>
      <c r="Z1974" s="2">
        <v>21.95</v>
      </c>
    </row>
    <row r="1975" spans="1:26" x14ac:dyDescent="0.25">
      <c r="A1975" s="1" t="s">
        <v>8057</v>
      </c>
      <c r="B1975" s="1" t="s">
        <v>8058</v>
      </c>
      <c r="C1975" s="1" t="s">
        <v>16</v>
      </c>
      <c r="D1975" s="1" t="s">
        <v>128</v>
      </c>
      <c r="E1975" s="1" t="s">
        <v>556</v>
      </c>
      <c r="F1975" s="1" t="s">
        <v>8059</v>
      </c>
      <c r="G1975" s="1" t="s">
        <v>12480</v>
      </c>
      <c r="H1975" s="1" t="s">
        <v>8060</v>
      </c>
      <c r="I1975" s="2">
        <v>10.16</v>
      </c>
      <c r="J1975" s="2">
        <v>1.88</v>
      </c>
      <c r="K1975" s="2">
        <v>1.72</v>
      </c>
      <c r="L1975" s="2">
        <v>1.85</v>
      </c>
      <c r="M1975" s="4">
        <f t="shared" si="180"/>
        <v>5.9069767441860463</v>
      </c>
      <c r="N1975" s="4">
        <f t="shared" si="181"/>
        <v>5.4918918918918918</v>
      </c>
      <c r="O1975" s="5">
        <f t="shared" si="182"/>
        <v>-8.5106382978723416E-2</v>
      </c>
      <c r="P1975" s="5">
        <f t="shared" si="183"/>
        <v>7.5581395348837344E-2</v>
      </c>
      <c r="Q1975" s="4">
        <f t="shared" si="184"/>
        <v>-0.69406976744186033</v>
      </c>
      <c r="R1975" s="4">
        <f t="shared" si="185"/>
        <v>0.72661954261954131</v>
      </c>
      <c r="S1975" s="4">
        <v>2.25</v>
      </c>
      <c r="T1975" s="2">
        <v>0.74</v>
      </c>
      <c r="U1975" s="2">
        <v>20.43</v>
      </c>
      <c r="V1975" s="2">
        <v>10.16</v>
      </c>
      <c r="W1975" s="2">
        <v>-4.96</v>
      </c>
      <c r="X1975" s="2">
        <v>-21.61</v>
      </c>
      <c r="Y1975" s="2">
        <v>-18.07</v>
      </c>
      <c r="Z1975" s="2">
        <v>-18.79</v>
      </c>
    </row>
    <row r="1976" spans="1:26" x14ac:dyDescent="0.25">
      <c r="A1976" s="1" t="s">
        <v>8061</v>
      </c>
      <c r="B1976" s="1" t="s">
        <v>8061</v>
      </c>
      <c r="C1976" s="1" t="s">
        <v>16</v>
      </c>
      <c r="D1976" s="1" t="s">
        <v>94</v>
      </c>
      <c r="E1976" s="1" t="s">
        <v>6131</v>
      </c>
      <c r="F1976" s="1" t="s">
        <v>8062</v>
      </c>
      <c r="G1976" s="1" t="s">
        <v>12480</v>
      </c>
      <c r="H1976" s="1" t="s">
        <v>8063</v>
      </c>
      <c r="I1976" s="2">
        <v>18.96</v>
      </c>
      <c r="J1976" s="2">
        <v>0.62</v>
      </c>
      <c r="K1976" s="2">
        <v>0.97</v>
      </c>
      <c r="L1976" s="2">
        <v>1.28</v>
      </c>
      <c r="M1976" s="4">
        <f t="shared" si="180"/>
        <v>19.546391752577321</v>
      </c>
      <c r="N1976" s="4">
        <f t="shared" si="181"/>
        <v>14.8125</v>
      </c>
      <c r="O1976" s="5">
        <f t="shared" si="182"/>
        <v>0.56451612903225801</v>
      </c>
      <c r="P1976" s="5">
        <f t="shared" si="183"/>
        <v>0.31958762886597936</v>
      </c>
      <c r="Q1976" s="4">
        <f t="shared" si="184"/>
        <v>0.34625036818851257</v>
      </c>
      <c r="R1976" s="4">
        <f t="shared" si="185"/>
        <v>0.46348790322580652</v>
      </c>
      <c r="S1976" s="4">
        <v>-1.42</v>
      </c>
      <c r="T1976" s="2">
        <v>0.89</v>
      </c>
      <c r="U1976" s="2">
        <v>20.63</v>
      </c>
      <c r="V1976" s="2">
        <v>11.11</v>
      </c>
      <c r="W1976" s="2">
        <v>-5.34</v>
      </c>
      <c r="X1976" s="2" t="s">
        <v>12489</v>
      </c>
      <c r="Y1976" s="2">
        <v>16.75</v>
      </c>
      <c r="Z1976" s="2">
        <v>21.31</v>
      </c>
    </row>
    <row r="1977" spans="1:26" x14ac:dyDescent="0.25">
      <c r="A1977" s="1" t="s">
        <v>8064</v>
      </c>
      <c r="B1977" s="1" t="s">
        <v>8065</v>
      </c>
      <c r="C1977" s="1" t="s">
        <v>45</v>
      </c>
      <c r="D1977" s="1" t="s">
        <v>32</v>
      </c>
      <c r="E1977" s="1" t="s">
        <v>33</v>
      </c>
      <c r="F1977" s="1" t="s">
        <v>8066</v>
      </c>
      <c r="G1977" s="1" t="s">
        <v>12480</v>
      </c>
      <c r="H1977" s="1" t="s">
        <v>1702</v>
      </c>
      <c r="I1977" s="2">
        <v>127.26</v>
      </c>
      <c r="J1977" s="2">
        <v>3.29</v>
      </c>
      <c r="K1977" s="2">
        <v>3.54</v>
      </c>
      <c r="L1977" s="2">
        <v>4.07</v>
      </c>
      <c r="M1977" s="4">
        <f t="shared" si="180"/>
        <v>35.949152542372886</v>
      </c>
      <c r="N1977" s="4">
        <f t="shared" si="181"/>
        <v>31.267813267813267</v>
      </c>
      <c r="O1977" s="5">
        <f t="shared" si="182"/>
        <v>7.5987841945288848E-2</v>
      </c>
      <c r="P1977" s="5">
        <f t="shared" si="183"/>
        <v>0.1497175141242939</v>
      </c>
      <c r="Q1977" s="4">
        <f t="shared" si="184"/>
        <v>4.7309084745762657</v>
      </c>
      <c r="R1977" s="4">
        <f t="shared" si="185"/>
        <v>2.0884539427935636</v>
      </c>
      <c r="S1977" s="4">
        <v>3.3</v>
      </c>
      <c r="T1977" s="2">
        <v>1.61</v>
      </c>
      <c r="U1977" s="2">
        <v>146.38999999999999</v>
      </c>
      <c r="V1977" s="2">
        <v>99.22</v>
      </c>
      <c r="W1977" s="2">
        <v>-9.57</v>
      </c>
      <c r="X1977" s="2">
        <v>-11.72</v>
      </c>
      <c r="Y1977" s="2">
        <v>6.57</v>
      </c>
      <c r="Z1977" s="2">
        <v>6.95</v>
      </c>
    </row>
    <row r="1978" spans="1:26" x14ac:dyDescent="0.25">
      <c r="A1978" s="1" t="s">
        <v>8067</v>
      </c>
      <c r="B1978" s="1" t="s">
        <v>8068</v>
      </c>
      <c r="C1978" s="1" t="s">
        <v>16</v>
      </c>
      <c r="D1978" s="1" t="s">
        <v>32</v>
      </c>
      <c r="E1978" s="1" t="s">
        <v>248</v>
      </c>
      <c r="F1978" s="1" t="s">
        <v>8069</v>
      </c>
      <c r="G1978" s="1" t="s">
        <v>12480</v>
      </c>
      <c r="H1978" s="1" t="s">
        <v>12748</v>
      </c>
      <c r="I1978" s="2">
        <v>121.93</v>
      </c>
      <c r="J1978" s="2">
        <v>3.51</v>
      </c>
      <c r="K1978" s="2">
        <v>4.12</v>
      </c>
      <c r="L1978" s="2">
        <v>4.95</v>
      </c>
      <c r="M1978" s="4">
        <f t="shared" si="180"/>
        <v>29.594660194174757</v>
      </c>
      <c r="N1978" s="4">
        <f t="shared" si="181"/>
        <v>24.632323232323234</v>
      </c>
      <c r="O1978" s="5">
        <f t="shared" si="182"/>
        <v>0.17378917378917391</v>
      </c>
      <c r="P1978" s="5">
        <f t="shared" si="183"/>
        <v>0.20145631067961167</v>
      </c>
      <c r="Q1978" s="4">
        <f t="shared" si="184"/>
        <v>1.7029058570746445</v>
      </c>
      <c r="R1978" s="4">
        <f t="shared" si="185"/>
        <v>1.2227129122550808</v>
      </c>
      <c r="S1978" s="4">
        <v>20.88</v>
      </c>
      <c r="T1978" s="2">
        <v>0.99</v>
      </c>
      <c r="U1978" s="2">
        <v>208.94</v>
      </c>
      <c r="V1978" s="2">
        <v>100.58</v>
      </c>
      <c r="W1978" s="2">
        <v>11.43</v>
      </c>
      <c r="X1978" s="2">
        <v>17.39</v>
      </c>
      <c r="Y1978" s="2">
        <v>-20.329999999999998</v>
      </c>
      <c r="Z1978" s="2">
        <v>-20.41</v>
      </c>
    </row>
    <row r="1979" spans="1:26" x14ac:dyDescent="0.25">
      <c r="A1979" s="1" t="s">
        <v>8070</v>
      </c>
      <c r="B1979" s="1" t="s">
        <v>8071</v>
      </c>
      <c r="C1979" s="1" t="s">
        <v>16</v>
      </c>
      <c r="D1979" s="1" t="s">
        <v>38</v>
      </c>
      <c r="E1979" s="1" t="s">
        <v>254</v>
      </c>
      <c r="F1979" s="1" t="s">
        <v>8072</v>
      </c>
      <c r="G1979" s="1" t="s">
        <v>12480</v>
      </c>
      <c r="H1979" s="1" t="s">
        <v>8073</v>
      </c>
      <c r="I1979" s="2">
        <v>19.829999999999998</v>
      </c>
      <c r="J1979" s="2">
        <v>0.41</v>
      </c>
      <c r="K1979" s="2">
        <v>0.51</v>
      </c>
      <c r="L1979" s="2">
        <v>0.62</v>
      </c>
      <c r="M1979" s="4">
        <f t="shared" si="180"/>
        <v>38.882352941176464</v>
      </c>
      <c r="N1979" s="4">
        <f t="shared" si="181"/>
        <v>31.983870967741932</v>
      </c>
      <c r="O1979" s="5">
        <f t="shared" si="182"/>
        <v>0.24390243902439024</v>
      </c>
      <c r="P1979" s="5">
        <f t="shared" si="183"/>
        <v>0.21568627450980382</v>
      </c>
      <c r="Q1979" s="4">
        <f t="shared" si="184"/>
        <v>1.5941764705882351</v>
      </c>
      <c r="R1979" s="4">
        <f t="shared" si="185"/>
        <v>1.4828885630498538</v>
      </c>
      <c r="S1979" s="4">
        <v>33.74</v>
      </c>
      <c r="T1979" s="2"/>
      <c r="U1979" s="2">
        <v>30.49</v>
      </c>
      <c r="V1979" s="2">
        <v>17.14</v>
      </c>
      <c r="W1979" s="2">
        <v>-6.15</v>
      </c>
      <c r="X1979" s="2">
        <v>-14.89</v>
      </c>
      <c r="Y1979" s="2">
        <v>-27.89</v>
      </c>
      <c r="Z1979" s="2" t="s">
        <v>12749</v>
      </c>
    </row>
    <row r="1980" spans="1:26" x14ac:dyDescent="0.25">
      <c r="A1980" s="1" t="s">
        <v>8074</v>
      </c>
      <c r="B1980" s="1" t="s">
        <v>8075</v>
      </c>
      <c r="C1980" s="1" t="s">
        <v>31</v>
      </c>
      <c r="D1980" s="1" t="s">
        <v>94</v>
      </c>
      <c r="E1980" s="1" t="s">
        <v>95</v>
      </c>
      <c r="F1980" s="1" t="s">
        <v>8076</v>
      </c>
      <c r="G1980" s="1" t="s">
        <v>12480</v>
      </c>
      <c r="H1980" s="1" t="s">
        <v>8077</v>
      </c>
      <c r="I1980" s="2">
        <v>15.59</v>
      </c>
      <c r="J1980" s="2">
        <v>1.17</v>
      </c>
      <c r="K1980" s="2"/>
      <c r="L1980" s="2"/>
      <c r="M1980" s="4" t="e">
        <f t="shared" si="180"/>
        <v>#DIV/0!</v>
      </c>
      <c r="N1980" s="4" t="e">
        <f t="shared" si="181"/>
        <v>#DIV/0!</v>
      </c>
      <c r="O1980" s="5">
        <f t="shared" si="182"/>
        <v>-1</v>
      </c>
      <c r="P1980" s="5" t="e">
        <f t="shared" si="183"/>
        <v>#DIV/0!</v>
      </c>
      <c r="Q1980" s="4" t="e">
        <f t="shared" si="184"/>
        <v>#DIV/0!</v>
      </c>
      <c r="R1980" s="4" t="e">
        <f t="shared" si="185"/>
        <v>#DIV/0!</v>
      </c>
      <c r="S1980" s="4" t="s">
        <v>12859</v>
      </c>
      <c r="T1980" s="2"/>
      <c r="U1980" s="2">
        <v>18.41</v>
      </c>
      <c r="V1980" s="2">
        <v>11.52</v>
      </c>
      <c r="W1980" s="2">
        <v>-2.38</v>
      </c>
      <c r="X1980" s="2">
        <v>9.25</v>
      </c>
      <c r="Y1980" s="2">
        <v>23.44</v>
      </c>
      <c r="Z1980" s="2">
        <v>19.829999999999998</v>
      </c>
    </row>
    <row r="1981" spans="1:26" x14ac:dyDescent="0.25">
      <c r="A1981" s="1" t="s">
        <v>8078</v>
      </c>
      <c r="B1981" s="1" t="s">
        <v>8079</v>
      </c>
      <c r="C1981" s="1" t="s">
        <v>16</v>
      </c>
      <c r="D1981" s="1" t="s">
        <v>2417</v>
      </c>
      <c r="E1981" s="1" t="s">
        <v>2418</v>
      </c>
      <c r="F1981" s="1" t="s">
        <v>8080</v>
      </c>
      <c r="G1981" s="1" t="s">
        <v>12480</v>
      </c>
      <c r="H1981" s="1" t="s">
        <v>12586</v>
      </c>
      <c r="I1981" s="2">
        <v>141.47999999999999</v>
      </c>
      <c r="J1981" s="2">
        <v>5.82</v>
      </c>
      <c r="K1981" s="2"/>
      <c r="L1981" s="2"/>
      <c r="M1981" s="4" t="e">
        <f t="shared" si="180"/>
        <v>#DIV/0!</v>
      </c>
      <c r="N1981" s="4" t="e">
        <f t="shared" si="181"/>
        <v>#DIV/0!</v>
      </c>
      <c r="O1981" s="5">
        <f t="shared" si="182"/>
        <v>-1</v>
      </c>
      <c r="P1981" s="5" t="e">
        <f t="shared" si="183"/>
        <v>#DIV/0!</v>
      </c>
      <c r="Q1981" s="4" t="e">
        <f t="shared" si="184"/>
        <v>#DIV/0!</v>
      </c>
      <c r="R1981" s="4" t="e">
        <f t="shared" si="185"/>
        <v>#DIV/0!</v>
      </c>
      <c r="S1981" s="4">
        <v>13.88</v>
      </c>
      <c r="T1981" s="2">
        <v>0.49</v>
      </c>
      <c r="U1981" s="2">
        <v>141.75</v>
      </c>
      <c r="V1981" s="2">
        <v>81.06</v>
      </c>
      <c r="W1981" s="2">
        <v>5.19</v>
      </c>
      <c r="X1981" s="2">
        <v>9.52</v>
      </c>
      <c r="Y1981" s="2">
        <v>34.83</v>
      </c>
      <c r="Z1981" s="2">
        <v>32.520000000000003</v>
      </c>
    </row>
    <row r="1982" spans="1:26" x14ac:dyDescent="0.25">
      <c r="A1982" s="1" t="s">
        <v>8081</v>
      </c>
      <c r="B1982" s="1" t="s">
        <v>8082</v>
      </c>
      <c r="C1982" s="1" t="s">
        <v>16</v>
      </c>
      <c r="D1982" s="1" t="s">
        <v>94</v>
      </c>
      <c r="E1982" s="1" t="s">
        <v>894</v>
      </c>
      <c r="F1982" s="1" t="s">
        <v>8083</v>
      </c>
      <c r="G1982" s="1" t="s">
        <v>12480</v>
      </c>
      <c r="H1982" s="1" t="s">
        <v>2617</v>
      </c>
      <c r="I1982" s="2">
        <v>13.88</v>
      </c>
      <c r="J1982" s="2">
        <v>0.42</v>
      </c>
      <c r="K1982" s="2">
        <v>0.53</v>
      </c>
      <c r="L1982" s="2">
        <v>0.64</v>
      </c>
      <c r="M1982" s="4">
        <f t="shared" si="180"/>
        <v>26.188679245283019</v>
      </c>
      <c r="N1982" s="4">
        <f t="shared" si="181"/>
        <v>21.6875</v>
      </c>
      <c r="O1982" s="5">
        <f t="shared" si="182"/>
        <v>0.26190476190476208</v>
      </c>
      <c r="P1982" s="5">
        <f t="shared" si="183"/>
        <v>0.20754716981132071</v>
      </c>
      <c r="Q1982" s="4">
        <f t="shared" si="184"/>
        <v>0.99993138936535098</v>
      </c>
      <c r="R1982" s="4">
        <f t="shared" si="185"/>
        <v>1.044943181818182</v>
      </c>
      <c r="S1982" s="4">
        <v>27.38</v>
      </c>
      <c r="T1982" s="2">
        <v>1.23</v>
      </c>
      <c r="U1982" s="2">
        <v>14.89</v>
      </c>
      <c r="V1982" s="2">
        <v>4.95</v>
      </c>
      <c r="W1982" s="2">
        <v>-1.35</v>
      </c>
      <c r="X1982" s="2">
        <v>-2.46</v>
      </c>
      <c r="Y1982" s="2">
        <v>7.93</v>
      </c>
      <c r="Z1982" s="2">
        <v>16.440000000000001</v>
      </c>
    </row>
    <row r="1983" spans="1:26" x14ac:dyDescent="0.25">
      <c r="A1983" s="1" t="s">
        <v>8084</v>
      </c>
      <c r="B1983" s="1" t="s">
        <v>8085</v>
      </c>
      <c r="C1983" s="1" t="s">
        <v>31</v>
      </c>
      <c r="D1983" s="1" t="s">
        <v>46</v>
      </c>
      <c r="E1983" s="1" t="s">
        <v>770</v>
      </c>
      <c r="F1983" s="1" t="s">
        <v>8086</v>
      </c>
      <c r="G1983" s="1" t="s">
        <v>12490</v>
      </c>
      <c r="H1983" s="1" t="s">
        <v>8087</v>
      </c>
      <c r="I1983" s="2">
        <v>7.16</v>
      </c>
      <c r="J1983" s="2">
        <v>1.34</v>
      </c>
      <c r="K1983" s="2"/>
      <c r="L1983" s="2"/>
      <c r="M1983" s="4" t="e">
        <f t="shared" si="180"/>
        <v>#DIV/0!</v>
      </c>
      <c r="N1983" s="4" t="e">
        <f t="shared" si="181"/>
        <v>#DIV/0!</v>
      </c>
      <c r="O1983" s="5">
        <f t="shared" si="182"/>
        <v>-1</v>
      </c>
      <c r="P1983" s="5" t="e">
        <f t="shared" si="183"/>
        <v>#DIV/0!</v>
      </c>
      <c r="Q1983" s="4" t="e">
        <f t="shared" si="184"/>
        <v>#DIV/0!</v>
      </c>
      <c r="R1983" s="4" t="e">
        <f t="shared" si="185"/>
        <v>#DIV/0!</v>
      </c>
      <c r="S1983" s="4">
        <v>2.8</v>
      </c>
      <c r="T1983" s="2">
        <v>1.08</v>
      </c>
      <c r="U1983" s="2">
        <v>7.59</v>
      </c>
      <c r="V1983" s="2">
        <v>5.99</v>
      </c>
      <c r="W1983" s="2">
        <v>1.99</v>
      </c>
      <c r="X1983" s="2">
        <v>9.65</v>
      </c>
      <c r="Y1983" s="2">
        <v>12.4</v>
      </c>
      <c r="Z1983" s="2">
        <v>11.88</v>
      </c>
    </row>
    <row r="1984" spans="1:26" x14ac:dyDescent="0.25">
      <c r="A1984" s="1" t="s">
        <v>8088</v>
      </c>
      <c r="B1984" s="1" t="s">
        <v>8089</v>
      </c>
      <c r="C1984" s="1" t="s">
        <v>16</v>
      </c>
      <c r="D1984" s="1" t="s">
        <v>140</v>
      </c>
      <c r="E1984" s="1" t="s">
        <v>284</v>
      </c>
      <c r="F1984" s="1" t="s">
        <v>8090</v>
      </c>
      <c r="G1984" s="1" t="s">
        <v>12480</v>
      </c>
      <c r="H1984" s="1" t="s">
        <v>5318</v>
      </c>
      <c r="I1984" s="2">
        <v>249.7</v>
      </c>
      <c r="J1984" s="2">
        <v>7.91</v>
      </c>
      <c r="K1984" s="2">
        <v>8.82</v>
      </c>
      <c r="L1984" s="2">
        <v>10.51</v>
      </c>
      <c r="M1984" s="4">
        <f t="shared" si="180"/>
        <v>28.310657596371879</v>
      </c>
      <c r="N1984" s="4">
        <f t="shared" si="181"/>
        <v>23.758325404376784</v>
      </c>
      <c r="O1984" s="5">
        <f t="shared" si="182"/>
        <v>0.11504424778761058</v>
      </c>
      <c r="P1984" s="5">
        <f t="shared" si="183"/>
        <v>0.19160997732426299</v>
      </c>
      <c r="Q1984" s="4">
        <f t="shared" si="184"/>
        <v>2.4608494679923258</v>
      </c>
      <c r="R1984" s="4">
        <f t="shared" si="185"/>
        <v>1.2399315388556407</v>
      </c>
      <c r="S1984" s="4">
        <v>9.02</v>
      </c>
      <c r="T1984" s="2">
        <v>1.56</v>
      </c>
      <c r="U1984" s="2" t="s">
        <v>12708</v>
      </c>
      <c r="V1984" s="2">
        <v>137.27000000000001</v>
      </c>
      <c r="W1984" s="2">
        <v>-5.43</v>
      </c>
      <c r="X1984" s="2" t="s">
        <v>12599</v>
      </c>
      <c r="Y1984" s="2">
        <v>14.53</v>
      </c>
      <c r="Z1984" s="2">
        <v>16.61</v>
      </c>
    </row>
    <row r="1985" spans="1:26" x14ac:dyDescent="0.25">
      <c r="A1985" s="1" t="s">
        <v>8091</v>
      </c>
      <c r="B1985" s="1" t="s">
        <v>8092</v>
      </c>
      <c r="C1985" s="1" t="s">
        <v>31</v>
      </c>
      <c r="D1985" s="1" t="s">
        <v>88</v>
      </c>
      <c r="E1985" s="1" t="s">
        <v>912</v>
      </c>
      <c r="F1985" s="1" t="s">
        <v>8093</v>
      </c>
      <c r="G1985" s="1" t="s">
        <v>12490</v>
      </c>
      <c r="H1985" s="1" t="s">
        <v>8094</v>
      </c>
      <c r="I1985" s="2">
        <v>3.78</v>
      </c>
      <c r="J1985" s="2">
        <v>0.44</v>
      </c>
      <c r="K1985" s="2"/>
      <c r="L1985" s="2"/>
      <c r="M1985" s="4" t="e">
        <f t="shared" si="180"/>
        <v>#DIV/0!</v>
      </c>
      <c r="N1985" s="4" t="e">
        <f t="shared" si="181"/>
        <v>#DIV/0!</v>
      </c>
      <c r="O1985" s="5">
        <f t="shared" si="182"/>
        <v>-1</v>
      </c>
      <c r="P1985" s="5" t="e">
        <f t="shared" si="183"/>
        <v>#DIV/0!</v>
      </c>
      <c r="Q1985" s="4" t="e">
        <f t="shared" si="184"/>
        <v>#DIV/0!</v>
      </c>
      <c r="R1985" s="4" t="e">
        <f t="shared" si="185"/>
        <v>#DIV/0!</v>
      </c>
      <c r="S1985" s="4">
        <v>-7.04</v>
      </c>
      <c r="T1985" s="2">
        <v>0.71</v>
      </c>
      <c r="U1985" s="2">
        <v>4.7300000000000004</v>
      </c>
      <c r="V1985" s="2">
        <v>3.73</v>
      </c>
      <c r="W1985" s="2">
        <v>-5.97</v>
      </c>
      <c r="X1985" s="2">
        <v>-13.9</v>
      </c>
      <c r="Y1985" s="2">
        <v>-3.57</v>
      </c>
      <c r="Z1985" s="2">
        <v>-7.13</v>
      </c>
    </row>
    <row r="1986" spans="1:26" x14ac:dyDescent="0.25">
      <c r="A1986" s="1" t="s">
        <v>8095</v>
      </c>
      <c r="B1986" s="1" t="s">
        <v>8096</v>
      </c>
      <c r="C1986" s="1" t="s">
        <v>31</v>
      </c>
      <c r="D1986" s="1" t="s">
        <v>25</v>
      </c>
      <c r="E1986" s="1" t="s">
        <v>2467</v>
      </c>
      <c r="F1986" s="1" t="s">
        <v>8097</v>
      </c>
      <c r="G1986" s="1" t="s">
        <v>12490</v>
      </c>
      <c r="H1986" s="1" t="s">
        <v>8098</v>
      </c>
      <c r="I1986" s="2">
        <v>14.57</v>
      </c>
      <c r="J1986" s="2">
        <v>0.34</v>
      </c>
      <c r="K1986" s="2"/>
      <c r="L1986" s="2"/>
      <c r="M1986" s="4" t="e">
        <f t="shared" si="180"/>
        <v>#DIV/0!</v>
      </c>
      <c r="N1986" s="4" t="e">
        <f t="shared" si="181"/>
        <v>#DIV/0!</v>
      </c>
      <c r="O1986" s="5">
        <f t="shared" si="182"/>
        <v>-1</v>
      </c>
      <c r="P1986" s="5" t="e">
        <f t="shared" si="183"/>
        <v>#DIV/0!</v>
      </c>
      <c r="Q1986" s="4" t="e">
        <f t="shared" si="184"/>
        <v>#DIV/0!</v>
      </c>
      <c r="R1986" s="4" t="e">
        <f t="shared" si="185"/>
        <v>#DIV/0!</v>
      </c>
      <c r="S1986" s="4">
        <v>-4.26</v>
      </c>
      <c r="T1986" s="2">
        <v>0.37</v>
      </c>
      <c r="U1986" s="2">
        <v>18.45</v>
      </c>
      <c r="V1986" s="2">
        <v>7.29</v>
      </c>
      <c r="W1986" s="2">
        <v>-21.03</v>
      </c>
      <c r="X1986" s="2">
        <v>-4.2699999999999996</v>
      </c>
      <c r="Y1986" s="2">
        <v>12.51</v>
      </c>
      <c r="Z1986" s="2">
        <v>16.559999999999999</v>
      </c>
    </row>
    <row r="1987" spans="1:26" x14ac:dyDescent="0.25">
      <c r="A1987" s="1" t="s">
        <v>8099</v>
      </c>
      <c r="B1987" s="1" t="s">
        <v>8100</v>
      </c>
      <c r="C1987" s="1" t="s">
        <v>31</v>
      </c>
      <c r="D1987" s="1" t="s">
        <v>147</v>
      </c>
      <c r="E1987" s="1" t="s">
        <v>2590</v>
      </c>
      <c r="F1987" s="1" t="s">
        <v>8101</v>
      </c>
      <c r="G1987" s="1" t="s">
        <v>12490</v>
      </c>
      <c r="H1987" s="1" t="s">
        <v>8102</v>
      </c>
      <c r="I1987" s="2">
        <v>11.03</v>
      </c>
      <c r="J1987" s="2">
        <v>0.7</v>
      </c>
      <c r="K1987" s="2">
        <v>0.88</v>
      </c>
      <c r="L1987" s="2">
        <v>1.05</v>
      </c>
      <c r="M1987" s="4">
        <f t="shared" ref="M1987:M2050" si="186">I1987/K1987</f>
        <v>12.534090909090908</v>
      </c>
      <c r="N1987" s="4">
        <f t="shared" ref="N1987:N2050" si="187">I1987/L1987</f>
        <v>10.504761904761903</v>
      </c>
      <c r="O1987" s="5">
        <f t="shared" ref="O1987:O2050" si="188">K1987/J1987-1</f>
        <v>0.25714285714285734</v>
      </c>
      <c r="P1987" s="5">
        <f t="shared" ref="P1987:P2050" si="189">L1987/K1987-1</f>
        <v>0.19318181818181812</v>
      </c>
      <c r="Q1987" s="4">
        <f t="shared" ref="Q1987:Q2050" si="190">M1987/(O1987*100)</f>
        <v>0.48743686868686831</v>
      </c>
      <c r="R1987" s="4">
        <f t="shared" ref="R1987:R2050" si="191">N1987/(P1987*100)</f>
        <v>0.54377591036414574</v>
      </c>
      <c r="S1987" s="4">
        <v>11.66</v>
      </c>
      <c r="T1987" s="2">
        <v>0.45</v>
      </c>
      <c r="U1987" s="2">
        <v>15.07</v>
      </c>
      <c r="V1987" s="2">
        <v>8.34</v>
      </c>
      <c r="W1987" s="2">
        <v>1.38</v>
      </c>
      <c r="X1987" s="2">
        <v>-8.6199999999999992</v>
      </c>
      <c r="Y1987" s="2">
        <v>-14.1</v>
      </c>
      <c r="Z1987" s="2">
        <v>-17.07</v>
      </c>
    </row>
    <row r="1988" spans="1:26" x14ac:dyDescent="0.25">
      <c r="A1988" s="1" t="s">
        <v>8103</v>
      </c>
      <c r="B1988" s="1" t="s">
        <v>8104</v>
      </c>
      <c r="C1988" s="1" t="s">
        <v>31</v>
      </c>
      <c r="D1988" s="1" t="s">
        <v>38</v>
      </c>
      <c r="E1988" s="1" t="s">
        <v>189</v>
      </c>
      <c r="F1988" s="1" t="s">
        <v>8105</v>
      </c>
      <c r="G1988" s="1" t="s">
        <v>12480</v>
      </c>
      <c r="H1988" s="1" t="s">
        <v>8106</v>
      </c>
      <c r="I1988" s="2">
        <v>18.510000000000002</v>
      </c>
      <c r="J1988" s="2">
        <v>1.57</v>
      </c>
      <c r="K1988" s="2">
        <v>1.7</v>
      </c>
      <c r="L1988" s="2">
        <v>1.72</v>
      </c>
      <c r="M1988" s="4">
        <f t="shared" si="186"/>
        <v>10.888235294117647</v>
      </c>
      <c r="N1988" s="4">
        <f t="shared" si="187"/>
        <v>10.761627906976745</v>
      </c>
      <c r="O1988" s="5">
        <f t="shared" si="188"/>
        <v>8.2802547770700619E-2</v>
      </c>
      <c r="P1988" s="5">
        <f t="shared" si="189"/>
        <v>1.1764705882352899E-2</v>
      </c>
      <c r="Q1988" s="4">
        <f t="shared" si="190"/>
        <v>1.3149638009049776</v>
      </c>
      <c r="R1988" s="4">
        <f t="shared" si="191"/>
        <v>9.1473837209302662</v>
      </c>
      <c r="S1988" s="4">
        <v>-11.48</v>
      </c>
      <c r="T1988" s="2">
        <v>0.62</v>
      </c>
      <c r="U1988" s="2">
        <v>20.61</v>
      </c>
      <c r="V1988" s="2">
        <v>11.07</v>
      </c>
      <c r="W1988" s="2">
        <v>-2.37</v>
      </c>
      <c r="X1988" s="2">
        <v>-8.16</v>
      </c>
      <c r="Y1988" s="2">
        <v>1.82</v>
      </c>
      <c r="Z1988" s="2">
        <v>-2.2200000000000002</v>
      </c>
    </row>
    <row r="1989" spans="1:26" x14ac:dyDescent="0.25">
      <c r="A1989" s="1" t="s">
        <v>8107</v>
      </c>
      <c r="B1989" s="1" t="s">
        <v>8108</v>
      </c>
      <c r="C1989" s="1" t="s">
        <v>16</v>
      </c>
      <c r="D1989" s="1" t="s">
        <v>354</v>
      </c>
      <c r="E1989" s="1" t="s">
        <v>355</v>
      </c>
      <c r="F1989" s="1" t="s">
        <v>8109</v>
      </c>
      <c r="G1989" s="1" t="s">
        <v>12480</v>
      </c>
      <c r="H1989" s="1" t="s">
        <v>8110</v>
      </c>
      <c r="I1989" s="2">
        <v>155.41999999999999</v>
      </c>
      <c r="J1989" s="2">
        <v>8.07</v>
      </c>
      <c r="K1989" s="2">
        <v>8.84</v>
      </c>
      <c r="L1989" s="2">
        <v>11.08</v>
      </c>
      <c r="M1989" s="4">
        <f t="shared" si="186"/>
        <v>17.581447963800905</v>
      </c>
      <c r="N1989" s="4">
        <f t="shared" si="187"/>
        <v>14.027075812274367</v>
      </c>
      <c r="O1989" s="5">
        <f t="shared" si="188"/>
        <v>9.5415117719950482E-2</v>
      </c>
      <c r="P1989" s="5">
        <f t="shared" si="189"/>
        <v>0.25339366515837103</v>
      </c>
      <c r="Q1989" s="4">
        <f t="shared" si="190"/>
        <v>1.8426270788035486</v>
      </c>
      <c r="R1989" s="4">
        <f t="shared" si="191"/>
        <v>0.55356852759154196</v>
      </c>
      <c r="S1989" s="4">
        <v>9.18</v>
      </c>
      <c r="T1989" s="2">
        <v>1.26</v>
      </c>
      <c r="U1989" s="2">
        <v>184.03</v>
      </c>
      <c r="V1989" s="2">
        <v>83.61</v>
      </c>
      <c r="W1989" s="2">
        <v>-11.48</v>
      </c>
      <c r="X1989" s="2">
        <v>-0.19</v>
      </c>
      <c r="Y1989" s="2">
        <v>-2.86</v>
      </c>
      <c r="Z1989" s="2">
        <v>-2.4</v>
      </c>
    </row>
    <row r="1990" spans="1:26" x14ac:dyDescent="0.25">
      <c r="A1990" s="1" t="s">
        <v>8111</v>
      </c>
      <c r="B1990" s="1" t="s">
        <v>8112</v>
      </c>
      <c r="C1990" s="1" t="s">
        <v>31</v>
      </c>
      <c r="D1990" s="1" t="s">
        <v>140</v>
      </c>
      <c r="E1990" s="1" t="s">
        <v>284</v>
      </c>
      <c r="F1990" s="1" t="s">
        <v>8113</v>
      </c>
      <c r="G1990" s="1" t="s">
        <v>12490</v>
      </c>
      <c r="H1990" s="1" t="s">
        <v>8114</v>
      </c>
      <c r="I1990" s="2">
        <v>28.77</v>
      </c>
      <c r="J1990" s="2">
        <v>1.07</v>
      </c>
      <c r="K1990" s="2">
        <v>1.2</v>
      </c>
      <c r="L1990" s="2">
        <v>1.36</v>
      </c>
      <c r="M1990" s="4">
        <f t="shared" si="186"/>
        <v>23.975000000000001</v>
      </c>
      <c r="N1990" s="4">
        <f t="shared" si="187"/>
        <v>21.15441176470588</v>
      </c>
      <c r="O1990" s="5">
        <f t="shared" si="188"/>
        <v>0.12149532710280364</v>
      </c>
      <c r="P1990" s="5">
        <f t="shared" si="189"/>
        <v>0.13333333333333353</v>
      </c>
      <c r="Q1990" s="4">
        <f t="shared" si="190"/>
        <v>1.9733269230769246</v>
      </c>
      <c r="R1990" s="4">
        <f t="shared" si="191"/>
        <v>1.5865808823529386</v>
      </c>
      <c r="S1990" s="4">
        <v>-1.56</v>
      </c>
      <c r="T1990" s="2">
        <v>0.73</v>
      </c>
      <c r="U1990" s="2">
        <v>42.36</v>
      </c>
      <c r="V1990" s="2">
        <v>23.33</v>
      </c>
      <c r="W1990" s="2">
        <v>9.81</v>
      </c>
      <c r="X1990" s="2">
        <v>7.79</v>
      </c>
      <c r="Y1990" s="2">
        <v>-28.11</v>
      </c>
      <c r="Z1990" s="2">
        <v>-24.43</v>
      </c>
    </row>
    <row r="1991" spans="1:26" x14ac:dyDescent="0.25">
      <c r="A1991" s="1" t="s">
        <v>8115</v>
      </c>
      <c r="B1991" s="1" t="s">
        <v>8116</v>
      </c>
      <c r="C1991" s="1" t="s">
        <v>45</v>
      </c>
      <c r="D1991" s="1" t="s">
        <v>18</v>
      </c>
      <c r="E1991" s="1" t="s">
        <v>74</v>
      </c>
      <c r="F1991" s="1" t="s">
        <v>8117</v>
      </c>
      <c r="G1991" s="1" t="s">
        <v>12499</v>
      </c>
      <c r="H1991" s="1" t="s">
        <v>4356</v>
      </c>
      <c r="I1991" s="2">
        <v>15.5</v>
      </c>
      <c r="J1991" s="2">
        <v>-3.05</v>
      </c>
      <c r="K1991" s="2">
        <v>-3.04</v>
      </c>
      <c r="L1991" s="2">
        <v>-2.71</v>
      </c>
      <c r="M1991" s="4">
        <f t="shared" si="186"/>
        <v>-5.0986842105263159</v>
      </c>
      <c r="N1991" s="4">
        <f t="shared" si="187"/>
        <v>-5.719557195571956</v>
      </c>
      <c r="O1991" s="5">
        <f t="shared" si="188"/>
        <v>-3.2786885245901232E-3</v>
      </c>
      <c r="P1991" s="5">
        <f t="shared" si="189"/>
        <v>-0.10855263157894735</v>
      </c>
      <c r="Q1991" s="4">
        <f t="shared" si="190"/>
        <v>15.550986842105457</v>
      </c>
      <c r="R1991" s="4">
        <f t="shared" si="191"/>
        <v>0.52689254165268939</v>
      </c>
      <c r="S1991" s="4">
        <v>53.95</v>
      </c>
      <c r="T1991" s="2">
        <v>1.96</v>
      </c>
      <c r="U1991" s="2">
        <v>21.47</v>
      </c>
      <c r="V1991" s="2">
        <v>8.24</v>
      </c>
      <c r="W1991" s="2">
        <v>-1.96</v>
      </c>
      <c r="X1991" s="2">
        <v>-7.24</v>
      </c>
      <c r="Y1991" s="2">
        <v>-18.46</v>
      </c>
      <c r="Z1991" s="2">
        <v>-18.29</v>
      </c>
    </row>
    <row r="1992" spans="1:26" x14ac:dyDescent="0.25">
      <c r="A1992" s="1" t="s">
        <v>8118</v>
      </c>
      <c r="B1992" s="1" t="s">
        <v>8119</v>
      </c>
      <c r="C1992" s="1" t="s">
        <v>16</v>
      </c>
      <c r="D1992" s="1" t="s">
        <v>94</v>
      </c>
      <c r="E1992" s="1" t="s">
        <v>1027</v>
      </c>
      <c r="F1992" s="1" t="s">
        <v>8120</v>
      </c>
      <c r="G1992" s="1" t="s">
        <v>12480</v>
      </c>
      <c r="H1992" s="1" t="s">
        <v>801</v>
      </c>
      <c r="I1992" s="2">
        <v>120.46</v>
      </c>
      <c r="J1992" s="2">
        <v>10.039999999999999</v>
      </c>
      <c r="K1992" s="2"/>
      <c r="L1992" s="2"/>
      <c r="M1992" s="4" t="e">
        <f t="shared" si="186"/>
        <v>#DIV/0!</v>
      </c>
      <c r="N1992" s="4" t="e">
        <f t="shared" si="187"/>
        <v>#DIV/0!</v>
      </c>
      <c r="O1992" s="5">
        <f t="shared" si="188"/>
        <v>-1</v>
      </c>
      <c r="P1992" s="5" t="e">
        <f t="shared" si="189"/>
        <v>#DIV/0!</v>
      </c>
      <c r="Q1992" s="4" t="e">
        <f t="shared" si="190"/>
        <v>#DIV/0!</v>
      </c>
      <c r="R1992" s="4" t="e">
        <f t="shared" si="191"/>
        <v>#DIV/0!</v>
      </c>
      <c r="S1992" s="4">
        <v>-22.66</v>
      </c>
      <c r="T1992" s="2">
        <v>0.2</v>
      </c>
      <c r="U1992" s="2">
        <v>125.41</v>
      </c>
      <c r="V1992" s="2">
        <v>89.14</v>
      </c>
      <c r="W1992" s="2">
        <v>1.02</v>
      </c>
      <c r="X1992" s="2">
        <v>-2.1</v>
      </c>
      <c r="Y1992" s="2">
        <v>17.100000000000001</v>
      </c>
      <c r="Z1992" s="2">
        <v>15.38</v>
      </c>
    </row>
    <row r="1993" spans="1:26" x14ac:dyDescent="0.25">
      <c r="A1993" s="1" t="s">
        <v>8122</v>
      </c>
      <c r="B1993" s="1" t="s">
        <v>8123</v>
      </c>
      <c r="C1993" s="1" t="s">
        <v>16</v>
      </c>
      <c r="D1993" s="1" t="s">
        <v>38</v>
      </c>
      <c r="E1993" s="1" t="s">
        <v>510</v>
      </c>
      <c r="F1993" s="1" t="s">
        <v>8124</v>
      </c>
      <c r="G1993" s="1" t="s">
        <v>12480</v>
      </c>
      <c r="H1993" s="1" t="s">
        <v>8125</v>
      </c>
      <c r="I1993" s="2">
        <v>33.75</v>
      </c>
      <c r="J1993" s="2">
        <v>2.23</v>
      </c>
      <c r="K1993" s="2">
        <v>2.21</v>
      </c>
      <c r="L1993" s="2">
        <v>2.29</v>
      </c>
      <c r="M1993" s="4">
        <f t="shared" si="186"/>
        <v>15.271493212669684</v>
      </c>
      <c r="N1993" s="4">
        <f t="shared" si="187"/>
        <v>14.737991266375545</v>
      </c>
      <c r="O1993" s="5">
        <f t="shared" si="188"/>
        <v>-8.9686098654708779E-3</v>
      </c>
      <c r="P1993" s="5">
        <f t="shared" si="189"/>
        <v>3.6199095022624528E-2</v>
      </c>
      <c r="Q1993" s="4">
        <f t="shared" si="190"/>
        <v>-17.027714932126649</v>
      </c>
      <c r="R1993" s="4">
        <f t="shared" si="191"/>
        <v>4.0713700873362342</v>
      </c>
      <c r="S1993" s="4">
        <v>-2.2599999999999998</v>
      </c>
      <c r="T1993" s="2">
        <v>1.17</v>
      </c>
      <c r="U1993" s="2">
        <v>39.590000000000003</v>
      </c>
      <c r="V1993" s="2">
        <v>27.53</v>
      </c>
      <c r="W1993" s="2">
        <v>-4.6100000000000003</v>
      </c>
      <c r="X1993" s="2">
        <v>2.71</v>
      </c>
      <c r="Y1993" s="2">
        <v>14.91</v>
      </c>
      <c r="Z1993" s="2">
        <v>19.64</v>
      </c>
    </row>
    <row r="1994" spans="1:26" x14ac:dyDescent="0.25">
      <c r="A1994" s="1" t="s">
        <v>8126</v>
      </c>
      <c r="B1994" s="1" t="s">
        <v>8127</v>
      </c>
      <c r="C1994" s="1" t="s">
        <v>31</v>
      </c>
      <c r="D1994" s="1" t="s">
        <v>305</v>
      </c>
      <c r="E1994" s="1" t="s">
        <v>1176</v>
      </c>
      <c r="F1994" s="1" t="s">
        <v>8128</v>
      </c>
      <c r="G1994" s="1" t="s">
        <v>12490</v>
      </c>
      <c r="H1994" s="1" t="s">
        <v>12750</v>
      </c>
      <c r="I1994" s="2">
        <v>4.7300000000000004</v>
      </c>
      <c r="J1994" s="2">
        <v>-0.18</v>
      </c>
      <c r="K1994" s="2">
        <v>-1.31</v>
      </c>
      <c r="L1994" s="2">
        <v>0.2</v>
      </c>
      <c r="M1994" s="4">
        <f t="shared" si="186"/>
        <v>-3.6106870229007635</v>
      </c>
      <c r="N1994" s="4">
        <f t="shared" si="187"/>
        <v>23.650000000000002</v>
      </c>
      <c r="O1994" s="5">
        <f t="shared" si="188"/>
        <v>6.2777777777777786</v>
      </c>
      <c r="P1994" s="5">
        <f t="shared" si="189"/>
        <v>-1.1526717557251909</v>
      </c>
      <c r="Q1994" s="4">
        <f t="shared" si="190"/>
        <v>-5.7515368506383842E-3</v>
      </c>
      <c r="R1994" s="4">
        <f t="shared" si="191"/>
        <v>-0.20517549668874172</v>
      </c>
      <c r="S1994" s="4">
        <v>-5.59</v>
      </c>
      <c r="T1994" s="2">
        <v>0.4</v>
      </c>
      <c r="U1994" s="2">
        <v>6.05</v>
      </c>
      <c r="V1994" s="2">
        <v>4.18</v>
      </c>
      <c r="W1994" s="2">
        <v>-9.9</v>
      </c>
      <c r="X1994" s="2">
        <v>-8.86</v>
      </c>
      <c r="Y1994" s="2">
        <v>-9.9</v>
      </c>
      <c r="Z1994" s="2">
        <v>-3.86</v>
      </c>
    </row>
    <row r="1995" spans="1:26" x14ac:dyDescent="0.25">
      <c r="A1995" s="1" t="s">
        <v>8129</v>
      </c>
      <c r="B1995" s="1" t="s">
        <v>8130</v>
      </c>
      <c r="C1995" s="1" t="s">
        <v>16</v>
      </c>
      <c r="D1995" s="1" t="s">
        <v>46</v>
      </c>
      <c r="E1995" s="1" t="s">
        <v>683</v>
      </c>
      <c r="F1995" s="1" t="s">
        <v>8131</v>
      </c>
      <c r="G1995" s="1" t="s">
        <v>12480</v>
      </c>
      <c r="H1995" s="1" t="s">
        <v>8132</v>
      </c>
      <c r="I1995" s="2">
        <v>302.43</v>
      </c>
      <c r="J1995" s="2">
        <v>12.49</v>
      </c>
      <c r="K1995" s="2">
        <v>12.39</v>
      </c>
      <c r="L1995" s="2">
        <v>13.64</v>
      </c>
      <c r="M1995" s="4">
        <f t="shared" si="186"/>
        <v>24.409200968523002</v>
      </c>
      <c r="N1995" s="4">
        <f t="shared" si="187"/>
        <v>22.172287390029325</v>
      </c>
      <c r="O1995" s="5">
        <f t="shared" si="188"/>
        <v>-8.0064051240992251E-3</v>
      </c>
      <c r="P1995" s="5">
        <f t="shared" si="189"/>
        <v>0.10088781275221947</v>
      </c>
      <c r="Q1995" s="4">
        <f t="shared" si="190"/>
        <v>-30.487092009685437</v>
      </c>
      <c r="R1995" s="4">
        <f t="shared" si="191"/>
        <v>2.1977171260997079</v>
      </c>
      <c r="S1995" s="4">
        <v>0.47</v>
      </c>
      <c r="T1995" s="2">
        <v>1.31</v>
      </c>
      <c r="U1995" s="2">
        <v>317.83</v>
      </c>
      <c r="V1995" s="2">
        <v>206.34</v>
      </c>
      <c r="W1995" s="2">
        <v>-4.74</v>
      </c>
      <c r="X1995" s="2">
        <v>-1.08</v>
      </c>
      <c r="Y1995" s="2">
        <v>0.98</v>
      </c>
      <c r="Z1995" s="2">
        <v>4.75</v>
      </c>
    </row>
    <row r="1996" spans="1:26" x14ac:dyDescent="0.25">
      <c r="A1996" s="1" t="s">
        <v>8133</v>
      </c>
      <c r="B1996" s="1" t="s">
        <v>8134</v>
      </c>
      <c r="C1996" s="1" t="s">
        <v>45</v>
      </c>
      <c r="D1996" s="1" t="s">
        <v>67</v>
      </c>
      <c r="E1996" s="1" t="s">
        <v>8136</v>
      </c>
      <c r="F1996" s="1" t="s">
        <v>8135</v>
      </c>
      <c r="G1996" s="1" t="s">
        <v>12480</v>
      </c>
      <c r="H1996" s="1" t="s">
        <v>12661</v>
      </c>
      <c r="I1996" s="2">
        <v>83.68</v>
      </c>
      <c r="J1996" s="2">
        <v>9.8699999999999992</v>
      </c>
      <c r="K1996" s="2">
        <v>10.88</v>
      </c>
      <c r="L1996" s="2">
        <v>11.6</v>
      </c>
      <c r="M1996" s="4">
        <f t="shared" si="186"/>
        <v>7.6911764705882355</v>
      </c>
      <c r="N1996" s="4">
        <f t="shared" si="187"/>
        <v>7.2137931034482765</v>
      </c>
      <c r="O1996" s="5">
        <f t="shared" si="188"/>
        <v>0.10233029381965575</v>
      </c>
      <c r="P1996" s="5">
        <f t="shared" si="189"/>
        <v>6.6176470588235281E-2</v>
      </c>
      <c r="Q1996" s="4">
        <f t="shared" si="190"/>
        <v>0.75160308677926446</v>
      </c>
      <c r="R1996" s="4">
        <f t="shared" si="191"/>
        <v>1.0900842911877398</v>
      </c>
      <c r="S1996" s="4">
        <v>-5.22</v>
      </c>
      <c r="T1996" s="2">
        <v>0.92</v>
      </c>
      <c r="U1996" s="2">
        <v>160.41999999999999</v>
      </c>
      <c r="V1996" s="2">
        <v>77.849999999999994</v>
      </c>
      <c r="W1996" s="2">
        <v>-1.55</v>
      </c>
      <c r="X1996" s="2">
        <v>-9.31</v>
      </c>
      <c r="Y1996" s="2">
        <v>5.34</v>
      </c>
      <c r="Z1996" s="2">
        <v>2.71</v>
      </c>
    </row>
    <row r="1997" spans="1:26" x14ac:dyDescent="0.25">
      <c r="A1997" s="1" t="s">
        <v>8137</v>
      </c>
      <c r="B1997" s="1" t="s">
        <v>8138</v>
      </c>
      <c r="C1997" s="1" t="s">
        <v>31</v>
      </c>
      <c r="D1997" s="1" t="s">
        <v>128</v>
      </c>
      <c r="E1997" s="1" t="s">
        <v>210</v>
      </c>
      <c r="F1997" s="1" t="s">
        <v>12751</v>
      </c>
      <c r="G1997" s="1" t="s">
        <v>12480</v>
      </c>
      <c r="H1997" s="1" t="s">
        <v>8139</v>
      </c>
      <c r="I1997" s="2">
        <v>103.62</v>
      </c>
      <c r="J1997" s="2">
        <v>5.33</v>
      </c>
      <c r="K1997" s="2">
        <v>5.68</v>
      </c>
      <c r="L1997" s="2">
        <v>6.06</v>
      </c>
      <c r="M1997" s="4">
        <f t="shared" si="186"/>
        <v>18.242957746478876</v>
      </c>
      <c r="N1997" s="4">
        <f t="shared" si="187"/>
        <v>17.099009900990101</v>
      </c>
      <c r="O1997" s="5">
        <f t="shared" si="188"/>
        <v>6.5666041275797227E-2</v>
      </c>
      <c r="P1997" s="5">
        <f t="shared" si="189"/>
        <v>6.6901408450704247E-2</v>
      </c>
      <c r="Q1997" s="4">
        <f t="shared" si="190"/>
        <v>2.7781418511066462</v>
      </c>
      <c r="R1997" s="4">
        <f t="shared" si="191"/>
        <v>2.5558520062532564</v>
      </c>
      <c r="S1997" s="4">
        <v>4.05</v>
      </c>
      <c r="T1997" s="2">
        <v>0.49</v>
      </c>
      <c r="U1997" s="2">
        <v>109.04</v>
      </c>
      <c r="V1997" s="2">
        <v>86.98</v>
      </c>
      <c r="W1997" s="2">
        <v>-2.5299999999999998</v>
      </c>
      <c r="X1997" s="2">
        <v>1.44</v>
      </c>
      <c r="Y1997" s="2">
        <v>4.5599999999999996</v>
      </c>
      <c r="Z1997" s="2">
        <v>4.9000000000000004</v>
      </c>
    </row>
    <row r="1998" spans="1:26" x14ac:dyDescent="0.25">
      <c r="A1998" s="1" t="s">
        <v>8140</v>
      </c>
      <c r="B1998" s="1" t="s">
        <v>8141</v>
      </c>
      <c r="C1998" s="1" t="s">
        <v>45</v>
      </c>
      <c r="D1998" s="1" t="s">
        <v>25</v>
      </c>
      <c r="E1998" s="1" t="s">
        <v>331</v>
      </c>
      <c r="F1998" s="1" t="s">
        <v>8142</v>
      </c>
      <c r="G1998" s="1" t="s">
        <v>12502</v>
      </c>
      <c r="H1998" s="1" t="s">
        <v>8143</v>
      </c>
      <c r="I1998" s="2">
        <v>43.05</v>
      </c>
      <c r="J1998" s="2">
        <v>1.19</v>
      </c>
      <c r="K1998" s="2">
        <v>1.46</v>
      </c>
      <c r="L1998" s="2">
        <v>1.65</v>
      </c>
      <c r="M1998" s="4">
        <f t="shared" si="186"/>
        <v>29.486301369863014</v>
      </c>
      <c r="N1998" s="4">
        <f t="shared" si="187"/>
        <v>26.09090909090909</v>
      </c>
      <c r="O1998" s="5">
        <f t="shared" si="188"/>
        <v>0.22689075630252109</v>
      </c>
      <c r="P1998" s="5">
        <f t="shared" si="189"/>
        <v>0.13013698630136994</v>
      </c>
      <c r="Q1998" s="4">
        <f t="shared" si="190"/>
        <v>1.2995814307458138</v>
      </c>
      <c r="R1998" s="4">
        <f t="shared" si="191"/>
        <v>2.0048803827751187</v>
      </c>
      <c r="S1998" s="4">
        <v>-3.81</v>
      </c>
      <c r="T1998" s="2">
        <v>1.45</v>
      </c>
      <c r="U1998" s="2">
        <v>47.23</v>
      </c>
      <c r="V1998" s="2">
        <v>19.82</v>
      </c>
      <c r="W1998" s="2">
        <v>-3.63</v>
      </c>
      <c r="X1998" s="2">
        <v>7.0000000000000007E-2</v>
      </c>
      <c r="Y1998" s="2">
        <v>3.73</v>
      </c>
      <c r="Z1998" s="2">
        <v>3.24</v>
      </c>
    </row>
    <row r="1999" spans="1:26" x14ac:dyDescent="0.25">
      <c r="A1999" s="1" t="s">
        <v>8144</v>
      </c>
      <c r="B1999" s="1" t="s">
        <v>8145</v>
      </c>
      <c r="C1999" s="1" t="s">
        <v>45</v>
      </c>
      <c r="D1999" s="1" t="s">
        <v>32</v>
      </c>
      <c r="E1999" s="1" t="s">
        <v>8147</v>
      </c>
      <c r="F1999" s="1" t="s">
        <v>8146</v>
      </c>
      <c r="G1999" s="1" t="s">
        <v>12513</v>
      </c>
      <c r="H1999" s="1" t="s">
        <v>8148</v>
      </c>
      <c r="I1999" s="2">
        <v>100.61</v>
      </c>
      <c r="J1999" s="2">
        <v>7.25</v>
      </c>
      <c r="K1999" s="2">
        <v>7.95</v>
      </c>
      <c r="L1999" s="2">
        <v>8.6</v>
      </c>
      <c r="M1999" s="4">
        <f t="shared" si="186"/>
        <v>12.655345911949686</v>
      </c>
      <c r="N1999" s="4">
        <f t="shared" si="187"/>
        <v>11.698837209302326</v>
      </c>
      <c r="O1999" s="5">
        <f t="shared" si="188"/>
        <v>9.6551724137931005E-2</v>
      </c>
      <c r="P1999" s="5">
        <f t="shared" si="189"/>
        <v>8.1761006289308158E-2</v>
      </c>
      <c r="Q1999" s="4">
        <f t="shared" si="190"/>
        <v>1.3107322551662179</v>
      </c>
      <c r="R1999" s="4">
        <f t="shared" si="191"/>
        <v>1.4308577817531312</v>
      </c>
      <c r="S1999" s="4">
        <v>4.8499999999999996</v>
      </c>
      <c r="T1999" s="2">
        <v>1.39</v>
      </c>
      <c r="U1999" s="2">
        <v>126.36</v>
      </c>
      <c r="V1999" s="2">
        <v>76.099999999999994</v>
      </c>
      <c r="W1999" s="2">
        <v>0.46</v>
      </c>
      <c r="X1999" s="2">
        <v>-2.96</v>
      </c>
      <c r="Y1999" s="2">
        <v>-11.83</v>
      </c>
      <c r="Z1999" s="2">
        <v>-6.05</v>
      </c>
    </row>
    <row r="2000" spans="1:26" x14ac:dyDescent="0.25">
      <c r="A2000" s="1" t="s">
        <v>8149</v>
      </c>
      <c r="B2000" s="1" t="s">
        <v>8150</v>
      </c>
      <c r="C2000" s="1" t="s">
        <v>16</v>
      </c>
      <c r="D2000" s="1" t="s">
        <v>38</v>
      </c>
      <c r="E2000" s="1" t="s">
        <v>189</v>
      </c>
      <c r="F2000" s="1" t="s">
        <v>8151</v>
      </c>
      <c r="G2000" s="1" t="s">
        <v>12480</v>
      </c>
      <c r="H2000" s="1" t="s">
        <v>4477</v>
      </c>
      <c r="I2000" s="2">
        <v>49.78</v>
      </c>
      <c r="J2000" s="2">
        <v>5.6</v>
      </c>
      <c r="K2000" s="2">
        <v>5.94</v>
      </c>
      <c r="L2000" s="2">
        <v>6.7</v>
      </c>
      <c r="M2000" s="4">
        <f t="shared" si="186"/>
        <v>8.3804713804713806</v>
      </c>
      <c r="N2000" s="4">
        <f t="shared" si="187"/>
        <v>7.4298507462686567</v>
      </c>
      <c r="O2000" s="5">
        <f t="shared" si="188"/>
        <v>6.0714285714285943E-2</v>
      </c>
      <c r="P2000" s="5">
        <f t="shared" si="189"/>
        <v>0.12794612794612781</v>
      </c>
      <c r="Q2000" s="4">
        <f t="shared" si="190"/>
        <v>1.3803129332541046</v>
      </c>
      <c r="R2000" s="4">
        <f t="shared" si="191"/>
        <v>0.58070149253731407</v>
      </c>
      <c r="S2000" s="4">
        <v>-1.93</v>
      </c>
      <c r="T2000" s="2">
        <v>0.54</v>
      </c>
      <c r="U2000" s="2">
        <v>53.67</v>
      </c>
      <c r="V2000" s="2">
        <v>35.46</v>
      </c>
      <c r="W2000" s="2">
        <v>-2.91</v>
      </c>
      <c r="X2000" s="2">
        <v>-6.78</v>
      </c>
      <c r="Y2000" s="2">
        <v>-2.56</v>
      </c>
      <c r="Z2000" s="2">
        <v>-0.08</v>
      </c>
    </row>
    <row r="2001" spans="1:26" x14ac:dyDescent="0.25">
      <c r="A2001" s="1" t="s">
        <v>8152</v>
      </c>
      <c r="B2001" s="1" t="s">
        <v>8153</v>
      </c>
      <c r="C2001" s="1" t="s">
        <v>45</v>
      </c>
      <c r="D2001" s="1" t="s">
        <v>32</v>
      </c>
      <c r="E2001" s="1" t="s">
        <v>3149</v>
      </c>
      <c r="F2001" s="1" t="s">
        <v>8154</v>
      </c>
      <c r="G2001" s="1" t="s">
        <v>12490</v>
      </c>
      <c r="H2001" s="1" t="s">
        <v>8155</v>
      </c>
      <c r="I2001" s="2">
        <v>30.43</v>
      </c>
      <c r="J2001" s="2">
        <v>2.2200000000000002</v>
      </c>
      <c r="K2001" s="2">
        <v>2.41</v>
      </c>
      <c r="L2001" s="2">
        <v>2.5299999999999998</v>
      </c>
      <c r="M2001" s="4">
        <f t="shared" si="186"/>
        <v>12.62655601659751</v>
      </c>
      <c r="N2001" s="4">
        <f t="shared" si="187"/>
        <v>12.027667984189724</v>
      </c>
      <c r="O2001" s="5">
        <f t="shared" si="188"/>
        <v>8.55855855855856E-2</v>
      </c>
      <c r="P2001" s="5">
        <f t="shared" si="189"/>
        <v>4.9792531120331773E-2</v>
      </c>
      <c r="Q2001" s="4">
        <f t="shared" si="190"/>
        <v>1.4753133872024458</v>
      </c>
      <c r="R2001" s="4">
        <f t="shared" si="191"/>
        <v>2.415556653491445</v>
      </c>
      <c r="S2001" s="4">
        <v>-0.82</v>
      </c>
      <c r="T2001" s="2">
        <v>0.63</v>
      </c>
      <c r="U2001" s="2">
        <v>30.43</v>
      </c>
      <c r="V2001" s="2">
        <v>19.23</v>
      </c>
      <c r="W2001" s="2">
        <v>4.3899999999999997</v>
      </c>
      <c r="X2001" s="2">
        <v>10.9</v>
      </c>
      <c r="Y2001" s="2">
        <v>9.86</v>
      </c>
      <c r="Z2001" s="2">
        <v>12.45</v>
      </c>
    </row>
    <row r="2002" spans="1:26" x14ac:dyDescent="0.25">
      <c r="A2002" s="1" t="s">
        <v>8156</v>
      </c>
      <c r="B2002" s="1" t="s">
        <v>8157</v>
      </c>
      <c r="C2002" s="1" t="s">
        <v>31</v>
      </c>
      <c r="D2002" s="1" t="s">
        <v>147</v>
      </c>
      <c r="E2002" s="1" t="s">
        <v>2000</v>
      </c>
      <c r="F2002" s="1" t="s">
        <v>8158</v>
      </c>
      <c r="G2002" s="1" t="s">
        <v>12490</v>
      </c>
      <c r="H2002" s="1" t="s">
        <v>8159</v>
      </c>
      <c r="I2002" s="2">
        <v>14.3</v>
      </c>
      <c r="J2002" s="2">
        <v>0.39</v>
      </c>
      <c r="K2002" s="2">
        <v>0.51</v>
      </c>
      <c r="L2002" s="2">
        <v>0.66</v>
      </c>
      <c r="M2002" s="4">
        <f t="shared" si="186"/>
        <v>28.03921568627451</v>
      </c>
      <c r="N2002" s="4">
        <f t="shared" si="187"/>
        <v>21.666666666666668</v>
      </c>
      <c r="O2002" s="5">
        <f t="shared" si="188"/>
        <v>0.30769230769230771</v>
      </c>
      <c r="P2002" s="5">
        <f t="shared" si="189"/>
        <v>0.29411764705882359</v>
      </c>
      <c r="Q2002" s="4">
        <f t="shared" si="190"/>
        <v>0.91127450980392155</v>
      </c>
      <c r="R2002" s="4">
        <f t="shared" si="191"/>
        <v>0.73666666666666658</v>
      </c>
      <c r="S2002" s="4">
        <v>-33.94</v>
      </c>
      <c r="T2002" s="2">
        <v>0.56999999999999995</v>
      </c>
      <c r="U2002" s="2">
        <v>24.89</v>
      </c>
      <c r="V2002" s="2">
        <v>13.42</v>
      </c>
      <c r="W2002" s="2">
        <v>3.62</v>
      </c>
      <c r="X2002" s="2">
        <v>1.06</v>
      </c>
      <c r="Y2002" s="2">
        <v>-21.94</v>
      </c>
      <c r="Z2002" s="2">
        <v>-15.18</v>
      </c>
    </row>
    <row r="2003" spans="1:26" x14ac:dyDescent="0.25">
      <c r="A2003" s="1" t="s">
        <v>8160</v>
      </c>
      <c r="B2003" s="1" t="s">
        <v>8161</v>
      </c>
      <c r="C2003" s="1" t="s">
        <v>31</v>
      </c>
      <c r="D2003" s="1" t="s">
        <v>140</v>
      </c>
      <c r="E2003" s="1" t="s">
        <v>284</v>
      </c>
      <c r="F2003" s="1" t="s">
        <v>8162</v>
      </c>
      <c r="G2003" s="1" t="s">
        <v>12490</v>
      </c>
      <c r="H2003" s="1" t="s">
        <v>8163</v>
      </c>
      <c r="I2003" s="2" t="s">
        <v>12712</v>
      </c>
      <c r="J2003" s="2">
        <v>0.67</v>
      </c>
      <c r="K2003" s="2"/>
      <c r="L2003" s="2"/>
      <c r="M2003" s="4" t="e">
        <f t="shared" si="186"/>
        <v>#DIV/0!</v>
      </c>
      <c r="N2003" s="4" t="e">
        <f t="shared" si="187"/>
        <v>#DIV/0!</v>
      </c>
      <c r="O2003" s="5">
        <f t="shared" si="188"/>
        <v>-1</v>
      </c>
      <c r="P2003" s="5" t="e">
        <f t="shared" si="189"/>
        <v>#DIV/0!</v>
      </c>
      <c r="Q2003" s="4" t="e">
        <f t="shared" si="190"/>
        <v>#DIV/0!</v>
      </c>
      <c r="R2003" s="4" t="e">
        <f t="shared" si="191"/>
        <v>#DIV/0!</v>
      </c>
      <c r="S2003" s="4">
        <v>0.69</v>
      </c>
      <c r="T2003" s="2">
        <v>0.99</v>
      </c>
      <c r="U2003" s="2">
        <v>29.32</v>
      </c>
      <c r="V2003" s="2">
        <v>16.010000000000002</v>
      </c>
      <c r="W2003" s="2" t="s">
        <v>12489</v>
      </c>
      <c r="X2003" s="2" t="s">
        <v>12489</v>
      </c>
      <c r="Y2003" s="2">
        <v>11.63</v>
      </c>
      <c r="Z2003" s="2" t="s">
        <v>12494</v>
      </c>
    </row>
    <row r="2004" spans="1:26" x14ac:dyDescent="0.25">
      <c r="A2004" s="1" t="s">
        <v>8164</v>
      </c>
      <c r="B2004" s="1" t="s">
        <v>8165</v>
      </c>
      <c r="C2004" s="1" t="s">
        <v>45</v>
      </c>
      <c r="D2004" s="1" t="s">
        <v>32</v>
      </c>
      <c r="E2004" s="1" t="s">
        <v>3521</v>
      </c>
      <c r="F2004" s="1" t="s">
        <v>8166</v>
      </c>
      <c r="G2004" s="1" t="s">
        <v>12480</v>
      </c>
      <c r="H2004" s="1" t="s">
        <v>8167</v>
      </c>
      <c r="I2004" s="2">
        <v>117.69</v>
      </c>
      <c r="J2004" s="2">
        <v>8.2899999999999991</v>
      </c>
      <c r="K2004" s="2">
        <v>9.1999999999999993</v>
      </c>
      <c r="L2004" s="2">
        <v>10.31</v>
      </c>
      <c r="M2004" s="4">
        <f t="shared" si="186"/>
        <v>12.792391304347827</v>
      </c>
      <c r="N2004" s="4">
        <f t="shared" si="187"/>
        <v>11.415130940834141</v>
      </c>
      <c r="O2004" s="5">
        <f t="shared" si="188"/>
        <v>0.10977080820265384</v>
      </c>
      <c r="P2004" s="5">
        <f t="shared" si="189"/>
        <v>0.12065217391304373</v>
      </c>
      <c r="Q2004" s="4">
        <f t="shared" si="190"/>
        <v>1.1653727902532247</v>
      </c>
      <c r="R2004" s="4">
        <f t="shared" si="191"/>
        <v>0.94611896086192682</v>
      </c>
      <c r="S2004" s="4">
        <v>11.65</v>
      </c>
      <c r="T2004" s="2">
        <v>0.74</v>
      </c>
      <c r="U2004" s="2">
        <v>159.34</v>
      </c>
      <c r="V2004" s="2">
        <v>91.37</v>
      </c>
      <c r="W2004" s="2">
        <v>2.17</v>
      </c>
      <c r="X2004" s="2">
        <v>-4.7300000000000004</v>
      </c>
      <c r="Y2004" s="2">
        <v>-14.84</v>
      </c>
      <c r="Z2004" s="2">
        <v>-14.48</v>
      </c>
    </row>
    <row r="2005" spans="1:26" x14ac:dyDescent="0.25">
      <c r="A2005" s="1" t="s">
        <v>8168</v>
      </c>
      <c r="B2005" s="1" t="s">
        <v>8169</v>
      </c>
      <c r="C2005" s="1" t="s">
        <v>31</v>
      </c>
      <c r="D2005" s="1" t="s">
        <v>38</v>
      </c>
      <c r="E2005" s="1" t="s">
        <v>189</v>
      </c>
      <c r="F2005" s="1" t="s">
        <v>8170</v>
      </c>
      <c r="G2005" s="1" t="s">
        <v>12479</v>
      </c>
      <c r="H2005" s="1" t="s">
        <v>8171</v>
      </c>
      <c r="I2005" s="2">
        <v>137.05000000000001</v>
      </c>
      <c r="J2005" s="2">
        <v>8.0500000000000007</v>
      </c>
      <c r="K2005" s="2">
        <v>9.1300000000000008</v>
      </c>
      <c r="L2005" s="2">
        <v>10.199999999999999</v>
      </c>
      <c r="M2005" s="4">
        <f t="shared" si="186"/>
        <v>15.010952902519168</v>
      </c>
      <c r="N2005" s="4">
        <f t="shared" si="187"/>
        <v>13.436274509803924</v>
      </c>
      <c r="O2005" s="5">
        <f t="shared" si="188"/>
        <v>0.1341614906832298</v>
      </c>
      <c r="P2005" s="5">
        <f t="shared" si="189"/>
        <v>0.11719605695509294</v>
      </c>
      <c r="Q2005" s="4">
        <f t="shared" si="190"/>
        <v>1.11887195245629</v>
      </c>
      <c r="R2005" s="4">
        <f t="shared" si="191"/>
        <v>1.1464783763972897</v>
      </c>
      <c r="S2005" s="4">
        <v>162.16999999999999</v>
      </c>
      <c r="T2005" s="2">
        <v>0.85</v>
      </c>
      <c r="U2005" s="2">
        <v>140.62</v>
      </c>
      <c r="V2005" s="2">
        <v>75.459999999999994</v>
      </c>
      <c r="W2005" s="2">
        <v>-1.4</v>
      </c>
      <c r="X2005" s="2">
        <v>7.92</v>
      </c>
      <c r="Y2005" s="2">
        <v>9.08</v>
      </c>
      <c r="Z2005" s="2">
        <v>8.8000000000000007</v>
      </c>
    </row>
    <row r="2006" spans="1:26" x14ac:dyDescent="0.25">
      <c r="A2006" s="1" t="s">
        <v>8172</v>
      </c>
      <c r="B2006" s="1" t="s">
        <v>8173</v>
      </c>
      <c r="C2006" s="1" t="s">
        <v>45</v>
      </c>
      <c r="D2006" s="1" t="s">
        <v>18</v>
      </c>
      <c r="E2006" s="1" t="s">
        <v>74</v>
      </c>
      <c r="F2006" s="1" t="s">
        <v>8174</v>
      </c>
      <c r="G2006" s="1" t="s">
        <v>12480</v>
      </c>
      <c r="H2006" s="1" t="s">
        <v>8175</v>
      </c>
      <c r="I2006" s="2">
        <v>13.89</v>
      </c>
      <c r="J2006" s="2">
        <v>-3.81</v>
      </c>
      <c r="K2006" s="2">
        <v>-3.6</v>
      </c>
      <c r="L2006" s="2">
        <v>-1.46</v>
      </c>
      <c r="M2006" s="4">
        <f t="shared" si="186"/>
        <v>-3.8583333333333334</v>
      </c>
      <c r="N2006" s="4">
        <f t="shared" si="187"/>
        <v>-9.5136986301369877</v>
      </c>
      <c r="O2006" s="5">
        <f t="shared" si="188"/>
        <v>-5.5118110236220486E-2</v>
      </c>
      <c r="P2006" s="5">
        <f t="shared" si="189"/>
        <v>-0.59444444444444444</v>
      </c>
      <c r="Q2006" s="4">
        <f t="shared" si="190"/>
        <v>0.70001190476190467</v>
      </c>
      <c r="R2006" s="4">
        <f t="shared" si="191"/>
        <v>0.16004352835744465</v>
      </c>
      <c r="S2006" s="4">
        <v>16.920000000000002</v>
      </c>
      <c r="T2006" s="2">
        <v>2.1</v>
      </c>
      <c r="U2006" s="2">
        <v>27.98</v>
      </c>
      <c r="V2006" s="2">
        <v>6.28</v>
      </c>
      <c r="W2006" s="2">
        <v>-10.039999999999999</v>
      </c>
      <c r="X2006" s="2">
        <v>11.21</v>
      </c>
      <c r="Y2006" s="2">
        <v>51.97</v>
      </c>
      <c r="Z2006" s="2">
        <v>54.51</v>
      </c>
    </row>
    <row r="2007" spans="1:26" x14ac:dyDescent="0.25">
      <c r="A2007" s="1" t="s">
        <v>8176</v>
      </c>
      <c r="B2007" s="1" t="s">
        <v>8177</v>
      </c>
      <c r="C2007" s="1" t="s">
        <v>45</v>
      </c>
      <c r="D2007" s="1" t="s">
        <v>32</v>
      </c>
      <c r="E2007" s="1" t="s">
        <v>248</v>
      </c>
      <c r="F2007" s="1" t="s">
        <v>8178</v>
      </c>
      <c r="G2007" s="1" t="s">
        <v>12496</v>
      </c>
      <c r="H2007" s="1" t="s">
        <v>8179</v>
      </c>
      <c r="I2007" s="2">
        <v>39.729999999999997</v>
      </c>
      <c r="J2007" s="2">
        <v>1.62</v>
      </c>
      <c r="K2007" s="2">
        <v>1.8</v>
      </c>
      <c r="L2007" s="2">
        <v>2.13</v>
      </c>
      <c r="M2007" s="4">
        <f t="shared" si="186"/>
        <v>22.072222222222219</v>
      </c>
      <c r="N2007" s="4">
        <f t="shared" si="187"/>
        <v>18.652582159624412</v>
      </c>
      <c r="O2007" s="5">
        <f t="shared" si="188"/>
        <v>0.11111111111111116</v>
      </c>
      <c r="P2007" s="5">
        <f t="shared" si="189"/>
        <v>0.18333333333333335</v>
      </c>
      <c r="Q2007" s="4">
        <f t="shared" si="190"/>
        <v>1.9864999999999988</v>
      </c>
      <c r="R2007" s="4">
        <f t="shared" si="191"/>
        <v>1.0174135723431497</v>
      </c>
      <c r="S2007" s="4">
        <v>18.11</v>
      </c>
      <c r="T2007" s="2">
        <v>0.49</v>
      </c>
      <c r="U2007" s="2">
        <v>83.07</v>
      </c>
      <c r="V2007" s="2">
        <v>36.86</v>
      </c>
      <c r="W2007" s="2">
        <v>-1.39</v>
      </c>
      <c r="X2007" s="2">
        <v>-4.47</v>
      </c>
      <c r="Y2007" s="2">
        <v>-16.809999999999999</v>
      </c>
      <c r="Z2007" s="2">
        <v>-23.14</v>
      </c>
    </row>
    <row r="2008" spans="1:26" x14ac:dyDescent="0.25">
      <c r="A2008" s="1" t="s">
        <v>8180</v>
      </c>
      <c r="B2008" s="1" t="s">
        <v>8181</v>
      </c>
      <c r="C2008" s="1" t="s">
        <v>31</v>
      </c>
      <c r="D2008" s="1" t="s">
        <v>94</v>
      </c>
      <c r="E2008" s="1" t="s">
        <v>3284</v>
      </c>
      <c r="F2008" s="1" t="s">
        <v>8182</v>
      </c>
      <c r="G2008" s="1" t="s">
        <v>12480</v>
      </c>
      <c r="H2008" s="1" t="s">
        <v>8183</v>
      </c>
      <c r="I2008" s="2">
        <v>14.3</v>
      </c>
      <c r="J2008" s="2">
        <v>0.11</v>
      </c>
      <c r="K2008" s="2">
        <v>0.47</v>
      </c>
      <c r="L2008" s="2">
        <v>0.61</v>
      </c>
      <c r="M2008" s="4">
        <f t="shared" si="186"/>
        <v>30.425531914893622</v>
      </c>
      <c r="N2008" s="4">
        <f t="shared" si="187"/>
        <v>23.442622950819676</v>
      </c>
      <c r="O2008" s="5">
        <f t="shared" si="188"/>
        <v>3.2727272727272725</v>
      </c>
      <c r="P2008" s="5">
        <f t="shared" si="189"/>
        <v>0.2978723404255319</v>
      </c>
      <c r="Q2008" s="4">
        <f t="shared" si="190"/>
        <v>9.2966903073286075E-2</v>
      </c>
      <c r="R2008" s="4">
        <f t="shared" si="191"/>
        <v>0.78700234192037488</v>
      </c>
      <c r="S2008" s="4">
        <v>-3.67</v>
      </c>
      <c r="T2008" s="2"/>
      <c r="U2008" s="2">
        <v>14.56</v>
      </c>
      <c r="V2008" s="2">
        <v>8.34</v>
      </c>
      <c r="W2008" s="2">
        <v>7.84</v>
      </c>
      <c r="X2008" s="2">
        <v>14.68</v>
      </c>
      <c r="Y2008" s="2">
        <v>31.19</v>
      </c>
      <c r="Z2008" s="2">
        <v>26.33</v>
      </c>
    </row>
    <row r="2009" spans="1:26" x14ac:dyDescent="0.25">
      <c r="A2009" s="1" t="s">
        <v>8184</v>
      </c>
      <c r="B2009" s="1" t="s">
        <v>8185</v>
      </c>
      <c r="C2009" s="1" t="s">
        <v>16</v>
      </c>
      <c r="D2009" s="1" t="s">
        <v>88</v>
      </c>
      <c r="E2009" s="1" t="s">
        <v>2299</v>
      </c>
      <c r="F2009" s="1" t="s">
        <v>8186</v>
      </c>
      <c r="G2009" s="1" t="s">
        <v>12480</v>
      </c>
      <c r="H2009" s="1" t="s">
        <v>8187</v>
      </c>
      <c r="I2009" s="2">
        <v>75.81</v>
      </c>
      <c r="J2009" s="2">
        <v>4.5599999999999996</v>
      </c>
      <c r="K2009" s="2">
        <v>4.76</v>
      </c>
      <c r="L2009" s="2">
        <v>4.47</v>
      </c>
      <c r="M2009" s="4">
        <f t="shared" si="186"/>
        <v>15.926470588235295</v>
      </c>
      <c r="N2009" s="4">
        <f t="shared" si="187"/>
        <v>16.959731543624162</v>
      </c>
      <c r="O2009" s="5">
        <f t="shared" si="188"/>
        <v>4.3859649122807154E-2</v>
      </c>
      <c r="P2009" s="5">
        <f t="shared" si="189"/>
        <v>-6.0924369747899165E-2</v>
      </c>
      <c r="Q2009" s="4">
        <f t="shared" si="190"/>
        <v>3.6312352941176362</v>
      </c>
      <c r="R2009" s="4">
        <f t="shared" si="191"/>
        <v>-2.7837352464707243</v>
      </c>
      <c r="S2009" s="4">
        <v>3.52</v>
      </c>
      <c r="T2009" s="2">
        <v>0.7</v>
      </c>
      <c r="U2009" s="2">
        <v>76.209999999999994</v>
      </c>
      <c r="V2009" s="2">
        <v>46.88</v>
      </c>
      <c r="W2009" s="2">
        <v>0.09</v>
      </c>
      <c r="X2009" s="2">
        <v>8.18</v>
      </c>
      <c r="Y2009" s="2">
        <v>22.57</v>
      </c>
      <c r="Z2009" s="2">
        <v>22.83</v>
      </c>
    </row>
    <row r="2010" spans="1:26" x14ac:dyDescent="0.25">
      <c r="A2010" s="1" t="s">
        <v>8188</v>
      </c>
      <c r="B2010" s="1" t="s">
        <v>8189</v>
      </c>
      <c r="C2010" s="1" t="s">
        <v>45</v>
      </c>
      <c r="D2010" s="1" t="s">
        <v>18</v>
      </c>
      <c r="E2010" s="1" t="s">
        <v>624</v>
      </c>
      <c r="F2010" s="1" t="s">
        <v>8190</v>
      </c>
      <c r="G2010" s="1" t="s">
        <v>12480</v>
      </c>
      <c r="H2010" s="1" t="s">
        <v>8191</v>
      </c>
      <c r="I2010" s="2">
        <v>205.22</v>
      </c>
      <c r="J2010" s="2">
        <v>-1.52</v>
      </c>
      <c r="K2010" s="2">
        <v>-1.76</v>
      </c>
      <c r="L2010" s="2">
        <v>0.01</v>
      </c>
      <c r="M2010" s="4">
        <f t="shared" si="186"/>
        <v>-116.60227272727272</v>
      </c>
      <c r="N2010" s="4">
        <f t="shared" si="187"/>
        <v>20522</v>
      </c>
      <c r="O2010" s="5">
        <f t="shared" si="188"/>
        <v>0.15789473684210531</v>
      </c>
      <c r="P2010" s="5">
        <f t="shared" si="189"/>
        <v>-1.0056818181818181</v>
      </c>
      <c r="Q2010" s="4">
        <f t="shared" si="190"/>
        <v>-7.3848106060606034</v>
      </c>
      <c r="R2010" s="4">
        <f t="shared" si="191"/>
        <v>-204.06056497175143</v>
      </c>
      <c r="S2010" s="4">
        <v>35.9</v>
      </c>
      <c r="T2010" s="2">
        <v>1.65</v>
      </c>
      <c r="U2010" s="2">
        <v>254.4</v>
      </c>
      <c r="V2010" s="2">
        <v>132.22999999999999</v>
      </c>
      <c r="W2010" s="2">
        <v>2.52</v>
      </c>
      <c r="X2010" s="2">
        <v>-2.5499999999999998</v>
      </c>
      <c r="Y2010" s="2">
        <v>-10.15</v>
      </c>
      <c r="Z2010" s="2">
        <v>-10.42</v>
      </c>
    </row>
    <row r="2011" spans="1:26" x14ac:dyDescent="0.25">
      <c r="A2011" s="1" t="s">
        <v>8192</v>
      </c>
      <c r="B2011" s="1" t="s">
        <v>8193</v>
      </c>
      <c r="C2011" s="1" t="s">
        <v>45</v>
      </c>
      <c r="D2011" s="1" t="s">
        <v>38</v>
      </c>
      <c r="E2011" s="1" t="s">
        <v>1739</v>
      </c>
      <c r="F2011" s="1" t="s">
        <v>8194</v>
      </c>
      <c r="G2011" s="1" t="s">
        <v>12480</v>
      </c>
      <c r="H2011" s="1" t="s">
        <v>8195</v>
      </c>
      <c r="I2011" s="2">
        <v>138.41</v>
      </c>
      <c r="J2011" s="2">
        <v>9.01</v>
      </c>
      <c r="K2011" s="2">
        <v>9.92</v>
      </c>
      <c r="L2011" s="2">
        <v>10.85</v>
      </c>
      <c r="M2011" s="4">
        <f t="shared" si="186"/>
        <v>13.952620967741936</v>
      </c>
      <c r="N2011" s="4">
        <f t="shared" si="187"/>
        <v>12.75668202764977</v>
      </c>
      <c r="O2011" s="5">
        <f t="shared" si="188"/>
        <v>0.10099889012208663</v>
      </c>
      <c r="P2011" s="5">
        <f t="shared" si="189"/>
        <v>9.375E-2</v>
      </c>
      <c r="Q2011" s="4">
        <f t="shared" si="190"/>
        <v>1.3814628013115908</v>
      </c>
      <c r="R2011" s="4">
        <f t="shared" si="191"/>
        <v>1.3607127496159754</v>
      </c>
      <c r="S2011" s="4">
        <v>-10.99</v>
      </c>
      <c r="T2011" s="2">
        <v>1.27</v>
      </c>
      <c r="U2011" s="2">
        <v>154.80000000000001</v>
      </c>
      <c r="V2011" s="2">
        <v>84.45</v>
      </c>
      <c r="W2011" s="2">
        <v>-4.7</v>
      </c>
      <c r="X2011" s="2">
        <v>-10.59</v>
      </c>
      <c r="Y2011" s="2">
        <v>-0.87</v>
      </c>
      <c r="Z2011" s="2">
        <v>1.33</v>
      </c>
    </row>
    <row r="2012" spans="1:26" x14ac:dyDescent="0.25">
      <c r="A2012" s="1" t="s">
        <v>8196</v>
      </c>
      <c r="B2012" s="1" t="s">
        <v>8197</v>
      </c>
      <c r="C2012" s="1" t="s">
        <v>45</v>
      </c>
      <c r="D2012" s="1" t="s">
        <v>32</v>
      </c>
      <c r="E2012" s="1" t="s">
        <v>311</v>
      </c>
      <c r="F2012" s="1" t="s">
        <v>8198</v>
      </c>
      <c r="G2012" s="1" t="s">
        <v>12493</v>
      </c>
      <c r="H2012" s="1" t="s">
        <v>8199</v>
      </c>
      <c r="I2012" s="2">
        <v>12.29</v>
      </c>
      <c r="J2012" s="2">
        <v>-3.64</v>
      </c>
      <c r="K2012" s="2">
        <v>-0.19</v>
      </c>
      <c r="L2012" s="2">
        <v>0.03</v>
      </c>
      <c r="M2012" s="4">
        <f t="shared" si="186"/>
        <v>-64.68421052631578</v>
      </c>
      <c r="N2012" s="4">
        <f t="shared" si="187"/>
        <v>409.66666666666663</v>
      </c>
      <c r="O2012" s="5">
        <f t="shared" si="188"/>
        <v>-0.94780219780219777</v>
      </c>
      <c r="P2012" s="5">
        <f t="shared" si="189"/>
        <v>-1.1578947368421053</v>
      </c>
      <c r="Q2012" s="4">
        <f t="shared" si="190"/>
        <v>0.68246529366895492</v>
      </c>
      <c r="R2012" s="4">
        <f t="shared" si="191"/>
        <v>-3.5380303030303026</v>
      </c>
      <c r="S2012" s="4"/>
      <c r="T2012" s="2"/>
      <c r="U2012" s="2">
        <v>25.79</v>
      </c>
      <c r="V2012" s="2">
        <v>9.26</v>
      </c>
      <c r="W2012" s="2">
        <v>17.5</v>
      </c>
      <c r="X2012" s="2">
        <v>2.67</v>
      </c>
      <c r="Y2012" s="2">
        <v>-35.49</v>
      </c>
      <c r="Z2012" s="2">
        <v>-29.93</v>
      </c>
    </row>
    <row r="2013" spans="1:26" x14ac:dyDescent="0.25">
      <c r="A2013" s="1" t="s">
        <v>8200</v>
      </c>
      <c r="B2013" s="1" t="s">
        <v>8201</v>
      </c>
      <c r="C2013" s="1" t="s">
        <v>16</v>
      </c>
      <c r="D2013" s="1" t="s">
        <v>38</v>
      </c>
      <c r="E2013" s="1" t="s">
        <v>510</v>
      </c>
      <c r="F2013" s="1" t="s">
        <v>8202</v>
      </c>
      <c r="G2013" s="1" t="s">
        <v>12480</v>
      </c>
      <c r="H2013" s="1" t="s">
        <v>8203</v>
      </c>
      <c r="I2013" s="2">
        <v>20.91</v>
      </c>
      <c r="J2013" s="2">
        <v>1.31</v>
      </c>
      <c r="K2013" s="2">
        <v>1.36</v>
      </c>
      <c r="L2013" s="2">
        <v>1.44</v>
      </c>
      <c r="M2013" s="4">
        <f t="shared" si="186"/>
        <v>15.374999999999998</v>
      </c>
      <c r="N2013" s="4">
        <f t="shared" si="187"/>
        <v>14.520833333333334</v>
      </c>
      <c r="O2013" s="5">
        <f t="shared" si="188"/>
        <v>3.8167938931297662E-2</v>
      </c>
      <c r="P2013" s="5">
        <f t="shared" si="189"/>
        <v>5.8823529411764497E-2</v>
      </c>
      <c r="Q2013" s="4">
        <f t="shared" si="190"/>
        <v>4.0282500000000043</v>
      </c>
      <c r="R2013" s="4">
        <f t="shared" si="191"/>
        <v>2.4685416666666757</v>
      </c>
      <c r="S2013" s="4">
        <v>19.79</v>
      </c>
      <c r="T2013" s="2">
        <v>0.86</v>
      </c>
      <c r="U2013" s="2">
        <v>21.2</v>
      </c>
      <c r="V2013" s="2">
        <v>14.61</v>
      </c>
      <c r="W2013" s="2">
        <v>-0.14000000000000001</v>
      </c>
      <c r="X2013" s="2">
        <v>9.8800000000000008</v>
      </c>
      <c r="Y2013" s="2">
        <v>19.55</v>
      </c>
      <c r="Z2013" s="2">
        <v>18.54</v>
      </c>
    </row>
    <row r="2014" spans="1:26" x14ac:dyDescent="0.25">
      <c r="A2014" s="1" t="s">
        <v>8204</v>
      </c>
      <c r="B2014" s="1" t="s">
        <v>8205</v>
      </c>
      <c r="C2014" s="1" t="s">
        <v>16</v>
      </c>
      <c r="D2014" s="1" t="s">
        <v>38</v>
      </c>
      <c r="E2014" s="1" t="s">
        <v>189</v>
      </c>
      <c r="F2014" s="1" t="s">
        <v>8206</v>
      </c>
      <c r="G2014" s="1" t="s">
        <v>12480</v>
      </c>
      <c r="H2014" s="1" t="s">
        <v>8207</v>
      </c>
      <c r="I2014" s="2">
        <v>14.67</v>
      </c>
      <c r="J2014" s="2">
        <v>0.62</v>
      </c>
      <c r="K2014" s="2">
        <v>0.88</v>
      </c>
      <c r="L2014" s="2">
        <v>1.2</v>
      </c>
      <c r="M2014" s="4">
        <f t="shared" si="186"/>
        <v>16.670454545454547</v>
      </c>
      <c r="N2014" s="4">
        <f t="shared" si="187"/>
        <v>12.225</v>
      </c>
      <c r="O2014" s="5">
        <f t="shared" si="188"/>
        <v>0.41935483870967749</v>
      </c>
      <c r="P2014" s="5">
        <f t="shared" si="189"/>
        <v>0.36363636363636354</v>
      </c>
      <c r="Q2014" s="4">
        <f t="shared" si="190"/>
        <v>0.39752622377622371</v>
      </c>
      <c r="R2014" s="4">
        <f t="shared" si="191"/>
        <v>0.33618750000000008</v>
      </c>
      <c r="S2014" s="4">
        <v>36.97</v>
      </c>
      <c r="T2014" s="2">
        <v>1.1100000000000001</v>
      </c>
      <c r="U2014" s="2">
        <v>18.760000000000002</v>
      </c>
      <c r="V2014" s="2">
        <v>9.6</v>
      </c>
      <c r="W2014" s="2">
        <v>-3.42</v>
      </c>
      <c r="X2014" s="2">
        <v>-16.41</v>
      </c>
      <c r="Y2014" s="2">
        <v>-11.89</v>
      </c>
      <c r="Z2014" s="2">
        <v>-12.37</v>
      </c>
    </row>
    <row r="2015" spans="1:26" x14ac:dyDescent="0.25">
      <c r="A2015" s="1" t="s">
        <v>8208</v>
      </c>
      <c r="B2015" s="1" t="s">
        <v>8209</v>
      </c>
      <c r="C2015" s="1" t="s">
        <v>16</v>
      </c>
      <c r="D2015" s="1" t="s">
        <v>88</v>
      </c>
      <c r="E2015" s="1" t="s">
        <v>912</v>
      </c>
      <c r="F2015" s="1" t="s">
        <v>8210</v>
      </c>
      <c r="G2015" s="1" t="s">
        <v>12480</v>
      </c>
      <c r="H2015" s="1" t="s">
        <v>8211</v>
      </c>
      <c r="I2015" s="2">
        <v>169.47</v>
      </c>
      <c r="J2015" s="2">
        <v>7.71</v>
      </c>
      <c r="K2015" s="2">
        <v>11.72</v>
      </c>
      <c r="L2015" s="2">
        <v>13.69</v>
      </c>
      <c r="M2015" s="4">
        <f t="shared" si="186"/>
        <v>14.459897610921502</v>
      </c>
      <c r="N2015" s="4">
        <f t="shared" si="187"/>
        <v>12.379108838568298</v>
      </c>
      <c r="O2015" s="5">
        <f t="shared" si="188"/>
        <v>0.52010376134889769</v>
      </c>
      <c r="P2015" s="5">
        <f t="shared" si="189"/>
        <v>0.16808873720136508</v>
      </c>
      <c r="Q2015" s="4">
        <f t="shared" si="190"/>
        <v>0.27801947775612157</v>
      </c>
      <c r="R2015" s="4">
        <f t="shared" si="191"/>
        <v>0.73646271872091651</v>
      </c>
      <c r="S2015" s="4">
        <v>5.73</v>
      </c>
      <c r="T2015" s="2">
        <v>1.83</v>
      </c>
      <c r="U2015" s="2">
        <v>194.42</v>
      </c>
      <c r="V2015" s="2">
        <v>103.22</v>
      </c>
      <c r="W2015" s="2">
        <v>-6.15</v>
      </c>
      <c r="X2015" s="2">
        <v>-12.23</v>
      </c>
      <c r="Y2015" s="2">
        <v>4.5999999999999996</v>
      </c>
      <c r="Z2015" s="2">
        <v>3.9</v>
      </c>
    </row>
    <row r="2016" spans="1:26" x14ac:dyDescent="0.25">
      <c r="A2016" s="1" t="s">
        <v>8212</v>
      </c>
      <c r="B2016" s="1" t="s">
        <v>8213</v>
      </c>
      <c r="C2016" s="1" t="s">
        <v>16</v>
      </c>
      <c r="D2016" s="1" t="s">
        <v>38</v>
      </c>
      <c r="E2016" s="1" t="s">
        <v>259</v>
      </c>
      <c r="F2016" s="1" t="s">
        <v>8214</v>
      </c>
      <c r="G2016" s="1" t="s">
        <v>12479</v>
      </c>
      <c r="H2016" s="1" t="s">
        <v>8215</v>
      </c>
      <c r="I2016" s="2">
        <v>9.26</v>
      </c>
      <c r="J2016" s="2"/>
      <c r="K2016" s="2"/>
      <c r="L2016" s="2"/>
      <c r="M2016" s="4" t="e">
        <f t="shared" si="186"/>
        <v>#DIV/0!</v>
      </c>
      <c r="N2016" s="4" t="e">
        <f t="shared" si="187"/>
        <v>#DIV/0!</v>
      </c>
      <c r="O2016" s="5" t="e">
        <f t="shared" si="188"/>
        <v>#DIV/0!</v>
      </c>
      <c r="P2016" s="5" t="e">
        <f t="shared" si="189"/>
        <v>#DIV/0!</v>
      </c>
      <c r="Q2016" s="4" t="e">
        <f t="shared" si="190"/>
        <v>#DIV/0!</v>
      </c>
      <c r="R2016" s="4" t="e">
        <f t="shared" si="191"/>
        <v>#DIV/0!</v>
      </c>
      <c r="S2016" s="4"/>
      <c r="T2016" s="2">
        <v>0.4</v>
      </c>
      <c r="U2016" s="2">
        <v>9.26</v>
      </c>
      <c r="V2016" s="2">
        <v>8.43</v>
      </c>
      <c r="W2016" s="2">
        <v>0.11</v>
      </c>
      <c r="X2016" s="2">
        <v>0.76</v>
      </c>
      <c r="Y2016" s="2" t="s">
        <v>12490</v>
      </c>
      <c r="Z2016" s="2">
        <v>2.21</v>
      </c>
    </row>
    <row r="2017" spans="1:26" x14ac:dyDescent="0.25">
      <c r="A2017" s="1" t="s">
        <v>8216</v>
      </c>
      <c r="B2017" s="1" t="s">
        <v>8217</v>
      </c>
      <c r="C2017" s="1" t="s">
        <v>16</v>
      </c>
      <c r="D2017" s="1" t="s">
        <v>18</v>
      </c>
      <c r="E2017" s="1" t="s">
        <v>74</v>
      </c>
      <c r="F2017" s="1" t="s">
        <v>8218</v>
      </c>
      <c r="G2017" s="1" t="s">
        <v>12480</v>
      </c>
      <c r="H2017" s="1" t="s">
        <v>8219</v>
      </c>
      <c r="I2017" s="2">
        <v>4.7300000000000004</v>
      </c>
      <c r="J2017" s="2">
        <v>-0.6</v>
      </c>
      <c r="K2017" s="2">
        <v>-0.35</v>
      </c>
      <c r="L2017" s="2">
        <v>-0.05</v>
      </c>
      <c r="M2017" s="4">
        <f t="shared" si="186"/>
        <v>-13.514285714285716</v>
      </c>
      <c r="N2017" s="4">
        <f t="shared" si="187"/>
        <v>-94.600000000000009</v>
      </c>
      <c r="O2017" s="5">
        <f t="shared" si="188"/>
        <v>-0.41666666666666663</v>
      </c>
      <c r="P2017" s="5">
        <f t="shared" si="189"/>
        <v>-0.8571428571428571</v>
      </c>
      <c r="Q2017" s="4">
        <f t="shared" si="190"/>
        <v>0.32434285714285721</v>
      </c>
      <c r="R2017" s="4">
        <f t="shared" si="191"/>
        <v>1.1036666666666668</v>
      </c>
      <c r="S2017" s="4">
        <v>698.96</v>
      </c>
      <c r="T2017" s="2">
        <v>1.5</v>
      </c>
      <c r="U2017" s="2">
        <v>9.5399999999999991</v>
      </c>
      <c r="V2017" s="2">
        <v>1.66</v>
      </c>
      <c r="W2017" s="2">
        <v>-19.010000000000002</v>
      </c>
      <c r="X2017" s="2">
        <v>-16.14</v>
      </c>
      <c r="Y2017" s="2">
        <v>-44.42</v>
      </c>
      <c r="Z2017" s="2">
        <v>-47.21</v>
      </c>
    </row>
    <row r="2018" spans="1:26" x14ac:dyDescent="0.25">
      <c r="A2018" s="1" t="s">
        <v>8220</v>
      </c>
      <c r="B2018" s="1" t="s">
        <v>8221</v>
      </c>
      <c r="C2018" s="1" t="s">
        <v>45</v>
      </c>
      <c r="D2018" s="1" t="s">
        <v>18</v>
      </c>
      <c r="E2018" s="1" t="s">
        <v>74</v>
      </c>
      <c r="F2018" s="1" t="s">
        <v>8222</v>
      </c>
      <c r="G2018" s="1" t="s">
        <v>12480</v>
      </c>
      <c r="H2018" s="1" t="s">
        <v>8223</v>
      </c>
      <c r="I2018" s="2">
        <v>102.32</v>
      </c>
      <c r="J2018" s="2">
        <v>-5.85</v>
      </c>
      <c r="K2018" s="2">
        <v>-5.54</v>
      </c>
      <c r="L2018" s="2">
        <v>-3.76</v>
      </c>
      <c r="M2018" s="4">
        <f t="shared" si="186"/>
        <v>-18.469314079422382</v>
      </c>
      <c r="N2018" s="4">
        <f t="shared" si="187"/>
        <v>-27.212765957446809</v>
      </c>
      <c r="O2018" s="5">
        <f t="shared" si="188"/>
        <v>-5.2991452991452914E-2</v>
      </c>
      <c r="P2018" s="5">
        <f t="shared" si="189"/>
        <v>-0.32129963898916969</v>
      </c>
      <c r="Q2018" s="4">
        <f t="shared" si="190"/>
        <v>3.4853383020845516</v>
      </c>
      <c r="R2018" s="4">
        <f t="shared" si="191"/>
        <v>0.84695912024862541</v>
      </c>
      <c r="S2018" s="4"/>
      <c r="T2018" s="2">
        <v>1.32</v>
      </c>
      <c r="U2018" s="2">
        <v>111.99</v>
      </c>
      <c r="V2018" s="2">
        <v>59.32</v>
      </c>
      <c r="W2018" s="2">
        <v>1.02</v>
      </c>
      <c r="X2018" s="2">
        <v>-0.65</v>
      </c>
      <c r="Y2018" s="2">
        <v>-2.52</v>
      </c>
      <c r="Z2018" s="2">
        <v>1.72</v>
      </c>
    </row>
    <row r="2019" spans="1:26" x14ac:dyDescent="0.25">
      <c r="A2019" s="1" t="s">
        <v>8224</v>
      </c>
      <c r="B2019" s="1" t="s">
        <v>8225</v>
      </c>
      <c r="C2019" s="1" t="s">
        <v>45</v>
      </c>
      <c r="D2019" s="1" t="s">
        <v>18</v>
      </c>
      <c r="E2019" s="1" t="s">
        <v>74</v>
      </c>
      <c r="F2019" s="1" t="s">
        <v>8226</v>
      </c>
      <c r="G2019" s="1" t="s">
        <v>12480</v>
      </c>
      <c r="H2019" s="1" t="s">
        <v>8227</v>
      </c>
      <c r="I2019" s="2">
        <v>10.55</v>
      </c>
      <c r="J2019" s="2">
        <v>2.58</v>
      </c>
      <c r="K2019" s="2">
        <v>-0.11</v>
      </c>
      <c r="L2019" s="2">
        <v>-0.48</v>
      </c>
      <c r="M2019" s="4">
        <f t="shared" si="186"/>
        <v>-95.909090909090921</v>
      </c>
      <c r="N2019" s="4">
        <f t="shared" si="187"/>
        <v>-21.979166666666668</v>
      </c>
      <c r="O2019" s="5">
        <f t="shared" si="188"/>
        <v>-1.0426356589147288</v>
      </c>
      <c r="P2019" s="5">
        <f t="shared" si="189"/>
        <v>3.3636363636363633</v>
      </c>
      <c r="Q2019" s="4">
        <f t="shared" si="190"/>
        <v>0.9198715782358905</v>
      </c>
      <c r="R2019" s="4">
        <f t="shared" si="191"/>
        <v>-6.5343468468468474E-2</v>
      </c>
      <c r="S2019" s="4">
        <v>64.69</v>
      </c>
      <c r="T2019" s="2">
        <v>2.54</v>
      </c>
      <c r="U2019" s="2">
        <v>11.19</v>
      </c>
      <c r="V2019" s="2">
        <v>5.43</v>
      </c>
      <c r="W2019" s="2">
        <v>4.3499999999999996</v>
      </c>
      <c r="X2019" s="2">
        <v>21.26</v>
      </c>
      <c r="Y2019" s="2">
        <v>60.33</v>
      </c>
      <c r="Z2019" s="2">
        <v>56.99</v>
      </c>
    </row>
    <row r="2020" spans="1:26" x14ac:dyDescent="0.25">
      <c r="A2020" s="1" t="s">
        <v>8228</v>
      </c>
      <c r="B2020" s="1" t="s">
        <v>8229</v>
      </c>
      <c r="C2020" s="1" t="s">
        <v>45</v>
      </c>
      <c r="D2020" s="1" t="s">
        <v>18</v>
      </c>
      <c r="E2020" s="1" t="s">
        <v>74</v>
      </c>
      <c r="F2020" s="1" t="s">
        <v>8230</v>
      </c>
      <c r="G2020" s="1" t="s">
        <v>12480</v>
      </c>
      <c r="H2020" s="1" t="s">
        <v>8231</v>
      </c>
      <c r="I2020" s="2">
        <v>12.91</v>
      </c>
      <c r="J2020" s="2">
        <v>-1.22</v>
      </c>
      <c r="K2020" s="2">
        <v>-1.48</v>
      </c>
      <c r="L2020" s="2">
        <v>-1.1100000000000001</v>
      </c>
      <c r="M2020" s="4">
        <f t="shared" si="186"/>
        <v>-8.7229729729729737</v>
      </c>
      <c r="N2020" s="4">
        <f t="shared" si="187"/>
        <v>-11.63063063063063</v>
      </c>
      <c r="O2020" s="5">
        <f t="shared" si="188"/>
        <v>0.21311475409836067</v>
      </c>
      <c r="P2020" s="5">
        <f t="shared" si="189"/>
        <v>-0.24999999999999989</v>
      </c>
      <c r="Q2020" s="4">
        <f t="shared" si="190"/>
        <v>-0.40930873180873184</v>
      </c>
      <c r="R2020" s="4">
        <f t="shared" si="191"/>
        <v>0.46522522522522541</v>
      </c>
      <c r="S2020" s="4">
        <v>8.2799999999999994</v>
      </c>
      <c r="T2020" s="2">
        <v>0.71</v>
      </c>
      <c r="U2020" s="2">
        <v>21.32</v>
      </c>
      <c r="V2020" s="2">
        <v>10.029999999999999</v>
      </c>
      <c r="W2020" s="2">
        <v>-4.51</v>
      </c>
      <c r="X2020" s="2">
        <v>28.71</v>
      </c>
      <c r="Y2020" s="2">
        <v>-0.46</v>
      </c>
      <c r="Z2020" s="2">
        <v>-0.15</v>
      </c>
    </row>
    <row r="2021" spans="1:26" x14ac:dyDescent="0.25">
      <c r="A2021" s="1" t="s">
        <v>8232</v>
      </c>
      <c r="B2021" s="1" t="s">
        <v>8233</v>
      </c>
      <c r="C2021" s="1" t="s">
        <v>45</v>
      </c>
      <c r="D2021" s="1" t="s">
        <v>32</v>
      </c>
      <c r="E2021" s="1" t="s">
        <v>3580</v>
      </c>
      <c r="F2021" s="1" t="s">
        <v>12752</v>
      </c>
      <c r="G2021" s="1" t="s">
        <v>12493</v>
      </c>
      <c r="H2021" s="1" t="s">
        <v>12753</v>
      </c>
      <c r="I2021" s="2">
        <v>182.65</v>
      </c>
      <c r="J2021" s="2">
        <v>4.7699999999999996</v>
      </c>
      <c r="K2021" s="2">
        <v>7.82</v>
      </c>
      <c r="L2021" s="2">
        <v>9.85</v>
      </c>
      <c r="M2021" s="4">
        <f t="shared" si="186"/>
        <v>23.356777493606138</v>
      </c>
      <c r="N2021" s="4">
        <f t="shared" si="187"/>
        <v>18.54314720812183</v>
      </c>
      <c r="O2021" s="5">
        <f t="shared" si="188"/>
        <v>0.6394129979035641</v>
      </c>
      <c r="P2021" s="5">
        <f t="shared" si="189"/>
        <v>0.25959079283887454</v>
      </c>
      <c r="Q2021" s="4">
        <f t="shared" si="190"/>
        <v>0.36528468408033199</v>
      </c>
      <c r="R2021" s="4">
        <f t="shared" si="191"/>
        <v>0.71432222250006294</v>
      </c>
      <c r="S2021" s="4">
        <v>65.47</v>
      </c>
      <c r="T2021" s="2">
        <v>2.33</v>
      </c>
      <c r="U2021" s="2">
        <v>207.04</v>
      </c>
      <c r="V2021" s="2">
        <v>94.31</v>
      </c>
      <c r="W2021" s="2">
        <v>0.09</v>
      </c>
      <c r="X2021" s="2">
        <v>-3.89</v>
      </c>
      <c r="Y2021" s="2">
        <v>3.61</v>
      </c>
      <c r="Z2021" s="2">
        <v>-2.06</v>
      </c>
    </row>
    <row r="2022" spans="1:26" x14ac:dyDescent="0.25">
      <c r="A2022" s="1" t="s">
        <v>8234</v>
      </c>
      <c r="B2022" s="1" t="s">
        <v>8235</v>
      </c>
      <c r="C2022" s="1" t="s">
        <v>16</v>
      </c>
      <c r="D2022" s="1" t="s">
        <v>46</v>
      </c>
      <c r="E2022" s="1" t="s">
        <v>770</v>
      </c>
      <c r="F2022" s="1" t="s">
        <v>8236</v>
      </c>
      <c r="G2022" s="1" t="s">
        <v>12480</v>
      </c>
      <c r="H2022" s="1" t="s">
        <v>455</v>
      </c>
      <c r="I2022" s="2">
        <v>20.85</v>
      </c>
      <c r="J2022" s="2">
        <v>1.35</v>
      </c>
      <c r="K2022" s="2">
        <v>1.53</v>
      </c>
      <c r="L2022" s="2">
        <v>1.85</v>
      </c>
      <c r="M2022" s="4">
        <f t="shared" si="186"/>
        <v>13.627450980392158</v>
      </c>
      <c r="N2022" s="4">
        <f t="shared" si="187"/>
        <v>11.27027027027027</v>
      </c>
      <c r="O2022" s="5">
        <f t="shared" si="188"/>
        <v>0.1333333333333333</v>
      </c>
      <c r="P2022" s="5">
        <f t="shared" si="189"/>
        <v>0.20915032679738577</v>
      </c>
      <c r="Q2022" s="4">
        <f t="shared" si="190"/>
        <v>1.0220588235294121</v>
      </c>
      <c r="R2022" s="4">
        <f t="shared" si="191"/>
        <v>0.53885979729729694</v>
      </c>
      <c r="S2022" s="4">
        <v>2.89</v>
      </c>
      <c r="T2022" s="2">
        <v>0.37</v>
      </c>
      <c r="U2022" s="2">
        <v>21.25</v>
      </c>
      <c r="V2022" s="2">
        <v>10.92</v>
      </c>
      <c r="W2022" s="2">
        <v>-1.88</v>
      </c>
      <c r="X2022" s="2">
        <v>13.56</v>
      </c>
      <c r="Y2022" s="2">
        <v>18.53</v>
      </c>
      <c r="Z2022" s="2">
        <v>20.38</v>
      </c>
    </row>
    <row r="2023" spans="1:26" x14ac:dyDescent="0.25">
      <c r="A2023" s="1" t="s">
        <v>8237</v>
      </c>
      <c r="B2023" s="1" t="s">
        <v>8238</v>
      </c>
      <c r="C2023" s="1" t="s">
        <v>45</v>
      </c>
      <c r="D2023" s="1" t="s">
        <v>32</v>
      </c>
      <c r="E2023" s="1" t="s">
        <v>57</v>
      </c>
      <c r="F2023" s="1" t="s">
        <v>8239</v>
      </c>
      <c r="G2023" s="1" t="s">
        <v>12480</v>
      </c>
      <c r="H2023" s="1" t="s">
        <v>1499</v>
      </c>
      <c r="I2023" s="2">
        <v>433.06</v>
      </c>
      <c r="J2023" s="2">
        <v>8.6199999999999992</v>
      </c>
      <c r="K2023" s="2">
        <v>10.14</v>
      </c>
      <c r="L2023" s="2">
        <v>12.11</v>
      </c>
      <c r="M2023" s="4">
        <f t="shared" si="186"/>
        <v>42.708086785009861</v>
      </c>
      <c r="N2023" s="4">
        <f t="shared" si="187"/>
        <v>35.760528488852188</v>
      </c>
      <c r="O2023" s="5">
        <f t="shared" si="188"/>
        <v>0.17633410672853844</v>
      </c>
      <c r="P2023" s="5">
        <f t="shared" si="189"/>
        <v>0.19428007889546328</v>
      </c>
      <c r="Q2023" s="4">
        <f t="shared" si="190"/>
        <v>2.4219980795183202</v>
      </c>
      <c r="R2023" s="4">
        <f t="shared" si="191"/>
        <v>1.8406688267866071</v>
      </c>
      <c r="S2023" s="4">
        <v>30.96</v>
      </c>
      <c r="T2023" s="2">
        <v>1.83</v>
      </c>
      <c r="U2023" s="2">
        <v>497.63</v>
      </c>
      <c r="V2023" s="2">
        <v>162.03</v>
      </c>
      <c r="W2023" s="2">
        <v>-3.38</v>
      </c>
      <c r="X2023" s="2">
        <v>-6.61</v>
      </c>
      <c r="Y2023" s="2">
        <v>33.58</v>
      </c>
      <c r="Z2023" s="2">
        <v>31.87</v>
      </c>
    </row>
    <row r="2024" spans="1:26" x14ac:dyDescent="0.25">
      <c r="A2024" s="1" t="s">
        <v>8240</v>
      </c>
      <c r="B2024" s="1" t="s">
        <v>8241</v>
      </c>
      <c r="C2024" s="1" t="s">
        <v>16</v>
      </c>
      <c r="D2024" s="1" t="s">
        <v>18</v>
      </c>
      <c r="E2024" s="1" t="s">
        <v>113</v>
      </c>
      <c r="F2024" s="1" t="s">
        <v>8242</v>
      </c>
      <c r="G2024" s="1" t="s">
        <v>12480</v>
      </c>
      <c r="H2024" s="1" t="s">
        <v>12754</v>
      </c>
      <c r="I2024" s="2">
        <v>39.78</v>
      </c>
      <c r="J2024" s="2">
        <v>3.96</v>
      </c>
      <c r="K2024" s="2">
        <v>3.35</v>
      </c>
      <c r="L2024" s="2">
        <v>3.26</v>
      </c>
      <c r="M2024" s="4">
        <f t="shared" si="186"/>
        <v>11.874626865671642</v>
      </c>
      <c r="N2024" s="4">
        <f t="shared" si="187"/>
        <v>12.202453987730063</v>
      </c>
      <c r="O2024" s="5">
        <f t="shared" si="188"/>
        <v>-0.15404040404040398</v>
      </c>
      <c r="P2024" s="5">
        <f t="shared" si="189"/>
        <v>-2.68656716417911E-2</v>
      </c>
      <c r="Q2024" s="4">
        <f t="shared" si="190"/>
        <v>-0.77087741619770034</v>
      </c>
      <c r="R2024" s="4">
        <f t="shared" si="191"/>
        <v>-4.5420245398772918</v>
      </c>
      <c r="S2024" s="4">
        <v>11.1</v>
      </c>
      <c r="T2024" s="2">
        <v>0.73</v>
      </c>
      <c r="U2024" s="2">
        <v>88.04</v>
      </c>
      <c r="V2024" s="2">
        <v>36.659999999999997</v>
      </c>
      <c r="W2024" s="2">
        <v>5.35</v>
      </c>
      <c r="X2024" s="2">
        <v>-19.43</v>
      </c>
      <c r="Y2024" s="2">
        <v>-21.02</v>
      </c>
      <c r="Z2024" s="2">
        <v>-21.82</v>
      </c>
    </row>
    <row r="2025" spans="1:26" x14ac:dyDescent="0.25">
      <c r="A2025" s="1" t="s">
        <v>8243</v>
      </c>
      <c r="B2025" s="1" t="s">
        <v>8243</v>
      </c>
      <c r="C2025" s="1" t="s">
        <v>16</v>
      </c>
      <c r="D2025" s="1" t="s">
        <v>61</v>
      </c>
      <c r="E2025" s="1" t="s">
        <v>2394</v>
      </c>
      <c r="F2025" s="1" t="s">
        <v>8244</v>
      </c>
      <c r="G2025" s="1" t="s">
        <v>12480</v>
      </c>
      <c r="H2025" s="1" t="s">
        <v>12527</v>
      </c>
      <c r="I2025" s="2">
        <v>6872.0298000000003</v>
      </c>
      <c r="J2025" s="2">
        <v>436.55</v>
      </c>
      <c r="K2025" s="2">
        <v>417.4</v>
      </c>
      <c r="L2025" s="2">
        <v>469.7</v>
      </c>
      <c r="M2025" s="4">
        <f t="shared" si="186"/>
        <v>16.463895064686152</v>
      </c>
      <c r="N2025" s="4">
        <f t="shared" si="187"/>
        <v>14.630678731104961</v>
      </c>
      <c r="O2025" s="5">
        <f t="shared" si="188"/>
        <v>-4.3866681937922425E-2</v>
      </c>
      <c r="P2025" s="5">
        <f t="shared" si="189"/>
        <v>0.12529947292764732</v>
      </c>
      <c r="Q2025" s="4">
        <f t="shared" si="190"/>
        <v>-3.7531662613518151</v>
      </c>
      <c r="R2025" s="4">
        <f t="shared" si="191"/>
        <v>1.16765684557614</v>
      </c>
      <c r="S2025" s="4">
        <v>-1.93</v>
      </c>
      <c r="T2025" s="2">
        <v>1.04</v>
      </c>
      <c r="U2025" s="2" t="s">
        <v>12755</v>
      </c>
      <c r="V2025" s="2" t="s">
        <v>12756</v>
      </c>
      <c r="W2025" s="2">
        <v>-7.33</v>
      </c>
      <c r="X2025" s="2">
        <v>-12.82</v>
      </c>
      <c r="Y2025" s="2">
        <v>-9.9600000000000009</v>
      </c>
      <c r="Z2025" s="2">
        <v>-5.77</v>
      </c>
    </row>
    <row r="2026" spans="1:26" x14ac:dyDescent="0.25">
      <c r="A2026" s="1" t="s">
        <v>8245</v>
      </c>
      <c r="B2026" s="1" t="s">
        <v>8246</v>
      </c>
      <c r="C2026" s="1" t="s">
        <v>16</v>
      </c>
      <c r="D2026" s="1" t="s">
        <v>140</v>
      </c>
      <c r="E2026" s="1" t="s">
        <v>2558</v>
      </c>
      <c r="F2026" s="1" t="s">
        <v>8247</v>
      </c>
      <c r="G2026" s="1" t="s">
        <v>12480</v>
      </c>
      <c r="H2026" s="1" t="s">
        <v>8248</v>
      </c>
      <c r="I2026" s="2">
        <v>17.95</v>
      </c>
      <c r="J2026" s="2">
        <v>-0.6</v>
      </c>
      <c r="K2026" s="2">
        <v>-0.45</v>
      </c>
      <c r="L2026" s="2">
        <v>-0.05</v>
      </c>
      <c r="M2026" s="4">
        <f t="shared" si="186"/>
        <v>-39.888888888888886</v>
      </c>
      <c r="N2026" s="4">
        <f t="shared" si="187"/>
        <v>-358.99999999999994</v>
      </c>
      <c r="O2026" s="5">
        <f t="shared" si="188"/>
        <v>-0.25</v>
      </c>
      <c r="P2026" s="5">
        <f t="shared" si="189"/>
        <v>-0.88888888888888884</v>
      </c>
      <c r="Q2026" s="4">
        <f t="shared" si="190"/>
        <v>1.5955555555555554</v>
      </c>
      <c r="R2026" s="4">
        <f t="shared" si="191"/>
        <v>4.0387499999999994</v>
      </c>
      <c r="S2026" s="4">
        <v>-4.37</v>
      </c>
      <c r="T2026" s="2">
        <v>1.77</v>
      </c>
      <c r="U2026" s="2">
        <v>19.38</v>
      </c>
      <c r="V2026" s="2">
        <v>4.88</v>
      </c>
      <c r="W2026" s="2">
        <v>-1.91</v>
      </c>
      <c r="X2026" s="2">
        <v>-6.32</v>
      </c>
      <c r="Y2026" s="2">
        <v>1.18</v>
      </c>
      <c r="Z2026" s="2">
        <v>0.17</v>
      </c>
    </row>
    <row r="2027" spans="1:26" x14ac:dyDescent="0.25">
      <c r="A2027" s="1" t="s">
        <v>8249</v>
      </c>
      <c r="B2027" s="1" t="s">
        <v>8250</v>
      </c>
      <c r="C2027" s="1" t="s">
        <v>16</v>
      </c>
      <c r="D2027" s="1" t="s">
        <v>18</v>
      </c>
      <c r="E2027" s="1" t="s">
        <v>113</v>
      </c>
      <c r="F2027" s="1" t="s">
        <v>8251</v>
      </c>
      <c r="G2027" s="1" t="s">
        <v>12480</v>
      </c>
      <c r="H2027" s="1" t="s">
        <v>8252</v>
      </c>
      <c r="I2027" s="2">
        <v>162.79</v>
      </c>
      <c r="J2027" s="2">
        <v>8.9</v>
      </c>
      <c r="K2027" s="2">
        <v>8.9</v>
      </c>
      <c r="L2027" s="2">
        <v>9.83</v>
      </c>
      <c r="M2027" s="4">
        <f t="shared" si="186"/>
        <v>18.291011235955054</v>
      </c>
      <c r="N2027" s="4">
        <f t="shared" si="187"/>
        <v>16.56052899287894</v>
      </c>
      <c r="O2027" s="5">
        <f t="shared" si="188"/>
        <v>0</v>
      </c>
      <c r="P2027" s="5">
        <f t="shared" si="189"/>
        <v>0.10449438202247197</v>
      </c>
      <c r="Q2027" s="4" t="e">
        <f t="shared" si="190"/>
        <v>#DIV/0!</v>
      </c>
      <c r="R2027" s="4">
        <f t="shared" si="191"/>
        <v>1.584824817598091</v>
      </c>
      <c r="S2027" s="4">
        <v>8.3800000000000008</v>
      </c>
      <c r="T2027" s="2">
        <v>0.49</v>
      </c>
      <c r="U2027" s="2">
        <v>168.62</v>
      </c>
      <c r="V2027" s="2">
        <v>101.96</v>
      </c>
      <c r="W2027" s="2">
        <v>-2.4500000000000002</v>
      </c>
      <c r="X2027" s="2">
        <v>3.65</v>
      </c>
      <c r="Y2027" s="2">
        <v>20.420000000000002</v>
      </c>
      <c r="Z2027" s="2">
        <v>18.079999999999998</v>
      </c>
    </row>
    <row r="2028" spans="1:26" x14ac:dyDescent="0.25">
      <c r="A2028" s="1" t="s">
        <v>8253</v>
      </c>
      <c r="B2028" s="1" t="s">
        <v>8254</v>
      </c>
      <c r="C2028" s="1" t="s">
        <v>16</v>
      </c>
      <c r="D2028" s="1" t="s">
        <v>18</v>
      </c>
      <c r="E2028" s="1" t="s">
        <v>19</v>
      </c>
      <c r="F2028" s="1" t="s">
        <v>8255</v>
      </c>
      <c r="G2028" s="1" t="s">
        <v>12480</v>
      </c>
      <c r="H2028" s="1" t="s">
        <v>8256</v>
      </c>
      <c r="I2028" s="2">
        <v>26.7</v>
      </c>
      <c r="J2028" s="2">
        <v>1.19</v>
      </c>
      <c r="K2028" s="2">
        <v>1.41</v>
      </c>
      <c r="L2028" s="2">
        <v>1.55</v>
      </c>
      <c r="M2028" s="4">
        <f t="shared" si="186"/>
        <v>18.936170212765958</v>
      </c>
      <c r="N2028" s="4">
        <f t="shared" si="187"/>
        <v>17.225806451612904</v>
      </c>
      <c r="O2028" s="5">
        <f t="shared" si="188"/>
        <v>0.18487394957983194</v>
      </c>
      <c r="P2028" s="5">
        <f t="shared" si="189"/>
        <v>9.9290780141844115E-2</v>
      </c>
      <c r="Q2028" s="4">
        <f t="shared" si="190"/>
        <v>1.0242746615087039</v>
      </c>
      <c r="R2028" s="4">
        <f t="shared" si="191"/>
        <v>1.7348847926267255</v>
      </c>
      <c r="S2028" s="4">
        <v>8.32</v>
      </c>
      <c r="T2028" s="2">
        <v>0.95</v>
      </c>
      <c r="U2028" s="2">
        <v>30.26</v>
      </c>
      <c r="V2028" s="2">
        <v>14.76</v>
      </c>
      <c r="W2028" s="2">
        <v>-9.31</v>
      </c>
      <c r="X2028" s="2">
        <v>-9.06</v>
      </c>
      <c r="Y2028" s="2">
        <v>21.03</v>
      </c>
      <c r="Z2028" s="2">
        <v>22.99</v>
      </c>
    </row>
    <row r="2029" spans="1:26" x14ac:dyDescent="0.25">
      <c r="A2029" s="1" t="s">
        <v>8257</v>
      </c>
      <c r="B2029" s="1" t="s">
        <v>8258</v>
      </c>
      <c r="C2029" s="1" t="s">
        <v>16</v>
      </c>
      <c r="D2029" s="1" t="s">
        <v>32</v>
      </c>
      <c r="E2029" s="1" t="s">
        <v>33</v>
      </c>
      <c r="F2029" s="1" t="s">
        <v>8259</v>
      </c>
      <c r="G2029" s="1" t="s">
        <v>12480</v>
      </c>
      <c r="H2029" s="1" t="s">
        <v>8260</v>
      </c>
      <c r="I2029" s="2">
        <v>108.13</v>
      </c>
      <c r="J2029" s="2">
        <v>3.35</v>
      </c>
      <c r="K2029" s="2">
        <v>4.0999999999999996</v>
      </c>
      <c r="L2029" s="2">
        <v>4.7699999999999996</v>
      </c>
      <c r="M2029" s="4">
        <f t="shared" si="186"/>
        <v>26.373170731707319</v>
      </c>
      <c r="N2029" s="4">
        <f t="shared" si="187"/>
        <v>22.668763102725368</v>
      </c>
      <c r="O2029" s="5">
        <f t="shared" si="188"/>
        <v>0.22388059701492513</v>
      </c>
      <c r="P2029" s="5">
        <f t="shared" si="189"/>
        <v>0.16341463414634139</v>
      </c>
      <c r="Q2029" s="4">
        <f t="shared" si="190"/>
        <v>1.1780016260162616</v>
      </c>
      <c r="R2029" s="4">
        <f t="shared" si="191"/>
        <v>1.3871929659876725</v>
      </c>
      <c r="S2029" s="4">
        <v>29.51</v>
      </c>
      <c r="T2029" s="2">
        <v>1.31</v>
      </c>
      <c r="U2029" s="2">
        <v>121.8</v>
      </c>
      <c r="V2029" s="2">
        <v>45.2</v>
      </c>
      <c r="W2029" s="2">
        <v>-10.09</v>
      </c>
      <c r="X2029" s="2">
        <v>-5.66</v>
      </c>
      <c r="Y2029" s="2">
        <v>5.38</v>
      </c>
      <c r="Z2029" s="2">
        <v>6.04</v>
      </c>
    </row>
    <row r="2030" spans="1:26" x14ac:dyDescent="0.25">
      <c r="A2030" s="1" t="s">
        <v>8261</v>
      </c>
      <c r="B2030" s="1" t="s">
        <v>8262</v>
      </c>
      <c r="C2030" s="1" t="s">
        <v>45</v>
      </c>
      <c r="D2030" s="1" t="s">
        <v>32</v>
      </c>
      <c r="E2030" s="1" t="s">
        <v>57</v>
      </c>
      <c r="F2030" s="1" t="s">
        <v>8263</v>
      </c>
      <c r="G2030" s="1" t="s">
        <v>12480</v>
      </c>
      <c r="H2030" s="1" t="s">
        <v>8264</v>
      </c>
      <c r="I2030" s="2">
        <v>8.3800000000000008</v>
      </c>
      <c r="J2030" s="2">
        <v>-0.2</v>
      </c>
      <c r="K2030" s="2">
        <v>-0.17</v>
      </c>
      <c r="L2030" s="2"/>
      <c r="M2030" s="4">
        <f t="shared" si="186"/>
        <v>-49.294117647058826</v>
      </c>
      <c r="N2030" s="4" t="e">
        <f t="shared" si="187"/>
        <v>#DIV/0!</v>
      </c>
      <c r="O2030" s="5">
        <f t="shared" si="188"/>
        <v>-0.15000000000000002</v>
      </c>
      <c r="P2030" s="5">
        <f t="shared" si="189"/>
        <v>-1</v>
      </c>
      <c r="Q2030" s="4">
        <f t="shared" si="190"/>
        <v>3.2862745098039214</v>
      </c>
      <c r="R2030" s="4" t="e">
        <f t="shared" si="191"/>
        <v>#DIV/0!</v>
      </c>
      <c r="S2030" s="4">
        <v>-44.88</v>
      </c>
      <c r="T2030" s="2">
        <v>3.16</v>
      </c>
      <c r="U2030" s="2">
        <v>17.100000000000001</v>
      </c>
      <c r="V2030" s="2">
        <v>1.61</v>
      </c>
      <c r="W2030" s="2">
        <v>-12.25</v>
      </c>
      <c r="X2030" s="2">
        <v>-9.11</v>
      </c>
      <c r="Y2030" s="2">
        <v>5.28</v>
      </c>
      <c r="Z2030" s="2">
        <v>17.37</v>
      </c>
    </row>
    <row r="2031" spans="1:26" x14ac:dyDescent="0.25">
      <c r="A2031" s="1" t="s">
        <v>8265</v>
      </c>
      <c r="B2031" s="1" t="s">
        <v>8266</v>
      </c>
      <c r="C2031" s="1" t="s">
        <v>31</v>
      </c>
      <c r="D2031" s="1" t="s">
        <v>88</v>
      </c>
      <c r="E2031" s="1" t="s">
        <v>1113</v>
      </c>
      <c r="F2031" s="1" t="s">
        <v>8267</v>
      </c>
      <c r="G2031" s="1" t="s">
        <v>12480</v>
      </c>
      <c r="H2031" s="1" t="s">
        <v>8268</v>
      </c>
      <c r="I2031" s="2">
        <v>55.46</v>
      </c>
      <c r="J2031" s="2">
        <v>1.69</v>
      </c>
      <c r="K2031" s="2">
        <v>2.5</v>
      </c>
      <c r="L2031" s="2">
        <v>2.71</v>
      </c>
      <c r="M2031" s="4">
        <f t="shared" si="186"/>
        <v>22.184000000000001</v>
      </c>
      <c r="N2031" s="4">
        <f t="shared" si="187"/>
        <v>20.464944649446494</v>
      </c>
      <c r="O2031" s="5">
        <f t="shared" si="188"/>
        <v>0.47928994082840237</v>
      </c>
      <c r="P2031" s="5">
        <f t="shared" si="189"/>
        <v>8.4000000000000075E-2</v>
      </c>
      <c r="Q2031" s="4">
        <f t="shared" si="190"/>
        <v>0.46285135802469141</v>
      </c>
      <c r="R2031" s="4">
        <f t="shared" si="191"/>
        <v>2.4363029344579137</v>
      </c>
      <c r="S2031" s="4">
        <v>13.36</v>
      </c>
      <c r="T2031" s="2">
        <v>1.1100000000000001</v>
      </c>
      <c r="U2031" s="2">
        <v>75.47</v>
      </c>
      <c r="V2031" s="2">
        <v>55.35</v>
      </c>
      <c r="W2031" s="2">
        <v>-4.38</v>
      </c>
      <c r="X2031" s="2">
        <v>-9.07</v>
      </c>
      <c r="Y2031" s="2">
        <v>-9.92</v>
      </c>
      <c r="Z2031" s="2">
        <v>-12.83</v>
      </c>
    </row>
    <row r="2032" spans="1:26" x14ac:dyDescent="0.25">
      <c r="A2032" s="1" t="s">
        <v>8269</v>
      </c>
      <c r="B2032" s="1" t="s">
        <v>8270</v>
      </c>
      <c r="C2032" s="1" t="s">
        <v>45</v>
      </c>
      <c r="D2032" s="1" t="s">
        <v>38</v>
      </c>
      <c r="E2032" s="1" t="s">
        <v>1449</v>
      </c>
      <c r="F2032" s="1" t="s">
        <v>8271</v>
      </c>
      <c r="G2032" s="1" t="s">
        <v>12480</v>
      </c>
      <c r="H2032" s="1" t="s">
        <v>8272</v>
      </c>
      <c r="I2032" s="2">
        <v>12.31</v>
      </c>
      <c r="J2032" s="2">
        <v>1.26</v>
      </c>
      <c r="K2032" s="2">
        <v>1.31</v>
      </c>
      <c r="L2032" s="2">
        <v>1.41</v>
      </c>
      <c r="M2032" s="4">
        <f t="shared" si="186"/>
        <v>9.3969465648854964</v>
      </c>
      <c r="N2032" s="4">
        <f t="shared" si="187"/>
        <v>8.7304964539007095</v>
      </c>
      <c r="O2032" s="5">
        <f t="shared" si="188"/>
        <v>3.9682539682539764E-2</v>
      </c>
      <c r="P2032" s="5">
        <f t="shared" si="189"/>
        <v>7.6335877862595325E-2</v>
      </c>
      <c r="Q2032" s="4">
        <f t="shared" si="190"/>
        <v>2.3680305343511403</v>
      </c>
      <c r="R2032" s="4">
        <f t="shared" si="191"/>
        <v>1.1436950354609943</v>
      </c>
      <c r="S2032" s="4">
        <v>16.23</v>
      </c>
      <c r="T2032" s="2">
        <v>0.68</v>
      </c>
      <c r="U2032" s="2">
        <v>13.53</v>
      </c>
      <c r="V2032" s="2">
        <v>10.9</v>
      </c>
      <c r="W2032" s="2">
        <v>-2.5299999999999998</v>
      </c>
      <c r="X2032" s="2">
        <v>-7.51</v>
      </c>
      <c r="Y2032" s="2">
        <v>-3.68</v>
      </c>
      <c r="Z2032" s="2">
        <v>2.58</v>
      </c>
    </row>
    <row r="2033" spans="1:26" x14ac:dyDescent="0.25">
      <c r="A2033" s="1" t="s">
        <v>8273</v>
      </c>
      <c r="B2033" s="1" t="s">
        <v>8274</v>
      </c>
      <c r="C2033" s="1" t="s">
        <v>45</v>
      </c>
      <c r="D2033" s="1" t="s">
        <v>354</v>
      </c>
      <c r="E2033" s="1" t="s">
        <v>355</v>
      </c>
      <c r="F2033" s="1" t="s">
        <v>8275</v>
      </c>
      <c r="G2033" s="1" t="s">
        <v>12480</v>
      </c>
      <c r="H2033" s="1" t="s">
        <v>8276</v>
      </c>
      <c r="I2033" s="2">
        <v>69.3</v>
      </c>
      <c r="J2033" s="2">
        <v>3.58</v>
      </c>
      <c r="K2033" s="2">
        <v>3.79</v>
      </c>
      <c r="L2033" s="2">
        <v>3.99</v>
      </c>
      <c r="M2033" s="4">
        <f t="shared" si="186"/>
        <v>18.284960422163586</v>
      </c>
      <c r="N2033" s="4">
        <f t="shared" si="187"/>
        <v>17.368421052631579</v>
      </c>
      <c r="O2033" s="5">
        <f t="shared" si="188"/>
        <v>5.8659217877095049E-2</v>
      </c>
      <c r="P2033" s="5">
        <f t="shared" si="189"/>
        <v>5.2770448548812743E-2</v>
      </c>
      <c r="Q2033" s="4">
        <f t="shared" si="190"/>
        <v>3.1171503957783595</v>
      </c>
      <c r="R2033" s="4">
        <f t="shared" si="191"/>
        <v>3.2913157894736793</v>
      </c>
      <c r="S2033" s="4">
        <v>6.39</v>
      </c>
      <c r="T2033" s="2">
        <v>0.33</v>
      </c>
      <c r="U2033" s="2">
        <v>71.67</v>
      </c>
      <c r="V2033" s="2">
        <v>50.8</v>
      </c>
      <c r="W2033" s="2">
        <v>-0.93</v>
      </c>
      <c r="X2033" s="2">
        <v>2.91</v>
      </c>
      <c r="Y2033" s="2">
        <v>4.04</v>
      </c>
      <c r="Z2033" s="2">
        <v>7.38</v>
      </c>
    </row>
    <row r="2034" spans="1:26" x14ac:dyDescent="0.25">
      <c r="A2034" s="1" t="s">
        <v>8277</v>
      </c>
      <c r="B2034" s="1" t="s">
        <v>8278</v>
      </c>
      <c r="C2034" s="1" t="s">
        <v>16</v>
      </c>
      <c r="D2034" s="1" t="s">
        <v>38</v>
      </c>
      <c r="E2034" s="1" t="s">
        <v>189</v>
      </c>
      <c r="F2034" s="1" t="s">
        <v>8279</v>
      </c>
      <c r="G2034" s="1" t="s">
        <v>12480</v>
      </c>
      <c r="H2034" s="1" t="s">
        <v>8280</v>
      </c>
      <c r="I2034" s="2">
        <v>15.77</v>
      </c>
      <c r="J2034" s="2">
        <v>1.79</v>
      </c>
      <c r="K2034" s="2">
        <v>1.95</v>
      </c>
      <c r="L2034" s="2">
        <v>2.17</v>
      </c>
      <c r="M2034" s="4">
        <f t="shared" si="186"/>
        <v>8.0871794871794869</v>
      </c>
      <c r="N2034" s="4">
        <f t="shared" si="187"/>
        <v>7.2672811059907838</v>
      </c>
      <c r="O2034" s="5">
        <f t="shared" si="188"/>
        <v>8.9385474860335101E-2</v>
      </c>
      <c r="P2034" s="5">
        <f t="shared" si="189"/>
        <v>0.11282051282051286</v>
      </c>
      <c r="Q2034" s="4">
        <f t="shared" si="190"/>
        <v>0.90475320512820601</v>
      </c>
      <c r="R2034" s="4">
        <f t="shared" si="191"/>
        <v>0.64414537075827383</v>
      </c>
      <c r="S2034" s="4">
        <v>6.4</v>
      </c>
      <c r="T2034" s="2">
        <v>0.95</v>
      </c>
      <c r="U2034" s="2">
        <v>19.07</v>
      </c>
      <c r="V2034" s="2">
        <v>10.57</v>
      </c>
      <c r="W2034" s="2">
        <v>-3.01</v>
      </c>
      <c r="X2034" s="2">
        <v>-7.29</v>
      </c>
      <c r="Y2034" s="2">
        <v>-6.74</v>
      </c>
      <c r="Z2034" s="2">
        <v>-9.89</v>
      </c>
    </row>
    <row r="2035" spans="1:26" x14ac:dyDescent="0.25">
      <c r="A2035" s="1" t="s">
        <v>8281</v>
      </c>
      <c r="B2035" s="1" t="s">
        <v>8282</v>
      </c>
      <c r="C2035" s="1" t="s">
        <v>45</v>
      </c>
      <c r="D2035" s="1" t="s">
        <v>128</v>
      </c>
      <c r="E2035" s="1" t="s">
        <v>210</v>
      </c>
      <c r="F2035" s="1" t="s">
        <v>8283</v>
      </c>
      <c r="G2035" s="1" t="s">
        <v>12480</v>
      </c>
      <c r="H2035" s="1" t="s">
        <v>8284</v>
      </c>
      <c r="I2035" s="2">
        <v>4.2699999999999996</v>
      </c>
      <c r="J2035" s="2">
        <v>0.56999999999999995</v>
      </c>
      <c r="K2035" s="2">
        <v>0.56000000000000005</v>
      </c>
      <c r="L2035" s="2">
        <v>0.63</v>
      </c>
      <c r="M2035" s="4">
        <f t="shared" si="186"/>
        <v>7.6249999999999982</v>
      </c>
      <c r="N2035" s="4">
        <f t="shared" si="187"/>
        <v>6.7777777777777768</v>
      </c>
      <c r="O2035" s="5">
        <f t="shared" si="188"/>
        <v>-1.754385964912264E-2</v>
      </c>
      <c r="P2035" s="5">
        <f t="shared" si="189"/>
        <v>0.125</v>
      </c>
      <c r="Q2035" s="4">
        <f t="shared" si="190"/>
        <v>-4.3462500000000404</v>
      </c>
      <c r="R2035" s="4">
        <f t="shared" si="191"/>
        <v>0.54222222222222216</v>
      </c>
      <c r="S2035" s="4">
        <v>-4.99</v>
      </c>
      <c r="T2035" s="2">
        <v>0.91</v>
      </c>
      <c r="U2035" s="2">
        <v>6.75</v>
      </c>
      <c r="V2035" s="2">
        <v>3.11</v>
      </c>
      <c r="W2035" s="2">
        <v>-3.83</v>
      </c>
      <c r="X2035" s="2">
        <v>-5.95</v>
      </c>
      <c r="Y2035" s="2">
        <v>13.26</v>
      </c>
      <c r="Z2035" s="2">
        <v>14.78</v>
      </c>
    </row>
    <row r="2036" spans="1:26" x14ac:dyDescent="0.25">
      <c r="A2036" s="1" t="s">
        <v>8285</v>
      </c>
      <c r="B2036" s="1" t="s">
        <v>8286</v>
      </c>
      <c r="C2036" s="1" t="s">
        <v>16</v>
      </c>
      <c r="D2036" s="1" t="s">
        <v>354</v>
      </c>
      <c r="E2036" s="1" t="s">
        <v>1213</v>
      </c>
      <c r="F2036" s="1" t="s">
        <v>8287</v>
      </c>
      <c r="G2036" s="1" t="s">
        <v>12480</v>
      </c>
      <c r="H2036" s="1" t="s">
        <v>5112</v>
      </c>
      <c r="I2036" s="2">
        <v>52.29</v>
      </c>
      <c r="J2036" s="2">
        <v>2.93</v>
      </c>
      <c r="K2036" s="2">
        <v>3.05</v>
      </c>
      <c r="L2036" s="2">
        <v>3.21</v>
      </c>
      <c r="M2036" s="4">
        <f t="shared" si="186"/>
        <v>17.144262295081969</v>
      </c>
      <c r="N2036" s="4">
        <f t="shared" si="187"/>
        <v>16.289719626168225</v>
      </c>
      <c r="O2036" s="5">
        <f t="shared" si="188"/>
        <v>4.0955631399317349E-2</v>
      </c>
      <c r="P2036" s="5">
        <f t="shared" si="189"/>
        <v>5.2459016393442637E-2</v>
      </c>
      <c r="Q2036" s="4">
        <f t="shared" si="190"/>
        <v>4.1860573770491865</v>
      </c>
      <c r="R2036" s="4">
        <f t="shared" si="191"/>
        <v>3.105227803738317</v>
      </c>
      <c r="S2036" s="4">
        <v>11.83</v>
      </c>
      <c r="T2036" s="2">
        <v>0.55000000000000004</v>
      </c>
      <c r="U2036" s="2">
        <v>53.04</v>
      </c>
      <c r="V2036" s="2">
        <v>39.479999999999997</v>
      </c>
      <c r="W2036" s="2">
        <v>-0.56999999999999995</v>
      </c>
      <c r="X2036" s="2">
        <v>9.7100000000000009</v>
      </c>
      <c r="Y2036" s="2">
        <v>11.54</v>
      </c>
      <c r="Z2036" s="2">
        <v>11.87</v>
      </c>
    </row>
    <row r="2037" spans="1:26" x14ac:dyDescent="0.25">
      <c r="A2037" s="1" t="s">
        <v>8288</v>
      </c>
      <c r="B2037" s="1" t="s">
        <v>8289</v>
      </c>
      <c r="C2037" s="1" t="s">
        <v>45</v>
      </c>
      <c r="D2037" s="1" t="s">
        <v>147</v>
      </c>
      <c r="E2037" s="1" t="s">
        <v>2822</v>
      </c>
      <c r="F2037" s="1" t="s">
        <v>8290</v>
      </c>
      <c r="G2037" s="1" t="s">
        <v>12502</v>
      </c>
      <c r="H2037" s="1" t="s">
        <v>8291</v>
      </c>
      <c r="I2037" s="2">
        <v>27.71</v>
      </c>
      <c r="J2037" s="2">
        <v>0.89</v>
      </c>
      <c r="K2037" s="2">
        <v>0.96</v>
      </c>
      <c r="L2037" s="2">
        <v>1.02</v>
      </c>
      <c r="M2037" s="4">
        <f t="shared" si="186"/>
        <v>28.864583333333336</v>
      </c>
      <c r="N2037" s="4">
        <f t="shared" si="187"/>
        <v>27.166666666666668</v>
      </c>
      <c r="O2037" s="5">
        <f t="shared" si="188"/>
        <v>7.8651685393258397E-2</v>
      </c>
      <c r="P2037" s="5">
        <f t="shared" si="189"/>
        <v>6.25E-2</v>
      </c>
      <c r="Q2037" s="4">
        <f t="shared" si="190"/>
        <v>3.6699255952380971</v>
      </c>
      <c r="R2037" s="4">
        <f t="shared" si="191"/>
        <v>4.3466666666666667</v>
      </c>
      <c r="S2037" s="4">
        <v>-16.190000000000001</v>
      </c>
      <c r="T2037" s="2">
        <v>0.96</v>
      </c>
      <c r="U2037" s="2">
        <v>35.17</v>
      </c>
      <c r="V2037" s="2">
        <v>25.65</v>
      </c>
      <c r="W2037" s="2">
        <v>4.92</v>
      </c>
      <c r="X2037" s="2">
        <v>5.48</v>
      </c>
      <c r="Y2037" s="2">
        <v>-5.33</v>
      </c>
      <c r="Z2037" s="2">
        <v>-6.48</v>
      </c>
    </row>
    <row r="2038" spans="1:26" x14ac:dyDescent="0.25">
      <c r="A2038" s="1" t="s">
        <v>8288</v>
      </c>
      <c r="B2038" s="1" t="s">
        <v>8292</v>
      </c>
      <c r="C2038" s="1" t="s">
        <v>45</v>
      </c>
      <c r="D2038" s="1" t="s">
        <v>147</v>
      </c>
      <c r="E2038" s="1" t="s">
        <v>2822</v>
      </c>
      <c r="F2038" s="1" t="s">
        <v>8293</v>
      </c>
      <c r="G2038" s="1" t="s">
        <v>12502</v>
      </c>
      <c r="H2038" s="1" t="s">
        <v>8291</v>
      </c>
      <c r="I2038" s="2">
        <v>24.54</v>
      </c>
      <c r="J2038" s="2">
        <v>0.89</v>
      </c>
      <c r="K2038" s="2">
        <v>0.99</v>
      </c>
      <c r="L2038" s="2">
        <v>1.1399999999999999</v>
      </c>
      <c r="M2038" s="4">
        <f t="shared" si="186"/>
        <v>24.787878787878789</v>
      </c>
      <c r="N2038" s="4">
        <f t="shared" si="187"/>
        <v>21.526315789473685</v>
      </c>
      <c r="O2038" s="5">
        <f t="shared" si="188"/>
        <v>0.11235955056179781</v>
      </c>
      <c r="P2038" s="5">
        <f t="shared" si="189"/>
        <v>0.15151515151515138</v>
      </c>
      <c r="Q2038" s="4">
        <f t="shared" si="190"/>
        <v>2.2061212121212113</v>
      </c>
      <c r="R2038" s="4">
        <f t="shared" si="191"/>
        <v>1.4207368421052644</v>
      </c>
      <c r="S2038" s="4">
        <v>-16.190000000000001</v>
      </c>
      <c r="T2038" s="2">
        <v>0.98</v>
      </c>
      <c r="U2038" s="2">
        <v>31.03</v>
      </c>
      <c r="V2038" s="2">
        <v>22.4</v>
      </c>
      <c r="W2038" s="2">
        <v>2.38</v>
      </c>
      <c r="X2038" s="2">
        <v>7.92</v>
      </c>
      <c r="Y2038" s="2">
        <v>-5.8</v>
      </c>
      <c r="Z2038" s="2">
        <v>-6.05</v>
      </c>
    </row>
    <row r="2039" spans="1:26" x14ac:dyDescent="0.25">
      <c r="A2039" s="1" t="s">
        <v>8294</v>
      </c>
      <c r="B2039" s="1" t="s">
        <v>8295</v>
      </c>
      <c r="C2039" s="1" t="s">
        <v>16</v>
      </c>
      <c r="D2039" s="1" t="s">
        <v>88</v>
      </c>
      <c r="E2039" s="1" t="s">
        <v>658</v>
      </c>
      <c r="F2039" s="1" t="s">
        <v>8296</v>
      </c>
      <c r="G2039" s="1" t="s">
        <v>12480</v>
      </c>
      <c r="H2039" s="1" t="s">
        <v>8297</v>
      </c>
      <c r="I2039" s="2">
        <v>12.66</v>
      </c>
      <c r="J2039" s="2">
        <v>-0.24</v>
      </c>
      <c r="K2039" s="2">
        <v>-0.14000000000000001</v>
      </c>
      <c r="L2039" s="2">
        <v>-0.22</v>
      </c>
      <c r="M2039" s="4">
        <f t="shared" si="186"/>
        <v>-90.428571428571416</v>
      </c>
      <c r="N2039" s="4">
        <f t="shared" si="187"/>
        <v>-57.545454545454547</v>
      </c>
      <c r="O2039" s="5">
        <f t="shared" si="188"/>
        <v>-0.41666666666666663</v>
      </c>
      <c r="P2039" s="5">
        <f t="shared" si="189"/>
        <v>0.5714285714285714</v>
      </c>
      <c r="Q2039" s="4">
        <f t="shared" si="190"/>
        <v>2.1702857142857139</v>
      </c>
      <c r="R2039" s="4">
        <f t="shared" si="191"/>
        <v>-1.0070454545454546</v>
      </c>
      <c r="S2039" s="4"/>
      <c r="T2039" s="2">
        <v>1.41</v>
      </c>
      <c r="U2039" s="2">
        <v>13.92</v>
      </c>
      <c r="V2039" s="2">
        <v>4.0599999999999996</v>
      </c>
      <c r="W2039" s="2">
        <v>-4.8099999999999996</v>
      </c>
      <c r="X2039" s="2">
        <v>8.39</v>
      </c>
      <c r="Y2039" s="2">
        <v>47.21</v>
      </c>
      <c r="Z2039" s="2">
        <v>37.61</v>
      </c>
    </row>
    <row r="2040" spans="1:26" x14ac:dyDescent="0.25">
      <c r="A2040" s="1" t="s">
        <v>8298</v>
      </c>
      <c r="B2040" s="1" t="s">
        <v>8299</v>
      </c>
      <c r="C2040" s="1" t="s">
        <v>31</v>
      </c>
      <c r="D2040" s="1" t="s">
        <v>67</v>
      </c>
      <c r="E2040" s="1" t="s">
        <v>381</v>
      </c>
      <c r="F2040" s="1" t="s">
        <v>8300</v>
      </c>
      <c r="G2040" s="1" t="s">
        <v>12493</v>
      </c>
      <c r="H2040" s="1" t="s">
        <v>824</v>
      </c>
      <c r="I2040" s="2">
        <v>86.786000000000001</v>
      </c>
      <c r="J2040" s="2">
        <v>3.87</v>
      </c>
      <c r="K2040" s="2">
        <v>5.41</v>
      </c>
      <c r="L2040" s="2">
        <v>5.74</v>
      </c>
      <c r="M2040" s="4">
        <f t="shared" si="186"/>
        <v>16.041774491682069</v>
      </c>
      <c r="N2040" s="4">
        <f t="shared" si="187"/>
        <v>15.119512195121951</v>
      </c>
      <c r="O2040" s="5">
        <f t="shared" si="188"/>
        <v>0.39793281653746759</v>
      </c>
      <c r="P2040" s="5">
        <f t="shared" si="189"/>
        <v>6.0998151571164616E-2</v>
      </c>
      <c r="Q2040" s="4">
        <f t="shared" si="190"/>
        <v>0.40312770962863392</v>
      </c>
      <c r="R2040" s="4">
        <f t="shared" si="191"/>
        <v>2.478683665927564</v>
      </c>
      <c r="S2040" s="4">
        <v>14.5</v>
      </c>
      <c r="T2040" s="2">
        <v>1.03</v>
      </c>
      <c r="U2040" s="2">
        <v>101.25</v>
      </c>
      <c r="V2040" s="2">
        <v>62.82</v>
      </c>
      <c r="W2040" s="2">
        <v>-2.85</v>
      </c>
      <c r="X2040" s="2">
        <v>-2.74</v>
      </c>
      <c r="Y2040" s="2">
        <v>-6.63</v>
      </c>
      <c r="Z2040" s="2">
        <v>-4.8600000000000003</v>
      </c>
    </row>
    <row r="2041" spans="1:26" x14ac:dyDescent="0.25">
      <c r="A2041" s="1" t="s">
        <v>8301</v>
      </c>
      <c r="B2041" s="1" t="s">
        <v>8302</v>
      </c>
      <c r="C2041" s="1" t="s">
        <v>45</v>
      </c>
      <c r="D2041" s="1" t="s">
        <v>32</v>
      </c>
      <c r="E2041" s="1" t="s">
        <v>290</v>
      </c>
      <c r="F2041" s="1" t="s">
        <v>8303</v>
      </c>
      <c r="G2041" s="1" t="s">
        <v>12480</v>
      </c>
      <c r="H2041" s="1" t="s">
        <v>8304</v>
      </c>
      <c r="I2041" s="2">
        <v>205.25</v>
      </c>
      <c r="J2041" s="2">
        <v>11.81</v>
      </c>
      <c r="K2041" s="2">
        <v>13.93</v>
      </c>
      <c r="L2041" s="2">
        <v>16.579999999999998</v>
      </c>
      <c r="M2041" s="4">
        <f t="shared" si="186"/>
        <v>14.734386216798278</v>
      </c>
      <c r="N2041" s="4">
        <f t="shared" si="187"/>
        <v>12.379372738238843</v>
      </c>
      <c r="O2041" s="5">
        <f t="shared" si="188"/>
        <v>0.17950889077053334</v>
      </c>
      <c r="P2041" s="5">
        <f t="shared" si="189"/>
        <v>0.19023689877961214</v>
      </c>
      <c r="Q2041" s="4">
        <f t="shared" si="190"/>
        <v>0.82081651519050836</v>
      </c>
      <c r="R2041" s="4">
        <f t="shared" si="191"/>
        <v>0.65073457450440475</v>
      </c>
      <c r="S2041" s="4">
        <v>-2.74</v>
      </c>
      <c r="T2041" s="2">
        <v>1.45</v>
      </c>
      <c r="U2041" s="2">
        <v>249.75</v>
      </c>
      <c r="V2041" s="2">
        <v>153.5</v>
      </c>
      <c r="W2041" s="2">
        <v>-8.68</v>
      </c>
      <c r="X2041" s="2">
        <v>-10.34</v>
      </c>
      <c r="Y2041" s="2">
        <v>-11.47</v>
      </c>
      <c r="Z2041" s="2">
        <v>-5.44</v>
      </c>
    </row>
    <row r="2042" spans="1:26" x14ac:dyDescent="0.25">
      <c r="A2042" s="1" t="s">
        <v>8305</v>
      </c>
      <c r="B2042" s="1" t="s">
        <v>8306</v>
      </c>
      <c r="C2042" s="1" t="s">
        <v>45</v>
      </c>
      <c r="D2042" s="1" t="s">
        <v>147</v>
      </c>
      <c r="E2042" s="1" t="s">
        <v>1460</v>
      </c>
      <c r="F2042" s="1" t="s">
        <v>8307</v>
      </c>
      <c r="G2042" s="1" t="s">
        <v>12480</v>
      </c>
      <c r="H2042" s="1" t="s">
        <v>8308</v>
      </c>
      <c r="I2042" s="2">
        <v>246.7</v>
      </c>
      <c r="J2042" s="2">
        <v>12.8</v>
      </c>
      <c r="K2042" s="2">
        <v>25.31</v>
      </c>
      <c r="L2042" s="2">
        <v>17.940000000000001</v>
      </c>
      <c r="M2042" s="4">
        <f t="shared" si="186"/>
        <v>9.7471355195574869</v>
      </c>
      <c r="N2042" s="4">
        <f t="shared" si="187"/>
        <v>13.751393534002228</v>
      </c>
      <c r="O2042" s="5">
        <f t="shared" si="188"/>
        <v>0.97734374999999973</v>
      </c>
      <c r="P2042" s="5">
        <f t="shared" si="189"/>
        <v>-0.29118925325958112</v>
      </c>
      <c r="Q2042" s="4">
        <f t="shared" si="190"/>
        <v>9.9730883013857616E-2</v>
      </c>
      <c r="R2042" s="4">
        <f t="shared" si="191"/>
        <v>-0.47224934917991379</v>
      </c>
      <c r="S2042" s="4">
        <v>-8.4700000000000006</v>
      </c>
      <c r="T2042" s="2">
        <v>0.79</v>
      </c>
      <c r="U2042" s="2">
        <v>253.64</v>
      </c>
      <c r="V2042" s="2">
        <v>144.68</v>
      </c>
      <c r="W2042" s="2">
        <v>-0.22</v>
      </c>
      <c r="X2042" s="2">
        <v>2.77</v>
      </c>
      <c r="Y2042" s="2">
        <v>20.9</v>
      </c>
      <c r="Z2042" s="2">
        <v>21.5</v>
      </c>
    </row>
    <row r="2043" spans="1:26" x14ac:dyDescent="0.25">
      <c r="A2043" s="1" t="s">
        <v>8309</v>
      </c>
      <c r="B2043" s="1" t="s">
        <v>8310</v>
      </c>
      <c r="C2043" s="1" t="s">
        <v>45</v>
      </c>
      <c r="D2043" s="1" t="s">
        <v>94</v>
      </c>
      <c r="E2043" s="1" t="s">
        <v>1055</v>
      </c>
      <c r="F2043" s="1" t="s">
        <v>8311</v>
      </c>
      <c r="G2043" s="1" t="s">
        <v>12490</v>
      </c>
      <c r="H2043" s="1" t="s">
        <v>8312</v>
      </c>
      <c r="I2043" s="2">
        <v>108.13</v>
      </c>
      <c r="J2043" s="2">
        <v>4.22</v>
      </c>
      <c r="K2043" s="2">
        <v>4.33</v>
      </c>
      <c r="L2043" s="2">
        <v>4.6399999999999997</v>
      </c>
      <c r="M2043" s="4">
        <f t="shared" si="186"/>
        <v>24.972286374133947</v>
      </c>
      <c r="N2043" s="4">
        <f t="shared" si="187"/>
        <v>23.303879310344829</v>
      </c>
      <c r="O2043" s="5">
        <f t="shared" si="188"/>
        <v>2.6066350710900466E-2</v>
      </c>
      <c r="P2043" s="5">
        <f t="shared" si="189"/>
        <v>7.1593533487297911E-2</v>
      </c>
      <c r="Q2043" s="4">
        <f t="shared" si="190"/>
        <v>9.5802771362586636</v>
      </c>
      <c r="R2043" s="4">
        <f t="shared" si="191"/>
        <v>3.2550257230255846</v>
      </c>
      <c r="S2043" s="4">
        <v>18.38</v>
      </c>
      <c r="T2043" s="2">
        <v>2.41</v>
      </c>
      <c r="U2043" s="2">
        <v>124.49</v>
      </c>
      <c r="V2043" s="2" t="s">
        <v>12757</v>
      </c>
      <c r="W2043" s="2">
        <v>4.25</v>
      </c>
      <c r="X2043" s="2">
        <v>-11.27</v>
      </c>
      <c r="Y2043" s="2">
        <v>24.06</v>
      </c>
      <c r="Z2043" s="2">
        <v>24.13</v>
      </c>
    </row>
    <row r="2044" spans="1:26" x14ac:dyDescent="0.25">
      <c r="A2044" s="1" t="s">
        <v>8313</v>
      </c>
      <c r="B2044" s="1" t="s">
        <v>8314</v>
      </c>
      <c r="C2044" s="1" t="s">
        <v>45</v>
      </c>
      <c r="D2044" s="1" t="s">
        <v>140</v>
      </c>
      <c r="E2044" s="1" t="s">
        <v>1555</v>
      </c>
      <c r="F2044" s="1" t="s">
        <v>8315</v>
      </c>
      <c r="G2044" s="1" t="s">
        <v>12480</v>
      </c>
      <c r="H2044" s="1" t="s">
        <v>2422</v>
      </c>
      <c r="I2044" s="2">
        <v>56.03</v>
      </c>
      <c r="J2044" s="2">
        <v>0.63</v>
      </c>
      <c r="K2044" s="2">
        <v>0.92</v>
      </c>
      <c r="L2044" s="2">
        <v>1.28</v>
      </c>
      <c r="M2044" s="4">
        <f t="shared" si="186"/>
        <v>60.902173913043477</v>
      </c>
      <c r="N2044" s="4">
        <f t="shared" si="187"/>
        <v>43.7734375</v>
      </c>
      <c r="O2044" s="5">
        <f t="shared" si="188"/>
        <v>0.46031746031746046</v>
      </c>
      <c r="P2044" s="5">
        <f t="shared" si="189"/>
        <v>0.39130434782608692</v>
      </c>
      <c r="Q2044" s="4">
        <f t="shared" si="190"/>
        <v>1.3230472263868061</v>
      </c>
      <c r="R2044" s="4">
        <f t="shared" si="191"/>
        <v>1.118654513888889</v>
      </c>
      <c r="S2044" s="4">
        <v>27.52</v>
      </c>
      <c r="T2044" s="2">
        <v>0.19</v>
      </c>
      <c r="U2044" s="2">
        <v>60.76</v>
      </c>
      <c r="V2044" s="2">
        <v>32.86</v>
      </c>
      <c r="W2044" s="2">
        <v>2.69</v>
      </c>
      <c r="X2044" s="2">
        <v>-1.1499999999999999</v>
      </c>
      <c r="Y2044" s="2">
        <v>24.32</v>
      </c>
      <c r="Z2044" s="2">
        <v>10.73</v>
      </c>
    </row>
    <row r="2045" spans="1:26" x14ac:dyDescent="0.25">
      <c r="A2045" s="1" t="s">
        <v>8316</v>
      </c>
      <c r="B2045" s="1" t="s">
        <v>8317</v>
      </c>
      <c r="C2045" s="1" t="s">
        <v>16</v>
      </c>
      <c r="D2045" s="1" t="s">
        <v>128</v>
      </c>
      <c r="E2045" s="1" t="s">
        <v>8319</v>
      </c>
      <c r="F2045" s="1" t="s">
        <v>8318</v>
      </c>
      <c r="G2045" s="1" t="s">
        <v>12480</v>
      </c>
      <c r="H2045" s="1" t="s">
        <v>8320</v>
      </c>
      <c r="I2045" s="2">
        <v>80.81</v>
      </c>
      <c r="J2045" s="2">
        <v>2.46</v>
      </c>
      <c r="K2045" s="2">
        <v>2.73</v>
      </c>
      <c r="L2045" s="2">
        <v>3.07</v>
      </c>
      <c r="M2045" s="4">
        <f t="shared" si="186"/>
        <v>29.600732600732602</v>
      </c>
      <c r="N2045" s="4">
        <f t="shared" si="187"/>
        <v>26.322475570032577</v>
      </c>
      <c r="O2045" s="5">
        <f t="shared" si="188"/>
        <v>0.10975609756097571</v>
      </c>
      <c r="P2045" s="5">
        <f t="shared" si="189"/>
        <v>0.12454212454212454</v>
      </c>
      <c r="Q2045" s="4">
        <f t="shared" si="190"/>
        <v>2.6969556369556349</v>
      </c>
      <c r="R2045" s="4">
        <f t="shared" si="191"/>
        <v>2.1135399501820276</v>
      </c>
      <c r="S2045" s="4">
        <v>9.24</v>
      </c>
      <c r="T2045" s="2">
        <v>1.0900000000000001</v>
      </c>
      <c r="U2045" s="2">
        <v>81.95</v>
      </c>
      <c r="V2045" s="2">
        <v>45.37</v>
      </c>
      <c r="W2045" s="2">
        <v>0.48</v>
      </c>
      <c r="X2045" s="2">
        <v>17.7</v>
      </c>
      <c r="Y2045" s="2">
        <v>19.670000000000002</v>
      </c>
      <c r="Z2045" s="2">
        <v>16.41</v>
      </c>
    </row>
    <row r="2046" spans="1:26" x14ac:dyDescent="0.25">
      <c r="A2046" s="1" t="s">
        <v>8321</v>
      </c>
      <c r="B2046" s="1" t="s">
        <v>8322</v>
      </c>
      <c r="C2046" s="1" t="s">
        <v>16</v>
      </c>
      <c r="D2046" s="1" t="s">
        <v>38</v>
      </c>
      <c r="E2046" s="1" t="s">
        <v>83</v>
      </c>
      <c r="F2046" s="1" t="s">
        <v>8323</v>
      </c>
      <c r="G2046" s="1" t="s">
        <v>12480</v>
      </c>
      <c r="H2046" s="1" t="s">
        <v>8324</v>
      </c>
      <c r="I2046" s="2">
        <v>64.94</v>
      </c>
      <c r="J2046" s="2">
        <v>4.28</v>
      </c>
      <c r="K2046" s="2">
        <v>4.42</v>
      </c>
      <c r="L2046" s="2">
        <v>4.55</v>
      </c>
      <c r="M2046" s="4">
        <f t="shared" si="186"/>
        <v>14.692307692307692</v>
      </c>
      <c r="N2046" s="4">
        <f t="shared" si="187"/>
        <v>14.272527472527473</v>
      </c>
      <c r="O2046" s="5">
        <f t="shared" si="188"/>
        <v>3.2710280373831724E-2</v>
      </c>
      <c r="P2046" s="5">
        <f t="shared" si="189"/>
        <v>2.9411764705882248E-2</v>
      </c>
      <c r="Q2046" s="4">
        <f t="shared" si="190"/>
        <v>4.491648351648359</v>
      </c>
      <c r="R2046" s="4">
        <f t="shared" si="191"/>
        <v>4.8526593406593586</v>
      </c>
      <c r="S2046" s="4">
        <v>9.07</v>
      </c>
      <c r="T2046" s="2">
        <v>0.77</v>
      </c>
      <c r="U2046" s="2">
        <v>67.56</v>
      </c>
      <c r="V2046" s="2">
        <v>52.27</v>
      </c>
      <c r="W2046" s="2">
        <v>-3.88</v>
      </c>
      <c r="X2046" s="2">
        <v>2.93</v>
      </c>
      <c r="Y2046" s="2">
        <v>11.81</v>
      </c>
      <c r="Z2046" s="2">
        <v>15.2</v>
      </c>
    </row>
    <row r="2047" spans="1:26" x14ac:dyDescent="0.25">
      <c r="A2047" s="1" t="s">
        <v>8325</v>
      </c>
      <c r="B2047" s="1" t="s">
        <v>8326</v>
      </c>
      <c r="C2047" s="1" t="s">
        <v>16</v>
      </c>
      <c r="D2047" s="1" t="s">
        <v>38</v>
      </c>
      <c r="E2047" s="1" t="s">
        <v>52</v>
      </c>
      <c r="F2047" s="1" t="s">
        <v>8327</v>
      </c>
      <c r="G2047" s="1" t="s">
        <v>12480</v>
      </c>
      <c r="H2047" s="1" t="s">
        <v>8328</v>
      </c>
      <c r="I2047" s="2">
        <v>11.41</v>
      </c>
      <c r="J2047" s="2">
        <v>1.58</v>
      </c>
      <c r="K2047" s="2">
        <v>1.36</v>
      </c>
      <c r="L2047" s="2">
        <v>1.33</v>
      </c>
      <c r="M2047" s="4">
        <f t="shared" si="186"/>
        <v>8.3897058823529402</v>
      </c>
      <c r="N2047" s="4">
        <f t="shared" si="187"/>
        <v>8.5789473684210531</v>
      </c>
      <c r="O2047" s="5">
        <f t="shared" si="188"/>
        <v>-0.13924050632911389</v>
      </c>
      <c r="P2047" s="5">
        <f t="shared" si="189"/>
        <v>-2.2058823529411797E-2</v>
      </c>
      <c r="Q2047" s="4">
        <f t="shared" si="190"/>
        <v>-0.60253342245989316</v>
      </c>
      <c r="R2047" s="4">
        <f t="shared" si="191"/>
        <v>-3.8891228070175381</v>
      </c>
      <c r="S2047" s="4">
        <v>15.94</v>
      </c>
      <c r="T2047" s="2">
        <v>0.67</v>
      </c>
      <c r="U2047" s="2">
        <v>15.31</v>
      </c>
      <c r="V2047" s="2">
        <v>10.91</v>
      </c>
      <c r="W2047" s="2">
        <v>-1.04</v>
      </c>
      <c r="X2047" s="2">
        <v>-2.81</v>
      </c>
      <c r="Y2047" s="2">
        <v>-12.3</v>
      </c>
      <c r="Z2047" s="2">
        <v>-8.2100000000000009</v>
      </c>
    </row>
    <row r="2048" spans="1:26" x14ac:dyDescent="0.25">
      <c r="A2048" s="1" t="s">
        <v>8329</v>
      </c>
      <c r="B2048" s="1" t="s">
        <v>8330</v>
      </c>
      <c r="C2048" s="1" t="s">
        <v>31</v>
      </c>
      <c r="D2048" s="1" t="s">
        <v>32</v>
      </c>
      <c r="E2048" s="1" t="s">
        <v>2203</v>
      </c>
      <c r="F2048" s="1" t="s">
        <v>8331</v>
      </c>
      <c r="G2048" s="1" t="s">
        <v>12490</v>
      </c>
      <c r="H2048" s="1" t="s">
        <v>8332</v>
      </c>
      <c r="I2048" s="2">
        <v>24.82</v>
      </c>
      <c r="J2048" s="2">
        <v>0.96</v>
      </c>
      <c r="K2048" s="2"/>
      <c r="L2048" s="2"/>
      <c r="M2048" s="4" t="e">
        <f t="shared" si="186"/>
        <v>#DIV/0!</v>
      </c>
      <c r="N2048" s="4" t="e">
        <f t="shared" si="187"/>
        <v>#DIV/0!</v>
      </c>
      <c r="O2048" s="5">
        <f t="shared" si="188"/>
        <v>-1</v>
      </c>
      <c r="P2048" s="5" t="e">
        <f t="shared" si="189"/>
        <v>#DIV/0!</v>
      </c>
      <c r="Q2048" s="4" t="e">
        <f t="shared" si="190"/>
        <v>#DIV/0!</v>
      </c>
      <c r="R2048" s="4" t="e">
        <f t="shared" si="191"/>
        <v>#DIV/0!</v>
      </c>
      <c r="S2048" s="4" t="s">
        <v>12490</v>
      </c>
      <c r="T2048" s="2">
        <v>0.71</v>
      </c>
      <c r="U2048" s="2">
        <v>40.090000000000003</v>
      </c>
      <c r="V2048" s="2">
        <v>24.82</v>
      </c>
      <c r="W2048" s="2" t="s">
        <v>12489</v>
      </c>
      <c r="X2048" s="2">
        <v>-22.84</v>
      </c>
      <c r="Y2048" s="2">
        <v>-22.84</v>
      </c>
      <c r="Z2048" s="2">
        <v>-22.84</v>
      </c>
    </row>
    <row r="2049" spans="1:26" x14ac:dyDescent="0.25">
      <c r="A2049" s="1" t="s">
        <v>8333</v>
      </c>
      <c r="B2049" s="1" t="s">
        <v>8334</v>
      </c>
      <c r="C2049" s="1" t="s">
        <v>16</v>
      </c>
      <c r="D2049" s="1" t="s">
        <v>38</v>
      </c>
      <c r="E2049" s="1" t="s">
        <v>119</v>
      </c>
      <c r="F2049" s="1" t="s">
        <v>8335</v>
      </c>
      <c r="G2049" s="1" t="s">
        <v>12480</v>
      </c>
      <c r="H2049" s="1" t="s">
        <v>2295</v>
      </c>
      <c r="I2049" s="2">
        <v>40.83</v>
      </c>
      <c r="J2049" s="2">
        <v>2.4</v>
      </c>
      <c r="K2049" s="2">
        <v>3.85</v>
      </c>
      <c r="L2049" s="2">
        <v>4.24</v>
      </c>
      <c r="M2049" s="4">
        <f t="shared" si="186"/>
        <v>10.605194805194804</v>
      </c>
      <c r="N2049" s="4">
        <f t="shared" si="187"/>
        <v>9.6297169811320753</v>
      </c>
      <c r="O2049" s="5">
        <f t="shared" si="188"/>
        <v>0.60416666666666674</v>
      </c>
      <c r="P2049" s="5">
        <f t="shared" si="189"/>
        <v>0.10129870129870122</v>
      </c>
      <c r="Q2049" s="4">
        <f t="shared" si="190"/>
        <v>0.17553425884460364</v>
      </c>
      <c r="R2049" s="4">
        <f t="shared" si="191"/>
        <v>0.95062590711175687</v>
      </c>
      <c r="S2049" s="4">
        <v>-3.58</v>
      </c>
      <c r="T2049" s="2">
        <v>0.76</v>
      </c>
      <c r="U2049" s="2">
        <v>45.63</v>
      </c>
      <c r="V2049" s="2">
        <v>29.38</v>
      </c>
      <c r="W2049" s="2">
        <v>-3.59</v>
      </c>
      <c r="X2049" s="2">
        <v>-10.34</v>
      </c>
      <c r="Y2049" s="2">
        <v>4.5</v>
      </c>
      <c r="Z2049" s="2">
        <v>8.56</v>
      </c>
    </row>
    <row r="2050" spans="1:26" x14ac:dyDescent="0.25">
      <c r="A2050" s="1" t="s">
        <v>8336</v>
      </c>
      <c r="B2050" s="1" t="s">
        <v>8337</v>
      </c>
      <c r="C2050" s="1" t="s">
        <v>31</v>
      </c>
      <c r="D2050" s="1" t="s">
        <v>61</v>
      </c>
      <c r="E2050" s="1" t="s">
        <v>170</v>
      </c>
      <c r="F2050" s="1" t="s">
        <v>8338</v>
      </c>
      <c r="G2050" s="1" t="s">
        <v>12490</v>
      </c>
      <c r="H2050" s="1" t="s">
        <v>8339</v>
      </c>
      <c r="I2050" s="2">
        <v>24.1</v>
      </c>
      <c r="J2050" s="2">
        <v>0.81</v>
      </c>
      <c r="K2050" s="2"/>
      <c r="L2050" s="2"/>
      <c r="M2050" s="4" t="e">
        <f t="shared" si="186"/>
        <v>#DIV/0!</v>
      </c>
      <c r="N2050" s="4" t="e">
        <f t="shared" si="187"/>
        <v>#DIV/0!</v>
      </c>
      <c r="O2050" s="5">
        <f t="shared" si="188"/>
        <v>-1</v>
      </c>
      <c r="P2050" s="5" t="e">
        <f t="shared" si="189"/>
        <v>#DIV/0!</v>
      </c>
      <c r="Q2050" s="4" t="e">
        <f t="shared" si="190"/>
        <v>#DIV/0!</v>
      </c>
      <c r="R2050" s="4" t="e">
        <f t="shared" si="191"/>
        <v>#DIV/0!</v>
      </c>
      <c r="S2050" s="4">
        <v>6.83</v>
      </c>
      <c r="T2050" s="2">
        <v>0.25</v>
      </c>
      <c r="U2050" s="2">
        <v>28.5</v>
      </c>
      <c r="V2050" s="2" t="s">
        <v>12633</v>
      </c>
      <c r="W2050" s="2">
        <v>-12.36</v>
      </c>
      <c r="X2050" s="2">
        <v>-13.47</v>
      </c>
      <c r="Y2050" s="2">
        <v>15.81</v>
      </c>
      <c r="Z2050" s="2">
        <v>14.22</v>
      </c>
    </row>
    <row r="2051" spans="1:26" x14ac:dyDescent="0.25">
      <c r="A2051" s="1" t="s">
        <v>8340</v>
      </c>
      <c r="B2051" s="1" t="s">
        <v>8341</v>
      </c>
      <c r="C2051" s="1" t="s">
        <v>16</v>
      </c>
      <c r="D2051" s="1" t="s">
        <v>61</v>
      </c>
      <c r="E2051" s="1" t="s">
        <v>170</v>
      </c>
      <c r="F2051" s="1" t="s">
        <v>8342</v>
      </c>
      <c r="G2051" s="1" t="s">
        <v>12480</v>
      </c>
      <c r="H2051" s="1" t="s">
        <v>8343</v>
      </c>
      <c r="I2051" s="2">
        <v>107.25</v>
      </c>
      <c r="J2051" s="2">
        <v>12.05</v>
      </c>
      <c r="K2051" s="2">
        <v>10.01</v>
      </c>
      <c r="L2051" s="2">
        <v>11.49</v>
      </c>
      <c r="M2051" s="4">
        <f t="shared" ref="M2051:M2114" si="192">I2051/K2051</f>
        <v>10.714285714285715</v>
      </c>
      <c r="N2051" s="4">
        <f t="shared" ref="N2051:N2114" si="193">I2051/L2051</f>
        <v>9.3342036553524803</v>
      </c>
      <c r="O2051" s="5">
        <f t="shared" ref="O2051:O2114" si="194">K2051/J2051-1</f>
        <v>-0.1692946058091287</v>
      </c>
      <c r="P2051" s="5">
        <f t="shared" ref="P2051:P2114" si="195">L2051/K2051-1</f>
        <v>0.14785214785214795</v>
      </c>
      <c r="Q2051" s="4">
        <f t="shared" ref="Q2051:Q2114" si="196">M2051/(O2051*100)</f>
        <v>-0.63287815126050395</v>
      </c>
      <c r="R2051" s="4">
        <f t="shared" ref="R2051:R2114" si="197">N2051/(P2051*100)</f>
        <v>0.63132012560863693</v>
      </c>
      <c r="S2051" s="4">
        <v>-7.95</v>
      </c>
      <c r="T2051" s="2">
        <v>1.35</v>
      </c>
      <c r="U2051" s="2">
        <v>157.69</v>
      </c>
      <c r="V2051" s="2">
        <v>98.28</v>
      </c>
      <c r="W2051" s="2">
        <v>-8.11</v>
      </c>
      <c r="X2051" s="2">
        <v>-20.99</v>
      </c>
      <c r="Y2051" s="2">
        <v>-6.75</v>
      </c>
      <c r="Z2051" s="2">
        <v>-4.16</v>
      </c>
    </row>
    <row r="2052" spans="1:26" x14ac:dyDescent="0.25">
      <c r="A2052" s="1" t="s">
        <v>8344</v>
      </c>
      <c r="B2052" s="1" t="s">
        <v>8345</v>
      </c>
      <c r="C2052" s="1" t="s">
        <v>31</v>
      </c>
      <c r="D2052" s="1" t="s">
        <v>67</v>
      </c>
      <c r="E2052" s="1" t="s">
        <v>833</v>
      </c>
      <c r="F2052" s="1" t="s">
        <v>12758</v>
      </c>
      <c r="G2052" s="1" t="s">
        <v>12499</v>
      </c>
      <c r="H2052" s="1" t="s">
        <v>8346</v>
      </c>
      <c r="I2052" s="2">
        <v>5.34</v>
      </c>
      <c r="J2052" s="2">
        <v>-1.17</v>
      </c>
      <c r="K2052" s="2">
        <v>-0.74</v>
      </c>
      <c r="L2052" s="2">
        <v>-0.66</v>
      </c>
      <c r="M2052" s="4">
        <f t="shared" si="192"/>
        <v>-7.2162162162162158</v>
      </c>
      <c r="N2052" s="4">
        <f t="shared" si="193"/>
        <v>-8.0909090909090899</v>
      </c>
      <c r="O2052" s="5">
        <f t="shared" si="194"/>
        <v>-0.36752136752136744</v>
      </c>
      <c r="P2052" s="5">
        <f t="shared" si="195"/>
        <v>-0.108108108108108</v>
      </c>
      <c r="Q2052" s="4">
        <f t="shared" si="196"/>
        <v>0.1963482086737901</v>
      </c>
      <c r="R2052" s="4">
        <f t="shared" si="197"/>
        <v>0.74840909090909158</v>
      </c>
      <c r="S2052" s="4">
        <v>16.78</v>
      </c>
      <c r="T2052" s="2">
        <v>2.23</v>
      </c>
      <c r="U2052" s="2">
        <v>10.6</v>
      </c>
      <c r="V2052" s="2">
        <v>4.55</v>
      </c>
      <c r="W2052" s="2">
        <v>-1.48</v>
      </c>
      <c r="X2052" s="2">
        <v>-14.56</v>
      </c>
      <c r="Y2052" s="2">
        <v>-13.59</v>
      </c>
      <c r="Z2052" s="2">
        <v>-14.83</v>
      </c>
    </row>
    <row r="2053" spans="1:26" x14ac:dyDescent="0.25">
      <c r="A2053" s="1" t="s">
        <v>8347</v>
      </c>
      <c r="B2053" s="1" t="s">
        <v>8348</v>
      </c>
      <c r="C2053" s="1" t="s">
        <v>45</v>
      </c>
      <c r="D2053" s="1" t="s">
        <v>38</v>
      </c>
      <c r="E2053" s="1" t="s">
        <v>1449</v>
      </c>
      <c r="F2053" s="1" t="s">
        <v>8349</v>
      </c>
      <c r="G2053" s="1" t="s">
        <v>12480</v>
      </c>
      <c r="H2053" s="1" t="s">
        <v>8350</v>
      </c>
      <c r="I2053" s="2">
        <v>17.920000000000002</v>
      </c>
      <c r="J2053" s="2">
        <v>1.43</v>
      </c>
      <c r="K2053" s="2">
        <v>1.85</v>
      </c>
      <c r="L2053" s="2">
        <v>2.4</v>
      </c>
      <c r="M2053" s="4">
        <f t="shared" si="192"/>
        <v>9.686486486486487</v>
      </c>
      <c r="N2053" s="4">
        <f t="shared" si="193"/>
        <v>7.4666666666666677</v>
      </c>
      <c r="O2053" s="5">
        <f t="shared" si="194"/>
        <v>0.29370629370629375</v>
      </c>
      <c r="P2053" s="5">
        <f t="shared" si="195"/>
        <v>0.29729729729729715</v>
      </c>
      <c r="Q2053" s="4">
        <f t="shared" si="196"/>
        <v>0.3298018018018018</v>
      </c>
      <c r="R2053" s="4">
        <f t="shared" si="197"/>
        <v>0.25115151515151529</v>
      </c>
      <c r="S2053" s="4">
        <v>-0.75</v>
      </c>
      <c r="T2053" s="2">
        <v>1.05</v>
      </c>
      <c r="U2053" s="2">
        <v>20.399999999999999</v>
      </c>
      <c r="V2053" s="2">
        <v>14.76</v>
      </c>
      <c r="W2053" s="2">
        <v>-3.55</v>
      </c>
      <c r="X2053" s="2">
        <v>-8.43</v>
      </c>
      <c r="Y2053" s="2">
        <v>-11.38</v>
      </c>
      <c r="Z2053" s="2">
        <v>-0.17</v>
      </c>
    </row>
    <row r="2054" spans="1:26" x14ac:dyDescent="0.25">
      <c r="A2054" s="1" t="s">
        <v>8351</v>
      </c>
      <c r="B2054" s="1" t="s">
        <v>8352</v>
      </c>
      <c r="C2054" s="1" t="s">
        <v>45</v>
      </c>
      <c r="D2054" s="1" t="s">
        <v>18</v>
      </c>
      <c r="E2054" s="1" t="s">
        <v>74</v>
      </c>
      <c r="F2054" s="1" t="s">
        <v>8353</v>
      </c>
      <c r="G2054" s="1" t="s">
        <v>12480</v>
      </c>
      <c r="H2054" s="1" t="s">
        <v>8354</v>
      </c>
      <c r="I2054" s="2">
        <v>27.42</v>
      </c>
      <c r="J2054" s="2">
        <v>-2.2799999999999998</v>
      </c>
      <c r="K2054" s="2">
        <v>-2.1800000000000002</v>
      </c>
      <c r="L2054" s="2">
        <v>-2.2599999999999998</v>
      </c>
      <c r="M2054" s="4">
        <f t="shared" si="192"/>
        <v>-12.577981651376147</v>
      </c>
      <c r="N2054" s="4">
        <f t="shared" si="193"/>
        <v>-12.13274336283186</v>
      </c>
      <c r="O2054" s="5">
        <f t="shared" si="194"/>
        <v>-4.3859649122806821E-2</v>
      </c>
      <c r="P2054" s="5">
        <f t="shared" si="195"/>
        <v>3.6697247706421798E-2</v>
      </c>
      <c r="Q2054" s="4">
        <f t="shared" si="196"/>
        <v>2.867779816513774</v>
      </c>
      <c r="R2054" s="4">
        <f t="shared" si="197"/>
        <v>-3.3061725663717016</v>
      </c>
      <c r="S2054" s="4">
        <v>85.75</v>
      </c>
      <c r="T2054" s="2">
        <v>0.28999999999999998</v>
      </c>
      <c r="U2054" s="2">
        <v>29.99</v>
      </c>
      <c r="V2054" s="2">
        <v>14.37</v>
      </c>
      <c r="W2054" s="2">
        <v>-4.16</v>
      </c>
      <c r="X2054" s="2">
        <v>-3.28</v>
      </c>
      <c r="Y2054" s="2">
        <v>33.950000000000003</v>
      </c>
      <c r="Z2054" s="2">
        <v>37.31</v>
      </c>
    </row>
    <row r="2055" spans="1:26" x14ac:dyDescent="0.25">
      <c r="A2055" s="1" t="s">
        <v>8355</v>
      </c>
      <c r="B2055" s="1" t="s">
        <v>8356</v>
      </c>
      <c r="C2055" s="1" t="s">
        <v>45</v>
      </c>
      <c r="D2055" s="1" t="s">
        <v>38</v>
      </c>
      <c r="E2055" s="1" t="s">
        <v>52</v>
      </c>
      <c r="F2055" s="1" t="s">
        <v>8357</v>
      </c>
      <c r="G2055" s="1" t="s">
        <v>12485</v>
      </c>
      <c r="H2055" s="1" t="s">
        <v>8358</v>
      </c>
      <c r="I2055" s="2">
        <v>11.42</v>
      </c>
      <c r="J2055" s="2">
        <v>1.76</v>
      </c>
      <c r="K2055" s="2">
        <v>1.51</v>
      </c>
      <c r="L2055" s="2">
        <v>1.51</v>
      </c>
      <c r="M2055" s="4">
        <f t="shared" si="192"/>
        <v>7.5629139072847682</v>
      </c>
      <c r="N2055" s="4">
        <f t="shared" si="193"/>
        <v>7.5629139072847682</v>
      </c>
      <c r="O2055" s="5">
        <f t="shared" si="194"/>
        <v>-0.14204545454545459</v>
      </c>
      <c r="P2055" s="5">
        <f t="shared" si="195"/>
        <v>0</v>
      </c>
      <c r="Q2055" s="4">
        <f t="shared" si="196"/>
        <v>-0.5324291390728475</v>
      </c>
      <c r="R2055" s="4" t="e">
        <f t="shared" si="197"/>
        <v>#DIV/0!</v>
      </c>
      <c r="S2055" s="4" t="s">
        <v>12691</v>
      </c>
      <c r="T2055" s="2">
        <v>0.52</v>
      </c>
      <c r="U2055" s="2">
        <v>16.11</v>
      </c>
      <c r="V2055" s="2">
        <v>11.34</v>
      </c>
      <c r="W2055" s="2">
        <v>-0.35</v>
      </c>
      <c r="X2055" s="2">
        <v>-7.75</v>
      </c>
      <c r="Y2055" s="2">
        <v>-11.34</v>
      </c>
      <c r="Z2055" s="2">
        <v>-10.36</v>
      </c>
    </row>
    <row r="2056" spans="1:26" x14ac:dyDescent="0.25">
      <c r="A2056" s="1" t="s">
        <v>8359</v>
      </c>
      <c r="B2056" s="1" t="s">
        <v>8360</v>
      </c>
      <c r="C2056" s="1" t="s">
        <v>45</v>
      </c>
      <c r="D2056" s="1" t="s">
        <v>18</v>
      </c>
      <c r="E2056" s="1" t="s">
        <v>780</v>
      </c>
      <c r="F2056" s="1" t="s">
        <v>8361</v>
      </c>
      <c r="G2056" s="1" t="s">
        <v>12480</v>
      </c>
      <c r="H2056" s="1" t="s">
        <v>8362</v>
      </c>
      <c r="I2056" s="2">
        <v>9.94</v>
      </c>
      <c r="J2056" s="2">
        <v>-1.41</v>
      </c>
      <c r="K2056" s="2">
        <v>-1.29</v>
      </c>
      <c r="L2056" s="2">
        <v>-1.08</v>
      </c>
      <c r="M2056" s="4">
        <f t="shared" si="192"/>
        <v>-7.7054263565891468</v>
      </c>
      <c r="N2056" s="4">
        <f t="shared" si="193"/>
        <v>-9.2037037037037024</v>
      </c>
      <c r="O2056" s="5">
        <f t="shared" si="194"/>
        <v>-8.5106382978723305E-2</v>
      </c>
      <c r="P2056" s="5">
        <f t="shared" si="195"/>
        <v>-0.16279069767441856</v>
      </c>
      <c r="Q2056" s="4">
        <f t="shared" si="196"/>
        <v>0.90538759689922588</v>
      </c>
      <c r="R2056" s="4">
        <f t="shared" si="197"/>
        <v>0.56537037037037041</v>
      </c>
      <c r="S2056" s="4">
        <v>-18.47</v>
      </c>
      <c r="T2056" s="2">
        <v>0.91</v>
      </c>
      <c r="U2056" s="2">
        <v>16.11</v>
      </c>
      <c r="V2056" s="2">
        <v>6.02</v>
      </c>
      <c r="W2056" s="2">
        <v>-9.4700000000000006</v>
      </c>
      <c r="X2056" s="2">
        <v>5.41</v>
      </c>
      <c r="Y2056" s="2">
        <v>-29.85</v>
      </c>
      <c r="Z2056" s="2">
        <v>-18.12</v>
      </c>
    </row>
    <row r="2057" spans="1:26" x14ac:dyDescent="0.25">
      <c r="A2057" s="1" t="s">
        <v>8363</v>
      </c>
      <c r="B2057" s="1" t="s">
        <v>8364</v>
      </c>
      <c r="C2057" s="1" t="s">
        <v>45</v>
      </c>
      <c r="D2057" s="1" t="s">
        <v>46</v>
      </c>
      <c r="E2057" s="1" t="s">
        <v>977</v>
      </c>
      <c r="F2057" s="1" t="s">
        <v>8365</v>
      </c>
      <c r="G2057" s="1" t="s">
        <v>12480</v>
      </c>
      <c r="H2057" s="1" t="s">
        <v>4821</v>
      </c>
      <c r="I2057" s="2">
        <v>197.22</v>
      </c>
      <c r="J2057" s="2">
        <v>4.84</v>
      </c>
      <c r="K2057" s="2">
        <v>5.0999999999999996</v>
      </c>
      <c r="L2057" s="2">
        <v>6.14</v>
      </c>
      <c r="M2057" s="4">
        <f t="shared" si="192"/>
        <v>38.670588235294119</v>
      </c>
      <c r="N2057" s="4">
        <f t="shared" si="193"/>
        <v>32.120521172638441</v>
      </c>
      <c r="O2057" s="5">
        <f t="shared" si="194"/>
        <v>5.3719008264462742E-2</v>
      </c>
      <c r="P2057" s="5">
        <f t="shared" si="195"/>
        <v>0.20392156862745092</v>
      </c>
      <c r="Q2057" s="4">
        <f t="shared" si="196"/>
        <v>7.1986787330316835</v>
      </c>
      <c r="R2057" s="4">
        <f t="shared" si="197"/>
        <v>1.57514094211977</v>
      </c>
      <c r="S2057" s="4">
        <v>-5.48</v>
      </c>
      <c r="T2057" s="2">
        <v>1.23</v>
      </c>
      <c r="U2057" s="2">
        <v>216.19</v>
      </c>
      <c r="V2057" s="2">
        <v>126.29</v>
      </c>
      <c r="W2057" s="2">
        <v>-5.07</v>
      </c>
      <c r="X2057" s="2">
        <v>0.56999999999999995</v>
      </c>
      <c r="Y2057" s="2">
        <v>25.25</v>
      </c>
      <c r="Z2057" s="2">
        <v>25.78</v>
      </c>
    </row>
    <row r="2058" spans="1:26" x14ac:dyDescent="0.25">
      <c r="A2058" s="1" t="s">
        <v>8366</v>
      </c>
      <c r="B2058" s="1" t="s">
        <v>8367</v>
      </c>
      <c r="C2058" s="1" t="s">
        <v>16</v>
      </c>
      <c r="D2058" s="1" t="s">
        <v>88</v>
      </c>
      <c r="E2058" s="1" t="s">
        <v>89</v>
      </c>
      <c r="F2058" s="1" t="s">
        <v>8368</v>
      </c>
      <c r="G2058" s="1" t="s">
        <v>12480</v>
      </c>
      <c r="H2058" s="1" t="s">
        <v>8369</v>
      </c>
      <c r="I2058" s="2">
        <v>4.25</v>
      </c>
      <c r="J2058" s="2">
        <v>-0.63</v>
      </c>
      <c r="K2058" s="2">
        <v>-0.1</v>
      </c>
      <c r="L2058" s="2">
        <v>-0.08</v>
      </c>
      <c r="M2058" s="4">
        <f t="shared" si="192"/>
        <v>-42.5</v>
      </c>
      <c r="N2058" s="4">
        <f t="shared" si="193"/>
        <v>-53.125</v>
      </c>
      <c r="O2058" s="5">
        <f t="shared" si="194"/>
        <v>-0.84126984126984128</v>
      </c>
      <c r="P2058" s="5">
        <f t="shared" si="195"/>
        <v>-0.20000000000000007</v>
      </c>
      <c r="Q2058" s="4">
        <f t="shared" si="196"/>
        <v>0.50518867924528299</v>
      </c>
      <c r="R2058" s="4">
        <f t="shared" si="197"/>
        <v>2.6562499999999991</v>
      </c>
      <c r="S2058" s="4">
        <v>-85.79</v>
      </c>
      <c r="T2058" s="2">
        <v>0.55000000000000004</v>
      </c>
      <c r="U2058" s="2">
        <v>4.78</v>
      </c>
      <c r="V2058" s="2">
        <v>1.28</v>
      </c>
      <c r="W2058" s="2">
        <v>-11.09</v>
      </c>
      <c r="X2058" s="2">
        <v>8.42</v>
      </c>
      <c r="Y2058" s="2">
        <v>11.84</v>
      </c>
      <c r="Z2058" s="2">
        <v>21.78</v>
      </c>
    </row>
    <row r="2059" spans="1:26" x14ac:dyDescent="0.25">
      <c r="A2059" s="1" t="s">
        <v>8370</v>
      </c>
      <c r="B2059" s="1" t="s">
        <v>8371</v>
      </c>
      <c r="C2059" s="1" t="s">
        <v>31</v>
      </c>
      <c r="D2059" s="1" t="s">
        <v>140</v>
      </c>
      <c r="E2059" s="1" t="s">
        <v>284</v>
      </c>
      <c r="F2059" s="1" t="s">
        <v>8372</v>
      </c>
      <c r="G2059" s="1" t="s">
        <v>12480</v>
      </c>
      <c r="H2059" s="1" t="s">
        <v>8373</v>
      </c>
      <c r="I2059" s="2">
        <v>5.0599999999999996</v>
      </c>
      <c r="J2059" s="2">
        <v>-0.19</v>
      </c>
      <c r="K2059" s="2"/>
      <c r="L2059" s="2"/>
      <c r="M2059" s="4" t="e">
        <f t="shared" si="192"/>
        <v>#DIV/0!</v>
      </c>
      <c r="N2059" s="4" t="e">
        <f t="shared" si="193"/>
        <v>#DIV/0!</v>
      </c>
      <c r="O2059" s="5">
        <f t="shared" si="194"/>
        <v>-1</v>
      </c>
      <c r="P2059" s="5" t="e">
        <f t="shared" si="195"/>
        <v>#DIV/0!</v>
      </c>
      <c r="Q2059" s="4" t="e">
        <f t="shared" si="196"/>
        <v>#DIV/0!</v>
      </c>
      <c r="R2059" s="4" t="e">
        <f t="shared" si="197"/>
        <v>#DIV/0!</v>
      </c>
      <c r="S2059" s="4">
        <v>-29.79</v>
      </c>
      <c r="T2059" s="2">
        <v>-0.71</v>
      </c>
      <c r="U2059" s="2">
        <v>5.2</v>
      </c>
      <c r="V2059" s="2">
        <v>3.37</v>
      </c>
      <c r="W2059" s="2" t="s">
        <v>12489</v>
      </c>
      <c r="X2059" s="2">
        <v>-2.69</v>
      </c>
      <c r="Y2059" s="2">
        <v>40.56</v>
      </c>
      <c r="Z2059" s="2">
        <v>25.56</v>
      </c>
    </row>
    <row r="2060" spans="1:26" x14ac:dyDescent="0.25">
      <c r="A2060" s="1" t="s">
        <v>8374</v>
      </c>
      <c r="B2060" s="1" t="s">
        <v>8375</v>
      </c>
      <c r="C2060" s="1" t="s">
        <v>16</v>
      </c>
      <c r="D2060" s="1" t="s">
        <v>38</v>
      </c>
      <c r="E2060" s="1" t="s">
        <v>1244</v>
      </c>
      <c r="F2060" s="1" t="s">
        <v>8376</v>
      </c>
      <c r="G2060" s="1" t="s">
        <v>12480</v>
      </c>
      <c r="H2060" s="1" t="s">
        <v>5142</v>
      </c>
      <c r="I2060" s="2">
        <v>38.950000000000003</v>
      </c>
      <c r="J2060" s="2">
        <v>4.58</v>
      </c>
      <c r="K2060" s="2">
        <v>4.5</v>
      </c>
      <c r="L2060" s="2">
        <v>4.7</v>
      </c>
      <c r="M2060" s="4">
        <f t="shared" si="192"/>
        <v>8.6555555555555568</v>
      </c>
      <c r="N2060" s="4">
        <f t="shared" si="193"/>
        <v>8.287234042553191</v>
      </c>
      <c r="O2060" s="5">
        <f t="shared" si="194"/>
        <v>-1.7467248908296984E-2</v>
      </c>
      <c r="P2060" s="5">
        <f t="shared" si="195"/>
        <v>4.4444444444444509E-2</v>
      </c>
      <c r="Q2060" s="4">
        <f t="shared" si="196"/>
        <v>-4.9553055555555447</v>
      </c>
      <c r="R2060" s="4">
        <f t="shared" si="197"/>
        <v>1.8646276595744653</v>
      </c>
      <c r="S2060" s="4">
        <v>3.29</v>
      </c>
      <c r="T2060" s="2">
        <v>0.74</v>
      </c>
      <c r="U2060" s="2">
        <v>45.47</v>
      </c>
      <c r="V2060" s="2">
        <v>34.78</v>
      </c>
      <c r="W2060" s="2">
        <v>-4.0199999999999996</v>
      </c>
      <c r="X2060" s="2">
        <v>-6.93</v>
      </c>
      <c r="Y2060" s="2">
        <v>-7.79</v>
      </c>
      <c r="Z2060" s="2">
        <v>-4.95</v>
      </c>
    </row>
    <row r="2061" spans="1:26" x14ac:dyDescent="0.25">
      <c r="A2061" s="1" t="s">
        <v>8377</v>
      </c>
      <c r="B2061" s="1" t="s">
        <v>8378</v>
      </c>
      <c r="C2061" s="1" t="s">
        <v>16</v>
      </c>
      <c r="D2061" s="1" t="s">
        <v>354</v>
      </c>
      <c r="E2061" s="1" t="s">
        <v>355</v>
      </c>
      <c r="F2061" s="1" t="s">
        <v>12759</v>
      </c>
      <c r="G2061" s="1" t="s">
        <v>12480</v>
      </c>
      <c r="H2061" s="1" t="s">
        <v>8379</v>
      </c>
      <c r="I2061" s="2">
        <v>47.93</v>
      </c>
      <c r="J2061" s="2">
        <v>2.3199999999999998</v>
      </c>
      <c r="K2061" s="2">
        <v>2.4300000000000002</v>
      </c>
      <c r="L2061" s="2">
        <v>2.57</v>
      </c>
      <c r="M2061" s="4">
        <f t="shared" si="192"/>
        <v>19.724279835390945</v>
      </c>
      <c r="N2061" s="4">
        <f t="shared" si="193"/>
        <v>18.649805447470818</v>
      </c>
      <c r="O2061" s="5">
        <f t="shared" si="194"/>
        <v>4.7413793103448398E-2</v>
      </c>
      <c r="P2061" s="5">
        <f t="shared" si="195"/>
        <v>5.7613168724279795E-2</v>
      </c>
      <c r="Q2061" s="4">
        <f t="shared" si="196"/>
        <v>4.1600299289188065</v>
      </c>
      <c r="R2061" s="4">
        <f t="shared" si="197"/>
        <v>3.237073374096723</v>
      </c>
      <c r="S2061" s="4">
        <v>9.2100000000000009</v>
      </c>
      <c r="T2061" s="2">
        <v>0.61</v>
      </c>
      <c r="U2061" s="2">
        <v>49.25</v>
      </c>
      <c r="V2061" s="2">
        <v>42.16</v>
      </c>
      <c r="W2061" s="2">
        <v>-2.68</v>
      </c>
      <c r="X2061" s="2">
        <v>8.19</v>
      </c>
      <c r="Y2061" s="2">
        <v>10.95</v>
      </c>
      <c r="Z2061" s="2">
        <v>12.25</v>
      </c>
    </row>
    <row r="2062" spans="1:26" x14ac:dyDescent="0.25">
      <c r="A2062" s="1" t="s">
        <v>8380</v>
      </c>
      <c r="B2062" s="1" t="s">
        <v>8381</v>
      </c>
      <c r="C2062" s="1" t="s">
        <v>16</v>
      </c>
      <c r="D2062" s="1" t="s">
        <v>18</v>
      </c>
      <c r="E2062" s="1" t="s">
        <v>624</v>
      </c>
      <c r="F2062" s="1" t="s">
        <v>8382</v>
      </c>
      <c r="G2062" s="1" t="s">
        <v>12480</v>
      </c>
      <c r="H2062" s="1" t="s">
        <v>8383</v>
      </c>
      <c r="I2062" s="2">
        <v>6.53</v>
      </c>
      <c r="J2062" s="2">
        <v>3.66</v>
      </c>
      <c r="K2062" s="2">
        <v>3.37</v>
      </c>
      <c r="L2062" s="2">
        <v>3.64</v>
      </c>
      <c r="M2062" s="4">
        <f t="shared" si="192"/>
        <v>1.9376854599406528</v>
      </c>
      <c r="N2062" s="4">
        <f t="shared" si="193"/>
        <v>1.793956043956044</v>
      </c>
      <c r="O2062" s="5">
        <f t="shared" si="194"/>
        <v>-7.9234972677595605E-2</v>
      </c>
      <c r="P2062" s="5">
        <f t="shared" si="195"/>
        <v>8.0118694362017795E-2</v>
      </c>
      <c r="Q2062" s="4">
        <f t="shared" si="196"/>
        <v>-0.24454926839251004</v>
      </c>
      <c r="R2062" s="4">
        <f t="shared" si="197"/>
        <v>0.22391229141229144</v>
      </c>
      <c r="S2062" s="4">
        <v>-2.92</v>
      </c>
      <c r="T2062" s="2">
        <v>0.6</v>
      </c>
      <c r="U2062" s="2">
        <v>15.79</v>
      </c>
      <c r="V2062" s="2">
        <v>6.34</v>
      </c>
      <c r="W2062" s="2">
        <v>-9.18</v>
      </c>
      <c r="X2062" s="2">
        <v>-17.45</v>
      </c>
      <c r="Y2062" s="2">
        <v>-6.98</v>
      </c>
      <c r="Z2062" s="2">
        <v>-8.93</v>
      </c>
    </row>
    <row r="2063" spans="1:26" x14ac:dyDescent="0.25">
      <c r="A2063" s="1" t="s">
        <v>8384</v>
      </c>
      <c r="B2063" s="1" t="s">
        <v>8385</v>
      </c>
      <c r="C2063" s="1" t="s">
        <v>16</v>
      </c>
      <c r="D2063" s="1" t="s">
        <v>354</v>
      </c>
      <c r="E2063" s="1" t="s">
        <v>1213</v>
      </c>
      <c r="F2063" s="1" t="s">
        <v>8386</v>
      </c>
      <c r="G2063" s="1" t="s">
        <v>12480</v>
      </c>
      <c r="H2063" s="1" t="s">
        <v>3177</v>
      </c>
      <c r="I2063" s="2">
        <v>87.15</v>
      </c>
      <c r="J2063" s="2">
        <v>4.4800000000000004</v>
      </c>
      <c r="K2063" s="2">
        <v>4.72</v>
      </c>
      <c r="L2063" s="2">
        <v>4.92</v>
      </c>
      <c r="M2063" s="4">
        <f t="shared" si="192"/>
        <v>18.46398305084746</v>
      </c>
      <c r="N2063" s="4">
        <f t="shared" si="193"/>
        <v>17.713414634146343</v>
      </c>
      <c r="O2063" s="5">
        <f t="shared" si="194"/>
        <v>5.3571428571428381E-2</v>
      </c>
      <c r="P2063" s="5">
        <f t="shared" si="195"/>
        <v>4.2372881355932313E-2</v>
      </c>
      <c r="Q2063" s="4">
        <f t="shared" si="196"/>
        <v>3.4466101694915383</v>
      </c>
      <c r="R2063" s="4">
        <f t="shared" si="197"/>
        <v>4.1803658536585262</v>
      </c>
      <c r="S2063" s="4">
        <v>16.5</v>
      </c>
      <c r="T2063" s="2">
        <v>0.8</v>
      </c>
      <c r="U2063" s="2">
        <v>87.7</v>
      </c>
      <c r="V2063" s="2">
        <v>71.59</v>
      </c>
      <c r="W2063" s="2">
        <v>-0.25</v>
      </c>
      <c r="X2063" s="2">
        <v>6.58</v>
      </c>
      <c r="Y2063" s="2">
        <v>12.23</v>
      </c>
      <c r="Z2063" s="2">
        <v>12.82</v>
      </c>
    </row>
    <row r="2064" spans="1:26" x14ac:dyDescent="0.25">
      <c r="A2064" s="1" t="s">
        <v>8387</v>
      </c>
      <c r="B2064" s="1" t="s">
        <v>8388</v>
      </c>
      <c r="C2064" s="1" t="s">
        <v>16</v>
      </c>
      <c r="D2064" s="1" t="s">
        <v>38</v>
      </c>
      <c r="E2064" s="1" t="s">
        <v>510</v>
      </c>
      <c r="F2064" s="1" t="s">
        <v>8389</v>
      </c>
      <c r="G2064" s="1" t="s">
        <v>12480</v>
      </c>
      <c r="H2064" s="1" t="s">
        <v>8390</v>
      </c>
      <c r="I2064" s="2">
        <v>47.75</v>
      </c>
      <c r="J2064" s="2">
        <v>3.1</v>
      </c>
      <c r="K2064" s="2">
        <v>3.22</v>
      </c>
      <c r="L2064" s="2">
        <v>3.32</v>
      </c>
      <c r="M2064" s="4">
        <f t="shared" si="192"/>
        <v>14.829192546583849</v>
      </c>
      <c r="N2064" s="4">
        <f t="shared" si="193"/>
        <v>14.382530120481928</v>
      </c>
      <c r="O2064" s="5">
        <f t="shared" si="194"/>
        <v>3.8709677419354938E-2</v>
      </c>
      <c r="P2064" s="5">
        <f t="shared" si="195"/>
        <v>3.105590062111796E-2</v>
      </c>
      <c r="Q2064" s="4">
        <f t="shared" si="196"/>
        <v>3.8308747412008177</v>
      </c>
      <c r="R2064" s="4">
        <f t="shared" si="197"/>
        <v>4.6311746987951885</v>
      </c>
      <c r="S2064" s="4">
        <v>13.19</v>
      </c>
      <c r="T2064" s="2">
        <v>0.54</v>
      </c>
      <c r="U2064" s="2">
        <v>48.27</v>
      </c>
      <c r="V2064" s="2">
        <v>35.549999999999997</v>
      </c>
      <c r="W2064" s="2">
        <v>-0.75</v>
      </c>
      <c r="X2064" s="2">
        <v>6.61</v>
      </c>
      <c r="Y2064" s="2">
        <v>7.21</v>
      </c>
      <c r="Z2064" s="2">
        <v>7.69</v>
      </c>
    </row>
    <row r="2065" spans="1:26" x14ac:dyDescent="0.25">
      <c r="A2065" s="1" t="s">
        <v>8391</v>
      </c>
      <c r="B2065" s="1" t="s">
        <v>8392</v>
      </c>
      <c r="C2065" s="1" t="s">
        <v>16</v>
      </c>
      <c r="D2065" s="1" t="s">
        <v>25</v>
      </c>
      <c r="E2065" s="1" t="s">
        <v>8394</v>
      </c>
      <c r="F2065" s="1" t="s">
        <v>8393</v>
      </c>
      <c r="G2065" s="1" t="s">
        <v>12480</v>
      </c>
      <c r="H2065" s="1" t="s">
        <v>8395</v>
      </c>
      <c r="I2065" s="2">
        <v>11.61</v>
      </c>
      <c r="J2065" s="2">
        <v>1.6</v>
      </c>
      <c r="K2065" s="2">
        <v>1.74</v>
      </c>
      <c r="L2065" s="2">
        <v>2.2000000000000002</v>
      </c>
      <c r="M2065" s="4">
        <f t="shared" si="192"/>
        <v>6.6724137931034484</v>
      </c>
      <c r="N2065" s="4">
        <f t="shared" si="193"/>
        <v>5.2772727272727264</v>
      </c>
      <c r="O2065" s="5">
        <f t="shared" si="194"/>
        <v>8.7499999999999911E-2</v>
      </c>
      <c r="P2065" s="5">
        <f t="shared" si="195"/>
        <v>0.26436781609195403</v>
      </c>
      <c r="Q2065" s="4">
        <f t="shared" si="196"/>
        <v>0.76256157635468058</v>
      </c>
      <c r="R2065" s="4">
        <f t="shared" si="197"/>
        <v>0.19961857707509878</v>
      </c>
      <c r="S2065" s="4">
        <v>-1.61</v>
      </c>
      <c r="T2065" s="2">
        <v>0.82</v>
      </c>
      <c r="U2065" s="2">
        <v>16.63</v>
      </c>
      <c r="V2065" s="2">
        <v>9.6199999999999992</v>
      </c>
      <c r="W2065" s="2">
        <v>-13.55</v>
      </c>
      <c r="X2065" s="2">
        <v>-29.29</v>
      </c>
      <c r="Y2065" s="2">
        <v>-25.63</v>
      </c>
      <c r="Z2065" s="2">
        <v>-21.34</v>
      </c>
    </row>
    <row r="2066" spans="1:26" x14ac:dyDescent="0.25">
      <c r="A2066" s="1" t="s">
        <v>8396</v>
      </c>
      <c r="B2066" s="1" t="s">
        <v>8397</v>
      </c>
      <c r="C2066" s="1" t="s">
        <v>16</v>
      </c>
      <c r="D2066" s="1" t="s">
        <v>38</v>
      </c>
      <c r="E2066" s="1" t="s">
        <v>259</v>
      </c>
      <c r="F2066" s="1" t="s">
        <v>8398</v>
      </c>
      <c r="G2066" s="1" t="s">
        <v>12480</v>
      </c>
      <c r="H2066" s="1" t="s">
        <v>12652</v>
      </c>
      <c r="I2066" s="2">
        <v>379.12</v>
      </c>
      <c r="J2066" s="2"/>
      <c r="K2066" s="2"/>
      <c r="L2066" s="2"/>
      <c r="M2066" s="4" t="e">
        <f t="shared" si="192"/>
        <v>#DIV/0!</v>
      </c>
      <c r="N2066" s="4" t="e">
        <f t="shared" si="193"/>
        <v>#DIV/0!</v>
      </c>
      <c r="O2066" s="5" t="e">
        <f t="shared" si="194"/>
        <v>#DIV/0!</v>
      </c>
      <c r="P2066" s="5" t="e">
        <f t="shared" si="195"/>
        <v>#DIV/0!</v>
      </c>
      <c r="Q2066" s="4" t="e">
        <f t="shared" si="196"/>
        <v>#DIV/0!</v>
      </c>
      <c r="R2066" s="4" t="e">
        <f t="shared" si="197"/>
        <v>#DIV/0!</v>
      </c>
      <c r="S2066" s="4"/>
      <c r="T2066" s="2">
        <v>0.84</v>
      </c>
      <c r="U2066" s="2">
        <v>400.9</v>
      </c>
      <c r="V2066" s="2">
        <v>196.72</v>
      </c>
      <c r="W2066" s="2">
        <v>-4.12</v>
      </c>
      <c r="X2066" s="2">
        <v>1.36</v>
      </c>
      <c r="Y2066" s="2">
        <v>27.77</v>
      </c>
      <c r="Z2066" s="2">
        <v>33.130000000000003</v>
      </c>
    </row>
    <row r="2067" spans="1:26" x14ac:dyDescent="0.25">
      <c r="A2067" s="1" t="s">
        <v>8399</v>
      </c>
      <c r="B2067" s="1" t="s">
        <v>8400</v>
      </c>
      <c r="C2067" s="1" t="s">
        <v>16</v>
      </c>
      <c r="D2067" s="1" t="s">
        <v>94</v>
      </c>
      <c r="E2067" s="1" t="s">
        <v>1042</v>
      </c>
      <c r="F2067" s="1" t="s">
        <v>8401</v>
      </c>
      <c r="G2067" s="1" t="s">
        <v>12480</v>
      </c>
      <c r="H2067" s="1" t="s">
        <v>8402</v>
      </c>
      <c r="I2067" s="2">
        <v>34.99</v>
      </c>
      <c r="J2067" s="2">
        <v>1.93</v>
      </c>
      <c r="K2067" s="2">
        <v>1.83</v>
      </c>
      <c r="L2067" s="2">
        <v>1.98</v>
      </c>
      <c r="M2067" s="4">
        <f t="shared" si="192"/>
        <v>19.120218579234972</v>
      </c>
      <c r="N2067" s="4">
        <f t="shared" si="193"/>
        <v>17.671717171717173</v>
      </c>
      <c r="O2067" s="5">
        <f t="shared" si="194"/>
        <v>-5.1813471502590636E-2</v>
      </c>
      <c r="P2067" s="5">
        <f t="shared" si="195"/>
        <v>8.1967213114753967E-2</v>
      </c>
      <c r="Q2067" s="4">
        <f t="shared" si="196"/>
        <v>-3.6902021857923524</v>
      </c>
      <c r="R2067" s="4">
        <f t="shared" si="197"/>
        <v>2.1559494949494984</v>
      </c>
      <c r="S2067" s="4">
        <v>4.62</v>
      </c>
      <c r="T2067" s="2">
        <v>1.18</v>
      </c>
      <c r="U2067" s="2">
        <v>38.82</v>
      </c>
      <c r="V2067" s="2">
        <v>15.95</v>
      </c>
      <c r="W2067" s="2">
        <v>-2.4500000000000002</v>
      </c>
      <c r="X2067" s="2">
        <v>5.52</v>
      </c>
      <c r="Y2067" s="2">
        <v>35.31</v>
      </c>
      <c r="Z2067" s="2">
        <v>45.61</v>
      </c>
    </row>
    <row r="2068" spans="1:26" x14ac:dyDescent="0.25">
      <c r="A2068" s="1" t="s">
        <v>8403</v>
      </c>
      <c r="B2068" s="1" t="s">
        <v>8404</v>
      </c>
      <c r="C2068" s="1" t="s">
        <v>16</v>
      </c>
      <c r="D2068" s="1" t="s">
        <v>94</v>
      </c>
      <c r="E2068" s="1" t="s">
        <v>3606</v>
      </c>
      <c r="F2068" s="1" t="s">
        <v>8405</v>
      </c>
      <c r="G2068" s="1" t="s">
        <v>12480</v>
      </c>
      <c r="H2068" s="1" t="s">
        <v>8406</v>
      </c>
      <c r="I2068" s="2">
        <v>85.96</v>
      </c>
      <c r="J2068" s="2">
        <v>5.42</v>
      </c>
      <c r="K2068" s="2">
        <v>5.59</v>
      </c>
      <c r="L2068" s="2">
        <v>6.06</v>
      </c>
      <c r="M2068" s="4">
        <f t="shared" si="192"/>
        <v>15.377459749552772</v>
      </c>
      <c r="N2068" s="4">
        <f t="shared" si="193"/>
        <v>14.184818481848184</v>
      </c>
      <c r="O2068" s="5">
        <f t="shared" si="194"/>
        <v>3.136531365313644E-2</v>
      </c>
      <c r="P2068" s="5">
        <f t="shared" si="195"/>
        <v>8.4078711985688726E-2</v>
      </c>
      <c r="Q2068" s="4">
        <f t="shared" si="196"/>
        <v>4.9026959907397805</v>
      </c>
      <c r="R2068" s="4">
        <f t="shared" si="197"/>
        <v>1.687087985394284</v>
      </c>
      <c r="S2068" s="4">
        <v>54.99</v>
      </c>
      <c r="T2068" s="2">
        <v>0.93</v>
      </c>
      <c r="U2068" s="2">
        <v>102.38</v>
      </c>
      <c r="V2068" s="2">
        <v>64.31</v>
      </c>
      <c r="W2068" s="2">
        <v>-0.19</v>
      </c>
      <c r="X2068" s="2">
        <v>3.4</v>
      </c>
      <c r="Y2068" s="2">
        <v>18.03</v>
      </c>
      <c r="Z2068" s="2">
        <v>16.95</v>
      </c>
    </row>
    <row r="2069" spans="1:26" x14ac:dyDescent="0.25">
      <c r="A2069" s="1" t="s">
        <v>8407</v>
      </c>
      <c r="B2069" s="1" t="s">
        <v>8408</v>
      </c>
      <c r="C2069" s="1" t="s">
        <v>16</v>
      </c>
      <c r="D2069" s="1" t="s">
        <v>94</v>
      </c>
      <c r="E2069" s="1" t="s">
        <v>95</v>
      </c>
      <c r="F2069" s="1" t="s">
        <v>8409</v>
      </c>
      <c r="G2069" s="1" t="s">
        <v>12480</v>
      </c>
      <c r="H2069" s="1" t="s">
        <v>8410</v>
      </c>
      <c r="I2069" s="2">
        <v>61.78</v>
      </c>
      <c r="J2069" s="2">
        <v>-0.74</v>
      </c>
      <c r="K2069" s="2">
        <v>-0.65</v>
      </c>
      <c r="L2069" s="2">
        <v>-0.76</v>
      </c>
      <c r="M2069" s="4">
        <f t="shared" si="192"/>
        <v>-95.046153846153842</v>
      </c>
      <c r="N2069" s="4">
        <f t="shared" si="193"/>
        <v>-81.28947368421052</v>
      </c>
      <c r="O2069" s="5">
        <f t="shared" si="194"/>
        <v>-0.1216216216216216</v>
      </c>
      <c r="P2069" s="5">
        <f t="shared" si="195"/>
        <v>0.1692307692307693</v>
      </c>
      <c r="Q2069" s="4">
        <f t="shared" si="196"/>
        <v>7.8149059829059846</v>
      </c>
      <c r="R2069" s="4">
        <f t="shared" si="197"/>
        <v>-4.8034688995215289</v>
      </c>
      <c r="S2069" s="4"/>
      <c r="T2069" s="2">
        <v>0.8</v>
      </c>
      <c r="U2069" s="2">
        <v>174.14</v>
      </c>
      <c r="V2069" s="2">
        <v>19.8</v>
      </c>
      <c r="W2069" s="2">
        <v>-4.4800000000000004</v>
      </c>
      <c r="X2069" s="2">
        <v>-17.68</v>
      </c>
      <c r="Y2069" s="2">
        <v>-24.96</v>
      </c>
      <c r="Z2069" s="2">
        <v>-13.91</v>
      </c>
    </row>
    <row r="2070" spans="1:26" x14ac:dyDescent="0.25">
      <c r="A2070" s="1" t="s">
        <v>8411</v>
      </c>
      <c r="B2070" s="1" t="s">
        <v>8412</v>
      </c>
      <c r="C2070" s="1" t="s">
        <v>45</v>
      </c>
      <c r="D2070" s="1" t="s">
        <v>32</v>
      </c>
      <c r="E2070" s="1" t="s">
        <v>2571</v>
      </c>
      <c r="F2070" s="1" t="s">
        <v>8413</v>
      </c>
      <c r="G2070" s="1" t="s">
        <v>12493</v>
      </c>
      <c r="H2070" s="1" t="s">
        <v>7575</v>
      </c>
      <c r="I2070" s="2">
        <v>79.709999999999994</v>
      </c>
      <c r="J2070" s="2">
        <v>3.5</v>
      </c>
      <c r="K2070" s="2">
        <v>3.71</v>
      </c>
      <c r="L2070" s="2">
        <v>4.04</v>
      </c>
      <c r="M2070" s="4">
        <f t="shared" si="192"/>
        <v>21.485175202156334</v>
      </c>
      <c r="N2070" s="4">
        <f t="shared" si="193"/>
        <v>19.730198019801978</v>
      </c>
      <c r="O2070" s="5">
        <f t="shared" si="194"/>
        <v>6.0000000000000053E-2</v>
      </c>
      <c r="P2070" s="5">
        <f t="shared" si="195"/>
        <v>8.8948787061994716E-2</v>
      </c>
      <c r="Q2070" s="4">
        <f t="shared" si="196"/>
        <v>3.5808625336927191</v>
      </c>
      <c r="R2070" s="4">
        <f t="shared" si="197"/>
        <v>2.2181525652565228</v>
      </c>
      <c r="S2070" s="4">
        <v>11.84</v>
      </c>
      <c r="T2070" s="2">
        <v>0.79</v>
      </c>
      <c r="U2070" s="2">
        <v>127.3</v>
      </c>
      <c r="V2070" s="2">
        <v>69.510000000000005</v>
      </c>
      <c r="W2070" s="2">
        <v>7.76</v>
      </c>
      <c r="X2070" s="2">
        <v>-9.61</v>
      </c>
      <c r="Y2070" s="2">
        <v>-9.6300000000000008</v>
      </c>
      <c r="Z2070" s="2">
        <v>-7.82</v>
      </c>
    </row>
    <row r="2071" spans="1:26" x14ac:dyDescent="0.25">
      <c r="A2071" s="1" t="s">
        <v>8414</v>
      </c>
      <c r="B2071" s="1" t="s">
        <v>8415</v>
      </c>
      <c r="C2071" s="1" t="s">
        <v>31</v>
      </c>
      <c r="D2071" s="1" t="s">
        <v>147</v>
      </c>
      <c r="E2071" s="1" t="s">
        <v>180</v>
      </c>
      <c r="F2071" s="1" t="s">
        <v>8416</v>
      </c>
      <c r="G2071" s="1" t="s">
        <v>12490</v>
      </c>
      <c r="H2071" s="1" t="s">
        <v>8417</v>
      </c>
      <c r="I2071" s="2">
        <v>18.13</v>
      </c>
      <c r="J2071" s="2">
        <v>0.5</v>
      </c>
      <c r="K2071" s="2"/>
      <c r="L2071" s="2"/>
      <c r="M2071" s="4" t="e">
        <f t="shared" si="192"/>
        <v>#DIV/0!</v>
      </c>
      <c r="N2071" s="4" t="e">
        <f t="shared" si="193"/>
        <v>#DIV/0!</v>
      </c>
      <c r="O2071" s="5">
        <f t="shared" si="194"/>
        <v>-1</v>
      </c>
      <c r="P2071" s="5" t="e">
        <f t="shared" si="195"/>
        <v>#DIV/0!</v>
      </c>
      <c r="Q2071" s="4" t="e">
        <f t="shared" si="196"/>
        <v>#DIV/0!</v>
      </c>
      <c r="R2071" s="4" t="e">
        <f t="shared" si="197"/>
        <v>#DIV/0!</v>
      </c>
      <c r="S2071" s="4">
        <v>4.13</v>
      </c>
      <c r="T2071" s="2">
        <v>0.59</v>
      </c>
      <c r="U2071" s="2">
        <v>25.37</v>
      </c>
      <c r="V2071" s="2">
        <v>16.989999999999998</v>
      </c>
      <c r="W2071" s="2">
        <v>3.01</v>
      </c>
      <c r="X2071" s="2">
        <v>2.2000000000000002</v>
      </c>
      <c r="Y2071" s="2">
        <v>-1.52</v>
      </c>
      <c r="Z2071" s="2">
        <v>-1.73</v>
      </c>
    </row>
    <row r="2072" spans="1:26" x14ac:dyDescent="0.25">
      <c r="A2072" s="1" t="s">
        <v>8418</v>
      </c>
      <c r="B2072" s="1" t="s">
        <v>8419</v>
      </c>
      <c r="C2072" s="1" t="s">
        <v>45</v>
      </c>
      <c r="D2072" s="1" t="s">
        <v>32</v>
      </c>
      <c r="E2072" s="1" t="s">
        <v>33</v>
      </c>
      <c r="F2072" s="1" t="s">
        <v>8420</v>
      </c>
      <c r="G2072" s="1" t="s">
        <v>12480</v>
      </c>
      <c r="H2072" s="1" t="s">
        <v>8421</v>
      </c>
      <c r="I2072" s="2">
        <v>98.63</v>
      </c>
      <c r="J2072" s="2">
        <v>5.08</v>
      </c>
      <c r="K2072" s="2">
        <v>5.08</v>
      </c>
      <c r="L2072" s="2">
        <v>5.81</v>
      </c>
      <c r="M2072" s="4">
        <f t="shared" si="192"/>
        <v>19.415354330708659</v>
      </c>
      <c r="N2072" s="4">
        <f t="shared" si="193"/>
        <v>16.975903614457831</v>
      </c>
      <c r="O2072" s="5">
        <f t="shared" si="194"/>
        <v>0</v>
      </c>
      <c r="P2072" s="5">
        <f t="shared" si="195"/>
        <v>0.14370078740157477</v>
      </c>
      <c r="Q2072" s="4" t="e">
        <f t="shared" si="196"/>
        <v>#DIV/0!</v>
      </c>
      <c r="R2072" s="4">
        <f t="shared" si="197"/>
        <v>1.1813368542663807</v>
      </c>
      <c r="S2072" s="4">
        <v>0.45</v>
      </c>
      <c r="T2072" s="2">
        <v>1.65</v>
      </c>
      <c r="U2072" s="2">
        <v>161.44</v>
      </c>
      <c r="V2072" s="2">
        <v>97.03</v>
      </c>
      <c r="W2072" s="2">
        <v>-8.34</v>
      </c>
      <c r="X2072" s="2">
        <v>-21.54</v>
      </c>
      <c r="Y2072" s="2">
        <v>-17.260000000000002</v>
      </c>
      <c r="Z2072" s="2">
        <v>-15.54</v>
      </c>
    </row>
    <row r="2073" spans="1:26" x14ac:dyDescent="0.25">
      <c r="A2073" s="1" t="s">
        <v>8422</v>
      </c>
      <c r="B2073" s="1" t="s">
        <v>8423</v>
      </c>
      <c r="C2073" s="1" t="s">
        <v>45</v>
      </c>
      <c r="D2073" s="1" t="s">
        <v>128</v>
      </c>
      <c r="E2073" s="1" t="s">
        <v>210</v>
      </c>
      <c r="F2073" s="1" t="s">
        <v>8424</v>
      </c>
      <c r="G2073" s="1" t="s">
        <v>12493</v>
      </c>
      <c r="H2073" s="1" t="s">
        <v>4610</v>
      </c>
      <c r="I2073" s="2">
        <v>106.28</v>
      </c>
      <c r="J2073" s="2">
        <v>3.28</v>
      </c>
      <c r="K2073" s="2">
        <v>4.47</v>
      </c>
      <c r="L2073" s="2">
        <v>5.0199999999999996</v>
      </c>
      <c r="M2073" s="4">
        <f t="shared" si="192"/>
        <v>23.776286353467562</v>
      </c>
      <c r="N2073" s="4">
        <f t="shared" si="193"/>
        <v>21.171314741035857</v>
      </c>
      <c r="O2073" s="5">
        <f t="shared" si="194"/>
        <v>0.36280487804878048</v>
      </c>
      <c r="P2073" s="5">
        <f t="shared" si="195"/>
        <v>0.12304250559284102</v>
      </c>
      <c r="Q2073" s="4">
        <f t="shared" si="196"/>
        <v>0.65534638016280333</v>
      </c>
      <c r="R2073" s="4">
        <f t="shared" si="197"/>
        <v>1.7206504889532797</v>
      </c>
      <c r="S2073" s="4">
        <v>8.0399999999999991</v>
      </c>
      <c r="T2073" s="2">
        <v>0.53</v>
      </c>
      <c r="U2073" s="2">
        <v>140.80000000000001</v>
      </c>
      <c r="V2073" s="2">
        <v>98.77</v>
      </c>
      <c r="W2073" s="2">
        <v>4.76</v>
      </c>
      <c r="X2073" s="2">
        <v>-5.56</v>
      </c>
      <c r="Y2073" s="2">
        <v>-5.94</v>
      </c>
      <c r="Z2073" s="2">
        <v>-3.04</v>
      </c>
    </row>
    <row r="2074" spans="1:26" x14ac:dyDescent="0.25">
      <c r="A2074" s="1" t="s">
        <v>8425</v>
      </c>
      <c r="B2074" s="1" t="s">
        <v>8426</v>
      </c>
      <c r="C2074" s="1" t="s">
        <v>45</v>
      </c>
      <c r="D2074" s="1" t="s">
        <v>18</v>
      </c>
      <c r="E2074" s="1" t="s">
        <v>74</v>
      </c>
      <c r="F2074" s="1" t="s">
        <v>8427</v>
      </c>
      <c r="G2074" s="1" t="s">
        <v>12480</v>
      </c>
      <c r="H2074" s="1" t="s">
        <v>8428</v>
      </c>
      <c r="I2074" s="2" t="s">
        <v>12571</v>
      </c>
      <c r="J2074" s="2">
        <v>-2.2000000000000002</v>
      </c>
      <c r="K2074" s="2">
        <v>-2.2799999999999998</v>
      </c>
      <c r="L2074" s="2">
        <v>-2.74</v>
      </c>
      <c r="M2074" s="4">
        <f t="shared" si="192"/>
        <v>-7.0175438596491233</v>
      </c>
      <c r="N2074" s="4">
        <f t="shared" si="193"/>
        <v>-5.8394160583941606</v>
      </c>
      <c r="O2074" s="5">
        <f t="shared" si="194"/>
        <v>3.6363636363636154E-2</v>
      </c>
      <c r="P2074" s="5">
        <f t="shared" si="195"/>
        <v>0.20175438596491246</v>
      </c>
      <c r="Q2074" s="4">
        <f t="shared" si="196"/>
        <v>-1.9298245614035201</v>
      </c>
      <c r="R2074" s="4">
        <f t="shared" si="197"/>
        <v>-0.28943192637257986</v>
      </c>
      <c r="S2074" s="4"/>
      <c r="T2074" s="2">
        <v>1.92</v>
      </c>
      <c r="U2074" s="2">
        <v>35.83</v>
      </c>
      <c r="V2074" s="2">
        <v>3.06</v>
      </c>
      <c r="W2074" s="2">
        <v>-33.39</v>
      </c>
      <c r="X2074" s="2">
        <v>-35.869999999999997</v>
      </c>
      <c r="Y2074" s="2">
        <v>-55.35</v>
      </c>
      <c r="Z2074" s="2" t="s">
        <v>12760</v>
      </c>
    </row>
    <row r="2075" spans="1:26" x14ac:dyDescent="0.25">
      <c r="A2075" s="1" t="s">
        <v>8429</v>
      </c>
      <c r="B2075" s="1" t="s">
        <v>8430</v>
      </c>
      <c r="C2075" s="1" t="s">
        <v>16</v>
      </c>
      <c r="D2075" s="1" t="s">
        <v>88</v>
      </c>
      <c r="E2075" s="1" t="s">
        <v>504</v>
      </c>
      <c r="F2075" s="1" t="s">
        <v>8431</v>
      </c>
      <c r="G2075" s="1" t="s">
        <v>12480</v>
      </c>
      <c r="H2075" s="1" t="s">
        <v>8432</v>
      </c>
      <c r="I2075" s="2">
        <v>23.8</v>
      </c>
      <c r="J2075" s="2">
        <v>-0.08</v>
      </c>
      <c r="K2075" s="2">
        <v>-0.93</v>
      </c>
      <c r="L2075" s="2">
        <v>0.54</v>
      </c>
      <c r="M2075" s="4">
        <f t="shared" si="192"/>
        <v>-25.591397849462364</v>
      </c>
      <c r="N2075" s="4">
        <f t="shared" si="193"/>
        <v>44.074074074074069</v>
      </c>
      <c r="O2075" s="5">
        <f t="shared" si="194"/>
        <v>10.625</v>
      </c>
      <c r="P2075" s="5">
        <f t="shared" si="195"/>
        <v>-1.5806451612903225</v>
      </c>
      <c r="Q2075" s="4">
        <f t="shared" si="196"/>
        <v>-2.4086021505376344E-2</v>
      </c>
      <c r="R2075" s="4">
        <f t="shared" si="197"/>
        <v>-0.27883597883597883</v>
      </c>
      <c r="S2075" s="4">
        <v>3.68</v>
      </c>
      <c r="T2075" s="2">
        <v>1.56</v>
      </c>
      <c r="U2075" s="2">
        <v>26.93</v>
      </c>
      <c r="V2075" s="2">
        <v>17.96</v>
      </c>
      <c r="W2075" s="2">
        <v>-6.34</v>
      </c>
      <c r="X2075" s="2">
        <v>-3.09</v>
      </c>
      <c r="Y2075" s="2">
        <v>10.6</v>
      </c>
      <c r="Z2075" s="2">
        <v>14.26</v>
      </c>
    </row>
    <row r="2076" spans="1:26" x14ac:dyDescent="0.25">
      <c r="A2076" s="1" t="s">
        <v>8433</v>
      </c>
      <c r="B2076" s="1" t="s">
        <v>8434</v>
      </c>
      <c r="C2076" s="1" t="s">
        <v>45</v>
      </c>
      <c r="D2076" s="1" t="s">
        <v>46</v>
      </c>
      <c r="E2076" s="1" t="s">
        <v>1142</v>
      </c>
      <c r="F2076" s="1" t="s">
        <v>8435</v>
      </c>
      <c r="G2076" s="1" t="s">
        <v>12480</v>
      </c>
      <c r="H2076" s="1" t="s">
        <v>4760</v>
      </c>
      <c r="I2076" s="2">
        <v>110.8</v>
      </c>
      <c r="J2076" s="2">
        <v>6.15</v>
      </c>
      <c r="K2076" s="2">
        <v>7.47</v>
      </c>
      <c r="L2076" s="2">
        <v>8.84</v>
      </c>
      <c r="M2076" s="4">
        <f t="shared" si="192"/>
        <v>14.832663989290495</v>
      </c>
      <c r="N2076" s="4">
        <f t="shared" si="193"/>
        <v>12.53393665158371</v>
      </c>
      <c r="O2076" s="5">
        <f t="shared" si="194"/>
        <v>0.21463414634146338</v>
      </c>
      <c r="P2076" s="5">
        <f t="shared" si="195"/>
        <v>0.1834002677376172</v>
      </c>
      <c r="Q2076" s="4">
        <f t="shared" si="196"/>
        <v>0.69106729950103452</v>
      </c>
      <c r="R2076" s="4">
        <f t="shared" si="197"/>
        <v>0.68341975757175388</v>
      </c>
      <c r="S2076" s="4">
        <v>0.69</v>
      </c>
      <c r="T2076" s="2">
        <v>0.74</v>
      </c>
      <c r="U2076" s="2">
        <v>134.97999999999999</v>
      </c>
      <c r="V2076" s="2">
        <v>71.7</v>
      </c>
      <c r="W2076" s="2">
        <v>-7.3</v>
      </c>
      <c r="X2076" s="2">
        <v>-13.17</v>
      </c>
      <c r="Y2076" s="2">
        <v>3.17</v>
      </c>
      <c r="Z2076" s="2">
        <v>1.87</v>
      </c>
    </row>
    <row r="2077" spans="1:26" x14ac:dyDescent="0.25">
      <c r="A2077" s="1" t="s">
        <v>8436</v>
      </c>
      <c r="B2077" s="1" t="s">
        <v>8437</v>
      </c>
      <c r="C2077" s="1" t="s">
        <v>16</v>
      </c>
      <c r="D2077" s="1" t="s">
        <v>140</v>
      </c>
      <c r="E2077" s="1" t="s">
        <v>2376</v>
      </c>
      <c r="F2077" s="1" t="s">
        <v>8438</v>
      </c>
      <c r="G2077" s="1" t="s">
        <v>12480</v>
      </c>
      <c r="H2077" s="1" t="s">
        <v>8439</v>
      </c>
      <c r="I2077" s="2">
        <v>83.99</v>
      </c>
      <c r="J2077" s="2">
        <v>8.65</v>
      </c>
      <c r="K2077" s="2">
        <v>10.35</v>
      </c>
      <c r="L2077" s="2">
        <v>11.22</v>
      </c>
      <c r="M2077" s="4">
        <f t="shared" si="192"/>
        <v>8.114975845410628</v>
      </c>
      <c r="N2077" s="4">
        <f t="shared" si="193"/>
        <v>7.4857397504456316</v>
      </c>
      <c r="O2077" s="5">
        <f t="shared" si="194"/>
        <v>0.19653179190751446</v>
      </c>
      <c r="P2077" s="5">
        <f t="shared" si="195"/>
        <v>8.405797101449286E-2</v>
      </c>
      <c r="Q2077" s="4">
        <f t="shared" si="196"/>
        <v>0.4129090650753055</v>
      </c>
      <c r="R2077" s="4">
        <f t="shared" si="197"/>
        <v>0.89054490134611708</v>
      </c>
      <c r="S2077" s="4">
        <v>10.09</v>
      </c>
      <c r="T2077" s="2">
        <v>0.71</v>
      </c>
      <c r="U2077" s="2">
        <v>85.8</v>
      </c>
      <c r="V2077" s="2">
        <v>67.27</v>
      </c>
      <c r="W2077" s="2">
        <v>-1.61</v>
      </c>
      <c r="X2077" s="2">
        <v>18.71</v>
      </c>
      <c r="Y2077" s="2">
        <v>4.3600000000000003</v>
      </c>
      <c r="Z2077" s="2">
        <v>4.01</v>
      </c>
    </row>
    <row r="2078" spans="1:26" x14ac:dyDescent="0.25">
      <c r="A2078" s="1" t="s">
        <v>8441</v>
      </c>
      <c r="B2078" s="1" t="s">
        <v>8442</v>
      </c>
      <c r="C2078" s="1" t="s">
        <v>45</v>
      </c>
      <c r="D2078" s="1" t="s">
        <v>18</v>
      </c>
      <c r="E2078" s="1" t="s">
        <v>1385</v>
      </c>
      <c r="F2078" s="1" t="s">
        <v>8443</v>
      </c>
      <c r="G2078" s="1" t="s">
        <v>12480</v>
      </c>
      <c r="H2078" s="1" t="s">
        <v>8444</v>
      </c>
      <c r="I2078" s="2">
        <v>39.83</v>
      </c>
      <c r="J2078" s="2">
        <v>1.62</v>
      </c>
      <c r="K2078" s="2">
        <v>1.74</v>
      </c>
      <c r="L2078" s="2">
        <v>2.15</v>
      </c>
      <c r="M2078" s="4">
        <f t="shared" si="192"/>
        <v>22.890804597701148</v>
      </c>
      <c r="N2078" s="4">
        <f t="shared" si="193"/>
        <v>18.525581395348837</v>
      </c>
      <c r="O2078" s="5">
        <f t="shared" si="194"/>
        <v>7.4074074074073959E-2</v>
      </c>
      <c r="P2078" s="5">
        <f t="shared" si="195"/>
        <v>0.23563218390804597</v>
      </c>
      <c r="Q2078" s="4">
        <f t="shared" si="196"/>
        <v>3.0902586206896596</v>
      </c>
      <c r="R2078" s="4">
        <f t="shared" si="197"/>
        <v>0.78620760068065798</v>
      </c>
      <c r="S2078" s="4">
        <v>6.53</v>
      </c>
      <c r="T2078" s="2">
        <v>0.79</v>
      </c>
      <c r="U2078" s="2">
        <v>51.39</v>
      </c>
      <c r="V2078" s="2">
        <v>24.63</v>
      </c>
      <c r="W2078" s="2">
        <v>-3.44</v>
      </c>
      <c r="X2078" s="2">
        <v>9.1199999999999992</v>
      </c>
      <c r="Y2078" s="2">
        <v>-7.95</v>
      </c>
      <c r="Z2078" s="2">
        <v>-12.08</v>
      </c>
    </row>
    <row r="2079" spans="1:26" x14ac:dyDescent="0.25">
      <c r="A2079" s="1" t="s">
        <v>8445</v>
      </c>
      <c r="B2079" s="1" t="s">
        <v>8446</v>
      </c>
      <c r="C2079" s="1" t="s">
        <v>16</v>
      </c>
      <c r="D2079" s="1" t="s">
        <v>38</v>
      </c>
      <c r="E2079" s="1" t="s">
        <v>653</v>
      </c>
      <c r="F2079" s="1" t="s">
        <v>8447</v>
      </c>
      <c r="G2079" s="1" t="s">
        <v>12480</v>
      </c>
      <c r="H2079" s="1" t="s">
        <v>8448</v>
      </c>
      <c r="I2079" s="2">
        <v>53.95</v>
      </c>
      <c r="J2079" s="2">
        <v>6.66</v>
      </c>
      <c r="K2079" s="2">
        <v>7.6</v>
      </c>
      <c r="L2079" s="2">
        <v>9.0399999999999991</v>
      </c>
      <c r="M2079" s="4">
        <f t="shared" si="192"/>
        <v>7.0986842105263168</v>
      </c>
      <c r="N2079" s="4">
        <f t="shared" si="193"/>
        <v>5.9679203539823016</v>
      </c>
      <c r="O2079" s="5">
        <f t="shared" si="194"/>
        <v>0.14114114114114096</v>
      </c>
      <c r="P2079" s="5">
        <f t="shared" si="195"/>
        <v>0.18947368421052624</v>
      </c>
      <c r="Q2079" s="4">
        <f t="shared" si="196"/>
        <v>0.50294932810750359</v>
      </c>
      <c r="R2079" s="4">
        <f t="shared" si="197"/>
        <v>0.31497357423795497</v>
      </c>
      <c r="S2079" s="4">
        <v>9.25</v>
      </c>
      <c r="T2079" s="2">
        <v>1.34</v>
      </c>
      <c r="U2079" s="2">
        <v>71.37</v>
      </c>
      <c r="V2079" s="2">
        <v>40.42</v>
      </c>
      <c r="W2079" s="2" t="s">
        <v>12590</v>
      </c>
      <c r="X2079" s="2">
        <v>-13.12</v>
      </c>
      <c r="Y2079" s="2">
        <v>-19.72</v>
      </c>
      <c r="Z2079" s="2">
        <v>-20.13</v>
      </c>
    </row>
    <row r="2080" spans="1:26" x14ac:dyDescent="0.25">
      <c r="A2080" s="1" t="s">
        <v>8449</v>
      </c>
      <c r="B2080" s="1" t="s">
        <v>8450</v>
      </c>
      <c r="C2080" s="1" t="s">
        <v>31</v>
      </c>
      <c r="D2080" s="1" t="s">
        <v>32</v>
      </c>
      <c r="E2080" s="1" t="s">
        <v>33</v>
      </c>
      <c r="F2080" s="1" t="s">
        <v>8451</v>
      </c>
      <c r="G2080" s="1" t="s">
        <v>12490</v>
      </c>
      <c r="H2080" s="1" t="s">
        <v>8452</v>
      </c>
      <c r="I2080" s="2">
        <v>29.86</v>
      </c>
      <c r="J2080" s="2">
        <v>0.54</v>
      </c>
      <c r="K2080" s="2">
        <v>1.22</v>
      </c>
      <c r="L2080" s="2">
        <v>1.64</v>
      </c>
      <c r="M2080" s="4">
        <f t="shared" si="192"/>
        <v>24.475409836065573</v>
      </c>
      <c r="N2080" s="4">
        <f t="shared" si="193"/>
        <v>18.207317073170731</v>
      </c>
      <c r="O2080" s="5">
        <f t="shared" si="194"/>
        <v>1.2592592592592591</v>
      </c>
      <c r="P2080" s="5">
        <f t="shared" si="195"/>
        <v>0.34426229508196715</v>
      </c>
      <c r="Q2080" s="4">
        <f t="shared" si="196"/>
        <v>0.1943635486981678</v>
      </c>
      <c r="R2080" s="4">
        <f t="shared" si="197"/>
        <v>0.52887921022067375</v>
      </c>
      <c r="S2080" s="4">
        <v>-7.16</v>
      </c>
      <c r="T2080" s="2">
        <v>0.92</v>
      </c>
      <c r="U2080" s="2">
        <v>35.9</v>
      </c>
      <c r="V2080" s="2">
        <v>23.23</v>
      </c>
      <c r="W2080" s="2" t="s">
        <v>12746</v>
      </c>
      <c r="X2080" s="2">
        <v>-6.13</v>
      </c>
      <c r="Y2080" s="2">
        <v>15.62</v>
      </c>
      <c r="Z2080" s="2">
        <v>18.440000000000001</v>
      </c>
    </row>
    <row r="2081" spans="1:26" x14ac:dyDescent="0.25">
      <c r="A2081" s="1" t="s">
        <v>8453</v>
      </c>
      <c r="B2081" s="1" t="s">
        <v>8454</v>
      </c>
      <c r="C2081" s="1" t="s">
        <v>31</v>
      </c>
      <c r="D2081" s="1" t="s">
        <v>94</v>
      </c>
      <c r="E2081" s="1" t="s">
        <v>1948</v>
      </c>
      <c r="F2081" s="1" t="s">
        <v>8455</v>
      </c>
      <c r="G2081" s="1" t="s">
        <v>12480</v>
      </c>
      <c r="H2081" s="1" t="s">
        <v>8456</v>
      </c>
      <c r="I2081" s="2">
        <v>16.68</v>
      </c>
      <c r="J2081" s="2">
        <v>6.71</v>
      </c>
      <c r="K2081" s="2">
        <v>1.73</v>
      </c>
      <c r="L2081" s="2">
        <v>1.71</v>
      </c>
      <c r="M2081" s="4">
        <f t="shared" si="192"/>
        <v>9.6416184971098264</v>
      </c>
      <c r="N2081" s="4">
        <f t="shared" si="193"/>
        <v>9.7543859649122808</v>
      </c>
      <c r="O2081" s="5">
        <f t="shared" si="194"/>
        <v>-0.74217585692995525</v>
      </c>
      <c r="P2081" s="5">
        <f t="shared" si="195"/>
        <v>-1.1560693641618491E-2</v>
      </c>
      <c r="Q2081" s="4">
        <f t="shared" si="196"/>
        <v>-0.12991016087471272</v>
      </c>
      <c r="R2081" s="4">
        <f t="shared" si="197"/>
        <v>-8.4375438596491268</v>
      </c>
      <c r="S2081" s="4">
        <v>-22.74</v>
      </c>
      <c r="T2081" s="2">
        <v>0.01</v>
      </c>
      <c r="U2081" s="2">
        <v>16.95</v>
      </c>
      <c r="V2081" s="2">
        <v>11.46</v>
      </c>
      <c r="W2081" s="2">
        <v>-1.59</v>
      </c>
      <c r="X2081" s="2">
        <v>6.59</v>
      </c>
      <c r="Y2081" s="2">
        <v>20.170000000000002</v>
      </c>
      <c r="Z2081" s="2">
        <v>19.57</v>
      </c>
    </row>
    <row r="2082" spans="1:26" x14ac:dyDescent="0.25">
      <c r="A2082" s="1" t="s">
        <v>8457</v>
      </c>
      <c r="B2082" s="1" t="s">
        <v>8458</v>
      </c>
      <c r="C2082" s="1" t="s">
        <v>45</v>
      </c>
      <c r="D2082" s="1" t="s">
        <v>32</v>
      </c>
      <c r="E2082" s="1" t="s">
        <v>290</v>
      </c>
      <c r="F2082" s="1" t="s">
        <v>8459</v>
      </c>
      <c r="G2082" s="1" t="s">
        <v>12480</v>
      </c>
      <c r="H2082" s="1" t="s">
        <v>8460</v>
      </c>
      <c r="I2082" s="2">
        <v>59.23</v>
      </c>
      <c r="J2082" s="2">
        <v>2.35</v>
      </c>
      <c r="K2082" s="2">
        <v>2.92</v>
      </c>
      <c r="L2082" s="2">
        <v>4.1900000000000004</v>
      </c>
      <c r="M2082" s="4">
        <f t="shared" si="192"/>
        <v>20.284246575342465</v>
      </c>
      <c r="N2082" s="4">
        <f t="shared" si="193"/>
        <v>14.136038186157515</v>
      </c>
      <c r="O2082" s="5">
        <f t="shared" si="194"/>
        <v>0.24255319148936172</v>
      </c>
      <c r="P2082" s="5">
        <f t="shared" si="195"/>
        <v>0.43493150684931514</v>
      </c>
      <c r="Q2082" s="4">
        <f t="shared" si="196"/>
        <v>0.83628034126411899</v>
      </c>
      <c r="R2082" s="4">
        <f t="shared" si="197"/>
        <v>0.3250175708943302</v>
      </c>
      <c r="S2082" s="4">
        <v>-15.35</v>
      </c>
      <c r="T2082" s="2">
        <v>1.52</v>
      </c>
      <c r="U2082" s="2">
        <v>72.209999999999994</v>
      </c>
      <c r="V2082" s="2">
        <v>31.95</v>
      </c>
      <c r="W2082" s="2">
        <v>-10.91</v>
      </c>
      <c r="X2082" s="2">
        <v>-9.02</v>
      </c>
      <c r="Y2082" s="2">
        <v>7.51</v>
      </c>
      <c r="Z2082" s="2">
        <v>9.3800000000000008</v>
      </c>
    </row>
    <row r="2083" spans="1:26" x14ac:dyDescent="0.25">
      <c r="A2083" s="1" t="s">
        <v>8461</v>
      </c>
      <c r="B2083" s="1" t="s">
        <v>8462</v>
      </c>
      <c r="C2083" s="1" t="s">
        <v>45</v>
      </c>
      <c r="D2083" s="1" t="s">
        <v>38</v>
      </c>
      <c r="E2083" s="1" t="s">
        <v>1093</v>
      </c>
      <c r="F2083" s="1" t="s">
        <v>8463</v>
      </c>
      <c r="G2083" s="1" t="s">
        <v>12480</v>
      </c>
      <c r="H2083" s="1" t="s">
        <v>8464</v>
      </c>
      <c r="I2083" s="2">
        <v>22.39</v>
      </c>
      <c r="J2083" s="2">
        <v>2.21</v>
      </c>
      <c r="K2083" s="2">
        <v>2.58</v>
      </c>
      <c r="L2083" s="2">
        <v>2.81</v>
      </c>
      <c r="M2083" s="4">
        <f t="shared" si="192"/>
        <v>8.6782945736434112</v>
      </c>
      <c r="N2083" s="4">
        <f t="shared" si="193"/>
        <v>7.9679715302491108</v>
      </c>
      <c r="O2083" s="5">
        <f t="shared" si="194"/>
        <v>0.16742081447963808</v>
      </c>
      <c r="P2083" s="5">
        <f t="shared" si="195"/>
        <v>8.9147286821705363E-2</v>
      </c>
      <c r="Q2083" s="4">
        <f t="shared" si="196"/>
        <v>0.51835218939870076</v>
      </c>
      <c r="R2083" s="4">
        <f t="shared" si="197"/>
        <v>0.89379854556707472</v>
      </c>
      <c r="S2083" s="4">
        <v>26.39</v>
      </c>
      <c r="T2083" s="2">
        <v>0.84</v>
      </c>
      <c r="U2083" s="2">
        <v>25.88</v>
      </c>
      <c r="V2083" s="2">
        <v>17.95</v>
      </c>
      <c r="W2083" s="2">
        <v>-4.93</v>
      </c>
      <c r="X2083" s="2">
        <v>-12.78</v>
      </c>
      <c r="Y2083" s="2">
        <v>-2.61</v>
      </c>
      <c r="Z2083" s="2">
        <v>0.36</v>
      </c>
    </row>
    <row r="2084" spans="1:26" x14ac:dyDescent="0.25">
      <c r="A2084" s="1" t="s">
        <v>8465</v>
      </c>
      <c r="B2084" s="1" t="s">
        <v>8466</v>
      </c>
      <c r="C2084" s="1" t="s">
        <v>45</v>
      </c>
      <c r="D2084" s="1" t="s">
        <v>18</v>
      </c>
      <c r="E2084" s="1" t="s">
        <v>780</v>
      </c>
      <c r="F2084" s="1" t="s">
        <v>8467</v>
      </c>
      <c r="G2084" s="1" t="s">
        <v>12480</v>
      </c>
      <c r="H2084" s="1" t="s">
        <v>8468</v>
      </c>
      <c r="I2084" s="2">
        <v>302.29000000000002</v>
      </c>
      <c r="J2084" s="2">
        <v>2.5299999999999998</v>
      </c>
      <c r="K2084" s="2">
        <v>5.14</v>
      </c>
      <c r="L2084" s="2">
        <v>9.49</v>
      </c>
      <c r="M2084" s="4">
        <f t="shared" si="192"/>
        <v>58.811284046692613</v>
      </c>
      <c r="N2084" s="4">
        <f t="shared" si="193"/>
        <v>31.853530031612223</v>
      </c>
      <c r="O2084" s="5">
        <f t="shared" si="194"/>
        <v>1.0316205533596836</v>
      </c>
      <c r="P2084" s="5">
        <f t="shared" si="195"/>
        <v>0.84630350194552539</v>
      </c>
      <c r="Q2084" s="4">
        <f t="shared" si="196"/>
        <v>0.57008639324954924</v>
      </c>
      <c r="R2084" s="4">
        <f t="shared" si="197"/>
        <v>0.3763842399137628</v>
      </c>
      <c r="S2084" s="4">
        <v>40.229999999999997</v>
      </c>
      <c r="T2084" s="2">
        <v>0.53</v>
      </c>
      <c r="U2084" s="2">
        <v>377.47</v>
      </c>
      <c r="V2084" s="2">
        <v>206.32</v>
      </c>
      <c r="W2084" s="2">
        <v>-3.84</v>
      </c>
      <c r="X2084" s="2">
        <v>-13.35</v>
      </c>
      <c r="Y2084" s="2">
        <v>-2.7</v>
      </c>
      <c r="Z2084" s="2">
        <v>-0.5</v>
      </c>
    </row>
    <row r="2085" spans="1:26" x14ac:dyDescent="0.25">
      <c r="A2085" s="1" t="s">
        <v>8469</v>
      </c>
      <c r="B2085" s="1" t="s">
        <v>8470</v>
      </c>
      <c r="C2085" s="1" t="s">
        <v>45</v>
      </c>
      <c r="D2085" s="1" t="s">
        <v>32</v>
      </c>
      <c r="E2085" s="1" t="s">
        <v>264</v>
      </c>
      <c r="F2085" s="1" t="s">
        <v>8471</v>
      </c>
      <c r="G2085" s="1" t="s">
        <v>12480</v>
      </c>
      <c r="H2085" s="1" t="s">
        <v>8472</v>
      </c>
      <c r="I2085" s="2">
        <v>9.7200000000000006</v>
      </c>
      <c r="J2085" s="2">
        <v>-0.61</v>
      </c>
      <c r="K2085" s="2">
        <v>-0.17</v>
      </c>
      <c r="L2085" s="2">
        <v>-0.16</v>
      </c>
      <c r="M2085" s="4">
        <f t="shared" si="192"/>
        <v>-57.176470588235297</v>
      </c>
      <c r="N2085" s="4">
        <f t="shared" si="193"/>
        <v>-60.75</v>
      </c>
      <c r="O2085" s="5">
        <f t="shared" si="194"/>
        <v>-0.72131147540983598</v>
      </c>
      <c r="P2085" s="5">
        <f t="shared" si="195"/>
        <v>-5.8823529411764719E-2</v>
      </c>
      <c r="Q2085" s="4">
        <f t="shared" si="196"/>
        <v>0.79267379679144412</v>
      </c>
      <c r="R2085" s="4">
        <f t="shared" si="197"/>
        <v>10.327499999999997</v>
      </c>
      <c r="S2085" s="4">
        <v>-54.16</v>
      </c>
      <c r="T2085" s="2">
        <v>2.4700000000000002</v>
      </c>
      <c r="U2085" s="2">
        <v>14.01</v>
      </c>
      <c r="V2085" s="2">
        <v>0.68</v>
      </c>
      <c r="W2085" s="2">
        <v>-8.9</v>
      </c>
      <c r="X2085" s="2" t="s">
        <v>12534</v>
      </c>
      <c r="Y2085" s="2">
        <v>26.4</v>
      </c>
      <c r="Z2085" s="2">
        <v>-0.41</v>
      </c>
    </row>
    <row r="2086" spans="1:26" x14ac:dyDescent="0.25">
      <c r="A2086" s="1" t="s">
        <v>8473</v>
      </c>
      <c r="B2086" s="1" t="s">
        <v>8474</v>
      </c>
      <c r="C2086" s="1" t="s">
        <v>31</v>
      </c>
      <c r="D2086" s="1" t="s">
        <v>38</v>
      </c>
      <c r="E2086" s="1" t="s">
        <v>101</v>
      </c>
      <c r="F2086" s="1" t="s">
        <v>8475</v>
      </c>
      <c r="G2086" s="1" t="s">
        <v>12480</v>
      </c>
      <c r="H2086" s="1" t="s">
        <v>8476</v>
      </c>
      <c r="I2086" s="2">
        <v>74.03</v>
      </c>
      <c r="J2086" s="2">
        <v>8.8800000000000008</v>
      </c>
      <c r="K2086" s="2"/>
      <c r="L2086" s="2"/>
      <c r="M2086" s="4" t="e">
        <f t="shared" si="192"/>
        <v>#DIV/0!</v>
      </c>
      <c r="N2086" s="4" t="e">
        <f t="shared" si="193"/>
        <v>#DIV/0!</v>
      </c>
      <c r="O2086" s="5">
        <f t="shared" si="194"/>
        <v>-1</v>
      </c>
      <c r="P2086" s="5" t="e">
        <f t="shared" si="195"/>
        <v>#DIV/0!</v>
      </c>
      <c r="Q2086" s="4" t="e">
        <f t="shared" si="196"/>
        <v>#DIV/0!</v>
      </c>
      <c r="R2086" s="4" t="e">
        <f t="shared" si="197"/>
        <v>#DIV/0!</v>
      </c>
      <c r="S2086" s="4">
        <v>38.520000000000003</v>
      </c>
      <c r="T2086" s="2">
        <v>1.24</v>
      </c>
      <c r="U2086" s="2">
        <v>90.63</v>
      </c>
      <c r="V2086" s="2">
        <v>61.79</v>
      </c>
      <c r="W2086" s="2">
        <v>0.83</v>
      </c>
      <c r="X2086" s="2">
        <v>-4.76</v>
      </c>
      <c r="Y2086" s="2">
        <v>-8.73</v>
      </c>
      <c r="Z2086" s="2">
        <v>-10.73</v>
      </c>
    </row>
    <row r="2087" spans="1:26" x14ac:dyDescent="0.25">
      <c r="A2087" s="1" t="s">
        <v>8477</v>
      </c>
      <c r="B2087" s="1" t="s">
        <v>8478</v>
      </c>
      <c r="C2087" s="1" t="s">
        <v>16</v>
      </c>
      <c r="D2087" s="1" t="s">
        <v>67</v>
      </c>
      <c r="E2087" s="1" t="s">
        <v>381</v>
      </c>
      <c r="F2087" s="1" t="s">
        <v>8479</v>
      </c>
      <c r="G2087" s="1" t="s">
        <v>12480</v>
      </c>
      <c r="H2087" s="1" t="s">
        <v>8480</v>
      </c>
      <c r="I2087" s="2">
        <v>41.18</v>
      </c>
      <c r="J2087" s="2">
        <v>0.97</v>
      </c>
      <c r="K2087" s="2">
        <v>1.71</v>
      </c>
      <c r="L2087" s="2">
        <v>2.19</v>
      </c>
      <c r="M2087" s="4">
        <f t="shared" si="192"/>
        <v>24.081871345029239</v>
      </c>
      <c r="N2087" s="4">
        <f t="shared" si="193"/>
        <v>18.803652968036531</v>
      </c>
      <c r="O2087" s="5">
        <f t="shared" si="194"/>
        <v>0.76288659793814428</v>
      </c>
      <c r="P2087" s="5">
        <f t="shared" si="195"/>
        <v>0.2807017543859649</v>
      </c>
      <c r="Q2087" s="4">
        <f t="shared" si="196"/>
        <v>0.31566777303619409</v>
      </c>
      <c r="R2087" s="4">
        <f t="shared" si="197"/>
        <v>0.66988013698630144</v>
      </c>
      <c r="S2087" s="4">
        <v>38.090000000000003</v>
      </c>
      <c r="T2087" s="2">
        <v>2.14</v>
      </c>
      <c r="U2087" s="2">
        <v>60.68</v>
      </c>
      <c r="V2087" s="2">
        <v>34.96</v>
      </c>
      <c r="W2087" s="2">
        <v>-11.93</v>
      </c>
      <c r="X2087" s="2">
        <v>-7.13</v>
      </c>
      <c r="Y2087" s="2">
        <v>-13.83</v>
      </c>
      <c r="Z2087" s="2">
        <v>-11.4</v>
      </c>
    </row>
    <row r="2088" spans="1:26" x14ac:dyDescent="0.25">
      <c r="A2088" s="1" t="s">
        <v>8481</v>
      </c>
      <c r="B2088" s="1" t="s">
        <v>8482</v>
      </c>
      <c r="C2088" s="1" t="s">
        <v>16</v>
      </c>
      <c r="D2088" s="1" t="s">
        <v>32</v>
      </c>
      <c r="E2088" s="1" t="s">
        <v>8484</v>
      </c>
      <c r="F2088" s="1" t="s">
        <v>8483</v>
      </c>
      <c r="G2088" s="1" t="s">
        <v>12480</v>
      </c>
      <c r="H2088" s="1" t="s">
        <v>547</v>
      </c>
      <c r="I2088" s="2">
        <v>191.66</v>
      </c>
      <c r="J2088" s="2">
        <v>4.9400000000000004</v>
      </c>
      <c r="K2088" s="2">
        <v>6.37</v>
      </c>
      <c r="L2088" s="2">
        <v>7.65</v>
      </c>
      <c r="M2088" s="4">
        <f t="shared" si="192"/>
        <v>30.087912087912088</v>
      </c>
      <c r="N2088" s="4">
        <f t="shared" si="193"/>
        <v>25.05359477124183</v>
      </c>
      <c r="O2088" s="5">
        <f t="shared" si="194"/>
        <v>0.28947368421052633</v>
      </c>
      <c r="P2088" s="5">
        <f t="shared" si="195"/>
        <v>0.2009419152276295</v>
      </c>
      <c r="Q2088" s="4">
        <f t="shared" si="196"/>
        <v>1.0394005994005993</v>
      </c>
      <c r="R2088" s="4">
        <f t="shared" si="197"/>
        <v>1.2468078022875819</v>
      </c>
      <c r="S2088" s="4">
        <v>1.82</v>
      </c>
      <c r="T2088" s="2">
        <v>1.47</v>
      </c>
      <c r="U2088" s="2">
        <v>225.33</v>
      </c>
      <c r="V2088" s="2">
        <v>88.5</v>
      </c>
      <c r="W2088" s="2">
        <v>-12.1</v>
      </c>
      <c r="X2088" s="2">
        <v>-10.47</v>
      </c>
      <c r="Y2088" s="2">
        <v>22.84</v>
      </c>
      <c r="Z2088" s="2">
        <v>21.41</v>
      </c>
    </row>
    <row r="2089" spans="1:26" x14ac:dyDescent="0.25">
      <c r="A2089" s="1" t="s">
        <v>8485</v>
      </c>
      <c r="B2089" s="1" t="s">
        <v>8486</v>
      </c>
      <c r="C2089" s="1" t="s">
        <v>45</v>
      </c>
      <c r="D2089" s="1" t="s">
        <v>18</v>
      </c>
      <c r="E2089" s="1" t="s">
        <v>336</v>
      </c>
      <c r="F2089" s="1" t="s">
        <v>8487</v>
      </c>
      <c r="G2089" s="1" t="s">
        <v>12480</v>
      </c>
      <c r="H2089" s="1" t="s">
        <v>8488</v>
      </c>
      <c r="I2089" s="2">
        <v>29.67</v>
      </c>
      <c r="J2089" s="2">
        <v>1.72</v>
      </c>
      <c r="K2089" s="2">
        <v>1.87</v>
      </c>
      <c r="L2089" s="2">
        <v>2.15</v>
      </c>
      <c r="M2089" s="4">
        <f t="shared" si="192"/>
        <v>15.866310160427808</v>
      </c>
      <c r="N2089" s="4">
        <f t="shared" si="193"/>
        <v>13.8</v>
      </c>
      <c r="O2089" s="5">
        <f t="shared" si="194"/>
        <v>8.720930232558155E-2</v>
      </c>
      <c r="P2089" s="5">
        <f t="shared" si="195"/>
        <v>0.14973262032085555</v>
      </c>
      <c r="Q2089" s="4">
        <f t="shared" si="196"/>
        <v>1.8193368983957188</v>
      </c>
      <c r="R2089" s="4">
        <f t="shared" si="197"/>
        <v>0.92164285714285765</v>
      </c>
      <c r="S2089" s="4">
        <v>13.03</v>
      </c>
      <c r="T2089" s="2">
        <v>0.85</v>
      </c>
      <c r="U2089" s="2">
        <v>36.590000000000003</v>
      </c>
      <c r="V2089" s="2">
        <v>26.03</v>
      </c>
      <c r="W2089" s="2">
        <v>-6.11</v>
      </c>
      <c r="X2089" s="2">
        <v>-10.55</v>
      </c>
      <c r="Y2089" s="2">
        <v>-11.54</v>
      </c>
      <c r="Z2089" s="2">
        <v>-6.87</v>
      </c>
    </row>
    <row r="2090" spans="1:26" x14ac:dyDescent="0.25">
      <c r="A2090" s="1" t="s">
        <v>8489</v>
      </c>
      <c r="B2090" s="1" t="s">
        <v>8490</v>
      </c>
      <c r="C2090" s="1" t="s">
        <v>45</v>
      </c>
      <c r="D2090" s="1" t="s">
        <v>32</v>
      </c>
      <c r="E2090" s="1" t="s">
        <v>311</v>
      </c>
      <c r="F2090" s="1" t="s">
        <v>8491</v>
      </c>
      <c r="G2090" s="1" t="s">
        <v>12480</v>
      </c>
      <c r="H2090" s="1" t="s">
        <v>8492</v>
      </c>
      <c r="I2090" s="2">
        <v>5.08</v>
      </c>
      <c r="J2090" s="2">
        <v>-0.26</v>
      </c>
      <c r="K2090" s="2">
        <v>-0.12</v>
      </c>
      <c r="L2090" s="2">
        <v>0.02</v>
      </c>
      <c r="M2090" s="4">
        <f t="shared" si="192"/>
        <v>-42.333333333333336</v>
      </c>
      <c r="N2090" s="4">
        <f t="shared" si="193"/>
        <v>254</v>
      </c>
      <c r="O2090" s="5">
        <f t="shared" si="194"/>
        <v>-0.53846153846153855</v>
      </c>
      <c r="P2090" s="5">
        <f t="shared" si="195"/>
        <v>-1.1666666666666667</v>
      </c>
      <c r="Q2090" s="4">
        <f t="shared" si="196"/>
        <v>0.78619047619047611</v>
      </c>
      <c r="R2090" s="4">
        <f t="shared" si="197"/>
        <v>-2.177142857142857</v>
      </c>
      <c r="S2090" s="4">
        <v>-15.18</v>
      </c>
      <c r="T2090" s="2">
        <v>3.66</v>
      </c>
      <c r="U2090" s="2">
        <v>10.210000000000001</v>
      </c>
      <c r="V2090" s="2">
        <v>0.51</v>
      </c>
      <c r="W2090" s="2">
        <v>0.59</v>
      </c>
      <c r="X2090" s="2">
        <v>2.83</v>
      </c>
      <c r="Y2090" s="2">
        <v>-21.48</v>
      </c>
      <c r="Z2090" s="2">
        <v>-12.86</v>
      </c>
    </row>
    <row r="2091" spans="1:26" x14ac:dyDescent="0.25">
      <c r="A2091" s="1" t="s">
        <v>8493</v>
      </c>
      <c r="B2091" s="1" t="s">
        <v>8494</v>
      </c>
      <c r="C2091" s="1" t="s">
        <v>31</v>
      </c>
      <c r="D2091" s="1" t="s">
        <v>18</v>
      </c>
      <c r="E2091" s="1" t="s">
        <v>780</v>
      </c>
      <c r="F2091" s="1" t="s">
        <v>8495</v>
      </c>
      <c r="G2091" s="1" t="s">
        <v>12490</v>
      </c>
      <c r="H2091" s="1" t="s">
        <v>8496</v>
      </c>
      <c r="I2091" s="2">
        <v>15.815</v>
      </c>
      <c r="J2091" s="2">
        <v>0.7</v>
      </c>
      <c r="K2091" s="2"/>
      <c r="L2091" s="2"/>
      <c r="M2091" s="4" t="e">
        <f t="shared" si="192"/>
        <v>#DIV/0!</v>
      </c>
      <c r="N2091" s="4" t="e">
        <f t="shared" si="193"/>
        <v>#DIV/0!</v>
      </c>
      <c r="O2091" s="5">
        <f t="shared" si="194"/>
        <v>-1</v>
      </c>
      <c r="P2091" s="5" t="e">
        <f t="shared" si="195"/>
        <v>#DIV/0!</v>
      </c>
      <c r="Q2091" s="4" t="e">
        <f t="shared" si="196"/>
        <v>#DIV/0!</v>
      </c>
      <c r="R2091" s="4" t="e">
        <f t="shared" si="197"/>
        <v>#DIV/0!</v>
      </c>
      <c r="S2091" s="4">
        <v>-8.18</v>
      </c>
      <c r="T2091" s="2">
        <v>0.23</v>
      </c>
      <c r="U2091" s="2">
        <v>18.670000000000002</v>
      </c>
      <c r="V2091" s="2">
        <v>9.33</v>
      </c>
      <c r="W2091" s="2">
        <v>-5.3</v>
      </c>
      <c r="X2091" s="2">
        <v>3.91</v>
      </c>
      <c r="Y2091" s="2">
        <v>19.09</v>
      </c>
      <c r="Z2091" s="2">
        <v>22.89</v>
      </c>
    </row>
    <row r="2092" spans="1:26" x14ac:dyDescent="0.25">
      <c r="A2092" s="1" t="s">
        <v>8497</v>
      </c>
      <c r="B2092" s="1" t="s">
        <v>8498</v>
      </c>
      <c r="C2092" s="1" t="s">
        <v>16</v>
      </c>
      <c r="D2092" s="1" t="s">
        <v>305</v>
      </c>
      <c r="E2092" s="1" t="s">
        <v>306</v>
      </c>
      <c r="F2092" s="1" t="s">
        <v>8499</v>
      </c>
      <c r="G2092" s="1" t="s">
        <v>12480</v>
      </c>
      <c r="H2092" s="1" t="s">
        <v>8500</v>
      </c>
      <c r="I2092" s="2">
        <v>28.84</v>
      </c>
      <c r="J2092" s="2">
        <v>1.24</v>
      </c>
      <c r="K2092" s="2">
        <v>1.33</v>
      </c>
      <c r="L2092" s="2">
        <v>1.62</v>
      </c>
      <c r="M2092" s="4">
        <f t="shared" si="192"/>
        <v>21.684210526315788</v>
      </c>
      <c r="N2092" s="4">
        <f t="shared" si="193"/>
        <v>17.802469135802468</v>
      </c>
      <c r="O2092" s="5">
        <f t="shared" si="194"/>
        <v>7.258064516129048E-2</v>
      </c>
      <c r="P2092" s="5">
        <f t="shared" si="195"/>
        <v>0.21804511278195493</v>
      </c>
      <c r="Q2092" s="4">
        <f t="shared" si="196"/>
        <v>2.9876023391812798</v>
      </c>
      <c r="R2092" s="4">
        <f t="shared" si="197"/>
        <v>0.81645806726266479</v>
      </c>
      <c r="S2092" s="4" t="s">
        <v>12860</v>
      </c>
      <c r="T2092" s="2">
        <v>1.29</v>
      </c>
      <c r="U2092" s="2">
        <v>31.57</v>
      </c>
      <c r="V2092" s="2">
        <v>17.57</v>
      </c>
      <c r="W2092" s="2">
        <v>2.89</v>
      </c>
      <c r="X2092" s="2">
        <v>-2.5299999999999998</v>
      </c>
      <c r="Y2092" s="2" t="s">
        <v>12489</v>
      </c>
      <c r="Z2092" s="2">
        <v>-3.16</v>
      </c>
    </row>
    <row r="2093" spans="1:26" x14ac:dyDescent="0.25">
      <c r="A2093" s="1" t="s">
        <v>8501</v>
      </c>
      <c r="B2093" s="1" t="s">
        <v>8502</v>
      </c>
      <c r="C2093" s="1" t="s">
        <v>45</v>
      </c>
      <c r="D2093" s="1" t="s">
        <v>32</v>
      </c>
      <c r="E2093" s="1" t="s">
        <v>4989</v>
      </c>
      <c r="F2093" s="1" t="s">
        <v>12761</v>
      </c>
      <c r="G2093" s="1" t="s">
        <v>12480</v>
      </c>
      <c r="H2093" s="1" t="s">
        <v>4631</v>
      </c>
      <c r="I2093" s="2">
        <v>15.07</v>
      </c>
      <c r="J2093" s="2">
        <v>1.1200000000000001</v>
      </c>
      <c r="K2093" s="2">
        <v>1.32</v>
      </c>
      <c r="L2093" s="2">
        <v>1.58</v>
      </c>
      <c r="M2093" s="4">
        <f t="shared" si="192"/>
        <v>11.416666666666666</v>
      </c>
      <c r="N2093" s="4">
        <f t="shared" si="193"/>
        <v>9.537974683544304</v>
      </c>
      <c r="O2093" s="5">
        <f t="shared" si="194"/>
        <v>0.1785714285714286</v>
      </c>
      <c r="P2093" s="5">
        <f t="shared" si="195"/>
        <v>0.19696969696969702</v>
      </c>
      <c r="Q2093" s="4">
        <f t="shared" si="196"/>
        <v>0.6393333333333332</v>
      </c>
      <c r="R2093" s="4">
        <f t="shared" si="197"/>
        <v>0.48423563777994144</v>
      </c>
      <c r="S2093" s="4">
        <v>27.92</v>
      </c>
      <c r="T2093" s="2">
        <v>1.1299999999999999</v>
      </c>
      <c r="U2093" s="2">
        <v>20.64</v>
      </c>
      <c r="V2093" s="2">
        <v>11.79</v>
      </c>
      <c r="W2093" s="2">
        <v>-2.46</v>
      </c>
      <c r="X2093" s="2">
        <v>16.010000000000002</v>
      </c>
      <c r="Y2093" s="2">
        <v>7.87</v>
      </c>
      <c r="Z2093" s="2">
        <v>6.43</v>
      </c>
    </row>
    <row r="2094" spans="1:26" x14ac:dyDescent="0.25">
      <c r="A2094" s="1" t="s">
        <v>8503</v>
      </c>
      <c r="B2094" s="1" t="s">
        <v>8504</v>
      </c>
      <c r="C2094" s="1" t="s">
        <v>16</v>
      </c>
      <c r="D2094" s="1" t="s">
        <v>88</v>
      </c>
      <c r="E2094" s="1" t="s">
        <v>658</v>
      </c>
      <c r="F2094" s="1" t="s">
        <v>8505</v>
      </c>
      <c r="G2094" s="1" t="s">
        <v>12480</v>
      </c>
      <c r="H2094" s="1" t="s">
        <v>8506</v>
      </c>
      <c r="I2094" s="2">
        <v>43.42</v>
      </c>
      <c r="J2094" s="2">
        <v>0.88</v>
      </c>
      <c r="K2094" s="2">
        <v>1.38</v>
      </c>
      <c r="L2094" s="2">
        <v>1.49</v>
      </c>
      <c r="M2094" s="4">
        <f t="shared" si="192"/>
        <v>31.463768115942031</v>
      </c>
      <c r="N2094" s="4">
        <f t="shared" si="193"/>
        <v>29.140939597315437</v>
      </c>
      <c r="O2094" s="5">
        <f t="shared" si="194"/>
        <v>0.56818181818181812</v>
      </c>
      <c r="P2094" s="5">
        <f t="shared" si="195"/>
        <v>7.9710144927536364E-2</v>
      </c>
      <c r="Q2094" s="4">
        <f t="shared" si="196"/>
        <v>0.5537623188405798</v>
      </c>
      <c r="R2094" s="4">
        <f t="shared" si="197"/>
        <v>3.655863331299567</v>
      </c>
      <c r="S2094" s="4">
        <v>45.1</v>
      </c>
      <c r="T2094" s="2">
        <v>0.75</v>
      </c>
      <c r="U2094" s="2">
        <v>47.73</v>
      </c>
      <c r="V2094" s="2">
        <v>17.95</v>
      </c>
      <c r="W2094" s="2">
        <v>-9.0299999999999994</v>
      </c>
      <c r="X2094" s="2">
        <v>3.09</v>
      </c>
      <c r="Y2094" s="2">
        <v>25.09</v>
      </c>
      <c r="Z2094" s="2">
        <v>22.69</v>
      </c>
    </row>
    <row r="2095" spans="1:26" x14ac:dyDescent="0.25">
      <c r="A2095" s="1" t="s">
        <v>8507</v>
      </c>
      <c r="B2095" s="1" t="s">
        <v>8508</v>
      </c>
      <c r="C2095" s="1" t="s">
        <v>16</v>
      </c>
      <c r="D2095" s="1" t="s">
        <v>94</v>
      </c>
      <c r="E2095" s="1" t="s">
        <v>95</v>
      </c>
      <c r="F2095" s="1" t="s">
        <v>8509</v>
      </c>
      <c r="G2095" s="1" t="s">
        <v>12480</v>
      </c>
      <c r="H2095" s="1" t="s">
        <v>8510</v>
      </c>
      <c r="I2095" s="2">
        <v>109.85</v>
      </c>
      <c r="J2095" s="2">
        <v>2.2400000000000002</v>
      </c>
      <c r="K2095" s="2">
        <v>2.37</v>
      </c>
      <c r="L2095" s="2">
        <v>2.61</v>
      </c>
      <c r="M2095" s="4">
        <f t="shared" si="192"/>
        <v>46.350210970464133</v>
      </c>
      <c r="N2095" s="4">
        <f t="shared" si="193"/>
        <v>42.088122605363985</v>
      </c>
      <c r="O2095" s="5">
        <f t="shared" si="194"/>
        <v>5.8035714285714191E-2</v>
      </c>
      <c r="P2095" s="5">
        <f t="shared" si="195"/>
        <v>0.10126582278481</v>
      </c>
      <c r="Q2095" s="4">
        <f t="shared" si="196"/>
        <v>7.9864978902953716</v>
      </c>
      <c r="R2095" s="4">
        <f t="shared" si="197"/>
        <v>4.1562021072796993</v>
      </c>
      <c r="S2095" s="4">
        <v>12.49</v>
      </c>
      <c r="T2095" s="2">
        <v>0.84</v>
      </c>
      <c r="U2095" s="2">
        <v>129.71</v>
      </c>
      <c r="V2095" s="2">
        <v>66.400000000000006</v>
      </c>
      <c r="W2095" s="2">
        <v>2.52</v>
      </c>
      <c r="X2095" s="2">
        <v>-10.38</v>
      </c>
      <c r="Y2095" s="2">
        <v>-3.2</v>
      </c>
      <c r="Z2095" s="2">
        <v>-0.56000000000000005</v>
      </c>
    </row>
    <row r="2096" spans="1:26" x14ac:dyDescent="0.25">
      <c r="A2096" s="1" t="s">
        <v>8511</v>
      </c>
      <c r="B2096" s="1" t="s">
        <v>8512</v>
      </c>
      <c r="C2096" s="1" t="s">
        <v>31</v>
      </c>
      <c r="D2096" s="1" t="s">
        <v>32</v>
      </c>
      <c r="E2096" s="1" t="s">
        <v>829</v>
      </c>
      <c r="F2096" s="1" t="s">
        <v>8513</v>
      </c>
      <c r="G2096" s="1" t="s">
        <v>12480</v>
      </c>
      <c r="H2096" s="1" t="s">
        <v>8514</v>
      </c>
      <c r="I2096" s="2">
        <v>19.89</v>
      </c>
      <c r="J2096" s="2">
        <v>0.97</v>
      </c>
      <c r="K2096" s="2">
        <v>1.38</v>
      </c>
      <c r="L2096" s="2">
        <v>1.41</v>
      </c>
      <c r="M2096" s="4">
        <f t="shared" si="192"/>
        <v>14.413043478260871</v>
      </c>
      <c r="N2096" s="4">
        <f t="shared" si="193"/>
        <v>14.106382978723406</v>
      </c>
      <c r="O2096" s="5">
        <f t="shared" si="194"/>
        <v>0.42268041237113385</v>
      </c>
      <c r="P2096" s="5">
        <f t="shared" si="195"/>
        <v>2.1739130434782705E-2</v>
      </c>
      <c r="Q2096" s="4">
        <f t="shared" si="196"/>
        <v>0.34099151643690367</v>
      </c>
      <c r="R2096" s="4">
        <f t="shared" si="197"/>
        <v>6.4889361702127379</v>
      </c>
      <c r="S2096" s="4">
        <v>4.87</v>
      </c>
      <c r="T2096" s="2">
        <v>0.05</v>
      </c>
      <c r="U2096" s="2">
        <v>21.39</v>
      </c>
      <c r="V2096" s="2">
        <v>12.41</v>
      </c>
      <c r="W2096" s="2">
        <v>-4.47</v>
      </c>
      <c r="X2096" s="2">
        <v>0.71</v>
      </c>
      <c r="Y2096" s="2">
        <v>21.8</v>
      </c>
      <c r="Z2096" s="2">
        <v>19.170000000000002</v>
      </c>
    </row>
    <row r="2097" spans="1:26" x14ac:dyDescent="0.25">
      <c r="A2097" s="1" t="s">
        <v>8515</v>
      </c>
      <c r="B2097" s="1" t="s">
        <v>8516</v>
      </c>
      <c r="C2097" s="1" t="s">
        <v>16</v>
      </c>
      <c r="D2097" s="1" t="s">
        <v>38</v>
      </c>
      <c r="E2097" s="1" t="s">
        <v>153</v>
      </c>
      <c r="F2097" s="1" t="s">
        <v>8517</v>
      </c>
      <c r="G2097" s="1" t="s">
        <v>12480</v>
      </c>
      <c r="H2097" s="1" t="s">
        <v>8518</v>
      </c>
      <c r="I2097" s="2">
        <v>7.26</v>
      </c>
      <c r="J2097" s="2">
        <v>0.68</v>
      </c>
      <c r="K2097" s="2"/>
      <c r="L2097" s="2"/>
      <c r="M2097" s="4" t="e">
        <f t="shared" si="192"/>
        <v>#DIV/0!</v>
      </c>
      <c r="N2097" s="4" t="e">
        <f t="shared" si="193"/>
        <v>#DIV/0!</v>
      </c>
      <c r="O2097" s="5">
        <f t="shared" si="194"/>
        <v>-1</v>
      </c>
      <c r="P2097" s="5" t="e">
        <f t="shared" si="195"/>
        <v>#DIV/0!</v>
      </c>
      <c r="Q2097" s="4" t="e">
        <f t="shared" si="196"/>
        <v>#DIV/0!</v>
      </c>
      <c r="R2097" s="4" t="e">
        <f t="shared" si="197"/>
        <v>#DIV/0!</v>
      </c>
      <c r="S2097" s="4">
        <v>71.37</v>
      </c>
      <c r="T2097" s="2">
        <v>1.67</v>
      </c>
      <c r="U2097" s="2">
        <v>8.4700000000000006</v>
      </c>
      <c r="V2097" s="2">
        <v>6.05</v>
      </c>
      <c r="W2097" s="2">
        <v>-2.68</v>
      </c>
      <c r="X2097" s="2">
        <v>-2.81</v>
      </c>
      <c r="Y2097" s="2">
        <v>1.26</v>
      </c>
      <c r="Z2097" s="2">
        <v>0.83</v>
      </c>
    </row>
    <row r="2098" spans="1:26" x14ac:dyDescent="0.25">
      <c r="A2098" s="1" t="s">
        <v>8519</v>
      </c>
      <c r="B2098" s="1" t="s">
        <v>8520</v>
      </c>
      <c r="C2098" s="1" t="s">
        <v>16</v>
      </c>
      <c r="D2098" s="1" t="s">
        <v>32</v>
      </c>
      <c r="E2098" s="1" t="s">
        <v>215</v>
      </c>
      <c r="F2098" s="1" t="s">
        <v>8521</v>
      </c>
      <c r="G2098" s="1" t="s">
        <v>12508</v>
      </c>
      <c r="H2098" s="1" t="s">
        <v>8522</v>
      </c>
      <c r="I2098" s="2">
        <v>151.56</v>
      </c>
      <c r="J2098" s="2">
        <v>6.03</v>
      </c>
      <c r="K2098" s="2">
        <v>7.36</v>
      </c>
      <c r="L2098" s="2">
        <v>7.92</v>
      </c>
      <c r="M2098" s="4">
        <f t="shared" si="192"/>
        <v>20.592391304347824</v>
      </c>
      <c r="N2098" s="4">
        <f t="shared" si="193"/>
        <v>19.136363636363637</v>
      </c>
      <c r="O2098" s="5">
        <f t="shared" si="194"/>
        <v>0.22056384742951907</v>
      </c>
      <c r="P2098" s="5">
        <f t="shared" si="195"/>
        <v>7.6086956521739024E-2</v>
      </c>
      <c r="Q2098" s="4">
        <f t="shared" si="196"/>
        <v>0.93362495913697285</v>
      </c>
      <c r="R2098" s="4">
        <f t="shared" si="197"/>
        <v>2.5150649350649386</v>
      </c>
      <c r="S2098" s="4">
        <v>8.3800000000000008</v>
      </c>
      <c r="T2098" s="2">
        <v>1.66</v>
      </c>
      <c r="U2098" s="2">
        <v>328.33</v>
      </c>
      <c r="V2098" s="2">
        <v>122.82</v>
      </c>
      <c r="W2098" s="2">
        <v>1.55</v>
      </c>
      <c r="X2098" s="2">
        <v>-3.21</v>
      </c>
      <c r="Y2098" s="2">
        <v>-18.04</v>
      </c>
      <c r="Z2098" s="2">
        <v>-22.24</v>
      </c>
    </row>
    <row r="2099" spans="1:26" x14ac:dyDescent="0.25">
      <c r="A2099" s="1" t="s">
        <v>8523</v>
      </c>
      <c r="B2099" s="1" t="s">
        <v>8524</v>
      </c>
      <c r="C2099" s="1" t="s">
        <v>16</v>
      </c>
      <c r="D2099" s="1" t="s">
        <v>38</v>
      </c>
      <c r="E2099" s="1" t="s">
        <v>254</v>
      </c>
      <c r="F2099" s="1" t="s">
        <v>8525</v>
      </c>
      <c r="G2099" s="1" t="s">
        <v>12480</v>
      </c>
      <c r="H2099" s="1" t="s">
        <v>8526</v>
      </c>
      <c r="I2099" s="2">
        <v>40.880000000000003</v>
      </c>
      <c r="J2099" s="2">
        <v>3.15</v>
      </c>
      <c r="K2099" s="2">
        <v>3.25</v>
      </c>
      <c r="L2099" s="2">
        <v>3.35</v>
      </c>
      <c r="M2099" s="4">
        <f t="shared" si="192"/>
        <v>12.578461538461539</v>
      </c>
      <c r="N2099" s="4">
        <f t="shared" si="193"/>
        <v>12.202985074626866</v>
      </c>
      <c r="O2099" s="5">
        <f t="shared" si="194"/>
        <v>3.1746031746031855E-2</v>
      </c>
      <c r="P2099" s="5">
        <f t="shared" si="195"/>
        <v>3.0769230769230882E-2</v>
      </c>
      <c r="Q2099" s="4">
        <f t="shared" si="196"/>
        <v>3.9622153846153711</v>
      </c>
      <c r="R2099" s="4">
        <f t="shared" si="197"/>
        <v>3.9659701492537169</v>
      </c>
      <c r="S2099" s="4">
        <v>10.99</v>
      </c>
      <c r="T2099" s="2">
        <v>0.73</v>
      </c>
      <c r="U2099" s="2">
        <v>46.62</v>
      </c>
      <c r="V2099" s="2">
        <v>35.25</v>
      </c>
      <c r="W2099" s="2">
        <v>-5.1100000000000003</v>
      </c>
      <c r="X2099" s="2">
        <v>-0.44</v>
      </c>
      <c r="Y2099" s="2">
        <v>-10.51</v>
      </c>
      <c r="Z2099" s="2">
        <v>-10.43</v>
      </c>
    </row>
    <row r="2100" spans="1:26" x14ac:dyDescent="0.25">
      <c r="A2100" s="1" t="s">
        <v>8527</v>
      </c>
      <c r="B2100" s="1" t="s">
        <v>8528</v>
      </c>
      <c r="C2100" s="1" t="s">
        <v>45</v>
      </c>
      <c r="D2100" s="1" t="s">
        <v>18</v>
      </c>
      <c r="E2100" s="1" t="s">
        <v>74</v>
      </c>
      <c r="F2100" s="1" t="s">
        <v>8529</v>
      </c>
      <c r="G2100" s="1" t="s">
        <v>12480</v>
      </c>
      <c r="H2100" s="1" t="s">
        <v>7841</v>
      </c>
      <c r="I2100" s="2">
        <v>11.65</v>
      </c>
      <c r="J2100" s="2">
        <v>-1.47</v>
      </c>
      <c r="K2100" s="2">
        <v>-1.34</v>
      </c>
      <c r="L2100" s="2">
        <v>-1.52</v>
      </c>
      <c r="M2100" s="4">
        <f t="shared" si="192"/>
        <v>-8.6940298507462686</v>
      </c>
      <c r="N2100" s="4">
        <f t="shared" si="193"/>
        <v>-7.6644736842105265</v>
      </c>
      <c r="O2100" s="5">
        <f t="shared" si="194"/>
        <v>-8.843537414965974E-2</v>
      </c>
      <c r="P2100" s="5">
        <f t="shared" si="195"/>
        <v>0.13432835820895517</v>
      </c>
      <c r="Q2100" s="4">
        <f t="shared" si="196"/>
        <v>0.98309414466131018</v>
      </c>
      <c r="R2100" s="4">
        <f t="shared" si="197"/>
        <v>-0.57057748538011721</v>
      </c>
      <c r="S2100" s="4"/>
      <c r="T2100" s="2">
        <v>1.28</v>
      </c>
      <c r="U2100" s="2">
        <v>14.41</v>
      </c>
      <c r="V2100" s="2">
        <v>4.26</v>
      </c>
      <c r="W2100" s="2">
        <v>-16.07</v>
      </c>
      <c r="X2100" s="2">
        <v>8.7799999999999994</v>
      </c>
      <c r="Y2100" s="2">
        <v>26.22</v>
      </c>
      <c r="Z2100" s="2">
        <v>42.42</v>
      </c>
    </row>
    <row r="2101" spans="1:26" x14ac:dyDescent="0.25">
      <c r="A2101" s="1" t="s">
        <v>8530</v>
      </c>
      <c r="B2101" s="1" t="s">
        <v>8531</v>
      </c>
      <c r="C2101" s="1" t="s">
        <v>31</v>
      </c>
      <c r="D2101" s="1" t="s">
        <v>18</v>
      </c>
      <c r="E2101" s="1" t="s">
        <v>780</v>
      </c>
      <c r="F2101" s="1" t="s">
        <v>8532</v>
      </c>
      <c r="G2101" s="1" t="s">
        <v>12480</v>
      </c>
      <c r="H2101" s="1" t="s">
        <v>8533</v>
      </c>
      <c r="I2101" s="2">
        <v>37.862499999999997</v>
      </c>
      <c r="J2101" s="2">
        <v>2.0099999999999998</v>
      </c>
      <c r="K2101" s="2"/>
      <c r="L2101" s="2"/>
      <c r="M2101" s="4" t="e">
        <f t="shared" si="192"/>
        <v>#DIV/0!</v>
      </c>
      <c r="N2101" s="4" t="e">
        <f t="shared" si="193"/>
        <v>#DIV/0!</v>
      </c>
      <c r="O2101" s="5">
        <f t="shared" si="194"/>
        <v>-1</v>
      </c>
      <c r="P2101" s="5" t="e">
        <f t="shared" si="195"/>
        <v>#DIV/0!</v>
      </c>
      <c r="Q2101" s="4" t="e">
        <f t="shared" si="196"/>
        <v>#DIV/0!</v>
      </c>
      <c r="R2101" s="4" t="e">
        <f t="shared" si="197"/>
        <v>#DIV/0!</v>
      </c>
      <c r="S2101" s="4">
        <v>28.04</v>
      </c>
      <c r="T2101" s="2">
        <v>0.06</v>
      </c>
      <c r="U2101" s="2">
        <v>42.75</v>
      </c>
      <c r="V2101" s="2">
        <v>26.26</v>
      </c>
      <c r="W2101" s="2">
        <v>-6.67</v>
      </c>
      <c r="X2101" s="2">
        <v>-10.59</v>
      </c>
      <c r="Y2101" s="2">
        <v>9.75</v>
      </c>
      <c r="Z2101" s="2">
        <v>2.77</v>
      </c>
    </row>
    <row r="2102" spans="1:26" x14ac:dyDescent="0.25">
      <c r="A2102" s="1" t="s">
        <v>8534</v>
      </c>
      <c r="B2102" s="1" t="s">
        <v>8535</v>
      </c>
      <c r="C2102" s="1" t="s">
        <v>45</v>
      </c>
      <c r="D2102" s="1" t="s">
        <v>18</v>
      </c>
      <c r="E2102" s="1" t="s">
        <v>780</v>
      </c>
      <c r="F2102" s="1" t="s">
        <v>8536</v>
      </c>
      <c r="G2102" s="1" t="s">
        <v>12480</v>
      </c>
      <c r="H2102" s="1" t="s">
        <v>8537</v>
      </c>
      <c r="I2102" s="2">
        <v>33.65</v>
      </c>
      <c r="J2102" s="2">
        <v>-4.4400000000000004</v>
      </c>
      <c r="K2102" s="2">
        <v>-2.46</v>
      </c>
      <c r="L2102" s="2">
        <v>-2.61</v>
      </c>
      <c r="M2102" s="4">
        <f t="shared" si="192"/>
        <v>-13.678861788617885</v>
      </c>
      <c r="N2102" s="4">
        <f t="shared" si="193"/>
        <v>-12.892720306513411</v>
      </c>
      <c r="O2102" s="5">
        <f t="shared" si="194"/>
        <v>-0.44594594594594605</v>
      </c>
      <c r="P2102" s="5">
        <f t="shared" si="195"/>
        <v>6.0975609756097615E-2</v>
      </c>
      <c r="Q2102" s="4">
        <f t="shared" si="196"/>
        <v>0.3067381128356737</v>
      </c>
      <c r="R2102" s="4">
        <f t="shared" si="197"/>
        <v>-2.1144061302681973</v>
      </c>
      <c r="S2102" s="4"/>
      <c r="T2102" s="2">
        <v>-0.38</v>
      </c>
      <c r="U2102" s="2">
        <v>35.56</v>
      </c>
      <c r="V2102" s="2">
        <v>6.78</v>
      </c>
      <c r="W2102" s="2">
        <v>-0.12</v>
      </c>
      <c r="X2102" s="2">
        <v>1.17</v>
      </c>
      <c r="Y2102" s="2">
        <v>11.79</v>
      </c>
      <c r="Z2102" s="2">
        <v>11.02</v>
      </c>
    </row>
    <row r="2103" spans="1:26" x14ac:dyDescent="0.25">
      <c r="A2103" s="1" t="s">
        <v>8538</v>
      </c>
      <c r="B2103" s="1" t="s">
        <v>8539</v>
      </c>
      <c r="C2103" s="1" t="s">
        <v>1118</v>
      </c>
      <c r="D2103" s="1" t="s">
        <v>88</v>
      </c>
      <c r="E2103" s="1" t="s">
        <v>89</v>
      </c>
      <c r="F2103" s="1" t="s">
        <v>8540</v>
      </c>
      <c r="G2103" s="1" t="s">
        <v>12480</v>
      </c>
      <c r="H2103" s="1" t="s">
        <v>8541</v>
      </c>
      <c r="I2103" s="2">
        <v>17.98</v>
      </c>
      <c r="J2103" s="2">
        <v>0.25</v>
      </c>
      <c r="K2103" s="2">
        <v>1.51</v>
      </c>
      <c r="L2103" s="2">
        <v>1.54</v>
      </c>
      <c r="M2103" s="4">
        <f t="shared" si="192"/>
        <v>11.907284768211921</v>
      </c>
      <c r="N2103" s="4">
        <f t="shared" si="193"/>
        <v>11.675324675324676</v>
      </c>
      <c r="O2103" s="5">
        <f t="shared" si="194"/>
        <v>5.04</v>
      </c>
      <c r="P2103" s="5">
        <f t="shared" si="195"/>
        <v>1.9867549668874274E-2</v>
      </c>
      <c r="Q2103" s="4">
        <f t="shared" si="196"/>
        <v>2.3625565016293495E-2</v>
      </c>
      <c r="R2103" s="4">
        <f t="shared" si="197"/>
        <v>5.8765800865800566</v>
      </c>
      <c r="S2103" s="4">
        <v>47.19</v>
      </c>
      <c r="T2103" s="2">
        <v>0.23</v>
      </c>
      <c r="U2103" s="2">
        <v>21.7</v>
      </c>
      <c r="V2103" s="2">
        <v>7.25</v>
      </c>
      <c r="W2103" s="2">
        <v>-17.14</v>
      </c>
      <c r="X2103" s="2">
        <v>3.69</v>
      </c>
      <c r="Y2103" s="2">
        <v>33.880000000000003</v>
      </c>
      <c r="Z2103" s="2">
        <v>33.479999999999997</v>
      </c>
    </row>
    <row r="2104" spans="1:26" x14ac:dyDescent="0.25">
      <c r="A2104" s="1" t="s">
        <v>8542</v>
      </c>
      <c r="B2104" s="1" t="s">
        <v>8543</v>
      </c>
      <c r="C2104" s="1" t="s">
        <v>45</v>
      </c>
      <c r="D2104" s="1" t="s">
        <v>67</v>
      </c>
      <c r="E2104" s="1" t="s">
        <v>68</v>
      </c>
      <c r="F2104" s="1" t="s">
        <v>8544</v>
      </c>
      <c r="G2104" s="1" t="s">
        <v>12480</v>
      </c>
      <c r="H2104" s="1" t="s">
        <v>8545</v>
      </c>
      <c r="I2104" s="2">
        <v>94.61</v>
      </c>
      <c r="J2104" s="2">
        <v>2.97</v>
      </c>
      <c r="K2104" s="2">
        <v>3.24</v>
      </c>
      <c r="L2104" s="2">
        <v>3.57</v>
      </c>
      <c r="M2104" s="4">
        <f t="shared" si="192"/>
        <v>29.200617283950614</v>
      </c>
      <c r="N2104" s="4">
        <f t="shared" si="193"/>
        <v>26.501400560224091</v>
      </c>
      <c r="O2104" s="5">
        <f t="shared" si="194"/>
        <v>9.0909090909090828E-2</v>
      </c>
      <c r="P2104" s="5">
        <f t="shared" si="195"/>
        <v>0.10185185185185164</v>
      </c>
      <c r="Q2104" s="4">
        <f t="shared" si="196"/>
        <v>3.2120679012345703</v>
      </c>
      <c r="R2104" s="4">
        <f t="shared" si="197"/>
        <v>2.6019556913674617</v>
      </c>
      <c r="S2104" s="4">
        <v>6.42</v>
      </c>
      <c r="T2104" s="2">
        <v>0.63</v>
      </c>
      <c r="U2104" s="2">
        <v>107.82</v>
      </c>
      <c r="V2104" s="2">
        <v>85.97</v>
      </c>
      <c r="W2104" s="2">
        <v>-0.44</v>
      </c>
      <c r="X2104" s="2">
        <v>2.04</v>
      </c>
      <c r="Y2104" s="2">
        <v>-0.56000000000000005</v>
      </c>
      <c r="Z2104" s="2">
        <v>3.73</v>
      </c>
    </row>
    <row r="2105" spans="1:26" x14ac:dyDescent="0.25">
      <c r="A2105" s="1" t="s">
        <v>8546</v>
      </c>
      <c r="B2105" s="1" t="s">
        <v>8547</v>
      </c>
      <c r="C2105" s="1" t="s">
        <v>45</v>
      </c>
      <c r="D2105" s="1" t="s">
        <v>32</v>
      </c>
      <c r="E2105" s="1" t="s">
        <v>311</v>
      </c>
      <c r="F2105" s="1" t="s">
        <v>8548</v>
      </c>
      <c r="G2105" s="1" t="s">
        <v>12480</v>
      </c>
      <c r="H2105" s="1" t="s">
        <v>8549</v>
      </c>
      <c r="I2105" s="2">
        <v>23.7</v>
      </c>
      <c r="J2105" s="2">
        <v>0.28999999999999998</v>
      </c>
      <c r="K2105" s="2">
        <v>0.26</v>
      </c>
      <c r="L2105" s="2">
        <v>0.39</v>
      </c>
      <c r="M2105" s="4">
        <f t="shared" si="192"/>
        <v>91.153846153846146</v>
      </c>
      <c r="N2105" s="4">
        <f t="shared" si="193"/>
        <v>60.769230769230766</v>
      </c>
      <c r="O2105" s="5">
        <f t="shared" si="194"/>
        <v>-0.10344827586206884</v>
      </c>
      <c r="P2105" s="5">
        <f t="shared" si="195"/>
        <v>0.5</v>
      </c>
      <c r="Q2105" s="4">
        <f t="shared" si="196"/>
        <v>-8.811538461538472</v>
      </c>
      <c r="R2105" s="4">
        <f t="shared" si="197"/>
        <v>1.2153846153846153</v>
      </c>
      <c r="S2105" s="4">
        <v>22.99</v>
      </c>
      <c r="T2105" s="2">
        <v>1.99</v>
      </c>
      <c r="U2105" s="2">
        <v>29.17</v>
      </c>
      <c r="V2105" s="2">
        <v>16.649999999999999</v>
      </c>
      <c r="W2105" s="2">
        <v>0.08</v>
      </c>
      <c r="X2105" s="2">
        <v>0.94</v>
      </c>
      <c r="Y2105" s="2">
        <v>39.49</v>
      </c>
      <c r="Z2105" s="2">
        <v>28.94</v>
      </c>
    </row>
    <row r="2106" spans="1:26" x14ac:dyDescent="0.25">
      <c r="A2106" s="1" t="s">
        <v>8550</v>
      </c>
      <c r="B2106" s="1" t="s">
        <v>8551</v>
      </c>
      <c r="C2106" s="1" t="s">
        <v>45</v>
      </c>
      <c r="D2106" s="1" t="s">
        <v>38</v>
      </c>
      <c r="E2106" s="1" t="s">
        <v>1093</v>
      </c>
      <c r="F2106" s="1" t="s">
        <v>8552</v>
      </c>
      <c r="G2106" s="1" t="s">
        <v>12480</v>
      </c>
      <c r="H2106" s="1" t="s">
        <v>8553</v>
      </c>
      <c r="I2106" s="2">
        <v>19.62</v>
      </c>
      <c r="J2106" s="2">
        <v>2.0099999999999998</v>
      </c>
      <c r="K2106" s="2">
        <v>2.16</v>
      </c>
      <c r="L2106" s="2">
        <v>2.2400000000000002</v>
      </c>
      <c r="M2106" s="4">
        <f t="shared" si="192"/>
        <v>9.0833333333333339</v>
      </c>
      <c r="N2106" s="4">
        <f t="shared" si="193"/>
        <v>8.7589285714285712</v>
      </c>
      <c r="O2106" s="5">
        <f t="shared" si="194"/>
        <v>7.4626865671642006E-2</v>
      </c>
      <c r="P2106" s="5">
        <f t="shared" si="195"/>
        <v>3.7037037037036979E-2</v>
      </c>
      <c r="Q2106" s="4">
        <f t="shared" si="196"/>
        <v>1.2171666666666632</v>
      </c>
      <c r="R2106" s="4">
        <f t="shared" si="197"/>
        <v>2.3649107142857178</v>
      </c>
      <c r="S2106" s="4">
        <v>17.510000000000002</v>
      </c>
      <c r="T2106" s="2">
        <v>0.79</v>
      </c>
      <c r="U2106" s="2">
        <v>21.47</v>
      </c>
      <c r="V2106" s="2">
        <v>14.45</v>
      </c>
      <c r="W2106" s="2">
        <v>-1.46</v>
      </c>
      <c r="X2106" s="2">
        <v>-7.06</v>
      </c>
      <c r="Y2106" s="2">
        <v>-4.9400000000000004</v>
      </c>
      <c r="Z2106" s="2">
        <v>0.62</v>
      </c>
    </row>
    <row r="2107" spans="1:26" x14ac:dyDescent="0.25">
      <c r="A2107" s="1" t="s">
        <v>8554</v>
      </c>
      <c r="B2107" s="1" t="s">
        <v>8555</v>
      </c>
      <c r="C2107" s="1" t="s">
        <v>16</v>
      </c>
      <c r="D2107" s="1" t="s">
        <v>38</v>
      </c>
      <c r="E2107" s="1" t="s">
        <v>254</v>
      </c>
      <c r="F2107" s="1" t="s">
        <v>8556</v>
      </c>
      <c r="G2107" s="1" t="s">
        <v>12480</v>
      </c>
      <c r="H2107" s="1" t="s">
        <v>8557</v>
      </c>
      <c r="I2107" s="2">
        <v>13.96</v>
      </c>
      <c r="J2107" s="2">
        <v>-1.69</v>
      </c>
      <c r="K2107" s="2">
        <v>0.2</v>
      </c>
      <c r="L2107" s="2">
        <v>1.06</v>
      </c>
      <c r="M2107" s="4">
        <f t="shared" si="192"/>
        <v>69.8</v>
      </c>
      <c r="N2107" s="4">
        <f t="shared" si="193"/>
        <v>13.169811320754716</v>
      </c>
      <c r="O2107" s="5">
        <f t="shared" si="194"/>
        <v>-1.1183431952662721</v>
      </c>
      <c r="P2107" s="5">
        <f t="shared" si="195"/>
        <v>4.3</v>
      </c>
      <c r="Q2107" s="4">
        <f t="shared" si="196"/>
        <v>-0.6241375661375661</v>
      </c>
      <c r="R2107" s="4">
        <f t="shared" si="197"/>
        <v>3.0627468187801665E-2</v>
      </c>
      <c r="S2107" s="4">
        <v>27.5</v>
      </c>
      <c r="T2107" s="2">
        <v>1.91</v>
      </c>
      <c r="U2107" s="2">
        <v>22.47</v>
      </c>
      <c r="V2107" s="2">
        <v>11.6</v>
      </c>
      <c r="W2107" s="2">
        <v>-0.14000000000000001</v>
      </c>
      <c r="X2107" s="2">
        <v>10.27</v>
      </c>
      <c r="Y2107" s="2">
        <v>-13.51</v>
      </c>
      <c r="Z2107" s="2">
        <v>-2.85</v>
      </c>
    </row>
    <row r="2108" spans="1:26" x14ac:dyDescent="0.25">
      <c r="A2108" s="1" t="s">
        <v>8558</v>
      </c>
      <c r="B2108" s="1" t="s">
        <v>8559</v>
      </c>
      <c r="C2108" s="1" t="s">
        <v>45</v>
      </c>
      <c r="D2108" s="1" t="s">
        <v>32</v>
      </c>
      <c r="E2108" s="1" t="s">
        <v>33</v>
      </c>
      <c r="F2108" s="1" t="s">
        <v>8560</v>
      </c>
      <c r="G2108" s="1" t="s">
        <v>12502</v>
      </c>
      <c r="H2108" s="1" t="s">
        <v>1904</v>
      </c>
      <c r="I2108" s="2">
        <v>282.16000000000003</v>
      </c>
      <c r="J2108" s="2">
        <v>9.36</v>
      </c>
      <c r="K2108" s="2">
        <v>10.46</v>
      </c>
      <c r="L2108" s="2">
        <v>11.52</v>
      </c>
      <c r="M2108" s="4">
        <f t="shared" si="192"/>
        <v>26.975143403441681</v>
      </c>
      <c r="N2108" s="4">
        <f t="shared" si="193"/>
        <v>24.493055555555557</v>
      </c>
      <c r="O2108" s="5">
        <f t="shared" si="194"/>
        <v>0.11752136752136777</v>
      </c>
      <c r="P2108" s="5">
        <f t="shared" si="195"/>
        <v>0.1013384321223707</v>
      </c>
      <c r="Q2108" s="4">
        <f t="shared" si="196"/>
        <v>2.2953394750564873</v>
      </c>
      <c r="R2108" s="4">
        <f t="shared" si="197"/>
        <v>2.4169562368972803</v>
      </c>
      <c r="S2108" s="4">
        <v>11.33</v>
      </c>
      <c r="T2108" s="2">
        <v>1.32</v>
      </c>
      <c r="U2108" s="2">
        <v>297.87</v>
      </c>
      <c r="V2108" s="2">
        <v>174.22</v>
      </c>
      <c r="W2108" s="2">
        <v>-1.57</v>
      </c>
      <c r="X2108" s="2">
        <v>2.69</v>
      </c>
      <c r="Y2108" s="2">
        <v>7.54</v>
      </c>
      <c r="Z2108" s="2">
        <v>10.63</v>
      </c>
    </row>
    <row r="2109" spans="1:26" x14ac:dyDescent="0.25">
      <c r="A2109" s="1" t="s">
        <v>8561</v>
      </c>
      <c r="B2109" s="1" t="s">
        <v>8562</v>
      </c>
      <c r="C2109" s="1" t="s">
        <v>16</v>
      </c>
      <c r="D2109" s="1" t="s">
        <v>305</v>
      </c>
      <c r="E2109" s="1" t="s">
        <v>349</v>
      </c>
      <c r="F2109" s="1" t="s">
        <v>8563</v>
      </c>
      <c r="G2109" s="1" t="s">
        <v>12480</v>
      </c>
      <c r="H2109" s="1" t="s">
        <v>8564</v>
      </c>
      <c r="I2109" s="2">
        <v>154.41999999999999</v>
      </c>
      <c r="J2109" s="2">
        <v>10.79</v>
      </c>
      <c r="K2109" s="2">
        <v>11.45</v>
      </c>
      <c r="L2109" s="2">
        <v>14.01</v>
      </c>
      <c r="M2109" s="4">
        <f t="shared" si="192"/>
        <v>13.48646288209607</v>
      </c>
      <c r="N2109" s="4">
        <f t="shared" si="193"/>
        <v>11.022127052105638</v>
      </c>
      <c r="O2109" s="5">
        <f t="shared" si="194"/>
        <v>6.1167747914735893E-2</v>
      </c>
      <c r="P2109" s="5">
        <f t="shared" si="195"/>
        <v>0.22358078602620091</v>
      </c>
      <c r="Q2109" s="4">
        <f t="shared" si="196"/>
        <v>2.204832340876008</v>
      </c>
      <c r="R2109" s="4">
        <f t="shared" si="197"/>
        <v>0.49298185447894355</v>
      </c>
      <c r="S2109" s="4">
        <v>-3.1</v>
      </c>
      <c r="T2109" s="2">
        <v>1.37</v>
      </c>
      <c r="U2109" s="2">
        <v>177.94</v>
      </c>
      <c r="V2109" s="2">
        <v>79.17</v>
      </c>
      <c r="W2109" s="2">
        <v>-10.29</v>
      </c>
      <c r="X2109" s="2">
        <v>-10.49</v>
      </c>
      <c r="Y2109" s="2">
        <v>18.760000000000002</v>
      </c>
      <c r="Z2109" s="2">
        <v>22.92</v>
      </c>
    </row>
    <row r="2110" spans="1:26" x14ac:dyDescent="0.25">
      <c r="A2110" s="1" t="s">
        <v>8565</v>
      </c>
      <c r="B2110" s="1" t="s">
        <v>8566</v>
      </c>
      <c r="C2110" s="1" t="s">
        <v>45</v>
      </c>
      <c r="D2110" s="1" t="s">
        <v>147</v>
      </c>
      <c r="E2110" s="1" t="s">
        <v>148</v>
      </c>
      <c r="F2110" s="1" t="s">
        <v>8567</v>
      </c>
      <c r="G2110" s="1" t="s">
        <v>12480</v>
      </c>
      <c r="H2110" s="1" t="s">
        <v>8568</v>
      </c>
      <c r="I2110" s="2">
        <v>20.39</v>
      </c>
      <c r="J2110" s="2">
        <v>0.99</v>
      </c>
      <c r="K2110" s="2">
        <v>1.1200000000000001</v>
      </c>
      <c r="L2110" s="2">
        <v>1.28</v>
      </c>
      <c r="M2110" s="4">
        <f t="shared" si="192"/>
        <v>18.205357142857142</v>
      </c>
      <c r="N2110" s="4">
        <f t="shared" si="193"/>
        <v>15.9296875</v>
      </c>
      <c r="O2110" s="5">
        <f t="shared" si="194"/>
        <v>0.13131313131313149</v>
      </c>
      <c r="P2110" s="5">
        <f t="shared" si="195"/>
        <v>0.14285714285714279</v>
      </c>
      <c r="Q2110" s="4">
        <f t="shared" si="196"/>
        <v>1.3864079670329652</v>
      </c>
      <c r="R2110" s="4">
        <f t="shared" si="197"/>
        <v>1.1150781250000006</v>
      </c>
      <c r="S2110" s="4">
        <v>7.37</v>
      </c>
      <c r="T2110" s="2">
        <v>0.99</v>
      </c>
      <c r="U2110" s="2">
        <v>23.38</v>
      </c>
      <c r="V2110" s="2" t="s">
        <v>12665</v>
      </c>
      <c r="W2110" s="2">
        <v>-3.09</v>
      </c>
      <c r="X2110" s="2">
        <v>-7.95</v>
      </c>
      <c r="Y2110" s="2">
        <v>-3.55</v>
      </c>
      <c r="Z2110" s="2">
        <v>-1.69</v>
      </c>
    </row>
    <row r="2111" spans="1:26" x14ac:dyDescent="0.25">
      <c r="A2111" s="1" t="s">
        <v>8569</v>
      </c>
      <c r="B2111" s="1" t="s">
        <v>8570</v>
      </c>
      <c r="C2111" s="1" t="s">
        <v>45</v>
      </c>
      <c r="D2111" s="1" t="s">
        <v>32</v>
      </c>
      <c r="E2111" s="1" t="s">
        <v>215</v>
      </c>
      <c r="F2111" s="1" t="s">
        <v>8571</v>
      </c>
      <c r="G2111" s="1" t="s">
        <v>12502</v>
      </c>
      <c r="H2111" s="1" t="s">
        <v>8572</v>
      </c>
      <c r="I2111" s="2">
        <v>25.61</v>
      </c>
      <c r="J2111" s="2">
        <v>3.82</v>
      </c>
      <c r="K2111" s="2">
        <v>4.21</v>
      </c>
      <c r="L2111" s="2">
        <v>4.55</v>
      </c>
      <c r="M2111" s="4">
        <f t="shared" si="192"/>
        <v>6.0831353919239906</v>
      </c>
      <c r="N2111" s="4">
        <f t="shared" si="193"/>
        <v>5.628571428571429</v>
      </c>
      <c r="O2111" s="5">
        <f t="shared" si="194"/>
        <v>0.10209424083769636</v>
      </c>
      <c r="P2111" s="5">
        <f t="shared" si="195"/>
        <v>8.0760095011876532E-2</v>
      </c>
      <c r="Q2111" s="4">
        <f t="shared" si="196"/>
        <v>0.59583531274742663</v>
      </c>
      <c r="R2111" s="4">
        <f t="shared" si="197"/>
        <v>0.69694957983193251</v>
      </c>
      <c r="S2111" s="4">
        <v>-10.42</v>
      </c>
      <c r="T2111" s="2">
        <v>1.08</v>
      </c>
      <c r="U2111" s="2">
        <v>39.69</v>
      </c>
      <c r="V2111" s="2">
        <v>22.79</v>
      </c>
      <c r="W2111" s="2">
        <v>4.49</v>
      </c>
      <c r="X2111" s="2">
        <v>1.03</v>
      </c>
      <c r="Y2111" s="2">
        <v>-23.25</v>
      </c>
      <c r="Z2111" s="2">
        <v>-21.39</v>
      </c>
    </row>
    <row r="2112" spans="1:26" x14ac:dyDescent="0.25">
      <c r="A2112" s="1" t="s">
        <v>8573</v>
      </c>
      <c r="B2112" s="1" t="s">
        <v>8574</v>
      </c>
      <c r="C2112" s="1" t="s">
        <v>16</v>
      </c>
      <c r="D2112" s="1" t="s">
        <v>38</v>
      </c>
      <c r="E2112" s="1" t="s">
        <v>712</v>
      </c>
      <c r="F2112" s="1" t="s">
        <v>8575</v>
      </c>
      <c r="G2112" s="1" t="s">
        <v>12480</v>
      </c>
      <c r="H2112" s="1" t="s">
        <v>8576</v>
      </c>
      <c r="I2112" s="2">
        <v>11.71</v>
      </c>
      <c r="J2112" s="2">
        <v>1.25</v>
      </c>
      <c r="K2112" s="2">
        <v>1.33</v>
      </c>
      <c r="L2112" s="2">
        <v>1.41</v>
      </c>
      <c r="M2112" s="4">
        <f t="shared" si="192"/>
        <v>8.8045112781954895</v>
      </c>
      <c r="N2112" s="4">
        <f t="shared" si="193"/>
        <v>8.3049645390070932</v>
      </c>
      <c r="O2112" s="5">
        <f t="shared" si="194"/>
        <v>6.4000000000000057E-2</v>
      </c>
      <c r="P2112" s="5">
        <f t="shared" si="195"/>
        <v>6.0150375939849399E-2</v>
      </c>
      <c r="Q2112" s="4">
        <f t="shared" si="196"/>
        <v>1.375704887218044</v>
      </c>
      <c r="R2112" s="4">
        <f t="shared" si="197"/>
        <v>1.3807003546099343</v>
      </c>
      <c r="S2112" s="4">
        <v>67.45</v>
      </c>
      <c r="T2112" s="2"/>
      <c r="U2112" s="2">
        <v>16.559999999999999</v>
      </c>
      <c r="V2112" s="2">
        <v>11.15</v>
      </c>
      <c r="W2112" s="2">
        <v>0.6</v>
      </c>
      <c r="X2112" s="2">
        <v>-10.130000000000001</v>
      </c>
      <c r="Y2112" s="2">
        <v>-15.94</v>
      </c>
      <c r="Z2112" s="2">
        <v>-19.46</v>
      </c>
    </row>
    <row r="2113" spans="1:26" x14ac:dyDescent="0.25">
      <c r="A2113" s="1" t="s">
        <v>8577</v>
      </c>
      <c r="B2113" s="1" t="s">
        <v>8578</v>
      </c>
      <c r="C2113" s="1" t="s">
        <v>16</v>
      </c>
      <c r="D2113" s="1" t="s">
        <v>25</v>
      </c>
      <c r="E2113" s="1" t="s">
        <v>220</v>
      </c>
      <c r="F2113" s="1" t="s">
        <v>8579</v>
      </c>
      <c r="G2113" s="1" t="s">
        <v>12480</v>
      </c>
      <c r="H2113" s="1" t="s">
        <v>8580</v>
      </c>
      <c r="I2113" s="2">
        <v>87.57</v>
      </c>
      <c r="J2113" s="2">
        <v>4.05</v>
      </c>
      <c r="K2113" s="2">
        <v>4.34</v>
      </c>
      <c r="L2113" s="2">
        <v>4.84</v>
      </c>
      <c r="M2113" s="4">
        <f t="shared" si="192"/>
        <v>20.177419354838708</v>
      </c>
      <c r="N2113" s="4">
        <f t="shared" si="193"/>
        <v>18.09297520661157</v>
      </c>
      <c r="O2113" s="5">
        <f t="shared" si="194"/>
        <v>7.1604938271604857E-2</v>
      </c>
      <c r="P2113" s="5">
        <f t="shared" si="195"/>
        <v>0.11520737327188946</v>
      </c>
      <c r="Q2113" s="4">
        <f t="shared" si="196"/>
        <v>2.8178809788654089</v>
      </c>
      <c r="R2113" s="4">
        <f t="shared" si="197"/>
        <v>1.5704702479338835</v>
      </c>
      <c r="S2113" s="4">
        <v>1.19</v>
      </c>
      <c r="T2113" s="2" t="s">
        <v>12493</v>
      </c>
      <c r="U2113" s="2">
        <v>104.3</v>
      </c>
      <c r="V2113" s="2">
        <v>84.93</v>
      </c>
      <c r="W2113" s="2">
        <v>-6.46</v>
      </c>
      <c r="X2113" s="2">
        <v>-1.94</v>
      </c>
      <c r="Y2113" s="2">
        <v>-1.1299999999999999</v>
      </c>
      <c r="Z2113" s="2">
        <v>0.25</v>
      </c>
    </row>
    <row r="2114" spans="1:26" x14ac:dyDescent="0.25">
      <c r="A2114" s="1" t="s">
        <v>8581</v>
      </c>
      <c r="B2114" s="1" t="s">
        <v>4494</v>
      </c>
      <c r="C2114" s="1" t="s">
        <v>8583</v>
      </c>
      <c r="D2114" s="1" t="s">
        <v>24</v>
      </c>
      <c r="E2114" s="1" t="s">
        <v>18</v>
      </c>
      <c r="F2114" s="1" t="s">
        <v>8582</v>
      </c>
      <c r="G2114" s="1" t="s">
        <v>780</v>
      </c>
      <c r="H2114" s="1" t="s">
        <v>12480</v>
      </c>
      <c r="I2114" s="2">
        <v>21.7</v>
      </c>
      <c r="J2114" s="2" t="s">
        <v>12481</v>
      </c>
      <c r="K2114" s="2">
        <v>2.29</v>
      </c>
      <c r="L2114" s="2">
        <v>1.89</v>
      </c>
      <c r="M2114" s="4">
        <f t="shared" si="192"/>
        <v>9.4759825327510914</v>
      </c>
      <c r="N2114" s="4">
        <f t="shared" si="193"/>
        <v>11.481481481481481</v>
      </c>
      <c r="O2114" s="5">
        <f t="shared" si="194"/>
        <v>-0.99998869202812668</v>
      </c>
      <c r="P2114" s="5">
        <f t="shared" si="195"/>
        <v>-0.17467248908296951</v>
      </c>
      <c r="Q2114" s="4">
        <f t="shared" si="196"/>
        <v>-9.4760896881067536E-2</v>
      </c>
      <c r="R2114" s="4">
        <f t="shared" si="197"/>
        <v>-0.65731481481481446</v>
      </c>
      <c r="S2114" s="4">
        <v>2.0099999999999998</v>
      </c>
      <c r="T2114" s="2">
        <v>31.66</v>
      </c>
      <c r="U2114" s="2">
        <v>1074.19</v>
      </c>
      <c r="V2114" s="2">
        <v>34.65</v>
      </c>
      <c r="W2114" s="2"/>
      <c r="X2114" s="2">
        <v>-3.59</v>
      </c>
      <c r="Y2114" s="2">
        <v>2.0299999999999998</v>
      </c>
      <c r="Z2114" s="2">
        <v>5.89</v>
      </c>
    </row>
    <row r="2115" spans="1:26" x14ac:dyDescent="0.25">
      <c r="A2115" s="1" t="s">
        <v>8584</v>
      </c>
      <c r="B2115" s="1" t="s">
        <v>8585</v>
      </c>
      <c r="C2115" s="1" t="s">
        <v>45</v>
      </c>
      <c r="D2115" s="1" t="s">
        <v>354</v>
      </c>
      <c r="E2115" s="1" t="s">
        <v>355</v>
      </c>
      <c r="F2115" s="1" t="s">
        <v>8586</v>
      </c>
      <c r="G2115" s="1" t="s">
        <v>12480</v>
      </c>
      <c r="H2115" s="1" t="s">
        <v>5658</v>
      </c>
      <c r="I2115" s="2">
        <v>87.93</v>
      </c>
      <c r="J2115" s="2">
        <v>6.55</v>
      </c>
      <c r="K2115" s="2">
        <v>5.25</v>
      </c>
      <c r="L2115" s="2">
        <v>4.6500000000000004</v>
      </c>
      <c r="M2115" s="4">
        <f t="shared" ref="M2115:M2178" si="198">I2115/K2115</f>
        <v>16.748571428571431</v>
      </c>
      <c r="N2115" s="4">
        <f t="shared" ref="N2115:N2178" si="199">I2115/L2115</f>
        <v>18.909677419354839</v>
      </c>
      <c r="O2115" s="5">
        <f t="shared" ref="O2115:O2178" si="200">K2115/J2115-1</f>
        <v>-0.19847328244274809</v>
      </c>
      <c r="P2115" s="5">
        <f t="shared" ref="P2115:P2178" si="201">L2115/K2115-1</f>
        <v>-0.11428571428571421</v>
      </c>
      <c r="Q2115" s="4">
        <f t="shared" ref="Q2115:Q2178" si="202">M2115/(O2115*100)</f>
        <v>-0.84387032967032982</v>
      </c>
      <c r="R2115" s="4">
        <f t="shared" ref="R2115:R2178" si="203">N2115/(P2115*100)</f>
        <v>-1.6545967741935494</v>
      </c>
      <c r="S2115" s="4">
        <v>-1.99</v>
      </c>
      <c r="T2115" s="2">
        <v>0.56000000000000005</v>
      </c>
      <c r="U2115" s="2">
        <v>90.04</v>
      </c>
      <c r="V2115" s="2">
        <v>74.62</v>
      </c>
      <c r="W2115" s="2">
        <v>2.6</v>
      </c>
      <c r="X2115" s="2">
        <v>1.92</v>
      </c>
      <c r="Y2115" s="2">
        <v>4.22</v>
      </c>
      <c r="Z2115" s="2">
        <v>8.81</v>
      </c>
    </row>
    <row r="2116" spans="1:26" x14ac:dyDescent="0.25">
      <c r="A2116" s="1" t="s">
        <v>8587</v>
      </c>
      <c r="B2116" s="1" t="s">
        <v>8588</v>
      </c>
      <c r="C2116" s="1" t="s">
        <v>45</v>
      </c>
      <c r="D2116" s="1" t="s">
        <v>32</v>
      </c>
      <c r="E2116" s="1" t="s">
        <v>33</v>
      </c>
      <c r="F2116" s="1" t="s">
        <v>8589</v>
      </c>
      <c r="G2116" s="1" t="s">
        <v>12480</v>
      </c>
      <c r="H2116" s="1" t="s">
        <v>7610</v>
      </c>
      <c r="I2116" s="2">
        <v>20.55</v>
      </c>
      <c r="J2116" s="2">
        <v>-1.07</v>
      </c>
      <c r="K2116" s="2">
        <v>-0.96</v>
      </c>
      <c r="L2116" s="2">
        <v>-0.73</v>
      </c>
      <c r="M2116" s="4">
        <f t="shared" si="198"/>
        <v>-21.40625</v>
      </c>
      <c r="N2116" s="4">
        <f t="shared" si="199"/>
        <v>-28.150684931506852</v>
      </c>
      <c r="O2116" s="5">
        <f t="shared" si="200"/>
        <v>-0.10280373831775713</v>
      </c>
      <c r="P2116" s="5">
        <f t="shared" si="201"/>
        <v>-0.23958333333333337</v>
      </c>
      <c r="Q2116" s="4">
        <f t="shared" si="202"/>
        <v>2.0822443181818158</v>
      </c>
      <c r="R2116" s="4">
        <f t="shared" si="203"/>
        <v>1.1749851101846338</v>
      </c>
      <c r="S2116" s="4">
        <v>52.46</v>
      </c>
      <c r="T2116" s="2">
        <v>2.91</v>
      </c>
      <c r="U2116" s="2">
        <v>37.08</v>
      </c>
      <c r="V2116" s="2">
        <v>6.61</v>
      </c>
      <c r="W2116" s="2">
        <v>1.48</v>
      </c>
      <c r="X2116" s="2">
        <v>-2.42</v>
      </c>
      <c r="Y2116" s="2">
        <v>-6.97</v>
      </c>
      <c r="Z2116" s="2">
        <v>-5.04</v>
      </c>
    </row>
    <row r="2117" spans="1:26" x14ac:dyDescent="0.25">
      <c r="A2117" s="1" t="s">
        <v>8591</v>
      </c>
      <c r="B2117" s="1" t="s">
        <v>8592</v>
      </c>
      <c r="C2117" s="1" t="s">
        <v>16</v>
      </c>
      <c r="D2117" s="1" t="s">
        <v>38</v>
      </c>
      <c r="E2117" s="1" t="s">
        <v>510</v>
      </c>
      <c r="F2117" s="1" t="s">
        <v>8593</v>
      </c>
      <c r="G2117" s="1" t="s">
        <v>12480</v>
      </c>
      <c r="H2117" s="1" t="s">
        <v>8594</v>
      </c>
      <c r="I2117" s="2">
        <v>28.13</v>
      </c>
      <c r="J2117" s="2">
        <v>1.99</v>
      </c>
      <c r="K2117" s="2">
        <v>2.1800000000000002</v>
      </c>
      <c r="L2117" s="2">
        <v>2.25</v>
      </c>
      <c r="M2117" s="4">
        <f t="shared" si="198"/>
        <v>12.903669724770641</v>
      </c>
      <c r="N2117" s="4">
        <f t="shared" si="199"/>
        <v>12.502222222222223</v>
      </c>
      <c r="O2117" s="5">
        <f t="shared" si="200"/>
        <v>9.5477386934673447E-2</v>
      </c>
      <c r="P2117" s="5">
        <f t="shared" si="201"/>
        <v>3.2110091743119185E-2</v>
      </c>
      <c r="Q2117" s="4">
        <f t="shared" si="202"/>
        <v>1.351489618541766</v>
      </c>
      <c r="R2117" s="4">
        <f t="shared" si="203"/>
        <v>3.8935492063492165</v>
      </c>
      <c r="S2117" s="4">
        <v>0.04</v>
      </c>
      <c r="T2117" s="2">
        <v>1.51</v>
      </c>
      <c r="U2117" s="2">
        <v>29.2</v>
      </c>
      <c r="V2117" s="2">
        <v>13.26</v>
      </c>
      <c r="W2117" s="2">
        <v>-3.3</v>
      </c>
      <c r="X2117" s="2">
        <v>6.59</v>
      </c>
      <c r="Y2117" s="2">
        <v>20.83</v>
      </c>
      <c r="Z2117" s="2">
        <v>16.72</v>
      </c>
    </row>
    <row r="2118" spans="1:26" x14ac:dyDescent="0.25">
      <c r="A2118" s="1" t="s">
        <v>8595</v>
      </c>
      <c r="B2118" s="1" t="s">
        <v>8596</v>
      </c>
      <c r="C2118" s="1" t="s">
        <v>31</v>
      </c>
      <c r="D2118" s="1" t="s">
        <v>88</v>
      </c>
      <c r="E2118" s="1" t="s">
        <v>912</v>
      </c>
      <c r="F2118" s="1" t="s">
        <v>8597</v>
      </c>
      <c r="G2118" s="1" t="s">
        <v>12480</v>
      </c>
      <c r="H2118" s="1" t="s">
        <v>8598</v>
      </c>
      <c r="I2118" s="2">
        <v>3.26</v>
      </c>
      <c r="J2118" s="2">
        <v>-0.18</v>
      </c>
      <c r="K2118" s="2">
        <v>0.01</v>
      </c>
      <c r="L2118" s="2">
        <v>0.28999999999999998</v>
      </c>
      <c r="M2118" s="4">
        <f t="shared" si="198"/>
        <v>326</v>
      </c>
      <c r="N2118" s="4">
        <f t="shared" si="199"/>
        <v>11.241379310344827</v>
      </c>
      <c r="O2118" s="5">
        <f t="shared" si="200"/>
        <v>-1.0555555555555556</v>
      </c>
      <c r="P2118" s="5">
        <f t="shared" si="201"/>
        <v>27.999999999999996</v>
      </c>
      <c r="Q2118" s="4">
        <f t="shared" si="202"/>
        <v>-3.088421052631579</v>
      </c>
      <c r="R2118" s="4">
        <f t="shared" si="203"/>
        <v>4.0147783251231533E-3</v>
      </c>
      <c r="S2118" s="4">
        <v>-3.82</v>
      </c>
      <c r="T2118" s="2">
        <v>0.55000000000000004</v>
      </c>
      <c r="U2118" s="2">
        <v>3.3</v>
      </c>
      <c r="V2118" s="2">
        <v>1.63</v>
      </c>
      <c r="W2118" s="2">
        <v>-1.21</v>
      </c>
      <c r="X2118" s="2">
        <v>10.51</v>
      </c>
      <c r="Y2118" s="2">
        <v>37.549999999999997</v>
      </c>
      <c r="Z2118" s="2">
        <v>31.45</v>
      </c>
    </row>
    <row r="2119" spans="1:26" x14ac:dyDescent="0.25">
      <c r="A2119" s="1" t="s">
        <v>8599</v>
      </c>
      <c r="B2119" s="1" t="s">
        <v>8600</v>
      </c>
      <c r="C2119" s="1" t="s">
        <v>31</v>
      </c>
      <c r="D2119" s="1" t="s">
        <v>38</v>
      </c>
      <c r="E2119" s="1" t="s">
        <v>189</v>
      </c>
      <c r="F2119" s="1" t="s">
        <v>8601</v>
      </c>
      <c r="G2119" s="1" t="s">
        <v>12480</v>
      </c>
      <c r="H2119" s="1" t="s">
        <v>8602</v>
      </c>
      <c r="I2119" s="2">
        <v>32.204999999999998</v>
      </c>
      <c r="J2119" s="2">
        <v>2.5</v>
      </c>
      <c r="K2119" s="2">
        <v>2.5</v>
      </c>
      <c r="L2119" s="2">
        <v>2.69</v>
      </c>
      <c r="M2119" s="4">
        <f t="shared" si="198"/>
        <v>12.882</v>
      </c>
      <c r="N2119" s="4">
        <f t="shared" si="199"/>
        <v>11.972118959107807</v>
      </c>
      <c r="O2119" s="5">
        <f t="shared" si="200"/>
        <v>0</v>
      </c>
      <c r="P2119" s="5">
        <f t="shared" si="201"/>
        <v>7.6000000000000068E-2</v>
      </c>
      <c r="Q2119" s="4" t="e">
        <f t="shared" si="202"/>
        <v>#DIV/0!</v>
      </c>
      <c r="R2119" s="4">
        <f t="shared" si="203"/>
        <v>1.5752788104089206</v>
      </c>
      <c r="S2119" s="4">
        <v>-3.82</v>
      </c>
      <c r="T2119" s="2">
        <v>0.39</v>
      </c>
      <c r="U2119" s="2">
        <v>34.42</v>
      </c>
      <c r="V2119" s="2">
        <v>21.74</v>
      </c>
      <c r="W2119" s="2">
        <v>-2.17</v>
      </c>
      <c r="X2119" s="2">
        <v>-4.92</v>
      </c>
      <c r="Y2119" s="2">
        <v>7.78</v>
      </c>
      <c r="Z2119" s="2">
        <v>4.05</v>
      </c>
    </row>
    <row r="2120" spans="1:26" x14ac:dyDescent="0.25">
      <c r="A2120" s="1" t="s">
        <v>8603</v>
      </c>
      <c r="B2120" s="1" t="s">
        <v>8604</v>
      </c>
      <c r="C2120" s="1" t="s">
        <v>16</v>
      </c>
      <c r="D2120" s="1" t="s">
        <v>94</v>
      </c>
      <c r="E2120" s="1" t="s">
        <v>409</v>
      </c>
      <c r="F2120" s="1" t="s">
        <v>8605</v>
      </c>
      <c r="G2120" s="1" t="s">
        <v>12480</v>
      </c>
      <c r="H2120" s="1" t="s">
        <v>8606</v>
      </c>
      <c r="I2120" s="2">
        <v>53.72</v>
      </c>
      <c r="J2120" s="2">
        <v>4.84</v>
      </c>
      <c r="K2120" s="2">
        <v>3.93</v>
      </c>
      <c r="L2120" s="2">
        <v>4.8899999999999997</v>
      </c>
      <c r="M2120" s="4">
        <f t="shared" si="198"/>
        <v>13.669211195928753</v>
      </c>
      <c r="N2120" s="4">
        <f t="shared" si="199"/>
        <v>10.985685071574643</v>
      </c>
      <c r="O2120" s="5">
        <f t="shared" si="200"/>
        <v>-0.18801652892561982</v>
      </c>
      <c r="P2120" s="5">
        <f t="shared" si="201"/>
        <v>0.24427480916030531</v>
      </c>
      <c r="Q2120" s="4">
        <f t="shared" si="202"/>
        <v>-0.72702178228895786</v>
      </c>
      <c r="R2120" s="4">
        <f t="shared" si="203"/>
        <v>0.44972648261758702</v>
      </c>
      <c r="S2120" s="4">
        <v>-2.67</v>
      </c>
      <c r="T2120" s="2">
        <v>0.69</v>
      </c>
      <c r="U2120" s="2">
        <v>53.72</v>
      </c>
      <c r="V2120" s="2">
        <v>31.18</v>
      </c>
      <c r="W2120" s="2">
        <v>2.99</v>
      </c>
      <c r="X2120" s="2">
        <v>14.27</v>
      </c>
      <c r="Y2120" s="2">
        <v>36.9</v>
      </c>
      <c r="Z2120" s="2">
        <v>37.08</v>
      </c>
    </row>
    <row r="2121" spans="1:26" x14ac:dyDescent="0.25">
      <c r="A2121" s="1" t="s">
        <v>8607</v>
      </c>
      <c r="B2121" s="1" t="s">
        <v>8608</v>
      </c>
      <c r="C2121" s="1" t="s">
        <v>16</v>
      </c>
      <c r="D2121" s="1" t="s">
        <v>38</v>
      </c>
      <c r="E2121" s="1" t="s">
        <v>101</v>
      </c>
      <c r="F2121" s="1" t="s">
        <v>8609</v>
      </c>
      <c r="G2121" s="1" t="s">
        <v>12480</v>
      </c>
      <c r="H2121" s="1" t="s">
        <v>8610</v>
      </c>
      <c r="I2121" s="2">
        <v>9.81</v>
      </c>
      <c r="J2121" s="2">
        <v>0.84</v>
      </c>
      <c r="K2121" s="2">
        <v>0.94</v>
      </c>
      <c r="L2121" s="2">
        <v>1.1000000000000001</v>
      </c>
      <c r="M2121" s="4">
        <f t="shared" si="198"/>
        <v>10.436170212765958</v>
      </c>
      <c r="N2121" s="4">
        <f t="shared" si="199"/>
        <v>8.918181818181818</v>
      </c>
      <c r="O2121" s="5">
        <f t="shared" si="200"/>
        <v>0.11904761904761907</v>
      </c>
      <c r="P2121" s="5">
        <f t="shared" si="201"/>
        <v>0.17021276595744705</v>
      </c>
      <c r="Q2121" s="4">
        <f t="shared" si="202"/>
        <v>0.87663829787234038</v>
      </c>
      <c r="R2121" s="4">
        <f t="shared" si="203"/>
        <v>0.523943181818181</v>
      </c>
      <c r="S2121" s="4">
        <v>25.04</v>
      </c>
      <c r="T2121" s="2">
        <v>1.1499999999999999</v>
      </c>
      <c r="U2121" s="2">
        <v>21.65</v>
      </c>
      <c r="V2121" s="2">
        <v>9.81</v>
      </c>
      <c r="W2121" s="2">
        <v>-8.15</v>
      </c>
      <c r="X2121" s="2">
        <v>-22.39</v>
      </c>
      <c r="Y2121" s="2">
        <v>-37.08</v>
      </c>
      <c r="Z2121" s="2">
        <v>-34.340000000000003</v>
      </c>
    </row>
    <row r="2122" spans="1:26" x14ac:dyDescent="0.25">
      <c r="A2122" s="1" t="s">
        <v>8611</v>
      </c>
      <c r="B2122" s="1" t="s">
        <v>8612</v>
      </c>
      <c r="C2122" s="1" t="s">
        <v>31</v>
      </c>
      <c r="D2122" s="1" t="s">
        <v>32</v>
      </c>
      <c r="E2122" s="1" t="s">
        <v>8484</v>
      </c>
      <c r="F2122" s="1" t="s">
        <v>8613</v>
      </c>
      <c r="G2122" s="1" t="s">
        <v>12490</v>
      </c>
      <c r="H2122" s="1" t="s">
        <v>6888</v>
      </c>
      <c r="I2122" s="2">
        <v>34.39</v>
      </c>
      <c r="J2122" s="2">
        <v>1.42</v>
      </c>
      <c r="K2122" s="2"/>
      <c r="L2122" s="2"/>
      <c r="M2122" s="4" t="e">
        <f t="shared" si="198"/>
        <v>#DIV/0!</v>
      </c>
      <c r="N2122" s="4" t="e">
        <f t="shared" si="199"/>
        <v>#DIV/0!</v>
      </c>
      <c r="O2122" s="5">
        <f t="shared" si="200"/>
        <v>-1</v>
      </c>
      <c r="P2122" s="5" t="e">
        <f t="shared" si="201"/>
        <v>#DIV/0!</v>
      </c>
      <c r="Q2122" s="4" t="e">
        <f t="shared" si="202"/>
        <v>#DIV/0!</v>
      </c>
      <c r="R2122" s="4" t="e">
        <f t="shared" si="203"/>
        <v>#DIV/0!</v>
      </c>
      <c r="S2122" s="4">
        <v>8.01</v>
      </c>
      <c r="T2122" s="2">
        <v>0.63</v>
      </c>
      <c r="U2122" s="2" t="s">
        <v>12690</v>
      </c>
      <c r="V2122" s="2">
        <v>22.63</v>
      </c>
      <c r="W2122" s="2">
        <v>-4.47</v>
      </c>
      <c r="X2122" s="2">
        <v>0.56000000000000005</v>
      </c>
      <c r="Y2122" s="2">
        <v>44.56</v>
      </c>
      <c r="Z2122" s="2">
        <v>44.56</v>
      </c>
    </row>
    <row r="2123" spans="1:26" x14ac:dyDescent="0.25">
      <c r="A2123" s="1" t="s">
        <v>8614</v>
      </c>
      <c r="B2123" s="1" t="s">
        <v>8615</v>
      </c>
      <c r="C2123" s="1" t="s">
        <v>16</v>
      </c>
      <c r="D2123" s="1" t="s">
        <v>94</v>
      </c>
      <c r="E2123" s="1" t="s">
        <v>403</v>
      </c>
      <c r="F2123" s="1" t="s">
        <v>8616</v>
      </c>
      <c r="G2123" s="1" t="s">
        <v>12480</v>
      </c>
      <c r="H2123" s="1" t="s">
        <v>8617</v>
      </c>
      <c r="I2123" s="2">
        <v>55.02</v>
      </c>
      <c r="J2123" s="2">
        <v>2.21</v>
      </c>
      <c r="K2123" s="2">
        <v>1.28</v>
      </c>
      <c r="L2123" s="2">
        <v>2.06</v>
      </c>
      <c r="M2123" s="4">
        <f t="shared" si="198"/>
        <v>42.984375</v>
      </c>
      <c r="N2123" s="4">
        <f t="shared" si="199"/>
        <v>26.708737864077669</v>
      </c>
      <c r="O2123" s="5">
        <f t="shared" si="200"/>
        <v>-0.420814479638009</v>
      </c>
      <c r="P2123" s="5">
        <f t="shared" si="201"/>
        <v>0.609375</v>
      </c>
      <c r="Q2123" s="4">
        <f t="shared" si="202"/>
        <v>-1.0214566532258067</v>
      </c>
      <c r="R2123" s="4">
        <f t="shared" si="203"/>
        <v>0.43829723674383869</v>
      </c>
      <c r="S2123" s="4">
        <v>-17.88</v>
      </c>
      <c r="T2123" s="2">
        <v>0.34</v>
      </c>
      <c r="U2123" s="2">
        <v>55.02</v>
      </c>
      <c r="V2123" s="2">
        <v>36.11</v>
      </c>
      <c r="W2123" s="2">
        <v>1.49</v>
      </c>
      <c r="X2123" s="2">
        <v>17.920000000000002</v>
      </c>
      <c r="Y2123" s="2">
        <v>36.9</v>
      </c>
      <c r="Z2123" s="2">
        <v>33.799999999999997</v>
      </c>
    </row>
    <row r="2124" spans="1:26" x14ac:dyDescent="0.25">
      <c r="A2124" s="1" t="s">
        <v>8619</v>
      </c>
      <c r="B2124" s="1" t="s">
        <v>8620</v>
      </c>
      <c r="C2124" s="1" t="s">
        <v>45</v>
      </c>
      <c r="D2124" s="1" t="s">
        <v>38</v>
      </c>
      <c r="E2124" s="1" t="s">
        <v>1244</v>
      </c>
      <c r="F2124" s="1" t="s">
        <v>8621</v>
      </c>
      <c r="G2124" s="1" t="s">
        <v>12480</v>
      </c>
      <c r="H2124" s="1" t="s">
        <v>8622</v>
      </c>
      <c r="I2124" s="2">
        <v>44.76</v>
      </c>
      <c r="J2124" s="2">
        <v>6.18</v>
      </c>
      <c r="K2124" s="2">
        <v>6.1</v>
      </c>
      <c r="L2124" s="2">
        <v>6.7</v>
      </c>
      <c r="M2124" s="4">
        <f t="shared" si="198"/>
        <v>7.3377049180327871</v>
      </c>
      <c r="N2124" s="4">
        <f t="shared" si="199"/>
        <v>6.6805970149253726</v>
      </c>
      <c r="O2124" s="5">
        <f t="shared" si="200"/>
        <v>-1.2944983818770184E-2</v>
      </c>
      <c r="P2124" s="5">
        <f t="shared" si="201"/>
        <v>9.8360655737705027E-2</v>
      </c>
      <c r="Q2124" s="4">
        <f t="shared" si="202"/>
        <v>-5.6683770491803465</v>
      </c>
      <c r="R2124" s="4">
        <f t="shared" si="203"/>
        <v>0.67919402985074551</v>
      </c>
      <c r="S2124" s="4">
        <v>1.1499999999999999</v>
      </c>
      <c r="T2124" s="2">
        <v>0.93</v>
      </c>
      <c r="U2124" s="2">
        <v>53.14</v>
      </c>
      <c r="V2124" s="2">
        <v>37.58</v>
      </c>
      <c r="W2124" s="2">
        <v>-6.12</v>
      </c>
      <c r="X2124" s="2">
        <v>-12.75</v>
      </c>
      <c r="Y2124" s="2" t="s">
        <v>12621</v>
      </c>
      <c r="Z2124" s="2">
        <v>-2.74</v>
      </c>
    </row>
    <row r="2125" spans="1:26" x14ac:dyDescent="0.25">
      <c r="A2125" s="1" t="s">
        <v>8623</v>
      </c>
      <c r="B2125" s="1" t="s">
        <v>8624</v>
      </c>
      <c r="C2125" s="1" t="s">
        <v>45</v>
      </c>
      <c r="D2125" s="1" t="s">
        <v>94</v>
      </c>
      <c r="E2125" s="1" t="s">
        <v>3606</v>
      </c>
      <c r="F2125" s="1" t="s">
        <v>8625</v>
      </c>
      <c r="G2125" s="1" t="s">
        <v>12480</v>
      </c>
      <c r="H2125" s="1" t="s">
        <v>8626</v>
      </c>
      <c r="I2125" s="2">
        <v>21.66</v>
      </c>
      <c r="J2125" s="2">
        <v>1.54</v>
      </c>
      <c r="K2125" s="2">
        <v>1.63</v>
      </c>
      <c r="L2125" s="2">
        <v>1.74</v>
      </c>
      <c r="M2125" s="4">
        <f t="shared" si="198"/>
        <v>13.288343558282209</v>
      </c>
      <c r="N2125" s="4">
        <f t="shared" si="199"/>
        <v>12.448275862068966</v>
      </c>
      <c r="O2125" s="5">
        <f t="shared" si="200"/>
        <v>5.8441558441558294E-2</v>
      </c>
      <c r="P2125" s="5">
        <f t="shared" si="201"/>
        <v>6.7484662576687171E-2</v>
      </c>
      <c r="Q2125" s="4">
        <f t="shared" si="202"/>
        <v>2.2737832310838506</v>
      </c>
      <c r="R2125" s="4">
        <f t="shared" si="203"/>
        <v>1.8446081504702181</v>
      </c>
      <c r="S2125" s="4">
        <v>-11.61</v>
      </c>
      <c r="T2125" s="2">
        <v>0.59</v>
      </c>
      <c r="U2125" s="2">
        <v>22.08</v>
      </c>
      <c r="V2125" s="2">
        <v>15.85</v>
      </c>
      <c r="W2125" s="2">
        <v>1.45</v>
      </c>
      <c r="X2125" s="2">
        <v>12.34</v>
      </c>
      <c r="Y2125" s="2">
        <v>21.21</v>
      </c>
      <c r="Z2125" s="2">
        <v>20.6</v>
      </c>
    </row>
    <row r="2126" spans="1:26" x14ac:dyDescent="0.25">
      <c r="A2126" s="1" t="s">
        <v>8627</v>
      </c>
      <c r="B2126" s="1" t="s">
        <v>8628</v>
      </c>
      <c r="C2126" s="1" t="s">
        <v>16</v>
      </c>
      <c r="D2126" s="1" t="s">
        <v>88</v>
      </c>
      <c r="E2126" s="1" t="s">
        <v>440</v>
      </c>
      <c r="F2126" s="1" t="s">
        <v>8629</v>
      </c>
      <c r="G2126" s="1" t="s">
        <v>12480</v>
      </c>
      <c r="H2126" s="1" t="s">
        <v>8630</v>
      </c>
      <c r="I2126" s="2">
        <v>60.56</v>
      </c>
      <c r="J2126" s="2">
        <v>2.54</v>
      </c>
      <c r="K2126" s="2">
        <v>3.97</v>
      </c>
      <c r="L2126" s="2">
        <v>4.1399999999999997</v>
      </c>
      <c r="M2126" s="4">
        <f t="shared" si="198"/>
        <v>15.2544080604534</v>
      </c>
      <c r="N2126" s="4">
        <f t="shared" si="199"/>
        <v>14.628019323671499</v>
      </c>
      <c r="O2126" s="5">
        <f t="shared" si="200"/>
        <v>0.56299212598425208</v>
      </c>
      <c r="P2126" s="5">
        <f t="shared" si="201"/>
        <v>4.2821158690176109E-2</v>
      </c>
      <c r="Q2126" s="4">
        <f t="shared" si="202"/>
        <v>0.27095242289196941</v>
      </c>
      <c r="R2126" s="4">
        <f t="shared" si="203"/>
        <v>3.416072747939773</v>
      </c>
      <c r="S2126" s="4">
        <v>28.38</v>
      </c>
      <c r="T2126" s="2">
        <v>0.62</v>
      </c>
      <c r="U2126" s="2">
        <v>68.7</v>
      </c>
      <c r="V2126" s="2">
        <v>21.49</v>
      </c>
      <c r="W2126" s="2">
        <v>-9.64</v>
      </c>
      <c r="X2126" s="2">
        <v>2.7</v>
      </c>
      <c r="Y2126" s="2">
        <v>22.74</v>
      </c>
      <c r="Z2126" s="2">
        <v>16.89</v>
      </c>
    </row>
    <row r="2127" spans="1:26" x14ac:dyDescent="0.25">
      <c r="A2127" s="1" t="s">
        <v>8631</v>
      </c>
      <c r="B2127" s="1" t="s">
        <v>8632</v>
      </c>
      <c r="C2127" s="1" t="s">
        <v>16</v>
      </c>
      <c r="D2127" s="1" t="s">
        <v>46</v>
      </c>
      <c r="E2127" s="1" t="s">
        <v>1142</v>
      </c>
      <c r="F2127" s="1" t="s">
        <v>8633</v>
      </c>
      <c r="G2127" s="1" t="s">
        <v>12480</v>
      </c>
      <c r="H2127" s="1" t="s">
        <v>6017</v>
      </c>
      <c r="I2127" s="2">
        <v>236.34</v>
      </c>
      <c r="J2127" s="2">
        <v>10.32</v>
      </c>
      <c r="K2127" s="2">
        <v>13.59</v>
      </c>
      <c r="L2127" s="2">
        <v>16.3</v>
      </c>
      <c r="M2127" s="4">
        <f t="shared" si="198"/>
        <v>17.390728476821192</v>
      </c>
      <c r="N2127" s="4">
        <f t="shared" si="199"/>
        <v>14.499386503067484</v>
      </c>
      <c r="O2127" s="5">
        <f t="shared" si="200"/>
        <v>0.31686046511627897</v>
      </c>
      <c r="P2127" s="5">
        <f t="shared" si="201"/>
        <v>0.19941133186166304</v>
      </c>
      <c r="Q2127" s="4">
        <f t="shared" si="202"/>
        <v>0.54884500880976994</v>
      </c>
      <c r="R2127" s="4">
        <f t="shared" si="203"/>
        <v>0.72710945600253529</v>
      </c>
      <c r="S2127" s="4">
        <v>17.11</v>
      </c>
      <c r="T2127" s="2">
        <v>1.01</v>
      </c>
      <c r="U2127" s="2">
        <v>300.41000000000003</v>
      </c>
      <c r="V2127" s="2">
        <v>175.11</v>
      </c>
      <c r="W2127" s="2">
        <v>-7.35</v>
      </c>
      <c r="X2127" s="2">
        <v>-18.57</v>
      </c>
      <c r="Y2127" s="2">
        <v>-6.73</v>
      </c>
      <c r="Z2127" s="2">
        <v>-10.35</v>
      </c>
    </row>
    <row r="2128" spans="1:26" x14ac:dyDescent="0.25">
      <c r="A2128" s="1" t="s">
        <v>8634</v>
      </c>
      <c r="B2128" s="1" t="s">
        <v>8635</v>
      </c>
      <c r="C2128" s="1" t="s">
        <v>16</v>
      </c>
      <c r="D2128" s="1" t="s">
        <v>18</v>
      </c>
      <c r="E2128" s="1" t="s">
        <v>624</v>
      </c>
      <c r="F2128" s="1" t="s">
        <v>8636</v>
      </c>
      <c r="G2128" s="1" t="s">
        <v>12480</v>
      </c>
      <c r="H2128" s="1" t="s">
        <v>8637</v>
      </c>
      <c r="I2128" s="2">
        <v>34.090000000000003</v>
      </c>
      <c r="J2128" s="2">
        <v>1.22</v>
      </c>
      <c r="K2128" s="2">
        <v>2.09</v>
      </c>
      <c r="L2128" s="2">
        <v>2.35</v>
      </c>
      <c r="M2128" s="4">
        <f t="shared" si="198"/>
        <v>16.311004784688997</v>
      </c>
      <c r="N2128" s="4">
        <f t="shared" si="199"/>
        <v>14.506382978723405</v>
      </c>
      <c r="O2128" s="5">
        <f t="shared" si="200"/>
        <v>0.71311475409836067</v>
      </c>
      <c r="P2128" s="5">
        <f t="shared" si="201"/>
        <v>0.12440191387559829</v>
      </c>
      <c r="Q2128" s="4">
        <f t="shared" si="202"/>
        <v>0.22872903261288019</v>
      </c>
      <c r="R2128" s="4">
        <f t="shared" si="203"/>
        <v>1.1660900163666104</v>
      </c>
      <c r="S2128" s="4">
        <v>29.32</v>
      </c>
      <c r="T2128" s="2">
        <v>-0.64</v>
      </c>
      <c r="U2128" s="2">
        <v>42.13</v>
      </c>
      <c r="V2128" s="2">
        <v>7.71</v>
      </c>
      <c r="W2128" s="2">
        <v>-9.81</v>
      </c>
      <c r="X2128" s="2">
        <v>-10.76</v>
      </c>
      <c r="Y2128" s="2">
        <v>-1.9</v>
      </c>
      <c r="Z2128" s="2">
        <v>-11.2</v>
      </c>
    </row>
    <row r="2129" spans="1:26" x14ac:dyDescent="0.25">
      <c r="A2129" s="1" t="s">
        <v>8638</v>
      </c>
      <c r="B2129" s="1" t="s">
        <v>8639</v>
      </c>
      <c r="C2129" s="1" t="s">
        <v>16</v>
      </c>
      <c r="D2129" s="1" t="s">
        <v>67</v>
      </c>
      <c r="E2129" s="1" t="s">
        <v>134</v>
      </c>
      <c r="F2129" s="1" t="s">
        <v>8640</v>
      </c>
      <c r="G2129" s="1" t="s">
        <v>12480</v>
      </c>
      <c r="H2129" s="1" t="s">
        <v>491</v>
      </c>
      <c r="I2129" s="2">
        <v>155.94</v>
      </c>
      <c r="J2129" s="2">
        <v>13.94</v>
      </c>
      <c r="K2129" s="2">
        <v>13.88</v>
      </c>
      <c r="L2129" s="2">
        <v>15.01</v>
      </c>
      <c r="M2129" s="4">
        <f t="shared" si="198"/>
        <v>11.234870317002882</v>
      </c>
      <c r="N2129" s="4">
        <f t="shared" si="199"/>
        <v>10.389073950699533</v>
      </c>
      <c r="O2129" s="5">
        <f t="shared" si="200"/>
        <v>-4.3041606886655703E-3</v>
      </c>
      <c r="P2129" s="5">
        <f t="shared" si="201"/>
        <v>8.1412103746397513E-2</v>
      </c>
      <c r="Q2129" s="4">
        <f t="shared" si="202"/>
        <v>-26.102348703170875</v>
      </c>
      <c r="R2129" s="4">
        <f t="shared" si="203"/>
        <v>1.2761092604930075</v>
      </c>
      <c r="S2129" s="4">
        <v>4.4400000000000004</v>
      </c>
      <c r="T2129" s="2">
        <v>0.9</v>
      </c>
      <c r="U2129" s="2">
        <v>188.32</v>
      </c>
      <c r="V2129" s="2">
        <v>140.37</v>
      </c>
      <c r="W2129" s="2">
        <v>-0.52</v>
      </c>
      <c r="X2129" s="2">
        <v>-6.35</v>
      </c>
      <c r="Y2129" s="2">
        <v>-7.13</v>
      </c>
      <c r="Z2129" s="2">
        <v>-1.48</v>
      </c>
    </row>
    <row r="2130" spans="1:26" x14ac:dyDescent="0.25">
      <c r="A2130" s="1" t="s">
        <v>8641</v>
      </c>
      <c r="B2130" s="1" t="s">
        <v>8642</v>
      </c>
      <c r="C2130" s="1" t="s">
        <v>45</v>
      </c>
      <c r="D2130" s="1" t="s">
        <v>94</v>
      </c>
      <c r="E2130" s="1" t="s">
        <v>4079</v>
      </c>
      <c r="F2130" s="1" t="s">
        <v>8643</v>
      </c>
      <c r="G2130" s="1" t="s">
        <v>12480</v>
      </c>
      <c r="H2130" s="1" t="s">
        <v>8644</v>
      </c>
      <c r="I2130" s="2">
        <v>23.59</v>
      </c>
      <c r="J2130" s="2">
        <v>1.3</v>
      </c>
      <c r="K2130" s="2">
        <v>2.06</v>
      </c>
      <c r="L2130" s="2">
        <v>2.06</v>
      </c>
      <c r="M2130" s="4">
        <f t="shared" si="198"/>
        <v>11.451456310679612</v>
      </c>
      <c r="N2130" s="4">
        <f t="shared" si="199"/>
        <v>11.451456310679612</v>
      </c>
      <c r="O2130" s="5">
        <f t="shared" si="200"/>
        <v>0.58461538461538454</v>
      </c>
      <c r="P2130" s="5">
        <f t="shared" si="201"/>
        <v>0</v>
      </c>
      <c r="Q2130" s="4">
        <f t="shared" si="202"/>
        <v>0.19588017373530919</v>
      </c>
      <c r="R2130" s="4" t="e">
        <f t="shared" si="203"/>
        <v>#DIV/0!</v>
      </c>
      <c r="S2130" s="4">
        <v>-11.61</v>
      </c>
      <c r="T2130" s="2">
        <v>0.56000000000000005</v>
      </c>
      <c r="U2130" s="2">
        <v>23.8</v>
      </c>
      <c r="V2130" s="2">
        <v>16.850000000000001</v>
      </c>
      <c r="W2130" s="2">
        <v>2.7</v>
      </c>
      <c r="X2130" s="2">
        <v>14.02</v>
      </c>
      <c r="Y2130" s="2">
        <v>23.9</v>
      </c>
      <c r="Z2130" s="2">
        <v>23.25</v>
      </c>
    </row>
    <row r="2131" spans="1:26" x14ac:dyDescent="0.25">
      <c r="A2131" s="1" t="s">
        <v>8645</v>
      </c>
      <c r="B2131" s="1" t="s">
        <v>8646</v>
      </c>
      <c r="C2131" s="1" t="s">
        <v>16</v>
      </c>
      <c r="D2131" s="1" t="s">
        <v>140</v>
      </c>
      <c r="E2131" s="1" t="s">
        <v>1555</v>
      </c>
      <c r="F2131" s="1" t="s">
        <v>8647</v>
      </c>
      <c r="G2131" s="1" t="s">
        <v>12480</v>
      </c>
      <c r="H2131" s="1" t="s">
        <v>8648</v>
      </c>
      <c r="I2131" s="2">
        <v>9.98</v>
      </c>
      <c r="J2131" s="2">
        <v>1.42</v>
      </c>
      <c r="K2131" s="2">
        <v>1.65</v>
      </c>
      <c r="L2131" s="2">
        <v>1.74</v>
      </c>
      <c r="M2131" s="4">
        <f t="shared" si="198"/>
        <v>6.0484848484848488</v>
      </c>
      <c r="N2131" s="4">
        <f t="shared" si="199"/>
        <v>5.735632183908046</v>
      </c>
      <c r="O2131" s="5">
        <f t="shared" si="200"/>
        <v>0.1619718309859155</v>
      </c>
      <c r="P2131" s="5">
        <f t="shared" si="201"/>
        <v>5.4545454545454675E-2</v>
      </c>
      <c r="Q2131" s="4">
        <f t="shared" si="202"/>
        <v>0.37342819499341234</v>
      </c>
      <c r="R2131" s="4">
        <f t="shared" si="203"/>
        <v>1.0515325670498059</v>
      </c>
      <c r="S2131" s="4">
        <v>13.54</v>
      </c>
      <c r="T2131" s="2">
        <v>1.38</v>
      </c>
      <c r="U2131" s="2" t="s">
        <v>12480</v>
      </c>
      <c r="V2131" s="2">
        <v>7.25</v>
      </c>
      <c r="W2131" s="2">
        <v>-6.99</v>
      </c>
      <c r="X2131" s="2">
        <v>-12.61</v>
      </c>
      <c r="Y2131" s="2">
        <v>-0.4</v>
      </c>
      <c r="Z2131" s="2">
        <v>3.53</v>
      </c>
    </row>
    <row r="2132" spans="1:26" x14ac:dyDescent="0.25">
      <c r="A2132" s="1" t="s">
        <v>8649</v>
      </c>
      <c r="B2132" s="1" t="s">
        <v>8650</v>
      </c>
      <c r="C2132" s="1" t="s">
        <v>45</v>
      </c>
      <c r="D2132" s="1" t="s">
        <v>18</v>
      </c>
      <c r="E2132" s="1" t="s">
        <v>19</v>
      </c>
      <c r="F2132" s="1" t="s">
        <v>8651</v>
      </c>
      <c r="G2132" s="1" t="s">
        <v>12502</v>
      </c>
      <c r="H2132" s="1" t="s">
        <v>8652</v>
      </c>
      <c r="I2132" s="2">
        <v>48.78</v>
      </c>
      <c r="J2132" s="2">
        <v>2.09</v>
      </c>
      <c r="K2132" s="2">
        <v>3.02</v>
      </c>
      <c r="L2132" s="2">
        <v>3.27</v>
      </c>
      <c r="M2132" s="4">
        <f t="shared" si="198"/>
        <v>16.152317880794701</v>
      </c>
      <c r="N2132" s="4">
        <f t="shared" si="199"/>
        <v>14.917431192660551</v>
      </c>
      <c r="O2132" s="5">
        <f t="shared" si="200"/>
        <v>0.44497607655502414</v>
      </c>
      <c r="P2132" s="5">
        <f t="shared" si="201"/>
        <v>8.2781456953642474E-2</v>
      </c>
      <c r="Q2132" s="4">
        <f t="shared" si="202"/>
        <v>0.36299295022431083</v>
      </c>
      <c r="R2132" s="4">
        <f t="shared" si="203"/>
        <v>1.8020256880733925</v>
      </c>
      <c r="S2132" s="4">
        <v>27.37</v>
      </c>
      <c r="T2132" s="2">
        <v>0.74</v>
      </c>
      <c r="U2132" s="2">
        <v>54.7</v>
      </c>
      <c r="V2132" s="2">
        <v>16.53</v>
      </c>
      <c r="W2132" s="2">
        <v>-10.56</v>
      </c>
      <c r="X2132" s="2">
        <v>-5.92</v>
      </c>
      <c r="Y2132" s="2">
        <v>19.940000000000001</v>
      </c>
      <c r="Z2132" s="2">
        <v>30.57</v>
      </c>
    </row>
    <row r="2133" spans="1:26" x14ac:dyDescent="0.25">
      <c r="A2133" s="1" t="s">
        <v>8653</v>
      </c>
      <c r="B2133" s="1" t="s">
        <v>8654</v>
      </c>
      <c r="C2133" s="1" t="s">
        <v>31</v>
      </c>
      <c r="D2133" s="1" t="s">
        <v>88</v>
      </c>
      <c r="E2133" s="1" t="s">
        <v>658</v>
      </c>
      <c r="F2133" s="1" t="s">
        <v>8655</v>
      </c>
      <c r="G2133" s="1" t="s">
        <v>12502</v>
      </c>
      <c r="H2133" s="1" t="s">
        <v>8656</v>
      </c>
      <c r="I2133" s="2">
        <v>8.33</v>
      </c>
      <c r="J2133" s="2">
        <v>-0.13</v>
      </c>
      <c r="K2133" s="2">
        <v>-0.02</v>
      </c>
      <c r="L2133" s="2">
        <v>0.36</v>
      </c>
      <c r="M2133" s="4">
        <f t="shared" si="198"/>
        <v>-416.5</v>
      </c>
      <c r="N2133" s="4">
        <f t="shared" si="199"/>
        <v>23.138888888888889</v>
      </c>
      <c r="O2133" s="5">
        <f t="shared" si="200"/>
        <v>-0.84615384615384615</v>
      </c>
      <c r="P2133" s="5">
        <f t="shared" si="201"/>
        <v>-19</v>
      </c>
      <c r="Q2133" s="4">
        <f t="shared" si="202"/>
        <v>4.9222727272727278</v>
      </c>
      <c r="R2133" s="4">
        <f t="shared" si="203"/>
        <v>-1.2178362573099415E-2</v>
      </c>
      <c r="S2133" s="4"/>
      <c r="T2133" s="2">
        <v>1.3</v>
      </c>
      <c r="U2133" s="2">
        <v>10.130000000000001</v>
      </c>
      <c r="V2133" s="2">
        <v>2.4</v>
      </c>
      <c r="W2133" s="2">
        <v>-14.56</v>
      </c>
      <c r="X2133" s="2">
        <v>-0.72</v>
      </c>
      <c r="Y2133" s="2">
        <v>45.38</v>
      </c>
      <c r="Z2133" s="2">
        <v>32.22</v>
      </c>
    </row>
    <row r="2134" spans="1:26" x14ac:dyDescent="0.25">
      <c r="A2134" s="1" t="s">
        <v>8657</v>
      </c>
      <c r="B2134" s="1" t="s">
        <v>8658</v>
      </c>
      <c r="C2134" s="1" t="s">
        <v>16</v>
      </c>
      <c r="D2134" s="1" t="s">
        <v>38</v>
      </c>
      <c r="E2134" s="1" t="s">
        <v>259</v>
      </c>
      <c r="F2134" s="1" t="s">
        <v>8659</v>
      </c>
      <c r="G2134" s="1" t="s">
        <v>12480</v>
      </c>
      <c r="H2134" s="1" t="s">
        <v>12569</v>
      </c>
      <c r="I2134" s="2">
        <v>153.22</v>
      </c>
      <c r="J2134" s="2"/>
      <c r="K2134" s="2"/>
      <c r="L2134" s="2"/>
      <c r="M2134" s="4" t="e">
        <f t="shared" si="198"/>
        <v>#DIV/0!</v>
      </c>
      <c r="N2134" s="4" t="e">
        <f t="shared" si="199"/>
        <v>#DIV/0!</v>
      </c>
      <c r="O2134" s="5" t="e">
        <f t="shared" si="200"/>
        <v>#DIV/0!</v>
      </c>
      <c r="P2134" s="5" t="e">
        <f t="shared" si="201"/>
        <v>#DIV/0!</v>
      </c>
      <c r="Q2134" s="4" t="e">
        <f t="shared" si="202"/>
        <v>#DIV/0!</v>
      </c>
      <c r="R2134" s="4" t="e">
        <f t="shared" si="203"/>
        <v>#DIV/0!</v>
      </c>
      <c r="S2134" s="4"/>
      <c r="T2134" s="2">
        <v>0.13</v>
      </c>
      <c r="U2134" s="2">
        <v>185.91</v>
      </c>
      <c r="V2134" s="2">
        <v>82.97</v>
      </c>
      <c r="W2134" s="2">
        <v>-4.8099999999999996</v>
      </c>
      <c r="X2134" s="2">
        <v>-3.06</v>
      </c>
      <c r="Y2134" s="2">
        <v>6.86</v>
      </c>
      <c r="Z2134" s="2">
        <v>5.39</v>
      </c>
    </row>
    <row r="2135" spans="1:26" x14ac:dyDescent="0.25">
      <c r="A2135" s="1" t="s">
        <v>8660</v>
      </c>
      <c r="B2135" s="1" t="s">
        <v>8661</v>
      </c>
      <c r="C2135" s="1" t="s">
        <v>45</v>
      </c>
      <c r="D2135" s="1" t="s">
        <v>32</v>
      </c>
      <c r="E2135" s="1" t="s">
        <v>2571</v>
      </c>
      <c r="F2135" s="1" t="s">
        <v>8662</v>
      </c>
      <c r="G2135" s="1" t="s">
        <v>12496</v>
      </c>
      <c r="H2135" s="1" t="s">
        <v>12762</v>
      </c>
      <c r="I2135" s="2">
        <v>165.1</v>
      </c>
      <c r="J2135" s="2">
        <v>3.34</v>
      </c>
      <c r="K2135" s="2">
        <v>3.73</v>
      </c>
      <c r="L2135" s="2">
        <v>4.07</v>
      </c>
      <c r="M2135" s="4">
        <f t="shared" si="198"/>
        <v>44.262734584450399</v>
      </c>
      <c r="N2135" s="4">
        <f t="shared" si="199"/>
        <v>40.565110565110558</v>
      </c>
      <c r="O2135" s="5">
        <f t="shared" si="200"/>
        <v>0.11676646706586835</v>
      </c>
      <c r="P2135" s="5">
        <f t="shared" si="201"/>
        <v>9.1152815013404886E-2</v>
      </c>
      <c r="Q2135" s="4">
        <f t="shared" si="202"/>
        <v>3.7907059874888263</v>
      </c>
      <c r="R2135" s="4">
        <f t="shared" si="203"/>
        <v>4.4502312472900671</v>
      </c>
      <c r="S2135" s="4">
        <v>14.87</v>
      </c>
      <c r="T2135" s="2">
        <v>0.78</v>
      </c>
      <c r="U2135" s="2">
        <v>221.38</v>
      </c>
      <c r="V2135" s="2">
        <v>141.66999999999999</v>
      </c>
      <c r="W2135" s="2">
        <v>9.9600000000000009</v>
      </c>
      <c r="X2135" s="2">
        <v>-0.54</v>
      </c>
      <c r="Y2135" s="2">
        <v>-11.18</v>
      </c>
      <c r="Z2135" s="2">
        <v>-10.37</v>
      </c>
    </row>
    <row r="2136" spans="1:26" x14ac:dyDescent="0.25">
      <c r="A2136" s="1" t="s">
        <v>8663</v>
      </c>
      <c r="B2136" s="1" t="s">
        <v>8664</v>
      </c>
      <c r="C2136" s="1" t="s">
        <v>16</v>
      </c>
      <c r="D2136" s="1" t="s">
        <v>94</v>
      </c>
      <c r="E2136" s="1" t="s">
        <v>3284</v>
      </c>
      <c r="F2136" s="1" t="s">
        <v>8665</v>
      </c>
      <c r="G2136" s="1" t="s">
        <v>12480</v>
      </c>
      <c r="H2136" s="1" t="s">
        <v>12763</v>
      </c>
      <c r="I2136" s="2">
        <v>46.98</v>
      </c>
      <c r="J2136" s="2">
        <v>7.56</v>
      </c>
      <c r="K2136" s="2">
        <v>5.75</v>
      </c>
      <c r="L2136" s="2">
        <v>6.38</v>
      </c>
      <c r="M2136" s="4">
        <f t="shared" si="198"/>
        <v>8.1704347826086945</v>
      </c>
      <c r="N2136" s="4">
        <f t="shared" si="199"/>
        <v>7.3636363636363633</v>
      </c>
      <c r="O2136" s="5">
        <f t="shared" si="200"/>
        <v>-0.23941798941798942</v>
      </c>
      <c r="P2136" s="5">
        <f t="shared" si="201"/>
        <v>0.10956521739130443</v>
      </c>
      <c r="Q2136" s="4">
        <f t="shared" si="202"/>
        <v>-0.34126235887581063</v>
      </c>
      <c r="R2136" s="4">
        <f t="shared" si="203"/>
        <v>0.67207792207792161</v>
      </c>
      <c r="S2136" s="4">
        <v>-6.39</v>
      </c>
      <c r="T2136" s="2">
        <v>1.17</v>
      </c>
      <c r="U2136" s="2">
        <v>49.97</v>
      </c>
      <c r="V2136" s="2">
        <v>12.23</v>
      </c>
      <c r="W2136" s="2">
        <v>1.95</v>
      </c>
      <c r="X2136" s="2">
        <v>11.14</v>
      </c>
      <c r="Y2136" s="2">
        <v>16.43</v>
      </c>
      <c r="Z2136" s="2">
        <v>33.69</v>
      </c>
    </row>
    <row r="2137" spans="1:26" x14ac:dyDescent="0.25">
      <c r="A2137" s="1" t="s">
        <v>8666</v>
      </c>
      <c r="B2137" s="1" t="s">
        <v>8667</v>
      </c>
      <c r="C2137" s="1" t="s">
        <v>16</v>
      </c>
      <c r="D2137" s="1" t="s">
        <v>32</v>
      </c>
      <c r="E2137" s="1" t="s">
        <v>311</v>
      </c>
      <c r="F2137" s="1" t="s">
        <v>8668</v>
      </c>
      <c r="G2137" s="1" t="s">
        <v>12493</v>
      </c>
      <c r="H2137" s="1" t="s">
        <v>8669</v>
      </c>
      <c r="I2137" s="2">
        <v>11.97</v>
      </c>
      <c r="J2137" s="2">
        <v>0.53</v>
      </c>
      <c r="K2137" s="2">
        <v>0.76</v>
      </c>
      <c r="L2137" s="2">
        <v>0.8</v>
      </c>
      <c r="M2137" s="4">
        <f t="shared" si="198"/>
        <v>15.75</v>
      </c>
      <c r="N2137" s="4">
        <f t="shared" si="199"/>
        <v>14.9625</v>
      </c>
      <c r="O2137" s="5">
        <f t="shared" si="200"/>
        <v>0.4339622641509433</v>
      </c>
      <c r="P2137" s="5">
        <f t="shared" si="201"/>
        <v>5.2631578947368363E-2</v>
      </c>
      <c r="Q2137" s="4">
        <f t="shared" si="202"/>
        <v>0.36293478260869572</v>
      </c>
      <c r="R2137" s="4">
        <f t="shared" si="203"/>
        <v>2.8428750000000034</v>
      </c>
      <c r="S2137" s="4">
        <v>9.3000000000000007</v>
      </c>
      <c r="T2137" s="2">
        <v>1.0900000000000001</v>
      </c>
      <c r="U2137" s="2">
        <v>19.29</v>
      </c>
      <c r="V2137" s="2">
        <v>9.7899999999999991</v>
      </c>
      <c r="W2137" s="2">
        <v>11.87</v>
      </c>
      <c r="X2137" s="2">
        <v>-7.92</v>
      </c>
      <c r="Y2137" s="2">
        <v>-25.93</v>
      </c>
      <c r="Z2137" s="2">
        <v>-26.97</v>
      </c>
    </row>
    <row r="2138" spans="1:26" x14ac:dyDescent="0.25">
      <c r="A2138" s="1" t="s">
        <v>8670</v>
      </c>
      <c r="B2138" s="1" t="s">
        <v>8671</v>
      </c>
      <c r="C2138" s="1" t="s">
        <v>45</v>
      </c>
      <c r="D2138" s="1" t="s">
        <v>305</v>
      </c>
      <c r="E2138" s="1" t="s">
        <v>306</v>
      </c>
      <c r="F2138" s="1" t="s">
        <v>8672</v>
      </c>
      <c r="G2138" s="1" t="s">
        <v>12480</v>
      </c>
      <c r="H2138" s="1" t="s">
        <v>896</v>
      </c>
      <c r="I2138" s="2">
        <v>116.21</v>
      </c>
      <c r="J2138" s="2">
        <v>4.4400000000000004</v>
      </c>
      <c r="K2138" s="2">
        <v>5.43</v>
      </c>
      <c r="L2138" s="2">
        <v>6.53</v>
      </c>
      <c r="M2138" s="4">
        <f t="shared" si="198"/>
        <v>21.401473296500921</v>
      </c>
      <c r="N2138" s="4">
        <f t="shared" si="199"/>
        <v>17.796324655436447</v>
      </c>
      <c r="O2138" s="5">
        <f t="shared" si="200"/>
        <v>0.2229729729729728</v>
      </c>
      <c r="P2138" s="5">
        <f t="shared" si="201"/>
        <v>0.20257826887661157</v>
      </c>
      <c r="Q2138" s="4">
        <f t="shared" si="202"/>
        <v>0.9598236508733754</v>
      </c>
      <c r="R2138" s="4">
        <f t="shared" si="203"/>
        <v>0.8784912989001803</v>
      </c>
      <c r="S2138" s="4">
        <v>6.33</v>
      </c>
      <c r="T2138" s="2">
        <v>1.33</v>
      </c>
      <c r="U2138" s="2">
        <v>145.75</v>
      </c>
      <c r="V2138" s="2">
        <v>74.33</v>
      </c>
      <c r="W2138" s="2">
        <v>-6.15</v>
      </c>
      <c r="X2138" s="2">
        <v>-17.95</v>
      </c>
      <c r="Y2138" s="2">
        <v>1.78</v>
      </c>
      <c r="Z2138" s="2">
        <v>7.18</v>
      </c>
    </row>
    <row r="2139" spans="1:26" x14ac:dyDescent="0.25">
      <c r="A2139" s="1" t="s">
        <v>8673</v>
      </c>
      <c r="B2139" s="1" t="s">
        <v>8674</v>
      </c>
      <c r="C2139" s="1" t="s">
        <v>16</v>
      </c>
      <c r="D2139" s="1" t="s">
        <v>140</v>
      </c>
      <c r="E2139" s="1" t="s">
        <v>1555</v>
      </c>
      <c r="F2139" s="1" t="s">
        <v>8675</v>
      </c>
      <c r="G2139" s="1" t="s">
        <v>12480</v>
      </c>
      <c r="H2139" s="1" t="s">
        <v>8676</v>
      </c>
      <c r="I2139" s="2">
        <v>25.78</v>
      </c>
      <c r="J2139" s="2">
        <v>0.66</v>
      </c>
      <c r="K2139" s="2">
        <v>0.79</v>
      </c>
      <c r="L2139" s="2">
        <v>1.02</v>
      </c>
      <c r="M2139" s="4">
        <f t="shared" si="198"/>
        <v>32.632911392405063</v>
      </c>
      <c r="N2139" s="4">
        <f t="shared" si="199"/>
        <v>25.274509803921568</v>
      </c>
      <c r="O2139" s="5">
        <f t="shared" si="200"/>
        <v>0.19696969696969702</v>
      </c>
      <c r="P2139" s="5">
        <f t="shared" si="201"/>
        <v>0.29113924050632911</v>
      </c>
      <c r="Q2139" s="4">
        <f t="shared" si="202"/>
        <v>1.656747809152872</v>
      </c>
      <c r="R2139" s="4">
        <f t="shared" si="203"/>
        <v>0.8681244671781756</v>
      </c>
      <c r="S2139" s="4">
        <v>37.25</v>
      </c>
      <c r="T2139" s="2">
        <v>1.5</v>
      </c>
      <c r="U2139" s="2">
        <v>39.840000000000003</v>
      </c>
      <c r="V2139" s="2">
        <v>23.1</v>
      </c>
      <c r="W2139" s="2">
        <v>4.2</v>
      </c>
      <c r="X2139" s="2">
        <v>3.83</v>
      </c>
      <c r="Y2139" s="2">
        <v>-14.75</v>
      </c>
      <c r="Z2139" s="2">
        <v>-18.39</v>
      </c>
    </row>
    <row r="2140" spans="1:26" x14ac:dyDescent="0.25">
      <c r="A2140" s="1" t="s">
        <v>8677</v>
      </c>
      <c r="B2140" s="1" t="s">
        <v>8678</v>
      </c>
      <c r="C2140" s="1" t="s">
        <v>16</v>
      </c>
      <c r="D2140" s="1" t="s">
        <v>32</v>
      </c>
      <c r="E2140" s="1" t="s">
        <v>311</v>
      </c>
      <c r="F2140" s="1" t="s">
        <v>8679</v>
      </c>
      <c r="G2140" s="1" t="s">
        <v>12480</v>
      </c>
      <c r="H2140" s="1" t="s">
        <v>8680</v>
      </c>
      <c r="I2140" s="2">
        <v>138.25</v>
      </c>
      <c r="J2140" s="2">
        <v>9.24</v>
      </c>
      <c r="K2140" s="2">
        <v>10.37</v>
      </c>
      <c r="L2140" s="2">
        <v>11.35</v>
      </c>
      <c r="M2140" s="4">
        <f t="shared" si="198"/>
        <v>13.331726133076183</v>
      </c>
      <c r="N2140" s="4">
        <f t="shared" si="199"/>
        <v>12.180616740088107</v>
      </c>
      <c r="O2140" s="5">
        <f t="shared" si="200"/>
        <v>0.12229437229437212</v>
      </c>
      <c r="P2140" s="5">
        <f t="shared" si="201"/>
        <v>9.4503375120539967E-2</v>
      </c>
      <c r="Q2140" s="4">
        <f t="shared" si="202"/>
        <v>1.090134066102868</v>
      </c>
      <c r="R2140" s="4">
        <f t="shared" si="203"/>
        <v>1.2889081183134055</v>
      </c>
      <c r="S2140" s="4">
        <v>8.9499999999999993</v>
      </c>
      <c r="T2140" s="2">
        <v>0.8</v>
      </c>
      <c r="U2140" s="2">
        <v>265.70999999999998</v>
      </c>
      <c r="V2140" s="2">
        <v>114.43</v>
      </c>
      <c r="W2140" s="2">
        <v>7.76</v>
      </c>
      <c r="X2140" s="2">
        <v>6.82</v>
      </c>
      <c r="Y2140" s="2">
        <v>-15.09</v>
      </c>
      <c r="Z2140" s="2">
        <v>-13.25</v>
      </c>
    </row>
    <row r="2141" spans="1:26" x14ac:dyDescent="0.25">
      <c r="A2141" s="1" t="s">
        <v>8681</v>
      </c>
      <c r="B2141" s="1" t="s">
        <v>8682</v>
      </c>
      <c r="C2141" s="1" t="s">
        <v>45</v>
      </c>
      <c r="D2141" s="1" t="s">
        <v>140</v>
      </c>
      <c r="E2141" s="1" t="s">
        <v>1555</v>
      </c>
      <c r="F2141" s="1" t="s">
        <v>8683</v>
      </c>
      <c r="G2141" s="1" t="s">
        <v>12480</v>
      </c>
      <c r="H2141" s="1" t="s">
        <v>8684</v>
      </c>
      <c r="I2141" s="2">
        <v>4.71</v>
      </c>
      <c r="J2141" s="2">
        <v>0.19</v>
      </c>
      <c r="K2141" s="2">
        <v>0.26</v>
      </c>
      <c r="L2141" s="2">
        <v>0.34</v>
      </c>
      <c r="M2141" s="4">
        <f t="shared" si="198"/>
        <v>18.115384615384613</v>
      </c>
      <c r="N2141" s="4">
        <f t="shared" si="199"/>
        <v>13.852941176470587</v>
      </c>
      <c r="O2141" s="5">
        <f t="shared" si="200"/>
        <v>0.36842105263157898</v>
      </c>
      <c r="P2141" s="5">
        <f t="shared" si="201"/>
        <v>0.30769230769230771</v>
      </c>
      <c r="Q2141" s="4">
        <f t="shared" si="202"/>
        <v>0.4917032967032966</v>
      </c>
      <c r="R2141" s="4">
        <f t="shared" si="203"/>
        <v>0.45022058823529404</v>
      </c>
      <c r="S2141" s="4">
        <v>7.68</v>
      </c>
      <c r="T2141" s="2">
        <v>1.0900000000000001</v>
      </c>
      <c r="U2141" s="2">
        <v>7.83</v>
      </c>
      <c r="V2141" s="2">
        <v>4.2699999999999996</v>
      </c>
      <c r="W2141" s="2">
        <v>2.84</v>
      </c>
      <c r="X2141" s="2">
        <v>-22.53</v>
      </c>
      <c r="Y2141" s="2">
        <v>-19.07</v>
      </c>
      <c r="Z2141" s="2">
        <v>-16.190000000000001</v>
      </c>
    </row>
    <row r="2142" spans="1:26" x14ac:dyDescent="0.25">
      <c r="A2142" s="1" t="s">
        <v>8685</v>
      </c>
      <c r="B2142" s="1" t="s">
        <v>8686</v>
      </c>
      <c r="C2142" s="1" t="s">
        <v>45</v>
      </c>
      <c r="D2142" s="1" t="s">
        <v>32</v>
      </c>
      <c r="E2142" s="1" t="s">
        <v>311</v>
      </c>
      <c r="F2142" s="1" t="s">
        <v>8687</v>
      </c>
      <c r="G2142" s="1" t="s">
        <v>12508</v>
      </c>
      <c r="H2142" s="1" t="s">
        <v>8688</v>
      </c>
      <c r="I2142" s="2">
        <v>98.3</v>
      </c>
      <c r="J2142" s="2">
        <v>4.9800000000000004</v>
      </c>
      <c r="K2142" s="2">
        <v>5.44</v>
      </c>
      <c r="L2142" s="2">
        <v>5.91</v>
      </c>
      <c r="M2142" s="4">
        <f t="shared" si="198"/>
        <v>18.069852941176467</v>
      </c>
      <c r="N2142" s="4">
        <f t="shared" si="199"/>
        <v>16.632825719120135</v>
      </c>
      <c r="O2142" s="5">
        <f t="shared" si="200"/>
        <v>9.2369477911646625E-2</v>
      </c>
      <c r="P2142" s="5">
        <f t="shared" si="201"/>
        <v>8.6397058823529438E-2</v>
      </c>
      <c r="Q2142" s="4">
        <f t="shared" si="202"/>
        <v>1.9562579923273644</v>
      </c>
      <c r="R2142" s="4">
        <f t="shared" si="203"/>
        <v>1.9251611045109256</v>
      </c>
      <c r="S2142" s="4">
        <v>5.56</v>
      </c>
      <c r="T2142" s="2">
        <v>0.91</v>
      </c>
      <c r="U2142" s="2">
        <v>159.78</v>
      </c>
      <c r="V2142" s="2">
        <v>87.39</v>
      </c>
      <c r="W2142" s="2">
        <v>4.3</v>
      </c>
      <c r="X2142" s="2">
        <v>0.21</v>
      </c>
      <c r="Y2142" s="2">
        <v>-14.8</v>
      </c>
      <c r="Z2142" s="2">
        <v>-12.37</v>
      </c>
    </row>
    <row r="2143" spans="1:26" x14ac:dyDescent="0.25">
      <c r="A2143" s="1" t="s">
        <v>8689</v>
      </c>
      <c r="B2143" s="1" t="s">
        <v>8690</v>
      </c>
      <c r="C2143" s="1" t="s">
        <v>16</v>
      </c>
      <c r="D2143" s="1" t="s">
        <v>38</v>
      </c>
      <c r="E2143" s="1" t="s">
        <v>1440</v>
      </c>
      <c r="F2143" s="1" t="s">
        <v>8691</v>
      </c>
      <c r="G2143" s="1" t="s">
        <v>12480</v>
      </c>
      <c r="H2143" s="1" t="s">
        <v>8692</v>
      </c>
      <c r="I2143" s="2">
        <v>67.59</v>
      </c>
      <c r="J2143" s="2">
        <v>5.69</v>
      </c>
      <c r="K2143" s="2">
        <v>6.22</v>
      </c>
      <c r="L2143" s="2">
        <v>7.27</v>
      </c>
      <c r="M2143" s="4">
        <f t="shared" si="198"/>
        <v>10.866559485530548</v>
      </c>
      <c r="N2143" s="4">
        <f t="shared" si="199"/>
        <v>9.2971114167812932</v>
      </c>
      <c r="O2143" s="5">
        <f t="shared" si="200"/>
        <v>9.3145869947275806E-2</v>
      </c>
      <c r="P2143" s="5">
        <f t="shared" si="201"/>
        <v>0.1688102893890675</v>
      </c>
      <c r="Q2143" s="4">
        <f t="shared" si="202"/>
        <v>1.1666174240126206</v>
      </c>
      <c r="R2143" s="4">
        <f t="shared" si="203"/>
        <v>0.55074317154647279</v>
      </c>
      <c r="S2143" s="4">
        <v>-2.84</v>
      </c>
      <c r="T2143" s="2">
        <v>0.66</v>
      </c>
      <c r="U2143" s="2">
        <v>76.03</v>
      </c>
      <c r="V2143" s="2">
        <v>61.89</v>
      </c>
      <c r="W2143" s="2">
        <v>-4.68</v>
      </c>
      <c r="X2143" s="2">
        <v>-9.7100000000000009</v>
      </c>
      <c r="Y2143" s="2">
        <v>-6.13</v>
      </c>
      <c r="Z2143" s="2">
        <v>-2.2000000000000002</v>
      </c>
    </row>
    <row r="2144" spans="1:26" x14ac:dyDescent="0.25">
      <c r="A2144" s="1" t="s">
        <v>8693</v>
      </c>
      <c r="B2144" s="1" t="s">
        <v>8694</v>
      </c>
      <c r="C2144" s="1" t="s">
        <v>16</v>
      </c>
      <c r="D2144" s="1" t="s">
        <v>94</v>
      </c>
      <c r="E2144" s="1" t="s">
        <v>4079</v>
      </c>
      <c r="F2144" s="1" t="s">
        <v>8695</v>
      </c>
      <c r="G2144" s="1" t="s">
        <v>12480</v>
      </c>
      <c r="H2144" s="1" t="s">
        <v>8696</v>
      </c>
      <c r="I2144" s="2">
        <v>44.56</v>
      </c>
      <c r="J2144" s="2">
        <v>1.9</v>
      </c>
      <c r="K2144" s="2">
        <v>2.14</v>
      </c>
      <c r="L2144" s="2">
        <v>2.33</v>
      </c>
      <c r="M2144" s="4">
        <f t="shared" si="198"/>
        <v>20.822429906542055</v>
      </c>
      <c r="N2144" s="4">
        <f t="shared" si="199"/>
        <v>19.124463519313306</v>
      </c>
      <c r="O2144" s="5">
        <f t="shared" si="200"/>
        <v>0.12631578947368438</v>
      </c>
      <c r="P2144" s="5">
        <f t="shared" si="201"/>
        <v>8.8785046728971917E-2</v>
      </c>
      <c r="Q2144" s="4">
        <f t="shared" si="202"/>
        <v>1.6484423676012436</v>
      </c>
      <c r="R2144" s="4">
        <f t="shared" si="203"/>
        <v>2.1540185227016049</v>
      </c>
      <c r="S2144" s="4">
        <v>3.29</v>
      </c>
      <c r="T2144" s="2">
        <v>0.68</v>
      </c>
      <c r="U2144" s="2">
        <v>44.99</v>
      </c>
      <c r="V2144" s="2">
        <v>35.159999999999997</v>
      </c>
      <c r="W2144" s="2">
        <v>-0.96</v>
      </c>
      <c r="X2144" s="2">
        <v>3.32</v>
      </c>
      <c r="Y2144" s="2">
        <v>15.62</v>
      </c>
      <c r="Z2144" s="2">
        <v>17.079999999999998</v>
      </c>
    </row>
    <row r="2145" spans="1:26" x14ac:dyDescent="0.25">
      <c r="A2145" s="1" t="s">
        <v>8697</v>
      </c>
      <c r="B2145" s="1" t="s">
        <v>8698</v>
      </c>
      <c r="C2145" s="1" t="s">
        <v>16</v>
      </c>
      <c r="D2145" s="1" t="s">
        <v>94</v>
      </c>
      <c r="E2145" s="1" t="s">
        <v>3284</v>
      </c>
      <c r="F2145" s="1" t="s">
        <v>8699</v>
      </c>
      <c r="G2145" s="1" t="s">
        <v>12480</v>
      </c>
      <c r="H2145" s="1" t="s">
        <v>3793</v>
      </c>
      <c r="I2145" s="2">
        <v>38.119999999999997</v>
      </c>
      <c r="J2145" s="2">
        <v>-4.13</v>
      </c>
      <c r="K2145" s="2">
        <v>0.46</v>
      </c>
      <c r="L2145" s="2">
        <v>1.44</v>
      </c>
      <c r="M2145" s="4">
        <f t="shared" si="198"/>
        <v>82.869565217391298</v>
      </c>
      <c r="N2145" s="4">
        <f t="shared" si="199"/>
        <v>26.472222222222221</v>
      </c>
      <c r="O2145" s="5">
        <f t="shared" si="200"/>
        <v>-1.1113801452784504</v>
      </c>
      <c r="P2145" s="5">
        <f t="shared" si="201"/>
        <v>2.1304347826086953</v>
      </c>
      <c r="Q2145" s="4">
        <f t="shared" si="202"/>
        <v>-0.74564554324145105</v>
      </c>
      <c r="R2145" s="4">
        <f t="shared" si="203"/>
        <v>0.12425736961451249</v>
      </c>
      <c r="S2145" s="4">
        <v>-11.42</v>
      </c>
      <c r="T2145" s="2">
        <v>0.41</v>
      </c>
      <c r="U2145" s="2">
        <v>45.66</v>
      </c>
      <c r="V2145" s="2">
        <v>14.37</v>
      </c>
      <c r="W2145" s="2">
        <v>-3.2</v>
      </c>
      <c r="X2145" s="2">
        <v>8.11</v>
      </c>
      <c r="Y2145" s="2">
        <v>27.36</v>
      </c>
      <c r="Z2145" s="2">
        <v>40.56</v>
      </c>
    </row>
    <row r="2146" spans="1:26" x14ac:dyDescent="0.25">
      <c r="A2146" s="1" t="s">
        <v>8700</v>
      </c>
      <c r="B2146" s="1" t="s">
        <v>8701</v>
      </c>
      <c r="C2146" s="1" t="s">
        <v>16</v>
      </c>
      <c r="D2146" s="1" t="s">
        <v>18</v>
      </c>
      <c r="E2146" s="1" t="s">
        <v>19</v>
      </c>
      <c r="F2146" s="1" t="s">
        <v>8702</v>
      </c>
      <c r="G2146" s="1" t="s">
        <v>12490</v>
      </c>
      <c r="H2146" s="1" t="s">
        <v>8703</v>
      </c>
      <c r="I2146" s="2">
        <v>66.2</v>
      </c>
      <c r="J2146" s="2">
        <v>4.5199999999999996</v>
      </c>
      <c r="K2146" s="2">
        <v>4.54</v>
      </c>
      <c r="L2146" s="2">
        <v>4.8</v>
      </c>
      <c r="M2146" s="4">
        <f t="shared" si="198"/>
        <v>14.581497797356828</v>
      </c>
      <c r="N2146" s="4">
        <f t="shared" si="199"/>
        <v>13.791666666666668</v>
      </c>
      <c r="O2146" s="5">
        <f t="shared" si="200"/>
        <v>4.4247787610620648E-3</v>
      </c>
      <c r="P2146" s="5">
        <f t="shared" si="201"/>
        <v>5.7268722466960353E-2</v>
      </c>
      <c r="Q2146" s="4">
        <f t="shared" si="202"/>
        <v>32.954185022025555</v>
      </c>
      <c r="R2146" s="4">
        <f t="shared" si="203"/>
        <v>2.4082371794871795</v>
      </c>
      <c r="S2146" s="4">
        <v>1.1000000000000001</v>
      </c>
      <c r="T2146" s="2">
        <v>0.41</v>
      </c>
      <c r="U2146" s="2">
        <v>89.09</v>
      </c>
      <c r="V2146" s="2">
        <v>57.47</v>
      </c>
      <c r="W2146" s="2">
        <v>-3.4</v>
      </c>
      <c r="X2146" s="2">
        <v>1.3</v>
      </c>
      <c r="Y2146" s="2">
        <v>7.02</v>
      </c>
      <c r="Z2146" s="2">
        <v>7.31</v>
      </c>
    </row>
    <row r="2147" spans="1:26" x14ac:dyDescent="0.25">
      <c r="A2147" s="1" t="s">
        <v>8704</v>
      </c>
      <c r="B2147" s="1" t="s">
        <v>8705</v>
      </c>
      <c r="C2147" s="1" t="s">
        <v>16</v>
      </c>
      <c r="D2147" s="1" t="s">
        <v>32</v>
      </c>
      <c r="E2147" s="1" t="s">
        <v>6624</v>
      </c>
      <c r="F2147" s="1" t="s">
        <v>8706</v>
      </c>
      <c r="G2147" s="1" t="s">
        <v>12480</v>
      </c>
      <c r="H2147" s="1" t="s">
        <v>8707</v>
      </c>
      <c r="I2147" s="2">
        <v>10.67</v>
      </c>
      <c r="J2147" s="2">
        <v>1.35</v>
      </c>
      <c r="K2147" s="2">
        <v>1.46</v>
      </c>
      <c r="L2147" s="2">
        <v>1.5</v>
      </c>
      <c r="M2147" s="4">
        <f t="shared" si="198"/>
        <v>7.3082191780821919</v>
      </c>
      <c r="N2147" s="4">
        <f t="shared" si="199"/>
        <v>7.1133333333333333</v>
      </c>
      <c r="O2147" s="5">
        <f t="shared" si="200"/>
        <v>8.1481481481481488E-2</v>
      </c>
      <c r="P2147" s="5">
        <f t="shared" si="201"/>
        <v>2.7397260273972712E-2</v>
      </c>
      <c r="Q2147" s="4">
        <f t="shared" si="202"/>
        <v>0.89691780821917799</v>
      </c>
      <c r="R2147" s="4">
        <f t="shared" si="203"/>
        <v>2.5963666666666563</v>
      </c>
      <c r="S2147" s="4">
        <v>-6.61</v>
      </c>
      <c r="T2147" s="2">
        <v>1.42</v>
      </c>
      <c r="U2147" s="2">
        <v>12.79</v>
      </c>
      <c r="V2147" s="2">
        <v>7.81</v>
      </c>
      <c r="W2147" s="2">
        <v>-0.93</v>
      </c>
      <c r="X2147" s="2">
        <v>0.19</v>
      </c>
      <c r="Y2147" s="2">
        <v>5.23</v>
      </c>
      <c r="Z2147" s="2">
        <v>0.95</v>
      </c>
    </row>
    <row r="2148" spans="1:26" x14ac:dyDescent="0.25">
      <c r="A2148" s="1" t="s">
        <v>8708</v>
      </c>
      <c r="B2148" s="1" t="s">
        <v>8709</v>
      </c>
      <c r="C2148" s="1" t="s">
        <v>16</v>
      </c>
      <c r="D2148" s="1" t="s">
        <v>94</v>
      </c>
      <c r="E2148" s="1" t="s">
        <v>1948</v>
      </c>
      <c r="F2148" s="1" t="s">
        <v>8710</v>
      </c>
      <c r="G2148" s="1" t="s">
        <v>12480</v>
      </c>
      <c r="H2148" s="1" t="s">
        <v>8711</v>
      </c>
      <c r="I2148" s="2">
        <v>18.16</v>
      </c>
      <c r="J2148" s="2">
        <v>2.8</v>
      </c>
      <c r="K2148" s="2">
        <v>2.4900000000000002</v>
      </c>
      <c r="L2148" s="2">
        <v>2.86</v>
      </c>
      <c r="M2148" s="4">
        <f t="shared" si="198"/>
        <v>7.2931726907630514</v>
      </c>
      <c r="N2148" s="4">
        <f t="shared" si="199"/>
        <v>6.34965034965035</v>
      </c>
      <c r="O2148" s="5">
        <f t="shared" si="200"/>
        <v>-0.11071428571428554</v>
      </c>
      <c r="P2148" s="5">
        <f t="shared" si="201"/>
        <v>0.14859437751004001</v>
      </c>
      <c r="Q2148" s="4">
        <f t="shared" si="202"/>
        <v>-0.65873817852053462</v>
      </c>
      <c r="R2148" s="4">
        <f t="shared" si="203"/>
        <v>0.42731430731430775</v>
      </c>
      <c r="S2148" s="4">
        <v>-2.4300000000000002</v>
      </c>
      <c r="T2148" s="2">
        <v>0.51</v>
      </c>
      <c r="U2148" s="2">
        <v>18.16</v>
      </c>
      <c r="V2148" s="2">
        <v>11.11</v>
      </c>
      <c r="W2148" s="2">
        <v>4.8499999999999996</v>
      </c>
      <c r="X2148" s="2">
        <v>18.93</v>
      </c>
      <c r="Y2148" s="2">
        <v>49.1</v>
      </c>
      <c r="Z2148" s="2">
        <v>53.25</v>
      </c>
    </row>
    <row r="2149" spans="1:26" x14ac:dyDescent="0.25">
      <c r="A2149" s="1" t="s">
        <v>8708</v>
      </c>
      <c r="B2149" s="1" t="s">
        <v>8712</v>
      </c>
      <c r="C2149" s="1" t="s">
        <v>16</v>
      </c>
      <c r="D2149" s="1" t="s">
        <v>94</v>
      </c>
      <c r="E2149" s="1" t="s">
        <v>8714</v>
      </c>
      <c r="F2149" s="1" t="s">
        <v>8713</v>
      </c>
      <c r="G2149" s="1" t="s">
        <v>12480</v>
      </c>
      <c r="H2149" s="1" t="s">
        <v>8711</v>
      </c>
      <c r="I2149" s="2">
        <v>16.690000000000001</v>
      </c>
      <c r="J2149" s="2">
        <v>2.8</v>
      </c>
      <c r="K2149" s="2"/>
      <c r="L2149" s="2"/>
      <c r="M2149" s="4" t="e">
        <f t="shared" si="198"/>
        <v>#DIV/0!</v>
      </c>
      <c r="N2149" s="4" t="e">
        <f t="shared" si="199"/>
        <v>#DIV/0!</v>
      </c>
      <c r="O2149" s="5">
        <f t="shared" si="200"/>
        <v>-1</v>
      </c>
      <c r="P2149" s="5" t="e">
        <f t="shared" si="201"/>
        <v>#DIV/0!</v>
      </c>
      <c r="Q2149" s="4" t="e">
        <f t="shared" si="202"/>
        <v>#DIV/0!</v>
      </c>
      <c r="R2149" s="4" t="e">
        <f t="shared" si="203"/>
        <v>#DIV/0!</v>
      </c>
      <c r="S2149" s="4">
        <v>-2.4300000000000002</v>
      </c>
      <c r="T2149" s="2">
        <v>0.61</v>
      </c>
      <c r="U2149" s="2">
        <v>16.690000000000001</v>
      </c>
      <c r="V2149" s="2">
        <v>10.37</v>
      </c>
      <c r="W2149" s="2">
        <v>5.0999999999999996</v>
      </c>
      <c r="X2149" s="2">
        <v>15.5</v>
      </c>
      <c r="Y2149" s="2">
        <v>43.02</v>
      </c>
      <c r="Z2149" s="2">
        <v>48.09</v>
      </c>
    </row>
    <row r="2150" spans="1:26" x14ac:dyDescent="0.25">
      <c r="A2150" s="1" t="s">
        <v>8715</v>
      </c>
      <c r="B2150" s="1" t="s">
        <v>8716</v>
      </c>
      <c r="C2150" s="1" t="s">
        <v>31</v>
      </c>
      <c r="D2150" s="1" t="s">
        <v>147</v>
      </c>
      <c r="E2150" s="1" t="s">
        <v>2590</v>
      </c>
      <c r="F2150" s="1" t="s">
        <v>8717</v>
      </c>
      <c r="G2150" s="1" t="s">
        <v>12480</v>
      </c>
      <c r="H2150" s="1" t="s">
        <v>8718</v>
      </c>
      <c r="I2150" s="2">
        <v>1.26</v>
      </c>
      <c r="J2150" s="2">
        <v>0.27</v>
      </c>
      <c r="K2150" s="2"/>
      <c r="L2150" s="2"/>
      <c r="M2150" s="4" t="e">
        <f t="shared" si="198"/>
        <v>#DIV/0!</v>
      </c>
      <c r="N2150" s="4" t="e">
        <f t="shared" si="199"/>
        <v>#DIV/0!</v>
      </c>
      <c r="O2150" s="5">
        <f t="shared" si="200"/>
        <v>-1</v>
      </c>
      <c r="P2150" s="5" t="e">
        <f t="shared" si="201"/>
        <v>#DIV/0!</v>
      </c>
      <c r="Q2150" s="4" t="e">
        <f t="shared" si="202"/>
        <v>#DIV/0!</v>
      </c>
      <c r="R2150" s="4" t="e">
        <f t="shared" si="203"/>
        <v>#DIV/0!</v>
      </c>
      <c r="S2150" s="4">
        <v>1.71</v>
      </c>
      <c r="T2150" s="2">
        <v>0.96</v>
      </c>
      <c r="U2150" s="2">
        <v>2.27</v>
      </c>
      <c r="V2150" s="2">
        <v>1.26</v>
      </c>
      <c r="W2150" s="2">
        <v>-3.82</v>
      </c>
      <c r="X2150" s="2">
        <v>-9.35</v>
      </c>
      <c r="Y2150" s="2">
        <v>-5.26</v>
      </c>
      <c r="Z2150" s="2" t="s">
        <v>12522</v>
      </c>
    </row>
    <row r="2151" spans="1:26" x14ac:dyDescent="0.25">
      <c r="A2151" s="1" t="s">
        <v>8719</v>
      </c>
      <c r="B2151" s="1" t="s">
        <v>8720</v>
      </c>
      <c r="C2151" s="1" t="s">
        <v>45</v>
      </c>
      <c r="D2151" s="1" t="s">
        <v>305</v>
      </c>
      <c r="E2151" s="1" t="s">
        <v>349</v>
      </c>
      <c r="F2151" s="1" t="s">
        <v>8721</v>
      </c>
      <c r="G2151" s="1" t="s">
        <v>12480</v>
      </c>
      <c r="H2151" s="1" t="s">
        <v>8722</v>
      </c>
      <c r="I2151" s="2">
        <v>120.67</v>
      </c>
      <c r="J2151" s="2">
        <v>5.01</v>
      </c>
      <c r="K2151" s="2">
        <v>5.53</v>
      </c>
      <c r="L2151" s="2">
        <v>6.91</v>
      </c>
      <c r="M2151" s="4">
        <f t="shared" si="198"/>
        <v>21.820976491862567</v>
      </c>
      <c r="N2151" s="4">
        <f t="shared" si="199"/>
        <v>17.463096960926194</v>
      </c>
      <c r="O2151" s="5">
        <f t="shared" si="200"/>
        <v>0.10379241516966076</v>
      </c>
      <c r="P2151" s="5">
        <f t="shared" si="201"/>
        <v>0.24954792043399632</v>
      </c>
      <c r="Q2151" s="4">
        <f t="shared" si="202"/>
        <v>2.1023671581582959</v>
      </c>
      <c r="R2151" s="4">
        <f t="shared" si="203"/>
        <v>0.69978932024581075</v>
      </c>
      <c r="S2151" s="4">
        <v>-15.5</v>
      </c>
      <c r="T2151" s="2">
        <v>1.03</v>
      </c>
      <c r="U2151" s="2">
        <v>129.47999999999999</v>
      </c>
      <c r="V2151" s="2">
        <v>86.4</v>
      </c>
      <c r="W2151" s="2">
        <v>-3.02</v>
      </c>
      <c r="X2151" s="2">
        <v>-5.18</v>
      </c>
      <c r="Y2151" s="2">
        <v>6.83</v>
      </c>
      <c r="Z2151" s="2">
        <v>10.19</v>
      </c>
    </row>
    <row r="2152" spans="1:26" x14ac:dyDescent="0.25">
      <c r="A2152" s="1" t="s">
        <v>8723</v>
      </c>
      <c r="B2152" s="1" t="s">
        <v>8724</v>
      </c>
      <c r="C2152" s="1" t="s">
        <v>31</v>
      </c>
      <c r="D2152" s="1" t="s">
        <v>32</v>
      </c>
      <c r="E2152" s="1" t="s">
        <v>565</v>
      </c>
      <c r="F2152" s="1" t="s">
        <v>8725</v>
      </c>
      <c r="G2152" s="1" t="s">
        <v>12480</v>
      </c>
      <c r="H2152" s="1" t="s">
        <v>8726</v>
      </c>
      <c r="I2152" s="2">
        <v>7.72</v>
      </c>
      <c r="J2152" s="2">
        <v>-0.04</v>
      </c>
      <c r="K2152" s="2"/>
      <c r="L2152" s="2"/>
      <c r="M2152" s="4" t="e">
        <f t="shared" si="198"/>
        <v>#DIV/0!</v>
      </c>
      <c r="N2152" s="4" t="e">
        <f t="shared" si="199"/>
        <v>#DIV/0!</v>
      </c>
      <c r="O2152" s="5">
        <f t="shared" si="200"/>
        <v>-1</v>
      </c>
      <c r="P2152" s="5" t="e">
        <f t="shared" si="201"/>
        <v>#DIV/0!</v>
      </c>
      <c r="Q2152" s="4" t="e">
        <f t="shared" si="202"/>
        <v>#DIV/0!</v>
      </c>
      <c r="R2152" s="4" t="e">
        <f t="shared" si="203"/>
        <v>#DIV/0!</v>
      </c>
      <c r="S2152" s="4">
        <v>7.27</v>
      </c>
      <c r="T2152" s="2">
        <v>0.24</v>
      </c>
      <c r="U2152" s="2">
        <v>8.1999999999999993</v>
      </c>
      <c r="V2152" s="2">
        <v>5.54</v>
      </c>
      <c r="W2152" s="2">
        <v>-2.0299999999999998</v>
      </c>
      <c r="X2152" s="2">
        <v>1.19</v>
      </c>
      <c r="Y2152" s="2">
        <v>2.12</v>
      </c>
      <c r="Z2152" s="2">
        <v>11.24</v>
      </c>
    </row>
    <row r="2153" spans="1:26" x14ac:dyDescent="0.25">
      <c r="A2153" s="1" t="s">
        <v>8727</v>
      </c>
      <c r="B2153" s="1" t="s">
        <v>8728</v>
      </c>
      <c r="C2153" s="1" t="s">
        <v>31</v>
      </c>
      <c r="D2153" s="1" t="s">
        <v>46</v>
      </c>
      <c r="E2153" s="1" t="s">
        <v>770</v>
      </c>
      <c r="F2153" s="1" t="s">
        <v>8729</v>
      </c>
      <c r="G2153" s="1" t="s">
        <v>12480</v>
      </c>
      <c r="H2153" s="1" t="s">
        <v>8730</v>
      </c>
      <c r="I2153" s="2">
        <v>7.77</v>
      </c>
      <c r="J2153" s="2">
        <v>0.23</v>
      </c>
      <c r="K2153" s="2">
        <v>0.6</v>
      </c>
      <c r="L2153" s="2">
        <v>0.6</v>
      </c>
      <c r="M2153" s="4">
        <f t="shared" si="198"/>
        <v>12.95</v>
      </c>
      <c r="N2153" s="4">
        <f t="shared" si="199"/>
        <v>12.95</v>
      </c>
      <c r="O2153" s="5">
        <f t="shared" si="200"/>
        <v>1.6086956521739126</v>
      </c>
      <c r="P2153" s="5">
        <f t="shared" si="201"/>
        <v>0</v>
      </c>
      <c r="Q2153" s="4">
        <f t="shared" si="202"/>
        <v>8.0500000000000016E-2</v>
      </c>
      <c r="R2153" s="4" t="e">
        <f t="shared" si="203"/>
        <v>#DIV/0!</v>
      </c>
      <c r="S2153" s="4">
        <v>-19.39</v>
      </c>
      <c r="T2153" s="2">
        <v>0.66</v>
      </c>
      <c r="U2153" s="2">
        <v>9.1199999999999992</v>
      </c>
      <c r="V2153" s="2">
        <v>3.74</v>
      </c>
      <c r="W2153" s="2">
        <v>-14.8</v>
      </c>
      <c r="X2153" s="2">
        <v>-2.2599999999999998</v>
      </c>
      <c r="Y2153" s="2">
        <v>22.75</v>
      </c>
      <c r="Z2153" s="2">
        <v>33.049999999999997</v>
      </c>
    </row>
    <row r="2154" spans="1:26" x14ac:dyDescent="0.25">
      <c r="A2154" s="1" t="s">
        <v>8731</v>
      </c>
      <c r="B2154" s="1" t="s">
        <v>8732</v>
      </c>
      <c r="C2154" s="1" t="s">
        <v>16</v>
      </c>
      <c r="D2154" s="1" t="s">
        <v>354</v>
      </c>
      <c r="E2154" s="1" t="s">
        <v>355</v>
      </c>
      <c r="F2154" s="1" t="s">
        <v>8733</v>
      </c>
      <c r="G2154" s="1" t="s">
        <v>12480</v>
      </c>
      <c r="H2154" s="1" t="s">
        <v>8734</v>
      </c>
      <c r="I2154" s="2">
        <v>18.170000000000002</v>
      </c>
      <c r="J2154" s="2">
        <v>1.5</v>
      </c>
      <c r="K2154" s="2">
        <v>1.64</v>
      </c>
      <c r="L2154" s="2">
        <v>1.81</v>
      </c>
      <c r="M2154" s="4">
        <f t="shared" si="198"/>
        <v>11.079268292682929</v>
      </c>
      <c r="N2154" s="4">
        <f t="shared" si="199"/>
        <v>10.038674033149173</v>
      </c>
      <c r="O2154" s="5">
        <f t="shared" si="200"/>
        <v>9.3333333333333268E-2</v>
      </c>
      <c r="P2154" s="5">
        <f t="shared" si="201"/>
        <v>0.10365853658536595</v>
      </c>
      <c r="Q2154" s="4">
        <f t="shared" si="202"/>
        <v>1.1870644599303146</v>
      </c>
      <c r="R2154" s="4">
        <f t="shared" si="203"/>
        <v>0.96843678908027231</v>
      </c>
      <c r="S2154" s="4">
        <v>2.11</v>
      </c>
      <c r="T2154" s="2">
        <v>0.33</v>
      </c>
      <c r="U2154" s="2">
        <v>19.11</v>
      </c>
      <c r="V2154" s="2" t="s">
        <v>12633</v>
      </c>
      <c r="W2154" s="2">
        <v>-4.92</v>
      </c>
      <c r="X2154" s="2">
        <v>11.13</v>
      </c>
      <c r="Y2154" s="2">
        <v>18.29</v>
      </c>
      <c r="Z2154" s="2">
        <v>13.07</v>
      </c>
    </row>
    <row r="2155" spans="1:26" x14ac:dyDescent="0.25">
      <c r="A2155" s="1" t="s">
        <v>8735</v>
      </c>
      <c r="B2155" s="1" t="s">
        <v>8736</v>
      </c>
      <c r="C2155" s="1" t="s">
        <v>16</v>
      </c>
      <c r="D2155" s="1" t="s">
        <v>32</v>
      </c>
      <c r="E2155" s="1" t="s">
        <v>311</v>
      </c>
      <c r="F2155" s="1" t="s">
        <v>8737</v>
      </c>
      <c r="G2155" s="1" t="s">
        <v>12480</v>
      </c>
      <c r="H2155" s="1" t="s">
        <v>8738</v>
      </c>
      <c r="I2155" s="2">
        <v>58.71</v>
      </c>
      <c r="J2155" s="2">
        <v>1.36</v>
      </c>
      <c r="K2155" s="2">
        <v>1.77</v>
      </c>
      <c r="L2155" s="2">
        <v>2.2200000000000002</v>
      </c>
      <c r="M2155" s="4">
        <f t="shared" si="198"/>
        <v>33.16949152542373</v>
      </c>
      <c r="N2155" s="4">
        <f t="shared" si="199"/>
        <v>26.445945945945944</v>
      </c>
      <c r="O2155" s="5">
        <f t="shared" si="200"/>
        <v>0.30147058823529393</v>
      </c>
      <c r="P2155" s="5">
        <f t="shared" si="201"/>
        <v>0.25423728813559321</v>
      </c>
      <c r="Q2155" s="4">
        <f t="shared" si="202"/>
        <v>1.1002563042579585</v>
      </c>
      <c r="R2155" s="4">
        <f t="shared" si="203"/>
        <v>1.0402072072072071</v>
      </c>
      <c r="S2155" s="4">
        <v>14.83</v>
      </c>
      <c r="T2155" s="2">
        <v>0.9</v>
      </c>
      <c r="U2155" s="2">
        <v>79.599999999999994</v>
      </c>
      <c r="V2155" s="2">
        <v>47.88</v>
      </c>
      <c r="W2155" s="2">
        <v>5.35</v>
      </c>
      <c r="X2155" s="2">
        <v>16.260000000000002</v>
      </c>
      <c r="Y2155" s="2">
        <v>-18.850000000000001</v>
      </c>
      <c r="Z2155" s="2">
        <v>-19.29</v>
      </c>
    </row>
    <row r="2156" spans="1:26" x14ac:dyDescent="0.25">
      <c r="A2156" s="1" t="s">
        <v>8739</v>
      </c>
      <c r="B2156" s="1" t="s">
        <v>8740</v>
      </c>
      <c r="C2156" s="1" t="s">
        <v>45</v>
      </c>
      <c r="D2156" s="1" t="s">
        <v>140</v>
      </c>
      <c r="E2156" s="1" t="s">
        <v>2558</v>
      </c>
      <c r="F2156" s="1" t="s">
        <v>8741</v>
      </c>
      <c r="G2156" s="1" t="s">
        <v>12480</v>
      </c>
      <c r="H2156" s="1" t="s">
        <v>8742</v>
      </c>
      <c r="I2156" s="2">
        <v>5.88</v>
      </c>
      <c r="J2156" s="2">
        <v>-1.21</v>
      </c>
      <c r="K2156" s="2">
        <v>-0.91</v>
      </c>
      <c r="L2156" s="2">
        <v>-0.47</v>
      </c>
      <c r="M2156" s="4">
        <f t="shared" si="198"/>
        <v>-6.4615384615384608</v>
      </c>
      <c r="N2156" s="4">
        <f t="shared" si="199"/>
        <v>-12.51063829787234</v>
      </c>
      <c r="O2156" s="5">
        <f t="shared" si="200"/>
        <v>-0.24793388429752061</v>
      </c>
      <c r="P2156" s="5">
        <f t="shared" si="201"/>
        <v>-0.48351648351648358</v>
      </c>
      <c r="Q2156" s="4">
        <f t="shared" si="202"/>
        <v>0.26061538461538464</v>
      </c>
      <c r="R2156" s="4">
        <f t="shared" si="203"/>
        <v>0.258742746615087</v>
      </c>
      <c r="S2156" s="4"/>
      <c r="T2156" s="2">
        <v>2.0699999999999998</v>
      </c>
      <c r="U2156" s="2">
        <v>16.920000000000002</v>
      </c>
      <c r="V2156" s="2">
        <v>5.57</v>
      </c>
      <c r="W2156" s="2">
        <v>-8.84</v>
      </c>
      <c r="X2156" s="2">
        <v>-38.69</v>
      </c>
      <c r="Y2156" s="2">
        <v>-26.59</v>
      </c>
      <c r="Z2156" s="2">
        <v>-31.55</v>
      </c>
    </row>
    <row r="2157" spans="1:26" x14ac:dyDescent="0.25">
      <c r="A2157" s="1" t="s">
        <v>8743</v>
      </c>
      <c r="B2157" s="1" t="s">
        <v>8744</v>
      </c>
      <c r="C2157" s="1" t="s">
        <v>45</v>
      </c>
      <c r="D2157" s="1" t="s">
        <v>32</v>
      </c>
      <c r="E2157" s="1" t="s">
        <v>311</v>
      </c>
      <c r="F2157" s="1" t="s">
        <v>8745</v>
      </c>
      <c r="G2157" s="1" t="s">
        <v>12502</v>
      </c>
      <c r="H2157" s="1" t="s">
        <v>8746</v>
      </c>
      <c r="I2157" s="2">
        <v>117.95</v>
      </c>
      <c r="J2157" s="2">
        <v>7.17</v>
      </c>
      <c r="K2157" s="2">
        <v>7.69</v>
      </c>
      <c r="L2157" s="2">
        <v>8.1199999999999992</v>
      </c>
      <c r="M2157" s="4">
        <f t="shared" si="198"/>
        <v>15.338101430429129</v>
      </c>
      <c r="N2157" s="4">
        <f t="shared" si="199"/>
        <v>14.52586206896552</v>
      </c>
      <c r="O2157" s="5">
        <f t="shared" si="200"/>
        <v>7.2524407252440692E-2</v>
      </c>
      <c r="P2157" s="5">
        <f t="shared" si="201"/>
        <v>5.591677503250958E-2</v>
      </c>
      <c r="Q2157" s="4">
        <f t="shared" si="202"/>
        <v>2.1148882164649403</v>
      </c>
      <c r="R2157" s="4">
        <f t="shared" si="203"/>
        <v>2.5977646351243067</v>
      </c>
      <c r="S2157" s="4">
        <v>13.74</v>
      </c>
      <c r="T2157" s="2">
        <v>0.57999999999999996</v>
      </c>
      <c r="U2157" s="2">
        <v>201.04</v>
      </c>
      <c r="V2157" s="2">
        <v>101.95</v>
      </c>
      <c r="W2157" s="2">
        <v>9.42</v>
      </c>
      <c r="X2157" s="2">
        <v>5.0199999999999996</v>
      </c>
      <c r="Y2157" s="2">
        <v>-20.57</v>
      </c>
      <c r="Z2157" s="2">
        <v>-22.66</v>
      </c>
    </row>
    <row r="2158" spans="1:26" x14ac:dyDescent="0.25">
      <c r="A2158" s="1" t="s">
        <v>8748</v>
      </c>
      <c r="B2158" s="1" t="s">
        <v>8749</v>
      </c>
      <c r="C2158" s="1" t="s">
        <v>45</v>
      </c>
      <c r="D2158" s="1" t="s">
        <v>18</v>
      </c>
      <c r="E2158" s="1" t="s">
        <v>74</v>
      </c>
      <c r="F2158" s="1" t="s">
        <v>8750</v>
      </c>
      <c r="G2158" s="1" t="s">
        <v>12480</v>
      </c>
      <c r="H2158" s="1" t="s">
        <v>8751</v>
      </c>
      <c r="I2158" s="2">
        <v>59.32</v>
      </c>
      <c r="J2158" s="2">
        <v>-5.63</v>
      </c>
      <c r="K2158" s="2">
        <v>-6.94</v>
      </c>
      <c r="L2158" s="2">
        <v>-7.52</v>
      </c>
      <c r="M2158" s="4">
        <f t="shared" si="198"/>
        <v>-8.5475504322766565</v>
      </c>
      <c r="N2158" s="4">
        <f t="shared" si="199"/>
        <v>-7.8882978723404262</v>
      </c>
      <c r="O2158" s="5">
        <f t="shared" si="200"/>
        <v>0.23268206039076378</v>
      </c>
      <c r="P2158" s="5">
        <f t="shared" si="201"/>
        <v>8.35734870317002E-2</v>
      </c>
      <c r="Q2158" s="4">
        <f t="shared" si="202"/>
        <v>-0.36734892315814938</v>
      </c>
      <c r="R2158" s="4">
        <f t="shared" si="203"/>
        <v>-0.94387564196625195</v>
      </c>
      <c r="S2158" s="4"/>
      <c r="T2158" s="2">
        <v>1.31</v>
      </c>
      <c r="U2158" s="2">
        <v>76.14</v>
      </c>
      <c r="V2158" s="2">
        <v>28.04</v>
      </c>
      <c r="W2158" s="2">
        <v>-4.29</v>
      </c>
      <c r="X2158" s="2">
        <v>6.75</v>
      </c>
      <c r="Y2158" s="2">
        <v>33.78</v>
      </c>
      <c r="Z2158" s="2">
        <v>28.57</v>
      </c>
    </row>
    <row r="2159" spans="1:26" x14ac:dyDescent="0.25">
      <c r="A2159" s="1" t="s">
        <v>8753</v>
      </c>
      <c r="B2159" s="1" t="s">
        <v>8754</v>
      </c>
      <c r="C2159" s="1" t="s">
        <v>16</v>
      </c>
      <c r="D2159" s="1" t="s">
        <v>38</v>
      </c>
      <c r="E2159" s="1" t="s">
        <v>259</v>
      </c>
      <c r="F2159" s="1" t="s">
        <v>8755</v>
      </c>
      <c r="G2159" s="1" t="s">
        <v>12480</v>
      </c>
      <c r="H2159" s="1" t="s">
        <v>8012</v>
      </c>
      <c r="I2159" s="2">
        <v>21.58</v>
      </c>
      <c r="J2159" s="2"/>
      <c r="K2159" s="2"/>
      <c r="L2159" s="2"/>
      <c r="M2159" s="4" t="e">
        <f t="shared" si="198"/>
        <v>#DIV/0!</v>
      </c>
      <c r="N2159" s="4" t="e">
        <f t="shared" si="199"/>
        <v>#DIV/0!</v>
      </c>
      <c r="O2159" s="5" t="e">
        <f t="shared" si="200"/>
        <v>#DIV/0!</v>
      </c>
      <c r="P2159" s="5" t="e">
        <f t="shared" si="201"/>
        <v>#DIV/0!</v>
      </c>
      <c r="Q2159" s="4" t="e">
        <f t="shared" si="202"/>
        <v>#DIV/0!</v>
      </c>
      <c r="R2159" s="4" t="e">
        <f t="shared" si="203"/>
        <v>#DIV/0!</v>
      </c>
      <c r="S2159" s="4"/>
      <c r="T2159" s="2">
        <v>0.75</v>
      </c>
      <c r="U2159" s="2">
        <v>22.07</v>
      </c>
      <c r="V2159" s="2">
        <v>18.96</v>
      </c>
      <c r="W2159" s="2">
        <v>-1.19</v>
      </c>
      <c r="X2159" s="2">
        <v>-0.74</v>
      </c>
      <c r="Y2159" s="2">
        <v>-0.87</v>
      </c>
      <c r="Z2159" s="2">
        <v>-0.37</v>
      </c>
    </row>
    <row r="2160" spans="1:26" x14ac:dyDescent="0.25">
      <c r="A2160" s="1" t="s">
        <v>8756</v>
      </c>
      <c r="B2160" s="1" t="s">
        <v>8757</v>
      </c>
      <c r="C2160" s="1" t="s">
        <v>45</v>
      </c>
      <c r="D2160" s="1" t="s">
        <v>67</v>
      </c>
      <c r="E2160" s="1" t="s">
        <v>833</v>
      </c>
      <c r="F2160" s="1" t="s">
        <v>8758</v>
      </c>
      <c r="G2160" s="1" t="s">
        <v>12480</v>
      </c>
      <c r="H2160" s="1" t="s">
        <v>8759</v>
      </c>
      <c r="I2160" s="2">
        <v>102.64</v>
      </c>
      <c r="J2160" s="2">
        <v>11.32</v>
      </c>
      <c r="K2160" s="2">
        <v>12.46</v>
      </c>
      <c r="L2160" s="2">
        <v>14.38</v>
      </c>
      <c r="M2160" s="4">
        <f t="shared" si="198"/>
        <v>8.2375601926163711</v>
      </c>
      <c r="N2160" s="4">
        <f t="shared" si="199"/>
        <v>7.1376912378303192</v>
      </c>
      <c r="O2160" s="5">
        <f t="shared" si="200"/>
        <v>0.10070671378091878</v>
      </c>
      <c r="P2160" s="5">
        <f t="shared" si="201"/>
        <v>0.1540930979133226</v>
      </c>
      <c r="Q2160" s="4">
        <f t="shared" si="202"/>
        <v>0.81797527526681824</v>
      </c>
      <c r="R2160" s="4">
        <f t="shared" si="203"/>
        <v>0.46320642095503023</v>
      </c>
      <c r="S2160" s="4">
        <v>54.69</v>
      </c>
      <c r="T2160" s="2">
        <v>-0.01</v>
      </c>
      <c r="U2160" s="2">
        <v>138.13</v>
      </c>
      <c r="V2160" s="2">
        <v>88.35</v>
      </c>
      <c r="W2160" s="2">
        <v>-0.18</v>
      </c>
      <c r="X2160" s="2">
        <v>-2.78</v>
      </c>
      <c r="Y2160" s="2">
        <v>-7.03</v>
      </c>
      <c r="Z2160" s="2">
        <v>-9.48</v>
      </c>
    </row>
    <row r="2161" spans="1:26" x14ac:dyDescent="0.25">
      <c r="A2161" s="1" t="s">
        <v>8760</v>
      </c>
      <c r="B2161" s="1" t="s">
        <v>8761</v>
      </c>
      <c r="C2161" s="1" t="s">
        <v>45</v>
      </c>
      <c r="D2161" s="1" t="s">
        <v>32</v>
      </c>
      <c r="E2161" s="1" t="s">
        <v>2203</v>
      </c>
      <c r="F2161" s="1" t="s">
        <v>8762</v>
      </c>
      <c r="G2161" s="1" t="s">
        <v>12480</v>
      </c>
      <c r="H2161" s="1" t="s">
        <v>3218</v>
      </c>
      <c r="I2161" s="2">
        <v>32.549999999999997</v>
      </c>
      <c r="J2161" s="2">
        <v>0.94</v>
      </c>
      <c r="K2161" s="2">
        <v>1.1100000000000001</v>
      </c>
      <c r="L2161" s="2">
        <v>1.33</v>
      </c>
      <c r="M2161" s="4">
        <f t="shared" si="198"/>
        <v>29.324324324324319</v>
      </c>
      <c r="N2161" s="4">
        <f t="shared" si="199"/>
        <v>24.473684210526311</v>
      </c>
      <c r="O2161" s="5">
        <f t="shared" si="200"/>
        <v>0.18085106382978733</v>
      </c>
      <c r="P2161" s="5">
        <f t="shared" si="201"/>
        <v>0.19819819819819817</v>
      </c>
      <c r="Q2161" s="4">
        <f t="shared" si="202"/>
        <v>1.6214626391096969</v>
      </c>
      <c r="R2161" s="4">
        <f t="shared" si="203"/>
        <v>1.2348086124401914</v>
      </c>
      <c r="S2161" s="4">
        <v>22.04</v>
      </c>
      <c r="T2161" s="2">
        <v>1.55</v>
      </c>
      <c r="U2161" s="2">
        <v>35.86</v>
      </c>
      <c r="V2161" s="2">
        <v>16.41</v>
      </c>
      <c r="W2161" s="2">
        <v>-4.26</v>
      </c>
      <c r="X2161" s="2">
        <v>6.23</v>
      </c>
      <c r="Y2161" s="2">
        <v>8.75</v>
      </c>
      <c r="Z2161" s="2">
        <v>14.09</v>
      </c>
    </row>
    <row r="2162" spans="1:26" x14ac:dyDescent="0.25">
      <c r="A2162" s="1" t="s">
        <v>8763</v>
      </c>
      <c r="B2162" s="1" t="s">
        <v>8764</v>
      </c>
      <c r="C2162" s="1" t="s">
        <v>16</v>
      </c>
      <c r="D2162" s="1" t="s">
        <v>94</v>
      </c>
      <c r="E2162" s="1" t="s">
        <v>1925</v>
      </c>
      <c r="F2162" s="1" t="s">
        <v>8765</v>
      </c>
      <c r="G2162" s="1" t="s">
        <v>12480</v>
      </c>
      <c r="H2162" s="1" t="s">
        <v>12555</v>
      </c>
      <c r="I2162" s="2">
        <v>91.34</v>
      </c>
      <c r="J2162" s="2">
        <v>3.79</v>
      </c>
      <c r="K2162" s="2">
        <v>6.21</v>
      </c>
      <c r="L2162" s="2">
        <v>8.49</v>
      </c>
      <c r="M2162" s="4">
        <f t="shared" si="198"/>
        <v>14.708534621578101</v>
      </c>
      <c r="N2162" s="4">
        <f t="shared" si="199"/>
        <v>10.758539458186101</v>
      </c>
      <c r="O2162" s="5">
        <f t="shared" si="200"/>
        <v>0.63852242744063314</v>
      </c>
      <c r="P2162" s="5">
        <f t="shared" si="201"/>
        <v>0.36714975845410636</v>
      </c>
      <c r="Q2162" s="4">
        <f t="shared" si="202"/>
        <v>0.23035267031314466</v>
      </c>
      <c r="R2162" s="4">
        <f t="shared" si="203"/>
        <v>0.29302864050585825</v>
      </c>
      <c r="S2162" s="4">
        <v>-4.97</v>
      </c>
      <c r="T2162" s="2">
        <v>1.01</v>
      </c>
      <c r="U2162" s="2">
        <v>91.34</v>
      </c>
      <c r="V2162" s="2">
        <v>38.04</v>
      </c>
      <c r="W2162" s="2">
        <v>2.39</v>
      </c>
      <c r="X2162" s="2">
        <v>3.57</v>
      </c>
      <c r="Y2162" s="2">
        <v>33.71</v>
      </c>
      <c r="Z2162" s="2">
        <v>27.07</v>
      </c>
    </row>
    <row r="2163" spans="1:26" x14ac:dyDescent="0.25">
      <c r="A2163" s="1" t="s">
        <v>8766</v>
      </c>
      <c r="B2163" s="1" t="s">
        <v>8767</v>
      </c>
      <c r="C2163" s="1" t="s">
        <v>16</v>
      </c>
      <c r="D2163" s="1" t="s">
        <v>38</v>
      </c>
      <c r="E2163" s="1" t="s">
        <v>510</v>
      </c>
      <c r="F2163" s="1" t="s">
        <v>8768</v>
      </c>
      <c r="G2163" s="1" t="s">
        <v>12480</v>
      </c>
      <c r="H2163" s="1" t="s">
        <v>8769</v>
      </c>
      <c r="I2163" s="2">
        <v>12.51</v>
      </c>
      <c r="J2163" s="2">
        <v>1.58</v>
      </c>
      <c r="K2163" s="2">
        <v>1.45</v>
      </c>
      <c r="L2163" s="2">
        <v>1.48</v>
      </c>
      <c r="M2163" s="4">
        <f t="shared" si="198"/>
        <v>8.6275862068965523</v>
      </c>
      <c r="N2163" s="4">
        <f t="shared" si="199"/>
        <v>8.4527027027027035</v>
      </c>
      <c r="O2163" s="5">
        <f t="shared" si="200"/>
        <v>-8.2278481012658333E-2</v>
      </c>
      <c r="P2163" s="5">
        <f t="shared" si="201"/>
        <v>2.0689655172413834E-2</v>
      </c>
      <c r="Q2163" s="4">
        <f t="shared" si="202"/>
        <v>-1.0485835543766566</v>
      </c>
      <c r="R2163" s="4">
        <f t="shared" si="203"/>
        <v>4.0854729729729655</v>
      </c>
      <c r="S2163" s="4">
        <v>1.53</v>
      </c>
      <c r="T2163" s="2">
        <v>1.48</v>
      </c>
      <c r="U2163" s="2">
        <v>13.18</v>
      </c>
      <c r="V2163" s="2">
        <v>7.71</v>
      </c>
      <c r="W2163" s="2">
        <v>-3.02</v>
      </c>
      <c r="X2163" s="2">
        <v>0.72</v>
      </c>
      <c r="Y2163" s="2">
        <v>7.75</v>
      </c>
      <c r="Z2163" s="2">
        <v>10.51</v>
      </c>
    </row>
    <row r="2164" spans="1:26" x14ac:dyDescent="0.25">
      <c r="A2164" s="1" t="s">
        <v>8770</v>
      </c>
      <c r="B2164" s="1" t="s">
        <v>8771</v>
      </c>
      <c r="C2164" s="1" t="s">
        <v>45</v>
      </c>
      <c r="D2164" s="1" t="s">
        <v>38</v>
      </c>
      <c r="E2164" s="1" t="s">
        <v>1093</v>
      </c>
      <c r="F2164" s="1" t="s">
        <v>8772</v>
      </c>
      <c r="G2164" s="1" t="s">
        <v>12480</v>
      </c>
      <c r="H2164" s="1" t="s">
        <v>1697</v>
      </c>
      <c r="I2164" s="2">
        <v>31.86</v>
      </c>
      <c r="J2164" s="2">
        <v>3.12</v>
      </c>
      <c r="K2164" s="2">
        <v>3.39</v>
      </c>
      <c r="L2164" s="2">
        <v>3.54</v>
      </c>
      <c r="M2164" s="4">
        <f t="shared" si="198"/>
        <v>9.3982300884955752</v>
      </c>
      <c r="N2164" s="4">
        <f t="shared" si="199"/>
        <v>9</v>
      </c>
      <c r="O2164" s="5">
        <f t="shared" si="200"/>
        <v>8.6538461538461453E-2</v>
      </c>
      <c r="P2164" s="5">
        <f t="shared" si="201"/>
        <v>4.4247787610619538E-2</v>
      </c>
      <c r="Q2164" s="4">
        <f t="shared" si="202"/>
        <v>1.0860176991150452</v>
      </c>
      <c r="R2164" s="4">
        <f t="shared" si="203"/>
        <v>2.0339999999999967</v>
      </c>
      <c r="S2164" s="4">
        <v>-0.28000000000000003</v>
      </c>
      <c r="T2164" s="2">
        <v>0.68</v>
      </c>
      <c r="U2164" s="2">
        <v>34.18</v>
      </c>
      <c r="V2164" s="2">
        <v>26.85</v>
      </c>
      <c r="W2164" s="2">
        <v>-2.84</v>
      </c>
      <c r="X2164" s="2">
        <v>-5.96</v>
      </c>
      <c r="Y2164" s="2">
        <v>1.01</v>
      </c>
      <c r="Z2164" s="2">
        <v>6.09</v>
      </c>
    </row>
    <row r="2165" spans="1:26" x14ac:dyDescent="0.25">
      <c r="A2165" s="1" t="s">
        <v>8773</v>
      </c>
      <c r="B2165" s="1" t="s">
        <v>8774</v>
      </c>
      <c r="C2165" s="1" t="s">
        <v>45</v>
      </c>
      <c r="D2165" s="1" t="s">
        <v>38</v>
      </c>
      <c r="E2165" s="1" t="s">
        <v>83</v>
      </c>
      <c r="F2165" s="1" t="s">
        <v>8775</v>
      </c>
      <c r="G2165" s="1" t="s">
        <v>12480</v>
      </c>
      <c r="H2165" s="1" t="s">
        <v>8776</v>
      </c>
      <c r="I2165" s="2">
        <v>38.61</v>
      </c>
      <c r="J2165" s="2">
        <v>2.6</v>
      </c>
      <c r="K2165" s="2">
        <v>2.74</v>
      </c>
      <c r="L2165" s="2">
        <v>2.87</v>
      </c>
      <c r="M2165" s="4">
        <f t="shared" si="198"/>
        <v>14.091240875912407</v>
      </c>
      <c r="N2165" s="4">
        <f t="shared" si="199"/>
        <v>13.452961672473867</v>
      </c>
      <c r="O2165" s="5">
        <f t="shared" si="200"/>
        <v>5.3846153846153877E-2</v>
      </c>
      <c r="P2165" s="5">
        <f t="shared" si="201"/>
        <v>4.7445255474452441E-2</v>
      </c>
      <c r="Q2165" s="4">
        <f t="shared" si="202"/>
        <v>2.6169447340980168</v>
      </c>
      <c r="R2165" s="4">
        <f t="shared" si="203"/>
        <v>2.8354703832752679</v>
      </c>
      <c r="S2165" s="4">
        <v>9.86</v>
      </c>
      <c r="T2165" s="2">
        <v>0.51</v>
      </c>
      <c r="U2165" s="2">
        <v>39.770000000000003</v>
      </c>
      <c r="V2165" s="2">
        <v>33.04</v>
      </c>
      <c r="W2165" s="2">
        <v>-2.92</v>
      </c>
      <c r="X2165" s="2">
        <v>3.07</v>
      </c>
      <c r="Y2165" s="2">
        <v>8.5500000000000007</v>
      </c>
      <c r="Z2165" s="2">
        <v>8.5500000000000007</v>
      </c>
    </row>
    <row r="2166" spans="1:26" x14ac:dyDescent="0.25">
      <c r="A2166" s="1" t="s">
        <v>8777</v>
      </c>
      <c r="B2166" s="1" t="s">
        <v>8778</v>
      </c>
      <c r="C2166" s="1" t="s">
        <v>16</v>
      </c>
      <c r="D2166" s="1" t="s">
        <v>354</v>
      </c>
      <c r="E2166" s="1" t="s">
        <v>355</v>
      </c>
      <c r="F2166" s="1" t="s">
        <v>8779</v>
      </c>
      <c r="G2166" s="1" t="s">
        <v>12480</v>
      </c>
      <c r="H2166" s="1" t="s">
        <v>8780</v>
      </c>
      <c r="I2166" s="2">
        <v>84.04</v>
      </c>
      <c r="J2166" s="2">
        <v>4.05</v>
      </c>
      <c r="K2166" s="2">
        <v>4.37</v>
      </c>
      <c r="L2166" s="2">
        <v>4.7300000000000004</v>
      </c>
      <c r="M2166" s="4">
        <f t="shared" si="198"/>
        <v>19.231121281464532</v>
      </c>
      <c r="N2166" s="4">
        <f t="shared" si="199"/>
        <v>17.767441860465116</v>
      </c>
      <c r="O2166" s="5">
        <f t="shared" si="200"/>
        <v>7.9012345679012386E-2</v>
      </c>
      <c r="P2166" s="5">
        <f t="shared" si="201"/>
        <v>8.2379862700229012E-2</v>
      </c>
      <c r="Q2166" s="4">
        <f t="shared" si="202"/>
        <v>2.4339387871853537</v>
      </c>
      <c r="R2166" s="4">
        <f t="shared" si="203"/>
        <v>2.1567700258397884</v>
      </c>
      <c r="S2166" s="4">
        <v>18.25</v>
      </c>
      <c r="T2166" s="2">
        <v>0.6</v>
      </c>
      <c r="U2166" s="2">
        <v>90.14</v>
      </c>
      <c r="V2166" s="2">
        <v>77.13</v>
      </c>
      <c r="W2166" s="2">
        <v>-0.54</v>
      </c>
      <c r="X2166" s="2">
        <v>3.52</v>
      </c>
      <c r="Y2166" s="2">
        <v>4.2699999999999996</v>
      </c>
      <c r="Z2166" s="2">
        <v>4.66</v>
      </c>
    </row>
    <row r="2167" spans="1:26" x14ac:dyDescent="0.25">
      <c r="A2167" s="1" t="s">
        <v>8781</v>
      </c>
      <c r="B2167" s="1" t="s">
        <v>8782</v>
      </c>
      <c r="C2167" s="1" t="s">
        <v>45</v>
      </c>
      <c r="D2167" s="1" t="s">
        <v>32</v>
      </c>
      <c r="E2167" s="1" t="s">
        <v>215</v>
      </c>
      <c r="F2167" s="1" t="s">
        <v>8783</v>
      </c>
      <c r="G2167" s="1" t="s">
        <v>12480</v>
      </c>
      <c r="H2167" s="1" t="s">
        <v>8784</v>
      </c>
      <c r="I2167" s="2">
        <v>46.19</v>
      </c>
      <c r="J2167" s="2">
        <v>2.1</v>
      </c>
      <c r="K2167" s="2">
        <v>2.75</v>
      </c>
      <c r="L2167" s="2">
        <v>2.99</v>
      </c>
      <c r="M2167" s="4">
        <f t="shared" si="198"/>
        <v>16.796363636363637</v>
      </c>
      <c r="N2167" s="4">
        <f t="shared" si="199"/>
        <v>15.448160535117054</v>
      </c>
      <c r="O2167" s="5">
        <f t="shared" si="200"/>
        <v>0.30952380952380953</v>
      </c>
      <c r="P2167" s="5">
        <f t="shared" si="201"/>
        <v>8.7272727272727391E-2</v>
      </c>
      <c r="Q2167" s="4">
        <f t="shared" si="202"/>
        <v>0.54265174825174822</v>
      </c>
      <c r="R2167" s="4">
        <f t="shared" si="203"/>
        <v>1.77010172798216</v>
      </c>
      <c r="S2167" s="4">
        <v>16.61</v>
      </c>
      <c r="T2167" s="2">
        <v>1.06</v>
      </c>
      <c r="U2167" s="2">
        <v>66.64</v>
      </c>
      <c r="V2167" s="2">
        <v>31.22</v>
      </c>
      <c r="W2167" s="2">
        <v>3.52</v>
      </c>
      <c r="X2167" s="2">
        <v>10.4</v>
      </c>
      <c r="Y2167" s="2">
        <v>-20.88</v>
      </c>
      <c r="Z2167" s="2">
        <v>-22.66</v>
      </c>
    </row>
    <row r="2168" spans="1:26" x14ac:dyDescent="0.25">
      <c r="A2168" s="1" t="s">
        <v>8785</v>
      </c>
      <c r="B2168" s="1" t="s">
        <v>8786</v>
      </c>
      <c r="C2168" s="1" t="s">
        <v>16</v>
      </c>
      <c r="D2168" s="1" t="s">
        <v>18</v>
      </c>
      <c r="E2168" s="1" t="s">
        <v>594</v>
      </c>
      <c r="F2168" s="1" t="s">
        <v>8787</v>
      </c>
      <c r="G2168" s="1" t="s">
        <v>12480</v>
      </c>
      <c r="H2168" s="1" t="s">
        <v>5494</v>
      </c>
      <c r="I2168" s="2">
        <v>339.61</v>
      </c>
      <c r="J2168" s="2">
        <v>3.84</v>
      </c>
      <c r="K2168" s="2">
        <v>5.08</v>
      </c>
      <c r="L2168" s="2">
        <v>6.51</v>
      </c>
      <c r="M2168" s="4">
        <f t="shared" si="198"/>
        <v>66.852362204724415</v>
      </c>
      <c r="N2168" s="4">
        <f t="shared" si="199"/>
        <v>52.16743471582182</v>
      </c>
      <c r="O2168" s="5">
        <f t="shared" si="200"/>
        <v>0.32291666666666674</v>
      </c>
      <c r="P2168" s="5">
        <f t="shared" si="201"/>
        <v>0.28149606299212593</v>
      </c>
      <c r="Q2168" s="4">
        <f t="shared" si="202"/>
        <v>2.0702667005334008</v>
      </c>
      <c r="R2168" s="4">
        <f t="shared" si="203"/>
        <v>1.8532207577368873</v>
      </c>
      <c r="S2168" s="4">
        <v>17.5</v>
      </c>
      <c r="T2168" s="2">
        <v>0.81</v>
      </c>
      <c r="U2168" s="2">
        <v>359.4</v>
      </c>
      <c r="V2168" s="2">
        <v>225.54</v>
      </c>
      <c r="W2168" s="2">
        <v>-0.79</v>
      </c>
      <c r="X2168" s="2">
        <v>0.17</v>
      </c>
      <c r="Y2168" s="2">
        <v>9.85</v>
      </c>
      <c r="Z2168" s="2">
        <v>9.23</v>
      </c>
    </row>
    <row r="2169" spans="1:26" x14ac:dyDescent="0.25">
      <c r="A2169" s="1" t="s">
        <v>8788</v>
      </c>
      <c r="B2169" s="1" t="s">
        <v>8789</v>
      </c>
      <c r="C2169" s="1" t="s">
        <v>45</v>
      </c>
      <c r="D2169" s="1" t="s">
        <v>147</v>
      </c>
      <c r="E2169" s="1" t="s">
        <v>2000</v>
      </c>
      <c r="F2169" s="1" t="s">
        <v>8790</v>
      </c>
      <c r="G2169" s="1" t="s">
        <v>12480</v>
      </c>
      <c r="H2169" s="1" t="s">
        <v>8791</v>
      </c>
      <c r="I2169" s="2">
        <v>14.7</v>
      </c>
      <c r="J2169" s="2">
        <v>-5.83</v>
      </c>
      <c r="K2169" s="2">
        <v>1.0900000000000001</v>
      </c>
      <c r="L2169" s="2">
        <v>1.72</v>
      </c>
      <c r="M2169" s="4">
        <f t="shared" si="198"/>
        <v>13.486238532110089</v>
      </c>
      <c r="N2169" s="4">
        <f t="shared" si="199"/>
        <v>8.5465116279069768</v>
      </c>
      <c r="O2169" s="5">
        <f t="shared" si="200"/>
        <v>-1.1869639794168096</v>
      </c>
      <c r="P2169" s="5">
        <f t="shared" si="201"/>
        <v>0.57798165137614665</v>
      </c>
      <c r="Q2169" s="4">
        <f t="shared" si="202"/>
        <v>-0.1136196107546269</v>
      </c>
      <c r="R2169" s="4">
        <f t="shared" si="203"/>
        <v>0.14786821705426359</v>
      </c>
      <c r="S2169" s="4" t="s">
        <v>12861</v>
      </c>
      <c r="T2169" s="2">
        <v>1.33</v>
      </c>
      <c r="U2169" s="2">
        <v>20.47</v>
      </c>
      <c r="V2169" s="2">
        <v>11.76</v>
      </c>
      <c r="W2169" s="2">
        <v>-1.01</v>
      </c>
      <c r="X2169" s="2">
        <v>8.09</v>
      </c>
      <c r="Y2169" s="2">
        <v>6.44</v>
      </c>
      <c r="Z2169" s="2">
        <v>-0.34</v>
      </c>
    </row>
    <row r="2170" spans="1:26" x14ac:dyDescent="0.25">
      <c r="A2170" s="1" t="s">
        <v>8792</v>
      </c>
      <c r="B2170" s="1" t="s">
        <v>8793</v>
      </c>
      <c r="C2170" s="1" t="s">
        <v>45</v>
      </c>
      <c r="D2170" s="1" t="s">
        <v>128</v>
      </c>
      <c r="E2170" s="1" t="s">
        <v>2351</v>
      </c>
      <c r="F2170" s="1" t="s">
        <v>8794</v>
      </c>
      <c r="G2170" s="1" t="s">
        <v>12480</v>
      </c>
      <c r="H2170" s="1" t="s">
        <v>8795</v>
      </c>
      <c r="I2170" s="2">
        <v>161.53</v>
      </c>
      <c r="J2170" s="2">
        <v>8.14</v>
      </c>
      <c r="K2170" s="2">
        <v>8.5500000000000007</v>
      </c>
      <c r="L2170" s="2">
        <v>9.11</v>
      </c>
      <c r="M2170" s="4">
        <f t="shared" si="198"/>
        <v>18.892397660818713</v>
      </c>
      <c r="N2170" s="4">
        <f t="shared" si="199"/>
        <v>17.731064763995612</v>
      </c>
      <c r="O2170" s="5">
        <f t="shared" si="200"/>
        <v>5.036855036855048E-2</v>
      </c>
      <c r="P2170" s="5">
        <f t="shared" si="201"/>
        <v>6.549707602339172E-2</v>
      </c>
      <c r="Q2170" s="4">
        <f t="shared" si="202"/>
        <v>3.7508321209527802</v>
      </c>
      <c r="R2170" s="4">
        <f t="shared" si="203"/>
        <v>2.7071536380743337</v>
      </c>
      <c r="S2170" s="4">
        <v>2.25</v>
      </c>
      <c r="T2170" s="2">
        <v>0.39</v>
      </c>
      <c r="U2170" s="2">
        <v>170.49</v>
      </c>
      <c r="V2170" s="2">
        <v>128.02000000000001</v>
      </c>
      <c r="W2170" s="2">
        <v>-3.44</v>
      </c>
      <c r="X2170" s="2">
        <v>-2.97</v>
      </c>
      <c r="Y2170" s="2">
        <v>6.82</v>
      </c>
      <c r="Z2170" s="2">
        <v>12.55</v>
      </c>
    </row>
    <row r="2171" spans="1:26" x14ac:dyDescent="0.25">
      <c r="A2171" s="1" t="s">
        <v>8796</v>
      </c>
      <c r="B2171" s="1" t="s">
        <v>8797</v>
      </c>
      <c r="C2171" s="1" t="s">
        <v>45</v>
      </c>
      <c r="D2171" s="1" t="s">
        <v>38</v>
      </c>
      <c r="E2171" s="1" t="s">
        <v>1909</v>
      </c>
      <c r="F2171" s="1" t="s">
        <v>8798</v>
      </c>
      <c r="G2171" s="1" t="s">
        <v>12480</v>
      </c>
      <c r="H2171" s="1" t="s">
        <v>4402</v>
      </c>
      <c r="I2171" s="2">
        <v>88.49</v>
      </c>
      <c r="J2171" s="2">
        <v>10.41</v>
      </c>
      <c r="K2171" s="2">
        <v>10.37</v>
      </c>
      <c r="L2171" s="2">
        <v>11.06</v>
      </c>
      <c r="M2171" s="4">
        <f t="shared" si="198"/>
        <v>8.5332690453230473</v>
      </c>
      <c r="N2171" s="4">
        <f t="shared" si="199"/>
        <v>8.0009041591320056</v>
      </c>
      <c r="O2171" s="5">
        <f t="shared" si="200"/>
        <v>-3.842459173871382E-3</v>
      </c>
      <c r="P2171" s="5">
        <f t="shared" si="201"/>
        <v>6.6538090646094616E-2</v>
      </c>
      <c r="Q2171" s="4">
        <f t="shared" si="202"/>
        <v>-22.207832690452626</v>
      </c>
      <c r="R2171" s="4">
        <f t="shared" si="203"/>
        <v>1.2024547265246197</v>
      </c>
      <c r="S2171" s="4">
        <v>-3.19</v>
      </c>
      <c r="T2171" s="2">
        <v>0.62</v>
      </c>
      <c r="U2171" s="2">
        <v>102.45</v>
      </c>
      <c r="V2171" s="2">
        <v>75.319999999999993</v>
      </c>
      <c r="W2171" s="2">
        <v>-1.01</v>
      </c>
      <c r="X2171" s="2">
        <v>-1.92</v>
      </c>
      <c r="Y2171" s="2">
        <v>-12.17</v>
      </c>
      <c r="Z2171" s="2">
        <v>-6.29</v>
      </c>
    </row>
    <row r="2172" spans="1:26" x14ac:dyDescent="0.25">
      <c r="A2172" s="1" t="s">
        <v>8799</v>
      </c>
      <c r="B2172" s="1" t="s">
        <v>8800</v>
      </c>
      <c r="C2172" s="1" t="s">
        <v>16</v>
      </c>
      <c r="D2172" s="1" t="s">
        <v>18</v>
      </c>
      <c r="E2172" s="1" t="s">
        <v>113</v>
      </c>
      <c r="F2172" s="1" t="s">
        <v>8801</v>
      </c>
      <c r="G2172" s="1" t="s">
        <v>12480</v>
      </c>
      <c r="H2172" s="1" t="s">
        <v>8802</v>
      </c>
      <c r="I2172" s="2">
        <v>26.81</v>
      </c>
      <c r="J2172" s="2">
        <v>3.22</v>
      </c>
      <c r="K2172" s="2">
        <v>2.97</v>
      </c>
      <c r="L2172" s="2">
        <v>2.82</v>
      </c>
      <c r="M2172" s="4">
        <f t="shared" si="198"/>
        <v>9.0269360269360259</v>
      </c>
      <c r="N2172" s="4">
        <f t="shared" si="199"/>
        <v>9.5070921985815602</v>
      </c>
      <c r="O2172" s="5">
        <f t="shared" si="200"/>
        <v>-7.7639751552795011E-2</v>
      </c>
      <c r="P2172" s="5">
        <f t="shared" si="201"/>
        <v>-5.0505050505050608E-2</v>
      </c>
      <c r="Q2172" s="4">
        <f t="shared" si="202"/>
        <v>-1.1626693602693603</v>
      </c>
      <c r="R2172" s="4">
        <f t="shared" si="203"/>
        <v>-1.8824042553191451</v>
      </c>
      <c r="S2172" s="4">
        <v>-1.65</v>
      </c>
      <c r="T2172" s="2">
        <v>0.47</v>
      </c>
      <c r="U2172" s="2">
        <v>27.73</v>
      </c>
      <c r="V2172" s="2">
        <v>21.59</v>
      </c>
      <c r="W2172" s="2">
        <v>-1.65</v>
      </c>
      <c r="X2172" s="2">
        <v>-0.89</v>
      </c>
      <c r="Y2172" s="2">
        <v>1.44</v>
      </c>
      <c r="Z2172" s="2">
        <v>7.67</v>
      </c>
    </row>
    <row r="2173" spans="1:26" x14ac:dyDescent="0.25">
      <c r="A2173" s="1" t="s">
        <v>8803</v>
      </c>
      <c r="B2173" s="1" t="s">
        <v>8804</v>
      </c>
      <c r="C2173" s="1" t="s">
        <v>45</v>
      </c>
      <c r="D2173" s="1" t="s">
        <v>38</v>
      </c>
      <c r="E2173" s="1" t="s">
        <v>259</v>
      </c>
      <c r="F2173" s="1" t="s">
        <v>8805</v>
      </c>
      <c r="G2173" s="1" t="s">
        <v>12480</v>
      </c>
      <c r="H2173" s="1" t="s">
        <v>8806</v>
      </c>
      <c r="I2173" s="2">
        <v>31.17</v>
      </c>
      <c r="J2173" s="2"/>
      <c r="K2173" s="2"/>
      <c r="L2173" s="2"/>
      <c r="M2173" s="4" t="e">
        <f t="shared" si="198"/>
        <v>#DIV/0!</v>
      </c>
      <c r="N2173" s="4" t="e">
        <f t="shared" si="199"/>
        <v>#DIV/0!</v>
      </c>
      <c r="O2173" s="5" t="e">
        <f t="shared" si="200"/>
        <v>#DIV/0!</v>
      </c>
      <c r="P2173" s="5" t="e">
        <f t="shared" si="201"/>
        <v>#DIV/0!</v>
      </c>
      <c r="Q2173" s="4" t="e">
        <f t="shared" si="202"/>
        <v>#DIV/0!</v>
      </c>
      <c r="R2173" s="4" t="e">
        <f t="shared" si="203"/>
        <v>#DIV/0!</v>
      </c>
      <c r="S2173" s="4"/>
      <c r="T2173" s="2">
        <v>0.54</v>
      </c>
      <c r="U2173" s="2">
        <v>32.130000000000003</v>
      </c>
      <c r="V2173" s="2" t="s">
        <v>12674</v>
      </c>
      <c r="W2173" s="2">
        <v>-0.92</v>
      </c>
      <c r="X2173" s="2">
        <v>-1.08</v>
      </c>
      <c r="Y2173" s="2">
        <v>0.42</v>
      </c>
      <c r="Z2173" s="2">
        <v>0.68</v>
      </c>
    </row>
    <row r="2174" spans="1:26" x14ac:dyDescent="0.25">
      <c r="A2174" s="1" t="s">
        <v>8807</v>
      </c>
      <c r="B2174" s="1" t="s">
        <v>8808</v>
      </c>
      <c r="C2174" s="1" t="s">
        <v>45</v>
      </c>
      <c r="D2174" s="1" t="s">
        <v>38</v>
      </c>
      <c r="E2174" s="1" t="s">
        <v>254</v>
      </c>
      <c r="F2174" s="1" t="s">
        <v>8809</v>
      </c>
      <c r="G2174" s="1" t="s">
        <v>12480</v>
      </c>
      <c r="H2174" s="1" t="s">
        <v>8810</v>
      </c>
      <c r="I2174" s="2">
        <v>90.61</v>
      </c>
      <c r="J2174" s="2">
        <v>8.27</v>
      </c>
      <c r="K2174" s="2">
        <v>9.4</v>
      </c>
      <c r="L2174" s="2">
        <v>10.27</v>
      </c>
      <c r="M2174" s="4">
        <f t="shared" si="198"/>
        <v>9.6393617021276583</v>
      </c>
      <c r="N2174" s="4">
        <f t="shared" si="199"/>
        <v>8.8227848101265831</v>
      </c>
      <c r="O2174" s="5">
        <f t="shared" si="200"/>
        <v>0.13663845223700122</v>
      </c>
      <c r="P2174" s="5">
        <f t="shared" si="201"/>
        <v>9.2553191489361586E-2</v>
      </c>
      <c r="Q2174" s="4">
        <f t="shared" si="202"/>
        <v>0.70546479005836926</v>
      </c>
      <c r="R2174" s="4">
        <f t="shared" si="203"/>
        <v>0.95326640477229863</v>
      </c>
      <c r="S2174" s="4">
        <v>-3.11</v>
      </c>
      <c r="T2174" s="2">
        <v>0.87</v>
      </c>
      <c r="U2174" s="2">
        <v>97.5</v>
      </c>
      <c r="V2174" s="2">
        <v>69.56</v>
      </c>
      <c r="W2174" s="2">
        <v>-5.45</v>
      </c>
      <c r="X2174" s="2">
        <v>-5.55</v>
      </c>
      <c r="Y2174" s="2">
        <v>-0.02</v>
      </c>
      <c r="Z2174" s="2">
        <v>2.72</v>
      </c>
    </row>
    <row r="2175" spans="1:26" x14ac:dyDescent="0.25">
      <c r="A2175" s="1" t="s">
        <v>8811</v>
      </c>
      <c r="B2175" s="1" t="s">
        <v>8812</v>
      </c>
      <c r="C2175" s="1" t="s">
        <v>16</v>
      </c>
      <c r="D2175" s="1" t="s">
        <v>67</v>
      </c>
      <c r="E2175" s="1" t="s">
        <v>8814</v>
      </c>
      <c r="F2175" s="1" t="s">
        <v>8813</v>
      </c>
      <c r="G2175" s="1" t="s">
        <v>12502</v>
      </c>
      <c r="H2175" s="1" t="s">
        <v>8815</v>
      </c>
      <c r="I2175" s="2">
        <v>87.97</v>
      </c>
      <c r="J2175" s="2">
        <v>4.4800000000000004</v>
      </c>
      <c r="K2175" s="2">
        <v>4.6100000000000003</v>
      </c>
      <c r="L2175" s="2">
        <v>5.83</v>
      </c>
      <c r="M2175" s="4">
        <f t="shared" si="198"/>
        <v>19.082429501084597</v>
      </c>
      <c r="N2175" s="4">
        <f t="shared" si="199"/>
        <v>15.089193825042882</v>
      </c>
      <c r="O2175" s="5">
        <f t="shared" si="200"/>
        <v>2.9017857142857206E-2</v>
      </c>
      <c r="P2175" s="5">
        <f t="shared" si="201"/>
        <v>0.26464208242950105</v>
      </c>
      <c r="Q2175" s="4">
        <f t="shared" si="202"/>
        <v>6.5760987819122159</v>
      </c>
      <c r="R2175" s="4">
        <f t="shared" si="203"/>
        <v>0.57017363552006306</v>
      </c>
      <c r="S2175" s="4">
        <v>8.61</v>
      </c>
      <c r="T2175" s="2">
        <v>0.91</v>
      </c>
      <c r="U2175" s="2">
        <v>108.72</v>
      </c>
      <c r="V2175" s="2">
        <v>71.62</v>
      </c>
      <c r="W2175" s="2">
        <v>-8.1999999999999993</v>
      </c>
      <c r="X2175" s="2">
        <v>-4.18</v>
      </c>
      <c r="Y2175" s="2">
        <v>-7.01</v>
      </c>
      <c r="Z2175" s="2">
        <v>-2.17</v>
      </c>
    </row>
    <row r="2176" spans="1:26" x14ac:dyDescent="0.25">
      <c r="A2176" s="1" t="s">
        <v>8817</v>
      </c>
      <c r="B2176" s="1" t="s">
        <v>8818</v>
      </c>
      <c r="C2176" s="1" t="s">
        <v>16</v>
      </c>
      <c r="D2176" s="1" t="s">
        <v>38</v>
      </c>
      <c r="E2176" s="1" t="s">
        <v>1449</v>
      </c>
      <c r="F2176" s="1" t="s">
        <v>8819</v>
      </c>
      <c r="G2176" s="1" t="s">
        <v>12480</v>
      </c>
      <c r="H2176" s="1" t="s">
        <v>8820</v>
      </c>
      <c r="I2176" s="2">
        <v>20.81</v>
      </c>
      <c r="J2176" s="2">
        <v>2.2400000000000002</v>
      </c>
      <c r="K2176" s="2">
        <v>2.36</v>
      </c>
      <c r="L2176" s="2">
        <v>2.56</v>
      </c>
      <c r="M2176" s="4">
        <f t="shared" si="198"/>
        <v>8.8177966101694913</v>
      </c>
      <c r="N2176" s="4">
        <f t="shared" si="199"/>
        <v>8.12890625</v>
      </c>
      <c r="O2176" s="5">
        <f t="shared" si="200"/>
        <v>5.3571428571428381E-2</v>
      </c>
      <c r="P2176" s="5">
        <f t="shared" si="201"/>
        <v>8.4745762711864403E-2</v>
      </c>
      <c r="Q2176" s="4">
        <f t="shared" si="202"/>
        <v>1.6459887005649776</v>
      </c>
      <c r="R2176" s="4">
        <f t="shared" si="203"/>
        <v>0.95921093750000019</v>
      </c>
      <c r="S2176" s="4">
        <v>21.25</v>
      </c>
      <c r="T2176" s="2">
        <v>0.86</v>
      </c>
      <c r="U2176" s="2">
        <v>23.79</v>
      </c>
      <c r="V2176" s="2">
        <v>14.69</v>
      </c>
      <c r="W2176" s="2">
        <v>-3.21</v>
      </c>
      <c r="X2176" s="2">
        <v>-12.01</v>
      </c>
      <c r="Y2176" s="2">
        <v>-1.1399999999999999</v>
      </c>
      <c r="Z2176" s="2">
        <v>5.37</v>
      </c>
    </row>
    <row r="2177" spans="1:26" x14ac:dyDescent="0.25">
      <c r="A2177" s="1" t="s">
        <v>8822</v>
      </c>
      <c r="B2177" s="1" t="s">
        <v>8823</v>
      </c>
      <c r="C2177" s="1" t="s">
        <v>16</v>
      </c>
      <c r="D2177" s="1" t="s">
        <v>38</v>
      </c>
      <c r="E2177" s="1" t="s">
        <v>473</v>
      </c>
      <c r="F2177" s="1" t="s">
        <v>8824</v>
      </c>
      <c r="G2177" s="1" t="s">
        <v>12480</v>
      </c>
      <c r="H2177" s="1" t="s">
        <v>8825</v>
      </c>
      <c r="I2177" s="2">
        <v>87.01</v>
      </c>
      <c r="J2177" s="2">
        <v>7.78</v>
      </c>
      <c r="K2177" s="2">
        <v>12.29</v>
      </c>
      <c r="L2177" s="2">
        <v>16.18</v>
      </c>
      <c r="M2177" s="4">
        <f t="shared" si="198"/>
        <v>7.0797396257119622</v>
      </c>
      <c r="N2177" s="4">
        <f t="shared" si="199"/>
        <v>5.3776266996291726</v>
      </c>
      <c r="O2177" s="5">
        <f t="shared" si="200"/>
        <v>0.57969151670951136</v>
      </c>
      <c r="P2177" s="5">
        <f t="shared" si="201"/>
        <v>0.31651749389747774</v>
      </c>
      <c r="Q2177" s="4">
        <f t="shared" si="202"/>
        <v>0.12212943301117314</v>
      </c>
      <c r="R2177" s="4">
        <f t="shared" si="203"/>
        <v>0.1698998255486954</v>
      </c>
      <c r="S2177" s="4">
        <v>28.41</v>
      </c>
      <c r="T2177" s="2">
        <v>1.56</v>
      </c>
      <c r="U2177" s="2">
        <v>159.46</v>
      </c>
      <c r="V2177" s="2">
        <v>86.2</v>
      </c>
      <c r="W2177" s="2">
        <v>-3.73</v>
      </c>
      <c r="X2177" s="2">
        <v>-8.23</v>
      </c>
      <c r="Y2177" s="2">
        <v>-33.32</v>
      </c>
      <c r="Z2177" s="2" t="s">
        <v>12764</v>
      </c>
    </row>
    <row r="2178" spans="1:26" x14ac:dyDescent="0.25">
      <c r="A2178" s="1" t="s">
        <v>8826</v>
      </c>
      <c r="B2178" s="1" t="s">
        <v>8827</v>
      </c>
      <c r="C2178" s="1" t="s">
        <v>16</v>
      </c>
      <c r="D2178" s="1" t="s">
        <v>128</v>
      </c>
      <c r="E2178" s="1" t="s">
        <v>210</v>
      </c>
      <c r="F2178" s="1" t="s">
        <v>8828</v>
      </c>
      <c r="G2178" s="1" t="s">
        <v>12502</v>
      </c>
      <c r="H2178" s="1" t="s">
        <v>12765</v>
      </c>
      <c r="I2178" s="2">
        <v>155.22</v>
      </c>
      <c r="J2178" s="2">
        <v>6.83</v>
      </c>
      <c r="K2178" s="2">
        <v>6.97</v>
      </c>
      <c r="L2178" s="2">
        <v>7.3</v>
      </c>
      <c r="M2178" s="4">
        <f t="shared" si="198"/>
        <v>22.269727403156384</v>
      </c>
      <c r="N2178" s="4">
        <f t="shared" si="199"/>
        <v>21.263013698630136</v>
      </c>
      <c r="O2178" s="5">
        <f t="shared" si="200"/>
        <v>2.0497803806734938E-2</v>
      </c>
      <c r="P2178" s="5">
        <f t="shared" si="201"/>
        <v>4.7345767575322828E-2</v>
      </c>
      <c r="Q2178" s="4">
        <f t="shared" si="202"/>
        <v>10.864445583111323</v>
      </c>
      <c r="R2178" s="4">
        <f t="shared" si="203"/>
        <v>4.4910062266500601</v>
      </c>
      <c r="S2178" s="4">
        <v>0.28999999999999998</v>
      </c>
      <c r="T2178" s="2">
        <v>0.37</v>
      </c>
      <c r="U2178" s="2">
        <v>176.26</v>
      </c>
      <c r="V2178" s="2">
        <v>138.04</v>
      </c>
      <c r="W2178" s="2">
        <v>-5.07</v>
      </c>
      <c r="X2178" s="2">
        <v>-1.34</v>
      </c>
      <c r="Y2178" s="2">
        <v>6.95</v>
      </c>
      <c r="Z2178" s="2">
        <v>8.31</v>
      </c>
    </row>
    <row r="2179" spans="1:26" x14ac:dyDescent="0.25">
      <c r="A2179" s="1" t="s">
        <v>8829</v>
      </c>
      <c r="B2179" s="1" t="s">
        <v>8830</v>
      </c>
      <c r="C2179" s="1" t="s">
        <v>45</v>
      </c>
      <c r="D2179" s="1" t="s">
        <v>18</v>
      </c>
      <c r="E2179" s="1" t="s">
        <v>74</v>
      </c>
      <c r="F2179" s="1" t="s">
        <v>8831</v>
      </c>
      <c r="G2179" s="1" t="s">
        <v>12480</v>
      </c>
      <c r="H2179" s="1" t="s">
        <v>8832</v>
      </c>
      <c r="I2179" s="2">
        <v>3.51</v>
      </c>
      <c r="J2179" s="2">
        <v>-0.47</v>
      </c>
      <c r="K2179" s="2">
        <v>-0.16</v>
      </c>
      <c r="L2179" s="2">
        <v>0.08</v>
      </c>
      <c r="M2179" s="4">
        <f t="shared" ref="M2179:M2242" si="204">I2179/K2179</f>
        <v>-21.937499999999996</v>
      </c>
      <c r="N2179" s="4">
        <f t="shared" ref="N2179:N2242" si="205">I2179/L2179</f>
        <v>43.874999999999993</v>
      </c>
      <c r="O2179" s="5">
        <f t="shared" ref="O2179:O2242" si="206">K2179/J2179-1</f>
        <v>-0.65957446808510634</v>
      </c>
      <c r="P2179" s="5">
        <f t="shared" ref="P2179:P2242" si="207">L2179/K2179-1</f>
        <v>-1.5</v>
      </c>
      <c r="Q2179" s="4">
        <f t="shared" ref="Q2179:Q2242" si="208">M2179/(O2179*100)</f>
        <v>0.33260080645161283</v>
      </c>
      <c r="R2179" s="4">
        <f t="shared" ref="R2179:R2242" si="209">N2179/(P2179*100)</f>
        <v>-0.29249999999999993</v>
      </c>
      <c r="S2179" s="4">
        <v>-36.950000000000003</v>
      </c>
      <c r="T2179" s="2">
        <v>1.1000000000000001</v>
      </c>
      <c r="U2179" s="2">
        <v>5.21</v>
      </c>
      <c r="V2179" s="2">
        <v>1.17</v>
      </c>
      <c r="W2179" s="2">
        <v>-3.04</v>
      </c>
      <c r="X2179" s="2">
        <v>-23.03</v>
      </c>
      <c r="Y2179" s="2">
        <v>-7.87</v>
      </c>
      <c r="Z2179" s="2">
        <v>-16.03</v>
      </c>
    </row>
    <row r="2180" spans="1:26" x14ac:dyDescent="0.25">
      <c r="A2180" s="1" t="s">
        <v>8833</v>
      </c>
      <c r="B2180" s="1" t="s">
        <v>8834</v>
      </c>
      <c r="C2180" s="1" t="s">
        <v>31</v>
      </c>
      <c r="D2180" s="1" t="s">
        <v>147</v>
      </c>
      <c r="E2180" s="1" t="s">
        <v>1084</v>
      </c>
      <c r="F2180" s="1" t="s">
        <v>8835</v>
      </c>
      <c r="G2180" s="1" t="s">
        <v>12480</v>
      </c>
      <c r="H2180" s="1" t="s">
        <v>8836</v>
      </c>
      <c r="I2180" s="2">
        <v>2.5299999999999998</v>
      </c>
      <c r="J2180" s="2">
        <v>0.13</v>
      </c>
      <c r="K2180" s="2">
        <v>0.13</v>
      </c>
      <c r="L2180" s="2">
        <v>0.13</v>
      </c>
      <c r="M2180" s="4">
        <f t="shared" si="204"/>
        <v>19.46153846153846</v>
      </c>
      <c r="N2180" s="4">
        <f t="shared" si="205"/>
        <v>19.46153846153846</v>
      </c>
      <c r="O2180" s="5">
        <f t="shared" si="206"/>
        <v>0</v>
      </c>
      <c r="P2180" s="5">
        <f t="shared" si="207"/>
        <v>0</v>
      </c>
      <c r="Q2180" s="4" t="e">
        <f t="shared" si="208"/>
        <v>#DIV/0!</v>
      </c>
      <c r="R2180" s="4" t="e">
        <f t="shared" si="209"/>
        <v>#DIV/0!</v>
      </c>
      <c r="S2180" s="4">
        <v>5.99</v>
      </c>
      <c r="T2180" s="2">
        <v>0.16</v>
      </c>
      <c r="U2180" s="2">
        <v>3.42</v>
      </c>
      <c r="V2180" s="2">
        <v>2.21</v>
      </c>
      <c r="W2180" s="2">
        <v>10.97</v>
      </c>
      <c r="X2180" s="2">
        <v>10.97</v>
      </c>
      <c r="Y2180" s="2">
        <v>-5.95</v>
      </c>
      <c r="Z2180" s="2">
        <v>-5.95</v>
      </c>
    </row>
    <row r="2181" spans="1:26" x14ac:dyDescent="0.25">
      <c r="A2181" s="1" t="s">
        <v>8837</v>
      </c>
      <c r="B2181" s="1" t="s">
        <v>8838</v>
      </c>
      <c r="C2181" s="1" t="s">
        <v>45</v>
      </c>
      <c r="D2181" s="1" t="s">
        <v>18</v>
      </c>
      <c r="E2181" s="1" t="s">
        <v>624</v>
      </c>
      <c r="F2181" s="1" t="s">
        <v>8839</v>
      </c>
      <c r="G2181" s="1" t="s">
        <v>12480</v>
      </c>
      <c r="H2181" s="1" t="s">
        <v>8840</v>
      </c>
      <c r="I2181" s="2">
        <v>18.25</v>
      </c>
      <c r="J2181" s="2">
        <v>1.89</v>
      </c>
      <c r="K2181" s="2">
        <v>1.9</v>
      </c>
      <c r="L2181" s="2">
        <v>2.12</v>
      </c>
      <c r="M2181" s="4">
        <f t="shared" si="204"/>
        <v>9.6052631578947381</v>
      </c>
      <c r="N2181" s="4">
        <f t="shared" si="205"/>
        <v>8.6084905660377355</v>
      </c>
      <c r="O2181" s="5">
        <f t="shared" si="206"/>
        <v>5.2910052910053462E-3</v>
      </c>
      <c r="P2181" s="5">
        <f t="shared" si="207"/>
        <v>0.11578947368421066</v>
      </c>
      <c r="Q2181" s="4">
        <f t="shared" si="208"/>
        <v>18.153947368420866</v>
      </c>
      <c r="R2181" s="4">
        <f t="shared" si="209"/>
        <v>0.74346054888507629</v>
      </c>
      <c r="S2181" s="4">
        <v>10.4</v>
      </c>
      <c r="T2181" s="2">
        <v>1.01</v>
      </c>
      <c r="U2181" s="2">
        <v>28.42</v>
      </c>
      <c r="V2181" s="2">
        <v>17.52</v>
      </c>
      <c r="W2181" s="2">
        <v>3.69</v>
      </c>
      <c r="X2181" s="2">
        <v>-15.7</v>
      </c>
      <c r="Y2181" s="2">
        <v>-30.71</v>
      </c>
      <c r="Z2181" s="2">
        <v>-28.93</v>
      </c>
    </row>
    <row r="2182" spans="1:26" x14ac:dyDescent="0.25">
      <c r="A2182" s="1" t="s">
        <v>8841</v>
      </c>
      <c r="B2182" s="1" t="s">
        <v>8842</v>
      </c>
      <c r="C2182" s="1" t="s">
        <v>31</v>
      </c>
      <c r="D2182" s="1" t="s">
        <v>38</v>
      </c>
      <c r="E2182" s="1" t="s">
        <v>52</v>
      </c>
      <c r="F2182" s="1" t="s">
        <v>8843</v>
      </c>
      <c r="G2182" s="1" t="s">
        <v>12480</v>
      </c>
      <c r="H2182" s="1" t="s">
        <v>8844</v>
      </c>
      <c r="I2182" s="2">
        <v>1013.18</v>
      </c>
      <c r="J2182" s="2"/>
      <c r="K2182" s="2"/>
      <c r="L2182" s="2"/>
      <c r="M2182" s="4" t="e">
        <f t="shared" si="204"/>
        <v>#DIV/0!</v>
      </c>
      <c r="N2182" s="4" t="e">
        <f t="shared" si="205"/>
        <v>#DIV/0!</v>
      </c>
      <c r="O2182" s="5" t="e">
        <f t="shared" si="206"/>
        <v>#DIV/0!</v>
      </c>
      <c r="P2182" s="5" t="e">
        <f t="shared" si="207"/>
        <v>#DIV/0!</v>
      </c>
      <c r="Q2182" s="4" t="e">
        <f t="shared" si="208"/>
        <v>#DIV/0!</v>
      </c>
      <c r="R2182" s="4" t="e">
        <f t="shared" si="209"/>
        <v>#DIV/0!</v>
      </c>
      <c r="S2182" s="4"/>
      <c r="T2182" s="2"/>
      <c r="U2182" s="2" t="s">
        <v>12766</v>
      </c>
      <c r="V2182" s="2">
        <v>1013.18</v>
      </c>
      <c r="W2182" s="2">
        <v>-5.75</v>
      </c>
      <c r="X2182" s="2">
        <v>-19.760000000000002</v>
      </c>
      <c r="Y2182" s="2">
        <v>-15.9</v>
      </c>
      <c r="Z2182" s="2">
        <v>-16.510000000000002</v>
      </c>
    </row>
    <row r="2183" spans="1:26" x14ac:dyDescent="0.25">
      <c r="A2183" s="1" t="s">
        <v>8845</v>
      </c>
      <c r="B2183" s="1" t="s">
        <v>8846</v>
      </c>
      <c r="C2183" s="1" t="s">
        <v>16</v>
      </c>
      <c r="D2183" s="1" t="s">
        <v>38</v>
      </c>
      <c r="E2183" s="1" t="s">
        <v>194</v>
      </c>
      <c r="F2183" s="1" t="s">
        <v>8847</v>
      </c>
      <c r="G2183" s="1" t="s">
        <v>12480</v>
      </c>
      <c r="H2183" s="1" t="s">
        <v>8848</v>
      </c>
      <c r="I2183" s="2">
        <v>206.8</v>
      </c>
      <c r="J2183" s="2">
        <v>18.25</v>
      </c>
      <c r="K2183" s="2">
        <v>16.420000000000002</v>
      </c>
      <c r="L2183" s="2">
        <v>16.649999999999999</v>
      </c>
      <c r="M2183" s="4">
        <f t="shared" si="204"/>
        <v>12.594397076735687</v>
      </c>
      <c r="N2183" s="4">
        <f t="shared" si="205"/>
        <v>12.420420420420422</v>
      </c>
      <c r="O2183" s="5">
        <f t="shared" si="206"/>
        <v>-0.10027397260273962</v>
      </c>
      <c r="P2183" s="5">
        <f t="shared" si="207"/>
        <v>1.4007308160779441E-2</v>
      </c>
      <c r="Q2183" s="4">
        <f t="shared" si="208"/>
        <v>-1.2559986155761012</v>
      </c>
      <c r="R2183" s="4">
        <f t="shared" si="209"/>
        <v>8.8671001436219452</v>
      </c>
      <c r="S2183" s="4">
        <v>16.32</v>
      </c>
      <c r="T2183" s="2">
        <v>0.33</v>
      </c>
      <c r="U2183" s="2">
        <v>291.22000000000003</v>
      </c>
      <c r="V2183" s="2">
        <v>201.03</v>
      </c>
      <c r="W2183" s="2">
        <v>-3.1</v>
      </c>
      <c r="X2183" s="2">
        <v>2.62</v>
      </c>
      <c r="Y2183" s="2">
        <v>-12.51</v>
      </c>
      <c r="Z2183" s="2">
        <v>-9.19</v>
      </c>
    </row>
    <row r="2184" spans="1:26" x14ac:dyDescent="0.25">
      <c r="A2184" s="1" t="s">
        <v>8849</v>
      </c>
      <c r="B2184" s="1" t="s">
        <v>8850</v>
      </c>
      <c r="C2184" s="1" t="s">
        <v>16</v>
      </c>
      <c r="D2184" s="1" t="s">
        <v>38</v>
      </c>
      <c r="E2184" s="1" t="s">
        <v>259</v>
      </c>
      <c r="F2184" s="1" t="s">
        <v>8851</v>
      </c>
      <c r="G2184" s="1" t="s">
        <v>12480</v>
      </c>
      <c r="H2184" s="1" t="s">
        <v>8852</v>
      </c>
      <c r="I2184" s="2">
        <v>11.28</v>
      </c>
      <c r="J2184" s="2"/>
      <c r="K2184" s="2"/>
      <c r="L2184" s="2"/>
      <c r="M2184" s="4" t="e">
        <f t="shared" si="204"/>
        <v>#DIV/0!</v>
      </c>
      <c r="N2184" s="4" t="e">
        <f t="shared" si="205"/>
        <v>#DIV/0!</v>
      </c>
      <c r="O2184" s="5" t="e">
        <f t="shared" si="206"/>
        <v>#DIV/0!</v>
      </c>
      <c r="P2184" s="5" t="e">
        <f t="shared" si="207"/>
        <v>#DIV/0!</v>
      </c>
      <c r="Q2184" s="4" t="e">
        <f t="shared" si="208"/>
        <v>#DIV/0!</v>
      </c>
      <c r="R2184" s="4" t="e">
        <f t="shared" si="209"/>
        <v>#DIV/0!</v>
      </c>
      <c r="S2184" s="4"/>
      <c r="T2184" s="2">
        <v>0.56000000000000005</v>
      </c>
      <c r="U2184" s="2">
        <v>11.87</v>
      </c>
      <c r="V2184" s="2">
        <v>10.78</v>
      </c>
      <c r="W2184" s="2">
        <v>-0.88</v>
      </c>
      <c r="X2184" s="2">
        <v>-0.62</v>
      </c>
      <c r="Y2184" s="2">
        <v>-0.18</v>
      </c>
      <c r="Z2184" s="2">
        <v>0.36</v>
      </c>
    </row>
    <row r="2185" spans="1:26" x14ac:dyDescent="0.25">
      <c r="A2185" s="1" t="s">
        <v>8853</v>
      </c>
      <c r="B2185" s="1" t="s">
        <v>8854</v>
      </c>
      <c r="C2185" s="1" t="s">
        <v>16</v>
      </c>
      <c r="D2185" s="1" t="s">
        <v>25</v>
      </c>
      <c r="E2185" s="1" t="s">
        <v>220</v>
      </c>
      <c r="F2185" s="1" t="s">
        <v>8855</v>
      </c>
      <c r="G2185" s="1" t="s">
        <v>12502</v>
      </c>
      <c r="H2185" s="1" t="s">
        <v>8856</v>
      </c>
      <c r="I2185" s="2">
        <v>932.17</v>
      </c>
      <c r="J2185" s="2">
        <v>27.33</v>
      </c>
      <c r="K2185" s="2">
        <v>30.94</v>
      </c>
      <c r="L2185" s="2">
        <v>34.15</v>
      </c>
      <c r="M2185" s="4">
        <f t="shared" si="204"/>
        <v>30.128312863606979</v>
      </c>
      <c r="N2185" s="4">
        <f t="shared" si="205"/>
        <v>27.296339677891655</v>
      </c>
      <c r="O2185" s="5">
        <f t="shared" si="206"/>
        <v>0.13208927918038804</v>
      </c>
      <c r="P2185" s="5">
        <f t="shared" si="207"/>
        <v>0.10374919198448596</v>
      </c>
      <c r="Q2185" s="4">
        <f t="shared" si="208"/>
        <v>2.2809052370148963</v>
      </c>
      <c r="R2185" s="4">
        <f t="shared" si="209"/>
        <v>2.6309929895139224</v>
      </c>
      <c r="S2185" s="4">
        <v>-0.4</v>
      </c>
      <c r="T2185" s="2">
        <v>1.23</v>
      </c>
      <c r="U2185" s="2">
        <v>1023.02</v>
      </c>
      <c r="V2185" s="2">
        <v>517.23</v>
      </c>
      <c r="W2185" s="2">
        <v>-7.83</v>
      </c>
      <c r="X2185" s="2">
        <v>-4.7699999999999996</v>
      </c>
      <c r="Y2185" s="2">
        <v>5.51</v>
      </c>
      <c r="Z2185" s="2">
        <v>6.05</v>
      </c>
    </row>
    <row r="2186" spans="1:26" x14ac:dyDescent="0.25">
      <c r="A2186" s="1" t="s">
        <v>8857</v>
      </c>
      <c r="B2186" s="1" t="s">
        <v>8858</v>
      </c>
      <c r="C2186" s="1" t="s">
        <v>45</v>
      </c>
      <c r="D2186" s="1" t="s">
        <v>18</v>
      </c>
      <c r="E2186" s="1" t="s">
        <v>74</v>
      </c>
      <c r="F2186" s="1" t="s">
        <v>8859</v>
      </c>
      <c r="G2186" s="1" t="s">
        <v>12480</v>
      </c>
      <c r="H2186" s="1" t="s">
        <v>8860</v>
      </c>
      <c r="I2186" s="2">
        <v>15.99</v>
      </c>
      <c r="J2186" s="2">
        <v>-0.16</v>
      </c>
      <c r="K2186" s="2">
        <v>0.5</v>
      </c>
      <c r="L2186" s="2">
        <v>0.48</v>
      </c>
      <c r="M2186" s="4">
        <f t="shared" si="204"/>
        <v>31.98</v>
      </c>
      <c r="N2186" s="4">
        <f t="shared" si="205"/>
        <v>33.3125</v>
      </c>
      <c r="O2186" s="5">
        <f t="shared" si="206"/>
        <v>-4.125</v>
      </c>
      <c r="P2186" s="5">
        <f t="shared" si="207"/>
        <v>-4.0000000000000036E-2</v>
      </c>
      <c r="Q2186" s="4">
        <f t="shared" si="208"/>
        <v>-7.7527272727272722E-2</v>
      </c>
      <c r="R2186" s="4">
        <f t="shared" si="209"/>
        <v>-8.3281249999999929</v>
      </c>
      <c r="S2186" s="4">
        <v>21.15</v>
      </c>
      <c r="T2186" s="2">
        <v>0.04</v>
      </c>
      <c r="U2186" s="2">
        <v>21.18</v>
      </c>
      <c r="V2186" s="2">
        <v>7.65</v>
      </c>
      <c r="W2186" s="2" t="s">
        <v>12489</v>
      </c>
      <c r="X2186" s="2">
        <v>-2.3199999999999998</v>
      </c>
      <c r="Y2186" s="2">
        <v>-1.78</v>
      </c>
      <c r="Z2186" s="2">
        <v>-9.51</v>
      </c>
    </row>
    <row r="2187" spans="1:26" x14ac:dyDescent="0.25">
      <c r="A2187" s="1" t="s">
        <v>8861</v>
      </c>
      <c r="B2187" s="1" t="s">
        <v>8862</v>
      </c>
      <c r="C2187" s="1" t="s">
        <v>16</v>
      </c>
      <c r="D2187" s="1" t="s">
        <v>18</v>
      </c>
      <c r="E2187" s="1" t="s">
        <v>19</v>
      </c>
      <c r="F2187" s="1" t="s">
        <v>8863</v>
      </c>
      <c r="G2187" s="1" t="s">
        <v>12480</v>
      </c>
      <c r="H2187" s="1" t="s">
        <v>8864</v>
      </c>
      <c r="I2187" s="2">
        <v>29.42</v>
      </c>
      <c r="J2187" s="2">
        <v>1.76</v>
      </c>
      <c r="K2187" s="2">
        <v>1.87</v>
      </c>
      <c r="L2187" s="2">
        <v>2.1</v>
      </c>
      <c r="M2187" s="4">
        <f t="shared" si="204"/>
        <v>15.732620320855615</v>
      </c>
      <c r="N2187" s="4">
        <f t="shared" si="205"/>
        <v>14.009523809523809</v>
      </c>
      <c r="O2187" s="5">
        <f t="shared" si="206"/>
        <v>6.25E-2</v>
      </c>
      <c r="P2187" s="5">
        <f t="shared" si="207"/>
        <v>0.12299465240641716</v>
      </c>
      <c r="Q2187" s="4">
        <f t="shared" si="208"/>
        <v>2.5172192513368983</v>
      </c>
      <c r="R2187" s="4">
        <f t="shared" si="209"/>
        <v>1.1390351966873702</v>
      </c>
      <c r="S2187" s="4">
        <v>3.44</v>
      </c>
      <c r="T2187" s="2">
        <v>0.77</v>
      </c>
      <c r="U2187" s="2">
        <v>32.909999999999997</v>
      </c>
      <c r="V2187" s="2">
        <v>21.67</v>
      </c>
      <c r="W2187" s="2">
        <v>-5.58</v>
      </c>
      <c r="X2187" s="2">
        <v>-0.68</v>
      </c>
      <c r="Y2187" s="2">
        <v>11.19</v>
      </c>
      <c r="Z2187" s="2">
        <v>8.64</v>
      </c>
    </row>
    <row r="2188" spans="1:26" x14ac:dyDescent="0.25">
      <c r="A2188" s="1" t="s">
        <v>8865</v>
      </c>
      <c r="B2188" s="1" t="s">
        <v>8866</v>
      </c>
      <c r="C2188" s="1" t="s">
        <v>16</v>
      </c>
      <c r="D2188" s="1" t="s">
        <v>305</v>
      </c>
      <c r="E2188" s="1" t="s">
        <v>306</v>
      </c>
      <c r="F2188" s="1" t="s">
        <v>8867</v>
      </c>
      <c r="G2188" s="1" t="s">
        <v>12480</v>
      </c>
      <c r="H2188" s="1" t="s">
        <v>8868</v>
      </c>
      <c r="I2188" s="2">
        <v>67.06</v>
      </c>
      <c r="J2188" s="2">
        <v>4.96</v>
      </c>
      <c r="K2188" s="2">
        <v>5.94</v>
      </c>
      <c r="L2188" s="2">
        <v>7.06</v>
      </c>
      <c r="M2188" s="4">
        <f t="shared" si="204"/>
        <v>11.289562289562289</v>
      </c>
      <c r="N2188" s="4">
        <f t="shared" si="205"/>
        <v>9.4985835694051008</v>
      </c>
      <c r="O2188" s="5">
        <f t="shared" si="206"/>
        <v>0.19758064516129048</v>
      </c>
      <c r="P2188" s="5">
        <f t="shared" si="207"/>
        <v>0.18855218855218836</v>
      </c>
      <c r="Q2188" s="4">
        <f t="shared" si="208"/>
        <v>0.571390091390091</v>
      </c>
      <c r="R2188" s="4">
        <f t="shared" si="209"/>
        <v>0.50376416430594961</v>
      </c>
      <c r="S2188" s="4">
        <v>2.35</v>
      </c>
      <c r="T2188" s="2">
        <v>1.36</v>
      </c>
      <c r="U2188" s="2">
        <v>79.12</v>
      </c>
      <c r="V2188" s="2">
        <v>37.64</v>
      </c>
      <c r="W2188" s="2">
        <v>-7.68</v>
      </c>
      <c r="X2188" s="2">
        <v>-9.6300000000000008</v>
      </c>
      <c r="Y2188" s="2">
        <v>16.059999999999999</v>
      </c>
      <c r="Z2188" s="2">
        <v>6.97</v>
      </c>
    </row>
    <row r="2189" spans="1:26" x14ac:dyDescent="0.25">
      <c r="A2189" s="1" t="s">
        <v>8869</v>
      </c>
      <c r="B2189" s="1" t="s">
        <v>8870</v>
      </c>
      <c r="C2189" s="1" t="s">
        <v>16</v>
      </c>
      <c r="D2189" s="1" t="s">
        <v>61</v>
      </c>
      <c r="E2189" s="1" t="s">
        <v>2394</v>
      </c>
      <c r="F2189" s="1" t="s">
        <v>8871</v>
      </c>
      <c r="G2189" s="1" t="s">
        <v>12480</v>
      </c>
      <c r="H2189" s="1" t="s">
        <v>8872</v>
      </c>
      <c r="I2189" s="2">
        <v>126.66</v>
      </c>
      <c r="J2189" s="2">
        <v>11.44</v>
      </c>
      <c r="K2189" s="2">
        <v>10.15</v>
      </c>
      <c r="L2189" s="2">
        <v>11.43</v>
      </c>
      <c r="M2189" s="4">
        <f t="shared" si="204"/>
        <v>12.478817733990146</v>
      </c>
      <c r="N2189" s="4">
        <f t="shared" si="205"/>
        <v>11.081364829396325</v>
      </c>
      <c r="O2189" s="5">
        <f t="shared" si="206"/>
        <v>-0.1127622377622377</v>
      </c>
      <c r="P2189" s="5">
        <f t="shared" si="207"/>
        <v>0.12610837438423639</v>
      </c>
      <c r="Q2189" s="4">
        <f t="shared" si="208"/>
        <v>-1.106648642456181</v>
      </c>
      <c r="R2189" s="4">
        <f t="shared" si="209"/>
        <v>0.87871760170603719</v>
      </c>
      <c r="S2189" s="4">
        <v>-3.54</v>
      </c>
      <c r="T2189" s="2">
        <v>1.32</v>
      </c>
      <c r="U2189" s="2">
        <v>142.56</v>
      </c>
      <c r="V2189" s="2">
        <v>92.02</v>
      </c>
      <c r="W2189" s="2">
        <v>-5.28</v>
      </c>
      <c r="X2189" s="2">
        <v>-4.3099999999999996</v>
      </c>
      <c r="Y2189" s="2">
        <v>0.12</v>
      </c>
      <c r="Z2189" s="2">
        <v>8.02</v>
      </c>
    </row>
    <row r="2190" spans="1:26" x14ac:dyDescent="0.25">
      <c r="A2190" s="1" t="s">
        <v>8873</v>
      </c>
      <c r="B2190" s="1" t="s">
        <v>8874</v>
      </c>
      <c r="C2190" s="1" t="s">
        <v>45</v>
      </c>
      <c r="D2190" s="1" t="s">
        <v>32</v>
      </c>
      <c r="E2190" s="1" t="s">
        <v>57</v>
      </c>
      <c r="F2190" s="1" t="s">
        <v>8875</v>
      </c>
      <c r="G2190" s="1" t="s">
        <v>12480</v>
      </c>
      <c r="H2190" s="1" t="s">
        <v>4623</v>
      </c>
      <c r="I2190" s="2">
        <v>98.81</v>
      </c>
      <c r="J2190" s="2">
        <v>2.11</v>
      </c>
      <c r="K2190" s="2">
        <v>1.82</v>
      </c>
      <c r="L2190" s="2">
        <v>3.08</v>
      </c>
      <c r="M2190" s="4">
        <f t="shared" si="204"/>
        <v>54.291208791208788</v>
      </c>
      <c r="N2190" s="4">
        <f t="shared" si="205"/>
        <v>32.081168831168831</v>
      </c>
      <c r="O2190" s="5">
        <f t="shared" si="206"/>
        <v>-0.13744075829383873</v>
      </c>
      <c r="P2190" s="5">
        <f t="shared" si="207"/>
        <v>0.69230769230769229</v>
      </c>
      <c r="Q2190" s="4">
        <f t="shared" si="208"/>
        <v>-3.9501534672224365</v>
      </c>
      <c r="R2190" s="4">
        <f t="shared" si="209"/>
        <v>0.46339466089466091</v>
      </c>
      <c r="S2190" s="4">
        <v>-1.37</v>
      </c>
      <c r="T2190" s="2">
        <v>1.56</v>
      </c>
      <c r="U2190" s="2">
        <v>241.91</v>
      </c>
      <c r="V2190" s="2">
        <v>62.54</v>
      </c>
      <c r="W2190" s="2">
        <v>-18.11</v>
      </c>
      <c r="X2190" s="2">
        <v>-11.58</v>
      </c>
      <c r="Y2190" s="2">
        <v>-35.54</v>
      </c>
      <c r="Z2190" s="2">
        <v>-43.22</v>
      </c>
    </row>
    <row r="2191" spans="1:26" x14ac:dyDescent="0.25">
      <c r="A2191" s="1" t="s">
        <v>8876</v>
      </c>
      <c r="B2191" s="1" t="s">
        <v>8877</v>
      </c>
      <c r="C2191" s="1" t="s">
        <v>16</v>
      </c>
      <c r="D2191" s="1" t="s">
        <v>305</v>
      </c>
      <c r="E2191" s="1" t="s">
        <v>349</v>
      </c>
      <c r="F2191" s="1" t="s">
        <v>8878</v>
      </c>
      <c r="G2191" s="1" t="s">
        <v>12480</v>
      </c>
      <c r="H2191" s="1" t="s">
        <v>3582</v>
      </c>
      <c r="I2191" s="2">
        <v>52.73</v>
      </c>
      <c r="J2191" s="2">
        <v>-0.01</v>
      </c>
      <c r="K2191" s="2">
        <v>1.7</v>
      </c>
      <c r="L2191" s="2">
        <v>3.17</v>
      </c>
      <c r="M2191" s="4">
        <f t="shared" si="204"/>
        <v>31.017647058823528</v>
      </c>
      <c r="N2191" s="4">
        <f t="shared" si="205"/>
        <v>16.634069400630914</v>
      </c>
      <c r="O2191" s="5">
        <f t="shared" si="206"/>
        <v>-171</v>
      </c>
      <c r="P2191" s="5">
        <f t="shared" si="207"/>
        <v>0.86470588235294121</v>
      </c>
      <c r="Q2191" s="4">
        <f t="shared" si="208"/>
        <v>-1.8138974888200893E-3</v>
      </c>
      <c r="R2191" s="4">
        <f t="shared" si="209"/>
        <v>0.19236678898688811</v>
      </c>
      <c r="S2191" s="4">
        <v>-0.33</v>
      </c>
      <c r="T2191" s="2">
        <v>1.19</v>
      </c>
      <c r="U2191" s="2">
        <v>73.599999999999994</v>
      </c>
      <c r="V2191" s="2">
        <v>31.97</v>
      </c>
      <c r="W2191" s="2">
        <v>-10.63</v>
      </c>
      <c r="X2191" s="2">
        <v>-23.58</v>
      </c>
      <c r="Y2191" s="2">
        <v>-22.62</v>
      </c>
      <c r="Z2191" s="2">
        <v>-16.63</v>
      </c>
    </row>
    <row r="2192" spans="1:26" x14ac:dyDescent="0.25">
      <c r="A2192" s="1" t="s">
        <v>8879</v>
      </c>
      <c r="B2192" s="1" t="s">
        <v>8880</v>
      </c>
      <c r="C2192" s="1" t="s">
        <v>16</v>
      </c>
      <c r="D2192" s="1" t="s">
        <v>32</v>
      </c>
      <c r="E2192" s="1" t="s">
        <v>311</v>
      </c>
      <c r="F2192" s="1" t="s">
        <v>8881</v>
      </c>
      <c r="G2192" s="1" t="s">
        <v>12480</v>
      </c>
      <c r="H2192" s="1" t="s">
        <v>8882</v>
      </c>
      <c r="I2192" s="2">
        <v>19.649999999999999</v>
      </c>
      <c r="J2192" s="2">
        <v>1.6</v>
      </c>
      <c r="K2192" s="2">
        <v>1.73</v>
      </c>
      <c r="L2192" s="2">
        <v>2.02</v>
      </c>
      <c r="M2192" s="4">
        <f t="shared" si="204"/>
        <v>11.358381502890174</v>
      </c>
      <c r="N2192" s="4">
        <f t="shared" si="205"/>
        <v>9.727722772277227</v>
      </c>
      <c r="O2192" s="5">
        <f t="shared" si="206"/>
        <v>8.1249999999999822E-2</v>
      </c>
      <c r="P2192" s="5">
        <f t="shared" si="207"/>
        <v>0.16763005780346818</v>
      </c>
      <c r="Q2192" s="4">
        <f t="shared" si="208"/>
        <v>1.3979546465095629</v>
      </c>
      <c r="R2192" s="4">
        <f t="shared" si="209"/>
        <v>0.58030897917377955</v>
      </c>
      <c r="S2192" s="4">
        <v>15.79</v>
      </c>
      <c r="T2192" s="2">
        <v>0.93</v>
      </c>
      <c r="U2192" s="2">
        <v>39.17</v>
      </c>
      <c r="V2192" s="2">
        <v>15.42</v>
      </c>
      <c r="W2192" s="2">
        <v>12.41</v>
      </c>
      <c r="X2192" s="2">
        <v>-2.4300000000000002</v>
      </c>
      <c r="Y2192" s="2">
        <v>-23.72</v>
      </c>
      <c r="Z2192" s="2">
        <v>-24.1</v>
      </c>
    </row>
    <row r="2193" spans="1:26" x14ac:dyDescent="0.25">
      <c r="A2193" s="1" t="s">
        <v>8883</v>
      </c>
      <c r="B2193" s="1" t="s">
        <v>8884</v>
      </c>
      <c r="C2193" s="1" t="s">
        <v>16</v>
      </c>
      <c r="D2193" s="1" t="s">
        <v>38</v>
      </c>
      <c r="E2193" s="1" t="s">
        <v>52</v>
      </c>
      <c r="F2193" s="1" t="s">
        <v>8885</v>
      </c>
      <c r="G2193" s="1" t="s">
        <v>12480</v>
      </c>
      <c r="H2193" s="1" t="s">
        <v>8886</v>
      </c>
      <c r="I2193" s="2">
        <v>288.36</v>
      </c>
      <c r="J2193" s="2">
        <v>17.739999999999998</v>
      </c>
      <c r="K2193" s="2">
        <v>18.510000000000002</v>
      </c>
      <c r="L2193" s="2">
        <v>22.01</v>
      </c>
      <c r="M2193" s="4">
        <f t="shared" si="204"/>
        <v>15.578606158833063</v>
      </c>
      <c r="N2193" s="4">
        <f t="shared" si="205"/>
        <v>13.101317582916856</v>
      </c>
      <c r="O2193" s="5">
        <f t="shared" si="206"/>
        <v>4.3404735062007038E-2</v>
      </c>
      <c r="P2193" s="5">
        <f t="shared" si="207"/>
        <v>0.18908698001080504</v>
      </c>
      <c r="Q2193" s="4">
        <f t="shared" si="208"/>
        <v>3.5891490033467117</v>
      </c>
      <c r="R2193" s="4">
        <f t="shared" si="209"/>
        <v>0.69287253845654551</v>
      </c>
      <c r="S2193" s="4">
        <v>24.79</v>
      </c>
      <c r="T2193" s="2">
        <v>1.54</v>
      </c>
      <c r="U2193" s="2">
        <v>378.06</v>
      </c>
      <c r="V2193" s="2">
        <v>210.78</v>
      </c>
      <c r="W2193" s="2">
        <v>-5.25</v>
      </c>
      <c r="X2193" s="2">
        <v>-22.62</v>
      </c>
      <c r="Y2193" s="2">
        <v>-18.43</v>
      </c>
      <c r="Z2193" s="2">
        <v>-15.12</v>
      </c>
    </row>
    <row r="2194" spans="1:26" x14ac:dyDescent="0.25">
      <c r="A2194" s="1" t="s">
        <v>8887</v>
      </c>
      <c r="B2194" s="1" t="s">
        <v>8888</v>
      </c>
      <c r="C2194" s="1" t="s">
        <v>16</v>
      </c>
      <c r="D2194" s="1" t="s">
        <v>38</v>
      </c>
      <c r="E2194" s="1" t="s">
        <v>52</v>
      </c>
      <c r="F2194" s="1" t="s">
        <v>8889</v>
      </c>
      <c r="G2194" s="1" t="s">
        <v>12480</v>
      </c>
      <c r="H2194" s="1" t="s">
        <v>8890</v>
      </c>
      <c r="I2194" s="2">
        <v>140.43</v>
      </c>
      <c r="J2194" s="2">
        <v>6.98</v>
      </c>
      <c r="K2194" s="2" t="s">
        <v>12497</v>
      </c>
      <c r="L2194" s="2">
        <v>8.9499999999999993</v>
      </c>
      <c r="M2194" s="4">
        <f t="shared" si="204"/>
        <v>17.553750000000001</v>
      </c>
      <c r="N2194" s="4">
        <f t="shared" si="205"/>
        <v>15.690502793296091</v>
      </c>
      <c r="O2194" s="5">
        <f t="shared" si="206"/>
        <v>0.14613180515759305</v>
      </c>
      <c r="P2194" s="5">
        <f t="shared" si="207"/>
        <v>0.11874999999999991</v>
      </c>
      <c r="Q2194" s="4">
        <f t="shared" si="208"/>
        <v>1.2012272058823537</v>
      </c>
      <c r="R2194" s="4">
        <f t="shared" si="209"/>
        <v>1.3213054983828296</v>
      </c>
      <c r="S2194" s="4">
        <v>14.77</v>
      </c>
      <c r="T2194" s="2">
        <v>0.85</v>
      </c>
      <c r="U2194" s="2">
        <v>191.42</v>
      </c>
      <c r="V2194" s="2">
        <v>125.44</v>
      </c>
      <c r="W2194" s="2">
        <v>-5.1100000000000003</v>
      </c>
      <c r="X2194" s="2">
        <v>-13.41</v>
      </c>
      <c r="Y2194" s="2">
        <v>-17.41</v>
      </c>
      <c r="Z2194" s="2">
        <v>-16.010000000000002</v>
      </c>
    </row>
    <row r="2195" spans="1:26" x14ac:dyDescent="0.25">
      <c r="A2195" s="1" t="s">
        <v>8891</v>
      </c>
      <c r="B2195" s="1" t="s">
        <v>8892</v>
      </c>
      <c r="C2195" s="1" t="s">
        <v>16</v>
      </c>
      <c r="D2195" s="1" t="s">
        <v>38</v>
      </c>
      <c r="E2195" s="1" t="s">
        <v>510</v>
      </c>
      <c r="F2195" s="1" t="s">
        <v>8893</v>
      </c>
      <c r="G2195" s="1" t="s">
        <v>12480</v>
      </c>
      <c r="H2195" s="1" t="s">
        <v>8894</v>
      </c>
      <c r="I2195" s="2">
        <v>10.71</v>
      </c>
      <c r="J2195" s="2">
        <v>1.97</v>
      </c>
      <c r="K2195" s="2">
        <v>1.99</v>
      </c>
      <c r="L2195" s="2">
        <v>2.0499999999999998</v>
      </c>
      <c r="M2195" s="4">
        <f t="shared" si="204"/>
        <v>5.3819095477386938</v>
      </c>
      <c r="N2195" s="4">
        <f t="shared" si="205"/>
        <v>5.2243902439024401</v>
      </c>
      <c r="O2195" s="5">
        <f t="shared" si="206"/>
        <v>1.0152284263959421E-2</v>
      </c>
      <c r="P2195" s="5">
        <f t="shared" si="207"/>
        <v>3.015075376884413E-2</v>
      </c>
      <c r="Q2195" s="4">
        <f t="shared" si="208"/>
        <v>5.3011809045225977</v>
      </c>
      <c r="R2195" s="4">
        <f t="shared" si="209"/>
        <v>1.7327560975609813</v>
      </c>
      <c r="S2195" s="4">
        <v>-2.23</v>
      </c>
      <c r="T2195" s="2">
        <v>1.4</v>
      </c>
      <c r="U2195" s="2">
        <v>12.39</v>
      </c>
      <c r="V2195" s="2">
        <v>8.85</v>
      </c>
      <c r="W2195" s="2">
        <v>-4.72</v>
      </c>
      <c r="X2195" s="2">
        <v>-6.79</v>
      </c>
      <c r="Y2195" s="2">
        <v>-2.72</v>
      </c>
      <c r="Z2195" s="2">
        <v>2.39</v>
      </c>
    </row>
    <row r="2196" spans="1:26" x14ac:dyDescent="0.25">
      <c r="A2196" s="1" t="s">
        <v>8895</v>
      </c>
      <c r="B2196" s="1" t="s">
        <v>8896</v>
      </c>
      <c r="C2196" s="1" t="s">
        <v>16</v>
      </c>
      <c r="D2196" s="1" t="s">
        <v>25</v>
      </c>
      <c r="E2196" s="1" t="s">
        <v>734</v>
      </c>
      <c r="F2196" s="1" t="s">
        <v>8897</v>
      </c>
      <c r="G2196" s="1" t="s">
        <v>12480</v>
      </c>
      <c r="H2196" s="1" t="s">
        <v>8898</v>
      </c>
      <c r="I2196" s="2">
        <v>222.8</v>
      </c>
      <c r="J2196" s="2">
        <v>9.84</v>
      </c>
      <c r="K2196" s="2">
        <v>11.17</v>
      </c>
      <c r="L2196" s="2">
        <v>12.79</v>
      </c>
      <c r="M2196" s="4">
        <f t="shared" si="204"/>
        <v>19.946284691136974</v>
      </c>
      <c r="N2196" s="4">
        <f t="shared" si="205"/>
        <v>17.419859265050825</v>
      </c>
      <c r="O2196" s="5">
        <f t="shared" si="206"/>
        <v>0.13516260162601634</v>
      </c>
      <c r="P2196" s="5">
        <f t="shared" si="207"/>
        <v>0.14503133393017009</v>
      </c>
      <c r="Q2196" s="4">
        <f t="shared" si="208"/>
        <v>1.4757251230134414</v>
      </c>
      <c r="R2196" s="4">
        <f t="shared" si="209"/>
        <v>1.2011100493248008</v>
      </c>
      <c r="S2196" s="4">
        <v>7.23</v>
      </c>
      <c r="T2196" s="2">
        <v>0.88</v>
      </c>
      <c r="U2196" s="2">
        <v>246.31</v>
      </c>
      <c r="V2196" s="2">
        <v>175.97</v>
      </c>
      <c r="W2196" s="2">
        <v>-3.64</v>
      </c>
      <c r="X2196" s="2">
        <v>-6.67</v>
      </c>
      <c r="Y2196" s="2">
        <v>8.9600000000000009</v>
      </c>
      <c r="Z2196" s="2">
        <v>8.0299999999999994</v>
      </c>
    </row>
    <row r="2197" spans="1:26" x14ac:dyDescent="0.25">
      <c r="A2197" s="1" t="s">
        <v>8899</v>
      </c>
      <c r="B2197" s="1" t="s">
        <v>8900</v>
      </c>
      <c r="C2197" s="1" t="s">
        <v>16</v>
      </c>
      <c r="D2197" s="1" t="s">
        <v>32</v>
      </c>
      <c r="E2197" s="1" t="s">
        <v>5062</v>
      </c>
      <c r="F2197" s="1" t="s">
        <v>8901</v>
      </c>
      <c r="G2197" s="1" t="s">
        <v>12493</v>
      </c>
      <c r="H2197" s="1" t="s">
        <v>8902</v>
      </c>
      <c r="I2197" s="2">
        <v>25.82</v>
      </c>
      <c r="J2197" s="2">
        <v>-0.2</v>
      </c>
      <c r="K2197" s="2">
        <v>-0.03</v>
      </c>
      <c r="L2197" s="2">
        <v>-0.01</v>
      </c>
      <c r="M2197" s="4">
        <f t="shared" si="204"/>
        <v>-860.66666666666674</v>
      </c>
      <c r="N2197" s="4">
        <f t="shared" si="205"/>
        <v>-2582</v>
      </c>
      <c r="O2197" s="5">
        <f t="shared" si="206"/>
        <v>-0.85</v>
      </c>
      <c r="P2197" s="5">
        <f t="shared" si="207"/>
        <v>-0.66666666666666663</v>
      </c>
      <c r="Q2197" s="4">
        <f t="shared" si="208"/>
        <v>10.125490196078433</v>
      </c>
      <c r="R2197" s="4">
        <f t="shared" si="209"/>
        <v>38.730000000000004</v>
      </c>
      <c r="S2197" s="4">
        <v>10.72</v>
      </c>
      <c r="T2197" s="2">
        <v>1.95</v>
      </c>
      <c r="U2197" s="2">
        <v>28.78</v>
      </c>
      <c r="V2197" s="2">
        <v>2.96</v>
      </c>
      <c r="W2197" s="2">
        <v>-2.0499999999999998</v>
      </c>
      <c r="X2197" s="2">
        <v>7.49</v>
      </c>
      <c r="Y2197" s="2">
        <v>43.05</v>
      </c>
      <c r="Z2197" s="2">
        <v>30.93</v>
      </c>
    </row>
    <row r="2198" spans="1:26" x14ac:dyDescent="0.25">
      <c r="A2198" s="1" t="s">
        <v>8903</v>
      </c>
      <c r="B2198" s="1" t="s">
        <v>8904</v>
      </c>
      <c r="C2198" s="1" t="s">
        <v>45</v>
      </c>
      <c r="D2198" s="1" t="s">
        <v>32</v>
      </c>
      <c r="E2198" s="1" t="s">
        <v>4853</v>
      </c>
      <c r="F2198" s="1" t="s">
        <v>8905</v>
      </c>
      <c r="G2198" s="1" t="s">
        <v>12479</v>
      </c>
      <c r="H2198" s="1" t="s">
        <v>4105</v>
      </c>
      <c r="I2198" s="2">
        <v>34.21</v>
      </c>
      <c r="J2198" s="2">
        <v>2.0099999999999998</v>
      </c>
      <c r="K2198" s="2">
        <v>2.35</v>
      </c>
      <c r="L2198" s="2">
        <v>2.54</v>
      </c>
      <c r="M2198" s="4">
        <f t="shared" si="204"/>
        <v>14.557446808510639</v>
      </c>
      <c r="N2198" s="4">
        <f t="shared" si="205"/>
        <v>13.468503937007874</v>
      </c>
      <c r="O2198" s="5">
        <f t="shared" si="206"/>
        <v>0.16915422885572151</v>
      </c>
      <c r="P2198" s="5">
        <f t="shared" si="207"/>
        <v>8.085106382978724E-2</v>
      </c>
      <c r="Q2198" s="4">
        <f t="shared" si="208"/>
        <v>0.86060200250312824</v>
      </c>
      <c r="R2198" s="4">
        <f t="shared" si="209"/>
        <v>1.6658412764193948</v>
      </c>
      <c r="S2198" s="4">
        <v>-2.04</v>
      </c>
      <c r="T2198" s="2">
        <v>1.5</v>
      </c>
      <c r="U2198" s="2">
        <v>43.57</v>
      </c>
      <c r="V2198" s="2">
        <v>16.71</v>
      </c>
      <c r="W2198" s="2">
        <v>-7.37</v>
      </c>
      <c r="X2198" s="2">
        <v>-8.8699999999999992</v>
      </c>
      <c r="Y2198" s="2">
        <v>-6.91</v>
      </c>
      <c r="Z2198" s="2">
        <v>6.91</v>
      </c>
    </row>
    <row r="2199" spans="1:26" x14ac:dyDescent="0.25">
      <c r="A2199" s="1" t="s">
        <v>8906</v>
      </c>
      <c r="B2199" s="1" t="s">
        <v>8907</v>
      </c>
      <c r="C2199" s="1" t="s">
        <v>45</v>
      </c>
      <c r="D2199" s="1" t="s">
        <v>8909</v>
      </c>
      <c r="E2199" s="1" t="s">
        <v>8909</v>
      </c>
      <c r="F2199" s="1" t="s">
        <v>8908</v>
      </c>
      <c r="G2199" s="1" t="s">
        <v>12480</v>
      </c>
      <c r="H2199" s="1" t="s">
        <v>8910</v>
      </c>
      <c r="I2199" s="2">
        <v>8.14</v>
      </c>
      <c r="J2199" s="2"/>
      <c r="K2199" s="2"/>
      <c r="L2199" s="2"/>
      <c r="M2199" s="4" t="e">
        <f t="shared" si="204"/>
        <v>#DIV/0!</v>
      </c>
      <c r="N2199" s="4" t="e">
        <f t="shared" si="205"/>
        <v>#DIV/0!</v>
      </c>
      <c r="O2199" s="5" t="e">
        <f t="shared" si="206"/>
        <v>#DIV/0!</v>
      </c>
      <c r="P2199" s="5" t="e">
        <f t="shared" si="207"/>
        <v>#DIV/0!</v>
      </c>
      <c r="Q2199" s="4" t="e">
        <f t="shared" si="208"/>
        <v>#DIV/0!</v>
      </c>
      <c r="R2199" s="4" t="e">
        <f t="shared" si="209"/>
        <v>#DIV/0!</v>
      </c>
      <c r="S2199" s="4"/>
      <c r="T2199" s="2">
        <v>-1.26</v>
      </c>
      <c r="U2199" s="2">
        <v>11.75</v>
      </c>
      <c r="V2199" s="2">
        <v>6.65</v>
      </c>
      <c r="W2199" s="2">
        <v>-0.73</v>
      </c>
      <c r="X2199" s="2">
        <v>-3.33</v>
      </c>
      <c r="Y2199" s="2">
        <v>-23.21</v>
      </c>
      <c r="Z2199" s="2">
        <v>-25.73</v>
      </c>
    </row>
    <row r="2200" spans="1:26" x14ac:dyDescent="0.25">
      <c r="A2200" s="1" t="s">
        <v>8911</v>
      </c>
      <c r="B2200" s="1" t="s">
        <v>8912</v>
      </c>
      <c r="C2200" s="1" t="s">
        <v>16</v>
      </c>
      <c r="D2200" s="1" t="s">
        <v>38</v>
      </c>
      <c r="E2200" s="1" t="s">
        <v>510</v>
      </c>
      <c r="F2200" s="1" t="s">
        <v>8913</v>
      </c>
      <c r="G2200" s="1" t="s">
        <v>12480</v>
      </c>
      <c r="H2200" s="1" t="s">
        <v>8914</v>
      </c>
      <c r="I2200" s="2">
        <v>135.15</v>
      </c>
      <c r="J2200" s="2">
        <v>5.81</v>
      </c>
      <c r="K2200" s="2">
        <v>6.12</v>
      </c>
      <c r="L2200" s="2">
        <v>6.55</v>
      </c>
      <c r="M2200" s="4">
        <f t="shared" si="204"/>
        <v>22.083333333333332</v>
      </c>
      <c r="N2200" s="4">
        <f t="shared" si="205"/>
        <v>20.633587786259543</v>
      </c>
      <c r="O2200" s="5">
        <f t="shared" si="206"/>
        <v>5.335628227194511E-2</v>
      </c>
      <c r="P2200" s="5">
        <f t="shared" si="207"/>
        <v>7.0261437908496704E-2</v>
      </c>
      <c r="Q2200" s="4">
        <f t="shared" si="208"/>
        <v>4.138844086021491</v>
      </c>
      <c r="R2200" s="4">
        <f t="shared" si="209"/>
        <v>2.9366873779513596</v>
      </c>
      <c r="S2200" s="4">
        <v>7.18</v>
      </c>
      <c r="T2200" s="2">
        <v>1.41</v>
      </c>
      <c r="U2200" s="2">
        <v>142.72</v>
      </c>
      <c r="V2200" s="2">
        <v>89.76</v>
      </c>
      <c r="W2200" s="2">
        <v>-5.3</v>
      </c>
      <c r="X2200" s="2">
        <v>-1.55</v>
      </c>
      <c r="Y2200" s="2">
        <v>3.44</v>
      </c>
      <c r="Z2200" s="2">
        <v>5.87</v>
      </c>
    </row>
    <row r="2201" spans="1:26" x14ac:dyDescent="0.25">
      <c r="A2201" s="1" t="s">
        <v>8915</v>
      </c>
      <c r="B2201" s="1" t="s">
        <v>8916</v>
      </c>
      <c r="C2201" s="1" t="s">
        <v>45</v>
      </c>
      <c r="D2201" s="1" t="s">
        <v>38</v>
      </c>
      <c r="E2201" s="1" t="s">
        <v>194</v>
      </c>
      <c r="F2201" s="1" t="s">
        <v>8917</v>
      </c>
      <c r="G2201" s="1" t="s">
        <v>12480</v>
      </c>
      <c r="H2201" s="1" t="s">
        <v>3194</v>
      </c>
      <c r="I2201" s="2">
        <v>122.81</v>
      </c>
      <c r="J2201" s="2">
        <v>7.86</v>
      </c>
      <c r="K2201" s="2">
        <v>9.6300000000000008</v>
      </c>
      <c r="L2201" s="2">
        <v>10.9</v>
      </c>
      <c r="M2201" s="4">
        <f t="shared" si="204"/>
        <v>12.752855659397715</v>
      </c>
      <c r="N2201" s="4">
        <f t="shared" si="205"/>
        <v>11.26697247706422</v>
      </c>
      <c r="O2201" s="5">
        <f t="shared" si="206"/>
        <v>0.22519083969465647</v>
      </c>
      <c r="P2201" s="5">
        <f t="shared" si="207"/>
        <v>0.13187954309449634</v>
      </c>
      <c r="Q2201" s="4">
        <f t="shared" si="208"/>
        <v>0.56631325131562738</v>
      </c>
      <c r="R2201" s="4">
        <f t="shared" si="209"/>
        <v>0.85433814924510598</v>
      </c>
      <c r="S2201" s="4">
        <v>58.16</v>
      </c>
      <c r="T2201" s="2">
        <v>0.46</v>
      </c>
      <c r="U2201" s="2">
        <v>175.67</v>
      </c>
      <c r="V2201" s="2">
        <v>109.9</v>
      </c>
      <c r="W2201" s="2">
        <v>-2.99</v>
      </c>
      <c r="X2201" s="2">
        <v>-2.95</v>
      </c>
      <c r="Y2201" s="2">
        <v>-2.16</v>
      </c>
      <c r="Z2201" s="2">
        <v>-8.8699999999999992</v>
      </c>
    </row>
    <row r="2202" spans="1:26" x14ac:dyDescent="0.25">
      <c r="A2202" s="1" t="s">
        <v>8918</v>
      </c>
      <c r="B2202" s="1" t="s">
        <v>8919</v>
      </c>
      <c r="C2202" s="1" t="s">
        <v>16</v>
      </c>
      <c r="D2202" s="1" t="s">
        <v>147</v>
      </c>
      <c r="E2202" s="1" t="s">
        <v>148</v>
      </c>
      <c r="F2202" s="1" t="s">
        <v>8920</v>
      </c>
      <c r="G2202" s="1" t="s">
        <v>12480</v>
      </c>
      <c r="H2202" s="1" t="s">
        <v>7010</v>
      </c>
      <c r="I2202" s="2">
        <v>77.89</v>
      </c>
      <c r="J2202" s="2">
        <v>3.07</v>
      </c>
      <c r="K2202" s="2">
        <v>3.38</v>
      </c>
      <c r="L2202" s="2">
        <v>3.99</v>
      </c>
      <c r="M2202" s="4">
        <f t="shared" si="204"/>
        <v>23.044378698224854</v>
      </c>
      <c r="N2202" s="4">
        <f t="shared" si="205"/>
        <v>19.521303258145362</v>
      </c>
      <c r="O2202" s="5">
        <f t="shared" si="206"/>
        <v>0.10097719869706845</v>
      </c>
      <c r="P2202" s="5">
        <f t="shared" si="207"/>
        <v>0.18047337278106523</v>
      </c>
      <c r="Q2202" s="4">
        <f t="shared" si="208"/>
        <v>2.2821368581790411</v>
      </c>
      <c r="R2202" s="4">
        <f t="shared" si="209"/>
        <v>1.0816722133201846</v>
      </c>
      <c r="S2202" s="4">
        <v>12.06</v>
      </c>
      <c r="T2202" s="2">
        <v>1.25</v>
      </c>
      <c r="U2202" s="2">
        <v>113.55</v>
      </c>
      <c r="V2202" s="2">
        <v>77.89</v>
      </c>
      <c r="W2202" s="2">
        <v>-4.83</v>
      </c>
      <c r="X2202" s="2">
        <v>-15.06</v>
      </c>
      <c r="Y2202" s="2">
        <v>-29.11</v>
      </c>
      <c r="Z2202" s="2">
        <v>-28.19</v>
      </c>
    </row>
    <row r="2203" spans="1:26" x14ac:dyDescent="0.25">
      <c r="A2203" s="1" t="s">
        <v>8921</v>
      </c>
      <c r="B2203" s="1" t="s">
        <v>8922</v>
      </c>
      <c r="C2203" s="1" t="s">
        <v>16</v>
      </c>
      <c r="D2203" s="1" t="s">
        <v>305</v>
      </c>
      <c r="E2203" s="1" t="s">
        <v>3726</v>
      </c>
      <c r="F2203" s="1" t="s">
        <v>8923</v>
      </c>
      <c r="G2203" s="1" t="s">
        <v>12480</v>
      </c>
      <c r="H2203" s="1" t="s">
        <v>12767</v>
      </c>
      <c r="I2203" s="2">
        <v>43.56</v>
      </c>
      <c r="J2203" s="2">
        <v>2.23</v>
      </c>
      <c r="K2203" s="2">
        <v>2.54</v>
      </c>
      <c r="L2203" s="2">
        <v>2.9</v>
      </c>
      <c r="M2203" s="4">
        <f t="shared" si="204"/>
        <v>17.1496062992126</v>
      </c>
      <c r="N2203" s="4">
        <f t="shared" si="205"/>
        <v>15.020689655172415</v>
      </c>
      <c r="O2203" s="5">
        <f t="shared" si="206"/>
        <v>0.13901345291479816</v>
      </c>
      <c r="P2203" s="5">
        <f t="shared" si="207"/>
        <v>0.1417322834645669</v>
      </c>
      <c r="Q2203" s="4">
        <f t="shared" si="208"/>
        <v>1.2336652273304551</v>
      </c>
      <c r="R2203" s="4">
        <f t="shared" si="209"/>
        <v>1.0597931034482762</v>
      </c>
      <c r="S2203" s="4">
        <v>15.4</v>
      </c>
      <c r="T2203" s="2">
        <v>1.2</v>
      </c>
      <c r="U2203" s="2">
        <v>46.89</v>
      </c>
      <c r="V2203" s="2">
        <v>21.78</v>
      </c>
      <c r="W2203" s="2">
        <v>-7.1</v>
      </c>
      <c r="X2203" s="2">
        <v>7.69</v>
      </c>
      <c r="Y2203" s="2">
        <v>28.95</v>
      </c>
      <c r="Z2203" s="2">
        <v>33.42</v>
      </c>
    </row>
    <row r="2204" spans="1:26" x14ac:dyDescent="0.25">
      <c r="A2204" s="1" t="s">
        <v>8924</v>
      </c>
      <c r="B2204" s="1" t="s">
        <v>8925</v>
      </c>
      <c r="C2204" s="1" t="s">
        <v>45</v>
      </c>
      <c r="D2204" s="1" t="s">
        <v>32</v>
      </c>
      <c r="E2204" s="1" t="s">
        <v>1607</v>
      </c>
      <c r="F2204" s="1" t="s">
        <v>8926</v>
      </c>
      <c r="G2204" s="1" t="s">
        <v>12480</v>
      </c>
      <c r="H2204" s="1" t="s">
        <v>12614</v>
      </c>
      <c r="I2204" s="2">
        <v>243.27</v>
      </c>
      <c r="J2204" s="2">
        <v>8.6999999999999993</v>
      </c>
      <c r="K2204" s="2"/>
      <c r="L2204" s="2"/>
      <c r="M2204" s="4" t="e">
        <f t="shared" si="204"/>
        <v>#DIV/0!</v>
      </c>
      <c r="N2204" s="4" t="e">
        <f t="shared" si="205"/>
        <v>#DIV/0!</v>
      </c>
      <c r="O2204" s="5">
        <f t="shared" si="206"/>
        <v>-1</v>
      </c>
      <c r="P2204" s="5" t="e">
        <f t="shared" si="207"/>
        <v>#DIV/0!</v>
      </c>
      <c r="Q2204" s="4" t="e">
        <f t="shared" si="208"/>
        <v>#DIV/0!</v>
      </c>
      <c r="R2204" s="4" t="e">
        <f t="shared" si="209"/>
        <v>#DIV/0!</v>
      </c>
      <c r="S2204" s="4">
        <v>12.74</v>
      </c>
      <c r="T2204" s="2">
        <v>0.76</v>
      </c>
      <c r="U2204" s="2">
        <v>280.41000000000003</v>
      </c>
      <c r="V2204" s="2">
        <v>120.05</v>
      </c>
      <c r="W2204" s="2" t="s">
        <v>12534</v>
      </c>
      <c r="X2204" s="2">
        <v>-11.27</v>
      </c>
      <c r="Y2204" s="2">
        <v>6.47</v>
      </c>
      <c r="Z2204" s="2">
        <v>17.690000000000001</v>
      </c>
    </row>
    <row r="2205" spans="1:26" x14ac:dyDescent="0.25">
      <c r="A2205" s="1" t="s">
        <v>8927</v>
      </c>
      <c r="B2205" s="1" t="s">
        <v>8928</v>
      </c>
      <c r="C2205" s="1" t="s">
        <v>45</v>
      </c>
      <c r="D2205" s="1" t="s">
        <v>18</v>
      </c>
      <c r="E2205" s="1" t="s">
        <v>594</v>
      </c>
      <c r="F2205" s="1" t="s">
        <v>8929</v>
      </c>
      <c r="G2205" s="1" t="s">
        <v>12480</v>
      </c>
      <c r="H2205" s="1" t="s">
        <v>8930</v>
      </c>
      <c r="I2205" s="2">
        <v>18.254999999999999</v>
      </c>
      <c r="J2205" s="2">
        <v>-1.08</v>
      </c>
      <c r="K2205" s="2">
        <v>-1.51</v>
      </c>
      <c r="L2205" s="2">
        <v>-1.7</v>
      </c>
      <c r="M2205" s="4">
        <f t="shared" si="204"/>
        <v>-12.089403973509933</v>
      </c>
      <c r="N2205" s="4">
        <f t="shared" si="205"/>
        <v>-10.738235294117647</v>
      </c>
      <c r="O2205" s="5">
        <f t="shared" si="206"/>
        <v>0.39814814814814814</v>
      </c>
      <c r="P2205" s="5">
        <f t="shared" si="207"/>
        <v>0.1258278145695364</v>
      </c>
      <c r="Q2205" s="4">
        <f t="shared" si="208"/>
        <v>-0.30364084398583086</v>
      </c>
      <c r="R2205" s="4">
        <f t="shared" si="209"/>
        <v>-0.85340712074303426</v>
      </c>
      <c r="S2205" s="4"/>
      <c r="T2205" s="2">
        <v>1.74</v>
      </c>
      <c r="U2205" s="2">
        <v>25.46</v>
      </c>
      <c r="V2205" s="2">
        <v>12.66</v>
      </c>
      <c r="W2205" s="2">
        <v>-3.16</v>
      </c>
      <c r="X2205" s="2">
        <v>-24.6</v>
      </c>
      <c r="Y2205" s="2">
        <v>29.19</v>
      </c>
      <c r="Z2205" s="2">
        <v>32.96</v>
      </c>
    </row>
    <row r="2206" spans="1:26" x14ac:dyDescent="0.25">
      <c r="A2206" s="1" t="s">
        <v>8932</v>
      </c>
      <c r="B2206" s="1" t="s">
        <v>8933</v>
      </c>
      <c r="C2206" s="1" t="s">
        <v>45</v>
      </c>
      <c r="D2206" s="1" t="s">
        <v>147</v>
      </c>
      <c r="E2206" s="1" t="s">
        <v>2000</v>
      </c>
      <c r="F2206" s="1" t="s">
        <v>8934</v>
      </c>
      <c r="G2206" s="1" t="s">
        <v>12480</v>
      </c>
      <c r="H2206" s="1" t="s">
        <v>8935</v>
      </c>
      <c r="I2206" s="2">
        <v>2.92</v>
      </c>
      <c r="J2206" s="2">
        <v>-0.55000000000000004</v>
      </c>
      <c r="K2206" s="2">
        <v>0.56999999999999995</v>
      </c>
      <c r="L2206" s="2">
        <v>0.69</v>
      </c>
      <c r="M2206" s="4">
        <f t="shared" si="204"/>
        <v>5.1228070175438596</v>
      </c>
      <c r="N2206" s="4">
        <f t="shared" si="205"/>
        <v>4.2318840579710146</v>
      </c>
      <c r="O2206" s="5">
        <f t="shared" si="206"/>
        <v>-2.0363636363636362</v>
      </c>
      <c r="P2206" s="5">
        <f t="shared" si="207"/>
        <v>0.21052631578947367</v>
      </c>
      <c r="Q2206" s="4">
        <f t="shared" si="208"/>
        <v>-2.5156641604010026E-2</v>
      </c>
      <c r="R2206" s="4">
        <f t="shared" si="209"/>
        <v>0.20101449275362321</v>
      </c>
      <c r="S2206" s="4">
        <v>8.08</v>
      </c>
      <c r="T2206" s="2">
        <v>0.85</v>
      </c>
      <c r="U2206" s="2">
        <v>5.44</v>
      </c>
      <c r="V2206" s="2">
        <v>2.74</v>
      </c>
      <c r="W2206" s="2">
        <v>5.04</v>
      </c>
      <c r="X2206" s="2">
        <v>-21.93</v>
      </c>
      <c r="Y2206" s="2">
        <v>-28.95</v>
      </c>
      <c r="Z2206" s="2">
        <v>-26.08</v>
      </c>
    </row>
    <row r="2207" spans="1:26" x14ac:dyDescent="0.25">
      <c r="A2207" s="1" t="s">
        <v>8936</v>
      </c>
      <c r="B2207" s="1" t="s">
        <v>8937</v>
      </c>
      <c r="C2207" s="1" t="s">
        <v>45</v>
      </c>
      <c r="D2207" s="1" t="s">
        <v>32</v>
      </c>
      <c r="E2207" s="1" t="s">
        <v>311</v>
      </c>
      <c r="F2207" s="1" t="s">
        <v>8938</v>
      </c>
      <c r="G2207" s="1" t="s">
        <v>12480</v>
      </c>
      <c r="H2207" s="1" t="s">
        <v>8939</v>
      </c>
      <c r="I2207" s="2">
        <v>156.43</v>
      </c>
      <c r="J2207" s="2">
        <v>0.75</v>
      </c>
      <c r="K2207" s="2">
        <v>1.31</v>
      </c>
      <c r="L2207" s="2">
        <v>1.9</v>
      </c>
      <c r="M2207" s="4">
        <f t="shared" si="204"/>
        <v>119.41221374045801</v>
      </c>
      <c r="N2207" s="4">
        <f t="shared" si="205"/>
        <v>82.331578947368428</v>
      </c>
      <c r="O2207" s="5">
        <f t="shared" si="206"/>
        <v>0.74666666666666681</v>
      </c>
      <c r="P2207" s="5">
        <f t="shared" si="207"/>
        <v>0.45038167938931295</v>
      </c>
      <c r="Q2207" s="4">
        <f t="shared" si="208"/>
        <v>1.5992707197382765</v>
      </c>
      <c r="R2207" s="4">
        <f t="shared" si="209"/>
        <v>1.8280401427297059</v>
      </c>
      <c r="S2207" s="4">
        <v>56.18</v>
      </c>
      <c r="T2207" s="2">
        <v>1.7</v>
      </c>
      <c r="U2207" s="2">
        <v>207.18</v>
      </c>
      <c r="V2207" s="2">
        <v>74.010000000000005</v>
      </c>
      <c r="W2207" s="2">
        <v>7.76</v>
      </c>
      <c r="X2207" s="2">
        <v>9.4600000000000009</v>
      </c>
      <c r="Y2207" s="2">
        <v>-14.64</v>
      </c>
      <c r="Z2207" s="2">
        <v>-11.99</v>
      </c>
    </row>
    <row r="2208" spans="1:26" x14ac:dyDescent="0.25">
      <c r="A2208" s="1" t="s">
        <v>8940</v>
      </c>
      <c r="B2208" s="1" t="s">
        <v>8941</v>
      </c>
      <c r="C2208" s="1" t="s">
        <v>45</v>
      </c>
      <c r="D2208" s="1" t="s">
        <v>32</v>
      </c>
      <c r="E2208" s="1" t="s">
        <v>1607</v>
      </c>
      <c r="F2208" s="1" t="s">
        <v>8942</v>
      </c>
      <c r="G2208" s="1" t="s">
        <v>12480</v>
      </c>
      <c r="H2208" s="1" t="s">
        <v>8943</v>
      </c>
      <c r="I2208" s="2">
        <v>2.1800000000000002</v>
      </c>
      <c r="J2208" s="2">
        <v>-1.42</v>
      </c>
      <c r="K2208" s="2">
        <v>-0.32</v>
      </c>
      <c r="L2208" s="2">
        <v>-0.21</v>
      </c>
      <c r="M2208" s="4">
        <f t="shared" si="204"/>
        <v>-6.8125</v>
      </c>
      <c r="N2208" s="4">
        <f t="shared" si="205"/>
        <v>-10.380952380952381</v>
      </c>
      <c r="O2208" s="5">
        <f t="shared" si="206"/>
        <v>-0.77464788732394363</v>
      </c>
      <c r="P2208" s="5">
        <f t="shared" si="207"/>
        <v>-0.34375</v>
      </c>
      <c r="Q2208" s="4">
        <f t="shared" si="208"/>
        <v>8.7943181818181823E-2</v>
      </c>
      <c r="R2208" s="4">
        <f t="shared" si="209"/>
        <v>0.30199134199134198</v>
      </c>
      <c r="S2208" s="4">
        <v>12.9</v>
      </c>
      <c r="T2208" s="2">
        <v>1.92</v>
      </c>
      <c r="U2208" s="2">
        <v>4.13</v>
      </c>
      <c r="V2208" s="2">
        <v>0.7</v>
      </c>
      <c r="W2208" s="2">
        <v>20.440000000000001</v>
      </c>
      <c r="X2208" s="2">
        <v>3.81</v>
      </c>
      <c r="Y2208" s="2">
        <v>-1.8</v>
      </c>
      <c r="Z2208" s="2">
        <v>10.66</v>
      </c>
    </row>
    <row r="2209" spans="1:26" x14ac:dyDescent="0.25">
      <c r="A2209" s="1" t="s">
        <v>8944</v>
      </c>
      <c r="B2209" s="1" t="s">
        <v>8945</v>
      </c>
      <c r="C2209" s="1" t="s">
        <v>45</v>
      </c>
      <c r="D2209" s="1" t="s">
        <v>32</v>
      </c>
      <c r="E2209" s="1" t="s">
        <v>8947</v>
      </c>
      <c r="F2209" s="1" t="s">
        <v>8946</v>
      </c>
      <c r="G2209" s="1" t="s">
        <v>12490</v>
      </c>
      <c r="H2209" s="1" t="s">
        <v>704</v>
      </c>
      <c r="I2209" s="2">
        <v>77.77</v>
      </c>
      <c r="J2209" s="2">
        <v>4.67</v>
      </c>
      <c r="K2209" s="2">
        <v>5.0199999999999996</v>
      </c>
      <c r="L2209" s="2">
        <v>5.46</v>
      </c>
      <c r="M2209" s="4">
        <f t="shared" si="204"/>
        <v>15.49203187250996</v>
      </c>
      <c r="N2209" s="4">
        <f t="shared" si="205"/>
        <v>14.243589743589743</v>
      </c>
      <c r="O2209" s="5">
        <f t="shared" si="206"/>
        <v>7.4946466809421741E-2</v>
      </c>
      <c r="P2209" s="5">
        <f t="shared" si="207"/>
        <v>8.7649402390438391E-2</v>
      </c>
      <c r="Q2209" s="4">
        <f t="shared" si="208"/>
        <v>2.0670796812749033</v>
      </c>
      <c r="R2209" s="4">
        <f t="shared" si="209"/>
        <v>1.6250641025640999</v>
      </c>
      <c r="S2209" s="4">
        <v>-7.03</v>
      </c>
      <c r="T2209" s="2" t="s">
        <v>12493</v>
      </c>
      <c r="U2209" s="2">
        <v>93.08</v>
      </c>
      <c r="V2209" s="2">
        <v>54.77</v>
      </c>
      <c r="W2209" s="2">
        <v>-2.11</v>
      </c>
      <c r="X2209" s="2">
        <v>-10.98</v>
      </c>
      <c r="Y2209" s="2">
        <v>-15.52</v>
      </c>
      <c r="Z2209" s="2">
        <v>-11.32</v>
      </c>
    </row>
    <row r="2210" spans="1:26" x14ac:dyDescent="0.25">
      <c r="A2210" s="1" t="s">
        <v>8948</v>
      </c>
      <c r="B2210" s="1" t="s">
        <v>8949</v>
      </c>
      <c r="C2210" s="1" t="s">
        <v>45</v>
      </c>
      <c r="D2210" s="1" t="s">
        <v>32</v>
      </c>
      <c r="E2210" s="1" t="s">
        <v>1666</v>
      </c>
      <c r="F2210" s="1" t="s">
        <v>8950</v>
      </c>
      <c r="G2210" s="1" t="s">
        <v>12485</v>
      </c>
      <c r="H2210" s="1" t="s">
        <v>6133</v>
      </c>
      <c r="I2210" s="2">
        <v>191.58</v>
      </c>
      <c r="J2210" s="2">
        <v>7.43</v>
      </c>
      <c r="K2210" s="2">
        <v>7.72</v>
      </c>
      <c r="L2210" s="2">
        <v>8.59</v>
      </c>
      <c r="M2210" s="4">
        <f t="shared" si="204"/>
        <v>24.816062176165804</v>
      </c>
      <c r="N2210" s="4">
        <f t="shared" si="205"/>
        <v>22.30267753201397</v>
      </c>
      <c r="O2210" s="5">
        <f t="shared" si="206"/>
        <v>3.9030955585464433E-2</v>
      </c>
      <c r="P2210" s="5">
        <f t="shared" si="207"/>
        <v>0.11269430051813467</v>
      </c>
      <c r="Q2210" s="4">
        <f t="shared" si="208"/>
        <v>6.3580462747900501</v>
      </c>
      <c r="R2210" s="4">
        <f t="shared" si="209"/>
        <v>1.9790421901971025</v>
      </c>
      <c r="S2210" s="4">
        <v>1.82</v>
      </c>
      <c r="T2210" s="2">
        <v>0.81</v>
      </c>
      <c r="U2210" s="2">
        <v>208.36</v>
      </c>
      <c r="V2210" s="2">
        <v>110.95</v>
      </c>
      <c r="W2210" s="2">
        <v>-1.78</v>
      </c>
      <c r="X2210" s="2">
        <v>-8.0500000000000007</v>
      </c>
      <c r="Y2210" s="2">
        <v>19.95</v>
      </c>
      <c r="Z2210" s="2">
        <v>30.33</v>
      </c>
    </row>
    <row r="2211" spans="1:26" x14ac:dyDescent="0.25">
      <c r="A2211" s="1" t="s">
        <v>8951</v>
      </c>
      <c r="B2211" s="1" t="s">
        <v>8952</v>
      </c>
      <c r="C2211" s="1" t="s">
        <v>16</v>
      </c>
      <c r="D2211" s="1" t="s">
        <v>128</v>
      </c>
      <c r="E2211" s="1" t="s">
        <v>2055</v>
      </c>
      <c r="F2211" s="1" t="s">
        <v>8953</v>
      </c>
      <c r="G2211" s="1" t="s">
        <v>12480</v>
      </c>
      <c r="H2211" s="1" t="s">
        <v>8954</v>
      </c>
      <c r="I2211" s="2">
        <v>173.25</v>
      </c>
      <c r="J2211" s="2">
        <v>7.54</v>
      </c>
      <c r="K2211" s="2">
        <v>8.4499999999999993</v>
      </c>
      <c r="L2211" s="2">
        <v>9.27</v>
      </c>
      <c r="M2211" s="4">
        <f t="shared" si="204"/>
        <v>20.502958579881657</v>
      </c>
      <c r="N2211" s="4">
        <f t="shared" si="205"/>
        <v>18.689320388349515</v>
      </c>
      <c r="O2211" s="5">
        <f t="shared" si="206"/>
        <v>0.1206896551724137</v>
      </c>
      <c r="P2211" s="5">
        <f t="shared" si="207"/>
        <v>9.7041420118343158E-2</v>
      </c>
      <c r="Q2211" s="4">
        <f t="shared" si="208"/>
        <v>1.6988165680473386</v>
      </c>
      <c r="R2211" s="4">
        <f t="shared" si="209"/>
        <v>1.9259116741652862</v>
      </c>
      <c r="S2211" s="4">
        <v>4.9400000000000004</v>
      </c>
      <c r="T2211" s="2">
        <v>0.38</v>
      </c>
      <c r="U2211" s="2">
        <v>189.8</v>
      </c>
      <c r="V2211" s="2">
        <v>144.33000000000001</v>
      </c>
      <c r="W2211" s="2">
        <v>-5.75</v>
      </c>
      <c r="X2211" s="2">
        <v>-4.72</v>
      </c>
      <c r="Y2211" s="2">
        <v>9.3699999999999992</v>
      </c>
      <c r="Z2211" s="2">
        <v>8.01</v>
      </c>
    </row>
    <row r="2212" spans="1:26" x14ac:dyDescent="0.25">
      <c r="A2212" s="1" t="s">
        <v>8955</v>
      </c>
      <c r="B2212" s="1" t="s">
        <v>8956</v>
      </c>
      <c r="C2212" s="1" t="s">
        <v>31</v>
      </c>
      <c r="D2212" s="1" t="s">
        <v>147</v>
      </c>
      <c r="E2212" s="1" t="s">
        <v>1073</v>
      </c>
      <c r="F2212" s="1" t="s">
        <v>8957</v>
      </c>
      <c r="G2212" s="1" t="s">
        <v>12480</v>
      </c>
      <c r="H2212" s="1" t="s">
        <v>8958</v>
      </c>
      <c r="I2212" s="2">
        <v>26.67</v>
      </c>
      <c r="J2212" s="2"/>
      <c r="K2212" s="2"/>
      <c r="L2212" s="2"/>
      <c r="M2212" s="4" t="e">
        <f t="shared" si="204"/>
        <v>#DIV/0!</v>
      </c>
      <c r="N2212" s="4" t="e">
        <f t="shared" si="205"/>
        <v>#DIV/0!</v>
      </c>
      <c r="O2212" s="5" t="e">
        <f t="shared" si="206"/>
        <v>#DIV/0!</v>
      </c>
      <c r="P2212" s="5" t="e">
        <f t="shared" si="207"/>
        <v>#DIV/0!</v>
      </c>
      <c r="Q2212" s="4" t="e">
        <f t="shared" si="208"/>
        <v>#DIV/0!</v>
      </c>
      <c r="R2212" s="4" t="e">
        <f t="shared" si="209"/>
        <v>#DIV/0!</v>
      </c>
      <c r="S2212" s="4"/>
      <c r="T2212" s="2"/>
      <c r="U2212" s="2" t="s">
        <v>12693</v>
      </c>
      <c r="V2212" s="2">
        <v>22.69</v>
      </c>
      <c r="W2212" s="2">
        <v>-7.46</v>
      </c>
      <c r="X2212" s="2">
        <v>-19.18</v>
      </c>
      <c r="Y2212" s="2">
        <v>9.59</v>
      </c>
      <c r="Z2212" s="2">
        <v>11.5</v>
      </c>
    </row>
    <row r="2213" spans="1:26" x14ac:dyDescent="0.25">
      <c r="A2213" s="1" t="s">
        <v>8959</v>
      </c>
      <c r="B2213" s="1" t="s">
        <v>8960</v>
      </c>
      <c r="C2213" s="1" t="s">
        <v>16</v>
      </c>
      <c r="D2213" s="1" t="s">
        <v>38</v>
      </c>
      <c r="E2213" s="1" t="s">
        <v>153</v>
      </c>
      <c r="F2213" s="1" t="s">
        <v>8961</v>
      </c>
      <c r="G2213" s="1" t="s">
        <v>12480</v>
      </c>
      <c r="H2213" s="1" t="s">
        <v>8962</v>
      </c>
      <c r="I2213" s="2">
        <v>11.87</v>
      </c>
      <c r="J2213" s="2">
        <v>0.99</v>
      </c>
      <c r="K2213" s="2">
        <v>1.53</v>
      </c>
      <c r="L2213" s="2">
        <v>1.62</v>
      </c>
      <c r="M2213" s="4">
        <f t="shared" si="204"/>
        <v>7.758169934640522</v>
      </c>
      <c r="N2213" s="4">
        <f t="shared" si="205"/>
        <v>7.3271604938271597</v>
      </c>
      <c r="O2213" s="5">
        <f t="shared" si="206"/>
        <v>0.54545454545454541</v>
      </c>
      <c r="P2213" s="5">
        <f t="shared" si="207"/>
        <v>5.8823529411764719E-2</v>
      </c>
      <c r="Q2213" s="4">
        <f t="shared" si="208"/>
        <v>0.14223311546840958</v>
      </c>
      <c r="R2213" s="4">
        <f t="shared" si="209"/>
        <v>1.2456172839506168</v>
      </c>
      <c r="S2213" s="4" t="s">
        <v>12599</v>
      </c>
      <c r="T2213" s="2">
        <v>1.25</v>
      </c>
      <c r="U2213" s="2">
        <v>14.77</v>
      </c>
      <c r="V2213" s="2">
        <v>11.65</v>
      </c>
      <c r="W2213" s="2">
        <v>-2.63</v>
      </c>
      <c r="X2213" s="2">
        <v>-2.14</v>
      </c>
      <c r="Y2213" s="2">
        <v>-6.17</v>
      </c>
      <c r="Z2213" s="2">
        <v>-5.42</v>
      </c>
    </row>
    <row r="2214" spans="1:26" x14ac:dyDescent="0.25">
      <c r="A2214" s="1" t="s">
        <v>8963</v>
      </c>
      <c r="B2214" s="1" t="s">
        <v>8964</v>
      </c>
      <c r="C2214" s="1" t="s">
        <v>16</v>
      </c>
      <c r="D2214" s="1" t="s">
        <v>38</v>
      </c>
      <c r="E2214" s="1" t="s">
        <v>1408</v>
      </c>
      <c r="F2214" s="1" t="s">
        <v>8965</v>
      </c>
      <c r="G2214" s="1" t="s">
        <v>12480</v>
      </c>
      <c r="H2214" s="1" t="s">
        <v>8966</v>
      </c>
      <c r="I2214" s="2">
        <v>205.34</v>
      </c>
      <c r="J2214" s="2">
        <v>16.59</v>
      </c>
      <c r="K2214" s="2">
        <v>18.38</v>
      </c>
      <c r="L2214" s="2">
        <v>20.57</v>
      </c>
      <c r="M2214" s="4">
        <f t="shared" si="204"/>
        <v>11.171926006528837</v>
      </c>
      <c r="N2214" s="4">
        <f t="shared" si="205"/>
        <v>9.9824987846378228</v>
      </c>
      <c r="O2214" s="5">
        <f t="shared" si="206"/>
        <v>0.10789632308619646</v>
      </c>
      <c r="P2214" s="5">
        <f t="shared" si="207"/>
        <v>0.11915125136017424</v>
      </c>
      <c r="Q2214" s="4">
        <f t="shared" si="208"/>
        <v>1.0354315779235392</v>
      </c>
      <c r="R2214" s="4">
        <f t="shared" si="209"/>
        <v>0.83780058292987669</v>
      </c>
      <c r="S2214" s="4">
        <v>-1.29</v>
      </c>
      <c r="T2214" s="2">
        <v>0.98</v>
      </c>
      <c r="U2214" s="2">
        <v>242.48</v>
      </c>
      <c r="V2214" s="2">
        <v>149.76</v>
      </c>
      <c r="W2214" s="2">
        <v>-4.1500000000000004</v>
      </c>
      <c r="X2214" s="2">
        <v>-14.78</v>
      </c>
      <c r="Y2214" s="2">
        <v>-2.63</v>
      </c>
      <c r="Z2214" s="2">
        <v>-1.62</v>
      </c>
    </row>
    <row r="2215" spans="1:26" x14ac:dyDescent="0.25">
      <c r="A2215" s="1" t="s">
        <v>8967</v>
      </c>
      <c r="B2215" s="1" t="s">
        <v>8968</v>
      </c>
      <c r="C2215" s="1" t="s">
        <v>16</v>
      </c>
      <c r="D2215" s="1" t="s">
        <v>38</v>
      </c>
      <c r="E2215" s="1" t="s">
        <v>119</v>
      </c>
      <c r="F2215" s="1" t="s">
        <v>8969</v>
      </c>
      <c r="G2215" s="1" t="s">
        <v>12480</v>
      </c>
      <c r="H2215" s="1" t="s">
        <v>4879</v>
      </c>
      <c r="I2215" s="2">
        <v>87.29</v>
      </c>
      <c r="J2215" s="2">
        <v>8.3699999999999992</v>
      </c>
      <c r="K2215" s="2">
        <v>10.220000000000001</v>
      </c>
      <c r="L2215" s="2">
        <v>11.79</v>
      </c>
      <c r="M2215" s="4">
        <f t="shared" si="204"/>
        <v>8.5410958904109595</v>
      </c>
      <c r="N2215" s="4">
        <f t="shared" si="205"/>
        <v>7.4037319762510609</v>
      </c>
      <c r="O2215" s="5">
        <f t="shared" si="206"/>
        <v>0.22102747909199549</v>
      </c>
      <c r="P2215" s="5">
        <f t="shared" si="207"/>
        <v>0.15362035225048909</v>
      </c>
      <c r="Q2215" s="4">
        <f t="shared" si="208"/>
        <v>0.38642687893372779</v>
      </c>
      <c r="R2215" s="4">
        <f t="shared" si="209"/>
        <v>0.48194994138398667</v>
      </c>
      <c r="S2215" s="4">
        <v>8.1300000000000008</v>
      </c>
      <c r="T2215" s="2">
        <v>1.02</v>
      </c>
      <c r="U2215" s="2">
        <v>119.63</v>
      </c>
      <c r="V2215" s="2">
        <v>84.38</v>
      </c>
      <c r="W2215" s="2">
        <v>-5.81</v>
      </c>
      <c r="X2215" s="2">
        <v>-13.8</v>
      </c>
      <c r="Y2215" s="2">
        <v>-13.08</v>
      </c>
      <c r="Z2215" s="2">
        <v>-8.51</v>
      </c>
    </row>
    <row r="2216" spans="1:26" x14ac:dyDescent="0.25">
      <c r="A2216" s="1" t="s">
        <v>8970</v>
      </c>
      <c r="B2216" s="1" t="s">
        <v>8971</v>
      </c>
      <c r="C2216" s="1" t="s">
        <v>31</v>
      </c>
      <c r="D2216" s="1" t="s">
        <v>38</v>
      </c>
      <c r="E2216" s="1" t="s">
        <v>254</v>
      </c>
      <c r="F2216" s="1" t="s">
        <v>8972</v>
      </c>
      <c r="G2216" s="1" t="s">
        <v>12480</v>
      </c>
      <c r="H2216" s="1" t="s">
        <v>8973</v>
      </c>
      <c r="I2216" s="2">
        <v>16.350000000000001</v>
      </c>
      <c r="J2216" s="2">
        <v>1.95</v>
      </c>
      <c r="K2216" s="2">
        <v>2.4500000000000002</v>
      </c>
      <c r="L2216" s="2">
        <v>2.66</v>
      </c>
      <c r="M2216" s="4">
        <f t="shared" si="204"/>
        <v>6.6734693877551026</v>
      </c>
      <c r="N2216" s="4">
        <f t="shared" si="205"/>
        <v>6.1466165413533833</v>
      </c>
      <c r="O2216" s="5">
        <f t="shared" si="206"/>
        <v>0.25641025641025661</v>
      </c>
      <c r="P2216" s="5">
        <f t="shared" si="207"/>
        <v>8.5714285714285632E-2</v>
      </c>
      <c r="Q2216" s="4">
        <f t="shared" si="208"/>
        <v>0.2602653061224488</v>
      </c>
      <c r="R2216" s="4">
        <f t="shared" si="209"/>
        <v>0.71710526315789547</v>
      </c>
      <c r="S2216" s="4">
        <v>8.75</v>
      </c>
      <c r="T2216" s="2">
        <v>0.24</v>
      </c>
      <c r="U2216" s="2">
        <v>18.88</v>
      </c>
      <c r="V2216" s="2">
        <v>9.99</v>
      </c>
      <c r="W2216" s="2">
        <v>-4.2699999999999996</v>
      </c>
      <c r="X2216" s="2">
        <v>-13.36</v>
      </c>
      <c r="Y2216" s="2">
        <v>-2.15</v>
      </c>
      <c r="Z2216" s="2">
        <v>-2.56</v>
      </c>
    </row>
    <row r="2217" spans="1:26" x14ac:dyDescent="0.25">
      <c r="A2217" s="1" t="s">
        <v>8974</v>
      </c>
      <c r="B2217" s="1" t="s">
        <v>8975</v>
      </c>
      <c r="C2217" s="1" t="s">
        <v>16</v>
      </c>
      <c r="D2217" s="1" t="s">
        <v>140</v>
      </c>
      <c r="E2217" s="1" t="s">
        <v>2558</v>
      </c>
      <c r="F2217" s="1" t="s">
        <v>8976</v>
      </c>
      <c r="G2217" s="1" t="s">
        <v>12480</v>
      </c>
      <c r="H2217" s="1" t="s">
        <v>8977</v>
      </c>
      <c r="I2217" s="2">
        <v>92.2</v>
      </c>
      <c r="J2217" s="2">
        <v>4.92</v>
      </c>
      <c r="K2217" s="2">
        <v>5.33</v>
      </c>
      <c r="L2217" s="2">
        <v>5.86</v>
      </c>
      <c r="M2217" s="4">
        <f t="shared" si="204"/>
        <v>17.29831144465291</v>
      </c>
      <c r="N2217" s="4">
        <f t="shared" si="205"/>
        <v>15.733788395904437</v>
      </c>
      <c r="O2217" s="5">
        <f t="shared" si="206"/>
        <v>8.3333333333333259E-2</v>
      </c>
      <c r="P2217" s="5">
        <f t="shared" si="207"/>
        <v>9.9437148217636162E-2</v>
      </c>
      <c r="Q2217" s="4">
        <f t="shared" si="208"/>
        <v>2.0757973733583515</v>
      </c>
      <c r="R2217" s="4">
        <f t="shared" si="209"/>
        <v>1.5822847575503873</v>
      </c>
      <c r="S2217" s="4">
        <v>2.2799999999999998</v>
      </c>
      <c r="T2217" s="2">
        <v>1.23</v>
      </c>
      <c r="U2217" s="2">
        <v>112.59</v>
      </c>
      <c r="V2217" s="2">
        <v>76.17</v>
      </c>
      <c r="W2217" s="2">
        <v>-6.03</v>
      </c>
      <c r="X2217" s="2">
        <v>-5.46</v>
      </c>
      <c r="Y2217" s="2">
        <v>-12.22</v>
      </c>
      <c r="Z2217" s="2">
        <v>-11.47</v>
      </c>
    </row>
    <row r="2218" spans="1:26" x14ac:dyDescent="0.25">
      <c r="A2218" s="1" t="s">
        <v>8978</v>
      </c>
      <c r="B2218" s="1" t="s">
        <v>8979</v>
      </c>
      <c r="C2218" s="1" t="s">
        <v>45</v>
      </c>
      <c r="D2218" s="1" t="s">
        <v>18</v>
      </c>
      <c r="E2218" s="1" t="s">
        <v>336</v>
      </c>
      <c r="F2218" s="1" t="s">
        <v>8980</v>
      </c>
      <c r="G2218" s="1" t="s">
        <v>12480</v>
      </c>
      <c r="H2218" s="1" t="s">
        <v>8981</v>
      </c>
      <c r="I2218" s="2">
        <v>34.44</v>
      </c>
      <c r="J2218" s="2">
        <v>1.18</v>
      </c>
      <c r="K2218" s="2">
        <v>1.3</v>
      </c>
      <c r="L2218" s="2">
        <v>1.57</v>
      </c>
      <c r="M2218" s="4">
        <f t="shared" si="204"/>
        <v>26.492307692307691</v>
      </c>
      <c r="N2218" s="4">
        <f t="shared" si="205"/>
        <v>21.936305732484072</v>
      </c>
      <c r="O2218" s="5">
        <f t="shared" si="206"/>
        <v>0.10169491525423746</v>
      </c>
      <c r="P2218" s="5">
        <f t="shared" si="207"/>
        <v>0.20769230769230762</v>
      </c>
      <c r="Q2218" s="4">
        <f t="shared" si="208"/>
        <v>2.6050769230769184</v>
      </c>
      <c r="R2218" s="4">
        <f t="shared" si="209"/>
        <v>1.0561924982307149</v>
      </c>
      <c r="S2218" s="4">
        <v>36.31</v>
      </c>
      <c r="T2218" s="2">
        <v>1.23</v>
      </c>
      <c r="U2218" s="2">
        <v>34.44</v>
      </c>
      <c r="V2218" s="2">
        <v>22.07</v>
      </c>
      <c r="W2218" s="2">
        <v>1.83</v>
      </c>
      <c r="X2218" s="2">
        <v>11.82</v>
      </c>
      <c r="Y2218" s="2">
        <v>15.84</v>
      </c>
      <c r="Z2218" s="2">
        <v>22.34</v>
      </c>
    </row>
    <row r="2219" spans="1:26" x14ac:dyDescent="0.25">
      <c r="A2219" s="1" t="s">
        <v>8982</v>
      </c>
      <c r="B2219" s="1" t="s">
        <v>8983</v>
      </c>
      <c r="C2219" s="1" t="s">
        <v>16</v>
      </c>
      <c r="D2219" s="1" t="s">
        <v>354</v>
      </c>
      <c r="E2219" s="1" t="s">
        <v>355</v>
      </c>
      <c r="F2219" s="1" t="s">
        <v>8984</v>
      </c>
      <c r="G2219" s="1" t="s">
        <v>12480</v>
      </c>
      <c r="H2219" s="1" t="s">
        <v>8985</v>
      </c>
      <c r="I2219" s="2">
        <v>101.28</v>
      </c>
      <c r="J2219" s="2">
        <v>5.05</v>
      </c>
      <c r="K2219" s="2">
        <v>4.7</v>
      </c>
      <c r="L2219" s="2">
        <v>5.63</v>
      </c>
      <c r="M2219" s="4">
        <f t="shared" si="204"/>
        <v>21.548936170212766</v>
      </c>
      <c r="N2219" s="4">
        <f t="shared" si="205"/>
        <v>17.989342806394315</v>
      </c>
      <c r="O2219" s="5">
        <f t="shared" si="206"/>
        <v>-6.9306930693069257E-2</v>
      </c>
      <c r="P2219" s="5">
        <f t="shared" si="207"/>
        <v>0.19787234042553181</v>
      </c>
      <c r="Q2219" s="4">
        <f t="shared" si="208"/>
        <v>-3.1092036474164155</v>
      </c>
      <c r="R2219" s="4">
        <f t="shared" si="209"/>
        <v>0.90913883000057349</v>
      </c>
      <c r="S2219" s="4">
        <v>4.2</v>
      </c>
      <c r="T2219" s="2">
        <v>0.54</v>
      </c>
      <c r="U2219" s="2">
        <v>102.99</v>
      </c>
      <c r="V2219" s="2">
        <v>85.87</v>
      </c>
      <c r="W2219" s="2">
        <v>0.75</v>
      </c>
      <c r="X2219" s="2">
        <v>8.77</v>
      </c>
      <c r="Y2219" s="2">
        <v>14.61</v>
      </c>
      <c r="Z2219" s="2">
        <v>14.18</v>
      </c>
    </row>
    <row r="2220" spans="1:26" x14ac:dyDescent="0.25">
      <c r="A2220" s="1" t="s">
        <v>8986</v>
      </c>
      <c r="B2220" s="1" t="s">
        <v>8987</v>
      </c>
      <c r="C2220" s="1" t="s">
        <v>45</v>
      </c>
      <c r="D2220" s="1" t="s">
        <v>18</v>
      </c>
      <c r="E2220" s="1" t="s">
        <v>19</v>
      </c>
      <c r="F2220" s="1" t="s">
        <v>8988</v>
      </c>
      <c r="G2220" s="1" t="s">
        <v>12480</v>
      </c>
      <c r="H2220" s="1" t="s">
        <v>8989</v>
      </c>
      <c r="I2220" s="2">
        <v>240.38</v>
      </c>
      <c r="J2220" s="2">
        <v>4.97</v>
      </c>
      <c r="K2220" s="2">
        <v>6.18</v>
      </c>
      <c r="L2220" s="2">
        <v>7.85</v>
      </c>
      <c r="M2220" s="4">
        <f t="shared" si="204"/>
        <v>38.896440129449836</v>
      </c>
      <c r="N2220" s="4">
        <f t="shared" si="205"/>
        <v>30.621656050955416</v>
      </c>
      <c r="O2220" s="5">
        <f t="shared" si="206"/>
        <v>0.24346076458752508</v>
      </c>
      <c r="P2220" s="5">
        <f t="shared" si="207"/>
        <v>0.27022653721682843</v>
      </c>
      <c r="Q2220" s="4">
        <f t="shared" si="208"/>
        <v>1.5976471689534359</v>
      </c>
      <c r="R2220" s="4">
        <f t="shared" si="209"/>
        <v>1.1331846370952365</v>
      </c>
      <c r="S2220" s="4">
        <v>30.73</v>
      </c>
      <c r="T2220" s="2">
        <v>1.42</v>
      </c>
      <c r="U2220" s="2">
        <v>352.82</v>
      </c>
      <c r="V2220" s="2">
        <v>237.01</v>
      </c>
      <c r="W2220" s="2">
        <v>-2.0699999999999998</v>
      </c>
      <c r="X2220" s="2">
        <v>-2.11</v>
      </c>
      <c r="Y2220" s="2">
        <v>-17.54</v>
      </c>
      <c r="Z2220" s="2">
        <v>-15.43</v>
      </c>
    </row>
    <row r="2221" spans="1:26" x14ac:dyDescent="0.25">
      <c r="A2221" s="1" t="s">
        <v>8990</v>
      </c>
      <c r="B2221" s="1" t="s">
        <v>8991</v>
      </c>
      <c r="C2221" s="1" t="s">
        <v>45</v>
      </c>
      <c r="D2221" s="1" t="s">
        <v>46</v>
      </c>
      <c r="E2221" s="1" t="s">
        <v>391</v>
      </c>
      <c r="F2221" s="1" t="s">
        <v>8992</v>
      </c>
      <c r="G2221" s="1" t="s">
        <v>12480</v>
      </c>
      <c r="H2221" s="1" t="s">
        <v>8993</v>
      </c>
      <c r="I2221" s="2">
        <v>12.87</v>
      </c>
      <c r="J2221" s="2">
        <v>-1.34</v>
      </c>
      <c r="K2221" s="2">
        <v>-0.11</v>
      </c>
      <c r="L2221" s="2"/>
      <c r="M2221" s="4">
        <f t="shared" si="204"/>
        <v>-116.99999999999999</v>
      </c>
      <c r="N2221" s="4" t="e">
        <f t="shared" si="205"/>
        <v>#DIV/0!</v>
      </c>
      <c r="O2221" s="5">
        <f t="shared" si="206"/>
        <v>-0.91791044776119401</v>
      </c>
      <c r="P2221" s="5">
        <f t="shared" si="207"/>
        <v>-1</v>
      </c>
      <c r="Q2221" s="4">
        <f t="shared" si="208"/>
        <v>1.2746341463414632</v>
      </c>
      <c r="R2221" s="4" t="e">
        <f t="shared" si="209"/>
        <v>#DIV/0!</v>
      </c>
      <c r="S2221" s="4">
        <v>4.3499999999999996</v>
      </c>
      <c r="T2221" s="2">
        <v>6.26</v>
      </c>
      <c r="U2221" s="2">
        <v>24.06</v>
      </c>
      <c r="V2221" s="2">
        <v>4.16</v>
      </c>
      <c r="W2221" s="2">
        <v>-7.87</v>
      </c>
      <c r="X2221" s="2">
        <v>-13.1</v>
      </c>
      <c r="Y2221" s="2">
        <v>-5.37</v>
      </c>
      <c r="Z2221" s="2">
        <v>-11.24</v>
      </c>
    </row>
    <row r="2222" spans="1:26" x14ac:dyDescent="0.25">
      <c r="A2222" s="1" t="s">
        <v>8994</v>
      </c>
      <c r="B2222" s="1" t="s">
        <v>8995</v>
      </c>
      <c r="C2222" s="1" t="s">
        <v>45</v>
      </c>
      <c r="D2222" s="1" t="s">
        <v>147</v>
      </c>
      <c r="E2222" s="1" t="s">
        <v>1073</v>
      </c>
      <c r="F2222" s="1" t="s">
        <v>8996</v>
      </c>
      <c r="G2222" s="1" t="s">
        <v>12480</v>
      </c>
      <c r="H2222" s="1" t="s">
        <v>8997</v>
      </c>
      <c r="I2222" s="2">
        <v>214.52</v>
      </c>
      <c r="J2222" s="2">
        <v>10.73</v>
      </c>
      <c r="K2222" s="2">
        <v>11.09</v>
      </c>
      <c r="L2222" s="2">
        <v>12.09</v>
      </c>
      <c r="M2222" s="4">
        <f t="shared" si="204"/>
        <v>19.343552750225431</v>
      </c>
      <c r="N2222" s="4">
        <f t="shared" si="205"/>
        <v>17.743589743589745</v>
      </c>
      <c r="O2222" s="5">
        <f t="shared" si="206"/>
        <v>3.3550792171481714E-2</v>
      </c>
      <c r="P2222" s="5">
        <f t="shared" si="207"/>
        <v>9.0171325518485057E-2</v>
      </c>
      <c r="Q2222" s="4">
        <f t="shared" si="208"/>
        <v>5.7654533613866548</v>
      </c>
      <c r="R2222" s="4">
        <f t="shared" si="209"/>
        <v>1.9677641025641042</v>
      </c>
      <c r="S2222" s="4">
        <v>-0.41</v>
      </c>
      <c r="T2222" s="2">
        <v>1.25</v>
      </c>
      <c r="U2222" s="2">
        <v>364.31</v>
      </c>
      <c r="V2222" s="2">
        <v>213.66</v>
      </c>
      <c r="W2222" s="2">
        <v>-3.37</v>
      </c>
      <c r="X2222" s="2">
        <v>-18.3</v>
      </c>
      <c r="Y2222" s="2">
        <v>-9.99</v>
      </c>
      <c r="Z2222" s="2">
        <v>-6.22</v>
      </c>
    </row>
    <row r="2223" spans="1:26" x14ac:dyDescent="0.25">
      <c r="A2223" s="1" t="s">
        <v>8998</v>
      </c>
      <c r="B2223" s="1" t="s">
        <v>8999</v>
      </c>
      <c r="C2223" s="1" t="s">
        <v>16</v>
      </c>
      <c r="D2223" s="1" t="s">
        <v>354</v>
      </c>
      <c r="E2223" s="1" t="s">
        <v>355</v>
      </c>
      <c r="F2223" s="1" t="s">
        <v>9000</v>
      </c>
      <c r="G2223" s="1" t="s">
        <v>12480</v>
      </c>
      <c r="H2223" s="1" t="s">
        <v>9001</v>
      </c>
      <c r="I2223" s="2">
        <v>52.91</v>
      </c>
      <c r="J2223" s="2">
        <v>3.05</v>
      </c>
      <c r="K2223" s="2">
        <v>3.4</v>
      </c>
      <c r="L2223" s="2">
        <v>3.59</v>
      </c>
      <c r="M2223" s="4">
        <f t="shared" si="204"/>
        <v>15.561764705882352</v>
      </c>
      <c r="N2223" s="4">
        <f t="shared" si="205"/>
        <v>14.73816155988858</v>
      </c>
      <c r="O2223" s="5">
        <f t="shared" si="206"/>
        <v>0.11475409836065587</v>
      </c>
      <c r="P2223" s="5">
        <f t="shared" si="207"/>
        <v>5.5882352941176494E-2</v>
      </c>
      <c r="Q2223" s="4">
        <f t="shared" si="208"/>
        <v>1.3560966386554605</v>
      </c>
      <c r="R2223" s="4">
        <f t="shared" si="209"/>
        <v>2.6373552265063762</v>
      </c>
      <c r="S2223" s="4">
        <v>3.95</v>
      </c>
      <c r="T2223" s="2">
        <v>0.66</v>
      </c>
      <c r="U2223" s="2">
        <v>54.17</v>
      </c>
      <c r="V2223" s="2">
        <v>39.729999999999997</v>
      </c>
      <c r="W2223" s="2">
        <v>-1.98</v>
      </c>
      <c r="X2223" s="2">
        <v>4.59</v>
      </c>
      <c r="Y2223" s="2">
        <v>7.37</v>
      </c>
      <c r="Z2223" s="2">
        <v>10.25</v>
      </c>
    </row>
    <row r="2224" spans="1:26" x14ac:dyDescent="0.25">
      <c r="A2224" s="1" t="s">
        <v>9002</v>
      </c>
      <c r="B2224" s="1" t="s">
        <v>9003</v>
      </c>
      <c r="C2224" s="1" t="s">
        <v>31</v>
      </c>
      <c r="D2224" s="1" t="s">
        <v>128</v>
      </c>
      <c r="E2224" s="1" t="s">
        <v>2974</v>
      </c>
      <c r="F2224" s="1" t="s">
        <v>9004</v>
      </c>
      <c r="G2224" s="1" t="s">
        <v>12480</v>
      </c>
      <c r="H2224" s="1" t="s">
        <v>9005</v>
      </c>
      <c r="I2224" s="2">
        <v>8.6999999999999993</v>
      </c>
      <c r="J2224" s="2">
        <v>0.4</v>
      </c>
      <c r="K2224" s="2"/>
      <c r="L2224" s="2"/>
      <c r="M2224" s="4" t="e">
        <f t="shared" si="204"/>
        <v>#DIV/0!</v>
      </c>
      <c r="N2224" s="4" t="e">
        <f t="shared" si="205"/>
        <v>#DIV/0!</v>
      </c>
      <c r="O2224" s="5">
        <f t="shared" si="206"/>
        <v>-1</v>
      </c>
      <c r="P2224" s="5" t="e">
        <f t="shared" si="207"/>
        <v>#DIV/0!</v>
      </c>
      <c r="Q2224" s="4" t="e">
        <f t="shared" si="208"/>
        <v>#DIV/0!</v>
      </c>
      <c r="R2224" s="4" t="e">
        <f t="shared" si="209"/>
        <v>#DIV/0!</v>
      </c>
      <c r="S2224" s="4">
        <v>1.0900000000000001</v>
      </c>
      <c r="T2224" s="2">
        <v>0.18</v>
      </c>
      <c r="U2224" s="2">
        <v>9.9499999999999993</v>
      </c>
      <c r="V2224" s="2">
        <v>8.6999999999999993</v>
      </c>
      <c r="W2224" s="2" t="s">
        <v>12489</v>
      </c>
      <c r="X2224" s="2" t="s">
        <v>12489</v>
      </c>
      <c r="Y2224" s="2">
        <v>-4.4000000000000004</v>
      </c>
      <c r="Z2224" s="2">
        <v>-4.4000000000000004</v>
      </c>
    </row>
    <row r="2225" spans="1:26" x14ac:dyDescent="0.25">
      <c r="A2225" s="1" t="s">
        <v>9006</v>
      </c>
      <c r="B2225" s="1" t="s">
        <v>9007</v>
      </c>
      <c r="C2225" s="1" t="s">
        <v>16</v>
      </c>
      <c r="D2225" s="1" t="s">
        <v>128</v>
      </c>
      <c r="E2225" s="1" t="s">
        <v>556</v>
      </c>
      <c r="F2225" s="1" t="s">
        <v>9008</v>
      </c>
      <c r="G2225" s="1" t="s">
        <v>12485</v>
      </c>
      <c r="H2225" s="1" t="s">
        <v>9009</v>
      </c>
      <c r="I2225" s="2">
        <v>105.43</v>
      </c>
      <c r="J2225" s="2">
        <v>7.23</v>
      </c>
      <c r="K2225" s="2">
        <v>7.24</v>
      </c>
      <c r="L2225" s="2">
        <v>8.5399999999999991</v>
      </c>
      <c r="M2225" s="4">
        <f t="shared" si="204"/>
        <v>14.562154696132596</v>
      </c>
      <c r="N2225" s="4">
        <f t="shared" si="205"/>
        <v>12.345433255269322</v>
      </c>
      <c r="O2225" s="5">
        <f t="shared" si="206"/>
        <v>1.3831258644536604E-3</v>
      </c>
      <c r="P2225" s="5">
        <f t="shared" si="207"/>
        <v>0.17955801104972369</v>
      </c>
      <c r="Q2225" s="4">
        <f t="shared" si="208"/>
        <v>105.28437845303905</v>
      </c>
      <c r="R2225" s="4">
        <f t="shared" si="209"/>
        <v>0.68754566744730705</v>
      </c>
      <c r="S2225" s="4">
        <v>2.97</v>
      </c>
      <c r="T2225" s="2">
        <v>0.43</v>
      </c>
      <c r="U2225" s="2">
        <v>118.46</v>
      </c>
      <c r="V2225" s="2" t="s">
        <v>12679</v>
      </c>
      <c r="W2225" s="2">
        <v>-1.1399999999999999</v>
      </c>
      <c r="X2225" s="2">
        <v>-7.47</v>
      </c>
      <c r="Y2225" s="2">
        <v>6.7</v>
      </c>
      <c r="Z2225" s="2">
        <v>6.44</v>
      </c>
    </row>
    <row r="2226" spans="1:26" x14ac:dyDescent="0.25">
      <c r="A2226" s="1" t="s">
        <v>9010</v>
      </c>
      <c r="B2226" s="1" t="s">
        <v>9011</v>
      </c>
      <c r="C2226" s="1" t="s">
        <v>45</v>
      </c>
      <c r="D2226" s="1" t="s">
        <v>32</v>
      </c>
      <c r="E2226" s="1" t="s">
        <v>9013</v>
      </c>
      <c r="F2226" s="1" t="s">
        <v>9012</v>
      </c>
      <c r="G2226" s="1" t="s">
        <v>12480</v>
      </c>
      <c r="H2226" s="1" t="s">
        <v>9014</v>
      </c>
      <c r="I2226" s="2">
        <v>47.15</v>
      </c>
      <c r="J2226" s="2">
        <v>1.25</v>
      </c>
      <c r="K2226" s="2">
        <v>1.23</v>
      </c>
      <c r="L2226" s="2">
        <v>1.67</v>
      </c>
      <c r="M2226" s="4">
        <f t="shared" si="204"/>
        <v>38.333333333333336</v>
      </c>
      <c r="N2226" s="4">
        <f t="shared" si="205"/>
        <v>28.233532934131738</v>
      </c>
      <c r="O2226" s="5">
        <f t="shared" si="206"/>
        <v>-1.6000000000000014E-2</v>
      </c>
      <c r="P2226" s="5">
        <f t="shared" si="207"/>
        <v>0.35772357723577231</v>
      </c>
      <c r="Q2226" s="4">
        <f t="shared" si="208"/>
        <v>-23.958333333333314</v>
      </c>
      <c r="R2226" s="4">
        <f t="shared" si="209"/>
        <v>0.78925557974959193</v>
      </c>
      <c r="S2226" s="4">
        <v>5.86</v>
      </c>
      <c r="T2226" s="2">
        <v>1.34</v>
      </c>
      <c r="U2226" s="2">
        <v>62.78</v>
      </c>
      <c r="V2226" s="2">
        <v>30.92</v>
      </c>
      <c r="W2226" s="2">
        <v>-6.15</v>
      </c>
      <c r="X2226" s="2">
        <v>2.97</v>
      </c>
      <c r="Y2226" s="2">
        <v>29.75</v>
      </c>
      <c r="Z2226" s="2">
        <v>32.67</v>
      </c>
    </row>
    <row r="2227" spans="1:26" x14ac:dyDescent="0.25">
      <c r="A2227" s="1" t="s">
        <v>9015</v>
      </c>
      <c r="B2227" s="1" t="s">
        <v>9016</v>
      </c>
      <c r="C2227" s="1" t="s">
        <v>45</v>
      </c>
      <c r="D2227" s="1" t="s">
        <v>25</v>
      </c>
      <c r="E2227" s="1" t="s">
        <v>106</v>
      </c>
      <c r="F2227" s="1" t="s">
        <v>9017</v>
      </c>
      <c r="G2227" s="1" t="s">
        <v>12485</v>
      </c>
      <c r="H2227" s="1" t="s">
        <v>12554</v>
      </c>
      <c r="I2227" s="2">
        <v>520.09</v>
      </c>
      <c r="J2227" s="2">
        <v>14.86</v>
      </c>
      <c r="K2227" s="2">
        <v>15.97</v>
      </c>
      <c r="L2227" s="2">
        <v>16.36</v>
      </c>
      <c r="M2227" s="4">
        <f t="shared" si="204"/>
        <v>32.566687539135877</v>
      </c>
      <c r="N2227" s="4">
        <f t="shared" si="205"/>
        <v>31.790342298288511</v>
      </c>
      <c r="O2227" s="5">
        <f t="shared" si="206"/>
        <v>7.469717362045758E-2</v>
      </c>
      <c r="P2227" s="5">
        <f t="shared" si="207"/>
        <v>2.4420788979336194E-2</v>
      </c>
      <c r="Q2227" s="4">
        <f t="shared" si="208"/>
        <v>4.3598286201041381</v>
      </c>
      <c r="R2227" s="4">
        <f t="shared" si="209"/>
        <v>13.017737602658174</v>
      </c>
      <c r="S2227" s="4">
        <v>9.08</v>
      </c>
      <c r="T2227" s="2">
        <v>0.82</v>
      </c>
      <c r="U2227" s="2">
        <v>592.9</v>
      </c>
      <c r="V2227" s="2">
        <v>157.36000000000001</v>
      </c>
      <c r="W2227" s="2">
        <v>-2.33</v>
      </c>
      <c r="X2227" s="2">
        <v>-7.44</v>
      </c>
      <c r="Y2227" s="2">
        <v>58.59</v>
      </c>
      <c r="Z2227" s="2">
        <v>63.15</v>
      </c>
    </row>
    <row r="2228" spans="1:26" x14ac:dyDescent="0.25">
      <c r="A2228" s="1" t="s">
        <v>9018</v>
      </c>
      <c r="B2228" s="1" t="s">
        <v>9019</v>
      </c>
      <c r="C2228" s="1" t="s">
        <v>45</v>
      </c>
      <c r="D2228" s="1" t="s">
        <v>128</v>
      </c>
      <c r="E2228" s="1" t="s">
        <v>5662</v>
      </c>
      <c r="F2228" s="1" t="s">
        <v>9020</v>
      </c>
      <c r="G2228" s="1" t="s">
        <v>12480</v>
      </c>
      <c r="H2228" s="1" t="s">
        <v>9021</v>
      </c>
      <c r="I2228" s="2">
        <v>39.729999999999997</v>
      </c>
      <c r="J2228" s="2">
        <v>5.17</v>
      </c>
      <c r="K2228" s="2">
        <v>4.3</v>
      </c>
      <c r="L2228" s="2">
        <v>4.09</v>
      </c>
      <c r="M2228" s="4">
        <f t="shared" si="204"/>
        <v>9.2395348837209301</v>
      </c>
      <c r="N2228" s="4">
        <f t="shared" si="205"/>
        <v>9.7139364303178475</v>
      </c>
      <c r="O2228" s="5">
        <f t="shared" si="206"/>
        <v>-0.16827852998065762</v>
      </c>
      <c r="P2228" s="5">
        <f t="shared" si="207"/>
        <v>-4.8837209302325602E-2</v>
      </c>
      <c r="Q2228" s="4">
        <f t="shared" si="208"/>
        <v>-0.54906201550387601</v>
      </c>
      <c r="R2228" s="4">
        <f t="shared" si="209"/>
        <v>-1.9890441262079395</v>
      </c>
      <c r="S2228" s="4">
        <v>3.46</v>
      </c>
      <c r="T2228" s="2">
        <v>0.41</v>
      </c>
      <c r="U2228" s="2">
        <v>56.26</v>
      </c>
      <c r="V2228" s="2">
        <v>36.61</v>
      </c>
      <c r="W2228" s="2">
        <v>-6.19</v>
      </c>
      <c r="X2228" s="2">
        <v>-7.97</v>
      </c>
      <c r="Y2228" s="2">
        <v>0.23</v>
      </c>
      <c r="Z2228" s="2">
        <v>1.9</v>
      </c>
    </row>
    <row r="2229" spans="1:26" x14ac:dyDescent="0.25">
      <c r="A2229" s="1" t="s">
        <v>9022</v>
      </c>
      <c r="B2229" s="1" t="s">
        <v>9023</v>
      </c>
      <c r="C2229" s="1" t="s">
        <v>31</v>
      </c>
      <c r="D2229" s="1" t="s">
        <v>38</v>
      </c>
      <c r="E2229" s="1" t="s">
        <v>189</v>
      </c>
      <c r="F2229" s="1" t="s">
        <v>12768</v>
      </c>
      <c r="G2229" s="1" t="s">
        <v>12480</v>
      </c>
      <c r="H2229" s="1" t="s">
        <v>9024</v>
      </c>
      <c r="I2229" s="2">
        <v>11.82</v>
      </c>
      <c r="J2229" s="2">
        <v>1.47</v>
      </c>
      <c r="K2229" s="2"/>
      <c r="L2229" s="2"/>
      <c r="M2229" s="4" t="e">
        <f t="shared" si="204"/>
        <v>#DIV/0!</v>
      </c>
      <c r="N2229" s="4" t="e">
        <f t="shared" si="205"/>
        <v>#DIV/0!</v>
      </c>
      <c r="O2229" s="5">
        <f t="shared" si="206"/>
        <v>-1</v>
      </c>
      <c r="P2229" s="5" t="e">
        <f t="shared" si="207"/>
        <v>#DIV/0!</v>
      </c>
      <c r="Q2229" s="4" t="e">
        <f t="shared" si="208"/>
        <v>#DIV/0!</v>
      </c>
      <c r="R2229" s="4" t="e">
        <f t="shared" si="209"/>
        <v>#DIV/0!</v>
      </c>
      <c r="S2229" s="4">
        <v>-3.13</v>
      </c>
      <c r="T2229" s="2">
        <v>0.28999999999999998</v>
      </c>
      <c r="U2229" s="2">
        <v>13.32</v>
      </c>
      <c r="V2229" s="2">
        <v>9.74</v>
      </c>
      <c r="W2229" s="2">
        <v>-1.99</v>
      </c>
      <c r="X2229" s="2">
        <v>-1.0900000000000001</v>
      </c>
      <c r="Y2229" s="2">
        <v>-0.84</v>
      </c>
      <c r="Z2229" s="2">
        <v>-3.78</v>
      </c>
    </row>
    <row r="2230" spans="1:26" x14ac:dyDescent="0.25">
      <c r="A2230" s="1" t="s">
        <v>9025</v>
      </c>
      <c r="B2230" s="1" t="s">
        <v>9026</v>
      </c>
      <c r="C2230" s="1" t="s">
        <v>16</v>
      </c>
      <c r="D2230" s="1" t="s">
        <v>88</v>
      </c>
      <c r="E2230" s="1" t="s">
        <v>1113</v>
      </c>
      <c r="F2230" s="1" t="s">
        <v>9027</v>
      </c>
      <c r="G2230" s="1" t="s">
        <v>12480</v>
      </c>
      <c r="H2230" s="1" t="s">
        <v>9028</v>
      </c>
      <c r="I2230" s="2">
        <v>108.25</v>
      </c>
      <c r="J2230" s="2">
        <v>7.58</v>
      </c>
      <c r="K2230" s="2" t="s">
        <v>12497</v>
      </c>
      <c r="L2230" s="2">
        <v>8.73</v>
      </c>
      <c r="M2230" s="4">
        <f t="shared" si="204"/>
        <v>13.53125</v>
      </c>
      <c r="N2230" s="4">
        <f t="shared" si="205"/>
        <v>12.399770904925543</v>
      </c>
      <c r="O2230" s="5">
        <f t="shared" si="206"/>
        <v>5.5408970976253302E-2</v>
      </c>
      <c r="P2230" s="5">
        <f t="shared" si="207"/>
        <v>9.1250000000000053E-2</v>
      </c>
      <c r="Q2230" s="4">
        <f t="shared" si="208"/>
        <v>2.4420684523809522</v>
      </c>
      <c r="R2230" s="4">
        <f t="shared" si="209"/>
        <v>1.3588790032795108</v>
      </c>
      <c r="S2230" s="4">
        <v>0.19</v>
      </c>
      <c r="T2230" s="2">
        <v>1.1499999999999999</v>
      </c>
      <c r="U2230" s="2">
        <v>131.56</v>
      </c>
      <c r="V2230" s="2">
        <v>91.66</v>
      </c>
      <c r="W2230" s="2">
        <v>-9.19</v>
      </c>
      <c r="X2230" s="2">
        <v>-15.16</v>
      </c>
      <c r="Y2230" s="2">
        <v>4.37</v>
      </c>
      <c r="Z2230" s="2">
        <v>5.65</v>
      </c>
    </row>
    <row r="2231" spans="1:26" x14ac:dyDescent="0.25">
      <c r="A2231" s="1" t="s">
        <v>9029</v>
      </c>
      <c r="B2231" s="1" t="s">
        <v>9029</v>
      </c>
      <c r="C2231" s="1" t="s">
        <v>16</v>
      </c>
      <c r="D2231" s="1" t="s">
        <v>354</v>
      </c>
      <c r="E2231" s="1" t="s">
        <v>355</v>
      </c>
      <c r="F2231" s="1" t="s">
        <v>9030</v>
      </c>
      <c r="G2231" s="1" t="s">
        <v>12480</v>
      </c>
      <c r="H2231" s="1" t="s">
        <v>9031</v>
      </c>
      <c r="I2231" s="2">
        <v>38.31</v>
      </c>
      <c r="J2231" s="2">
        <v>1.81</v>
      </c>
      <c r="K2231" s="2">
        <v>1.95</v>
      </c>
      <c r="L2231" s="2">
        <v>2.1</v>
      </c>
      <c r="M2231" s="4">
        <f t="shared" si="204"/>
        <v>19.646153846153847</v>
      </c>
      <c r="N2231" s="4">
        <f t="shared" si="205"/>
        <v>18.242857142857144</v>
      </c>
      <c r="O2231" s="5">
        <f t="shared" si="206"/>
        <v>7.7348066298342566E-2</v>
      </c>
      <c r="P2231" s="5">
        <f t="shared" si="207"/>
        <v>7.6923076923077094E-2</v>
      </c>
      <c r="Q2231" s="4">
        <f t="shared" si="208"/>
        <v>2.5399670329670325</v>
      </c>
      <c r="R2231" s="4">
        <f t="shared" si="209"/>
        <v>2.3715714285714236</v>
      </c>
      <c r="S2231" s="4">
        <v>6.85</v>
      </c>
      <c r="T2231" s="2">
        <v>0.7</v>
      </c>
      <c r="U2231" s="2">
        <v>38.979999999999997</v>
      </c>
      <c r="V2231" s="2">
        <v>33.26</v>
      </c>
      <c r="W2231" s="2">
        <v>-1.08</v>
      </c>
      <c r="X2231" s="2">
        <v>7.37</v>
      </c>
      <c r="Y2231" s="2">
        <v>11.82</v>
      </c>
      <c r="Z2231" s="2">
        <v>9.39</v>
      </c>
    </row>
    <row r="2232" spans="1:26" x14ac:dyDescent="0.25">
      <c r="A2232" s="1" t="s">
        <v>9032</v>
      </c>
      <c r="B2232" s="1" t="s">
        <v>9033</v>
      </c>
      <c r="C2232" s="1" t="s">
        <v>16</v>
      </c>
      <c r="D2232" s="1" t="s">
        <v>38</v>
      </c>
      <c r="E2232" s="1" t="s">
        <v>259</v>
      </c>
      <c r="F2232" s="1" t="s">
        <v>9034</v>
      </c>
      <c r="G2232" s="1" t="s">
        <v>12480</v>
      </c>
      <c r="H2232" s="1" t="s">
        <v>12570</v>
      </c>
      <c r="I2232" s="2">
        <v>198.1</v>
      </c>
      <c r="J2232" s="2"/>
      <c r="K2232" s="2"/>
      <c r="L2232" s="2"/>
      <c r="M2232" s="4" t="e">
        <f t="shared" si="204"/>
        <v>#DIV/0!</v>
      </c>
      <c r="N2232" s="4" t="e">
        <f t="shared" si="205"/>
        <v>#DIV/0!</v>
      </c>
      <c r="O2232" s="5" t="e">
        <f t="shared" si="206"/>
        <v>#DIV/0!</v>
      </c>
      <c r="P2232" s="5" t="e">
        <f t="shared" si="207"/>
        <v>#DIV/0!</v>
      </c>
      <c r="Q2232" s="4" t="e">
        <f t="shared" si="208"/>
        <v>#DIV/0!</v>
      </c>
      <c r="R2232" s="4" t="e">
        <f t="shared" si="209"/>
        <v>#DIV/0!</v>
      </c>
      <c r="S2232" s="4"/>
      <c r="T2232" s="2">
        <v>0.31</v>
      </c>
      <c r="U2232" s="2">
        <v>252.25</v>
      </c>
      <c r="V2232" s="2">
        <v>83.41</v>
      </c>
      <c r="W2232" s="2">
        <v>-5.57</v>
      </c>
      <c r="X2232" s="2">
        <v>1.79</v>
      </c>
      <c r="Y2232" s="2">
        <v>21.58</v>
      </c>
      <c r="Z2232" s="2">
        <v>6.26</v>
      </c>
    </row>
    <row r="2233" spans="1:26" x14ac:dyDescent="0.25">
      <c r="A2233" s="1" t="s">
        <v>9035</v>
      </c>
      <c r="B2233" s="1" t="s">
        <v>9036</v>
      </c>
      <c r="C2233" s="1" t="s">
        <v>45</v>
      </c>
      <c r="D2233" s="1" t="s">
        <v>88</v>
      </c>
      <c r="E2233" s="1" t="s">
        <v>658</v>
      </c>
      <c r="F2233" s="1" t="s">
        <v>9037</v>
      </c>
      <c r="G2233" s="1" t="s">
        <v>12480</v>
      </c>
      <c r="H2233" s="1" t="s">
        <v>9038</v>
      </c>
      <c r="I2233" s="2">
        <v>32.81</v>
      </c>
      <c r="J2233" s="2">
        <v>-0.22</v>
      </c>
      <c r="K2233" s="2">
        <v>-0.14000000000000001</v>
      </c>
      <c r="L2233" s="2"/>
      <c r="M2233" s="4">
        <f t="shared" si="204"/>
        <v>-234.35714285714286</v>
      </c>
      <c r="N2233" s="4" t="e">
        <f t="shared" si="205"/>
        <v>#DIV/0!</v>
      </c>
      <c r="O2233" s="5">
        <f t="shared" si="206"/>
        <v>-0.36363636363636354</v>
      </c>
      <c r="P2233" s="5">
        <f t="shared" si="207"/>
        <v>-1</v>
      </c>
      <c r="Q2233" s="4">
        <f t="shared" si="208"/>
        <v>6.4448214285714309</v>
      </c>
      <c r="R2233" s="4" t="e">
        <f t="shared" si="209"/>
        <v>#DIV/0!</v>
      </c>
      <c r="S2233" s="4"/>
      <c r="T2233" s="2">
        <v>-0.03</v>
      </c>
      <c r="U2233" s="2">
        <v>37.22</v>
      </c>
      <c r="V2233" s="2">
        <v>8.19</v>
      </c>
      <c r="W2233" s="2">
        <v>-11.85</v>
      </c>
      <c r="X2233" s="2">
        <v>8.2100000000000009</v>
      </c>
      <c r="Y2233" s="2">
        <v>22.24</v>
      </c>
      <c r="Z2233" s="2">
        <v>35.520000000000003</v>
      </c>
    </row>
    <row r="2234" spans="1:26" x14ac:dyDescent="0.25">
      <c r="A2234" s="1" t="s">
        <v>9040</v>
      </c>
      <c r="B2234" s="1" t="s">
        <v>9041</v>
      </c>
      <c r="C2234" s="1" t="s">
        <v>16</v>
      </c>
      <c r="D2234" s="1" t="s">
        <v>94</v>
      </c>
      <c r="E2234" s="1" t="s">
        <v>894</v>
      </c>
      <c r="F2234" s="1" t="s">
        <v>9042</v>
      </c>
      <c r="G2234" s="1" t="s">
        <v>12480</v>
      </c>
      <c r="H2234" s="1" t="s">
        <v>9043</v>
      </c>
      <c r="I2234" s="2">
        <v>19.16</v>
      </c>
      <c r="J2234" s="2">
        <v>1.43</v>
      </c>
      <c r="K2234" s="2">
        <v>1.08</v>
      </c>
      <c r="L2234" s="2">
        <v>1.39</v>
      </c>
      <c r="M2234" s="4">
        <f t="shared" si="204"/>
        <v>17.74074074074074</v>
      </c>
      <c r="N2234" s="4">
        <f t="shared" si="205"/>
        <v>13.784172661870505</v>
      </c>
      <c r="O2234" s="5">
        <f t="shared" si="206"/>
        <v>-0.24475524475524468</v>
      </c>
      <c r="P2234" s="5">
        <f t="shared" si="207"/>
        <v>0.28703703703703676</v>
      </c>
      <c r="Q2234" s="4">
        <f t="shared" si="208"/>
        <v>-0.72483597883597894</v>
      </c>
      <c r="R2234" s="4">
        <f t="shared" si="209"/>
        <v>0.48022278951032776</v>
      </c>
      <c r="S2234" s="4">
        <v>1.29</v>
      </c>
      <c r="T2234" s="2">
        <v>0.66</v>
      </c>
      <c r="U2234" s="2">
        <v>19.16</v>
      </c>
      <c r="V2234" s="2">
        <v>10.36</v>
      </c>
      <c r="W2234" s="2">
        <v>1.97</v>
      </c>
      <c r="X2234" s="2">
        <v>11.78</v>
      </c>
      <c r="Y2234" s="2">
        <v>32.96</v>
      </c>
      <c r="Z2234" s="2">
        <v>36.56</v>
      </c>
    </row>
    <row r="2235" spans="1:26" x14ac:dyDescent="0.25">
      <c r="A2235" s="1" t="s">
        <v>9044</v>
      </c>
      <c r="B2235" s="1" t="s">
        <v>9045</v>
      </c>
      <c r="C2235" s="1" t="s">
        <v>16</v>
      </c>
      <c r="D2235" s="1" t="s">
        <v>38</v>
      </c>
      <c r="E2235" s="1" t="s">
        <v>194</v>
      </c>
      <c r="F2235" s="1" t="s">
        <v>9046</v>
      </c>
      <c r="G2235" s="1" t="s">
        <v>12480</v>
      </c>
      <c r="H2235" s="1" t="s">
        <v>9047</v>
      </c>
      <c r="I2235" s="2">
        <v>24.6</v>
      </c>
      <c r="J2235" s="2">
        <v>1.62</v>
      </c>
      <c r="K2235" s="2">
        <v>1.07</v>
      </c>
      <c r="L2235" s="2">
        <v>1.1000000000000001</v>
      </c>
      <c r="M2235" s="4">
        <f t="shared" si="204"/>
        <v>22.990654205607477</v>
      </c>
      <c r="N2235" s="4">
        <f t="shared" si="205"/>
        <v>22.363636363636363</v>
      </c>
      <c r="O2235" s="5">
        <f t="shared" si="206"/>
        <v>-0.33950617283950613</v>
      </c>
      <c r="P2235" s="5">
        <f t="shared" si="207"/>
        <v>2.8037383177570208E-2</v>
      </c>
      <c r="Q2235" s="4">
        <f t="shared" si="208"/>
        <v>-0.67717926932880212</v>
      </c>
      <c r="R2235" s="4">
        <f t="shared" si="209"/>
        <v>7.9763636363636037</v>
      </c>
      <c r="S2235" s="4">
        <v>-4.55</v>
      </c>
      <c r="T2235" s="2">
        <v>0.04</v>
      </c>
      <c r="U2235" s="2">
        <v>24.75</v>
      </c>
      <c r="V2235" s="2">
        <v>15.11</v>
      </c>
      <c r="W2235" s="2">
        <v>0.28999999999999998</v>
      </c>
      <c r="X2235" s="2">
        <v>1.32</v>
      </c>
      <c r="Y2235" s="2">
        <v>1.4</v>
      </c>
      <c r="Z2235" s="2">
        <v>1.82</v>
      </c>
    </row>
    <row r="2236" spans="1:26" x14ac:dyDescent="0.25">
      <c r="A2236" s="1" t="s">
        <v>9048</v>
      </c>
      <c r="B2236" s="1" t="s">
        <v>9049</v>
      </c>
      <c r="C2236" s="1" t="s">
        <v>45</v>
      </c>
      <c r="D2236" s="1" t="s">
        <v>18</v>
      </c>
      <c r="E2236" s="1" t="s">
        <v>74</v>
      </c>
      <c r="F2236" s="1" t="s">
        <v>9050</v>
      </c>
      <c r="G2236" s="1" t="s">
        <v>12480</v>
      </c>
      <c r="H2236" s="1" t="s">
        <v>3489</v>
      </c>
      <c r="I2236" s="2">
        <v>309.01</v>
      </c>
      <c r="J2236" s="2">
        <v>-13.48</v>
      </c>
      <c r="K2236" s="2">
        <v>-15.05</v>
      </c>
      <c r="L2236" s="2">
        <v>-10.09</v>
      </c>
      <c r="M2236" s="4">
        <f t="shared" si="204"/>
        <v>-20.532225913621261</v>
      </c>
      <c r="N2236" s="4">
        <f t="shared" si="205"/>
        <v>-30.625371655104065</v>
      </c>
      <c r="O2236" s="5">
        <f t="shared" si="206"/>
        <v>0.11646884272997027</v>
      </c>
      <c r="P2236" s="5">
        <f t="shared" si="207"/>
        <v>-0.32956810631229239</v>
      </c>
      <c r="Q2236" s="4">
        <f t="shared" si="208"/>
        <v>-1.762894301373342</v>
      </c>
      <c r="R2236" s="4">
        <f t="shared" si="209"/>
        <v>0.92925774880910517</v>
      </c>
      <c r="S2236" s="4">
        <v>249.53</v>
      </c>
      <c r="T2236" s="2">
        <v>2.86</v>
      </c>
      <c r="U2236" s="2">
        <v>347.55</v>
      </c>
      <c r="V2236" s="2">
        <v>28.47</v>
      </c>
      <c r="W2236" s="2">
        <v>-6.53</v>
      </c>
      <c r="X2236" s="2">
        <v>-3.3</v>
      </c>
      <c r="Y2236" s="2">
        <v>11.8</v>
      </c>
      <c r="Z2236" s="2">
        <v>4.84</v>
      </c>
    </row>
    <row r="2237" spans="1:26" x14ac:dyDescent="0.25">
      <c r="A2237" s="1" t="s">
        <v>9051</v>
      </c>
      <c r="B2237" s="1" t="s">
        <v>9052</v>
      </c>
      <c r="C2237" s="1" t="s">
        <v>45</v>
      </c>
      <c r="D2237" s="1" t="s">
        <v>18</v>
      </c>
      <c r="E2237" s="1" t="s">
        <v>594</v>
      </c>
      <c r="F2237" s="1" t="s">
        <v>9053</v>
      </c>
      <c r="G2237" s="1" t="s">
        <v>12480</v>
      </c>
      <c r="H2237" s="1" t="s">
        <v>1155</v>
      </c>
      <c r="I2237" s="2">
        <v>25.26</v>
      </c>
      <c r="J2237" s="2">
        <v>-1.72</v>
      </c>
      <c r="K2237" s="2">
        <v>-1.43</v>
      </c>
      <c r="L2237" s="2">
        <v>-0.72</v>
      </c>
      <c r="M2237" s="4">
        <f t="shared" si="204"/>
        <v>-17.664335664335667</v>
      </c>
      <c r="N2237" s="4">
        <f t="shared" si="205"/>
        <v>-35.083333333333336</v>
      </c>
      <c r="O2237" s="5">
        <f t="shared" si="206"/>
        <v>-0.16860465116279078</v>
      </c>
      <c r="P2237" s="5">
        <f t="shared" si="207"/>
        <v>-0.49650349650349646</v>
      </c>
      <c r="Q2237" s="4">
        <f t="shared" si="208"/>
        <v>1.047677839401977</v>
      </c>
      <c r="R2237" s="4">
        <f t="shared" si="209"/>
        <v>0.70660798122065738</v>
      </c>
      <c r="S2237" s="4">
        <v>37.22</v>
      </c>
      <c r="T2237" s="2">
        <v>1.02</v>
      </c>
      <c r="U2237" s="2">
        <v>65.05</v>
      </c>
      <c r="V2237" s="2">
        <v>22.69</v>
      </c>
      <c r="W2237" s="2">
        <v>-2.4700000000000002</v>
      </c>
      <c r="X2237" s="2">
        <v>-13.52</v>
      </c>
      <c r="Y2237" s="2">
        <v>-30.03</v>
      </c>
      <c r="Z2237" s="2">
        <v>-19.71</v>
      </c>
    </row>
    <row r="2238" spans="1:26" x14ac:dyDescent="0.25">
      <c r="A2238" s="1" t="s">
        <v>9054</v>
      </c>
      <c r="B2238" s="1" t="s">
        <v>9055</v>
      </c>
      <c r="C2238" s="1" t="s">
        <v>45</v>
      </c>
      <c r="D2238" s="1" t="s">
        <v>147</v>
      </c>
      <c r="E2238" s="1" t="s">
        <v>435</v>
      </c>
      <c r="F2238" s="1" t="s">
        <v>12769</v>
      </c>
      <c r="G2238" s="1" t="s">
        <v>12480</v>
      </c>
      <c r="H2238" s="1" t="s">
        <v>6971</v>
      </c>
      <c r="I2238" s="2">
        <v>34.619999999999997</v>
      </c>
      <c r="J2238" s="2">
        <v>2.61</v>
      </c>
      <c r="K2238" s="2">
        <v>3.05</v>
      </c>
      <c r="L2238" s="2">
        <v>3.27</v>
      </c>
      <c r="M2238" s="4">
        <f t="shared" si="204"/>
        <v>11.350819672131147</v>
      </c>
      <c r="N2238" s="4">
        <f t="shared" si="205"/>
        <v>10.587155963302752</v>
      </c>
      <c r="O2238" s="5">
        <f t="shared" si="206"/>
        <v>0.16858237547892729</v>
      </c>
      <c r="P2238" s="5">
        <f t="shared" si="207"/>
        <v>7.2131147540983598E-2</v>
      </c>
      <c r="Q2238" s="4">
        <f t="shared" si="208"/>
        <v>0.67330998509687001</v>
      </c>
      <c r="R2238" s="4">
        <f t="shared" si="209"/>
        <v>1.4677648040033362</v>
      </c>
      <c r="S2238" s="4">
        <v>24.2</v>
      </c>
      <c r="T2238" s="2">
        <v>0.89</v>
      </c>
      <c r="U2238" s="2">
        <v>37.659999999999997</v>
      </c>
      <c r="V2238" s="2">
        <v>24.21</v>
      </c>
      <c r="W2238" s="2">
        <v>3.62</v>
      </c>
      <c r="X2238" s="2">
        <v>10.54</v>
      </c>
      <c r="Y2238" s="2">
        <v>19.09</v>
      </c>
      <c r="Z2238" s="2">
        <v>18.04</v>
      </c>
    </row>
    <row r="2239" spans="1:26" x14ac:dyDescent="0.25">
      <c r="A2239" s="1" t="s">
        <v>9056</v>
      </c>
      <c r="B2239" s="1" t="s">
        <v>9057</v>
      </c>
      <c r="C2239" s="1" t="s">
        <v>16</v>
      </c>
      <c r="D2239" s="1" t="s">
        <v>38</v>
      </c>
      <c r="E2239" s="1" t="s">
        <v>653</v>
      </c>
      <c r="F2239" s="1" t="s">
        <v>9058</v>
      </c>
      <c r="G2239" s="1" t="s">
        <v>12480</v>
      </c>
      <c r="H2239" s="1" t="s">
        <v>5116</v>
      </c>
      <c r="I2239" s="2">
        <v>32.72</v>
      </c>
      <c r="J2239" s="2">
        <v>3.51</v>
      </c>
      <c r="K2239" s="2">
        <v>4.1900000000000004</v>
      </c>
      <c r="L2239" s="2">
        <v>5.07</v>
      </c>
      <c r="M2239" s="4">
        <f t="shared" si="204"/>
        <v>7.8090692124104999</v>
      </c>
      <c r="N2239" s="4">
        <f t="shared" si="205"/>
        <v>6.4536489151873759</v>
      </c>
      <c r="O2239" s="5">
        <f t="shared" si="206"/>
        <v>0.19373219373219386</v>
      </c>
      <c r="P2239" s="5">
        <f t="shared" si="207"/>
        <v>0.21002386634844861</v>
      </c>
      <c r="Q2239" s="4">
        <f t="shared" si="208"/>
        <v>0.40308577846412996</v>
      </c>
      <c r="R2239" s="4">
        <f t="shared" si="209"/>
        <v>0.30728169266630811</v>
      </c>
      <c r="S2239" s="4">
        <v>-2.2000000000000002</v>
      </c>
      <c r="T2239" s="2">
        <v>1.71</v>
      </c>
      <c r="U2239" s="2">
        <v>40.5</v>
      </c>
      <c r="V2239" s="2">
        <v>24.02</v>
      </c>
      <c r="W2239" s="2">
        <v>-2.5</v>
      </c>
      <c r="X2239" s="2">
        <v>-5.52</v>
      </c>
      <c r="Y2239" s="2">
        <v>9.91</v>
      </c>
      <c r="Z2239" s="2">
        <v>10.95</v>
      </c>
    </row>
    <row r="2240" spans="1:26" x14ac:dyDescent="0.25">
      <c r="A2240" s="1" t="s">
        <v>9059</v>
      </c>
      <c r="B2240" s="1" t="s">
        <v>9060</v>
      </c>
      <c r="C2240" s="1" t="s">
        <v>16</v>
      </c>
      <c r="D2240" s="1" t="s">
        <v>18</v>
      </c>
      <c r="E2240" s="1" t="s">
        <v>19</v>
      </c>
      <c r="F2240" s="1" t="s">
        <v>9061</v>
      </c>
      <c r="G2240" s="1" t="s">
        <v>12480</v>
      </c>
      <c r="H2240" s="1" t="s">
        <v>9062</v>
      </c>
      <c r="I2240" s="2">
        <v>10.29</v>
      </c>
      <c r="J2240" s="2">
        <v>2.75</v>
      </c>
      <c r="K2240" s="2">
        <v>2.4900000000000002</v>
      </c>
      <c r="L2240" s="2">
        <v>2.66</v>
      </c>
      <c r="M2240" s="4">
        <f t="shared" si="204"/>
        <v>4.1325301204819267</v>
      </c>
      <c r="N2240" s="4">
        <f t="shared" si="205"/>
        <v>3.8684210526315783</v>
      </c>
      <c r="O2240" s="5">
        <f t="shared" si="206"/>
        <v>-9.4545454545454488E-2</v>
      </c>
      <c r="P2240" s="5">
        <f t="shared" si="207"/>
        <v>6.8273092369477872E-2</v>
      </c>
      <c r="Q2240" s="4">
        <f t="shared" si="208"/>
        <v>-0.43709453197405018</v>
      </c>
      <c r="R2240" s="4">
        <f t="shared" si="209"/>
        <v>0.56660990712074322</v>
      </c>
      <c r="S2240" s="4">
        <v>-2.75</v>
      </c>
      <c r="T2240" s="2">
        <v>0.41</v>
      </c>
      <c r="U2240" s="2">
        <v>28.68</v>
      </c>
      <c r="V2240" s="2">
        <v>10.29</v>
      </c>
      <c r="W2240" s="2">
        <v>-16.61</v>
      </c>
      <c r="X2240" s="2">
        <v>-28.14</v>
      </c>
      <c r="Y2240" s="2">
        <v>-19.86</v>
      </c>
      <c r="Z2240" s="2">
        <v>-26.08</v>
      </c>
    </row>
    <row r="2241" spans="1:26" x14ac:dyDescent="0.25">
      <c r="A2241" s="1" t="s">
        <v>9063</v>
      </c>
      <c r="B2241" s="1" t="s">
        <v>9064</v>
      </c>
      <c r="C2241" s="1" t="s">
        <v>45</v>
      </c>
      <c r="D2241" s="1" t="s">
        <v>32</v>
      </c>
      <c r="E2241" s="1" t="s">
        <v>215</v>
      </c>
      <c r="F2241" s="1" t="s">
        <v>9065</v>
      </c>
      <c r="G2241" s="1" t="s">
        <v>12499</v>
      </c>
      <c r="H2241" s="1" t="s">
        <v>1227</v>
      </c>
      <c r="I2241" s="2">
        <v>38.85</v>
      </c>
      <c r="J2241" s="2">
        <v>5.72</v>
      </c>
      <c r="K2241" s="2">
        <v>5.86</v>
      </c>
      <c r="L2241" s="2">
        <v>5.93</v>
      </c>
      <c r="M2241" s="4">
        <f t="shared" si="204"/>
        <v>6.6296928327645048</v>
      </c>
      <c r="N2241" s="4">
        <f t="shared" si="205"/>
        <v>6.5514333895446883</v>
      </c>
      <c r="O2241" s="5">
        <f t="shared" si="206"/>
        <v>2.447552447552459E-2</v>
      </c>
      <c r="P2241" s="5">
        <f t="shared" si="207"/>
        <v>1.1945392491467421E-2</v>
      </c>
      <c r="Q2241" s="4">
        <f t="shared" si="208"/>
        <v>2.7087030716723421</v>
      </c>
      <c r="R2241" s="4">
        <f t="shared" si="209"/>
        <v>5.4844856661046251</v>
      </c>
      <c r="S2241" s="4">
        <v>29.79</v>
      </c>
      <c r="T2241" s="2">
        <v>0.56999999999999995</v>
      </c>
      <c r="U2241" s="2">
        <v>64.66</v>
      </c>
      <c r="V2241" s="2">
        <v>35.049999999999997</v>
      </c>
      <c r="W2241" s="2">
        <v>0.75</v>
      </c>
      <c r="X2241" s="2">
        <v>-9.42</v>
      </c>
      <c r="Y2241" s="2">
        <v>-11.58</v>
      </c>
      <c r="Z2241" s="2">
        <v>-9.57</v>
      </c>
    </row>
    <row r="2242" spans="1:26" x14ac:dyDescent="0.25">
      <c r="A2242" s="1" t="s">
        <v>9066</v>
      </c>
      <c r="B2242" s="1" t="s">
        <v>9067</v>
      </c>
      <c r="C2242" s="1" t="s">
        <v>16</v>
      </c>
      <c r="D2242" s="1" t="s">
        <v>38</v>
      </c>
      <c r="E2242" s="1" t="s">
        <v>39</v>
      </c>
      <c r="F2242" s="1" t="s">
        <v>9068</v>
      </c>
      <c r="G2242" s="1" t="s">
        <v>12480</v>
      </c>
      <c r="H2242" s="1" t="s">
        <v>1209</v>
      </c>
      <c r="I2242" s="2">
        <v>252.77</v>
      </c>
      <c r="J2242" s="2">
        <v>22.92</v>
      </c>
      <c r="K2242" s="2">
        <v>23.92</v>
      </c>
      <c r="L2242" s="2">
        <v>26.16</v>
      </c>
      <c r="M2242" s="4">
        <f t="shared" si="204"/>
        <v>10.567307692307692</v>
      </c>
      <c r="N2242" s="4">
        <f t="shared" si="205"/>
        <v>9.662461773700306</v>
      </c>
      <c r="O2242" s="5">
        <f t="shared" si="206"/>
        <v>4.3630017452007008E-2</v>
      </c>
      <c r="P2242" s="5">
        <f t="shared" si="207"/>
        <v>9.3645484949832714E-2</v>
      </c>
      <c r="Q2242" s="4">
        <f t="shared" si="208"/>
        <v>2.4220269230769214</v>
      </c>
      <c r="R2242" s="4">
        <f t="shared" si="209"/>
        <v>1.0318128822629977</v>
      </c>
      <c r="S2242" s="4">
        <v>6.56</v>
      </c>
      <c r="T2242" s="2">
        <v>0.92</v>
      </c>
      <c r="U2242" s="2">
        <v>292.04000000000002</v>
      </c>
      <c r="V2242" s="2">
        <v>244.39</v>
      </c>
      <c r="W2242" s="2">
        <v>-2.12</v>
      </c>
      <c r="X2242" s="2">
        <v>-5.89</v>
      </c>
      <c r="Y2242" s="2">
        <v>-2.25</v>
      </c>
      <c r="Z2242" s="2">
        <v>-2.16</v>
      </c>
    </row>
    <row r="2243" spans="1:26" x14ac:dyDescent="0.25">
      <c r="A2243" s="1" t="s">
        <v>9069</v>
      </c>
      <c r="B2243" s="1" t="s">
        <v>9070</v>
      </c>
      <c r="C2243" s="1" t="s">
        <v>16</v>
      </c>
      <c r="D2243" s="1" t="s">
        <v>61</v>
      </c>
      <c r="E2243" s="1" t="s">
        <v>3884</v>
      </c>
      <c r="F2243" s="1" t="s">
        <v>9071</v>
      </c>
      <c r="G2243" s="1" t="s">
        <v>12480</v>
      </c>
      <c r="H2243" s="1" t="s">
        <v>9072</v>
      </c>
      <c r="I2243" s="2">
        <v>137.74</v>
      </c>
      <c r="J2243" s="2">
        <v>5.62</v>
      </c>
      <c r="K2243" s="2">
        <v>5.96</v>
      </c>
      <c r="L2243" s="2">
        <v>6.58</v>
      </c>
      <c r="M2243" s="4">
        <f t="shared" ref="M2243:M2306" si="210">I2243/K2243</f>
        <v>23.11073825503356</v>
      </c>
      <c r="N2243" s="4">
        <f t="shared" ref="N2243:N2306" si="211">I2243/L2243</f>
        <v>20.933130699088146</v>
      </c>
      <c r="O2243" s="5">
        <f t="shared" ref="O2243:O2306" si="212">K2243/J2243-1</f>
        <v>6.0498220640569311E-2</v>
      </c>
      <c r="P2243" s="5">
        <f t="shared" ref="P2243:P2306" si="213">L2243/K2243-1</f>
        <v>0.10402684563758391</v>
      </c>
      <c r="Q2243" s="4">
        <f t="shared" ref="Q2243:Q2306" si="214">M2243/(O2243*100)</f>
        <v>3.8200690880379056</v>
      </c>
      <c r="R2243" s="4">
        <f t="shared" ref="R2243:R2306" si="215">N2243/(P2243*100)</f>
        <v>2.0122815962349243</v>
      </c>
      <c r="S2243" s="4">
        <v>18.97</v>
      </c>
      <c r="T2243" s="2">
        <v>1.36</v>
      </c>
      <c r="U2243" s="2">
        <v>169.36</v>
      </c>
      <c r="V2243" s="2">
        <v>52.66</v>
      </c>
      <c r="W2243" s="2">
        <v>-8.82</v>
      </c>
      <c r="X2243" s="2">
        <v>-15.29</v>
      </c>
      <c r="Y2243" s="2">
        <v>5.51</v>
      </c>
      <c r="Z2243" s="2">
        <v>10.95</v>
      </c>
    </row>
    <row r="2244" spans="1:26" x14ac:dyDescent="0.25">
      <c r="A2244" s="1" t="s">
        <v>9073</v>
      </c>
      <c r="B2244" s="1" t="s">
        <v>9074</v>
      </c>
      <c r="C2244" s="1" t="s">
        <v>1118</v>
      </c>
      <c r="D2244" s="1" t="s">
        <v>38</v>
      </c>
      <c r="E2244" s="1" t="s">
        <v>1093</v>
      </c>
      <c r="F2244" s="1" t="s">
        <v>9075</v>
      </c>
      <c r="G2244" s="1" t="s">
        <v>12480</v>
      </c>
      <c r="H2244" s="1" t="s">
        <v>12770</v>
      </c>
      <c r="I2244" s="2">
        <v>158.44999999999999</v>
      </c>
      <c r="J2244" s="2">
        <v>11.26</v>
      </c>
      <c r="K2244" s="2">
        <v>11.82</v>
      </c>
      <c r="L2244" s="2">
        <v>11.83</v>
      </c>
      <c r="M2244" s="4">
        <f t="shared" si="210"/>
        <v>13.405245346869711</v>
      </c>
      <c r="N2244" s="4">
        <f t="shared" si="211"/>
        <v>13.393913778529162</v>
      </c>
      <c r="O2244" s="5">
        <f t="shared" si="212"/>
        <v>4.973357015985802E-2</v>
      </c>
      <c r="P2244" s="5">
        <f t="shared" si="213"/>
        <v>8.4602368866315558E-4</v>
      </c>
      <c r="Q2244" s="4">
        <f t="shared" si="214"/>
        <v>2.6954118322455818</v>
      </c>
      <c r="R2244" s="4">
        <f t="shared" si="215"/>
        <v>158.31606086223846</v>
      </c>
      <c r="S2244" s="4">
        <v>2.92</v>
      </c>
      <c r="T2244" s="2">
        <v>0.72</v>
      </c>
      <c r="U2244" s="2">
        <v>177.92</v>
      </c>
      <c r="V2244" s="2">
        <v>141.75</v>
      </c>
      <c r="W2244" s="2">
        <v>-6.12</v>
      </c>
      <c r="X2244" s="2">
        <v>-10.44</v>
      </c>
      <c r="Y2244" s="2">
        <v>-3.63</v>
      </c>
      <c r="Z2244" s="2">
        <v>4.12</v>
      </c>
    </row>
    <row r="2245" spans="1:26" x14ac:dyDescent="0.25">
      <c r="A2245" s="1" t="s">
        <v>9076</v>
      </c>
      <c r="B2245" s="1" t="s">
        <v>9077</v>
      </c>
      <c r="C2245" s="1" t="s">
        <v>16</v>
      </c>
      <c r="D2245" s="1" t="s">
        <v>147</v>
      </c>
      <c r="E2245" s="1" t="s">
        <v>148</v>
      </c>
      <c r="F2245" s="1" t="s">
        <v>9078</v>
      </c>
      <c r="G2245" s="1" t="s">
        <v>12480</v>
      </c>
      <c r="H2245" s="1" t="s">
        <v>3294</v>
      </c>
      <c r="I2245" s="2">
        <v>34.22</v>
      </c>
      <c r="J2245" s="2">
        <v>3.06</v>
      </c>
      <c r="K2245" s="2">
        <v>3.88</v>
      </c>
      <c r="L2245" s="2">
        <v>4.46</v>
      </c>
      <c r="M2245" s="4">
        <f t="shared" si="210"/>
        <v>8.81958762886598</v>
      </c>
      <c r="N2245" s="4">
        <f t="shared" si="211"/>
        <v>7.6726457399103136</v>
      </c>
      <c r="O2245" s="5">
        <f t="shared" si="212"/>
        <v>0.26797385620915026</v>
      </c>
      <c r="P2245" s="5">
        <f t="shared" si="213"/>
        <v>0.14948453608247414</v>
      </c>
      <c r="Q2245" s="4">
        <f t="shared" si="214"/>
        <v>0.32912119688207203</v>
      </c>
      <c r="R2245" s="4">
        <f t="shared" si="215"/>
        <v>0.51327354260089719</v>
      </c>
      <c r="S2245" s="4">
        <v>-3.64</v>
      </c>
      <c r="T2245" s="2">
        <v>1.18</v>
      </c>
      <c r="U2245" s="2">
        <v>55.21</v>
      </c>
      <c r="V2245" s="2">
        <v>30.37</v>
      </c>
      <c r="W2245" s="2">
        <v>0.88</v>
      </c>
      <c r="X2245" s="2">
        <v>-9.4499999999999993</v>
      </c>
      <c r="Y2245" s="2">
        <v>-2.67</v>
      </c>
      <c r="Z2245" s="2">
        <v>-5.73</v>
      </c>
    </row>
    <row r="2246" spans="1:26" x14ac:dyDescent="0.25">
      <c r="A2246" s="1" t="s">
        <v>9079</v>
      </c>
      <c r="B2246" s="1" t="s">
        <v>9080</v>
      </c>
      <c r="C2246" s="1" t="s">
        <v>16</v>
      </c>
      <c r="D2246" s="1" t="s">
        <v>25</v>
      </c>
      <c r="E2246" s="1" t="s">
        <v>9082</v>
      </c>
      <c r="F2246" s="1" t="s">
        <v>9081</v>
      </c>
      <c r="G2246" s="1" t="s">
        <v>12480</v>
      </c>
      <c r="H2246" s="1" t="s">
        <v>506</v>
      </c>
      <c r="I2246" s="2">
        <v>57.59</v>
      </c>
      <c r="J2246" s="2">
        <v>1.66</v>
      </c>
      <c r="K2246" s="2">
        <v>1.79</v>
      </c>
      <c r="L2246" s="2">
        <v>1.94</v>
      </c>
      <c r="M2246" s="4">
        <f t="shared" si="210"/>
        <v>32.173184357541899</v>
      </c>
      <c r="N2246" s="4">
        <f t="shared" si="211"/>
        <v>29.685567010309281</v>
      </c>
      <c r="O2246" s="5">
        <f t="shared" si="212"/>
        <v>7.8313253012048278E-2</v>
      </c>
      <c r="P2246" s="5">
        <f t="shared" si="213"/>
        <v>8.3798882681564102E-2</v>
      </c>
      <c r="Q2246" s="4">
        <f t="shared" si="214"/>
        <v>4.1082681564245762</v>
      </c>
      <c r="R2246" s="4">
        <f t="shared" si="215"/>
        <v>3.542477663230247</v>
      </c>
      <c r="S2246" s="4">
        <v>6.44</v>
      </c>
      <c r="T2246" s="2">
        <v>1.25</v>
      </c>
      <c r="U2246" s="2">
        <v>67.52</v>
      </c>
      <c r="V2246" s="2">
        <v>31.12</v>
      </c>
      <c r="W2246" s="2">
        <v>-8.08</v>
      </c>
      <c r="X2246" s="2">
        <v>-12.62</v>
      </c>
      <c r="Y2246" s="2">
        <v>9.86</v>
      </c>
      <c r="Z2246" s="2">
        <v>13.84</v>
      </c>
    </row>
    <row r="2247" spans="1:26" x14ac:dyDescent="0.25">
      <c r="A2247" s="1" t="s">
        <v>9083</v>
      </c>
      <c r="B2247" s="1" t="s">
        <v>9084</v>
      </c>
      <c r="C2247" s="1" t="s">
        <v>9086</v>
      </c>
      <c r="D2247" s="1" t="s">
        <v>24</v>
      </c>
      <c r="E2247" s="1" t="s">
        <v>88</v>
      </c>
      <c r="F2247" s="1" t="s">
        <v>9085</v>
      </c>
      <c r="G2247" s="1" t="s">
        <v>1113</v>
      </c>
      <c r="H2247" s="1" t="s">
        <v>12480</v>
      </c>
      <c r="I2247" s="2">
        <v>9.02</v>
      </c>
      <c r="J2247" s="2" t="s">
        <v>12481</v>
      </c>
      <c r="K2247" s="2">
        <v>1.34</v>
      </c>
      <c r="L2247" s="2">
        <v>1.46</v>
      </c>
      <c r="M2247" s="4">
        <f t="shared" si="210"/>
        <v>6.7313432835820892</v>
      </c>
      <c r="N2247" s="4">
        <f t="shared" si="211"/>
        <v>6.1780821917808222</v>
      </c>
      <c r="O2247" s="5">
        <f t="shared" si="212"/>
        <v>-0.99999338310816144</v>
      </c>
      <c r="P2247" s="5">
        <f t="shared" si="213"/>
        <v>8.9552238805969964E-2</v>
      </c>
      <c r="Q2247" s="4">
        <f t="shared" si="214"/>
        <v>-6.7313878244472478E-2</v>
      </c>
      <c r="R2247" s="4">
        <f t="shared" si="215"/>
        <v>0.68988584474885994</v>
      </c>
      <c r="S2247" s="4">
        <v>1.71</v>
      </c>
      <c r="T2247" s="2">
        <v>23.82</v>
      </c>
      <c r="U2247" s="2">
        <v>149.44</v>
      </c>
      <c r="V2247" s="2">
        <v>29.64</v>
      </c>
      <c r="W2247" s="2">
        <v>1.98</v>
      </c>
      <c r="X2247" s="2">
        <v>2.41</v>
      </c>
      <c r="Y2247" s="2">
        <v>-12.2</v>
      </c>
      <c r="Z2247" s="2">
        <v>-15.44</v>
      </c>
    </row>
    <row r="2248" spans="1:26" x14ac:dyDescent="0.25">
      <c r="A2248" s="1" t="s">
        <v>9087</v>
      </c>
      <c r="B2248" s="1" t="s">
        <v>9088</v>
      </c>
      <c r="C2248" s="1" t="s">
        <v>16</v>
      </c>
      <c r="D2248" s="1" t="s">
        <v>128</v>
      </c>
      <c r="E2248" s="1" t="s">
        <v>2351</v>
      </c>
      <c r="F2248" s="1" t="s">
        <v>9089</v>
      </c>
      <c r="G2248" s="1" t="s">
        <v>12480</v>
      </c>
      <c r="H2248" s="1" t="s">
        <v>9090</v>
      </c>
      <c r="I2248" s="2">
        <v>21.73</v>
      </c>
      <c r="J2248" s="2">
        <v>1.33</v>
      </c>
      <c r="K2248" s="2">
        <v>1.34</v>
      </c>
      <c r="L2248" s="2">
        <v>1.58</v>
      </c>
      <c r="M2248" s="4">
        <f t="shared" si="210"/>
        <v>16.21641791044776</v>
      </c>
      <c r="N2248" s="4">
        <f t="shared" si="211"/>
        <v>13.753164556962025</v>
      </c>
      <c r="O2248" s="5">
        <f t="shared" si="212"/>
        <v>7.5187969924812581E-3</v>
      </c>
      <c r="P2248" s="5">
        <f t="shared" si="213"/>
        <v>0.17910447761194037</v>
      </c>
      <c r="Q2248" s="4">
        <f t="shared" si="214"/>
        <v>21.567835820895361</v>
      </c>
      <c r="R2248" s="4">
        <f t="shared" si="215"/>
        <v>0.76788502109704615</v>
      </c>
      <c r="S2248" s="4">
        <v>29.34</v>
      </c>
      <c r="T2248" s="2">
        <v>0.61</v>
      </c>
      <c r="U2248" s="2">
        <v>35.630000000000003</v>
      </c>
      <c r="V2248" s="2">
        <v>14.46</v>
      </c>
      <c r="W2248" s="2">
        <v>-4.82</v>
      </c>
      <c r="X2248" s="2">
        <v>15.1</v>
      </c>
      <c r="Y2248" s="2">
        <v>30.75</v>
      </c>
      <c r="Z2248" s="2">
        <v>32.9</v>
      </c>
    </row>
    <row r="2249" spans="1:26" x14ac:dyDescent="0.25">
      <c r="A2249" s="1" t="s">
        <v>9091</v>
      </c>
      <c r="B2249" s="1" t="s">
        <v>9092</v>
      </c>
      <c r="C2249" s="1" t="s">
        <v>31</v>
      </c>
      <c r="D2249" s="1" t="s">
        <v>94</v>
      </c>
      <c r="E2249" s="1" t="s">
        <v>409</v>
      </c>
      <c r="F2249" s="1" t="s">
        <v>9093</v>
      </c>
      <c r="G2249" s="1" t="s">
        <v>12480</v>
      </c>
      <c r="H2249" s="1" t="s">
        <v>9094</v>
      </c>
      <c r="I2249" s="2">
        <v>21.68</v>
      </c>
      <c r="J2249" s="2">
        <v>6.3</v>
      </c>
      <c r="K2249" s="2">
        <v>-0.18</v>
      </c>
      <c r="L2249" s="2">
        <v>0.48</v>
      </c>
      <c r="M2249" s="4">
        <f t="shared" si="210"/>
        <v>-120.44444444444444</v>
      </c>
      <c r="N2249" s="4">
        <f t="shared" si="211"/>
        <v>45.166666666666664</v>
      </c>
      <c r="O2249" s="5">
        <f t="shared" si="212"/>
        <v>-1.0285714285714285</v>
      </c>
      <c r="P2249" s="5">
        <f t="shared" si="213"/>
        <v>-3.6666666666666665</v>
      </c>
      <c r="Q2249" s="4">
        <f t="shared" si="214"/>
        <v>1.1709876543209878</v>
      </c>
      <c r="R2249" s="4">
        <f t="shared" si="215"/>
        <v>-0.12318181818181818</v>
      </c>
      <c r="S2249" s="4">
        <v>-46.08</v>
      </c>
      <c r="T2249" s="2">
        <v>0.7</v>
      </c>
      <c r="U2249" s="2">
        <v>21.68</v>
      </c>
      <c r="V2249" s="2">
        <v>10.53</v>
      </c>
      <c r="W2249" s="2">
        <v>8.49</v>
      </c>
      <c r="X2249" s="2">
        <v>15.09</v>
      </c>
      <c r="Y2249" s="2">
        <v>21.87</v>
      </c>
      <c r="Z2249" s="2">
        <v>22.82</v>
      </c>
    </row>
    <row r="2250" spans="1:26" x14ac:dyDescent="0.25">
      <c r="A2250" s="1" t="s">
        <v>9095</v>
      </c>
      <c r="B2250" s="1" t="s">
        <v>9096</v>
      </c>
      <c r="C2250" s="1" t="s">
        <v>31</v>
      </c>
      <c r="D2250" s="1" t="s">
        <v>128</v>
      </c>
      <c r="E2250" s="1" t="s">
        <v>129</v>
      </c>
      <c r="F2250" s="1" t="s">
        <v>9097</v>
      </c>
      <c r="G2250" s="1" t="s">
        <v>12502</v>
      </c>
      <c r="H2250" s="1" t="s">
        <v>9098</v>
      </c>
      <c r="I2250" s="2">
        <v>17.038</v>
      </c>
      <c r="J2250" s="2">
        <v>1.58</v>
      </c>
      <c r="K2250" s="2">
        <v>1.37</v>
      </c>
      <c r="L2250" s="2">
        <v>1.39</v>
      </c>
      <c r="M2250" s="4">
        <f t="shared" si="210"/>
        <v>12.436496350364962</v>
      </c>
      <c r="N2250" s="4">
        <f t="shared" si="211"/>
        <v>12.257553956834533</v>
      </c>
      <c r="O2250" s="5">
        <f t="shared" si="212"/>
        <v>-0.13291139240506322</v>
      </c>
      <c r="P2250" s="5">
        <f t="shared" si="213"/>
        <v>1.4598540145985162E-2</v>
      </c>
      <c r="Q2250" s="4">
        <f t="shared" si="214"/>
        <v>-0.93569829683698336</v>
      </c>
      <c r="R2250" s="4">
        <f t="shared" si="215"/>
        <v>8.3964244604317937</v>
      </c>
      <c r="S2250" s="4">
        <v>-4.46</v>
      </c>
      <c r="T2250" s="2">
        <v>0.49</v>
      </c>
      <c r="U2250" s="2">
        <v>24.06</v>
      </c>
      <c r="V2250" s="2">
        <v>16.82</v>
      </c>
      <c r="W2250" s="2">
        <v>-6.02</v>
      </c>
      <c r="X2250" s="2">
        <v>-11.26</v>
      </c>
      <c r="Y2250" s="2">
        <v>-4.76</v>
      </c>
      <c r="Z2250" s="2">
        <v>-0.65</v>
      </c>
    </row>
    <row r="2251" spans="1:26" x14ac:dyDescent="0.25">
      <c r="A2251" s="1" t="s">
        <v>9099</v>
      </c>
      <c r="B2251" s="1" t="s">
        <v>9100</v>
      </c>
      <c r="C2251" s="1" t="s">
        <v>31</v>
      </c>
      <c r="D2251" s="1" t="s">
        <v>67</v>
      </c>
      <c r="E2251" s="1" t="s">
        <v>833</v>
      </c>
      <c r="F2251" s="1" t="s">
        <v>9101</v>
      </c>
      <c r="G2251" s="1" t="s">
        <v>12490</v>
      </c>
      <c r="H2251" s="1" t="s">
        <v>9102</v>
      </c>
      <c r="I2251" s="2">
        <v>9.9700000000000006</v>
      </c>
      <c r="J2251" s="2">
        <v>0.61</v>
      </c>
      <c r="K2251" s="2">
        <v>3.75</v>
      </c>
      <c r="L2251" s="2">
        <v>4.46</v>
      </c>
      <c r="M2251" s="4">
        <f t="shared" si="210"/>
        <v>2.658666666666667</v>
      </c>
      <c r="N2251" s="4">
        <f t="shared" si="211"/>
        <v>2.2354260089686102</v>
      </c>
      <c r="O2251" s="5">
        <f t="shared" si="212"/>
        <v>5.1475409836065573</v>
      </c>
      <c r="P2251" s="5">
        <f t="shared" si="213"/>
        <v>0.18933333333333335</v>
      </c>
      <c r="Q2251" s="4">
        <f t="shared" si="214"/>
        <v>5.1649256900212328E-3</v>
      </c>
      <c r="R2251" s="4">
        <f t="shared" si="215"/>
        <v>0.1180682751215815</v>
      </c>
      <c r="S2251" s="4">
        <v>12.86</v>
      </c>
      <c r="T2251" s="2">
        <v>0.73</v>
      </c>
      <c r="U2251" s="2">
        <v>14.58</v>
      </c>
      <c r="V2251" s="2">
        <v>7.8</v>
      </c>
      <c r="W2251" s="2">
        <v>1.01</v>
      </c>
      <c r="X2251" s="2">
        <v>-8.6199999999999992</v>
      </c>
      <c r="Y2251" s="2">
        <v>-19.34</v>
      </c>
      <c r="Z2251" s="2">
        <v>-19.34</v>
      </c>
    </row>
    <row r="2252" spans="1:26" x14ac:dyDescent="0.25">
      <c r="A2252" s="1" t="s">
        <v>9103</v>
      </c>
      <c r="B2252" s="1" t="s">
        <v>9104</v>
      </c>
      <c r="C2252" s="1" t="s">
        <v>31</v>
      </c>
      <c r="D2252" s="1" t="s">
        <v>128</v>
      </c>
      <c r="E2252" s="1" t="s">
        <v>556</v>
      </c>
      <c r="F2252" s="1" t="s">
        <v>9105</v>
      </c>
      <c r="G2252" s="1" t="s">
        <v>12490</v>
      </c>
      <c r="H2252" s="1" t="s">
        <v>9106</v>
      </c>
      <c r="I2252" s="2">
        <v>13.074999999999999</v>
      </c>
      <c r="J2252" s="2">
        <v>0.9</v>
      </c>
      <c r="K2252" s="2"/>
      <c r="L2252" s="2"/>
      <c r="M2252" s="4" t="e">
        <f t="shared" si="210"/>
        <v>#DIV/0!</v>
      </c>
      <c r="N2252" s="4" t="e">
        <f t="shared" si="211"/>
        <v>#DIV/0!</v>
      </c>
      <c r="O2252" s="5">
        <f t="shared" si="212"/>
        <v>-1</v>
      </c>
      <c r="P2252" s="5" t="e">
        <f t="shared" si="213"/>
        <v>#DIV/0!</v>
      </c>
      <c r="Q2252" s="4" t="e">
        <f t="shared" si="214"/>
        <v>#DIV/0!</v>
      </c>
      <c r="R2252" s="4" t="e">
        <f t="shared" si="215"/>
        <v>#DIV/0!</v>
      </c>
      <c r="S2252" s="4">
        <v>1.19</v>
      </c>
      <c r="T2252" s="2">
        <v>0.46</v>
      </c>
      <c r="U2252" s="2">
        <v>14.85</v>
      </c>
      <c r="V2252" s="2">
        <v>10.5</v>
      </c>
      <c r="W2252" s="2">
        <v>0.77</v>
      </c>
      <c r="X2252" s="2">
        <v>-3.93</v>
      </c>
      <c r="Y2252" s="2">
        <v>10.45</v>
      </c>
      <c r="Z2252" s="2">
        <v>10.81</v>
      </c>
    </row>
    <row r="2253" spans="1:26" x14ac:dyDescent="0.25">
      <c r="A2253" s="1" t="s">
        <v>9107</v>
      </c>
      <c r="B2253" s="1" t="s">
        <v>9108</v>
      </c>
      <c r="C2253" s="1" t="s">
        <v>16</v>
      </c>
      <c r="D2253" s="1" t="s">
        <v>147</v>
      </c>
      <c r="E2253" s="1" t="s">
        <v>148</v>
      </c>
      <c r="F2253" s="1" t="s">
        <v>9109</v>
      </c>
      <c r="G2253" s="1" t="s">
        <v>12480</v>
      </c>
      <c r="H2253" s="1" t="s">
        <v>12559</v>
      </c>
      <c r="I2253" s="2">
        <v>36.130000000000003</v>
      </c>
      <c r="J2253" s="2">
        <v>1.18</v>
      </c>
      <c r="K2253" s="2">
        <v>1.41</v>
      </c>
      <c r="L2253" s="2">
        <v>1.63</v>
      </c>
      <c r="M2253" s="4">
        <f t="shared" si="210"/>
        <v>25.624113475177307</v>
      </c>
      <c r="N2253" s="4">
        <f t="shared" si="211"/>
        <v>22.165644171779142</v>
      </c>
      <c r="O2253" s="5">
        <f t="shared" si="212"/>
        <v>0.19491525423728806</v>
      </c>
      <c r="P2253" s="5">
        <f t="shared" si="213"/>
        <v>0.15602836879432624</v>
      </c>
      <c r="Q2253" s="4">
        <f t="shared" si="214"/>
        <v>1.3146284304656188</v>
      </c>
      <c r="R2253" s="4">
        <f t="shared" si="215"/>
        <v>1.420616285554936</v>
      </c>
      <c r="S2253" s="4">
        <v>23.45</v>
      </c>
      <c r="T2253" s="2">
        <v>1.43</v>
      </c>
      <c r="U2253" s="2">
        <v>39.35</v>
      </c>
      <c r="V2253" s="2">
        <v>27.21</v>
      </c>
      <c r="W2253" s="2">
        <v>-0.25</v>
      </c>
      <c r="X2253" s="2">
        <v>-3.63</v>
      </c>
      <c r="Y2253" s="2">
        <v>-2.88</v>
      </c>
      <c r="Z2253" s="2">
        <v>7.27</v>
      </c>
    </row>
    <row r="2254" spans="1:26" x14ac:dyDescent="0.25">
      <c r="A2254" s="1" t="s">
        <v>9110</v>
      </c>
      <c r="B2254" s="1" t="s">
        <v>9111</v>
      </c>
      <c r="C2254" s="1" t="s">
        <v>16</v>
      </c>
      <c r="D2254" s="1" t="s">
        <v>38</v>
      </c>
      <c r="E2254" s="1" t="s">
        <v>254</v>
      </c>
      <c r="F2254" s="1" t="s">
        <v>9112</v>
      </c>
      <c r="G2254" s="1" t="s">
        <v>12480</v>
      </c>
      <c r="H2254" s="1" t="s">
        <v>12771</v>
      </c>
      <c r="I2254" s="2">
        <v>95.93</v>
      </c>
      <c r="J2254" s="2">
        <v>14.43</v>
      </c>
      <c r="K2254" s="2">
        <v>14.48</v>
      </c>
      <c r="L2254" s="2">
        <v>15.54</v>
      </c>
      <c r="M2254" s="4">
        <f t="shared" si="210"/>
        <v>6.625</v>
      </c>
      <c r="N2254" s="4">
        <f t="shared" si="211"/>
        <v>6.1731016731016739</v>
      </c>
      <c r="O2254" s="5">
        <f t="shared" si="212"/>
        <v>3.4650034650034467E-3</v>
      </c>
      <c r="P2254" s="5">
        <f t="shared" si="213"/>
        <v>7.320441988950277E-2</v>
      </c>
      <c r="Q2254" s="4">
        <f t="shared" si="214"/>
        <v>19.119750000000099</v>
      </c>
      <c r="R2254" s="4">
        <f t="shared" si="215"/>
        <v>0.84326898326898325</v>
      </c>
      <c r="S2254" s="4">
        <v>-15.25</v>
      </c>
      <c r="T2254" s="2">
        <v>0.98</v>
      </c>
      <c r="U2254" s="2">
        <v>118.72</v>
      </c>
      <c r="V2254" s="2">
        <v>95.12</v>
      </c>
      <c r="W2254" s="2">
        <v>-4.0199999999999996</v>
      </c>
      <c r="X2254" s="2">
        <v>-6.14</v>
      </c>
      <c r="Y2254" s="2">
        <v>-18.43</v>
      </c>
      <c r="Z2254" s="2">
        <v>-15.02</v>
      </c>
    </row>
    <row r="2255" spans="1:26" x14ac:dyDescent="0.25">
      <c r="A2255" s="1" t="s">
        <v>9113</v>
      </c>
      <c r="B2255" s="1" t="s">
        <v>9114</v>
      </c>
      <c r="C2255" s="1" t="s">
        <v>45</v>
      </c>
      <c r="D2255" s="1" t="s">
        <v>18</v>
      </c>
      <c r="E2255" s="1" t="s">
        <v>1385</v>
      </c>
      <c r="F2255" s="1" t="s">
        <v>9115</v>
      </c>
      <c r="G2255" s="1" t="s">
        <v>12480</v>
      </c>
      <c r="H2255" s="1" t="s">
        <v>9116</v>
      </c>
      <c r="I2255" s="2">
        <v>23.3</v>
      </c>
      <c r="J2255" s="2">
        <v>0.18</v>
      </c>
      <c r="K2255" s="2">
        <v>0.36</v>
      </c>
      <c r="L2255" s="2">
        <v>0.48</v>
      </c>
      <c r="M2255" s="4">
        <f t="shared" si="210"/>
        <v>64.722222222222229</v>
      </c>
      <c r="N2255" s="4">
        <f t="shared" si="211"/>
        <v>48.541666666666671</v>
      </c>
      <c r="O2255" s="5">
        <f t="shared" si="212"/>
        <v>1</v>
      </c>
      <c r="P2255" s="5">
        <f t="shared" si="213"/>
        <v>0.33333333333333326</v>
      </c>
      <c r="Q2255" s="4">
        <f t="shared" si="214"/>
        <v>0.64722222222222225</v>
      </c>
      <c r="R2255" s="4">
        <f t="shared" si="215"/>
        <v>1.4562500000000003</v>
      </c>
      <c r="S2255" s="4">
        <v>22.26</v>
      </c>
      <c r="T2255" s="2">
        <v>0.82</v>
      </c>
      <c r="U2255" s="2">
        <v>26.4</v>
      </c>
      <c r="V2255" s="2">
        <v>18.86</v>
      </c>
      <c r="W2255" s="2">
        <v>-3.08</v>
      </c>
      <c r="X2255" s="2">
        <v>7.72</v>
      </c>
      <c r="Y2255" s="2">
        <v>-4.2699999999999996</v>
      </c>
      <c r="Z2255" s="2">
        <v>-1.73</v>
      </c>
    </row>
    <row r="2256" spans="1:26" x14ac:dyDescent="0.25">
      <c r="A2256" s="1" t="s">
        <v>9117</v>
      </c>
      <c r="B2256" s="1" t="s">
        <v>9118</v>
      </c>
      <c r="C2256" s="1" t="s">
        <v>31</v>
      </c>
      <c r="D2256" s="1" t="s">
        <v>32</v>
      </c>
      <c r="E2256" s="1" t="s">
        <v>1607</v>
      </c>
      <c r="F2256" s="1" t="s">
        <v>9119</v>
      </c>
      <c r="G2256" s="1" t="s">
        <v>12480</v>
      </c>
      <c r="H2256" s="1" t="s">
        <v>9120</v>
      </c>
      <c r="I2256" s="2">
        <v>58.04</v>
      </c>
      <c r="J2256" s="2"/>
      <c r="K2256" s="2">
        <v>2.72</v>
      </c>
      <c r="L2256" s="2">
        <v>3.16</v>
      </c>
      <c r="M2256" s="4">
        <f t="shared" si="210"/>
        <v>21.338235294117645</v>
      </c>
      <c r="N2256" s="4">
        <f t="shared" si="211"/>
        <v>18.367088607594937</v>
      </c>
      <c r="O2256" s="5" t="e">
        <f t="shared" si="212"/>
        <v>#DIV/0!</v>
      </c>
      <c r="P2256" s="5">
        <f t="shared" si="213"/>
        <v>0.16176470588235281</v>
      </c>
      <c r="Q2256" s="4" t="e">
        <f t="shared" si="214"/>
        <v>#DIV/0!</v>
      </c>
      <c r="R2256" s="4">
        <f t="shared" si="215"/>
        <v>1.1354200230149605</v>
      </c>
      <c r="S2256" s="4"/>
      <c r="T2256" s="2"/>
      <c r="U2256" s="2">
        <v>63.11</v>
      </c>
      <c r="V2256" s="2">
        <v>56.74</v>
      </c>
      <c r="W2256" s="2">
        <v>-4.05</v>
      </c>
      <c r="X2256" s="2">
        <v>-8.0299999999999994</v>
      </c>
      <c r="Y2256" s="2"/>
      <c r="Z2256" s="2"/>
    </row>
    <row r="2257" spans="1:26" x14ac:dyDescent="0.25">
      <c r="A2257" s="1" t="s">
        <v>9122</v>
      </c>
      <c r="B2257" s="1" t="s">
        <v>9123</v>
      </c>
      <c r="C2257" s="1" t="s">
        <v>16</v>
      </c>
      <c r="D2257" s="1" t="s">
        <v>38</v>
      </c>
      <c r="E2257" s="1" t="s">
        <v>510</v>
      </c>
      <c r="F2257" s="1" t="s">
        <v>9124</v>
      </c>
      <c r="G2257" s="1" t="s">
        <v>12480</v>
      </c>
      <c r="H2257" s="1" t="s">
        <v>9125</v>
      </c>
      <c r="I2257" s="2">
        <v>306.48</v>
      </c>
      <c r="J2257" s="2">
        <v>16.97</v>
      </c>
      <c r="K2257" s="2">
        <v>17.05</v>
      </c>
      <c r="L2257" s="2">
        <v>17.399999999999999</v>
      </c>
      <c r="M2257" s="4">
        <f t="shared" si="210"/>
        <v>17.975366568914957</v>
      </c>
      <c r="N2257" s="4">
        <f t="shared" si="211"/>
        <v>17.613793103448277</v>
      </c>
      <c r="O2257" s="5">
        <f t="shared" si="212"/>
        <v>4.7142015321155473E-3</v>
      </c>
      <c r="P2257" s="5">
        <f t="shared" si="213"/>
        <v>2.0527859237536639E-2</v>
      </c>
      <c r="Q2257" s="4">
        <f t="shared" si="214"/>
        <v>38.130246334310456</v>
      </c>
      <c r="R2257" s="4">
        <f t="shared" si="215"/>
        <v>8.5804334975369532</v>
      </c>
      <c r="S2257" s="4">
        <v>2.74</v>
      </c>
      <c r="T2257" s="2">
        <v>0.99</v>
      </c>
      <c r="U2257" s="2">
        <v>313.98</v>
      </c>
      <c r="V2257" s="2">
        <v>258.44</v>
      </c>
      <c r="W2257" s="2">
        <v>-1.43</v>
      </c>
      <c r="X2257" s="2">
        <v>6.09</v>
      </c>
      <c r="Y2257" s="2">
        <v>12.52</v>
      </c>
      <c r="Z2257" s="2">
        <v>18.100000000000001</v>
      </c>
    </row>
    <row r="2258" spans="1:26" x14ac:dyDescent="0.25">
      <c r="A2258" s="1" t="s">
        <v>9126</v>
      </c>
      <c r="B2258" s="1" t="s">
        <v>9127</v>
      </c>
      <c r="C2258" s="1" t="s">
        <v>45</v>
      </c>
      <c r="D2258" s="1" t="s">
        <v>38</v>
      </c>
      <c r="E2258" s="1" t="s">
        <v>101</v>
      </c>
      <c r="F2258" s="1" t="s">
        <v>9128</v>
      </c>
      <c r="G2258" s="1" t="s">
        <v>12502</v>
      </c>
      <c r="H2258" s="1" t="s">
        <v>9129</v>
      </c>
      <c r="I2258" s="2">
        <v>2.67</v>
      </c>
      <c r="J2258" s="2">
        <v>0.77</v>
      </c>
      <c r="K2258" s="2"/>
      <c r="L2258" s="2"/>
      <c r="M2258" s="4" t="e">
        <f t="shared" si="210"/>
        <v>#DIV/0!</v>
      </c>
      <c r="N2258" s="4" t="e">
        <f t="shared" si="211"/>
        <v>#DIV/0!</v>
      </c>
      <c r="O2258" s="5">
        <f t="shared" si="212"/>
        <v>-1</v>
      </c>
      <c r="P2258" s="5" t="e">
        <f t="shared" si="213"/>
        <v>#DIV/0!</v>
      </c>
      <c r="Q2258" s="4" t="e">
        <f t="shared" si="214"/>
        <v>#DIV/0!</v>
      </c>
      <c r="R2258" s="4" t="e">
        <f t="shared" si="215"/>
        <v>#DIV/0!</v>
      </c>
      <c r="S2258" s="4">
        <v>-16.510000000000002</v>
      </c>
      <c r="T2258" s="2">
        <v>0.87</v>
      </c>
      <c r="U2258" s="2">
        <v>4.38</v>
      </c>
      <c r="V2258" s="2">
        <v>2.4500000000000002</v>
      </c>
      <c r="W2258" s="2">
        <v>-2.91</v>
      </c>
      <c r="X2258" s="2">
        <v>2.2999999999999998</v>
      </c>
      <c r="Y2258" s="2">
        <v>3.89</v>
      </c>
      <c r="Z2258" s="2">
        <v>3.09</v>
      </c>
    </row>
    <row r="2259" spans="1:26" x14ac:dyDescent="0.25">
      <c r="A2259" s="1" t="s">
        <v>9130</v>
      </c>
      <c r="B2259" s="1" t="s">
        <v>9131</v>
      </c>
      <c r="C2259" s="1" t="s">
        <v>31</v>
      </c>
      <c r="D2259" s="1" t="s">
        <v>38</v>
      </c>
      <c r="E2259" s="1" t="s">
        <v>259</v>
      </c>
      <c r="F2259" s="1" t="s">
        <v>9132</v>
      </c>
      <c r="G2259" s="1" t="s">
        <v>12480</v>
      </c>
      <c r="H2259" s="1" t="s">
        <v>9133</v>
      </c>
      <c r="I2259" s="2">
        <v>54.71</v>
      </c>
      <c r="J2259" s="2">
        <v>14.08</v>
      </c>
      <c r="K2259" s="2"/>
      <c r="L2259" s="2"/>
      <c r="M2259" s="4" t="e">
        <f t="shared" si="210"/>
        <v>#DIV/0!</v>
      </c>
      <c r="N2259" s="4" t="e">
        <f t="shared" si="211"/>
        <v>#DIV/0!</v>
      </c>
      <c r="O2259" s="5">
        <f t="shared" si="212"/>
        <v>-1</v>
      </c>
      <c r="P2259" s="5" t="e">
        <f t="shared" si="213"/>
        <v>#DIV/0!</v>
      </c>
      <c r="Q2259" s="4" t="e">
        <f t="shared" si="214"/>
        <v>#DIV/0!</v>
      </c>
      <c r="R2259" s="4" t="e">
        <f t="shared" si="215"/>
        <v>#DIV/0!</v>
      </c>
      <c r="S2259" s="4">
        <v>-30.19</v>
      </c>
      <c r="T2259" s="2">
        <v>1.07</v>
      </c>
      <c r="U2259" s="2">
        <v>67.42</v>
      </c>
      <c r="V2259" s="2">
        <v>42.61</v>
      </c>
      <c r="W2259" s="2">
        <v>-5.18</v>
      </c>
      <c r="X2259" s="2">
        <v>-11.58</v>
      </c>
      <c r="Y2259" s="2">
        <v>-18.32</v>
      </c>
      <c r="Z2259" s="2">
        <v>-16.100000000000001</v>
      </c>
    </row>
    <row r="2260" spans="1:26" x14ac:dyDescent="0.25">
      <c r="A2260" s="1" t="s">
        <v>9134</v>
      </c>
      <c r="B2260" s="1" t="s">
        <v>9135</v>
      </c>
      <c r="C2260" s="1" t="s">
        <v>45</v>
      </c>
      <c r="D2260" s="1" t="s">
        <v>305</v>
      </c>
      <c r="E2260" s="1" t="s">
        <v>2772</v>
      </c>
      <c r="F2260" s="1" t="s">
        <v>9136</v>
      </c>
      <c r="G2260" s="1" t="s">
        <v>12480</v>
      </c>
      <c r="H2260" s="1" t="s">
        <v>12509</v>
      </c>
      <c r="I2260" s="2">
        <v>52.34</v>
      </c>
      <c r="J2260" s="2">
        <v>4.9800000000000004</v>
      </c>
      <c r="K2260" s="2"/>
      <c r="L2260" s="2"/>
      <c r="M2260" s="4" t="e">
        <f t="shared" si="210"/>
        <v>#DIV/0!</v>
      </c>
      <c r="N2260" s="4" t="e">
        <f t="shared" si="211"/>
        <v>#DIV/0!</v>
      </c>
      <c r="O2260" s="5">
        <f t="shared" si="212"/>
        <v>-1</v>
      </c>
      <c r="P2260" s="5" t="e">
        <f t="shared" si="213"/>
        <v>#DIV/0!</v>
      </c>
      <c r="Q2260" s="4" t="e">
        <f t="shared" si="214"/>
        <v>#DIV/0!</v>
      </c>
      <c r="R2260" s="4" t="e">
        <f t="shared" si="215"/>
        <v>#DIV/0!</v>
      </c>
      <c r="S2260" s="4">
        <v>51.78</v>
      </c>
      <c r="T2260" s="2">
        <v>2.04</v>
      </c>
      <c r="U2260" s="2">
        <v>115.78</v>
      </c>
      <c r="V2260" s="2">
        <v>18.7</v>
      </c>
      <c r="W2260" s="2">
        <v>-38.96</v>
      </c>
      <c r="X2260" s="2">
        <v>-39.44</v>
      </c>
      <c r="Y2260" s="2">
        <v>-21.03</v>
      </c>
      <c r="Z2260" s="2">
        <v>-8.4</v>
      </c>
    </row>
    <row r="2261" spans="1:26" x14ac:dyDescent="0.25">
      <c r="A2261" s="1" t="s">
        <v>9137</v>
      </c>
      <c r="B2261" s="1" t="s">
        <v>9138</v>
      </c>
      <c r="C2261" s="1" t="s">
        <v>45</v>
      </c>
      <c r="D2261" s="1" t="s">
        <v>147</v>
      </c>
      <c r="E2261" s="1" t="s">
        <v>1460</v>
      </c>
      <c r="F2261" s="1" t="s">
        <v>9139</v>
      </c>
      <c r="G2261" s="1" t="s">
        <v>12480</v>
      </c>
      <c r="H2261" s="1" t="s">
        <v>9140</v>
      </c>
      <c r="I2261" s="2">
        <v>11.19</v>
      </c>
      <c r="J2261" s="2">
        <v>1.54</v>
      </c>
      <c r="K2261" s="2">
        <v>0.98</v>
      </c>
      <c r="L2261" s="2">
        <v>0.9</v>
      </c>
      <c r="M2261" s="4">
        <f t="shared" si="210"/>
        <v>11.418367346938775</v>
      </c>
      <c r="N2261" s="4">
        <f t="shared" si="211"/>
        <v>12.433333333333332</v>
      </c>
      <c r="O2261" s="5">
        <f t="shared" si="212"/>
        <v>-0.36363636363636365</v>
      </c>
      <c r="P2261" s="5">
        <f t="shared" si="213"/>
        <v>-8.1632653061224469E-2</v>
      </c>
      <c r="Q2261" s="4">
        <f t="shared" si="214"/>
        <v>-0.31400510204081628</v>
      </c>
      <c r="R2261" s="4">
        <f t="shared" si="215"/>
        <v>-1.5230833333333333</v>
      </c>
      <c r="S2261" s="4">
        <v>-1.1000000000000001</v>
      </c>
      <c r="T2261" s="2">
        <v>1.1499999999999999</v>
      </c>
      <c r="U2261" s="2">
        <v>19.73</v>
      </c>
      <c r="V2261" s="2">
        <v>10.119999999999999</v>
      </c>
      <c r="W2261" s="2">
        <v>-16.12</v>
      </c>
      <c r="X2261" s="2">
        <v>4.78</v>
      </c>
      <c r="Y2261" s="2">
        <v>-20.010000000000002</v>
      </c>
      <c r="Z2261" s="2">
        <v>-16.489999999999998</v>
      </c>
    </row>
    <row r="2262" spans="1:26" x14ac:dyDescent="0.25">
      <c r="A2262" s="1" t="s">
        <v>9141</v>
      </c>
      <c r="B2262" s="1" t="s">
        <v>9142</v>
      </c>
      <c r="C2262" s="1" t="s">
        <v>31</v>
      </c>
      <c r="D2262" s="1" t="s">
        <v>61</v>
      </c>
      <c r="E2262" s="1" t="s">
        <v>2394</v>
      </c>
      <c r="F2262" s="1" t="s">
        <v>9143</v>
      </c>
      <c r="G2262" s="1" t="s">
        <v>12480</v>
      </c>
      <c r="H2262" s="1" t="s">
        <v>9144</v>
      </c>
      <c r="I2262" s="2">
        <v>32.96</v>
      </c>
      <c r="J2262" s="2">
        <v>2.33</v>
      </c>
      <c r="K2262" s="2">
        <v>2.77</v>
      </c>
      <c r="L2262" s="2">
        <v>3.19</v>
      </c>
      <c r="M2262" s="4">
        <f t="shared" si="210"/>
        <v>11.898916967509026</v>
      </c>
      <c r="N2262" s="4">
        <f t="shared" si="211"/>
        <v>10.332288401253919</v>
      </c>
      <c r="O2262" s="5">
        <f t="shared" si="212"/>
        <v>0.18884120171673824</v>
      </c>
      <c r="P2262" s="5">
        <f t="shared" si="213"/>
        <v>0.15162454873646203</v>
      </c>
      <c r="Q2262" s="4">
        <f t="shared" si="214"/>
        <v>0.63010173941581871</v>
      </c>
      <c r="R2262" s="4">
        <f t="shared" si="215"/>
        <v>0.68143902074936591</v>
      </c>
      <c r="S2262" s="4">
        <v>18.61</v>
      </c>
      <c r="T2262" s="2">
        <v>1.1499999999999999</v>
      </c>
      <c r="U2262" s="2">
        <v>41.59</v>
      </c>
      <c r="V2262" s="2">
        <v>28.09</v>
      </c>
      <c r="W2262" s="2">
        <v>-15.77</v>
      </c>
      <c r="X2262" s="2">
        <v>-14.08</v>
      </c>
      <c r="Y2262" s="2">
        <v>-5.96</v>
      </c>
      <c r="Z2262" s="2">
        <v>-9.2899999999999991</v>
      </c>
    </row>
    <row r="2263" spans="1:26" x14ac:dyDescent="0.25">
      <c r="A2263" s="1" t="s">
        <v>9145</v>
      </c>
      <c r="B2263" s="1" t="s">
        <v>9146</v>
      </c>
      <c r="C2263" s="1" t="s">
        <v>45</v>
      </c>
      <c r="D2263" s="1" t="s">
        <v>67</v>
      </c>
      <c r="E2263" s="1" t="s">
        <v>2094</v>
      </c>
      <c r="F2263" s="1" t="s">
        <v>9147</v>
      </c>
      <c r="G2263" s="1" t="s">
        <v>12497</v>
      </c>
      <c r="H2263" s="1" t="s">
        <v>2686</v>
      </c>
      <c r="I2263" s="2">
        <v>148.84</v>
      </c>
      <c r="J2263" s="2">
        <v>4.82</v>
      </c>
      <c r="K2263" s="2"/>
      <c r="L2263" s="2"/>
      <c r="M2263" s="4" t="e">
        <f t="shared" si="210"/>
        <v>#DIV/0!</v>
      </c>
      <c r="N2263" s="4" t="e">
        <f t="shared" si="211"/>
        <v>#DIV/0!</v>
      </c>
      <c r="O2263" s="5">
        <f t="shared" si="212"/>
        <v>-1</v>
      </c>
      <c r="P2263" s="5" t="e">
        <f t="shared" si="213"/>
        <v>#DIV/0!</v>
      </c>
      <c r="Q2263" s="4" t="e">
        <f t="shared" si="214"/>
        <v>#DIV/0!</v>
      </c>
      <c r="R2263" s="4" t="e">
        <f t="shared" si="215"/>
        <v>#DIV/0!</v>
      </c>
      <c r="S2263" s="4">
        <v>7.25</v>
      </c>
      <c r="T2263" s="2">
        <v>0.73</v>
      </c>
      <c r="U2263" s="2">
        <v>157.41999999999999</v>
      </c>
      <c r="V2263" s="2">
        <v>82.12</v>
      </c>
      <c r="W2263" s="2">
        <v>-5.45</v>
      </c>
      <c r="X2263" s="2">
        <v>-4.67</v>
      </c>
      <c r="Y2263" s="2">
        <v>14.62</v>
      </c>
      <c r="Z2263" s="2">
        <v>21.33</v>
      </c>
    </row>
    <row r="2264" spans="1:26" x14ac:dyDescent="0.25">
      <c r="A2264" s="1" t="s">
        <v>9148</v>
      </c>
      <c r="B2264" s="1" t="s">
        <v>9149</v>
      </c>
      <c r="C2264" s="1" t="s">
        <v>16</v>
      </c>
      <c r="D2264" s="1" t="s">
        <v>140</v>
      </c>
      <c r="E2264" s="1" t="s">
        <v>284</v>
      </c>
      <c r="F2264" s="1" t="s">
        <v>9150</v>
      </c>
      <c r="G2264" s="1" t="s">
        <v>12480</v>
      </c>
      <c r="H2264" s="1" t="s">
        <v>4709</v>
      </c>
      <c r="I2264" s="2">
        <v>62.55</v>
      </c>
      <c r="J2264" s="2">
        <v>3.17</v>
      </c>
      <c r="K2264" s="2">
        <v>3.29</v>
      </c>
      <c r="L2264" s="2">
        <v>3.68</v>
      </c>
      <c r="M2264" s="4">
        <f t="shared" si="210"/>
        <v>19.012158054711247</v>
      </c>
      <c r="N2264" s="4">
        <f t="shared" si="211"/>
        <v>16.997282608695652</v>
      </c>
      <c r="O2264" s="5">
        <f t="shared" si="212"/>
        <v>3.7854889589905349E-2</v>
      </c>
      <c r="P2264" s="5">
        <f t="shared" si="213"/>
        <v>0.11854103343465039</v>
      </c>
      <c r="Q2264" s="4">
        <f t="shared" si="214"/>
        <v>5.0223784194528891</v>
      </c>
      <c r="R2264" s="4">
        <f t="shared" si="215"/>
        <v>1.4338733277591982</v>
      </c>
      <c r="S2264" s="4">
        <v>-5.72</v>
      </c>
      <c r="T2264" s="2">
        <v>0.68</v>
      </c>
      <c r="U2264" s="2">
        <v>89.29</v>
      </c>
      <c r="V2264" s="2">
        <v>56.65</v>
      </c>
      <c r="W2264" s="2">
        <v>-7.82</v>
      </c>
      <c r="X2264" s="2">
        <v>-9.9700000000000006</v>
      </c>
      <c r="Y2264" s="2">
        <v>1.53</v>
      </c>
      <c r="Z2264" s="2">
        <v>1.21</v>
      </c>
    </row>
    <row r="2265" spans="1:26" x14ac:dyDescent="0.25">
      <c r="A2265" s="1" t="s">
        <v>9151</v>
      </c>
      <c r="B2265" s="1" t="s">
        <v>9152</v>
      </c>
      <c r="C2265" s="1" t="s">
        <v>45</v>
      </c>
      <c r="D2265" s="1" t="s">
        <v>305</v>
      </c>
      <c r="E2265" s="1" t="s">
        <v>1176</v>
      </c>
      <c r="F2265" s="1" t="s">
        <v>9153</v>
      </c>
      <c r="G2265" s="1" t="s">
        <v>12480</v>
      </c>
      <c r="H2265" s="1" t="s">
        <v>7018</v>
      </c>
      <c r="I2265" s="2">
        <v>16.21</v>
      </c>
      <c r="J2265" s="2">
        <v>-29.13</v>
      </c>
      <c r="K2265" s="2">
        <v>-12.38</v>
      </c>
      <c r="L2265" s="2"/>
      <c r="M2265" s="4">
        <f t="shared" si="210"/>
        <v>-1.3093699515347335</v>
      </c>
      <c r="N2265" s="4" t="e">
        <f t="shared" si="211"/>
        <v>#DIV/0!</v>
      </c>
      <c r="O2265" s="5">
        <f t="shared" si="212"/>
        <v>-0.57500858221764495</v>
      </c>
      <c r="P2265" s="5">
        <f t="shared" si="213"/>
        <v>-1</v>
      </c>
      <c r="Q2265" s="4">
        <f t="shared" si="214"/>
        <v>2.2771311455645846E-2</v>
      </c>
      <c r="R2265" s="4" t="e">
        <f t="shared" si="215"/>
        <v>#DIV/0!</v>
      </c>
      <c r="S2265" s="4">
        <v>-14.48</v>
      </c>
      <c r="T2265" s="2">
        <v>1.23</v>
      </c>
      <c r="U2265" s="2">
        <v>41.14</v>
      </c>
      <c r="V2265" s="2">
        <v>12.01</v>
      </c>
      <c r="W2265" s="2">
        <v>-23.1</v>
      </c>
      <c r="X2265" s="2">
        <v>-15.18</v>
      </c>
      <c r="Y2265" s="2">
        <v>20.61</v>
      </c>
      <c r="Z2265" s="2">
        <v>-24.15</v>
      </c>
    </row>
    <row r="2266" spans="1:26" x14ac:dyDescent="0.25">
      <c r="A2266" s="1" t="s">
        <v>9154</v>
      </c>
      <c r="B2266" s="1" t="s">
        <v>9155</v>
      </c>
      <c r="C2266" s="1" t="s">
        <v>16</v>
      </c>
      <c r="D2266" s="1" t="s">
        <v>147</v>
      </c>
      <c r="E2266" s="1" t="s">
        <v>1460</v>
      </c>
      <c r="F2266" s="1" t="s">
        <v>9156</v>
      </c>
      <c r="G2266" s="1" t="s">
        <v>12480</v>
      </c>
      <c r="H2266" s="1" t="s">
        <v>9157</v>
      </c>
      <c r="I2266" s="2">
        <v>13.18</v>
      </c>
      <c r="J2266" s="2">
        <v>0.84</v>
      </c>
      <c r="K2266" s="2">
        <v>0.92</v>
      </c>
      <c r="L2266" s="2">
        <v>1.02</v>
      </c>
      <c r="M2266" s="4">
        <f t="shared" si="210"/>
        <v>14.326086956521738</v>
      </c>
      <c r="N2266" s="4">
        <f t="shared" si="211"/>
        <v>12.921568627450981</v>
      </c>
      <c r="O2266" s="5">
        <f t="shared" si="212"/>
        <v>9.5238095238095344E-2</v>
      </c>
      <c r="P2266" s="5">
        <f t="shared" si="213"/>
        <v>0.10869565217391308</v>
      </c>
      <c r="Q2266" s="4">
        <f t="shared" si="214"/>
        <v>1.5042391304347809</v>
      </c>
      <c r="R2266" s="4">
        <f t="shared" si="215"/>
        <v>1.1887843137254899</v>
      </c>
      <c r="S2266" s="4">
        <v>3.9</v>
      </c>
      <c r="T2266" s="2">
        <v>0.38</v>
      </c>
      <c r="U2266" s="2">
        <v>16.82</v>
      </c>
      <c r="V2266" s="2">
        <v>12.06</v>
      </c>
      <c r="W2266" s="2">
        <v>2.81</v>
      </c>
      <c r="X2266" s="2">
        <v>7.68</v>
      </c>
      <c r="Y2266" s="2">
        <v>-5.79</v>
      </c>
      <c r="Z2266" s="2">
        <v>-6.13</v>
      </c>
    </row>
    <row r="2267" spans="1:26" x14ac:dyDescent="0.25">
      <c r="A2267" s="1" t="s">
        <v>9158</v>
      </c>
      <c r="B2267" s="1" t="s">
        <v>9159</v>
      </c>
      <c r="C2267" s="1" t="s">
        <v>16</v>
      </c>
      <c r="D2267" s="1" t="s">
        <v>140</v>
      </c>
      <c r="E2267" s="1" t="s">
        <v>284</v>
      </c>
      <c r="F2267" s="1" t="s">
        <v>9160</v>
      </c>
      <c r="G2267" s="1" t="s">
        <v>12493</v>
      </c>
      <c r="H2267" s="1" t="s">
        <v>1144</v>
      </c>
      <c r="I2267" s="2">
        <v>62.87</v>
      </c>
      <c r="J2267" s="2">
        <v>1.97</v>
      </c>
      <c r="K2267" s="2">
        <v>2.33</v>
      </c>
      <c r="L2267" s="2">
        <v>2.9</v>
      </c>
      <c r="M2267" s="4">
        <f t="shared" si="210"/>
        <v>26.98283261802575</v>
      </c>
      <c r="N2267" s="4">
        <f t="shared" si="211"/>
        <v>21.679310344827584</v>
      </c>
      <c r="O2267" s="5">
        <f t="shared" si="212"/>
        <v>0.18274111675126914</v>
      </c>
      <c r="P2267" s="5">
        <f t="shared" si="213"/>
        <v>0.24463519313304705</v>
      </c>
      <c r="Q2267" s="4">
        <f t="shared" si="214"/>
        <v>1.4765605627086305</v>
      </c>
      <c r="R2267" s="4">
        <f t="shared" si="215"/>
        <v>0.88618935269207555</v>
      </c>
      <c r="S2267" s="4">
        <v>15.61</v>
      </c>
      <c r="T2267" s="2">
        <v>1.29</v>
      </c>
      <c r="U2267" s="2">
        <v>98.7</v>
      </c>
      <c r="V2267" s="2">
        <v>37.18</v>
      </c>
      <c r="W2267" s="2">
        <v>-4.0599999999999996</v>
      </c>
      <c r="X2267" s="2">
        <v>-15.52</v>
      </c>
      <c r="Y2267" s="2">
        <v>-9.6300000000000008</v>
      </c>
      <c r="Z2267" s="2">
        <v>-6.18</v>
      </c>
    </row>
    <row r="2268" spans="1:26" x14ac:dyDescent="0.25">
      <c r="A2268" s="1" t="s">
        <v>9161</v>
      </c>
      <c r="B2268" s="1" t="s">
        <v>9162</v>
      </c>
      <c r="C2268" s="1" t="s">
        <v>16</v>
      </c>
      <c r="D2268" s="1" t="s">
        <v>94</v>
      </c>
      <c r="E2268" s="1" t="s">
        <v>3284</v>
      </c>
      <c r="F2268" s="1" t="s">
        <v>9163</v>
      </c>
      <c r="G2268" s="1" t="s">
        <v>12480</v>
      </c>
      <c r="H2268" s="1" t="s">
        <v>9164</v>
      </c>
      <c r="I2268" s="2" t="s">
        <v>12772</v>
      </c>
      <c r="J2268" s="2">
        <v>6.44</v>
      </c>
      <c r="K2268" s="2">
        <v>11.4</v>
      </c>
      <c r="L2268" s="2">
        <v>12.77</v>
      </c>
      <c r="M2268" s="4">
        <f t="shared" si="210"/>
        <v>14.298245614035087</v>
      </c>
      <c r="N2268" s="4">
        <f t="shared" si="211"/>
        <v>12.764291307752545</v>
      </c>
      <c r="O2268" s="5">
        <f t="shared" si="212"/>
        <v>0.77018633540372661</v>
      </c>
      <c r="P2268" s="5">
        <f t="shared" si="213"/>
        <v>0.12017543859649105</v>
      </c>
      <c r="Q2268" s="4">
        <f t="shared" si="214"/>
        <v>0.18564657611771365</v>
      </c>
      <c r="R2268" s="4">
        <f t="shared" si="215"/>
        <v>1.0621381088202864</v>
      </c>
      <c r="S2268" s="4">
        <v>-6.14</v>
      </c>
      <c r="T2268" s="2">
        <v>0.86</v>
      </c>
      <c r="U2268" s="2">
        <v>166.44</v>
      </c>
      <c r="V2268" s="2">
        <v>92.87</v>
      </c>
      <c r="W2268" s="2">
        <v>1.76</v>
      </c>
      <c r="X2268" s="2">
        <v>3.49</v>
      </c>
      <c r="Y2268" s="2">
        <v>15.19</v>
      </c>
      <c r="Z2268" s="2">
        <v>26.32</v>
      </c>
    </row>
    <row r="2269" spans="1:26" x14ac:dyDescent="0.25">
      <c r="A2269" s="1" t="s">
        <v>9165</v>
      </c>
      <c r="B2269" s="1" t="s">
        <v>9165</v>
      </c>
      <c r="C2269" s="1" t="s">
        <v>45</v>
      </c>
      <c r="D2269" s="1" t="s">
        <v>32</v>
      </c>
      <c r="E2269" s="1" t="s">
        <v>215</v>
      </c>
      <c r="F2269" s="1" t="s">
        <v>9166</v>
      </c>
      <c r="G2269" s="1" t="s">
        <v>12485</v>
      </c>
      <c r="H2269" s="1" t="s">
        <v>12773</v>
      </c>
      <c r="I2269" s="2">
        <v>163.41999999999999</v>
      </c>
      <c r="J2269" s="2" t="s">
        <v>12497</v>
      </c>
      <c r="K2269" s="2">
        <v>8.0500000000000007</v>
      </c>
      <c r="L2269" s="2">
        <v>8.42</v>
      </c>
      <c r="M2269" s="4">
        <f t="shared" si="210"/>
        <v>20.300621118012419</v>
      </c>
      <c r="N2269" s="4">
        <f t="shared" si="211"/>
        <v>19.408551068883607</v>
      </c>
      <c r="O2269" s="5">
        <f t="shared" si="212"/>
        <v>6.2500000000000888E-3</v>
      </c>
      <c r="P2269" s="5">
        <f t="shared" si="213"/>
        <v>4.5962732919254456E-2</v>
      </c>
      <c r="Q2269" s="4">
        <f t="shared" si="214"/>
        <v>32.480993788819411</v>
      </c>
      <c r="R2269" s="4">
        <f t="shared" si="215"/>
        <v>4.2226712460679385</v>
      </c>
      <c r="S2269" s="4">
        <v>19.18</v>
      </c>
      <c r="T2269" s="2">
        <v>1.03</v>
      </c>
      <c r="U2269" s="2">
        <v>216.53</v>
      </c>
      <c r="V2269" s="2">
        <v>136.74</v>
      </c>
      <c r="W2269" s="2">
        <v>3.35</v>
      </c>
      <c r="X2269" s="2">
        <v>2.2999999999999998</v>
      </c>
      <c r="Y2269" s="2">
        <v>-6.65</v>
      </c>
      <c r="Z2269" s="2">
        <v>-6.19</v>
      </c>
    </row>
    <row r="2270" spans="1:26" x14ac:dyDescent="0.25">
      <c r="A2270" s="1" t="s">
        <v>9167</v>
      </c>
      <c r="B2270" s="1" t="s">
        <v>9168</v>
      </c>
      <c r="C2270" s="1" t="s">
        <v>45</v>
      </c>
      <c r="D2270" s="1" t="s">
        <v>18</v>
      </c>
      <c r="E2270" s="1" t="s">
        <v>74</v>
      </c>
      <c r="F2270" s="1" t="s">
        <v>9169</v>
      </c>
      <c r="G2270" s="1" t="s">
        <v>12480</v>
      </c>
      <c r="H2270" s="1" t="s">
        <v>9170</v>
      </c>
      <c r="I2270" s="2">
        <v>68.400000000000006</v>
      </c>
      <c r="J2270" s="2">
        <v>7.78</v>
      </c>
      <c r="K2270" s="2">
        <v>-0.79</v>
      </c>
      <c r="L2270" s="2">
        <v>1.68</v>
      </c>
      <c r="M2270" s="4">
        <f t="shared" si="210"/>
        <v>-86.582278481012665</v>
      </c>
      <c r="N2270" s="4">
        <f t="shared" si="211"/>
        <v>40.714285714285722</v>
      </c>
      <c r="O2270" s="5">
        <f t="shared" si="212"/>
        <v>-1.1015424164524421</v>
      </c>
      <c r="P2270" s="5">
        <f t="shared" si="213"/>
        <v>-3.1265822784810124</v>
      </c>
      <c r="Q2270" s="4">
        <f t="shared" si="214"/>
        <v>0.78600948259309045</v>
      </c>
      <c r="R2270" s="4">
        <f t="shared" si="215"/>
        <v>-0.13021978021978026</v>
      </c>
      <c r="S2270" s="4">
        <v>114.51</v>
      </c>
      <c r="T2270" s="2">
        <v>0.51</v>
      </c>
      <c r="U2270" s="2">
        <v>86.25</v>
      </c>
      <c r="V2270" s="2">
        <v>36.19</v>
      </c>
      <c r="W2270" s="2">
        <v>3.06</v>
      </c>
      <c r="X2270" s="2">
        <v>-7.77</v>
      </c>
      <c r="Y2270" s="2">
        <v>-10.3</v>
      </c>
      <c r="Z2270" s="2">
        <v>-9.9499999999999993</v>
      </c>
    </row>
    <row r="2271" spans="1:26" x14ac:dyDescent="0.25">
      <c r="A2271" s="1" t="s">
        <v>9171</v>
      </c>
      <c r="B2271" s="1" t="s">
        <v>9172</v>
      </c>
      <c r="C2271" s="1" t="s">
        <v>45</v>
      </c>
      <c r="D2271" s="1" t="s">
        <v>94</v>
      </c>
      <c r="E2271" s="1" t="s">
        <v>1925</v>
      </c>
      <c r="F2271" s="1" t="s">
        <v>9173</v>
      </c>
      <c r="G2271" s="1" t="s">
        <v>12480</v>
      </c>
      <c r="H2271" s="1" t="s">
        <v>9174</v>
      </c>
      <c r="I2271" s="2">
        <v>9.27</v>
      </c>
      <c r="J2271" s="2">
        <v>-0.13</v>
      </c>
      <c r="K2271" s="2">
        <v>-0.33</v>
      </c>
      <c r="L2271" s="2">
        <v>-0.13</v>
      </c>
      <c r="M2271" s="4">
        <f t="shared" si="210"/>
        <v>-28.09090909090909</v>
      </c>
      <c r="N2271" s="4">
        <f t="shared" si="211"/>
        <v>-71.307692307692307</v>
      </c>
      <c r="O2271" s="5">
        <f t="shared" si="212"/>
        <v>1.5384615384615383</v>
      </c>
      <c r="P2271" s="5">
        <f t="shared" si="213"/>
        <v>-0.60606060606060608</v>
      </c>
      <c r="Q2271" s="4">
        <f t="shared" si="214"/>
        <v>-0.18259090909090908</v>
      </c>
      <c r="R2271" s="4">
        <f t="shared" si="215"/>
        <v>1.176576923076923</v>
      </c>
      <c r="S2271" s="4">
        <v>-10.25</v>
      </c>
      <c r="T2271" s="2">
        <v>0.71</v>
      </c>
      <c r="U2271" s="2">
        <v>9.27</v>
      </c>
      <c r="V2271" s="2">
        <v>5.18</v>
      </c>
      <c r="W2271" s="2">
        <v>5.0999999999999996</v>
      </c>
      <c r="X2271" s="2">
        <v>6.55</v>
      </c>
      <c r="Y2271" s="2">
        <v>49.03</v>
      </c>
      <c r="Z2271" s="2">
        <v>51.72</v>
      </c>
    </row>
    <row r="2272" spans="1:26" x14ac:dyDescent="0.25">
      <c r="A2272" s="1" t="s">
        <v>9175</v>
      </c>
      <c r="B2272" s="1" t="s">
        <v>9176</v>
      </c>
      <c r="C2272" s="1" t="s">
        <v>45</v>
      </c>
      <c r="D2272" s="1" t="s">
        <v>18</v>
      </c>
      <c r="E2272" s="1" t="s">
        <v>74</v>
      </c>
      <c r="F2272" s="1" t="s">
        <v>9177</v>
      </c>
      <c r="G2272" s="1" t="s">
        <v>12480</v>
      </c>
      <c r="H2272" s="1" t="s">
        <v>9178</v>
      </c>
      <c r="I2272" s="2">
        <v>96.66</v>
      </c>
      <c r="J2272" s="2">
        <v>-2.0499999999999998</v>
      </c>
      <c r="K2272" s="2">
        <v>1.05</v>
      </c>
      <c r="L2272" s="2">
        <v>-1.65</v>
      </c>
      <c r="M2272" s="4">
        <f t="shared" si="210"/>
        <v>92.05714285714285</v>
      </c>
      <c r="N2272" s="4">
        <f t="shared" si="211"/>
        <v>-58.581818181818186</v>
      </c>
      <c r="O2272" s="5">
        <f t="shared" si="212"/>
        <v>-1.5121951219512195</v>
      </c>
      <c r="P2272" s="5">
        <f t="shared" si="213"/>
        <v>-2.5714285714285712</v>
      </c>
      <c r="Q2272" s="4">
        <f t="shared" si="214"/>
        <v>-0.60876497695852527</v>
      </c>
      <c r="R2272" s="4">
        <f t="shared" si="215"/>
        <v>0.22781818181818186</v>
      </c>
      <c r="S2272" s="4">
        <v>-89.41</v>
      </c>
      <c r="T2272" s="2">
        <v>2.23</v>
      </c>
      <c r="U2272" s="2">
        <v>96.66</v>
      </c>
      <c r="V2272" s="2">
        <v>38.35</v>
      </c>
      <c r="W2272" s="2">
        <v>2.57</v>
      </c>
      <c r="X2272" s="2">
        <v>16.010000000000002</v>
      </c>
      <c r="Y2272" s="2">
        <v>1.97</v>
      </c>
      <c r="Z2272" s="2">
        <v>10.67</v>
      </c>
    </row>
    <row r="2273" spans="1:26" x14ac:dyDescent="0.25">
      <c r="A2273" s="1" t="s">
        <v>9179</v>
      </c>
      <c r="B2273" s="1" t="s">
        <v>9180</v>
      </c>
      <c r="C2273" s="1" t="s">
        <v>45</v>
      </c>
      <c r="D2273" s="1" t="s">
        <v>46</v>
      </c>
      <c r="E2273" s="1" t="s">
        <v>1142</v>
      </c>
      <c r="F2273" s="1" t="s">
        <v>9181</v>
      </c>
      <c r="G2273" s="1" t="s">
        <v>12480</v>
      </c>
      <c r="H2273" s="1" t="s">
        <v>9182</v>
      </c>
      <c r="I2273" s="2">
        <v>8.9700000000000006</v>
      </c>
      <c r="J2273" s="2">
        <v>-34.479999999999997</v>
      </c>
      <c r="K2273" s="2"/>
      <c r="L2273" s="2"/>
      <c r="M2273" s="4" t="e">
        <f t="shared" si="210"/>
        <v>#DIV/0!</v>
      </c>
      <c r="N2273" s="4" t="e">
        <f t="shared" si="211"/>
        <v>#DIV/0!</v>
      </c>
      <c r="O2273" s="5">
        <f t="shared" si="212"/>
        <v>-1</v>
      </c>
      <c r="P2273" s="5" t="e">
        <f t="shared" si="213"/>
        <v>#DIV/0!</v>
      </c>
      <c r="Q2273" s="4" t="e">
        <f t="shared" si="214"/>
        <v>#DIV/0!</v>
      </c>
      <c r="R2273" s="4" t="e">
        <f t="shared" si="215"/>
        <v>#DIV/0!</v>
      </c>
      <c r="S2273" s="4">
        <v>-3.89</v>
      </c>
      <c r="T2273" s="2">
        <v>-0.52</v>
      </c>
      <c r="U2273" s="2" t="s">
        <v>12774</v>
      </c>
      <c r="V2273" s="2">
        <v>8.01</v>
      </c>
      <c r="W2273" s="2">
        <v>2.5099999999999998</v>
      </c>
      <c r="X2273" s="2">
        <v>-3.34</v>
      </c>
      <c r="Y2273" s="2">
        <v>-1.64</v>
      </c>
      <c r="Z2273" s="2">
        <v>12.01</v>
      </c>
    </row>
    <row r="2274" spans="1:26" x14ac:dyDescent="0.25">
      <c r="A2274" s="1" t="s">
        <v>9183</v>
      </c>
      <c r="B2274" s="1" t="s">
        <v>9184</v>
      </c>
      <c r="C2274" s="1" t="s">
        <v>45</v>
      </c>
      <c r="D2274" s="1" t="s">
        <v>147</v>
      </c>
      <c r="E2274" s="1" t="s">
        <v>1073</v>
      </c>
      <c r="F2274" s="1" t="s">
        <v>9185</v>
      </c>
      <c r="G2274" s="1" t="s">
        <v>12502</v>
      </c>
      <c r="H2274" s="1" t="s">
        <v>9186</v>
      </c>
      <c r="I2274" s="2">
        <v>3.86</v>
      </c>
      <c r="J2274" s="2">
        <v>-0.3</v>
      </c>
      <c r="K2274" s="2">
        <v>0.11</v>
      </c>
      <c r="L2274" s="2">
        <v>0.19</v>
      </c>
      <c r="M2274" s="4">
        <f t="shared" si="210"/>
        <v>35.090909090909086</v>
      </c>
      <c r="N2274" s="4">
        <f t="shared" si="211"/>
        <v>20.315789473684209</v>
      </c>
      <c r="O2274" s="5">
        <f t="shared" si="212"/>
        <v>-1.3666666666666667</v>
      </c>
      <c r="P2274" s="5">
        <f t="shared" si="213"/>
        <v>0.72727272727272729</v>
      </c>
      <c r="Q2274" s="4">
        <f t="shared" si="214"/>
        <v>-0.25676274944567629</v>
      </c>
      <c r="R2274" s="4">
        <f t="shared" si="215"/>
        <v>0.27934210526315784</v>
      </c>
      <c r="S2274" s="4">
        <v>-7.77</v>
      </c>
      <c r="T2274" s="2">
        <v>2.4700000000000002</v>
      </c>
      <c r="U2274" s="2" t="s">
        <v>12485</v>
      </c>
      <c r="V2274" s="2">
        <v>3.83</v>
      </c>
      <c r="W2274" s="2">
        <v>-1.03</v>
      </c>
      <c r="X2274" s="2">
        <v>-12.27</v>
      </c>
      <c r="Y2274" s="2">
        <v>-38.24</v>
      </c>
      <c r="Z2274" s="2">
        <v>-37.340000000000003</v>
      </c>
    </row>
    <row r="2275" spans="1:26" x14ac:dyDescent="0.25">
      <c r="A2275" s="1" t="s">
        <v>9187</v>
      </c>
      <c r="B2275" s="1" t="s">
        <v>9188</v>
      </c>
      <c r="C2275" s="1" t="s">
        <v>45</v>
      </c>
      <c r="D2275" s="1" t="s">
        <v>67</v>
      </c>
      <c r="E2275" s="1" t="s">
        <v>833</v>
      </c>
      <c r="F2275" s="1" t="s">
        <v>9189</v>
      </c>
      <c r="G2275" s="1" t="s">
        <v>12480</v>
      </c>
      <c r="H2275" s="1" t="s">
        <v>9190</v>
      </c>
      <c r="I2275" s="2">
        <v>10.130000000000001</v>
      </c>
      <c r="J2275" s="2">
        <v>-1.36</v>
      </c>
      <c r="K2275" s="2">
        <v>0.42</v>
      </c>
      <c r="L2275" s="2">
        <v>0.54</v>
      </c>
      <c r="M2275" s="4">
        <f t="shared" si="210"/>
        <v>24.11904761904762</v>
      </c>
      <c r="N2275" s="4">
        <f t="shared" si="211"/>
        <v>18.75925925925926</v>
      </c>
      <c r="O2275" s="5">
        <f t="shared" si="212"/>
        <v>-1.3088235294117647</v>
      </c>
      <c r="P2275" s="5">
        <f t="shared" si="213"/>
        <v>0.28571428571428581</v>
      </c>
      <c r="Q2275" s="4">
        <f t="shared" si="214"/>
        <v>-0.18428036383092564</v>
      </c>
      <c r="R2275" s="4">
        <f t="shared" si="215"/>
        <v>0.65657407407407387</v>
      </c>
      <c r="S2275" s="4">
        <v>39.26</v>
      </c>
      <c r="T2275" s="2"/>
      <c r="U2275" s="2">
        <v>18.399999999999999</v>
      </c>
      <c r="V2275" s="2">
        <v>9.59</v>
      </c>
      <c r="W2275" s="2">
        <v>-6.64</v>
      </c>
      <c r="X2275" s="2">
        <v>-15.93</v>
      </c>
      <c r="Y2275" s="2">
        <v>-14.66</v>
      </c>
      <c r="Z2275" s="2">
        <v>-12.22</v>
      </c>
    </row>
    <row r="2276" spans="1:26" x14ac:dyDescent="0.25">
      <c r="A2276" s="1" t="s">
        <v>9191</v>
      </c>
      <c r="B2276" s="1" t="s">
        <v>9192</v>
      </c>
      <c r="C2276" s="1" t="s">
        <v>16</v>
      </c>
      <c r="D2276" s="1" t="s">
        <v>38</v>
      </c>
      <c r="E2276" s="1" t="s">
        <v>259</v>
      </c>
      <c r="F2276" s="1" t="s">
        <v>9193</v>
      </c>
      <c r="G2276" s="1" t="s">
        <v>12499</v>
      </c>
      <c r="H2276" s="1" t="s">
        <v>9194</v>
      </c>
      <c r="I2276" s="2">
        <v>12.25</v>
      </c>
      <c r="J2276" s="2"/>
      <c r="K2276" s="2"/>
      <c r="L2276" s="2"/>
      <c r="M2276" s="4" t="e">
        <f t="shared" si="210"/>
        <v>#DIV/0!</v>
      </c>
      <c r="N2276" s="4" t="e">
        <f t="shared" si="211"/>
        <v>#DIV/0!</v>
      </c>
      <c r="O2276" s="5" t="e">
        <f t="shared" si="212"/>
        <v>#DIV/0!</v>
      </c>
      <c r="P2276" s="5" t="e">
        <f t="shared" si="213"/>
        <v>#DIV/0!</v>
      </c>
      <c r="Q2276" s="4" t="e">
        <f t="shared" si="214"/>
        <v>#DIV/0!</v>
      </c>
      <c r="R2276" s="4" t="e">
        <f t="shared" si="215"/>
        <v>#DIV/0!</v>
      </c>
      <c r="S2276" s="4"/>
      <c r="T2276" s="2">
        <v>0.88</v>
      </c>
      <c r="U2276" s="2">
        <v>14.62</v>
      </c>
      <c r="V2276" s="2">
        <v>12.25</v>
      </c>
      <c r="W2276" s="2">
        <v>-4.45</v>
      </c>
      <c r="X2276" s="2">
        <v>-6.13</v>
      </c>
      <c r="Y2276" s="2">
        <v>-4.97</v>
      </c>
      <c r="Z2276" s="2">
        <v>-5.04</v>
      </c>
    </row>
    <row r="2277" spans="1:26" x14ac:dyDescent="0.25">
      <c r="A2277" s="1" t="s">
        <v>9195</v>
      </c>
      <c r="B2277" s="1" t="s">
        <v>9196</v>
      </c>
      <c r="C2277" s="1" t="s">
        <v>31</v>
      </c>
      <c r="D2277" s="1" t="s">
        <v>140</v>
      </c>
      <c r="E2277" s="1" t="s">
        <v>2376</v>
      </c>
      <c r="F2277" s="1" t="s">
        <v>9197</v>
      </c>
      <c r="G2277" s="1" t="s">
        <v>12480</v>
      </c>
      <c r="H2277" s="1" t="s">
        <v>9198</v>
      </c>
      <c r="I2277" s="2">
        <v>22.283999999999999</v>
      </c>
      <c r="J2277" s="2">
        <v>2.12</v>
      </c>
      <c r="K2277" s="2">
        <v>2.31</v>
      </c>
      <c r="L2277" s="2">
        <v>2.5099999999999998</v>
      </c>
      <c r="M2277" s="4">
        <f t="shared" si="210"/>
        <v>9.6467532467532457</v>
      </c>
      <c r="N2277" s="4">
        <f t="shared" si="211"/>
        <v>8.8780876494023904</v>
      </c>
      <c r="O2277" s="5">
        <f t="shared" si="212"/>
        <v>8.9622641509433887E-2</v>
      </c>
      <c r="P2277" s="5">
        <f t="shared" si="213"/>
        <v>8.6580086580086535E-2</v>
      </c>
      <c r="Q2277" s="4">
        <f t="shared" si="214"/>
        <v>1.0763745727956262</v>
      </c>
      <c r="R2277" s="4">
        <f t="shared" si="215"/>
        <v>1.0254191235059764</v>
      </c>
      <c r="S2277" s="4">
        <v>13.45</v>
      </c>
      <c r="T2277" s="2">
        <v>0.82</v>
      </c>
      <c r="U2277" s="2">
        <v>28.5</v>
      </c>
      <c r="V2277" s="2">
        <v>21.07</v>
      </c>
      <c r="W2277" s="2">
        <v>2.88</v>
      </c>
      <c r="X2277" s="2">
        <v>-6.64</v>
      </c>
      <c r="Y2277" s="2">
        <v>-15.01</v>
      </c>
      <c r="Z2277" s="2">
        <v>-13.9</v>
      </c>
    </row>
    <row r="2278" spans="1:26" x14ac:dyDescent="0.25">
      <c r="A2278" s="1" t="s">
        <v>9199</v>
      </c>
      <c r="B2278" s="1" t="s">
        <v>9200</v>
      </c>
      <c r="C2278" s="1" t="s">
        <v>16</v>
      </c>
      <c r="D2278" s="1" t="s">
        <v>38</v>
      </c>
      <c r="E2278" s="1" t="s">
        <v>254</v>
      </c>
      <c r="F2278" s="1" t="s">
        <v>9201</v>
      </c>
      <c r="G2278" s="1" t="s">
        <v>12480</v>
      </c>
      <c r="H2278" s="1" t="s">
        <v>9202</v>
      </c>
      <c r="I2278" s="2">
        <v>29.22</v>
      </c>
      <c r="J2278" s="2">
        <v>1.79</v>
      </c>
      <c r="K2278" s="2">
        <v>1.96</v>
      </c>
      <c r="L2278" s="2">
        <v>2.09</v>
      </c>
      <c r="M2278" s="4">
        <f t="shared" si="210"/>
        <v>14.908163265306122</v>
      </c>
      <c r="N2278" s="4">
        <f t="shared" si="211"/>
        <v>13.98086124401914</v>
      </c>
      <c r="O2278" s="5">
        <f t="shared" si="212"/>
        <v>9.4972067039106101E-2</v>
      </c>
      <c r="P2278" s="5">
        <f t="shared" si="213"/>
        <v>6.6326530612244916E-2</v>
      </c>
      <c r="Q2278" s="4">
        <f t="shared" si="214"/>
        <v>1.5697418967587042</v>
      </c>
      <c r="R2278" s="4">
        <f t="shared" si="215"/>
        <v>2.1078836952521161</v>
      </c>
      <c r="S2278" s="4">
        <v>-14.58</v>
      </c>
      <c r="T2278" s="2">
        <v>0.74</v>
      </c>
      <c r="U2278" s="2">
        <v>33.61</v>
      </c>
      <c r="V2278" s="2">
        <v>18.03</v>
      </c>
      <c r="W2278" s="2">
        <v>-3.63</v>
      </c>
      <c r="X2278" s="2">
        <v>-10.64</v>
      </c>
      <c r="Y2278" s="2">
        <v>-2.44</v>
      </c>
      <c r="Z2278" s="2">
        <v>-6.11</v>
      </c>
    </row>
    <row r="2279" spans="1:26" x14ac:dyDescent="0.25">
      <c r="A2279" s="1" t="s">
        <v>9203</v>
      </c>
      <c r="B2279" s="1" t="s">
        <v>9204</v>
      </c>
      <c r="C2279" s="1" t="s">
        <v>16</v>
      </c>
      <c r="D2279" s="1" t="s">
        <v>94</v>
      </c>
      <c r="E2279" s="1" t="s">
        <v>1042</v>
      </c>
      <c r="F2279" s="1" t="s">
        <v>9205</v>
      </c>
      <c r="G2279" s="1" t="s">
        <v>12480</v>
      </c>
      <c r="H2279" s="1" t="s">
        <v>9206</v>
      </c>
      <c r="I2279" s="2">
        <v>12.22</v>
      </c>
      <c r="J2279" s="2">
        <v>0.01</v>
      </c>
      <c r="K2279" s="2">
        <v>-0.02</v>
      </c>
      <c r="L2279" s="2">
        <v>0.69</v>
      </c>
      <c r="M2279" s="4">
        <f t="shared" si="210"/>
        <v>-611</v>
      </c>
      <c r="N2279" s="4">
        <f t="shared" si="211"/>
        <v>17.710144927536234</v>
      </c>
      <c r="O2279" s="5">
        <f t="shared" si="212"/>
        <v>-3</v>
      </c>
      <c r="P2279" s="5">
        <f t="shared" si="213"/>
        <v>-35.5</v>
      </c>
      <c r="Q2279" s="4">
        <f t="shared" si="214"/>
        <v>2.0366666666666666</v>
      </c>
      <c r="R2279" s="4">
        <f t="shared" si="215"/>
        <v>-4.9887732190242911E-3</v>
      </c>
      <c r="S2279" s="4">
        <v>-12.13</v>
      </c>
      <c r="T2279" s="2">
        <v>0.7</v>
      </c>
      <c r="U2279" s="2">
        <v>12.6</v>
      </c>
      <c r="V2279" s="2">
        <v>4.5199999999999996</v>
      </c>
      <c r="W2279" s="2">
        <v>-2.94</v>
      </c>
      <c r="X2279" s="2">
        <v>5.71</v>
      </c>
      <c r="Y2279" s="2">
        <v>19.920000000000002</v>
      </c>
      <c r="Z2279" s="2">
        <v>28.5</v>
      </c>
    </row>
    <row r="2280" spans="1:26" x14ac:dyDescent="0.25">
      <c r="A2280" s="1" t="s">
        <v>9207</v>
      </c>
      <c r="B2280" s="1" t="s">
        <v>9207</v>
      </c>
      <c r="C2280" s="1" t="s">
        <v>16</v>
      </c>
      <c r="D2280" s="1" t="s">
        <v>147</v>
      </c>
      <c r="E2280" s="1" t="s">
        <v>1931</v>
      </c>
      <c r="F2280" s="1" t="s">
        <v>9208</v>
      </c>
      <c r="G2280" s="1" t="s">
        <v>12493</v>
      </c>
      <c r="H2280" s="1" t="s">
        <v>9209</v>
      </c>
      <c r="I2280" s="2">
        <v>64.56</v>
      </c>
      <c r="J2280" s="2">
        <v>11.74</v>
      </c>
      <c r="K2280" s="2">
        <v>11.65</v>
      </c>
      <c r="L2280" s="2">
        <v>11.78</v>
      </c>
      <c r="M2280" s="4">
        <f t="shared" si="210"/>
        <v>5.5416309012875535</v>
      </c>
      <c r="N2280" s="4">
        <f t="shared" si="211"/>
        <v>5.4804753820033962</v>
      </c>
      <c r="O2280" s="5">
        <f t="shared" si="212"/>
        <v>-7.6660988074956915E-3</v>
      </c>
      <c r="P2280" s="5">
        <f t="shared" si="213"/>
        <v>1.1158798283261717E-2</v>
      </c>
      <c r="Q2280" s="4">
        <f t="shared" si="214"/>
        <v>-7.2287496423462558</v>
      </c>
      <c r="R2280" s="4">
        <f t="shared" si="215"/>
        <v>4.9113490923338503</v>
      </c>
      <c r="S2280" s="4">
        <v>-6.13</v>
      </c>
      <c r="T2280" s="2">
        <v>1.67</v>
      </c>
      <c r="U2280" s="2">
        <v>89.52</v>
      </c>
      <c r="V2280" s="2">
        <v>60.5</v>
      </c>
      <c r="W2280" s="2">
        <v>-3.05</v>
      </c>
      <c r="X2280" s="2">
        <v>-3.03</v>
      </c>
      <c r="Y2280" s="2">
        <v>-13.34</v>
      </c>
      <c r="Z2280" s="2">
        <v>-3.67</v>
      </c>
    </row>
    <row r="2281" spans="1:26" x14ac:dyDescent="0.25">
      <c r="A2281" s="1" t="s">
        <v>9210</v>
      </c>
      <c r="B2281" s="1" t="s">
        <v>9211</v>
      </c>
      <c r="C2281" s="1" t="s">
        <v>45</v>
      </c>
      <c r="D2281" s="1" t="s">
        <v>18</v>
      </c>
      <c r="E2281" s="1" t="s">
        <v>74</v>
      </c>
      <c r="F2281" s="1" t="s">
        <v>9212</v>
      </c>
      <c r="G2281" s="1" t="s">
        <v>12480</v>
      </c>
      <c r="H2281" s="1" t="s">
        <v>12617</v>
      </c>
      <c r="I2281" s="2">
        <v>136.69999999999999</v>
      </c>
      <c r="J2281" s="2">
        <v>-7.83</v>
      </c>
      <c r="K2281" s="2">
        <v>-3.65</v>
      </c>
      <c r="L2281" s="2">
        <v>-3.85</v>
      </c>
      <c r="M2281" s="4">
        <f t="shared" si="210"/>
        <v>-37.452054794520542</v>
      </c>
      <c r="N2281" s="4">
        <f t="shared" si="211"/>
        <v>-35.506493506493506</v>
      </c>
      <c r="O2281" s="5">
        <f t="shared" si="212"/>
        <v>-0.5338441890166028</v>
      </c>
      <c r="P2281" s="5">
        <f t="shared" si="213"/>
        <v>5.4794520547945202E-2</v>
      </c>
      <c r="Q2281" s="4">
        <f t="shared" si="214"/>
        <v>0.70155404076817185</v>
      </c>
      <c r="R2281" s="4">
        <f t="shared" si="215"/>
        <v>-6.4799350649350655</v>
      </c>
      <c r="S2281" s="4"/>
      <c r="T2281" s="2">
        <v>-0.3</v>
      </c>
      <c r="U2281" s="2">
        <v>148.34</v>
      </c>
      <c r="V2281" s="2">
        <v>19.87</v>
      </c>
      <c r="W2281" s="2">
        <v>3.08</v>
      </c>
      <c r="X2281" s="2">
        <v>75.53</v>
      </c>
      <c r="Y2281" s="2">
        <v>53.63</v>
      </c>
      <c r="Z2281" s="2">
        <v>30.6</v>
      </c>
    </row>
    <row r="2282" spans="1:26" x14ac:dyDescent="0.25">
      <c r="A2282" s="1" t="s">
        <v>9213</v>
      </c>
      <c r="B2282" s="1" t="s">
        <v>9214</v>
      </c>
      <c r="C2282" s="1" t="s">
        <v>45</v>
      </c>
      <c r="D2282" s="1" t="s">
        <v>38</v>
      </c>
      <c r="E2282" s="1" t="s">
        <v>52</v>
      </c>
      <c r="F2282" s="1" t="s">
        <v>9215</v>
      </c>
      <c r="G2282" s="1" t="s">
        <v>12480</v>
      </c>
      <c r="H2282" s="1" t="s">
        <v>9216</v>
      </c>
      <c r="I2282" s="2">
        <v>16.739999999999998</v>
      </c>
      <c r="J2282" s="2">
        <v>0.68</v>
      </c>
      <c r="K2282" s="2"/>
      <c r="L2282" s="2"/>
      <c r="M2282" s="4" t="e">
        <f t="shared" si="210"/>
        <v>#DIV/0!</v>
      </c>
      <c r="N2282" s="4" t="e">
        <f t="shared" si="211"/>
        <v>#DIV/0!</v>
      </c>
      <c r="O2282" s="5">
        <f t="shared" si="212"/>
        <v>-1</v>
      </c>
      <c r="P2282" s="5" t="e">
        <f t="shared" si="213"/>
        <v>#DIV/0!</v>
      </c>
      <c r="Q2282" s="4" t="e">
        <f t="shared" si="214"/>
        <v>#DIV/0!</v>
      </c>
      <c r="R2282" s="4" t="e">
        <f t="shared" si="215"/>
        <v>#DIV/0!</v>
      </c>
      <c r="S2282" s="4">
        <v>-14.48</v>
      </c>
      <c r="T2282" s="2">
        <v>1.69</v>
      </c>
      <c r="U2282" s="2">
        <v>24.34</v>
      </c>
      <c r="V2282" s="2">
        <v>15.45</v>
      </c>
      <c r="W2282" s="2">
        <v>-10.29</v>
      </c>
      <c r="X2282" s="2">
        <v>-31.22</v>
      </c>
      <c r="Y2282" s="2">
        <v>-5.53</v>
      </c>
      <c r="Z2282" s="2">
        <v>-3.24</v>
      </c>
    </row>
    <row r="2283" spans="1:26" x14ac:dyDescent="0.25">
      <c r="A2283" s="1" t="s">
        <v>9217</v>
      </c>
      <c r="B2283" s="1" t="s">
        <v>9218</v>
      </c>
      <c r="C2283" s="1" t="s">
        <v>16</v>
      </c>
      <c r="D2283" s="1" t="s">
        <v>61</v>
      </c>
      <c r="E2283" s="1" t="s">
        <v>237</v>
      </c>
      <c r="F2283" s="1" t="s">
        <v>9219</v>
      </c>
      <c r="G2283" s="1" t="s">
        <v>12480</v>
      </c>
      <c r="H2283" s="1" t="s">
        <v>9220</v>
      </c>
      <c r="I2283" s="2">
        <v>568.04</v>
      </c>
      <c r="J2283" s="2">
        <v>10.75</v>
      </c>
      <c r="K2283" s="2">
        <v>12.85</v>
      </c>
      <c r="L2283" s="2">
        <v>15.16</v>
      </c>
      <c r="M2283" s="4">
        <f t="shared" si="210"/>
        <v>44.20544747081712</v>
      </c>
      <c r="N2283" s="4">
        <f t="shared" si="211"/>
        <v>37.469656992084431</v>
      </c>
      <c r="O2283" s="5">
        <f t="shared" si="212"/>
        <v>0.19534883720930218</v>
      </c>
      <c r="P2283" s="5">
        <f t="shared" si="213"/>
        <v>0.17976653696498057</v>
      </c>
      <c r="Q2283" s="4">
        <f t="shared" si="214"/>
        <v>2.2628979062442114</v>
      </c>
      <c r="R2283" s="4">
        <f t="shared" si="215"/>
        <v>2.084351049126774</v>
      </c>
      <c r="S2283" s="4">
        <v>20.309999999999999</v>
      </c>
      <c r="T2283" s="2">
        <v>1.1000000000000001</v>
      </c>
      <c r="U2283" s="2">
        <v>572.66</v>
      </c>
      <c r="V2283" s="2">
        <v>236.71</v>
      </c>
      <c r="W2283" s="2">
        <v>-0.81</v>
      </c>
      <c r="X2283" s="2">
        <v>10.39</v>
      </c>
      <c r="Y2283" s="2">
        <v>30.32</v>
      </c>
      <c r="Z2283" s="2">
        <v>34.590000000000003</v>
      </c>
    </row>
    <row r="2284" spans="1:26" x14ac:dyDescent="0.25">
      <c r="A2284" s="1" t="s">
        <v>9221</v>
      </c>
      <c r="B2284" s="1" t="s">
        <v>9222</v>
      </c>
      <c r="C2284" s="1" t="s">
        <v>16</v>
      </c>
      <c r="D2284" s="1" t="s">
        <v>147</v>
      </c>
      <c r="E2284" s="1" t="s">
        <v>435</v>
      </c>
      <c r="F2284" s="1" t="s">
        <v>9223</v>
      </c>
      <c r="G2284" s="1" t="s">
        <v>12497</v>
      </c>
      <c r="H2284" s="1" t="s">
        <v>5099</v>
      </c>
      <c r="I2284" s="2">
        <v>29.28</v>
      </c>
      <c r="J2284" s="2">
        <v>4.54</v>
      </c>
      <c r="K2284" s="2">
        <v>4.41</v>
      </c>
      <c r="L2284" s="2">
        <v>4.88</v>
      </c>
      <c r="M2284" s="4">
        <f t="shared" si="210"/>
        <v>6.6394557823129254</v>
      </c>
      <c r="N2284" s="4">
        <f t="shared" si="211"/>
        <v>6</v>
      </c>
      <c r="O2284" s="5">
        <f t="shared" si="212"/>
        <v>-2.8634361233480177E-2</v>
      </c>
      <c r="P2284" s="5">
        <f t="shared" si="213"/>
        <v>0.10657596371882083</v>
      </c>
      <c r="Q2284" s="4">
        <f t="shared" si="214"/>
        <v>-2.3187022501308214</v>
      </c>
      <c r="R2284" s="4">
        <f t="shared" si="215"/>
        <v>0.56297872340425548</v>
      </c>
      <c r="S2284" s="4" t="s">
        <v>12862</v>
      </c>
      <c r="T2284" s="2"/>
      <c r="U2284" s="2">
        <v>38.15</v>
      </c>
      <c r="V2284" s="2">
        <v>27.32</v>
      </c>
      <c r="W2284" s="2">
        <v>-2.04</v>
      </c>
      <c r="X2284" s="2">
        <v>2.41</v>
      </c>
      <c r="Y2284" s="2">
        <v>-8.44</v>
      </c>
      <c r="Z2284" s="2">
        <v>-3.37</v>
      </c>
    </row>
    <row r="2285" spans="1:26" x14ac:dyDescent="0.25">
      <c r="A2285" s="1" t="s">
        <v>9224</v>
      </c>
      <c r="B2285" s="1" t="s">
        <v>9225</v>
      </c>
      <c r="C2285" s="1" t="s">
        <v>45</v>
      </c>
      <c r="D2285" s="1" t="s">
        <v>140</v>
      </c>
      <c r="E2285" s="1" t="s">
        <v>1555</v>
      </c>
      <c r="F2285" s="1" t="s">
        <v>9226</v>
      </c>
      <c r="G2285" s="1" t="s">
        <v>12480</v>
      </c>
      <c r="H2285" s="1" t="s">
        <v>9227</v>
      </c>
      <c r="I2285" s="2">
        <v>46.16</v>
      </c>
      <c r="J2285" s="2">
        <v>5.31</v>
      </c>
      <c r="K2285" s="2">
        <v>5.34</v>
      </c>
      <c r="L2285" s="2">
        <v>5.81</v>
      </c>
      <c r="M2285" s="4">
        <f t="shared" si="210"/>
        <v>8.644194756554306</v>
      </c>
      <c r="N2285" s="4">
        <f t="shared" si="211"/>
        <v>7.9449225473321858</v>
      </c>
      <c r="O2285" s="5">
        <f t="shared" si="212"/>
        <v>5.6497175141243527E-3</v>
      </c>
      <c r="P2285" s="5">
        <f t="shared" si="213"/>
        <v>8.8014981273408122E-2</v>
      </c>
      <c r="Q2285" s="4">
        <f t="shared" si="214"/>
        <v>15.300224719100962</v>
      </c>
      <c r="R2285" s="4">
        <f t="shared" si="215"/>
        <v>0.90267843410114745</v>
      </c>
      <c r="S2285" s="4">
        <v>4.32</v>
      </c>
      <c r="T2285" s="2">
        <v>1.43</v>
      </c>
      <c r="U2285" s="2">
        <v>78.22</v>
      </c>
      <c r="V2285" s="2">
        <v>39.08</v>
      </c>
      <c r="W2285" s="2">
        <v>1.1599999999999999</v>
      </c>
      <c r="X2285" s="2">
        <v>12.18</v>
      </c>
      <c r="Y2285" s="2" t="s">
        <v>12775</v>
      </c>
      <c r="Z2285" s="2">
        <v>-20.93</v>
      </c>
    </row>
    <row r="2286" spans="1:26" x14ac:dyDescent="0.25">
      <c r="A2286" s="1" t="s">
        <v>9228</v>
      </c>
      <c r="B2286" s="1" t="s">
        <v>9229</v>
      </c>
      <c r="C2286" s="1" t="s">
        <v>45</v>
      </c>
      <c r="D2286" s="1" t="s">
        <v>67</v>
      </c>
      <c r="E2286" s="1" t="s">
        <v>1037</v>
      </c>
      <c r="F2286" s="1" t="s">
        <v>9230</v>
      </c>
      <c r="G2286" s="1" t="s">
        <v>12480</v>
      </c>
      <c r="H2286" s="1" t="s">
        <v>9039</v>
      </c>
      <c r="I2286" s="2">
        <v>32.71</v>
      </c>
      <c r="J2286" s="2">
        <v>1.43</v>
      </c>
      <c r="K2286" s="2">
        <v>1.66</v>
      </c>
      <c r="L2286" s="2">
        <v>1.99</v>
      </c>
      <c r="M2286" s="4">
        <f t="shared" si="210"/>
        <v>19.704819277108435</v>
      </c>
      <c r="N2286" s="4">
        <f t="shared" si="211"/>
        <v>16.437185929648241</v>
      </c>
      <c r="O2286" s="5">
        <f t="shared" si="212"/>
        <v>0.16083916083916083</v>
      </c>
      <c r="P2286" s="5">
        <f t="shared" si="213"/>
        <v>0.1987951807228916</v>
      </c>
      <c r="Q2286" s="4">
        <f t="shared" si="214"/>
        <v>1.225125720272394</v>
      </c>
      <c r="R2286" s="4">
        <f t="shared" si="215"/>
        <v>0.82684026191563864</v>
      </c>
      <c r="S2286" s="4">
        <v>-0.27</v>
      </c>
      <c r="T2286" s="2">
        <v>1.23</v>
      </c>
      <c r="U2286" s="2">
        <v>55.31</v>
      </c>
      <c r="V2286" s="2">
        <v>30.45</v>
      </c>
      <c r="W2286" s="2">
        <v>2.41</v>
      </c>
      <c r="X2286" s="2">
        <v>-6.11</v>
      </c>
      <c r="Y2286" s="2">
        <v>-21.3</v>
      </c>
      <c r="Z2286" s="2">
        <v>-15.02</v>
      </c>
    </row>
    <row r="2287" spans="1:26" x14ac:dyDescent="0.25">
      <c r="A2287" s="1" t="s">
        <v>9231</v>
      </c>
      <c r="B2287" s="1" t="s">
        <v>9232</v>
      </c>
      <c r="C2287" s="1" t="s">
        <v>16</v>
      </c>
      <c r="D2287" s="1" t="s">
        <v>32</v>
      </c>
      <c r="E2287" s="1" t="s">
        <v>57</v>
      </c>
      <c r="F2287" s="1" t="s">
        <v>9233</v>
      </c>
      <c r="G2287" s="1" t="s">
        <v>12480</v>
      </c>
      <c r="H2287" s="1" t="s">
        <v>9234</v>
      </c>
      <c r="I2287" s="2">
        <v>114.25</v>
      </c>
      <c r="J2287" s="2">
        <v>3.35</v>
      </c>
      <c r="K2287" s="2">
        <v>3.64</v>
      </c>
      <c r="L2287" s="2">
        <v>4.3499999999999996</v>
      </c>
      <c r="M2287" s="4">
        <f t="shared" si="210"/>
        <v>31.387362637362635</v>
      </c>
      <c r="N2287" s="4">
        <f t="shared" si="211"/>
        <v>26.264367816091955</v>
      </c>
      <c r="O2287" s="5">
        <f t="shared" si="212"/>
        <v>8.6567164179104594E-2</v>
      </c>
      <c r="P2287" s="5">
        <f t="shared" si="213"/>
        <v>0.19505494505494481</v>
      </c>
      <c r="Q2287" s="4">
        <f t="shared" si="214"/>
        <v>3.6257815460401615</v>
      </c>
      <c r="R2287" s="4">
        <f t="shared" si="215"/>
        <v>1.3465112514165469</v>
      </c>
      <c r="S2287" s="4" t="s">
        <v>12863</v>
      </c>
      <c r="T2287" s="2"/>
      <c r="U2287" s="2">
        <v>126.76</v>
      </c>
      <c r="V2287" s="2">
        <v>73.540000000000006</v>
      </c>
      <c r="W2287" s="2">
        <v>-7.91</v>
      </c>
      <c r="X2287" s="2">
        <v>8.6</v>
      </c>
      <c r="Y2287" s="2">
        <v>49.09</v>
      </c>
      <c r="Z2287" s="2">
        <v>39.93</v>
      </c>
    </row>
    <row r="2288" spans="1:26" x14ac:dyDescent="0.25">
      <c r="A2288" s="1" t="s">
        <v>9235</v>
      </c>
      <c r="B2288" s="1" t="s">
        <v>9236</v>
      </c>
      <c r="C2288" s="1" t="s">
        <v>31</v>
      </c>
      <c r="D2288" s="1" t="s">
        <v>32</v>
      </c>
      <c r="E2288" s="1" t="s">
        <v>829</v>
      </c>
      <c r="F2288" s="1" t="s">
        <v>9237</v>
      </c>
      <c r="G2288" s="1" t="s">
        <v>12480</v>
      </c>
      <c r="H2288" s="1" t="s">
        <v>9238</v>
      </c>
      <c r="I2288" s="2">
        <v>43.22</v>
      </c>
      <c r="J2288" s="2"/>
      <c r="K2288" s="2"/>
      <c r="L2288" s="2"/>
      <c r="M2288" s="4" t="e">
        <f t="shared" si="210"/>
        <v>#DIV/0!</v>
      </c>
      <c r="N2288" s="4" t="e">
        <f t="shared" si="211"/>
        <v>#DIV/0!</v>
      </c>
      <c r="O2288" s="5" t="e">
        <f t="shared" si="212"/>
        <v>#DIV/0!</v>
      </c>
      <c r="P2288" s="5" t="e">
        <f t="shared" si="213"/>
        <v>#DIV/0!</v>
      </c>
      <c r="Q2288" s="4" t="e">
        <f t="shared" si="214"/>
        <v>#DIV/0!</v>
      </c>
      <c r="R2288" s="4" t="e">
        <f t="shared" si="215"/>
        <v>#DIV/0!</v>
      </c>
      <c r="S2288" s="4"/>
      <c r="T2288" s="2"/>
      <c r="U2288" s="2">
        <v>43.44</v>
      </c>
      <c r="V2288" s="2">
        <v>34.76</v>
      </c>
      <c r="W2288" s="2">
        <v>2.3199999999999998</v>
      </c>
      <c r="X2288" s="2">
        <v>14.84</v>
      </c>
      <c r="Y2288" s="2">
        <v>14.92</v>
      </c>
      <c r="Z2288" s="2">
        <v>14.7</v>
      </c>
    </row>
    <row r="2289" spans="1:26" x14ac:dyDescent="0.25">
      <c r="A2289" s="1" t="s">
        <v>9239</v>
      </c>
      <c r="B2289" s="1" t="s">
        <v>9240</v>
      </c>
      <c r="C2289" s="1" t="s">
        <v>31</v>
      </c>
      <c r="D2289" s="1" t="s">
        <v>38</v>
      </c>
      <c r="E2289" s="1" t="s">
        <v>254</v>
      </c>
      <c r="F2289" s="1" t="s">
        <v>9241</v>
      </c>
      <c r="G2289" s="1" t="s">
        <v>12480</v>
      </c>
      <c r="H2289" s="1" t="s">
        <v>9242</v>
      </c>
      <c r="I2289" s="2">
        <v>14.88</v>
      </c>
      <c r="J2289" s="2"/>
      <c r="K2289" s="2"/>
      <c r="L2289" s="2"/>
      <c r="M2289" s="4" t="e">
        <f t="shared" si="210"/>
        <v>#DIV/0!</v>
      </c>
      <c r="N2289" s="4" t="e">
        <f t="shared" si="211"/>
        <v>#DIV/0!</v>
      </c>
      <c r="O2289" s="5" t="e">
        <f t="shared" si="212"/>
        <v>#DIV/0!</v>
      </c>
      <c r="P2289" s="5" t="e">
        <f t="shared" si="213"/>
        <v>#DIV/0!</v>
      </c>
      <c r="Q2289" s="4" t="e">
        <f t="shared" si="214"/>
        <v>#DIV/0!</v>
      </c>
      <c r="R2289" s="4" t="e">
        <f t="shared" si="215"/>
        <v>#DIV/0!</v>
      </c>
      <c r="S2289" s="4"/>
      <c r="T2289" s="2"/>
      <c r="U2289" s="2">
        <v>15.89</v>
      </c>
      <c r="V2289" s="2">
        <v>12.5</v>
      </c>
      <c r="W2289" s="2">
        <v>-3.09</v>
      </c>
      <c r="X2289" s="2">
        <v>2.5499999999999998</v>
      </c>
      <c r="Y2289" s="2">
        <v>15.17</v>
      </c>
      <c r="Z2289" s="2">
        <v>11.96</v>
      </c>
    </row>
    <row r="2290" spans="1:26" x14ac:dyDescent="0.25">
      <c r="A2290" s="1" t="s">
        <v>9243</v>
      </c>
      <c r="B2290" s="1" t="s">
        <v>9244</v>
      </c>
      <c r="C2290" s="1" t="s">
        <v>16</v>
      </c>
      <c r="D2290" s="1" t="s">
        <v>32</v>
      </c>
      <c r="E2290" s="1" t="s">
        <v>311</v>
      </c>
      <c r="F2290" s="1" t="s">
        <v>9245</v>
      </c>
      <c r="G2290" s="1" t="s">
        <v>12480</v>
      </c>
      <c r="H2290" s="1" t="s">
        <v>9246</v>
      </c>
      <c r="I2290" s="2">
        <v>19.04</v>
      </c>
      <c r="J2290" s="2">
        <v>-1.1100000000000001</v>
      </c>
      <c r="K2290" s="2">
        <v>-0.34</v>
      </c>
      <c r="L2290" s="2">
        <v>-0.38</v>
      </c>
      <c r="M2290" s="4">
        <f t="shared" si="210"/>
        <v>-55.999999999999993</v>
      </c>
      <c r="N2290" s="4">
        <f t="shared" si="211"/>
        <v>-50.105263157894733</v>
      </c>
      <c r="O2290" s="5">
        <f t="shared" si="212"/>
        <v>-0.69369369369369371</v>
      </c>
      <c r="P2290" s="5">
        <f t="shared" si="213"/>
        <v>0.11764705882352944</v>
      </c>
      <c r="Q2290" s="4">
        <f t="shared" si="214"/>
        <v>0.80727272727272725</v>
      </c>
      <c r="R2290" s="4">
        <f t="shared" si="215"/>
        <v>-4.258947368421051</v>
      </c>
      <c r="S2290" s="4">
        <v>178.54</v>
      </c>
      <c r="T2290" s="2">
        <v>1.61</v>
      </c>
      <c r="U2290" s="2">
        <v>44.78</v>
      </c>
      <c r="V2290" s="2">
        <v>4.63</v>
      </c>
      <c r="W2290" s="2">
        <v>0.53</v>
      </c>
      <c r="X2290" s="2">
        <v>-10.23</v>
      </c>
      <c r="Y2290" s="2">
        <v>-19.8</v>
      </c>
      <c r="Z2290" s="2">
        <v>-27.19</v>
      </c>
    </row>
    <row r="2291" spans="1:26" x14ac:dyDescent="0.25">
      <c r="A2291" s="1" t="s">
        <v>9247</v>
      </c>
      <c r="B2291" s="1" t="s">
        <v>9248</v>
      </c>
      <c r="C2291" s="1" t="s">
        <v>45</v>
      </c>
      <c r="D2291" s="1" t="s">
        <v>32</v>
      </c>
      <c r="E2291" s="1" t="s">
        <v>57</v>
      </c>
      <c r="F2291" s="1" t="s">
        <v>9249</v>
      </c>
      <c r="G2291" s="1" t="s">
        <v>12485</v>
      </c>
      <c r="H2291" s="1" t="s">
        <v>12776</v>
      </c>
      <c r="I2291" s="2">
        <v>138.11000000000001</v>
      </c>
      <c r="J2291" s="2">
        <v>12.03</v>
      </c>
      <c r="K2291" s="2">
        <v>11.18</v>
      </c>
      <c r="L2291" s="2">
        <v>11.49</v>
      </c>
      <c r="M2291" s="4">
        <f t="shared" si="210"/>
        <v>12.35330948121646</v>
      </c>
      <c r="N2291" s="4">
        <f t="shared" si="211"/>
        <v>12.020017406440385</v>
      </c>
      <c r="O2291" s="5">
        <f t="shared" si="212"/>
        <v>-7.065669160432253E-2</v>
      </c>
      <c r="P2291" s="5">
        <f t="shared" si="213"/>
        <v>2.7728085867620766E-2</v>
      </c>
      <c r="Q2291" s="4">
        <f t="shared" si="214"/>
        <v>-1.7483566242239295</v>
      </c>
      <c r="R2291" s="4">
        <f t="shared" si="215"/>
        <v>4.3349611162581754</v>
      </c>
      <c r="S2291" s="4">
        <v>13.66</v>
      </c>
      <c r="T2291" s="2">
        <v>1.25</v>
      </c>
      <c r="U2291" s="2">
        <v>187.68</v>
      </c>
      <c r="V2291" s="2">
        <v>124.66</v>
      </c>
      <c r="W2291" s="2">
        <v>-2.0699999999999998</v>
      </c>
      <c r="X2291" s="2">
        <v>-0.59</v>
      </c>
      <c r="Y2291" s="2">
        <v>-22.96</v>
      </c>
      <c r="Z2291" s="2">
        <v>-19.260000000000002</v>
      </c>
    </row>
    <row r="2292" spans="1:26" x14ac:dyDescent="0.25">
      <c r="A2292" s="1" t="s">
        <v>9250</v>
      </c>
      <c r="B2292" s="1" t="s">
        <v>9251</v>
      </c>
      <c r="C2292" s="1" t="s">
        <v>45</v>
      </c>
      <c r="D2292" s="1" t="s">
        <v>38</v>
      </c>
      <c r="E2292" s="1" t="s">
        <v>1093</v>
      </c>
      <c r="F2292" s="1" t="s">
        <v>9252</v>
      </c>
      <c r="G2292" s="1" t="s">
        <v>12480</v>
      </c>
      <c r="H2292" s="1" t="s">
        <v>9253</v>
      </c>
      <c r="I2292" s="2">
        <v>83.35</v>
      </c>
      <c r="J2292" s="2">
        <v>7.64</v>
      </c>
      <c r="K2292" s="2">
        <v>8.02</v>
      </c>
      <c r="L2292" s="2">
        <v>8.6199999999999992</v>
      </c>
      <c r="M2292" s="4">
        <f t="shared" si="210"/>
        <v>10.392768079800499</v>
      </c>
      <c r="N2292" s="4">
        <f t="shared" si="211"/>
        <v>9.669373549883991</v>
      </c>
      <c r="O2292" s="5">
        <f t="shared" si="212"/>
        <v>4.9738219895288038E-2</v>
      </c>
      <c r="P2292" s="5">
        <f t="shared" si="213"/>
        <v>7.4812967581047385E-2</v>
      </c>
      <c r="Q2292" s="4">
        <f t="shared" si="214"/>
        <v>2.0894933718335706</v>
      </c>
      <c r="R2292" s="4">
        <f t="shared" si="215"/>
        <v>1.2924729311678267</v>
      </c>
      <c r="S2292" s="4">
        <v>1.07</v>
      </c>
      <c r="T2292" s="2">
        <v>0.82</v>
      </c>
      <c r="U2292" s="2">
        <v>95.4</v>
      </c>
      <c r="V2292" s="2">
        <v>63.6</v>
      </c>
      <c r="W2292" s="2">
        <v>-5.27</v>
      </c>
      <c r="X2292" s="2">
        <v>-11.56</v>
      </c>
      <c r="Y2292" s="2">
        <v>-3.75</v>
      </c>
      <c r="Z2292" s="2">
        <v>0.06</v>
      </c>
    </row>
    <row r="2293" spans="1:26" x14ac:dyDescent="0.25">
      <c r="A2293" s="1" t="s">
        <v>9254</v>
      </c>
      <c r="B2293" s="1" t="s">
        <v>9255</v>
      </c>
      <c r="C2293" s="1" t="s">
        <v>45</v>
      </c>
      <c r="D2293" s="1" t="s">
        <v>18</v>
      </c>
      <c r="E2293" s="1" t="s">
        <v>19</v>
      </c>
      <c r="F2293" s="1" t="s">
        <v>9256</v>
      </c>
      <c r="G2293" s="1" t="s">
        <v>12480</v>
      </c>
      <c r="H2293" s="1" t="s">
        <v>9257</v>
      </c>
      <c r="I2293" s="2">
        <v>19.86</v>
      </c>
      <c r="J2293" s="2">
        <v>2.12</v>
      </c>
      <c r="K2293" s="2">
        <v>2.1800000000000002</v>
      </c>
      <c r="L2293" s="2">
        <v>3.03</v>
      </c>
      <c r="M2293" s="4">
        <f t="shared" si="210"/>
        <v>9.1100917431192645</v>
      </c>
      <c r="N2293" s="4">
        <f t="shared" si="211"/>
        <v>6.5544554455445549</v>
      </c>
      <c r="O2293" s="5">
        <f t="shared" si="212"/>
        <v>2.8301886792452935E-2</v>
      </c>
      <c r="P2293" s="5">
        <f t="shared" si="213"/>
        <v>0.38990825688073372</v>
      </c>
      <c r="Q2293" s="4">
        <f t="shared" si="214"/>
        <v>3.2188990825687949</v>
      </c>
      <c r="R2293" s="4">
        <f t="shared" si="215"/>
        <v>0.16810250436808397</v>
      </c>
      <c r="S2293" s="4">
        <v>-1.89</v>
      </c>
      <c r="T2293" s="2">
        <v>0.75</v>
      </c>
      <c r="U2293" s="2">
        <v>40.799999999999997</v>
      </c>
      <c r="V2293" s="2">
        <v>19.73</v>
      </c>
      <c r="W2293" s="2">
        <v>-12.12</v>
      </c>
      <c r="X2293" s="2">
        <v>-32.130000000000003</v>
      </c>
      <c r="Y2293" s="2">
        <v>-31.66</v>
      </c>
      <c r="Z2293" s="2">
        <v>-30.46</v>
      </c>
    </row>
    <row r="2294" spans="1:26" x14ac:dyDescent="0.25">
      <c r="A2294" s="1" t="s">
        <v>9258</v>
      </c>
      <c r="B2294" s="1" t="s">
        <v>9259</v>
      </c>
      <c r="C2294" s="1" t="s">
        <v>45</v>
      </c>
      <c r="D2294" s="1" t="s">
        <v>38</v>
      </c>
      <c r="E2294" s="1" t="s">
        <v>52</v>
      </c>
      <c r="F2294" s="1" t="s">
        <v>9260</v>
      </c>
      <c r="G2294" s="1" t="s">
        <v>12480</v>
      </c>
      <c r="H2294" s="1" t="s">
        <v>9261</v>
      </c>
      <c r="I2294" s="2">
        <v>14.61</v>
      </c>
      <c r="J2294" s="2">
        <v>5.66</v>
      </c>
      <c r="K2294" s="2">
        <v>4.8600000000000003</v>
      </c>
      <c r="L2294" s="2">
        <v>5.32</v>
      </c>
      <c r="M2294" s="4">
        <f t="shared" si="210"/>
        <v>3.0061728395061724</v>
      </c>
      <c r="N2294" s="4">
        <f t="shared" si="211"/>
        <v>2.746240601503759</v>
      </c>
      <c r="O2294" s="5">
        <f t="shared" si="212"/>
        <v>-0.14134275618374559</v>
      </c>
      <c r="P2294" s="5">
        <f t="shared" si="213"/>
        <v>9.4650205761316775E-2</v>
      </c>
      <c r="Q2294" s="4">
        <f t="shared" si="214"/>
        <v>-0.2126867283950617</v>
      </c>
      <c r="R2294" s="4">
        <f t="shared" si="215"/>
        <v>0.29014628963713657</v>
      </c>
      <c r="S2294" s="4">
        <v>2.5</v>
      </c>
      <c r="T2294" s="2">
        <v>0.49</v>
      </c>
      <c r="U2294" s="2">
        <v>48.12</v>
      </c>
      <c r="V2294" s="2">
        <v>14.55</v>
      </c>
      <c r="W2294" s="2">
        <v>-5.07</v>
      </c>
      <c r="X2294" s="2">
        <v>-10.59</v>
      </c>
      <c r="Y2294" s="2">
        <v>-23.95</v>
      </c>
      <c r="Z2294" s="2">
        <v>-24.18</v>
      </c>
    </row>
    <row r="2295" spans="1:26" x14ac:dyDescent="0.25">
      <c r="A2295" s="1" t="s">
        <v>9262</v>
      </c>
      <c r="B2295" s="1" t="s">
        <v>9263</v>
      </c>
      <c r="C2295" s="1" t="s">
        <v>16</v>
      </c>
      <c r="D2295" s="1" t="s">
        <v>18</v>
      </c>
      <c r="E2295" s="1" t="s">
        <v>74</v>
      </c>
      <c r="F2295" s="1" t="s">
        <v>9264</v>
      </c>
      <c r="G2295" s="1" t="s">
        <v>12480</v>
      </c>
      <c r="H2295" s="1" t="s">
        <v>9265</v>
      </c>
      <c r="I2295" s="2">
        <v>43.33</v>
      </c>
      <c r="J2295" s="2">
        <v>2.38</v>
      </c>
      <c r="K2295" s="2">
        <v>2.5299999999999998</v>
      </c>
      <c r="L2295" s="2">
        <v>2.8</v>
      </c>
      <c r="M2295" s="4">
        <f t="shared" si="210"/>
        <v>17.126482213438734</v>
      </c>
      <c r="N2295" s="4">
        <f t="shared" si="211"/>
        <v>15.475</v>
      </c>
      <c r="O2295" s="5">
        <f t="shared" si="212"/>
        <v>6.3025210084033612E-2</v>
      </c>
      <c r="P2295" s="5">
        <f t="shared" si="213"/>
        <v>0.10671936758893286</v>
      </c>
      <c r="Q2295" s="4">
        <f t="shared" si="214"/>
        <v>2.7174018445322794</v>
      </c>
      <c r="R2295" s="4">
        <f t="shared" si="215"/>
        <v>1.4500648148148143</v>
      </c>
      <c r="S2295" s="4">
        <v>5.65</v>
      </c>
      <c r="T2295" s="2">
        <v>0.7</v>
      </c>
      <c r="U2295" s="2">
        <v>55.66</v>
      </c>
      <c r="V2295" s="2">
        <v>40.270000000000003</v>
      </c>
      <c r="W2295" s="2">
        <v>-11.26</v>
      </c>
      <c r="X2295" s="2">
        <v>-14.67</v>
      </c>
      <c r="Y2295" s="2">
        <v>-9.41</v>
      </c>
      <c r="Z2295" s="2">
        <v>-8.4600000000000009</v>
      </c>
    </row>
    <row r="2296" spans="1:26" x14ac:dyDescent="0.25">
      <c r="A2296" s="1" t="s">
        <v>9266</v>
      </c>
      <c r="B2296" s="1" t="s">
        <v>9267</v>
      </c>
      <c r="C2296" s="1" t="s">
        <v>45</v>
      </c>
      <c r="D2296" s="1" t="s">
        <v>32</v>
      </c>
      <c r="E2296" s="1" t="s">
        <v>2571</v>
      </c>
      <c r="F2296" s="1" t="s">
        <v>9268</v>
      </c>
      <c r="G2296" s="1" t="s">
        <v>12480</v>
      </c>
      <c r="H2296" s="1" t="s">
        <v>1702</v>
      </c>
      <c r="I2296" s="2">
        <v>96.36</v>
      </c>
      <c r="J2296" s="2">
        <v>7.07</v>
      </c>
      <c r="K2296" s="2">
        <v>7.32</v>
      </c>
      <c r="L2296" s="2">
        <v>7.98</v>
      </c>
      <c r="M2296" s="4">
        <f t="shared" si="210"/>
        <v>13.163934426229508</v>
      </c>
      <c r="N2296" s="4">
        <f t="shared" si="211"/>
        <v>12.075187969924812</v>
      </c>
      <c r="O2296" s="5">
        <f t="shared" si="212"/>
        <v>3.536067892503536E-2</v>
      </c>
      <c r="P2296" s="5">
        <f t="shared" si="213"/>
        <v>9.0163934426229497E-2</v>
      </c>
      <c r="Q2296" s="4">
        <f t="shared" si="214"/>
        <v>3.7227606557377051</v>
      </c>
      <c r="R2296" s="4">
        <f t="shared" si="215"/>
        <v>1.3392481203007522</v>
      </c>
      <c r="S2296" s="4">
        <v>10.130000000000001</v>
      </c>
      <c r="T2296" s="2">
        <v>0.62</v>
      </c>
      <c r="U2296" s="2">
        <v>153.80000000000001</v>
      </c>
      <c r="V2296" s="2">
        <v>86.65</v>
      </c>
      <c r="W2296" s="2">
        <v>1.87</v>
      </c>
      <c r="X2296" s="2">
        <v>-11.72</v>
      </c>
      <c r="Y2296" s="2">
        <v>-33.5</v>
      </c>
      <c r="Z2296" s="2">
        <v>-27.49</v>
      </c>
    </row>
    <row r="2297" spans="1:26" x14ac:dyDescent="0.25">
      <c r="A2297" s="1" t="s">
        <v>9269</v>
      </c>
      <c r="B2297" s="1" t="s">
        <v>9270</v>
      </c>
      <c r="C2297" s="1" t="s">
        <v>45</v>
      </c>
      <c r="D2297" s="1" t="s">
        <v>140</v>
      </c>
      <c r="E2297" s="1" t="s">
        <v>2376</v>
      </c>
      <c r="F2297" s="1" t="s">
        <v>9271</v>
      </c>
      <c r="G2297" s="1" t="s">
        <v>12485</v>
      </c>
      <c r="H2297" s="1" t="s">
        <v>1149</v>
      </c>
      <c r="I2297" s="2">
        <v>119.4</v>
      </c>
      <c r="J2297" s="2"/>
      <c r="K2297" s="2"/>
      <c r="L2297" s="2"/>
      <c r="M2297" s="4" t="e">
        <f t="shared" si="210"/>
        <v>#DIV/0!</v>
      </c>
      <c r="N2297" s="4" t="e">
        <f t="shared" si="211"/>
        <v>#DIV/0!</v>
      </c>
      <c r="O2297" s="5" t="e">
        <f t="shared" si="212"/>
        <v>#DIV/0!</v>
      </c>
      <c r="P2297" s="5" t="e">
        <f t="shared" si="213"/>
        <v>#DIV/0!</v>
      </c>
      <c r="Q2297" s="4" t="e">
        <f t="shared" si="214"/>
        <v>#DIV/0!</v>
      </c>
      <c r="R2297" s="4" t="e">
        <f t="shared" si="215"/>
        <v>#DIV/0!</v>
      </c>
      <c r="S2297" s="4">
        <v>-3.92</v>
      </c>
      <c r="T2297" s="2">
        <v>31.02</v>
      </c>
      <c r="U2297" s="2" t="s">
        <v>12777</v>
      </c>
      <c r="V2297" s="2">
        <v>0.65</v>
      </c>
      <c r="W2297" s="2" t="s">
        <v>12489</v>
      </c>
      <c r="X2297" s="2" t="s">
        <v>12489</v>
      </c>
      <c r="Y2297" s="2" t="s">
        <v>12489</v>
      </c>
      <c r="Z2297" s="2" t="s">
        <v>12489</v>
      </c>
    </row>
    <row r="2298" spans="1:26" x14ac:dyDescent="0.25">
      <c r="A2298" s="1" t="s">
        <v>9272</v>
      </c>
      <c r="B2298" s="1" t="s">
        <v>9273</v>
      </c>
      <c r="C2298" s="1" t="s">
        <v>45</v>
      </c>
      <c r="D2298" s="1" t="s">
        <v>38</v>
      </c>
      <c r="E2298" s="1" t="s">
        <v>259</v>
      </c>
      <c r="F2298" s="1" t="s">
        <v>9274</v>
      </c>
      <c r="G2298" s="1" t="s">
        <v>12480</v>
      </c>
      <c r="H2298" s="1" t="s">
        <v>9275</v>
      </c>
      <c r="I2298" s="2">
        <v>607.76</v>
      </c>
      <c r="J2298" s="2"/>
      <c r="K2298" s="2"/>
      <c r="L2298" s="2"/>
      <c r="M2298" s="4" t="e">
        <f t="shared" si="210"/>
        <v>#DIV/0!</v>
      </c>
      <c r="N2298" s="4" t="e">
        <f t="shared" si="211"/>
        <v>#DIV/0!</v>
      </c>
      <c r="O2298" s="5" t="e">
        <f t="shared" si="212"/>
        <v>#DIV/0!</v>
      </c>
      <c r="P2298" s="5" t="e">
        <f t="shared" si="213"/>
        <v>#DIV/0!</v>
      </c>
      <c r="Q2298" s="4" t="e">
        <f t="shared" si="214"/>
        <v>#DIV/0!</v>
      </c>
      <c r="R2298" s="4" t="e">
        <f t="shared" si="215"/>
        <v>#DIV/0!</v>
      </c>
      <c r="S2298" s="4"/>
      <c r="T2298" s="2">
        <v>1.18</v>
      </c>
      <c r="U2298" s="2">
        <v>635.77</v>
      </c>
      <c r="V2298" s="2">
        <v>416.06</v>
      </c>
      <c r="W2298" s="2">
        <v>-0.05</v>
      </c>
      <c r="X2298" s="2">
        <v>-1.07</v>
      </c>
      <c r="Y2298" s="2">
        <v>-0.46</v>
      </c>
      <c r="Z2298" s="2">
        <v>-1.07</v>
      </c>
    </row>
    <row r="2299" spans="1:26" x14ac:dyDescent="0.25">
      <c r="A2299" s="1" t="s">
        <v>9276</v>
      </c>
      <c r="B2299" s="1" t="s">
        <v>9277</v>
      </c>
      <c r="C2299" s="1" t="s">
        <v>45</v>
      </c>
      <c r="D2299" s="1" t="s">
        <v>38</v>
      </c>
      <c r="E2299" s="1" t="s">
        <v>259</v>
      </c>
      <c r="F2299" s="1" t="s">
        <v>9278</v>
      </c>
      <c r="G2299" s="1" t="s">
        <v>12480</v>
      </c>
      <c r="H2299" s="1" t="s">
        <v>9279</v>
      </c>
      <c r="I2299" s="2">
        <v>27.61</v>
      </c>
      <c r="J2299" s="2"/>
      <c r="K2299" s="2"/>
      <c r="L2299" s="2"/>
      <c r="M2299" s="4" t="e">
        <f t="shared" si="210"/>
        <v>#DIV/0!</v>
      </c>
      <c r="N2299" s="4" t="e">
        <f t="shared" si="211"/>
        <v>#DIV/0!</v>
      </c>
      <c r="O2299" s="5" t="e">
        <f t="shared" si="212"/>
        <v>#DIV/0!</v>
      </c>
      <c r="P2299" s="5" t="e">
        <f t="shared" si="213"/>
        <v>#DIV/0!</v>
      </c>
      <c r="Q2299" s="4" t="e">
        <f t="shared" si="214"/>
        <v>#DIV/0!</v>
      </c>
      <c r="R2299" s="4" t="e">
        <f t="shared" si="215"/>
        <v>#DIV/0!</v>
      </c>
      <c r="S2299" s="4"/>
      <c r="T2299" s="2">
        <v>1.06</v>
      </c>
      <c r="U2299" s="2">
        <v>28.62</v>
      </c>
      <c r="V2299" s="2">
        <v>20.94</v>
      </c>
      <c r="W2299" s="2">
        <v>-0.97</v>
      </c>
      <c r="X2299" s="2">
        <v>-0.97</v>
      </c>
      <c r="Y2299" s="2">
        <v>7.0000000000000007E-2</v>
      </c>
      <c r="Z2299" s="2">
        <v>-3.19</v>
      </c>
    </row>
    <row r="2300" spans="1:26" x14ac:dyDescent="0.25">
      <c r="A2300" s="1" t="s">
        <v>9280</v>
      </c>
      <c r="B2300" s="1" t="s">
        <v>9281</v>
      </c>
      <c r="C2300" s="1" t="s">
        <v>45</v>
      </c>
      <c r="D2300" s="1" t="s">
        <v>32</v>
      </c>
      <c r="E2300" s="1" t="s">
        <v>9283</v>
      </c>
      <c r="F2300" s="1" t="s">
        <v>9282</v>
      </c>
      <c r="G2300" s="1" t="s">
        <v>12490</v>
      </c>
      <c r="H2300" s="1" t="s">
        <v>9284</v>
      </c>
      <c r="I2300" s="2">
        <v>78.040000000000006</v>
      </c>
      <c r="J2300" s="2">
        <v>5.78</v>
      </c>
      <c r="K2300" s="2">
        <v>6.53</v>
      </c>
      <c r="L2300" s="2">
        <v>6.79</v>
      </c>
      <c r="M2300" s="4">
        <f t="shared" si="210"/>
        <v>11.950995405819295</v>
      </c>
      <c r="N2300" s="4">
        <f t="shared" si="211"/>
        <v>11.493372606774669</v>
      </c>
      <c r="O2300" s="5">
        <f t="shared" si="212"/>
        <v>0.12975778546712813</v>
      </c>
      <c r="P2300" s="5">
        <f t="shared" si="213"/>
        <v>3.9816232771822335E-2</v>
      </c>
      <c r="Q2300" s="4">
        <f t="shared" si="214"/>
        <v>0.92102337927513955</v>
      </c>
      <c r="R2300" s="4">
        <f t="shared" si="215"/>
        <v>2.8866047354707165</v>
      </c>
      <c r="S2300" s="4">
        <v>-1.34</v>
      </c>
      <c r="T2300" s="2">
        <v>1.35</v>
      </c>
      <c r="U2300" s="2">
        <v>97.42</v>
      </c>
      <c r="V2300" s="2">
        <v>50.81</v>
      </c>
      <c r="W2300" s="2">
        <v>-4.74</v>
      </c>
      <c r="X2300" s="2">
        <v>-6.16</v>
      </c>
      <c r="Y2300" s="2">
        <v>-11.02</v>
      </c>
      <c r="Z2300" s="2">
        <v>-7.66</v>
      </c>
    </row>
    <row r="2301" spans="1:26" x14ac:dyDescent="0.25">
      <c r="A2301" s="1" t="s">
        <v>9285</v>
      </c>
      <c r="B2301" s="1" t="s">
        <v>9286</v>
      </c>
      <c r="C2301" s="1" t="s">
        <v>45</v>
      </c>
      <c r="D2301" s="1" t="s">
        <v>305</v>
      </c>
      <c r="E2301" s="1" t="s">
        <v>306</v>
      </c>
      <c r="F2301" s="1" t="s">
        <v>9287</v>
      </c>
      <c r="G2301" s="1" t="s">
        <v>12480</v>
      </c>
      <c r="H2301" s="1" t="s">
        <v>9288</v>
      </c>
      <c r="I2301" s="2">
        <v>6.8</v>
      </c>
      <c r="J2301" s="2">
        <v>-0.76</v>
      </c>
      <c r="K2301" s="2">
        <v>-0.67</v>
      </c>
      <c r="L2301" s="2">
        <v>-0.56999999999999995</v>
      </c>
      <c r="M2301" s="4">
        <f t="shared" si="210"/>
        <v>-10.149253731343283</v>
      </c>
      <c r="N2301" s="4">
        <f t="shared" si="211"/>
        <v>-11.92982456140351</v>
      </c>
      <c r="O2301" s="5">
        <f t="shared" si="212"/>
        <v>-0.11842105263157887</v>
      </c>
      <c r="P2301" s="5">
        <f t="shared" si="213"/>
        <v>-0.14925373134328368</v>
      </c>
      <c r="Q2301" s="4">
        <f t="shared" si="214"/>
        <v>0.85704809286898886</v>
      </c>
      <c r="R2301" s="4">
        <f t="shared" si="215"/>
        <v>0.79929824561403473</v>
      </c>
      <c r="S2301" s="4"/>
      <c r="T2301" s="2">
        <v>2.5099999999999998</v>
      </c>
      <c r="U2301" s="2">
        <v>18.440000000000001</v>
      </c>
      <c r="V2301" s="2">
        <v>3.47</v>
      </c>
      <c r="W2301" s="2">
        <v>-1.31</v>
      </c>
      <c r="X2301" s="2">
        <v>-25.85</v>
      </c>
      <c r="Y2301" s="2">
        <v>-37.21</v>
      </c>
      <c r="Z2301" s="2">
        <v>-34.74</v>
      </c>
    </row>
    <row r="2302" spans="1:26" x14ac:dyDescent="0.25">
      <c r="A2302" s="1" t="s">
        <v>9289</v>
      </c>
      <c r="B2302" s="1" t="s">
        <v>9290</v>
      </c>
      <c r="C2302" s="1" t="s">
        <v>16</v>
      </c>
      <c r="D2302" s="1" t="s">
        <v>67</v>
      </c>
      <c r="E2302" s="1" t="s">
        <v>1037</v>
      </c>
      <c r="F2302" s="1" t="s">
        <v>9291</v>
      </c>
      <c r="G2302" s="1" t="s">
        <v>12480</v>
      </c>
      <c r="H2302" s="1" t="s">
        <v>9292</v>
      </c>
      <c r="I2302" s="2">
        <v>73.36</v>
      </c>
      <c r="J2302" s="2">
        <v>3.69</v>
      </c>
      <c r="K2302" s="2">
        <v>4.0599999999999996</v>
      </c>
      <c r="L2302" s="2">
        <v>4.3899999999999997</v>
      </c>
      <c r="M2302" s="4">
        <f t="shared" si="210"/>
        <v>18.068965517241381</v>
      </c>
      <c r="N2302" s="4">
        <f t="shared" si="211"/>
        <v>16.710706150341686</v>
      </c>
      <c r="O2302" s="5">
        <f t="shared" si="212"/>
        <v>0.10027100271002709</v>
      </c>
      <c r="P2302" s="5">
        <f t="shared" si="213"/>
        <v>8.1280788177339858E-2</v>
      </c>
      <c r="Q2302" s="4">
        <f t="shared" si="214"/>
        <v>1.8020130475302891</v>
      </c>
      <c r="R2302" s="4">
        <f t="shared" si="215"/>
        <v>2.0559232415268873</v>
      </c>
      <c r="S2302" s="4">
        <v>12.23</v>
      </c>
      <c r="T2302" s="2">
        <v>0.56000000000000005</v>
      </c>
      <c r="U2302" s="2">
        <v>73.98</v>
      </c>
      <c r="V2302" s="2">
        <v>60.03</v>
      </c>
      <c r="W2302" s="2">
        <v>1.96</v>
      </c>
      <c r="X2302" s="2">
        <v>3.37</v>
      </c>
      <c r="Y2302" s="2">
        <v>3.34</v>
      </c>
      <c r="Z2302" s="2">
        <v>7.52</v>
      </c>
    </row>
    <row r="2303" spans="1:26" x14ac:dyDescent="0.25">
      <c r="A2303" s="1" t="s">
        <v>9293</v>
      </c>
      <c r="B2303" s="1" t="s">
        <v>9294</v>
      </c>
      <c r="C2303" s="1" t="s">
        <v>16</v>
      </c>
      <c r="D2303" s="1" t="s">
        <v>32</v>
      </c>
      <c r="E2303" s="1" t="s">
        <v>311</v>
      </c>
      <c r="F2303" s="1" t="s">
        <v>9295</v>
      </c>
      <c r="G2303" s="1" t="s">
        <v>12480</v>
      </c>
      <c r="H2303" s="1" t="s">
        <v>9296</v>
      </c>
      <c r="I2303" s="2">
        <v>52.75</v>
      </c>
      <c r="J2303" s="2">
        <v>2.2200000000000002</v>
      </c>
      <c r="K2303" s="2">
        <v>2.9</v>
      </c>
      <c r="L2303" s="2">
        <v>3.34</v>
      </c>
      <c r="M2303" s="4">
        <f t="shared" si="210"/>
        <v>18.189655172413794</v>
      </c>
      <c r="N2303" s="4">
        <f t="shared" si="211"/>
        <v>15.793413173652695</v>
      </c>
      <c r="O2303" s="5">
        <f t="shared" si="212"/>
        <v>0.30630630630630606</v>
      </c>
      <c r="P2303" s="5">
        <f t="shared" si="213"/>
        <v>0.15172413793103456</v>
      </c>
      <c r="Q2303" s="4">
        <f t="shared" si="214"/>
        <v>0.59383874239350964</v>
      </c>
      <c r="R2303" s="4">
        <f t="shared" si="215"/>
        <v>1.040929504627109</v>
      </c>
      <c r="S2303" s="4">
        <v>14.12</v>
      </c>
      <c r="T2303" s="2">
        <v>1.4</v>
      </c>
      <c r="U2303" s="2">
        <v>95.27</v>
      </c>
      <c r="V2303" s="2">
        <v>47.2</v>
      </c>
      <c r="W2303" s="2" t="s">
        <v>12508</v>
      </c>
      <c r="X2303" s="2">
        <v>-6.54</v>
      </c>
      <c r="Y2303" s="2">
        <v>-27.68</v>
      </c>
      <c r="Z2303" s="2">
        <v>-26.9</v>
      </c>
    </row>
    <row r="2304" spans="1:26" x14ac:dyDescent="0.25">
      <c r="A2304" s="1" t="s">
        <v>9297</v>
      </c>
      <c r="B2304" s="1" t="s">
        <v>9298</v>
      </c>
      <c r="C2304" s="1" t="s">
        <v>45</v>
      </c>
      <c r="D2304" s="1" t="s">
        <v>32</v>
      </c>
      <c r="E2304" s="1" t="s">
        <v>311</v>
      </c>
      <c r="F2304" s="1" t="s">
        <v>9299</v>
      </c>
      <c r="G2304" s="1" t="s">
        <v>12480</v>
      </c>
      <c r="H2304" s="1" t="s">
        <v>9300</v>
      </c>
      <c r="I2304" s="2">
        <v>7.63</v>
      </c>
      <c r="J2304" s="2">
        <v>-0.11</v>
      </c>
      <c r="K2304" s="2">
        <v>-0.25</v>
      </c>
      <c r="L2304" s="2">
        <v>-0.41</v>
      </c>
      <c r="M2304" s="4">
        <f t="shared" si="210"/>
        <v>-30.52</v>
      </c>
      <c r="N2304" s="4">
        <f t="shared" si="211"/>
        <v>-18.609756097560975</v>
      </c>
      <c r="O2304" s="5">
        <f t="shared" si="212"/>
        <v>1.2727272727272729</v>
      </c>
      <c r="P2304" s="5">
        <f t="shared" si="213"/>
        <v>0.6399999999999999</v>
      </c>
      <c r="Q2304" s="4">
        <f t="shared" si="214"/>
        <v>-0.23979999999999996</v>
      </c>
      <c r="R2304" s="4">
        <f t="shared" si="215"/>
        <v>-0.29077743902439029</v>
      </c>
      <c r="S2304" s="4">
        <v>82.84</v>
      </c>
      <c r="T2304" s="2">
        <v>3.51</v>
      </c>
      <c r="U2304" s="2">
        <v>24.62</v>
      </c>
      <c r="V2304" s="2">
        <v>4.5199999999999996</v>
      </c>
      <c r="W2304" s="2">
        <v>-11.18</v>
      </c>
      <c r="X2304" s="2">
        <v>-19.170000000000002</v>
      </c>
      <c r="Y2304" s="2">
        <v>-30.06</v>
      </c>
      <c r="Z2304" s="2">
        <v>-25.63</v>
      </c>
    </row>
    <row r="2305" spans="1:26" x14ac:dyDescent="0.25">
      <c r="A2305" s="1" t="s">
        <v>9301</v>
      </c>
      <c r="B2305" s="1" t="s">
        <v>9302</v>
      </c>
      <c r="C2305" s="1" t="s">
        <v>45</v>
      </c>
      <c r="D2305" s="1" t="s">
        <v>18</v>
      </c>
      <c r="E2305" s="1" t="s">
        <v>74</v>
      </c>
      <c r="F2305" s="1" t="s">
        <v>9303</v>
      </c>
      <c r="G2305" s="1" t="s">
        <v>12480</v>
      </c>
      <c r="H2305" s="1" t="s">
        <v>9304</v>
      </c>
      <c r="I2305" s="2">
        <v>17.989999999999998</v>
      </c>
      <c r="J2305" s="2">
        <v>-3.46</v>
      </c>
      <c r="K2305" s="2">
        <v>-3.45</v>
      </c>
      <c r="L2305" s="2">
        <v>-3.09</v>
      </c>
      <c r="M2305" s="4">
        <f t="shared" si="210"/>
        <v>-5.2144927536231878</v>
      </c>
      <c r="N2305" s="4">
        <f t="shared" si="211"/>
        <v>-5.8220064724919087</v>
      </c>
      <c r="O2305" s="5">
        <f t="shared" si="212"/>
        <v>-2.8901734104045396E-3</v>
      </c>
      <c r="P2305" s="5">
        <f t="shared" si="213"/>
        <v>-0.10434782608695659</v>
      </c>
      <c r="Q2305" s="4">
        <f t="shared" si="214"/>
        <v>18.042144927536757</v>
      </c>
      <c r="R2305" s="4">
        <f t="shared" si="215"/>
        <v>0.55794228694714088</v>
      </c>
      <c r="S2305" s="4">
        <v>-40.64</v>
      </c>
      <c r="T2305" s="2">
        <v>0.73</v>
      </c>
      <c r="U2305" s="2">
        <v>70.59</v>
      </c>
      <c r="V2305" s="2">
        <v>8.34</v>
      </c>
      <c r="W2305" s="2">
        <v>71.33</v>
      </c>
      <c r="X2305" s="2">
        <v>-30.94</v>
      </c>
      <c r="Y2305" s="2">
        <v>-11.94</v>
      </c>
      <c r="Z2305" s="2">
        <v>-24.82</v>
      </c>
    </row>
    <row r="2306" spans="1:26" x14ac:dyDescent="0.25">
      <c r="A2306" s="1" t="s">
        <v>9306</v>
      </c>
      <c r="B2306" s="1" t="s">
        <v>9307</v>
      </c>
      <c r="C2306" s="1" t="s">
        <v>16</v>
      </c>
      <c r="D2306" s="1" t="s">
        <v>140</v>
      </c>
      <c r="E2306" s="1" t="s">
        <v>284</v>
      </c>
      <c r="F2306" s="1" t="s">
        <v>9308</v>
      </c>
      <c r="G2306" s="1" t="s">
        <v>12480</v>
      </c>
      <c r="H2306" s="1" t="s">
        <v>9309</v>
      </c>
      <c r="I2306" s="2">
        <v>21.69</v>
      </c>
      <c r="J2306" s="2">
        <v>0.34</v>
      </c>
      <c r="K2306" s="2">
        <v>0.31</v>
      </c>
      <c r="L2306" s="2">
        <v>0.63</v>
      </c>
      <c r="M2306" s="4">
        <f t="shared" si="210"/>
        <v>69.967741935483872</v>
      </c>
      <c r="N2306" s="4">
        <f t="shared" si="211"/>
        <v>34.428571428571431</v>
      </c>
      <c r="O2306" s="5">
        <f t="shared" si="212"/>
        <v>-8.8235294117647078E-2</v>
      </c>
      <c r="P2306" s="5">
        <f t="shared" si="213"/>
        <v>1.032258064516129</v>
      </c>
      <c r="Q2306" s="4">
        <f t="shared" si="214"/>
        <v>-7.9296774193548369</v>
      </c>
      <c r="R2306" s="4">
        <f t="shared" si="215"/>
        <v>0.33352678571428573</v>
      </c>
      <c r="S2306" s="4">
        <v>11930.67</v>
      </c>
      <c r="T2306" s="2">
        <v>2.5099999999999998</v>
      </c>
      <c r="U2306" s="2">
        <v>27.07</v>
      </c>
      <c r="V2306" s="2">
        <v>12.2</v>
      </c>
      <c r="W2306" s="2">
        <v>-5.37</v>
      </c>
      <c r="X2306" s="2">
        <v>-6.95</v>
      </c>
      <c r="Y2306" s="2">
        <v>1.78</v>
      </c>
      <c r="Z2306" s="2">
        <v>12.44</v>
      </c>
    </row>
    <row r="2307" spans="1:26" x14ac:dyDescent="0.25">
      <c r="A2307" s="1" t="s">
        <v>9310</v>
      </c>
      <c r="B2307" s="1" t="s">
        <v>9311</v>
      </c>
      <c r="C2307" s="1" t="s">
        <v>16</v>
      </c>
      <c r="D2307" s="1" t="s">
        <v>46</v>
      </c>
      <c r="E2307" s="1" t="s">
        <v>391</v>
      </c>
      <c r="F2307" s="1" t="s">
        <v>9312</v>
      </c>
      <c r="G2307" s="1" t="s">
        <v>12480</v>
      </c>
      <c r="H2307" s="1" t="s">
        <v>2057</v>
      </c>
      <c r="I2307" s="2">
        <v>201.79</v>
      </c>
      <c r="J2307" s="2">
        <v>12.92</v>
      </c>
      <c r="K2307" s="2">
        <v>14.28</v>
      </c>
      <c r="L2307" s="2">
        <v>16.54</v>
      </c>
      <c r="M2307" s="4">
        <f t="shared" ref="M2307:M2370" si="216">I2307/K2307</f>
        <v>14.130952380952381</v>
      </c>
      <c r="N2307" s="4">
        <f t="shared" ref="N2307:N2370" si="217">I2307/L2307</f>
        <v>12.200120918984281</v>
      </c>
      <c r="O2307" s="5">
        <f t="shared" ref="O2307:O2370" si="218">K2307/J2307-1</f>
        <v>0.10526315789473673</v>
      </c>
      <c r="P2307" s="5">
        <f t="shared" ref="P2307:P2370" si="219">L2307/K2307-1</f>
        <v>0.15826330532212873</v>
      </c>
      <c r="Q2307" s="4">
        <f t="shared" ref="Q2307:Q2370" si="220">M2307/(O2307*100)</f>
        <v>1.3424404761904778</v>
      </c>
      <c r="R2307" s="4">
        <f t="shared" ref="R2307:R2370" si="221">N2307/(P2307*100)</f>
        <v>0.77087489700484801</v>
      </c>
      <c r="S2307" s="4">
        <v>0.23</v>
      </c>
      <c r="T2307" s="2">
        <v>0.93</v>
      </c>
      <c r="U2307" s="2">
        <v>224.06</v>
      </c>
      <c r="V2307" s="2">
        <v>130.13999999999999</v>
      </c>
      <c r="W2307" s="2">
        <v>-8.8699999999999992</v>
      </c>
      <c r="X2307" s="2">
        <v>-6.46</v>
      </c>
      <c r="Y2307" s="2">
        <v>5.85</v>
      </c>
      <c r="Z2307" s="2">
        <v>5.43</v>
      </c>
    </row>
    <row r="2308" spans="1:26" x14ac:dyDescent="0.25">
      <c r="A2308" s="1" t="s">
        <v>9313</v>
      </c>
      <c r="B2308" s="1" t="s">
        <v>9314</v>
      </c>
      <c r="C2308" s="1" t="s">
        <v>16</v>
      </c>
      <c r="D2308" s="1" t="s">
        <v>305</v>
      </c>
      <c r="E2308" s="1" t="s">
        <v>306</v>
      </c>
      <c r="F2308" s="1" t="s">
        <v>9315</v>
      </c>
      <c r="G2308" s="1" t="s">
        <v>12480</v>
      </c>
      <c r="H2308" s="1" t="s">
        <v>9316</v>
      </c>
      <c r="I2308" s="2">
        <v>346.58</v>
      </c>
      <c r="J2308" s="2">
        <v>10.130000000000001</v>
      </c>
      <c r="K2308" s="2">
        <v>11.42</v>
      </c>
      <c r="L2308" s="2">
        <v>12.48</v>
      </c>
      <c r="M2308" s="4">
        <f t="shared" si="216"/>
        <v>30.348511383537652</v>
      </c>
      <c r="N2308" s="4">
        <f t="shared" si="217"/>
        <v>27.770833333333332</v>
      </c>
      <c r="O2308" s="5">
        <f t="shared" si="218"/>
        <v>0.12734452122408668</v>
      </c>
      <c r="P2308" s="5">
        <f t="shared" si="219"/>
        <v>9.2819614711033394E-2</v>
      </c>
      <c r="Q2308" s="4">
        <f t="shared" si="220"/>
        <v>2.3831815528312932</v>
      </c>
      <c r="R2308" s="4">
        <f t="shared" si="221"/>
        <v>2.9919143081760966</v>
      </c>
      <c r="S2308" s="4">
        <v>11.86</v>
      </c>
      <c r="T2308" s="2">
        <v>0.97</v>
      </c>
      <c r="U2308" s="2">
        <v>517.65</v>
      </c>
      <c r="V2308" s="2">
        <v>330.32</v>
      </c>
      <c r="W2308" s="2">
        <v>-4.46</v>
      </c>
      <c r="X2308" s="2">
        <v>3.11</v>
      </c>
      <c r="Y2308" s="2">
        <v>-5.97</v>
      </c>
      <c r="Z2308" s="2">
        <v>-6.22</v>
      </c>
    </row>
    <row r="2309" spans="1:26" x14ac:dyDescent="0.25">
      <c r="A2309" s="1" t="s">
        <v>9317</v>
      </c>
      <c r="B2309" s="1" t="s">
        <v>9318</v>
      </c>
      <c r="C2309" s="1" t="s">
        <v>31</v>
      </c>
      <c r="D2309" s="1" t="s">
        <v>38</v>
      </c>
      <c r="E2309" s="1" t="s">
        <v>189</v>
      </c>
      <c r="F2309" s="1" t="s">
        <v>9319</v>
      </c>
      <c r="G2309" s="1" t="s">
        <v>12480</v>
      </c>
      <c r="H2309" s="1" t="s">
        <v>9320</v>
      </c>
      <c r="I2309" s="2">
        <v>10.84</v>
      </c>
      <c r="J2309" s="2">
        <v>1.08</v>
      </c>
      <c r="K2309" s="2"/>
      <c r="L2309" s="2"/>
      <c r="M2309" s="4" t="e">
        <f t="shared" si="216"/>
        <v>#DIV/0!</v>
      </c>
      <c r="N2309" s="4" t="e">
        <f t="shared" si="217"/>
        <v>#DIV/0!</v>
      </c>
      <c r="O2309" s="5">
        <f t="shared" si="218"/>
        <v>-1</v>
      </c>
      <c r="P2309" s="5" t="e">
        <f t="shared" si="219"/>
        <v>#DIV/0!</v>
      </c>
      <c r="Q2309" s="4" t="e">
        <f t="shared" si="220"/>
        <v>#DIV/0!</v>
      </c>
      <c r="R2309" s="4" t="e">
        <f t="shared" si="221"/>
        <v>#DIV/0!</v>
      </c>
      <c r="S2309" s="4">
        <v>-3.68</v>
      </c>
      <c r="T2309" s="2">
        <v>1.1000000000000001</v>
      </c>
      <c r="U2309" s="2">
        <v>13.47</v>
      </c>
      <c r="V2309" s="2">
        <v>5.34</v>
      </c>
      <c r="W2309" s="2">
        <v>-7.67</v>
      </c>
      <c r="X2309" s="2">
        <v>-19.53</v>
      </c>
      <c r="Y2309" s="2">
        <v>-1.68</v>
      </c>
      <c r="Z2309" s="2">
        <v>-3.39</v>
      </c>
    </row>
    <row r="2310" spans="1:26" x14ac:dyDescent="0.25">
      <c r="A2310" s="1" t="s">
        <v>9321</v>
      </c>
      <c r="B2310" s="1" t="s">
        <v>9322</v>
      </c>
      <c r="C2310" s="1" t="s">
        <v>16</v>
      </c>
      <c r="D2310" s="1" t="s">
        <v>140</v>
      </c>
      <c r="E2310" s="1" t="s">
        <v>284</v>
      </c>
      <c r="F2310" s="1" t="s">
        <v>9323</v>
      </c>
      <c r="G2310" s="1" t="s">
        <v>12480</v>
      </c>
      <c r="H2310" s="1" t="s">
        <v>567</v>
      </c>
      <c r="I2310" s="2">
        <v>44.94</v>
      </c>
      <c r="J2310" s="2">
        <v>2.69</v>
      </c>
      <c r="K2310" s="2">
        <v>2.37</v>
      </c>
      <c r="L2310" s="2">
        <v>2.76</v>
      </c>
      <c r="M2310" s="4">
        <f t="shared" si="216"/>
        <v>18.962025316455694</v>
      </c>
      <c r="N2310" s="4">
        <f t="shared" si="217"/>
        <v>16.282608695652176</v>
      </c>
      <c r="O2310" s="5">
        <f t="shared" si="218"/>
        <v>-0.11895910780669139</v>
      </c>
      <c r="P2310" s="5">
        <f t="shared" si="219"/>
        <v>0.16455696202531622</v>
      </c>
      <c r="Q2310" s="4">
        <f t="shared" si="220"/>
        <v>-1.5939952531645576</v>
      </c>
      <c r="R2310" s="4">
        <f t="shared" si="221"/>
        <v>0.98948160535117202</v>
      </c>
      <c r="S2310" s="4">
        <v>-3.99</v>
      </c>
      <c r="T2310" s="2"/>
      <c r="U2310" s="2">
        <v>56.28</v>
      </c>
      <c r="V2310" s="2">
        <v>38.39</v>
      </c>
      <c r="W2310" s="2">
        <v>-3.83</v>
      </c>
      <c r="X2310" s="2">
        <v>9.1300000000000008</v>
      </c>
      <c r="Y2310" s="2">
        <v>-11.5</v>
      </c>
      <c r="Z2310" s="2">
        <v>-11.73</v>
      </c>
    </row>
    <row r="2311" spans="1:26" x14ac:dyDescent="0.25">
      <c r="A2311" s="1" t="s">
        <v>9324</v>
      </c>
      <c r="B2311" s="1" t="s">
        <v>9325</v>
      </c>
      <c r="C2311" s="1" t="s">
        <v>16</v>
      </c>
      <c r="D2311" s="1" t="s">
        <v>140</v>
      </c>
      <c r="E2311" s="1" t="s">
        <v>284</v>
      </c>
      <c r="F2311" s="1" t="s">
        <v>9326</v>
      </c>
      <c r="G2311" s="1" t="s">
        <v>12490</v>
      </c>
      <c r="H2311" s="1" t="s">
        <v>9327</v>
      </c>
      <c r="I2311" s="2">
        <v>29.68</v>
      </c>
      <c r="J2311" s="2">
        <v>1.7</v>
      </c>
      <c r="K2311" s="2">
        <v>2.2400000000000002</v>
      </c>
      <c r="L2311" s="2">
        <v>2.94</v>
      </c>
      <c r="M2311" s="4">
        <f t="shared" si="216"/>
        <v>13.249999999999998</v>
      </c>
      <c r="N2311" s="4">
        <f t="shared" si="217"/>
        <v>10.095238095238095</v>
      </c>
      <c r="O2311" s="5">
        <f t="shared" si="218"/>
        <v>0.31764705882352962</v>
      </c>
      <c r="P2311" s="5">
        <f t="shared" si="219"/>
        <v>0.31249999999999978</v>
      </c>
      <c r="Q2311" s="4">
        <f t="shared" si="220"/>
        <v>0.41712962962962929</v>
      </c>
      <c r="R2311" s="4">
        <f t="shared" si="221"/>
        <v>0.32304761904761925</v>
      </c>
      <c r="S2311" s="4">
        <v>13.02</v>
      </c>
      <c r="T2311" s="2">
        <v>1.1200000000000001</v>
      </c>
      <c r="U2311" s="2">
        <v>34.200000000000003</v>
      </c>
      <c r="V2311" s="2">
        <v>22.42</v>
      </c>
      <c r="W2311" s="2">
        <v>6.08</v>
      </c>
      <c r="X2311" s="2">
        <v>25.23</v>
      </c>
      <c r="Y2311" s="2">
        <v>1.61</v>
      </c>
      <c r="Z2311" s="2">
        <v>1.06</v>
      </c>
    </row>
    <row r="2312" spans="1:26" x14ac:dyDescent="0.25">
      <c r="A2312" s="1" t="s">
        <v>9328</v>
      </c>
      <c r="B2312" s="1" t="s">
        <v>9329</v>
      </c>
      <c r="C2312" s="1" t="s">
        <v>31</v>
      </c>
      <c r="D2312" s="1" t="s">
        <v>140</v>
      </c>
      <c r="E2312" s="1" t="s">
        <v>5365</v>
      </c>
      <c r="F2312" s="1" t="s">
        <v>9330</v>
      </c>
      <c r="G2312" s="1" t="s">
        <v>12480</v>
      </c>
      <c r="H2312" s="1" t="s">
        <v>9331</v>
      </c>
      <c r="I2312" s="2">
        <v>15.59</v>
      </c>
      <c r="J2312" s="2">
        <v>1.43</v>
      </c>
      <c r="K2312" s="2">
        <v>1.8</v>
      </c>
      <c r="L2312" s="2">
        <v>2.09</v>
      </c>
      <c r="M2312" s="4">
        <f t="shared" si="216"/>
        <v>8.6611111111111114</v>
      </c>
      <c r="N2312" s="4">
        <f t="shared" si="217"/>
        <v>7.4593301435406705</v>
      </c>
      <c r="O2312" s="5">
        <f t="shared" si="218"/>
        <v>0.25874125874125875</v>
      </c>
      <c r="P2312" s="5">
        <f t="shared" si="219"/>
        <v>0.16111111111111098</v>
      </c>
      <c r="Q2312" s="4">
        <f t="shared" si="220"/>
        <v>0.33474024024024024</v>
      </c>
      <c r="R2312" s="4">
        <f t="shared" si="221"/>
        <v>0.46299290546114535</v>
      </c>
      <c r="S2312" s="4">
        <v>-0.01</v>
      </c>
      <c r="T2312" s="2">
        <v>0.88</v>
      </c>
      <c r="U2312" s="2">
        <v>25.49</v>
      </c>
      <c r="V2312" s="2">
        <v>15.38</v>
      </c>
      <c r="W2312" s="2">
        <v>-0.32</v>
      </c>
      <c r="X2312" s="2">
        <v>-12.51</v>
      </c>
      <c r="Y2312" s="2">
        <v>-18.12</v>
      </c>
      <c r="Z2312" s="2">
        <v>-17.47</v>
      </c>
    </row>
    <row r="2313" spans="1:26" x14ac:dyDescent="0.25">
      <c r="A2313" s="1" t="s">
        <v>9332</v>
      </c>
      <c r="B2313" s="1" t="s">
        <v>9333</v>
      </c>
      <c r="C2313" s="1" t="s">
        <v>45</v>
      </c>
      <c r="D2313" s="1" t="s">
        <v>18</v>
      </c>
      <c r="E2313" s="1" t="s">
        <v>74</v>
      </c>
      <c r="F2313" s="1" t="s">
        <v>9334</v>
      </c>
      <c r="G2313" s="1" t="s">
        <v>12480</v>
      </c>
      <c r="H2313" s="1" t="s">
        <v>2708</v>
      </c>
      <c r="I2313" s="2">
        <v>30.54</v>
      </c>
      <c r="J2313" s="2">
        <v>-3.78</v>
      </c>
      <c r="K2313" s="2">
        <v>-3.41</v>
      </c>
      <c r="L2313" s="2">
        <v>-3.78</v>
      </c>
      <c r="M2313" s="4">
        <f t="shared" si="216"/>
        <v>-8.9560117302052777</v>
      </c>
      <c r="N2313" s="4">
        <f t="shared" si="217"/>
        <v>-8.0793650793650791</v>
      </c>
      <c r="O2313" s="5">
        <f t="shared" si="218"/>
        <v>-9.7883597883597795E-2</v>
      </c>
      <c r="P2313" s="5">
        <f t="shared" si="219"/>
        <v>0.10850439882697938</v>
      </c>
      <c r="Q2313" s="4">
        <f t="shared" si="220"/>
        <v>0.91496552270745901</v>
      </c>
      <c r="R2313" s="4">
        <f t="shared" si="221"/>
        <v>-0.74461175461175522</v>
      </c>
      <c r="S2313" s="4"/>
      <c r="T2313" s="2">
        <v>1.51</v>
      </c>
      <c r="U2313" s="2">
        <v>31.9</v>
      </c>
      <c r="V2313" s="2">
        <v>8.08</v>
      </c>
      <c r="W2313" s="2">
        <v>7.65</v>
      </c>
      <c r="X2313" s="2">
        <v>11.95</v>
      </c>
      <c r="Y2313" s="2">
        <v>3.18</v>
      </c>
      <c r="Z2313" s="2">
        <v>0.66</v>
      </c>
    </row>
    <row r="2314" spans="1:26" x14ac:dyDescent="0.25">
      <c r="A2314" s="1" t="s">
        <v>9335</v>
      </c>
      <c r="B2314" s="1" t="s">
        <v>9336</v>
      </c>
      <c r="C2314" s="1" t="s">
        <v>45</v>
      </c>
      <c r="D2314" s="1" t="s">
        <v>18</v>
      </c>
      <c r="E2314" s="1" t="s">
        <v>74</v>
      </c>
      <c r="F2314" s="1" t="s">
        <v>9337</v>
      </c>
      <c r="G2314" s="1" t="s">
        <v>12480</v>
      </c>
      <c r="H2314" s="1" t="s">
        <v>9338</v>
      </c>
      <c r="I2314" s="2">
        <v>22.61</v>
      </c>
      <c r="J2314" s="2">
        <v>-5.83</v>
      </c>
      <c r="K2314" s="2">
        <v>-4.42</v>
      </c>
      <c r="L2314" s="2">
        <v>-0.42</v>
      </c>
      <c r="M2314" s="4">
        <f t="shared" si="216"/>
        <v>-5.115384615384615</v>
      </c>
      <c r="N2314" s="4">
        <f t="shared" si="217"/>
        <v>-53.833333333333336</v>
      </c>
      <c r="O2314" s="5">
        <f t="shared" si="218"/>
        <v>-0.241852487135506</v>
      </c>
      <c r="P2314" s="5">
        <f t="shared" si="219"/>
        <v>-0.90497737556561086</v>
      </c>
      <c r="Q2314" s="4">
        <f t="shared" si="220"/>
        <v>0.21150845608292415</v>
      </c>
      <c r="R2314" s="4">
        <f t="shared" si="221"/>
        <v>0.59485833333333338</v>
      </c>
      <c r="S2314" s="4">
        <v>20.13</v>
      </c>
      <c r="T2314" s="2">
        <v>0.16</v>
      </c>
      <c r="U2314" s="2">
        <v>41.44</v>
      </c>
      <c r="V2314" s="2">
        <v>19.72</v>
      </c>
      <c r="W2314" s="2">
        <v>-1.78</v>
      </c>
      <c r="X2314" s="2">
        <v>-5.32</v>
      </c>
      <c r="Y2314" s="2">
        <v>-37.590000000000003</v>
      </c>
      <c r="Z2314" s="2">
        <v>-1.7</v>
      </c>
    </row>
    <row r="2315" spans="1:26" x14ac:dyDescent="0.25">
      <c r="A2315" s="1" t="s">
        <v>9339</v>
      </c>
      <c r="B2315" s="1" t="s">
        <v>9340</v>
      </c>
      <c r="C2315" s="1" t="s">
        <v>16</v>
      </c>
      <c r="D2315" s="1" t="s">
        <v>140</v>
      </c>
      <c r="E2315" s="1" t="s">
        <v>1555</v>
      </c>
      <c r="F2315" s="1" t="s">
        <v>9341</v>
      </c>
      <c r="G2315" s="1" t="s">
        <v>12480</v>
      </c>
      <c r="H2315" s="1" t="s">
        <v>9342</v>
      </c>
      <c r="I2315" s="2">
        <v>105.79</v>
      </c>
      <c r="J2315" s="2" t="s">
        <v>12513</v>
      </c>
      <c r="K2315" s="2">
        <v>4.4400000000000004</v>
      </c>
      <c r="L2315" s="2">
        <v>5.09</v>
      </c>
      <c r="M2315" s="4">
        <f t="shared" si="216"/>
        <v>23.826576576576574</v>
      </c>
      <c r="N2315" s="4">
        <f t="shared" si="217"/>
        <v>20.783889980353635</v>
      </c>
      <c r="O2315" s="5">
        <f t="shared" si="218"/>
        <v>0.1100000000000001</v>
      </c>
      <c r="P2315" s="5">
        <f t="shared" si="219"/>
        <v>0.14639639639639634</v>
      </c>
      <c r="Q2315" s="4">
        <f t="shared" si="220"/>
        <v>2.1660524160524139</v>
      </c>
      <c r="R2315" s="4">
        <f t="shared" si="221"/>
        <v>1.4196995617349257</v>
      </c>
      <c r="S2315" s="4" t="s">
        <v>12864</v>
      </c>
      <c r="T2315" s="2">
        <v>0.56999999999999995</v>
      </c>
      <c r="U2315" s="2">
        <v>119.14</v>
      </c>
      <c r="V2315" s="2">
        <v>89.64</v>
      </c>
      <c r="W2315" s="2">
        <v>5.65</v>
      </c>
      <c r="X2315" s="2">
        <v>-10.220000000000001</v>
      </c>
      <c r="Y2315" s="2">
        <v>2.95</v>
      </c>
      <c r="Z2315" s="2">
        <v>2.84</v>
      </c>
    </row>
    <row r="2316" spans="1:26" x14ac:dyDescent="0.25">
      <c r="A2316" s="1" t="s">
        <v>9343</v>
      </c>
      <c r="B2316" s="1" t="s">
        <v>9344</v>
      </c>
      <c r="C2316" s="1" t="s">
        <v>16</v>
      </c>
      <c r="D2316" s="1" t="s">
        <v>25</v>
      </c>
      <c r="E2316" s="1" t="s">
        <v>220</v>
      </c>
      <c r="F2316" s="1" t="s">
        <v>9345</v>
      </c>
      <c r="G2316" s="1" t="s">
        <v>12490</v>
      </c>
      <c r="H2316" s="1" t="s">
        <v>6788</v>
      </c>
      <c r="I2316" s="2">
        <v>565.64</v>
      </c>
      <c r="J2316" s="2">
        <v>10.01</v>
      </c>
      <c r="K2316" s="2">
        <v>12.42</v>
      </c>
      <c r="L2316" s="2">
        <v>14.08</v>
      </c>
      <c r="M2316" s="4">
        <f t="shared" si="216"/>
        <v>45.542673107890501</v>
      </c>
      <c r="N2316" s="4">
        <f t="shared" si="217"/>
        <v>40.173295454545453</v>
      </c>
      <c r="O2316" s="5">
        <f t="shared" si="218"/>
        <v>0.24075924075924071</v>
      </c>
      <c r="P2316" s="5">
        <f t="shared" si="219"/>
        <v>0.13365539452495967</v>
      </c>
      <c r="Q2316" s="4">
        <f t="shared" si="220"/>
        <v>1.8916272108298091</v>
      </c>
      <c r="R2316" s="4">
        <f t="shared" si="221"/>
        <v>3.0057369249726196</v>
      </c>
      <c r="S2316" s="4">
        <v>4.87</v>
      </c>
      <c r="T2316" s="2">
        <v>1.47</v>
      </c>
      <c r="U2316" s="2">
        <v>584.89</v>
      </c>
      <c r="V2316" s="2">
        <v>304.79000000000002</v>
      </c>
      <c r="W2316" s="2">
        <v>-3.29</v>
      </c>
      <c r="X2316" s="2">
        <v>3.18</v>
      </c>
      <c r="Y2316" s="2">
        <v>22.28</v>
      </c>
      <c r="Z2316" s="2">
        <v>26.14</v>
      </c>
    </row>
    <row r="2317" spans="1:26" x14ac:dyDescent="0.25">
      <c r="A2317" s="1" t="s">
        <v>9346</v>
      </c>
      <c r="B2317" s="1" t="s">
        <v>9347</v>
      </c>
      <c r="C2317" s="1" t="s">
        <v>45</v>
      </c>
      <c r="D2317" s="1" t="s">
        <v>38</v>
      </c>
      <c r="E2317" s="1" t="s">
        <v>119</v>
      </c>
      <c r="F2317" s="1" t="s">
        <v>9348</v>
      </c>
      <c r="G2317" s="1" t="s">
        <v>12480</v>
      </c>
      <c r="H2317" s="1" t="s">
        <v>3417</v>
      </c>
      <c r="I2317" s="2">
        <v>68.42</v>
      </c>
      <c r="J2317" s="2">
        <v>6.72</v>
      </c>
      <c r="K2317" s="2" t="s">
        <v>12502</v>
      </c>
      <c r="L2317" s="2">
        <v>6.2</v>
      </c>
      <c r="M2317" s="4">
        <f t="shared" si="216"/>
        <v>11.403333333333334</v>
      </c>
      <c r="N2317" s="4">
        <f t="shared" si="217"/>
        <v>11.035483870967742</v>
      </c>
      <c r="O2317" s="5">
        <f t="shared" si="218"/>
        <v>-0.1071428571428571</v>
      </c>
      <c r="P2317" s="5">
        <f t="shared" si="219"/>
        <v>3.3333333333333437E-2</v>
      </c>
      <c r="Q2317" s="4">
        <f t="shared" si="220"/>
        <v>-1.0643111111111117</v>
      </c>
      <c r="R2317" s="4">
        <f t="shared" si="221"/>
        <v>3.3106451612903123</v>
      </c>
      <c r="S2317" s="4">
        <v>3.11</v>
      </c>
      <c r="T2317" s="2">
        <v>0.59</v>
      </c>
      <c r="U2317" s="2">
        <v>77.77</v>
      </c>
      <c r="V2317" s="2">
        <v>60.5</v>
      </c>
      <c r="W2317" s="2">
        <v>-1.98</v>
      </c>
      <c r="X2317" s="2">
        <v>-6.53</v>
      </c>
      <c r="Y2317" s="2">
        <v>-7.9</v>
      </c>
      <c r="Z2317" s="2">
        <v>-0.83</v>
      </c>
    </row>
    <row r="2318" spans="1:26" x14ac:dyDescent="0.25">
      <c r="A2318" s="1" t="s">
        <v>9349</v>
      </c>
      <c r="B2318" s="1" t="s">
        <v>9350</v>
      </c>
      <c r="C2318" s="1" t="s">
        <v>31</v>
      </c>
      <c r="D2318" s="1" t="s">
        <v>128</v>
      </c>
      <c r="E2318" s="1" t="s">
        <v>9352</v>
      </c>
      <c r="F2318" s="1" t="s">
        <v>9351</v>
      </c>
      <c r="G2318" s="1" t="s">
        <v>12480</v>
      </c>
      <c r="H2318" s="1" t="s">
        <v>9353</v>
      </c>
      <c r="I2318" s="2">
        <v>14.88</v>
      </c>
      <c r="J2318" s="2">
        <v>0.93</v>
      </c>
      <c r="K2318" s="2">
        <v>1.02</v>
      </c>
      <c r="L2318" s="2">
        <v>1.08</v>
      </c>
      <c r="M2318" s="4">
        <f t="shared" si="216"/>
        <v>14.588235294117647</v>
      </c>
      <c r="N2318" s="4">
        <f t="shared" si="217"/>
        <v>13.777777777777777</v>
      </c>
      <c r="O2318" s="5">
        <f t="shared" si="218"/>
        <v>9.6774193548387011E-2</v>
      </c>
      <c r="P2318" s="5">
        <f t="shared" si="219"/>
        <v>5.8823529411764719E-2</v>
      </c>
      <c r="Q2318" s="4">
        <f t="shared" si="220"/>
        <v>1.5074509803921581</v>
      </c>
      <c r="R2318" s="4">
        <f t="shared" si="221"/>
        <v>2.3422222222222215</v>
      </c>
      <c r="S2318" s="4">
        <v>3.44</v>
      </c>
      <c r="T2318" s="2">
        <v>0.38</v>
      </c>
      <c r="U2318" s="2">
        <v>17.78</v>
      </c>
      <c r="V2318" s="2">
        <v>12.64</v>
      </c>
      <c r="W2318" s="2">
        <v>-13.39</v>
      </c>
      <c r="X2318" s="2">
        <v>-14.53</v>
      </c>
      <c r="Y2318" s="2">
        <v>-10.83</v>
      </c>
      <c r="Z2318" s="2">
        <v>-11.93</v>
      </c>
    </row>
    <row r="2319" spans="1:26" x14ac:dyDescent="0.25">
      <c r="A2319" s="1" t="s">
        <v>9354</v>
      </c>
      <c r="B2319" s="1" t="s">
        <v>9355</v>
      </c>
      <c r="C2319" s="1" t="s">
        <v>16</v>
      </c>
      <c r="D2319" s="1" t="s">
        <v>147</v>
      </c>
      <c r="E2319" s="1" t="s">
        <v>2000</v>
      </c>
      <c r="F2319" s="1" t="s">
        <v>9356</v>
      </c>
      <c r="G2319" s="1" t="s">
        <v>12480</v>
      </c>
      <c r="H2319" s="1" t="s">
        <v>9357</v>
      </c>
      <c r="I2319" s="2">
        <v>62.65</v>
      </c>
      <c r="J2319" s="2">
        <v>-1.54</v>
      </c>
      <c r="K2319" s="2">
        <v>-1.61</v>
      </c>
      <c r="L2319" s="2">
        <v>-1.18</v>
      </c>
      <c r="M2319" s="4">
        <f t="shared" si="216"/>
        <v>-38.913043478260867</v>
      </c>
      <c r="N2319" s="4">
        <f t="shared" si="217"/>
        <v>-53.093220338983052</v>
      </c>
      <c r="O2319" s="5">
        <f t="shared" si="218"/>
        <v>4.5454545454545414E-2</v>
      </c>
      <c r="P2319" s="5">
        <f t="shared" si="219"/>
        <v>-0.26708074534161497</v>
      </c>
      <c r="Q2319" s="4">
        <f t="shared" si="220"/>
        <v>-8.5608695652173985</v>
      </c>
      <c r="R2319" s="4">
        <f t="shared" si="221"/>
        <v>1.9879089475758767</v>
      </c>
      <c r="S2319" s="4">
        <v>35.770000000000003</v>
      </c>
      <c r="T2319" s="2">
        <v>1.62</v>
      </c>
      <c r="U2319" s="2">
        <v>141.56</v>
      </c>
      <c r="V2319" s="2">
        <v>51.22</v>
      </c>
      <c r="W2319" s="2">
        <v>-7.1</v>
      </c>
      <c r="X2319" s="2">
        <v>-14.7</v>
      </c>
      <c r="Y2319" s="2">
        <v>-27.96</v>
      </c>
      <c r="Z2319" s="2">
        <v>-22.68</v>
      </c>
    </row>
    <row r="2320" spans="1:26" x14ac:dyDescent="0.25">
      <c r="A2320" s="1" t="s">
        <v>9358</v>
      </c>
      <c r="B2320" s="1" t="s">
        <v>9359</v>
      </c>
      <c r="C2320" s="1" t="s">
        <v>16</v>
      </c>
      <c r="D2320" s="1" t="s">
        <v>32</v>
      </c>
      <c r="E2320" s="1" t="s">
        <v>311</v>
      </c>
      <c r="F2320" s="1" t="s">
        <v>9360</v>
      </c>
      <c r="G2320" s="1" t="s">
        <v>12493</v>
      </c>
      <c r="H2320" s="1" t="s">
        <v>9361</v>
      </c>
      <c r="I2320" s="2">
        <v>57.17</v>
      </c>
      <c r="J2320" s="2">
        <v>-1.57</v>
      </c>
      <c r="K2320" s="2">
        <v>0.02</v>
      </c>
      <c r="L2320" s="2">
        <v>0.62</v>
      </c>
      <c r="M2320" s="4">
        <f t="shared" si="216"/>
        <v>2858.5</v>
      </c>
      <c r="N2320" s="4">
        <f t="shared" si="217"/>
        <v>92.209677419354847</v>
      </c>
      <c r="O2320" s="5">
        <f t="shared" si="218"/>
        <v>-1.0127388535031847</v>
      </c>
      <c r="P2320" s="5">
        <f t="shared" si="219"/>
        <v>30</v>
      </c>
      <c r="Q2320" s="4">
        <f t="shared" si="220"/>
        <v>-28.22544025157233</v>
      </c>
      <c r="R2320" s="4">
        <f t="shared" si="221"/>
        <v>3.0736559139784948E-2</v>
      </c>
      <c r="S2320" s="4">
        <v>41.19</v>
      </c>
      <c r="T2320" s="2">
        <v>0.45</v>
      </c>
      <c r="U2320" s="2">
        <v>99.74</v>
      </c>
      <c r="V2320" s="2">
        <v>47.26</v>
      </c>
      <c r="W2320" s="2">
        <v>6.48</v>
      </c>
      <c r="X2320" s="2">
        <v>5.75</v>
      </c>
      <c r="Y2320" s="2">
        <v>-28.44</v>
      </c>
      <c r="Z2320" s="2">
        <v>-25.25</v>
      </c>
    </row>
    <row r="2321" spans="1:26" x14ac:dyDescent="0.25">
      <c r="A2321" s="1" t="s">
        <v>9362</v>
      </c>
      <c r="B2321" s="1" t="s">
        <v>9363</v>
      </c>
      <c r="C2321" s="1" t="s">
        <v>31</v>
      </c>
      <c r="D2321" s="1" t="s">
        <v>38</v>
      </c>
      <c r="E2321" s="1" t="s">
        <v>189</v>
      </c>
      <c r="F2321" s="1" t="s">
        <v>9364</v>
      </c>
      <c r="G2321" s="1" t="s">
        <v>12480</v>
      </c>
      <c r="H2321" s="1" t="s">
        <v>9365</v>
      </c>
      <c r="I2321" s="2">
        <v>7.85</v>
      </c>
      <c r="J2321" s="2">
        <v>0.89</v>
      </c>
      <c r="K2321" s="2"/>
      <c r="L2321" s="2"/>
      <c r="M2321" s="4" t="e">
        <f t="shared" si="216"/>
        <v>#DIV/0!</v>
      </c>
      <c r="N2321" s="4" t="e">
        <f t="shared" si="217"/>
        <v>#DIV/0!</v>
      </c>
      <c r="O2321" s="5">
        <f t="shared" si="218"/>
        <v>-1</v>
      </c>
      <c r="P2321" s="5" t="e">
        <f t="shared" si="219"/>
        <v>#DIV/0!</v>
      </c>
      <c r="Q2321" s="4" t="e">
        <f t="shared" si="220"/>
        <v>#DIV/0!</v>
      </c>
      <c r="R2321" s="4" t="e">
        <f t="shared" si="221"/>
        <v>#DIV/0!</v>
      </c>
      <c r="S2321" s="4">
        <v>6.4</v>
      </c>
      <c r="T2321" s="2">
        <v>0.94</v>
      </c>
      <c r="U2321" s="2">
        <v>9.52</v>
      </c>
      <c r="V2321" s="2">
        <v>5.14</v>
      </c>
      <c r="W2321" s="2">
        <v>-2.66</v>
      </c>
      <c r="X2321" s="2">
        <v>-6.99</v>
      </c>
      <c r="Y2321" s="2">
        <v>-7.05</v>
      </c>
      <c r="Z2321" s="2">
        <v>-10.95</v>
      </c>
    </row>
    <row r="2322" spans="1:26" x14ac:dyDescent="0.25">
      <c r="A2322" s="1" t="s">
        <v>9366</v>
      </c>
      <c r="B2322" s="1" t="s">
        <v>9367</v>
      </c>
      <c r="C2322" s="1" t="s">
        <v>45</v>
      </c>
      <c r="D2322" s="1" t="s">
        <v>140</v>
      </c>
      <c r="E2322" s="1" t="s">
        <v>284</v>
      </c>
      <c r="F2322" s="1" t="s">
        <v>9368</v>
      </c>
      <c r="G2322" s="1" t="s">
        <v>12480</v>
      </c>
      <c r="H2322" s="1" t="s">
        <v>9369</v>
      </c>
      <c r="I2322" s="2">
        <v>14.095000000000001</v>
      </c>
      <c r="J2322" s="2">
        <v>-0.36</v>
      </c>
      <c r="K2322" s="2">
        <v>-0.34</v>
      </c>
      <c r="L2322" s="2">
        <v>-0.09</v>
      </c>
      <c r="M2322" s="4">
        <f t="shared" si="216"/>
        <v>-41.455882352941174</v>
      </c>
      <c r="N2322" s="4">
        <f t="shared" si="217"/>
        <v>-156.61111111111111</v>
      </c>
      <c r="O2322" s="5">
        <f t="shared" si="218"/>
        <v>-5.5555555555555469E-2</v>
      </c>
      <c r="P2322" s="5">
        <f t="shared" si="219"/>
        <v>-0.73529411764705888</v>
      </c>
      <c r="Q2322" s="4">
        <f t="shared" si="220"/>
        <v>7.4620588235294232</v>
      </c>
      <c r="R2322" s="4">
        <f t="shared" si="221"/>
        <v>2.1299111111111113</v>
      </c>
      <c r="S2322" s="4"/>
      <c r="T2322" s="2">
        <v>1.53</v>
      </c>
      <c r="U2322" s="2">
        <v>17.36</v>
      </c>
      <c r="V2322" s="2">
        <v>4.66</v>
      </c>
      <c r="W2322" s="2">
        <v>3.11</v>
      </c>
      <c r="X2322" s="2">
        <v>2.81</v>
      </c>
      <c r="Y2322" s="2">
        <v>88.44</v>
      </c>
      <c r="Z2322" s="2">
        <v>77.739999999999995</v>
      </c>
    </row>
    <row r="2323" spans="1:26" x14ac:dyDescent="0.25">
      <c r="A2323" s="1" t="s">
        <v>9370</v>
      </c>
      <c r="B2323" s="1" t="s">
        <v>9371</v>
      </c>
      <c r="C2323" s="1" t="s">
        <v>16</v>
      </c>
      <c r="D2323" s="1" t="s">
        <v>354</v>
      </c>
      <c r="E2323" s="1" t="s">
        <v>1537</v>
      </c>
      <c r="F2323" s="1" t="s">
        <v>9372</v>
      </c>
      <c r="G2323" s="1" t="s">
        <v>12480</v>
      </c>
      <c r="H2323" s="1" t="s">
        <v>9373</v>
      </c>
      <c r="I2323" s="2">
        <v>40.630000000000003</v>
      </c>
      <c r="J2323" s="2">
        <v>3.59</v>
      </c>
      <c r="K2323" s="2">
        <v>3.53</v>
      </c>
      <c r="L2323" s="2">
        <v>3.65</v>
      </c>
      <c r="M2323" s="4">
        <f t="shared" si="216"/>
        <v>11.509915014164307</v>
      </c>
      <c r="N2323" s="4">
        <f t="shared" si="217"/>
        <v>11.13150684931507</v>
      </c>
      <c r="O2323" s="5">
        <f t="shared" si="218"/>
        <v>-1.6713091922005541E-2</v>
      </c>
      <c r="P2323" s="5">
        <f t="shared" si="219"/>
        <v>3.3994334277620331E-2</v>
      </c>
      <c r="Q2323" s="4">
        <f t="shared" si="220"/>
        <v>-6.8867658168083228</v>
      </c>
      <c r="R2323" s="4">
        <f t="shared" si="221"/>
        <v>3.2745182648401894</v>
      </c>
      <c r="S2323" s="4">
        <v>3.33</v>
      </c>
      <c r="T2323" s="2">
        <v>0.74</v>
      </c>
      <c r="U2323" s="2">
        <v>40.97</v>
      </c>
      <c r="V2323" s="2">
        <v>23.54</v>
      </c>
      <c r="W2323" s="2">
        <v>-0.83</v>
      </c>
      <c r="X2323" s="2">
        <v>9.51</v>
      </c>
      <c r="Y2323" s="2">
        <v>10.8</v>
      </c>
      <c r="Z2323" s="2">
        <v>7.69</v>
      </c>
    </row>
    <row r="2324" spans="1:26" x14ac:dyDescent="0.25">
      <c r="A2324" s="1" t="s">
        <v>9374</v>
      </c>
      <c r="B2324" s="1" t="s">
        <v>9375</v>
      </c>
      <c r="C2324" s="1" t="s">
        <v>16</v>
      </c>
      <c r="D2324" s="1" t="s">
        <v>147</v>
      </c>
      <c r="E2324" s="1" t="s">
        <v>148</v>
      </c>
      <c r="F2324" s="1" t="s">
        <v>9376</v>
      </c>
      <c r="G2324" s="1" t="s">
        <v>12480</v>
      </c>
      <c r="H2324" s="1" t="s">
        <v>9377</v>
      </c>
      <c r="I2324" s="2">
        <v>290.55</v>
      </c>
      <c r="J2324" s="2">
        <v>15.64</v>
      </c>
      <c r="K2324" s="2">
        <v>18.09</v>
      </c>
      <c r="L2324" s="2">
        <v>20.69</v>
      </c>
      <c r="M2324" s="4">
        <f t="shared" si="216"/>
        <v>16.061359867330019</v>
      </c>
      <c r="N2324" s="4">
        <f t="shared" si="217"/>
        <v>14.043015949734171</v>
      </c>
      <c r="O2324" s="5">
        <f t="shared" si="218"/>
        <v>0.15664961636828645</v>
      </c>
      <c r="P2324" s="5">
        <f t="shared" si="219"/>
        <v>0.14372581536760642</v>
      </c>
      <c r="Q2324" s="4">
        <f t="shared" si="220"/>
        <v>1.0253047686736387</v>
      </c>
      <c r="R2324" s="4">
        <f t="shared" si="221"/>
        <v>0.97706984050265822</v>
      </c>
      <c r="S2324" s="4">
        <v>8.8000000000000007</v>
      </c>
      <c r="T2324" s="2">
        <v>1.87</v>
      </c>
      <c r="U2324" s="2">
        <v>365.84</v>
      </c>
      <c r="V2324" s="2">
        <v>177.93</v>
      </c>
      <c r="W2324" s="2">
        <v>-3.42</v>
      </c>
      <c r="X2324" s="2">
        <v>-16.52</v>
      </c>
      <c r="Y2324" s="2">
        <v>1.1599999999999999</v>
      </c>
      <c r="Z2324" s="2">
        <v>4.17</v>
      </c>
    </row>
    <row r="2325" spans="1:26" x14ac:dyDescent="0.25">
      <c r="A2325" s="1" t="s">
        <v>9379</v>
      </c>
      <c r="B2325" s="1" t="s">
        <v>9380</v>
      </c>
      <c r="C2325" s="1" t="s">
        <v>31</v>
      </c>
      <c r="D2325" s="1" t="s">
        <v>140</v>
      </c>
      <c r="E2325" s="1" t="s">
        <v>4364</v>
      </c>
      <c r="F2325" s="1" t="s">
        <v>9381</v>
      </c>
      <c r="G2325" s="1" t="s">
        <v>12490</v>
      </c>
      <c r="H2325" s="1" t="s">
        <v>9382</v>
      </c>
      <c r="I2325" s="2">
        <v>8.65</v>
      </c>
      <c r="J2325" s="2">
        <v>0.35</v>
      </c>
      <c r="K2325" s="2">
        <v>0.38</v>
      </c>
      <c r="L2325" s="2">
        <v>0.48</v>
      </c>
      <c r="M2325" s="4">
        <f t="shared" si="216"/>
        <v>22.763157894736842</v>
      </c>
      <c r="N2325" s="4">
        <f t="shared" si="217"/>
        <v>18.020833333333336</v>
      </c>
      <c r="O2325" s="5">
        <f t="shared" si="218"/>
        <v>8.5714285714285854E-2</v>
      </c>
      <c r="P2325" s="5">
        <f t="shared" si="219"/>
        <v>0.26315789473684204</v>
      </c>
      <c r="Q2325" s="4">
        <f t="shared" si="220"/>
        <v>2.6557017543859605</v>
      </c>
      <c r="R2325" s="4">
        <f t="shared" si="221"/>
        <v>0.68479166666666691</v>
      </c>
      <c r="S2325" s="4">
        <v>-1.28</v>
      </c>
      <c r="T2325" s="2">
        <v>1.68</v>
      </c>
      <c r="U2325" s="2">
        <v>12.6</v>
      </c>
      <c r="V2325" s="2">
        <v>7.8</v>
      </c>
      <c r="W2325" s="2">
        <v>0.17</v>
      </c>
      <c r="X2325" s="2">
        <v>-9.7100000000000009</v>
      </c>
      <c r="Y2325" s="2">
        <v>-21.79</v>
      </c>
      <c r="Z2325" s="2">
        <v>-23.11</v>
      </c>
    </row>
    <row r="2326" spans="1:26" x14ac:dyDescent="0.25">
      <c r="A2326" s="1" t="s">
        <v>9383</v>
      </c>
      <c r="B2326" s="1" t="s">
        <v>9384</v>
      </c>
      <c r="C2326" s="1" t="s">
        <v>16</v>
      </c>
      <c r="D2326" s="1" t="s">
        <v>18</v>
      </c>
      <c r="E2326" s="1" t="s">
        <v>74</v>
      </c>
      <c r="F2326" s="1" t="s">
        <v>9385</v>
      </c>
      <c r="G2326" s="1" t="s">
        <v>12480</v>
      </c>
      <c r="H2326" s="1" t="s">
        <v>9386</v>
      </c>
      <c r="I2326" s="2">
        <v>23.43</v>
      </c>
      <c r="J2326" s="2">
        <v>-3.29</v>
      </c>
      <c r="K2326" s="2">
        <v>-3.86</v>
      </c>
      <c r="L2326" s="2">
        <v>-2.86</v>
      </c>
      <c r="M2326" s="4">
        <f t="shared" si="216"/>
        <v>-6.0699481865284977</v>
      </c>
      <c r="N2326" s="4">
        <f t="shared" si="217"/>
        <v>-8.1923076923076934</v>
      </c>
      <c r="O2326" s="5">
        <f t="shared" si="218"/>
        <v>0.17325227963525824</v>
      </c>
      <c r="P2326" s="5">
        <f t="shared" si="219"/>
        <v>-0.2590673575129534</v>
      </c>
      <c r="Q2326" s="4">
        <f t="shared" si="220"/>
        <v>-0.3503531497136626</v>
      </c>
      <c r="R2326" s="4">
        <f t="shared" si="221"/>
        <v>0.31622307692307694</v>
      </c>
      <c r="S2326" s="4">
        <v>-4.26</v>
      </c>
      <c r="T2326" s="2">
        <v>0.85</v>
      </c>
      <c r="U2326" s="2">
        <v>26.1</v>
      </c>
      <c r="V2326" s="2">
        <v>6.87</v>
      </c>
      <c r="W2326" s="2">
        <v>-2.13</v>
      </c>
      <c r="X2326" s="2">
        <v>10.89</v>
      </c>
      <c r="Y2326" s="2">
        <v>6.94</v>
      </c>
      <c r="Z2326" s="2">
        <v>-1.68</v>
      </c>
    </row>
    <row r="2327" spans="1:26" x14ac:dyDescent="0.25">
      <c r="A2327" s="1" t="s">
        <v>9387</v>
      </c>
      <c r="B2327" s="1" t="s">
        <v>9388</v>
      </c>
      <c r="C2327" s="1" t="s">
        <v>16</v>
      </c>
      <c r="D2327" s="1" t="s">
        <v>32</v>
      </c>
      <c r="E2327" s="1" t="s">
        <v>311</v>
      </c>
      <c r="F2327" s="1" t="s">
        <v>9389</v>
      </c>
      <c r="G2327" s="1" t="s">
        <v>12480</v>
      </c>
      <c r="H2327" s="1" t="s">
        <v>9390</v>
      </c>
      <c r="I2327" s="2">
        <v>138.86000000000001</v>
      </c>
      <c r="J2327" s="2">
        <v>2.62</v>
      </c>
      <c r="K2327" s="2">
        <v>4.0199999999999996</v>
      </c>
      <c r="L2327" s="2">
        <v>5.65</v>
      </c>
      <c r="M2327" s="4">
        <f t="shared" si="216"/>
        <v>34.542288557213936</v>
      </c>
      <c r="N2327" s="4">
        <f t="shared" si="217"/>
        <v>24.576991150442478</v>
      </c>
      <c r="O2327" s="5">
        <f t="shared" si="218"/>
        <v>0.53435114503816772</v>
      </c>
      <c r="P2327" s="5">
        <f t="shared" si="219"/>
        <v>0.40547263681592072</v>
      </c>
      <c r="Q2327" s="4">
        <f t="shared" si="220"/>
        <v>0.64643425728500392</v>
      </c>
      <c r="R2327" s="4">
        <f t="shared" si="221"/>
        <v>0.60613192898637225</v>
      </c>
      <c r="S2327" s="4">
        <v>69.400000000000006</v>
      </c>
      <c r="T2327" s="2">
        <v>2.4</v>
      </c>
      <c r="U2327" s="2">
        <v>270.70999999999998</v>
      </c>
      <c r="V2327" s="2">
        <v>86.91</v>
      </c>
      <c r="W2327" s="2">
        <v>-5.61</v>
      </c>
      <c r="X2327" s="2">
        <v>-2.0299999999999998</v>
      </c>
      <c r="Y2327" s="2">
        <v>-36.450000000000003</v>
      </c>
      <c r="Z2327" s="2">
        <v>-39.590000000000003</v>
      </c>
    </row>
    <row r="2328" spans="1:26" x14ac:dyDescent="0.25">
      <c r="A2328" s="1" t="s">
        <v>9391</v>
      </c>
      <c r="B2328" s="1" t="s">
        <v>9392</v>
      </c>
      <c r="C2328" s="1" t="s">
        <v>31</v>
      </c>
      <c r="D2328" s="1" t="s">
        <v>94</v>
      </c>
      <c r="E2328" s="1" t="s">
        <v>95</v>
      </c>
      <c r="F2328" s="1" t="s">
        <v>9393</v>
      </c>
      <c r="G2328" s="1" t="s">
        <v>12480</v>
      </c>
      <c r="H2328" s="1" t="s">
        <v>9394</v>
      </c>
      <c r="I2328" s="2">
        <v>8.5399999999999991</v>
      </c>
      <c r="J2328" s="2">
        <v>0.51</v>
      </c>
      <c r="K2328" s="2"/>
      <c r="L2328" s="2"/>
      <c r="M2328" s="4" t="e">
        <f t="shared" si="216"/>
        <v>#DIV/0!</v>
      </c>
      <c r="N2328" s="4" t="e">
        <f t="shared" si="217"/>
        <v>#DIV/0!</v>
      </c>
      <c r="O2328" s="5">
        <f t="shared" si="218"/>
        <v>-1</v>
      </c>
      <c r="P2328" s="5" t="e">
        <f t="shared" si="219"/>
        <v>#DIV/0!</v>
      </c>
      <c r="Q2328" s="4" t="e">
        <f t="shared" si="220"/>
        <v>#DIV/0!</v>
      </c>
      <c r="R2328" s="4" t="e">
        <f t="shared" si="221"/>
        <v>#DIV/0!</v>
      </c>
      <c r="S2328" s="4">
        <v>8.8000000000000007</v>
      </c>
      <c r="T2328" s="2">
        <v>0.51</v>
      </c>
      <c r="U2328" s="2">
        <v>11.3</v>
      </c>
      <c r="V2328" s="2">
        <v>8.4499999999999993</v>
      </c>
      <c r="W2328" s="2">
        <v>-4.79</v>
      </c>
      <c r="X2328" s="2">
        <v>-4.9000000000000004</v>
      </c>
      <c r="Y2328" s="2">
        <v>-3.06</v>
      </c>
      <c r="Z2328" s="2">
        <v>-7.68</v>
      </c>
    </row>
    <row r="2329" spans="1:26" x14ac:dyDescent="0.25">
      <c r="A2329" s="1" t="s">
        <v>9395</v>
      </c>
      <c r="B2329" s="1" t="s">
        <v>9396</v>
      </c>
      <c r="C2329" s="1" t="s">
        <v>16</v>
      </c>
      <c r="D2329" s="1" t="s">
        <v>38</v>
      </c>
      <c r="E2329" s="1" t="s">
        <v>254</v>
      </c>
      <c r="F2329" s="1" t="s">
        <v>9397</v>
      </c>
      <c r="G2329" s="1" t="s">
        <v>12480</v>
      </c>
      <c r="H2329" s="1" t="s">
        <v>9398</v>
      </c>
      <c r="I2329" s="2">
        <v>33.53</v>
      </c>
      <c r="J2329" s="2">
        <v>4.45</v>
      </c>
      <c r="K2329" s="2">
        <v>4.72</v>
      </c>
      <c r="L2329" s="2">
        <v>5.5</v>
      </c>
      <c r="M2329" s="4">
        <f t="shared" si="216"/>
        <v>7.1038135593220346</v>
      </c>
      <c r="N2329" s="4">
        <f t="shared" si="217"/>
        <v>6.0963636363636367</v>
      </c>
      <c r="O2329" s="5">
        <f t="shared" si="218"/>
        <v>6.0674157303370668E-2</v>
      </c>
      <c r="P2329" s="5">
        <f t="shared" si="219"/>
        <v>0.1652542372881356</v>
      </c>
      <c r="Q2329" s="4">
        <f t="shared" si="220"/>
        <v>1.1708137162586338</v>
      </c>
      <c r="R2329" s="4">
        <f t="shared" si="221"/>
        <v>0.3689081585081585</v>
      </c>
      <c r="S2329" s="4">
        <v>-7.22</v>
      </c>
      <c r="T2329" s="2">
        <v>0.8</v>
      </c>
      <c r="U2329" s="2">
        <v>37.229999999999997</v>
      </c>
      <c r="V2329" s="2">
        <v>30.48</v>
      </c>
      <c r="W2329" s="2">
        <v>-4.0599999999999996</v>
      </c>
      <c r="X2329" s="2">
        <v>2.38</v>
      </c>
      <c r="Y2329" s="2">
        <v>-7.35</v>
      </c>
      <c r="Z2329" s="2">
        <v>-6.84</v>
      </c>
    </row>
    <row r="2330" spans="1:26" x14ac:dyDescent="0.25">
      <c r="A2330" s="1" t="s">
        <v>9399</v>
      </c>
      <c r="B2330" s="1" t="s">
        <v>9400</v>
      </c>
      <c r="C2330" s="1" t="s">
        <v>45</v>
      </c>
      <c r="D2330" s="1" t="s">
        <v>18</v>
      </c>
      <c r="E2330" s="1" t="s">
        <v>336</v>
      </c>
      <c r="F2330" s="1" t="s">
        <v>9401</v>
      </c>
      <c r="G2330" s="1" t="s">
        <v>12480</v>
      </c>
      <c r="H2330" s="1" t="s">
        <v>9402</v>
      </c>
      <c r="I2330" s="2">
        <v>62.33</v>
      </c>
      <c r="J2330" s="2">
        <v>0.42</v>
      </c>
      <c r="K2330" s="2">
        <v>0.67</v>
      </c>
      <c r="L2330" s="2">
        <v>1.08</v>
      </c>
      <c r="M2330" s="4">
        <f t="shared" si="216"/>
        <v>93.02985074626865</v>
      </c>
      <c r="N2330" s="4">
        <f t="shared" si="217"/>
        <v>57.712962962962955</v>
      </c>
      <c r="O2330" s="5">
        <f t="shared" si="218"/>
        <v>0.59523809523809534</v>
      </c>
      <c r="P2330" s="5">
        <f t="shared" si="219"/>
        <v>0.61194029850746268</v>
      </c>
      <c r="Q2330" s="4">
        <f t="shared" si="220"/>
        <v>1.562901492537313</v>
      </c>
      <c r="R2330" s="4">
        <f t="shared" si="221"/>
        <v>0.94311427280939464</v>
      </c>
      <c r="S2330" s="4">
        <v>11.51</v>
      </c>
      <c r="T2330" s="2">
        <v>1.49</v>
      </c>
      <c r="U2330" s="2">
        <v>84.48</v>
      </c>
      <c r="V2330" s="2">
        <v>45.92</v>
      </c>
      <c r="W2330" s="2">
        <v>-17.14</v>
      </c>
      <c r="X2330" s="2">
        <v>-9.86</v>
      </c>
      <c r="Y2330" s="2">
        <v>-14.12</v>
      </c>
      <c r="Z2330" s="2">
        <v>-12.64</v>
      </c>
    </row>
    <row r="2331" spans="1:26" x14ac:dyDescent="0.25">
      <c r="A2331" s="1" t="s">
        <v>9403</v>
      </c>
      <c r="B2331" s="1" t="s">
        <v>9404</v>
      </c>
      <c r="C2331" s="1" t="s">
        <v>16</v>
      </c>
      <c r="D2331" s="1" t="s">
        <v>204</v>
      </c>
      <c r="E2331" s="1" t="s">
        <v>205</v>
      </c>
      <c r="F2331" s="1" t="s">
        <v>9405</v>
      </c>
      <c r="G2331" s="1" t="s">
        <v>12480</v>
      </c>
      <c r="H2331" s="1" t="s">
        <v>1590</v>
      </c>
      <c r="I2331" s="2">
        <v>9.65</v>
      </c>
      <c r="J2331" s="2">
        <v>-1.64</v>
      </c>
      <c r="K2331" s="2">
        <v>-0.39</v>
      </c>
      <c r="L2331" s="2">
        <v>-0.36</v>
      </c>
      <c r="M2331" s="4">
        <f t="shared" si="216"/>
        <v>-24.743589743589745</v>
      </c>
      <c r="N2331" s="4">
        <f t="shared" si="217"/>
        <v>-26.805555555555557</v>
      </c>
      <c r="O2331" s="5">
        <f t="shared" si="218"/>
        <v>-0.76219512195121952</v>
      </c>
      <c r="P2331" s="5">
        <f t="shared" si="219"/>
        <v>-7.6923076923076983E-2</v>
      </c>
      <c r="Q2331" s="4">
        <f t="shared" si="220"/>
        <v>0.32463589743589744</v>
      </c>
      <c r="R2331" s="4">
        <f t="shared" si="221"/>
        <v>3.4847222222222194</v>
      </c>
      <c r="S2331" s="4">
        <v>10.29</v>
      </c>
      <c r="T2331" s="2">
        <v>2.5</v>
      </c>
      <c r="U2331" s="2">
        <v>20.57</v>
      </c>
      <c r="V2331" s="2">
        <v>5.0599999999999996</v>
      </c>
      <c r="W2331" s="2">
        <v>1.37</v>
      </c>
      <c r="X2331" s="2">
        <v>-4.3600000000000003</v>
      </c>
      <c r="Y2331" s="2">
        <v>40.06</v>
      </c>
      <c r="Z2331" s="2">
        <v>26.97</v>
      </c>
    </row>
    <row r="2332" spans="1:26" x14ac:dyDescent="0.25">
      <c r="A2332" s="1" t="s">
        <v>9406</v>
      </c>
      <c r="B2332" s="1" t="s">
        <v>9407</v>
      </c>
      <c r="C2332" s="1" t="s">
        <v>45</v>
      </c>
      <c r="D2332" s="1" t="s">
        <v>32</v>
      </c>
      <c r="E2332" s="1" t="s">
        <v>311</v>
      </c>
      <c r="F2332" s="1" t="s">
        <v>9408</v>
      </c>
      <c r="G2332" s="1" t="s">
        <v>12480</v>
      </c>
      <c r="H2332" s="1" t="s">
        <v>9409</v>
      </c>
      <c r="I2332" s="2">
        <v>24.85</v>
      </c>
      <c r="J2332" s="2">
        <v>1.1499999999999999</v>
      </c>
      <c r="K2332" s="2"/>
      <c r="L2332" s="2"/>
      <c r="M2332" s="4" t="e">
        <f t="shared" si="216"/>
        <v>#DIV/0!</v>
      </c>
      <c r="N2332" s="4" t="e">
        <f t="shared" si="217"/>
        <v>#DIV/0!</v>
      </c>
      <c r="O2332" s="5">
        <f t="shared" si="218"/>
        <v>-1</v>
      </c>
      <c r="P2332" s="5" t="e">
        <f t="shared" si="219"/>
        <v>#DIV/0!</v>
      </c>
      <c r="Q2332" s="4" t="e">
        <f t="shared" si="220"/>
        <v>#DIV/0!</v>
      </c>
      <c r="R2332" s="4" t="e">
        <f t="shared" si="221"/>
        <v>#DIV/0!</v>
      </c>
      <c r="S2332" s="4">
        <v>9.81</v>
      </c>
      <c r="T2332" s="2">
        <v>0.97</v>
      </c>
      <c r="U2332" s="2">
        <v>30.8</v>
      </c>
      <c r="V2332" s="2">
        <v>19.43</v>
      </c>
      <c r="W2332" s="2">
        <v>5.34</v>
      </c>
      <c r="X2332" s="2">
        <v>-2.36</v>
      </c>
      <c r="Y2332" s="2">
        <v>4.59</v>
      </c>
      <c r="Z2332" s="2">
        <v>3.15</v>
      </c>
    </row>
    <row r="2333" spans="1:26" x14ac:dyDescent="0.25">
      <c r="A2333" s="1" t="s">
        <v>9410</v>
      </c>
      <c r="B2333" s="1" t="s">
        <v>9411</v>
      </c>
      <c r="C2333" s="1" t="s">
        <v>16</v>
      </c>
      <c r="D2333" s="1" t="s">
        <v>18</v>
      </c>
      <c r="E2333" s="1" t="s">
        <v>1491</v>
      </c>
      <c r="F2333" s="1" t="s">
        <v>9412</v>
      </c>
      <c r="G2333" s="1" t="s">
        <v>12490</v>
      </c>
      <c r="H2333" s="1" t="s">
        <v>9413</v>
      </c>
      <c r="I2333" s="2">
        <v>14.39</v>
      </c>
      <c r="J2333" s="2">
        <v>0.79</v>
      </c>
      <c r="K2333" s="2">
        <v>0.64</v>
      </c>
      <c r="L2333" s="2">
        <v>0.59</v>
      </c>
      <c r="M2333" s="4">
        <f t="shared" si="216"/>
        <v>22.484375</v>
      </c>
      <c r="N2333" s="4">
        <f t="shared" si="217"/>
        <v>24.389830508474578</v>
      </c>
      <c r="O2333" s="5">
        <f t="shared" si="218"/>
        <v>-0.189873417721519</v>
      </c>
      <c r="P2333" s="5">
        <f t="shared" si="219"/>
        <v>-7.8125000000000111E-2</v>
      </c>
      <c r="Q2333" s="4">
        <f t="shared" si="220"/>
        <v>-1.1841770833333332</v>
      </c>
      <c r="R2333" s="4">
        <f t="shared" si="221"/>
        <v>-3.1218983050847418</v>
      </c>
      <c r="S2333" s="4">
        <v>13.76</v>
      </c>
      <c r="T2333" s="2">
        <v>0.34</v>
      </c>
      <c r="U2333" s="2">
        <v>16.170000000000002</v>
      </c>
      <c r="V2333" s="2">
        <v>12.36</v>
      </c>
      <c r="W2333" s="2">
        <v>7.0000000000000007E-2</v>
      </c>
      <c r="X2333" s="2">
        <v>1.48</v>
      </c>
      <c r="Y2333" s="2">
        <v>2.13</v>
      </c>
      <c r="Z2333" s="2">
        <v>2.4900000000000002</v>
      </c>
    </row>
    <row r="2334" spans="1:26" x14ac:dyDescent="0.25">
      <c r="A2334" s="1" t="s">
        <v>9414</v>
      </c>
      <c r="B2334" s="1" t="s">
        <v>9415</v>
      </c>
      <c r="C2334" s="1" t="s">
        <v>45</v>
      </c>
      <c r="D2334" s="1" t="s">
        <v>147</v>
      </c>
      <c r="E2334" s="1" t="s">
        <v>1084</v>
      </c>
      <c r="F2334" s="1" t="s">
        <v>9416</v>
      </c>
      <c r="G2334" s="1" t="s">
        <v>12480</v>
      </c>
      <c r="H2334" s="1" t="s">
        <v>9417</v>
      </c>
      <c r="I2334" s="2">
        <v>10.87</v>
      </c>
      <c r="J2334" s="2">
        <v>-0.12</v>
      </c>
      <c r="K2334" s="2">
        <v>-0.01</v>
      </c>
      <c r="L2334" s="2">
        <v>0.19</v>
      </c>
      <c r="M2334" s="4">
        <f t="shared" si="216"/>
        <v>-1087</v>
      </c>
      <c r="N2334" s="4">
        <f t="shared" si="217"/>
        <v>57.210526315789465</v>
      </c>
      <c r="O2334" s="5">
        <f t="shared" si="218"/>
        <v>-0.91666666666666663</v>
      </c>
      <c r="P2334" s="5">
        <f t="shared" si="219"/>
        <v>-20</v>
      </c>
      <c r="Q2334" s="4">
        <f t="shared" si="220"/>
        <v>11.858181818181819</v>
      </c>
      <c r="R2334" s="4">
        <f t="shared" si="221"/>
        <v>-2.8605263157894734E-2</v>
      </c>
      <c r="S2334" s="4">
        <v>15.38</v>
      </c>
      <c r="T2334" s="2">
        <v>2.67</v>
      </c>
      <c r="U2334" s="2">
        <v>16.899999999999999</v>
      </c>
      <c r="V2334" s="2">
        <v>4.79</v>
      </c>
      <c r="W2334" s="2">
        <v>-8.42</v>
      </c>
      <c r="X2334" s="2">
        <v>-15.74</v>
      </c>
      <c r="Y2334" s="2">
        <v>-22.58</v>
      </c>
      <c r="Z2334" s="2">
        <v>-31.12</v>
      </c>
    </row>
    <row r="2335" spans="1:26" x14ac:dyDescent="0.25">
      <c r="A2335" s="1" t="s">
        <v>9418</v>
      </c>
      <c r="B2335" s="1" t="s">
        <v>9419</v>
      </c>
      <c r="C2335" s="1" t="s">
        <v>45</v>
      </c>
      <c r="D2335" s="1" t="s">
        <v>38</v>
      </c>
      <c r="E2335" s="1" t="s">
        <v>83</v>
      </c>
      <c r="F2335" s="1" t="s">
        <v>9420</v>
      </c>
      <c r="G2335" s="1" t="s">
        <v>12480</v>
      </c>
      <c r="H2335" s="1" t="s">
        <v>9421</v>
      </c>
      <c r="I2335" s="2">
        <v>78.23</v>
      </c>
      <c r="J2335" s="2">
        <v>4.6399999999999997</v>
      </c>
      <c r="K2335" s="2">
        <v>4.83</v>
      </c>
      <c r="L2335" s="2">
        <v>5.0599999999999996</v>
      </c>
      <c r="M2335" s="4">
        <f t="shared" si="216"/>
        <v>16.196687370600415</v>
      </c>
      <c r="N2335" s="4">
        <f t="shared" si="217"/>
        <v>15.460474308300396</v>
      </c>
      <c r="O2335" s="5">
        <f t="shared" si="218"/>
        <v>4.094827586206895E-2</v>
      </c>
      <c r="P2335" s="5">
        <f t="shared" si="219"/>
        <v>4.761904761904745E-2</v>
      </c>
      <c r="Q2335" s="4">
        <f t="shared" si="220"/>
        <v>3.9554015473466291</v>
      </c>
      <c r="R2335" s="4">
        <f t="shared" si="221"/>
        <v>3.2466996047430947</v>
      </c>
      <c r="S2335" s="4">
        <v>6.85</v>
      </c>
      <c r="T2335" s="2">
        <v>0.91</v>
      </c>
      <c r="U2335" s="2">
        <v>79.760000000000005</v>
      </c>
      <c r="V2335" s="2">
        <v>65.48</v>
      </c>
      <c r="W2335" s="2">
        <v>-1.65</v>
      </c>
      <c r="X2335" s="2">
        <v>2.85</v>
      </c>
      <c r="Y2335" s="2">
        <v>14.62</v>
      </c>
      <c r="Z2335" s="2">
        <v>13.33</v>
      </c>
    </row>
    <row r="2336" spans="1:26" x14ac:dyDescent="0.25">
      <c r="A2336" s="1" t="s">
        <v>9422</v>
      </c>
      <c r="B2336" s="1" t="s">
        <v>9423</v>
      </c>
      <c r="C2336" s="1" t="s">
        <v>45</v>
      </c>
      <c r="D2336" s="1" t="s">
        <v>18</v>
      </c>
      <c r="E2336" s="1" t="s">
        <v>74</v>
      </c>
      <c r="F2336" s="1" t="s">
        <v>9424</v>
      </c>
      <c r="G2336" s="1" t="s">
        <v>12480</v>
      </c>
      <c r="H2336" s="1" t="s">
        <v>2922</v>
      </c>
      <c r="I2336" s="2">
        <v>781.6</v>
      </c>
      <c r="J2336" s="2">
        <v>44.31</v>
      </c>
      <c r="K2336" s="2">
        <v>43.85</v>
      </c>
      <c r="L2336" s="2">
        <v>49.99</v>
      </c>
      <c r="M2336" s="4">
        <f t="shared" si="216"/>
        <v>17.824401368301025</v>
      </c>
      <c r="N2336" s="4">
        <f t="shared" si="217"/>
        <v>15.635127025405081</v>
      </c>
      <c r="O2336" s="5">
        <f t="shared" si="218"/>
        <v>-1.0381403746332674E-2</v>
      </c>
      <c r="P2336" s="5">
        <f t="shared" si="219"/>
        <v>0.14002280501710374</v>
      </c>
      <c r="Q2336" s="4">
        <f t="shared" si="220"/>
        <v>-17.169548361509069</v>
      </c>
      <c r="R2336" s="4">
        <f t="shared" si="221"/>
        <v>1.116612899127057</v>
      </c>
      <c r="S2336" s="4">
        <v>0.99</v>
      </c>
      <c r="T2336" s="2">
        <v>0.41</v>
      </c>
      <c r="U2336" s="2">
        <v>812.27</v>
      </c>
      <c r="V2336" s="2">
        <v>483.07</v>
      </c>
      <c r="W2336" s="2">
        <v>-1.1599999999999999</v>
      </c>
      <c r="X2336" s="2">
        <v>0.17</v>
      </c>
      <c r="Y2336" s="2">
        <v>3.85</v>
      </c>
      <c r="Z2336" s="2">
        <v>1.26</v>
      </c>
    </row>
    <row r="2337" spans="1:26" x14ac:dyDescent="0.25">
      <c r="A2337" s="1" t="s">
        <v>9425</v>
      </c>
      <c r="B2337" s="1" t="s">
        <v>9425</v>
      </c>
      <c r="C2337" s="1" t="s">
        <v>16</v>
      </c>
      <c r="D2337" s="1" t="s">
        <v>32</v>
      </c>
      <c r="E2337" s="1" t="s">
        <v>4989</v>
      </c>
      <c r="F2337" s="1" t="s">
        <v>9426</v>
      </c>
      <c r="G2337" s="1" t="s">
        <v>12480</v>
      </c>
      <c r="H2337" s="1" t="s">
        <v>9427</v>
      </c>
      <c r="I2337" s="2">
        <v>35.68</v>
      </c>
      <c r="J2337" s="2">
        <v>1.69</v>
      </c>
      <c r="K2337" s="2">
        <v>1.95</v>
      </c>
      <c r="L2337" s="2">
        <v>2.21</v>
      </c>
      <c r="M2337" s="4">
        <f t="shared" si="216"/>
        <v>18.297435897435896</v>
      </c>
      <c r="N2337" s="4">
        <f t="shared" si="217"/>
        <v>16.144796380090497</v>
      </c>
      <c r="O2337" s="5">
        <f t="shared" si="218"/>
        <v>0.15384615384615397</v>
      </c>
      <c r="P2337" s="5">
        <f t="shared" si="219"/>
        <v>0.1333333333333333</v>
      </c>
      <c r="Q2337" s="4">
        <f t="shared" si="220"/>
        <v>1.1893333333333322</v>
      </c>
      <c r="R2337" s="4">
        <f t="shared" si="221"/>
        <v>1.2108597285067875</v>
      </c>
      <c r="S2337" s="4">
        <v>4.88</v>
      </c>
      <c r="T2337" s="2">
        <v>0.77</v>
      </c>
      <c r="U2337" s="2">
        <v>55.66</v>
      </c>
      <c r="V2337" s="2">
        <v>27.73</v>
      </c>
      <c r="W2337" s="2">
        <v>2.88</v>
      </c>
      <c r="X2337" s="2">
        <v>21.03</v>
      </c>
      <c r="Y2337" s="2">
        <v>-13.15</v>
      </c>
      <c r="Z2337" s="2">
        <v>-11.73</v>
      </c>
    </row>
    <row r="2338" spans="1:26" x14ac:dyDescent="0.25">
      <c r="A2338" s="1" t="s">
        <v>9428</v>
      </c>
      <c r="B2338" s="1" t="s">
        <v>9429</v>
      </c>
      <c r="C2338" s="1" t="s">
        <v>45</v>
      </c>
      <c r="D2338" s="1" t="s">
        <v>140</v>
      </c>
      <c r="E2338" s="1" t="s">
        <v>1555</v>
      </c>
      <c r="F2338" s="1" t="s">
        <v>9430</v>
      </c>
      <c r="G2338" s="1" t="s">
        <v>12480</v>
      </c>
      <c r="H2338" s="1" t="s">
        <v>9431</v>
      </c>
      <c r="I2338" s="2">
        <v>16.920000000000002</v>
      </c>
      <c r="J2338" s="2">
        <v>0.32</v>
      </c>
      <c r="K2338" s="2">
        <v>0.51</v>
      </c>
      <c r="L2338" s="2">
        <v>0.72</v>
      </c>
      <c r="M2338" s="4">
        <f t="shared" si="216"/>
        <v>33.176470588235297</v>
      </c>
      <c r="N2338" s="4">
        <f t="shared" si="217"/>
        <v>23.500000000000004</v>
      </c>
      <c r="O2338" s="5">
        <f t="shared" si="218"/>
        <v>0.59375</v>
      </c>
      <c r="P2338" s="5">
        <f t="shared" si="219"/>
        <v>0.41176470588235281</v>
      </c>
      <c r="Q2338" s="4">
        <f t="shared" si="220"/>
        <v>0.55876160990712076</v>
      </c>
      <c r="R2338" s="4">
        <f t="shared" si="221"/>
        <v>0.57071428571428595</v>
      </c>
      <c r="S2338" s="4">
        <v>29.37</v>
      </c>
      <c r="T2338" s="2">
        <v>0.06</v>
      </c>
      <c r="U2338" s="2">
        <v>24.49</v>
      </c>
      <c r="V2338" s="2">
        <v>12.2</v>
      </c>
      <c r="W2338" s="2">
        <v>-0.06</v>
      </c>
      <c r="X2338" s="2">
        <v>25.8</v>
      </c>
      <c r="Y2338" s="2">
        <v>16.690000000000001</v>
      </c>
      <c r="Z2338" s="2">
        <v>22.61</v>
      </c>
    </row>
    <row r="2339" spans="1:26" x14ac:dyDescent="0.25">
      <c r="A2339" s="1" t="s">
        <v>9432</v>
      </c>
      <c r="B2339" s="1" t="s">
        <v>9433</v>
      </c>
      <c r="C2339" s="1" t="s">
        <v>31</v>
      </c>
      <c r="D2339" s="1" t="s">
        <v>128</v>
      </c>
      <c r="E2339" s="1" t="s">
        <v>129</v>
      </c>
      <c r="F2339" s="1" t="s">
        <v>9434</v>
      </c>
      <c r="G2339" s="1" t="s">
        <v>12490</v>
      </c>
      <c r="H2339" s="1" t="s">
        <v>9435</v>
      </c>
      <c r="I2339" s="2">
        <v>4.45</v>
      </c>
      <c r="J2339" s="2">
        <v>0.26</v>
      </c>
      <c r="K2339" s="2">
        <v>0.18</v>
      </c>
      <c r="L2339" s="2">
        <v>0.19</v>
      </c>
      <c r="M2339" s="4">
        <f t="shared" si="216"/>
        <v>24.722222222222225</v>
      </c>
      <c r="N2339" s="4">
        <f t="shared" si="217"/>
        <v>23.421052631578949</v>
      </c>
      <c r="O2339" s="5">
        <f t="shared" si="218"/>
        <v>-0.30769230769230771</v>
      </c>
      <c r="P2339" s="5">
        <f t="shared" si="219"/>
        <v>5.555555555555558E-2</v>
      </c>
      <c r="Q2339" s="4">
        <f t="shared" si="220"/>
        <v>-0.80347222222222225</v>
      </c>
      <c r="R2339" s="4">
        <f t="shared" si="221"/>
        <v>4.2157894736842092</v>
      </c>
      <c r="S2339" s="4">
        <v>-18.45</v>
      </c>
      <c r="T2339" s="2">
        <v>0.87</v>
      </c>
      <c r="U2339" s="2">
        <v>7.23</v>
      </c>
      <c r="V2339" s="2">
        <v>4.12</v>
      </c>
      <c r="W2339" s="2">
        <v>-5.72</v>
      </c>
      <c r="X2339" s="2">
        <v>-13.26</v>
      </c>
      <c r="Y2339" s="2">
        <v>3.37</v>
      </c>
      <c r="Z2339" s="2">
        <v>4.71</v>
      </c>
    </row>
    <row r="2340" spans="1:26" x14ac:dyDescent="0.25">
      <c r="A2340" s="1" t="s">
        <v>9436</v>
      </c>
      <c r="B2340" s="1" t="s">
        <v>9437</v>
      </c>
      <c r="C2340" s="1" t="s">
        <v>31</v>
      </c>
      <c r="D2340" s="1" t="s">
        <v>94</v>
      </c>
      <c r="E2340" s="1" t="s">
        <v>1948</v>
      </c>
      <c r="F2340" s="1" t="s">
        <v>9438</v>
      </c>
      <c r="G2340" s="1" t="s">
        <v>12480</v>
      </c>
      <c r="H2340" s="1" t="s">
        <v>9439</v>
      </c>
      <c r="I2340" s="2">
        <v>24.34</v>
      </c>
      <c r="J2340" s="2">
        <v>2.48</v>
      </c>
      <c r="K2340" s="2">
        <v>2.9</v>
      </c>
      <c r="L2340" s="2">
        <v>3.26</v>
      </c>
      <c r="M2340" s="4">
        <f t="shared" si="216"/>
        <v>8.3931034482758626</v>
      </c>
      <c r="N2340" s="4">
        <f t="shared" si="217"/>
        <v>7.4662576687116573</v>
      </c>
      <c r="O2340" s="5">
        <f t="shared" si="218"/>
        <v>0.16935483870967749</v>
      </c>
      <c r="P2340" s="5">
        <f t="shared" si="219"/>
        <v>0.12413793103448278</v>
      </c>
      <c r="Q2340" s="4">
        <f t="shared" si="220"/>
        <v>0.49559277504105065</v>
      </c>
      <c r="R2340" s="4">
        <f t="shared" si="221"/>
        <v>0.60144853442399449</v>
      </c>
      <c r="S2340" s="4">
        <v>0.3</v>
      </c>
      <c r="T2340" s="2">
        <v>0.19</v>
      </c>
      <c r="U2340" s="2">
        <v>24.41</v>
      </c>
      <c r="V2340" s="2">
        <v>10.65</v>
      </c>
      <c r="W2340" s="2">
        <v>3.31</v>
      </c>
      <c r="X2340" s="2">
        <v>21.03</v>
      </c>
      <c r="Y2340" s="2">
        <v>31.14</v>
      </c>
      <c r="Z2340" s="2">
        <v>30.3</v>
      </c>
    </row>
    <row r="2341" spans="1:26" x14ac:dyDescent="0.25">
      <c r="A2341" s="1" t="s">
        <v>9440</v>
      </c>
      <c r="B2341" s="1" t="s">
        <v>9441</v>
      </c>
      <c r="C2341" s="1" t="s">
        <v>16</v>
      </c>
      <c r="D2341" s="1" t="s">
        <v>94</v>
      </c>
      <c r="E2341" s="1" t="s">
        <v>1042</v>
      </c>
      <c r="F2341" s="1" t="s">
        <v>9442</v>
      </c>
      <c r="G2341" s="1" t="s">
        <v>12480</v>
      </c>
      <c r="H2341" s="1" t="s">
        <v>9443</v>
      </c>
      <c r="I2341" s="2">
        <v>6.26</v>
      </c>
      <c r="J2341" s="2">
        <v>0.25</v>
      </c>
      <c r="K2341" s="2">
        <v>0.18</v>
      </c>
      <c r="L2341" s="2">
        <v>0.27</v>
      </c>
      <c r="M2341" s="4">
        <f t="shared" si="216"/>
        <v>34.777777777777779</v>
      </c>
      <c r="N2341" s="4">
        <f t="shared" si="217"/>
        <v>23.185185185185183</v>
      </c>
      <c r="O2341" s="5">
        <f t="shared" si="218"/>
        <v>-0.28000000000000003</v>
      </c>
      <c r="P2341" s="5">
        <f t="shared" si="219"/>
        <v>0.50000000000000022</v>
      </c>
      <c r="Q2341" s="4">
        <f t="shared" si="220"/>
        <v>-1.2420634920634919</v>
      </c>
      <c r="R2341" s="4">
        <f t="shared" si="221"/>
        <v>0.46370370370370345</v>
      </c>
      <c r="S2341" s="4">
        <v>14.95</v>
      </c>
      <c r="T2341" s="2">
        <v>0.69</v>
      </c>
      <c r="U2341" s="2">
        <v>6.7</v>
      </c>
      <c r="V2341" s="2">
        <v>4.2300000000000004</v>
      </c>
      <c r="W2341" s="2">
        <v>4.33</v>
      </c>
      <c r="X2341" s="2">
        <v>9.44</v>
      </c>
      <c r="Y2341" s="2">
        <v>9.06</v>
      </c>
      <c r="Z2341" s="2">
        <v>15.07</v>
      </c>
    </row>
    <row r="2342" spans="1:26" x14ac:dyDescent="0.25">
      <c r="A2342" s="1" t="s">
        <v>9444</v>
      </c>
      <c r="B2342" s="1" t="s">
        <v>9445</v>
      </c>
      <c r="C2342" s="1" t="s">
        <v>16</v>
      </c>
      <c r="D2342" s="1" t="s">
        <v>88</v>
      </c>
      <c r="E2342" s="1" t="s">
        <v>1113</v>
      </c>
      <c r="F2342" s="1" t="s">
        <v>9446</v>
      </c>
      <c r="G2342" s="1" t="s">
        <v>12493</v>
      </c>
      <c r="H2342" s="1" t="s">
        <v>1836</v>
      </c>
      <c r="I2342" s="2">
        <v>37.35</v>
      </c>
      <c r="J2342" s="2">
        <v>1.65</v>
      </c>
      <c r="K2342" s="2"/>
      <c r="L2342" s="2"/>
      <c r="M2342" s="4" t="e">
        <f t="shared" si="216"/>
        <v>#DIV/0!</v>
      </c>
      <c r="N2342" s="4" t="e">
        <f t="shared" si="217"/>
        <v>#DIV/0!</v>
      </c>
      <c r="O2342" s="5">
        <f t="shared" si="218"/>
        <v>-1</v>
      </c>
      <c r="P2342" s="5" t="e">
        <f t="shared" si="219"/>
        <v>#DIV/0!</v>
      </c>
      <c r="Q2342" s="4" t="e">
        <f t="shared" si="220"/>
        <v>#DIV/0!</v>
      </c>
      <c r="R2342" s="4" t="e">
        <f t="shared" si="221"/>
        <v>#DIV/0!</v>
      </c>
      <c r="S2342" s="4">
        <v>-22.91</v>
      </c>
      <c r="T2342" s="2">
        <v>0.73</v>
      </c>
      <c r="U2342" s="2">
        <v>37.54</v>
      </c>
      <c r="V2342" s="2">
        <v>17.5</v>
      </c>
      <c r="W2342" s="2">
        <v>4.18</v>
      </c>
      <c r="X2342" s="2">
        <v>5.63</v>
      </c>
      <c r="Y2342" s="2">
        <v>11.29</v>
      </c>
      <c r="Z2342" s="2">
        <v>15.56</v>
      </c>
    </row>
    <row r="2343" spans="1:26" x14ac:dyDescent="0.25">
      <c r="A2343" s="1" t="s">
        <v>9447</v>
      </c>
      <c r="B2343" s="1" t="s">
        <v>9448</v>
      </c>
      <c r="C2343" s="1" t="s">
        <v>16</v>
      </c>
      <c r="D2343" s="1" t="s">
        <v>38</v>
      </c>
      <c r="E2343" s="1" t="s">
        <v>510</v>
      </c>
      <c r="F2343" s="1" t="s">
        <v>9449</v>
      </c>
      <c r="G2343" s="1" t="s">
        <v>12480</v>
      </c>
      <c r="H2343" s="1" t="s">
        <v>9450</v>
      </c>
      <c r="I2343" s="2">
        <v>35.659999999999997</v>
      </c>
      <c r="J2343" s="2">
        <v>2.4</v>
      </c>
      <c r="K2343" s="2">
        <v>2.41</v>
      </c>
      <c r="L2343" s="2">
        <v>2.48</v>
      </c>
      <c r="M2343" s="4">
        <f t="shared" si="216"/>
        <v>14.796680497925308</v>
      </c>
      <c r="N2343" s="4">
        <f t="shared" si="217"/>
        <v>14.379032258064514</v>
      </c>
      <c r="O2343" s="5">
        <f t="shared" si="218"/>
        <v>4.1666666666668739E-3</v>
      </c>
      <c r="P2343" s="5">
        <f t="shared" si="219"/>
        <v>2.9045643153526868E-2</v>
      </c>
      <c r="Q2343" s="4">
        <f t="shared" si="220"/>
        <v>35.512033195018972</v>
      </c>
      <c r="R2343" s="4">
        <f t="shared" si="221"/>
        <v>4.9504953917050862</v>
      </c>
      <c r="S2343" s="4">
        <v>7.13</v>
      </c>
      <c r="T2343" s="2">
        <v>1.24</v>
      </c>
      <c r="U2343" s="2">
        <v>44.26</v>
      </c>
      <c r="V2343" s="2">
        <v>31.57</v>
      </c>
      <c r="W2343" s="2">
        <v>-5.29</v>
      </c>
      <c r="X2343" s="2">
        <v>-7.33</v>
      </c>
      <c r="Y2343" s="2">
        <v>-13.3</v>
      </c>
      <c r="Z2343" s="2">
        <v>-7.9</v>
      </c>
    </row>
    <row r="2344" spans="1:26" x14ac:dyDescent="0.25">
      <c r="A2344" s="1" t="s">
        <v>9451</v>
      </c>
      <c r="B2344" s="1" t="s">
        <v>9452</v>
      </c>
      <c r="C2344" s="1" t="s">
        <v>45</v>
      </c>
      <c r="D2344" s="1" t="s">
        <v>147</v>
      </c>
      <c r="E2344" s="1" t="s">
        <v>1084</v>
      </c>
      <c r="F2344" s="1" t="s">
        <v>9453</v>
      </c>
      <c r="G2344" s="1" t="s">
        <v>12480</v>
      </c>
      <c r="H2344" s="1" t="s">
        <v>9454</v>
      </c>
      <c r="I2344" s="2">
        <v>22.15</v>
      </c>
      <c r="J2344" s="2">
        <v>1.64</v>
      </c>
      <c r="K2344" s="2">
        <v>1.6</v>
      </c>
      <c r="L2344" s="2">
        <v>1.68</v>
      </c>
      <c r="M2344" s="4">
        <f t="shared" si="216"/>
        <v>13.843749999999998</v>
      </c>
      <c r="N2344" s="4">
        <f t="shared" si="217"/>
        <v>13.184523809523808</v>
      </c>
      <c r="O2344" s="5">
        <f t="shared" si="218"/>
        <v>-2.4390243902438935E-2</v>
      </c>
      <c r="P2344" s="5">
        <f t="shared" si="219"/>
        <v>4.9999999999999822E-2</v>
      </c>
      <c r="Q2344" s="4">
        <f t="shared" si="220"/>
        <v>-5.6759375000000203</v>
      </c>
      <c r="R2344" s="4">
        <f t="shared" si="221"/>
        <v>2.6369047619047712</v>
      </c>
      <c r="S2344" s="4">
        <v>0.7</v>
      </c>
      <c r="T2344" s="2">
        <v>0.56999999999999995</v>
      </c>
      <c r="U2344" s="2">
        <v>25.56</v>
      </c>
      <c r="V2344" s="2">
        <v>21.06</v>
      </c>
      <c r="W2344" s="2">
        <v>-8.8699999999999992</v>
      </c>
      <c r="X2344" s="2">
        <v>-2.85</v>
      </c>
      <c r="Y2344" s="2">
        <v>-8.89</v>
      </c>
      <c r="Z2344" s="2">
        <v>-3.36</v>
      </c>
    </row>
    <row r="2345" spans="1:26" x14ac:dyDescent="0.25">
      <c r="A2345" s="1" t="s">
        <v>9455</v>
      </c>
      <c r="B2345" s="1" t="s">
        <v>9456</v>
      </c>
      <c r="C2345" s="1" t="s">
        <v>16</v>
      </c>
      <c r="D2345" s="1" t="s">
        <v>25</v>
      </c>
      <c r="E2345" s="1" t="s">
        <v>331</v>
      </c>
      <c r="F2345" s="1" t="s">
        <v>9457</v>
      </c>
      <c r="G2345" s="1" t="s">
        <v>12480</v>
      </c>
      <c r="H2345" s="1" t="s">
        <v>9458</v>
      </c>
      <c r="I2345" s="2">
        <v>35.409999999999997</v>
      </c>
      <c r="J2345" s="2">
        <v>2.68</v>
      </c>
      <c r="K2345" s="2">
        <v>3.08</v>
      </c>
      <c r="L2345" s="2">
        <v>3.33</v>
      </c>
      <c r="M2345" s="4">
        <f t="shared" si="216"/>
        <v>11.496753246753245</v>
      </c>
      <c r="N2345" s="4">
        <f t="shared" si="217"/>
        <v>10.633633633633632</v>
      </c>
      <c r="O2345" s="5">
        <f t="shared" si="218"/>
        <v>0.14925373134328357</v>
      </c>
      <c r="P2345" s="5">
        <f t="shared" si="219"/>
        <v>8.1168831168831224E-2</v>
      </c>
      <c r="Q2345" s="4">
        <f t="shared" si="220"/>
        <v>0.77028246753246754</v>
      </c>
      <c r="R2345" s="4">
        <f t="shared" si="221"/>
        <v>1.3100636636636624</v>
      </c>
      <c r="S2345" s="4">
        <v>10.52</v>
      </c>
      <c r="T2345" s="2">
        <v>1.71</v>
      </c>
      <c r="U2345" s="2">
        <v>44.5</v>
      </c>
      <c r="V2345" s="2">
        <v>14.69</v>
      </c>
      <c r="W2345" s="2">
        <v>-7.52</v>
      </c>
      <c r="X2345" s="2">
        <v>-1.5</v>
      </c>
      <c r="Y2345" s="2">
        <v>-1.56</v>
      </c>
      <c r="Z2345" s="2">
        <v>0.83</v>
      </c>
    </row>
    <row r="2346" spans="1:26" x14ac:dyDescent="0.25">
      <c r="A2346" s="1" t="s">
        <v>9459</v>
      </c>
      <c r="B2346" s="1" t="s">
        <v>9460</v>
      </c>
      <c r="C2346" s="1" t="s">
        <v>16</v>
      </c>
      <c r="D2346" s="1" t="s">
        <v>38</v>
      </c>
      <c r="E2346" s="1" t="s">
        <v>119</v>
      </c>
      <c r="F2346" s="1" t="s">
        <v>9461</v>
      </c>
      <c r="G2346" s="1" t="s">
        <v>12480</v>
      </c>
      <c r="H2346" s="1" t="s">
        <v>9462</v>
      </c>
      <c r="I2346" s="2">
        <v>26.96</v>
      </c>
      <c r="J2346" s="2">
        <v>2.33</v>
      </c>
      <c r="K2346" s="2">
        <v>2.61</v>
      </c>
      <c r="L2346" s="2">
        <v>2.86</v>
      </c>
      <c r="M2346" s="4">
        <f t="shared" si="216"/>
        <v>10.329501915708812</v>
      </c>
      <c r="N2346" s="4">
        <f t="shared" si="217"/>
        <v>9.4265734265734267</v>
      </c>
      <c r="O2346" s="5">
        <f t="shared" si="218"/>
        <v>0.12017167381974247</v>
      </c>
      <c r="P2346" s="5">
        <f t="shared" si="219"/>
        <v>9.578544061302674E-2</v>
      </c>
      <c r="Q2346" s="4">
        <f t="shared" si="220"/>
        <v>0.85956212370005491</v>
      </c>
      <c r="R2346" s="4">
        <f t="shared" si="221"/>
        <v>0.98413426573426654</v>
      </c>
      <c r="S2346" s="4">
        <v>2.5099999999999998</v>
      </c>
      <c r="T2346" s="2">
        <v>1.02</v>
      </c>
      <c r="U2346" s="2">
        <v>30.95</v>
      </c>
      <c r="V2346" s="2">
        <v>18.34</v>
      </c>
      <c r="W2346" s="2">
        <v>-3.61</v>
      </c>
      <c r="X2346" s="2">
        <v>-12.35</v>
      </c>
      <c r="Y2346" s="2">
        <v>-1.57</v>
      </c>
      <c r="Z2346" s="2">
        <v>-0.52</v>
      </c>
    </row>
    <row r="2347" spans="1:26" x14ac:dyDescent="0.25">
      <c r="A2347" s="1" t="s">
        <v>9463</v>
      </c>
      <c r="B2347" s="1" t="s">
        <v>9464</v>
      </c>
      <c r="C2347" s="1" t="s">
        <v>16</v>
      </c>
      <c r="D2347" s="1" t="s">
        <v>38</v>
      </c>
      <c r="E2347" s="1" t="s">
        <v>39</v>
      </c>
      <c r="F2347" s="1" t="s">
        <v>9465</v>
      </c>
      <c r="G2347" s="1" t="s">
        <v>12480</v>
      </c>
      <c r="H2347" s="1" t="s">
        <v>9466</v>
      </c>
      <c r="I2347" s="2">
        <v>206.38</v>
      </c>
      <c r="J2347" s="2">
        <v>22.72</v>
      </c>
      <c r="K2347" s="2">
        <v>26.31</v>
      </c>
      <c r="L2347" s="2">
        <v>28.34</v>
      </c>
      <c r="M2347" s="4">
        <f t="shared" si="216"/>
        <v>7.8441657164576206</v>
      </c>
      <c r="N2347" s="4">
        <f t="shared" si="217"/>
        <v>7.2822865208186309</v>
      </c>
      <c r="O2347" s="5">
        <f t="shared" si="218"/>
        <v>0.15801056338028174</v>
      </c>
      <c r="P2347" s="5">
        <f t="shared" si="219"/>
        <v>7.7156974534397627E-2</v>
      </c>
      <c r="Q2347" s="4">
        <f t="shared" si="220"/>
        <v>0.49643299464600854</v>
      </c>
      <c r="R2347" s="4">
        <f t="shared" si="221"/>
        <v>0.94382738109723174</v>
      </c>
      <c r="S2347" s="4">
        <v>7.2</v>
      </c>
      <c r="T2347" s="2">
        <v>0.5</v>
      </c>
      <c r="U2347" s="2">
        <v>225.36</v>
      </c>
      <c r="V2347" s="2">
        <v>168.32</v>
      </c>
      <c r="W2347" s="2">
        <v>-4.88</v>
      </c>
      <c r="X2347" s="2">
        <v>-5.9</v>
      </c>
      <c r="Y2347" s="2">
        <v>1.18</v>
      </c>
      <c r="Z2347" s="2">
        <v>1.44</v>
      </c>
    </row>
    <row r="2348" spans="1:26" x14ac:dyDescent="0.25">
      <c r="A2348" s="1" t="s">
        <v>9467</v>
      </c>
      <c r="B2348" s="1" t="s">
        <v>9468</v>
      </c>
      <c r="C2348" s="1" t="s">
        <v>45</v>
      </c>
      <c r="D2348" s="1" t="s">
        <v>18</v>
      </c>
      <c r="E2348" s="1" t="s">
        <v>74</v>
      </c>
      <c r="F2348" s="1" t="s">
        <v>9469</v>
      </c>
      <c r="G2348" s="1" t="s">
        <v>12502</v>
      </c>
      <c r="H2348" s="1" t="s">
        <v>9470</v>
      </c>
      <c r="I2348" s="2">
        <v>25.9</v>
      </c>
      <c r="J2348" s="2">
        <v>-0.01</v>
      </c>
      <c r="K2348" s="2"/>
      <c r="L2348" s="2"/>
      <c r="M2348" s="4" t="e">
        <f t="shared" si="216"/>
        <v>#DIV/0!</v>
      </c>
      <c r="N2348" s="4" t="e">
        <f t="shared" si="217"/>
        <v>#DIV/0!</v>
      </c>
      <c r="O2348" s="5">
        <f t="shared" si="218"/>
        <v>-1</v>
      </c>
      <c r="P2348" s="5" t="e">
        <f t="shared" si="219"/>
        <v>#DIV/0!</v>
      </c>
      <c r="Q2348" s="4" t="e">
        <f t="shared" si="220"/>
        <v>#DIV/0!</v>
      </c>
      <c r="R2348" s="4" t="e">
        <f t="shared" si="221"/>
        <v>#DIV/0!</v>
      </c>
      <c r="S2348" s="4"/>
      <c r="T2348" s="2">
        <v>2.08</v>
      </c>
      <c r="U2348" s="2" t="s">
        <v>12639</v>
      </c>
      <c r="V2348" s="2">
        <v>0.11</v>
      </c>
      <c r="W2348" s="2">
        <v>-0.77</v>
      </c>
      <c r="X2348" s="2">
        <v>-6.55</v>
      </c>
      <c r="Y2348" s="2">
        <v>50.06</v>
      </c>
      <c r="Z2348" s="2">
        <v>23.33</v>
      </c>
    </row>
    <row r="2349" spans="1:26" x14ac:dyDescent="0.25">
      <c r="A2349" s="1" t="s">
        <v>9471</v>
      </c>
      <c r="B2349" s="1" t="s">
        <v>9472</v>
      </c>
      <c r="C2349" s="1" t="s">
        <v>45</v>
      </c>
      <c r="D2349" s="1" t="s">
        <v>18</v>
      </c>
      <c r="E2349" s="1" t="s">
        <v>74</v>
      </c>
      <c r="F2349" s="1" t="s">
        <v>9473</v>
      </c>
      <c r="G2349" s="1" t="s">
        <v>12480</v>
      </c>
      <c r="H2349" s="1" t="s">
        <v>9474</v>
      </c>
      <c r="I2349" s="2">
        <v>127.89</v>
      </c>
      <c r="J2349" s="2">
        <v>1.71</v>
      </c>
      <c r="K2349" s="2">
        <v>1.97</v>
      </c>
      <c r="L2349" s="2">
        <v>2.4</v>
      </c>
      <c r="M2349" s="4">
        <f t="shared" si="216"/>
        <v>64.918781725888323</v>
      </c>
      <c r="N2349" s="4">
        <f t="shared" si="217"/>
        <v>53.287500000000001</v>
      </c>
      <c r="O2349" s="5">
        <f t="shared" si="218"/>
        <v>0.1520467836257311</v>
      </c>
      <c r="P2349" s="5">
        <f t="shared" si="219"/>
        <v>0.21827411167512678</v>
      </c>
      <c r="Q2349" s="4">
        <f t="shared" si="220"/>
        <v>4.269658336587268</v>
      </c>
      <c r="R2349" s="4">
        <f t="shared" si="221"/>
        <v>2.4413110465116294</v>
      </c>
      <c r="S2349" s="4">
        <v>16.36</v>
      </c>
      <c r="T2349" s="2">
        <v>1.1399999999999999</v>
      </c>
      <c r="U2349" s="2">
        <v>172.26</v>
      </c>
      <c r="V2349" s="2">
        <v>108.89</v>
      </c>
      <c r="W2349" s="2">
        <v>2.34</v>
      </c>
      <c r="X2349" s="2">
        <v>-10.93</v>
      </c>
      <c r="Y2349" s="2">
        <v>-20.36</v>
      </c>
      <c r="Z2349" s="2">
        <v>-21.95</v>
      </c>
    </row>
    <row r="2350" spans="1:26" x14ac:dyDescent="0.25">
      <c r="A2350" s="1" t="s">
        <v>9475</v>
      </c>
      <c r="B2350" s="1" t="s">
        <v>9476</v>
      </c>
      <c r="C2350" s="1" t="s">
        <v>45</v>
      </c>
      <c r="D2350" s="1" t="s">
        <v>88</v>
      </c>
      <c r="E2350" s="1" t="s">
        <v>89</v>
      </c>
      <c r="F2350" s="1" t="s">
        <v>9477</v>
      </c>
      <c r="G2350" s="1" t="s">
        <v>12480</v>
      </c>
      <c r="H2350" s="1" t="s">
        <v>9478</v>
      </c>
      <c r="I2350" s="2">
        <v>281.86</v>
      </c>
      <c r="J2350" s="2">
        <v>7.33</v>
      </c>
      <c r="K2350" s="2">
        <v>12.51</v>
      </c>
      <c r="L2350" s="2">
        <v>14.19</v>
      </c>
      <c r="M2350" s="4">
        <f t="shared" si="216"/>
        <v>22.530775379696244</v>
      </c>
      <c r="N2350" s="4">
        <f t="shared" si="217"/>
        <v>19.863284002818887</v>
      </c>
      <c r="O2350" s="5">
        <f t="shared" si="218"/>
        <v>0.70668485675306947</v>
      </c>
      <c r="P2350" s="5">
        <f t="shared" si="219"/>
        <v>0.13429256594724226</v>
      </c>
      <c r="Q2350" s="4">
        <f t="shared" si="220"/>
        <v>0.31882352033431172</v>
      </c>
      <c r="R2350" s="4">
        <f t="shared" si="221"/>
        <v>1.4791052552099058</v>
      </c>
      <c r="S2350" s="4">
        <v>43.24</v>
      </c>
      <c r="T2350" s="2">
        <v>0.48</v>
      </c>
      <c r="U2350" s="2">
        <v>304.29000000000002</v>
      </c>
      <c r="V2350" s="2">
        <v>150.18</v>
      </c>
      <c r="W2350" s="2">
        <v>-7.37</v>
      </c>
      <c r="X2350" s="2">
        <v>0.95</v>
      </c>
      <c r="Y2350" s="2">
        <v>30.49</v>
      </c>
      <c r="Z2350" s="2">
        <v>26.8</v>
      </c>
    </row>
    <row r="2351" spans="1:26" x14ac:dyDescent="0.25">
      <c r="A2351" s="1" t="s">
        <v>9479</v>
      </c>
      <c r="B2351" s="1" t="s">
        <v>9480</v>
      </c>
      <c r="C2351" s="1" t="s">
        <v>45</v>
      </c>
      <c r="D2351" s="1" t="s">
        <v>32</v>
      </c>
      <c r="E2351" s="1" t="s">
        <v>311</v>
      </c>
      <c r="F2351" s="1" t="s">
        <v>9481</v>
      </c>
      <c r="G2351" s="1" t="s">
        <v>12480</v>
      </c>
      <c r="H2351" s="1" t="s">
        <v>9482</v>
      </c>
      <c r="I2351" s="2">
        <v>17.600000000000001</v>
      </c>
      <c r="J2351" s="2">
        <v>-0.64</v>
      </c>
      <c r="K2351" s="2">
        <v>-0.17</v>
      </c>
      <c r="L2351" s="2">
        <v>-0.18</v>
      </c>
      <c r="M2351" s="4">
        <f t="shared" si="216"/>
        <v>-103.52941176470588</v>
      </c>
      <c r="N2351" s="4">
        <f t="shared" si="217"/>
        <v>-97.777777777777786</v>
      </c>
      <c r="O2351" s="5">
        <f t="shared" si="218"/>
        <v>-0.734375</v>
      </c>
      <c r="P2351" s="5">
        <f t="shared" si="219"/>
        <v>5.8823529411764497E-2</v>
      </c>
      <c r="Q2351" s="4">
        <f t="shared" si="220"/>
        <v>1.4097622027534418</v>
      </c>
      <c r="R2351" s="4">
        <f t="shared" si="221"/>
        <v>-16.622222222222284</v>
      </c>
      <c r="S2351" s="4">
        <v>-34.31</v>
      </c>
      <c r="T2351" s="2">
        <v>1.71</v>
      </c>
      <c r="U2351" s="2">
        <v>56.34</v>
      </c>
      <c r="V2351" s="2">
        <v>7.5</v>
      </c>
      <c r="W2351" s="2">
        <v>-0.51</v>
      </c>
      <c r="X2351" s="2">
        <v>0.06</v>
      </c>
      <c r="Y2351" s="2">
        <v>-25.2</v>
      </c>
      <c r="Z2351" s="2">
        <v>-20.54</v>
      </c>
    </row>
    <row r="2352" spans="1:26" x14ac:dyDescent="0.25">
      <c r="A2352" s="1" t="s">
        <v>9483</v>
      </c>
      <c r="B2352" s="1" t="s">
        <v>9483</v>
      </c>
      <c r="C2352" s="1" t="s">
        <v>16</v>
      </c>
      <c r="D2352" s="1" t="s">
        <v>128</v>
      </c>
      <c r="E2352" s="1" t="s">
        <v>210</v>
      </c>
      <c r="F2352" s="1" t="s">
        <v>9484</v>
      </c>
      <c r="G2352" s="1" t="s">
        <v>12493</v>
      </c>
      <c r="H2352" s="1" t="s">
        <v>9485</v>
      </c>
      <c r="I2352" s="2">
        <v>141.36000000000001</v>
      </c>
      <c r="J2352" s="2">
        <v>5.39</v>
      </c>
      <c r="K2352" s="2">
        <v>10.15</v>
      </c>
      <c r="L2352" s="2">
        <v>13.37</v>
      </c>
      <c r="M2352" s="4">
        <f t="shared" si="216"/>
        <v>13.927093596059114</v>
      </c>
      <c r="N2352" s="4">
        <f t="shared" si="217"/>
        <v>10.572924457741212</v>
      </c>
      <c r="O2352" s="5">
        <f t="shared" si="218"/>
        <v>0.88311688311688319</v>
      </c>
      <c r="P2352" s="5">
        <f t="shared" si="219"/>
        <v>0.3172413793103448</v>
      </c>
      <c r="Q2352" s="4">
        <f t="shared" si="220"/>
        <v>0.15770385395537526</v>
      </c>
      <c r="R2352" s="4">
        <f t="shared" si="221"/>
        <v>0.33327696660271217</v>
      </c>
      <c r="S2352" s="4">
        <v>5.01</v>
      </c>
      <c r="T2352" s="2">
        <v>2.14</v>
      </c>
      <c r="U2352" s="2">
        <v>280.97000000000003</v>
      </c>
      <c r="V2352" s="2">
        <v>139.54</v>
      </c>
      <c r="W2352" s="2">
        <v>-10.15</v>
      </c>
      <c r="X2352" s="2">
        <v>-31.69</v>
      </c>
      <c r="Y2352" s="2">
        <v>-13.63</v>
      </c>
      <c r="Z2352" s="2">
        <v>-21.09</v>
      </c>
    </row>
    <row r="2353" spans="1:26" x14ac:dyDescent="0.25">
      <c r="A2353" s="1" t="s">
        <v>9486</v>
      </c>
      <c r="B2353" s="1" t="s">
        <v>9487</v>
      </c>
      <c r="C2353" s="1" t="s">
        <v>31</v>
      </c>
      <c r="D2353" s="1" t="s">
        <v>18</v>
      </c>
      <c r="E2353" s="1" t="s">
        <v>113</v>
      </c>
      <c r="F2353" s="1" t="s">
        <v>9488</v>
      </c>
      <c r="G2353" s="1" t="s">
        <v>12480</v>
      </c>
      <c r="H2353" s="1" t="s">
        <v>9489</v>
      </c>
      <c r="I2353" s="2">
        <v>54.65</v>
      </c>
      <c r="J2353" s="2">
        <v>2.94</v>
      </c>
      <c r="K2353" s="2">
        <v>3.16</v>
      </c>
      <c r="L2353" s="2">
        <v>3.33</v>
      </c>
      <c r="M2353" s="4">
        <f t="shared" si="216"/>
        <v>17.294303797468352</v>
      </c>
      <c r="N2353" s="4">
        <f t="shared" si="217"/>
        <v>16.411411411411411</v>
      </c>
      <c r="O2353" s="5">
        <f t="shared" si="218"/>
        <v>7.4829931972789199E-2</v>
      </c>
      <c r="P2353" s="5">
        <f t="shared" si="219"/>
        <v>5.3797468354430444E-2</v>
      </c>
      <c r="Q2353" s="4">
        <f t="shared" si="220"/>
        <v>2.3111478711162228</v>
      </c>
      <c r="R2353" s="4">
        <f t="shared" si="221"/>
        <v>3.0505917682388235</v>
      </c>
      <c r="S2353" s="4">
        <v>11.24</v>
      </c>
      <c r="T2353" s="2">
        <v>0.44</v>
      </c>
      <c r="U2353" s="2">
        <v>60.58</v>
      </c>
      <c r="V2353" s="2">
        <v>35.9</v>
      </c>
      <c r="W2353" s="2">
        <v>-5.56</v>
      </c>
      <c r="X2353" s="2">
        <v>-4.3099999999999996</v>
      </c>
      <c r="Y2353" s="2">
        <v>6.7</v>
      </c>
      <c r="Z2353" s="2">
        <v>5.97</v>
      </c>
    </row>
    <row r="2354" spans="1:26" x14ac:dyDescent="0.25">
      <c r="A2354" s="1" t="s">
        <v>9490</v>
      </c>
      <c r="B2354" s="1" t="s">
        <v>9491</v>
      </c>
      <c r="C2354" s="1" t="s">
        <v>16</v>
      </c>
      <c r="D2354" s="1" t="s">
        <v>140</v>
      </c>
      <c r="E2354" s="1" t="s">
        <v>5365</v>
      </c>
      <c r="F2354" s="1" t="s">
        <v>9492</v>
      </c>
      <c r="G2354" s="1" t="s">
        <v>12480</v>
      </c>
      <c r="H2354" s="1" t="s">
        <v>9493</v>
      </c>
      <c r="I2354" s="2">
        <v>24.14</v>
      </c>
      <c r="J2354" s="2">
        <v>1.33</v>
      </c>
      <c r="K2354" s="2">
        <v>1.53</v>
      </c>
      <c r="L2354" s="2">
        <v>2.4</v>
      </c>
      <c r="M2354" s="4">
        <f t="shared" si="216"/>
        <v>15.777777777777779</v>
      </c>
      <c r="N2354" s="4">
        <f t="shared" si="217"/>
        <v>10.058333333333334</v>
      </c>
      <c r="O2354" s="5">
        <f t="shared" si="218"/>
        <v>0.15037593984962405</v>
      </c>
      <c r="P2354" s="5">
        <f t="shared" si="219"/>
        <v>0.56862745098039214</v>
      </c>
      <c r="Q2354" s="4">
        <f t="shared" si="220"/>
        <v>1.0492222222222223</v>
      </c>
      <c r="R2354" s="4">
        <f t="shared" si="221"/>
        <v>0.17688793103448278</v>
      </c>
      <c r="S2354" s="4">
        <v>-7.2</v>
      </c>
      <c r="T2354" s="2">
        <v>0.9</v>
      </c>
      <c r="U2354" s="2">
        <v>55.2</v>
      </c>
      <c r="V2354" s="2">
        <v>23.58</v>
      </c>
      <c r="W2354" s="2">
        <v>1.77</v>
      </c>
      <c r="X2354" s="2">
        <v>-17.100000000000001</v>
      </c>
      <c r="Y2354" s="2">
        <v>-12.57</v>
      </c>
      <c r="Z2354" s="2">
        <v>-11.12</v>
      </c>
    </row>
    <row r="2355" spans="1:26" x14ac:dyDescent="0.25">
      <c r="A2355" s="1" t="s">
        <v>9494</v>
      </c>
      <c r="B2355" s="1" t="s">
        <v>9495</v>
      </c>
      <c r="C2355" s="1" t="s">
        <v>16</v>
      </c>
      <c r="D2355" s="1" t="s">
        <v>38</v>
      </c>
      <c r="E2355" s="1" t="s">
        <v>52</v>
      </c>
      <c r="F2355" s="1" t="s">
        <v>9496</v>
      </c>
      <c r="G2355" s="1" t="s">
        <v>12480</v>
      </c>
      <c r="H2355" s="1" t="s">
        <v>12492</v>
      </c>
      <c r="I2355" s="2">
        <v>171.49</v>
      </c>
      <c r="J2355" s="2"/>
      <c r="K2355" s="2"/>
      <c r="L2355" s="2"/>
      <c r="M2355" s="4" t="e">
        <f t="shared" si="216"/>
        <v>#DIV/0!</v>
      </c>
      <c r="N2355" s="4" t="e">
        <f t="shared" si="217"/>
        <v>#DIV/0!</v>
      </c>
      <c r="O2355" s="5" t="e">
        <f t="shared" si="218"/>
        <v>#DIV/0!</v>
      </c>
      <c r="P2355" s="5" t="e">
        <f t="shared" si="219"/>
        <v>#DIV/0!</v>
      </c>
      <c r="Q2355" s="4" t="e">
        <f t="shared" si="220"/>
        <v>#DIV/0!</v>
      </c>
      <c r="R2355" s="4" t="e">
        <f t="shared" si="221"/>
        <v>#DIV/0!</v>
      </c>
      <c r="S2355" s="4" t="s">
        <v>12865</v>
      </c>
      <c r="T2355" s="2"/>
      <c r="U2355" s="2">
        <v>226.37</v>
      </c>
      <c r="V2355" s="2">
        <v>24.91</v>
      </c>
      <c r="W2355" s="2">
        <v>-4.3499999999999996</v>
      </c>
      <c r="X2355" s="2">
        <v>-14.87</v>
      </c>
      <c r="Y2355" s="2">
        <v>-13.12</v>
      </c>
      <c r="Z2355" s="2">
        <v>-16.93</v>
      </c>
    </row>
    <row r="2356" spans="1:26" x14ac:dyDescent="0.25">
      <c r="A2356" s="1" t="s">
        <v>9497</v>
      </c>
      <c r="B2356" s="1" t="s">
        <v>9498</v>
      </c>
      <c r="C2356" s="1" t="s">
        <v>16</v>
      </c>
      <c r="D2356" s="1" t="s">
        <v>38</v>
      </c>
      <c r="E2356" s="1" t="s">
        <v>510</v>
      </c>
      <c r="F2356" s="1" t="s">
        <v>9499</v>
      </c>
      <c r="G2356" s="1" t="s">
        <v>12480</v>
      </c>
      <c r="H2356" s="1" t="s">
        <v>9500</v>
      </c>
      <c r="I2356" s="2">
        <v>94.95</v>
      </c>
      <c r="J2356" s="2">
        <v>8.4600000000000009</v>
      </c>
      <c r="K2356" s="2">
        <v>8.9700000000000006</v>
      </c>
      <c r="L2356" s="2">
        <v>9.59</v>
      </c>
      <c r="M2356" s="4">
        <f t="shared" si="216"/>
        <v>10.585284280936454</v>
      </c>
      <c r="N2356" s="4">
        <f t="shared" si="217"/>
        <v>9.900938477580814</v>
      </c>
      <c r="O2356" s="5">
        <f t="shared" si="218"/>
        <v>6.0283687943262443E-2</v>
      </c>
      <c r="P2356" s="5">
        <f t="shared" si="219"/>
        <v>6.9119286510590738E-2</v>
      </c>
      <c r="Q2356" s="4">
        <f t="shared" si="220"/>
        <v>1.7559118630729873</v>
      </c>
      <c r="R2356" s="4">
        <f t="shared" si="221"/>
        <v>1.4324422281274203</v>
      </c>
      <c r="S2356" s="4">
        <v>10.17</v>
      </c>
      <c r="T2356" s="2">
        <v>1.18</v>
      </c>
      <c r="U2356" s="2">
        <v>104.85</v>
      </c>
      <c r="V2356" s="2">
        <v>78.849999999999994</v>
      </c>
      <c r="W2356" s="2">
        <v>-4.79</v>
      </c>
      <c r="X2356" s="2">
        <v>-3.05</v>
      </c>
      <c r="Y2356" s="2">
        <v>-3.91</v>
      </c>
      <c r="Z2356" s="2">
        <v>0.35</v>
      </c>
    </row>
    <row r="2357" spans="1:26" x14ac:dyDescent="0.25">
      <c r="A2357" s="1" t="s">
        <v>9501</v>
      </c>
      <c r="B2357" s="1" t="s">
        <v>9502</v>
      </c>
      <c r="C2357" s="1" t="s">
        <v>31</v>
      </c>
      <c r="D2357" s="1" t="s">
        <v>32</v>
      </c>
      <c r="E2357" s="1" t="s">
        <v>6624</v>
      </c>
      <c r="F2357" s="1" t="s">
        <v>9503</v>
      </c>
      <c r="G2357" s="1" t="s">
        <v>12490</v>
      </c>
      <c r="H2357" s="1" t="s">
        <v>9504</v>
      </c>
      <c r="I2357" s="2">
        <v>8.4849999999999994</v>
      </c>
      <c r="J2357" s="2">
        <v>0.51</v>
      </c>
      <c r="K2357" s="2">
        <v>0.69</v>
      </c>
      <c r="L2357" s="2">
        <v>0.73</v>
      </c>
      <c r="M2357" s="4">
        <f t="shared" si="216"/>
        <v>12.297101449275363</v>
      </c>
      <c r="N2357" s="4">
        <f t="shared" si="217"/>
        <v>11.623287671232877</v>
      </c>
      <c r="O2357" s="5">
        <f t="shared" si="218"/>
        <v>0.35294117647058809</v>
      </c>
      <c r="P2357" s="5">
        <f t="shared" si="219"/>
        <v>5.7971014492753659E-2</v>
      </c>
      <c r="Q2357" s="4">
        <f t="shared" si="220"/>
        <v>0.34841787439613542</v>
      </c>
      <c r="R2357" s="4">
        <f t="shared" si="221"/>
        <v>2.0050171232876699</v>
      </c>
      <c r="S2357" s="4">
        <v>2.02</v>
      </c>
      <c r="T2357" s="2">
        <v>0.38</v>
      </c>
      <c r="U2357" s="2">
        <v>11.45</v>
      </c>
      <c r="V2357" s="2">
        <v>8.09</v>
      </c>
      <c r="W2357" s="2">
        <v>-8.9600000000000009</v>
      </c>
      <c r="X2357" s="2">
        <v>-11.61</v>
      </c>
      <c r="Y2357" s="2">
        <v>-10.4</v>
      </c>
      <c r="Z2357" s="2">
        <v>-5.96</v>
      </c>
    </row>
    <row r="2358" spans="1:26" x14ac:dyDescent="0.25">
      <c r="A2358" s="1" t="s">
        <v>9505</v>
      </c>
      <c r="B2358" s="1" t="s">
        <v>9506</v>
      </c>
      <c r="C2358" s="1" t="s">
        <v>16</v>
      </c>
      <c r="D2358" s="1" t="s">
        <v>94</v>
      </c>
      <c r="E2358" s="1" t="s">
        <v>1925</v>
      </c>
      <c r="F2358" s="1" t="s">
        <v>9507</v>
      </c>
      <c r="G2358" s="1" t="s">
        <v>12480</v>
      </c>
      <c r="H2358" s="1" t="s">
        <v>9508</v>
      </c>
      <c r="I2358" s="2">
        <v>6.17</v>
      </c>
      <c r="J2358" s="2">
        <v>0.04</v>
      </c>
      <c r="K2358" s="2">
        <v>0.2</v>
      </c>
      <c r="L2358" s="2">
        <v>0.1</v>
      </c>
      <c r="M2358" s="4">
        <f t="shared" si="216"/>
        <v>30.849999999999998</v>
      </c>
      <c r="N2358" s="4">
        <f t="shared" si="217"/>
        <v>61.699999999999996</v>
      </c>
      <c r="O2358" s="5">
        <f t="shared" si="218"/>
        <v>4</v>
      </c>
      <c r="P2358" s="5">
        <f t="shared" si="219"/>
        <v>-0.5</v>
      </c>
      <c r="Q2358" s="4">
        <f t="shared" si="220"/>
        <v>7.7124999999999999E-2</v>
      </c>
      <c r="R2358" s="4">
        <f t="shared" si="221"/>
        <v>-1.234</v>
      </c>
      <c r="S2358" s="4">
        <v>12.51</v>
      </c>
      <c r="T2358" s="2">
        <v>1.4</v>
      </c>
      <c r="U2358" s="2">
        <v>6.54</v>
      </c>
      <c r="V2358" s="2">
        <v>2.13</v>
      </c>
      <c r="W2358" s="2">
        <v>-1.28</v>
      </c>
      <c r="X2358" s="2">
        <v>8.06</v>
      </c>
      <c r="Y2358" s="2">
        <v>51.22</v>
      </c>
      <c r="Z2358" s="2">
        <v>49.4</v>
      </c>
    </row>
    <row r="2359" spans="1:26" x14ac:dyDescent="0.25">
      <c r="A2359" s="1" t="s">
        <v>9509</v>
      </c>
      <c r="B2359" s="1" t="s">
        <v>9510</v>
      </c>
      <c r="C2359" s="1" t="s">
        <v>16</v>
      </c>
      <c r="D2359" s="1" t="s">
        <v>88</v>
      </c>
      <c r="E2359" s="1" t="s">
        <v>658</v>
      </c>
      <c r="F2359" s="1" t="s">
        <v>9511</v>
      </c>
      <c r="G2359" s="1" t="s">
        <v>12480</v>
      </c>
      <c r="H2359" s="1" t="s">
        <v>9512</v>
      </c>
      <c r="I2359" s="2">
        <v>90.35</v>
      </c>
      <c r="J2359" s="2">
        <v>6.64</v>
      </c>
      <c r="K2359" s="2">
        <v>8.34</v>
      </c>
      <c r="L2359" s="2">
        <v>9.48</v>
      </c>
      <c r="M2359" s="4">
        <f t="shared" si="216"/>
        <v>10.833333333333332</v>
      </c>
      <c r="N2359" s="4">
        <f t="shared" si="217"/>
        <v>9.5305907172995763</v>
      </c>
      <c r="O2359" s="5">
        <f t="shared" si="218"/>
        <v>0.25602409638554224</v>
      </c>
      <c r="P2359" s="5">
        <f t="shared" si="219"/>
        <v>0.13669064748201443</v>
      </c>
      <c r="Q2359" s="4">
        <f t="shared" si="220"/>
        <v>0.42313725490196064</v>
      </c>
      <c r="R2359" s="4">
        <f t="shared" si="221"/>
        <v>0.69723795247612674</v>
      </c>
      <c r="S2359" s="4">
        <v>7.42</v>
      </c>
      <c r="T2359" s="2">
        <v>0.53</v>
      </c>
      <c r="U2359" s="2">
        <v>100.78</v>
      </c>
      <c r="V2359" s="2">
        <v>52.32</v>
      </c>
      <c r="W2359" s="2">
        <v>-9.3000000000000007</v>
      </c>
      <c r="X2359" s="2">
        <v>-6.71</v>
      </c>
      <c r="Y2359" s="2">
        <v>19.16</v>
      </c>
      <c r="Z2359" s="2">
        <v>12.9</v>
      </c>
    </row>
    <row r="2360" spans="1:26" x14ac:dyDescent="0.25">
      <c r="A2360" s="1" t="s">
        <v>9513</v>
      </c>
      <c r="B2360" s="1" t="s">
        <v>9514</v>
      </c>
      <c r="C2360" s="1" t="s">
        <v>45</v>
      </c>
      <c r="D2360" s="1" t="s">
        <v>38</v>
      </c>
      <c r="E2360" s="1" t="s">
        <v>52</v>
      </c>
      <c r="F2360" s="1" t="s">
        <v>9515</v>
      </c>
      <c r="G2360" s="1" t="s">
        <v>12480</v>
      </c>
      <c r="H2360" s="1" t="s">
        <v>9516</v>
      </c>
      <c r="I2360" s="2">
        <v>14.7</v>
      </c>
      <c r="J2360" s="2">
        <v>-1.95</v>
      </c>
      <c r="K2360" s="2">
        <v>-1.06</v>
      </c>
      <c r="L2360" s="2">
        <v>-1.1200000000000001</v>
      </c>
      <c r="M2360" s="4">
        <f t="shared" si="216"/>
        <v>-13.867924528301886</v>
      </c>
      <c r="N2360" s="4">
        <f t="shared" si="217"/>
        <v>-13.124999999999998</v>
      </c>
      <c r="O2360" s="5">
        <f t="shared" si="218"/>
        <v>-0.45641025641025634</v>
      </c>
      <c r="P2360" s="5">
        <f t="shared" si="219"/>
        <v>5.6603773584905648E-2</v>
      </c>
      <c r="Q2360" s="4">
        <f t="shared" si="220"/>
        <v>0.30384778460886158</v>
      </c>
      <c r="R2360" s="4">
        <f t="shared" si="221"/>
        <v>-2.3187500000000001</v>
      </c>
      <c r="S2360" s="4">
        <v>71.89</v>
      </c>
      <c r="T2360" s="2">
        <v>3.56</v>
      </c>
      <c r="U2360" s="2" t="s">
        <v>12648</v>
      </c>
      <c r="V2360" s="2">
        <v>6.29</v>
      </c>
      <c r="W2360" s="2">
        <v>-10.53</v>
      </c>
      <c r="X2360" s="2">
        <v>-1.8</v>
      </c>
      <c r="Y2360" s="2">
        <v>7.22</v>
      </c>
      <c r="Z2360" s="2">
        <v>16.02</v>
      </c>
    </row>
    <row r="2361" spans="1:26" x14ac:dyDescent="0.25">
      <c r="A2361" s="1" t="s">
        <v>9517</v>
      </c>
      <c r="B2361" s="1" t="s">
        <v>9518</v>
      </c>
      <c r="C2361" s="1" t="s">
        <v>16</v>
      </c>
      <c r="D2361" s="1" t="s">
        <v>38</v>
      </c>
      <c r="E2361" s="1" t="s">
        <v>52</v>
      </c>
      <c r="F2361" s="1" t="s">
        <v>9519</v>
      </c>
      <c r="G2361" s="1" t="s">
        <v>12480</v>
      </c>
      <c r="H2361" s="1" t="s">
        <v>5019</v>
      </c>
      <c r="I2361" s="2">
        <v>9.84</v>
      </c>
      <c r="J2361" s="2">
        <v>2.35</v>
      </c>
      <c r="K2361" s="2">
        <v>2.2999999999999998</v>
      </c>
      <c r="L2361" s="2">
        <v>2.29</v>
      </c>
      <c r="M2361" s="4">
        <f t="shared" si="216"/>
        <v>4.2782608695652176</v>
      </c>
      <c r="N2361" s="4">
        <f t="shared" si="217"/>
        <v>4.2969432314410483</v>
      </c>
      <c r="O2361" s="5">
        <f t="shared" si="218"/>
        <v>-2.1276595744680993E-2</v>
      </c>
      <c r="P2361" s="5">
        <f t="shared" si="219"/>
        <v>-4.3478260869563856E-3</v>
      </c>
      <c r="Q2361" s="4">
        <f t="shared" si="220"/>
        <v>-2.0107826086956391</v>
      </c>
      <c r="R2361" s="4">
        <f t="shared" si="221"/>
        <v>-9.8829694323147201</v>
      </c>
      <c r="S2361" s="4">
        <v>-11.9</v>
      </c>
      <c r="T2361" s="2">
        <v>1.21</v>
      </c>
      <c r="U2361" s="2">
        <v>12.62</v>
      </c>
      <c r="V2361" s="2">
        <v>9.57</v>
      </c>
      <c r="W2361" s="2">
        <v>-2.48</v>
      </c>
      <c r="X2361" s="2">
        <v>-7.61</v>
      </c>
      <c r="Y2361" s="2">
        <v>-12.06</v>
      </c>
      <c r="Z2361" s="2">
        <v>-9.7200000000000006</v>
      </c>
    </row>
    <row r="2362" spans="1:26" x14ac:dyDescent="0.25">
      <c r="A2362" s="1" t="s">
        <v>9520</v>
      </c>
      <c r="B2362" s="1" t="s">
        <v>9521</v>
      </c>
      <c r="C2362" s="1" t="s">
        <v>45</v>
      </c>
      <c r="D2362" s="1" t="s">
        <v>305</v>
      </c>
      <c r="E2362" s="1" t="s">
        <v>349</v>
      </c>
      <c r="F2362" s="1" t="s">
        <v>9522</v>
      </c>
      <c r="G2362" s="1" t="s">
        <v>12480</v>
      </c>
      <c r="H2362" s="1" t="s">
        <v>9523</v>
      </c>
      <c r="I2362" s="2">
        <v>15.87</v>
      </c>
      <c r="J2362" s="2">
        <v>-2.4500000000000002</v>
      </c>
      <c r="K2362" s="2">
        <v>-2.3199999999999998</v>
      </c>
      <c r="L2362" s="2">
        <v>-0.72</v>
      </c>
      <c r="M2362" s="4">
        <f t="shared" si="216"/>
        <v>-6.8405172413793105</v>
      </c>
      <c r="N2362" s="4">
        <f t="shared" si="217"/>
        <v>-22.041666666666668</v>
      </c>
      <c r="O2362" s="5">
        <f t="shared" si="218"/>
        <v>-5.3061224489795999E-2</v>
      </c>
      <c r="P2362" s="5">
        <f t="shared" si="219"/>
        <v>-0.68965517241379315</v>
      </c>
      <c r="Q2362" s="4">
        <f t="shared" si="220"/>
        <v>1.2891744031830219</v>
      </c>
      <c r="R2362" s="4">
        <f t="shared" si="221"/>
        <v>0.31960416666666663</v>
      </c>
      <c r="S2362" s="4">
        <v>8.39</v>
      </c>
      <c r="T2362" s="2">
        <v>1.75</v>
      </c>
      <c r="U2362" s="2">
        <v>22.45</v>
      </c>
      <c r="V2362" s="2">
        <v>10.61</v>
      </c>
      <c r="W2362" s="2">
        <v>5.73</v>
      </c>
      <c r="X2362" s="2">
        <v>8.0299999999999994</v>
      </c>
      <c r="Y2362" s="2">
        <v>-15.13</v>
      </c>
      <c r="Z2362" s="2">
        <v>-19.48</v>
      </c>
    </row>
    <row r="2363" spans="1:26" x14ac:dyDescent="0.25">
      <c r="A2363" s="1" t="s">
        <v>9524</v>
      </c>
      <c r="B2363" s="1" t="s">
        <v>9525</v>
      </c>
      <c r="C2363" s="1" t="s">
        <v>16</v>
      </c>
      <c r="D2363" s="1" t="s">
        <v>38</v>
      </c>
      <c r="E2363" s="1" t="s">
        <v>1408</v>
      </c>
      <c r="F2363" s="1" t="s">
        <v>9526</v>
      </c>
      <c r="G2363" s="1" t="s">
        <v>12485</v>
      </c>
      <c r="H2363" s="1" t="s">
        <v>4454</v>
      </c>
      <c r="I2363" s="2">
        <v>151.19</v>
      </c>
      <c r="J2363" s="2">
        <v>10.66</v>
      </c>
      <c r="K2363" s="2">
        <v>11.95</v>
      </c>
      <c r="L2363" s="2">
        <v>13.67</v>
      </c>
      <c r="M2363" s="4">
        <f t="shared" si="216"/>
        <v>12.651882845188284</v>
      </c>
      <c r="N2363" s="4">
        <f t="shared" si="217"/>
        <v>11.059985369422092</v>
      </c>
      <c r="O2363" s="5">
        <f t="shared" si="218"/>
        <v>0.12101313320825513</v>
      </c>
      <c r="P2363" s="5">
        <f t="shared" si="219"/>
        <v>0.1439330543933055</v>
      </c>
      <c r="Q2363" s="4">
        <f t="shared" si="220"/>
        <v>1.0454966754240864</v>
      </c>
      <c r="R2363" s="4">
        <f t="shared" si="221"/>
        <v>0.76841177421275553</v>
      </c>
      <c r="S2363" s="4">
        <v>6.63</v>
      </c>
      <c r="T2363" s="2" t="s">
        <v>12493</v>
      </c>
      <c r="U2363" s="2">
        <v>176.43</v>
      </c>
      <c r="V2363" s="2">
        <v>123.65</v>
      </c>
      <c r="W2363" s="2">
        <v>-2.09</v>
      </c>
      <c r="X2363" s="2">
        <v>-12.94</v>
      </c>
      <c r="Y2363" s="2">
        <v>-7.15</v>
      </c>
      <c r="Z2363" s="2">
        <v>-5.85</v>
      </c>
    </row>
    <row r="2364" spans="1:26" x14ac:dyDescent="0.25">
      <c r="A2364" s="1" t="s">
        <v>9527</v>
      </c>
      <c r="B2364" s="1" t="s">
        <v>9528</v>
      </c>
      <c r="C2364" s="1" t="s">
        <v>45</v>
      </c>
      <c r="D2364" s="1" t="s">
        <v>204</v>
      </c>
      <c r="E2364" s="1" t="s">
        <v>534</v>
      </c>
      <c r="F2364" s="1" t="s">
        <v>9529</v>
      </c>
      <c r="G2364" s="1" t="s">
        <v>12480</v>
      </c>
      <c r="H2364" s="1" t="s">
        <v>9530</v>
      </c>
      <c r="I2364" s="2">
        <v>71.48</v>
      </c>
      <c r="J2364" s="2">
        <v>-0.27</v>
      </c>
      <c r="K2364" s="2">
        <v>-0.05</v>
      </c>
      <c r="L2364" s="2">
        <v>0.13</v>
      </c>
      <c r="M2364" s="4">
        <f t="shared" si="216"/>
        <v>-1429.6</v>
      </c>
      <c r="N2364" s="4">
        <f t="shared" si="217"/>
        <v>549.84615384615381</v>
      </c>
      <c r="O2364" s="5">
        <f t="shared" si="218"/>
        <v>-0.81481481481481488</v>
      </c>
      <c r="P2364" s="5">
        <f t="shared" si="219"/>
        <v>-3.6</v>
      </c>
      <c r="Q2364" s="4">
        <f t="shared" si="220"/>
        <v>17.545090909090906</v>
      </c>
      <c r="R2364" s="4">
        <f t="shared" si="221"/>
        <v>-1.5273504273504273</v>
      </c>
      <c r="S2364" s="4">
        <v>37.96</v>
      </c>
      <c r="T2364" s="2">
        <v>2.2000000000000002</v>
      </c>
      <c r="U2364" s="2">
        <v>96.3</v>
      </c>
      <c r="V2364" s="2">
        <v>16.37</v>
      </c>
      <c r="W2364" s="2">
        <v>0.72</v>
      </c>
      <c r="X2364" s="2">
        <v>-5.75</v>
      </c>
      <c r="Y2364" s="2" t="s">
        <v>12674</v>
      </c>
      <c r="Z2364" s="2">
        <v>2.4700000000000002</v>
      </c>
    </row>
    <row r="2365" spans="1:26" x14ac:dyDescent="0.25">
      <c r="A2365" s="1" t="s">
        <v>9531</v>
      </c>
      <c r="B2365" s="1" t="s">
        <v>9532</v>
      </c>
      <c r="C2365" s="1" t="s">
        <v>16</v>
      </c>
      <c r="D2365" s="1" t="s">
        <v>38</v>
      </c>
      <c r="E2365" s="1" t="s">
        <v>473</v>
      </c>
      <c r="F2365" s="1" t="s">
        <v>9533</v>
      </c>
      <c r="G2365" s="1" t="s">
        <v>12480</v>
      </c>
      <c r="H2365" s="1" t="s">
        <v>9534</v>
      </c>
      <c r="I2365" s="2">
        <v>15.59</v>
      </c>
      <c r="J2365" s="2">
        <v>0.28000000000000003</v>
      </c>
      <c r="K2365" s="2">
        <v>0.87</v>
      </c>
      <c r="L2365" s="2">
        <v>1.21</v>
      </c>
      <c r="M2365" s="4">
        <f t="shared" si="216"/>
        <v>17.919540229885058</v>
      </c>
      <c r="N2365" s="4">
        <f t="shared" si="217"/>
        <v>12.884297520661157</v>
      </c>
      <c r="O2365" s="5">
        <f t="shared" si="218"/>
        <v>2.1071428571428568</v>
      </c>
      <c r="P2365" s="5">
        <f t="shared" si="219"/>
        <v>0.39080459770114939</v>
      </c>
      <c r="Q2365" s="4">
        <f t="shared" si="220"/>
        <v>8.5041885836742673E-2</v>
      </c>
      <c r="R2365" s="4">
        <f t="shared" si="221"/>
        <v>0.32968643655809432</v>
      </c>
      <c r="S2365" s="4">
        <v>31.25</v>
      </c>
      <c r="T2365" s="2">
        <v>2.2999999999999998</v>
      </c>
      <c r="U2365" s="2">
        <v>23.44</v>
      </c>
      <c r="V2365" s="2">
        <v>11.11</v>
      </c>
      <c r="W2365" s="2">
        <v>-7.15</v>
      </c>
      <c r="X2365" s="2">
        <v>-20.5</v>
      </c>
      <c r="Y2365" s="2">
        <v>-14.34</v>
      </c>
      <c r="Z2365" s="2">
        <v>-19.47</v>
      </c>
    </row>
    <row r="2366" spans="1:26" x14ac:dyDescent="0.25">
      <c r="A2366" s="1" t="s">
        <v>9535</v>
      </c>
      <c r="B2366" s="1" t="s">
        <v>9536</v>
      </c>
      <c r="C2366" s="1" t="s">
        <v>31</v>
      </c>
      <c r="D2366" s="1" t="s">
        <v>32</v>
      </c>
      <c r="E2366" s="1" t="s">
        <v>565</v>
      </c>
      <c r="F2366" s="1" t="s">
        <v>9537</v>
      </c>
      <c r="G2366" s="1" t="s">
        <v>12480</v>
      </c>
      <c r="H2366" s="1" t="s">
        <v>9538</v>
      </c>
      <c r="I2366" s="2">
        <v>5.09</v>
      </c>
      <c r="J2366" s="2">
        <v>-0.55000000000000004</v>
      </c>
      <c r="K2366" s="2">
        <v>-7.0000000000000007E-2</v>
      </c>
      <c r="L2366" s="2">
        <v>0.13</v>
      </c>
      <c r="M2366" s="4">
        <f t="shared" si="216"/>
        <v>-72.714285714285708</v>
      </c>
      <c r="N2366" s="4">
        <f t="shared" si="217"/>
        <v>39.153846153846153</v>
      </c>
      <c r="O2366" s="5">
        <f t="shared" si="218"/>
        <v>-0.87272727272727268</v>
      </c>
      <c r="P2366" s="5">
        <f t="shared" si="219"/>
        <v>-2.8571428571428568</v>
      </c>
      <c r="Q2366" s="4">
        <f t="shared" si="220"/>
        <v>0.83318452380952379</v>
      </c>
      <c r="R2366" s="4">
        <f t="shared" si="221"/>
        <v>-0.13703846153846155</v>
      </c>
      <c r="S2366" s="4">
        <v>10.78</v>
      </c>
      <c r="T2366" s="2">
        <v>1.21</v>
      </c>
      <c r="U2366" s="2">
        <v>7.04</v>
      </c>
      <c r="V2366" s="2">
        <v>4.92</v>
      </c>
      <c r="W2366" s="2">
        <v>0.2</v>
      </c>
      <c r="X2366" s="2">
        <v>-18.170000000000002</v>
      </c>
      <c r="Y2366" s="2">
        <v>-16.690000000000001</v>
      </c>
      <c r="Z2366" s="2">
        <v>-20.96</v>
      </c>
    </row>
    <row r="2367" spans="1:26" x14ac:dyDescent="0.25">
      <c r="A2367" s="1" t="s">
        <v>9539</v>
      </c>
      <c r="B2367" s="1" t="s">
        <v>9540</v>
      </c>
      <c r="C2367" s="1" t="s">
        <v>16</v>
      </c>
      <c r="D2367" s="1" t="s">
        <v>147</v>
      </c>
      <c r="E2367" s="1" t="s">
        <v>1931</v>
      </c>
      <c r="F2367" s="1" t="s">
        <v>9541</v>
      </c>
      <c r="G2367" s="1" t="s">
        <v>12490</v>
      </c>
      <c r="H2367" s="1" t="s">
        <v>9542</v>
      </c>
      <c r="I2367" s="2">
        <v>344.12</v>
      </c>
      <c r="J2367" s="2">
        <v>12.33</v>
      </c>
      <c r="K2367" s="2">
        <v>16.25</v>
      </c>
      <c r="L2367" s="2">
        <v>18.03</v>
      </c>
      <c r="M2367" s="4">
        <f t="shared" si="216"/>
        <v>21.176615384615385</v>
      </c>
      <c r="N2367" s="4">
        <f t="shared" si="217"/>
        <v>19.085967831392125</v>
      </c>
      <c r="O2367" s="5">
        <f t="shared" si="218"/>
        <v>0.31792376317923754</v>
      </c>
      <c r="P2367" s="5">
        <f t="shared" si="219"/>
        <v>0.10953846153846158</v>
      </c>
      <c r="Q2367" s="4">
        <f t="shared" si="220"/>
        <v>0.66609098901098918</v>
      </c>
      <c r="R2367" s="4">
        <f t="shared" si="221"/>
        <v>1.7423987486523704</v>
      </c>
      <c r="S2367" s="4">
        <v>6.75</v>
      </c>
      <c r="T2367" s="2">
        <v>1.47</v>
      </c>
      <c r="U2367" s="2">
        <v>385.03</v>
      </c>
      <c r="V2367" s="2">
        <v>182.34</v>
      </c>
      <c r="W2367" s="2">
        <v>-2.83</v>
      </c>
      <c r="X2367" s="2">
        <v>-1.1599999999999999</v>
      </c>
      <c r="Y2367" s="2">
        <v>-7.42</v>
      </c>
      <c r="Z2367" s="2">
        <v>-2.68</v>
      </c>
    </row>
    <row r="2368" spans="1:26" x14ac:dyDescent="0.25">
      <c r="A2368" s="1" t="s">
        <v>9543</v>
      </c>
      <c r="B2368" s="1" t="s">
        <v>9544</v>
      </c>
      <c r="C2368" s="1" t="s">
        <v>45</v>
      </c>
      <c r="D2368" s="1" t="s">
        <v>18</v>
      </c>
      <c r="E2368" s="1" t="s">
        <v>780</v>
      </c>
      <c r="F2368" s="1" t="s">
        <v>9545</v>
      </c>
      <c r="G2368" s="1" t="s">
        <v>12480</v>
      </c>
      <c r="H2368" s="1" t="s">
        <v>9546</v>
      </c>
      <c r="I2368" s="2">
        <v>10.14</v>
      </c>
      <c r="J2368" s="2">
        <v>-1.61</v>
      </c>
      <c r="K2368" s="2">
        <v>-1.56</v>
      </c>
      <c r="L2368" s="2">
        <v>-1.5</v>
      </c>
      <c r="M2368" s="4">
        <f t="shared" si="216"/>
        <v>-6.5</v>
      </c>
      <c r="N2368" s="4">
        <f t="shared" si="217"/>
        <v>-6.7600000000000007</v>
      </c>
      <c r="O2368" s="5">
        <f t="shared" si="218"/>
        <v>-3.1055900621118071E-2</v>
      </c>
      <c r="P2368" s="5">
        <f t="shared" si="219"/>
        <v>-3.8461538461538547E-2</v>
      </c>
      <c r="Q2368" s="4">
        <f t="shared" si="220"/>
        <v>2.092999999999996</v>
      </c>
      <c r="R2368" s="4">
        <f t="shared" si="221"/>
        <v>1.7575999999999963</v>
      </c>
      <c r="S2368" s="4">
        <v>53.44</v>
      </c>
      <c r="T2368" s="2">
        <v>1.55</v>
      </c>
      <c r="U2368" s="2">
        <v>10.26</v>
      </c>
      <c r="V2368" s="2" t="s">
        <v>12487</v>
      </c>
      <c r="W2368" s="2">
        <v>3.58</v>
      </c>
      <c r="X2368" s="2">
        <v>17.23</v>
      </c>
      <c r="Y2368" s="2">
        <v>19.579999999999998</v>
      </c>
      <c r="Z2368" s="2">
        <v>19.86</v>
      </c>
    </row>
    <row r="2369" spans="1:26" x14ac:dyDescent="0.25">
      <c r="A2369" s="1" t="s">
        <v>9547</v>
      </c>
      <c r="B2369" s="1" t="s">
        <v>9547</v>
      </c>
      <c r="C2369" s="1" t="s">
        <v>16</v>
      </c>
      <c r="D2369" s="1" t="s">
        <v>38</v>
      </c>
      <c r="E2369" s="1" t="s">
        <v>194</v>
      </c>
      <c r="F2369" s="1" t="s">
        <v>9548</v>
      </c>
      <c r="G2369" s="1" t="s">
        <v>12480</v>
      </c>
      <c r="H2369" s="1" t="s">
        <v>9549</v>
      </c>
      <c r="I2369" s="2">
        <v>61.03</v>
      </c>
      <c r="J2369" s="2">
        <v>3.47</v>
      </c>
      <c r="K2369" s="2">
        <v>2.79</v>
      </c>
      <c r="L2369" s="2">
        <v>2.74</v>
      </c>
      <c r="M2369" s="4">
        <f t="shared" si="216"/>
        <v>21.874551971326166</v>
      </c>
      <c r="N2369" s="4">
        <f t="shared" si="217"/>
        <v>22.273722627737225</v>
      </c>
      <c r="O2369" s="5">
        <f t="shared" si="218"/>
        <v>-0.19596541786743515</v>
      </c>
      <c r="P2369" s="5">
        <f t="shared" si="219"/>
        <v>-1.7921146953404965E-2</v>
      </c>
      <c r="Q2369" s="4">
        <f t="shared" si="220"/>
        <v>-1.1162455197132617</v>
      </c>
      <c r="R2369" s="4">
        <f t="shared" si="221"/>
        <v>-12.428737226277409</v>
      </c>
      <c r="S2369" s="4">
        <v>6.33</v>
      </c>
      <c r="T2369" s="2">
        <v>0.5</v>
      </c>
      <c r="U2369" s="2">
        <v>80.819999999999993</v>
      </c>
      <c r="V2369" s="2">
        <v>56.97</v>
      </c>
      <c r="W2369" s="2">
        <v>-2.79</v>
      </c>
      <c r="X2369" s="2">
        <v>1.21</v>
      </c>
      <c r="Y2369" s="2">
        <v>-6.14</v>
      </c>
      <c r="Z2369" s="2">
        <v>-4.6100000000000003</v>
      </c>
    </row>
    <row r="2370" spans="1:26" x14ac:dyDescent="0.25">
      <c r="A2370" s="1" t="s">
        <v>9550</v>
      </c>
      <c r="B2370" s="1" t="s">
        <v>9551</v>
      </c>
      <c r="C2370" s="1" t="s">
        <v>16</v>
      </c>
      <c r="D2370" s="1" t="s">
        <v>38</v>
      </c>
      <c r="E2370" s="1" t="s">
        <v>510</v>
      </c>
      <c r="F2370" s="1" t="s">
        <v>9552</v>
      </c>
      <c r="G2370" s="1" t="s">
        <v>12480</v>
      </c>
      <c r="H2370" s="1" t="s">
        <v>9553</v>
      </c>
      <c r="I2370" s="2">
        <v>7.68</v>
      </c>
      <c r="J2370" s="2">
        <v>1.39</v>
      </c>
      <c r="K2370" s="2">
        <v>1.41</v>
      </c>
      <c r="L2370" s="2">
        <v>1.45</v>
      </c>
      <c r="M2370" s="4">
        <f t="shared" si="216"/>
        <v>5.4468085106382977</v>
      </c>
      <c r="N2370" s="4">
        <f t="shared" si="217"/>
        <v>5.296551724137931</v>
      </c>
      <c r="O2370" s="5">
        <f t="shared" si="218"/>
        <v>1.4388489208633004E-2</v>
      </c>
      <c r="P2370" s="5">
        <f t="shared" si="219"/>
        <v>2.8368794326241176E-2</v>
      </c>
      <c r="Q2370" s="4">
        <f t="shared" si="220"/>
        <v>3.7855319148936406</v>
      </c>
      <c r="R2370" s="4">
        <f t="shared" si="221"/>
        <v>1.8670344827586181</v>
      </c>
      <c r="S2370" s="4">
        <v>-1.43</v>
      </c>
      <c r="T2370" s="2">
        <v>1.07</v>
      </c>
      <c r="U2370" s="2">
        <v>9.5500000000000007</v>
      </c>
      <c r="V2370" s="2">
        <v>6.35</v>
      </c>
      <c r="W2370" s="2">
        <v>-5.77</v>
      </c>
      <c r="X2370" s="2">
        <v>-4.12</v>
      </c>
      <c r="Y2370" s="2">
        <v>-0.65</v>
      </c>
      <c r="Z2370" s="2">
        <v>3.09</v>
      </c>
    </row>
    <row r="2371" spans="1:26" x14ac:dyDescent="0.25">
      <c r="A2371" s="1" t="s">
        <v>9554</v>
      </c>
      <c r="B2371" s="1" t="s">
        <v>9555</v>
      </c>
      <c r="C2371" s="1" t="s">
        <v>16</v>
      </c>
      <c r="D2371" s="1" t="s">
        <v>147</v>
      </c>
      <c r="E2371" s="1" t="s">
        <v>1084</v>
      </c>
      <c r="F2371" s="1" t="s">
        <v>9556</v>
      </c>
      <c r="G2371" s="1" t="s">
        <v>12480</v>
      </c>
      <c r="H2371" s="1" t="s">
        <v>9557</v>
      </c>
      <c r="I2371" s="2">
        <v>2.2400000000000002</v>
      </c>
      <c r="J2371" s="2">
        <v>0.06</v>
      </c>
      <c r="K2371" s="2"/>
      <c r="L2371" s="2"/>
      <c r="M2371" s="4" t="e">
        <f t="shared" ref="M2371:M2434" si="222">I2371/K2371</f>
        <v>#DIV/0!</v>
      </c>
      <c r="N2371" s="4" t="e">
        <f t="shared" ref="N2371:N2434" si="223">I2371/L2371</f>
        <v>#DIV/0!</v>
      </c>
      <c r="O2371" s="5">
        <f t="shared" ref="O2371:O2434" si="224">K2371/J2371-1</f>
        <v>-1</v>
      </c>
      <c r="P2371" s="5" t="e">
        <f t="shared" ref="P2371:P2434" si="225">L2371/K2371-1</f>
        <v>#DIV/0!</v>
      </c>
      <c r="Q2371" s="4" t="e">
        <f t="shared" ref="Q2371:Q2434" si="226">M2371/(O2371*100)</f>
        <v>#DIV/0!</v>
      </c>
      <c r="R2371" s="4" t="e">
        <f t="shared" ref="R2371:R2434" si="227">N2371/(P2371*100)</f>
        <v>#DIV/0!</v>
      </c>
      <c r="S2371" s="4">
        <v>68.53</v>
      </c>
      <c r="T2371" s="2">
        <v>1.1100000000000001</v>
      </c>
      <c r="U2371" s="2">
        <v>2.73</v>
      </c>
      <c r="V2371" s="2">
        <v>1.68</v>
      </c>
      <c r="W2371" s="2">
        <v>-3.86</v>
      </c>
      <c r="X2371" s="2">
        <v>-6.28</v>
      </c>
      <c r="Y2371" s="2">
        <v>-6.67</v>
      </c>
      <c r="Z2371" s="2">
        <v>-3.86</v>
      </c>
    </row>
    <row r="2372" spans="1:26" x14ac:dyDescent="0.25">
      <c r="A2372" s="1" t="s">
        <v>9558</v>
      </c>
      <c r="B2372" s="1" t="s">
        <v>9559</v>
      </c>
      <c r="C2372" s="1" t="s">
        <v>45</v>
      </c>
      <c r="D2372" s="1" t="s">
        <v>32</v>
      </c>
      <c r="E2372" s="1" t="s">
        <v>57</v>
      </c>
      <c r="F2372" s="1" t="s">
        <v>9560</v>
      </c>
      <c r="G2372" s="1" t="s">
        <v>12480</v>
      </c>
      <c r="H2372" s="1" t="s">
        <v>9561</v>
      </c>
      <c r="I2372" s="2">
        <v>88.52</v>
      </c>
      <c r="J2372" s="2">
        <v>2.5</v>
      </c>
      <c r="K2372" s="2">
        <v>3.05</v>
      </c>
      <c r="L2372" s="2">
        <v>3.6</v>
      </c>
      <c r="M2372" s="4">
        <f t="shared" si="222"/>
        <v>29.022950819672133</v>
      </c>
      <c r="N2372" s="4">
        <f t="shared" si="223"/>
        <v>24.588888888888889</v>
      </c>
      <c r="O2372" s="5">
        <f t="shared" si="224"/>
        <v>0.21999999999999997</v>
      </c>
      <c r="P2372" s="5">
        <f t="shared" si="225"/>
        <v>0.18032786885245922</v>
      </c>
      <c r="Q2372" s="4">
        <f t="shared" si="226"/>
        <v>1.3192250372578245</v>
      </c>
      <c r="R2372" s="4">
        <f t="shared" si="227"/>
        <v>1.3635656565656549</v>
      </c>
      <c r="S2372" s="4">
        <v>27.13</v>
      </c>
      <c r="T2372" s="2">
        <v>1.55</v>
      </c>
      <c r="U2372" s="2">
        <v>125.93</v>
      </c>
      <c r="V2372" s="2">
        <v>42.9</v>
      </c>
      <c r="W2372" s="2">
        <v>-10.48</v>
      </c>
      <c r="X2372" s="2">
        <v>-20.2</v>
      </c>
      <c r="Y2372" s="2">
        <v>-7.26</v>
      </c>
      <c r="Z2372" s="2">
        <v>-3.67</v>
      </c>
    </row>
    <row r="2373" spans="1:26" x14ac:dyDescent="0.25">
      <c r="A2373" s="1" t="s">
        <v>9562</v>
      </c>
      <c r="B2373" s="1" t="s">
        <v>9563</v>
      </c>
      <c r="C2373" s="1" t="s">
        <v>16</v>
      </c>
      <c r="D2373" s="1" t="s">
        <v>18</v>
      </c>
      <c r="E2373" s="1" t="s">
        <v>19</v>
      </c>
      <c r="F2373" s="1" t="s">
        <v>9564</v>
      </c>
      <c r="G2373" s="1" t="s">
        <v>12502</v>
      </c>
      <c r="H2373" s="1" t="s">
        <v>9565</v>
      </c>
      <c r="I2373" s="2">
        <v>252.93</v>
      </c>
      <c r="J2373" s="2">
        <v>9.5500000000000007</v>
      </c>
      <c r="K2373" s="2">
        <v>10.98</v>
      </c>
      <c r="L2373" s="2">
        <v>11.98</v>
      </c>
      <c r="M2373" s="4">
        <f t="shared" si="222"/>
        <v>23.035519125683059</v>
      </c>
      <c r="N2373" s="4">
        <f t="shared" si="223"/>
        <v>21.112687813021704</v>
      </c>
      <c r="O2373" s="5">
        <f t="shared" si="224"/>
        <v>0.14973821989528791</v>
      </c>
      <c r="P2373" s="5">
        <f t="shared" si="225"/>
        <v>9.1074681238615618E-2</v>
      </c>
      <c r="Q2373" s="4">
        <f t="shared" si="226"/>
        <v>1.5383860674844287</v>
      </c>
      <c r="R2373" s="4">
        <f t="shared" si="227"/>
        <v>2.3181731218697843</v>
      </c>
      <c r="S2373" s="4">
        <v>9.84</v>
      </c>
      <c r="T2373" s="2">
        <v>0.88</v>
      </c>
      <c r="U2373" s="2">
        <v>293.73</v>
      </c>
      <c r="V2373" s="2">
        <v>204.54</v>
      </c>
      <c r="W2373" s="2">
        <v>-1.73</v>
      </c>
      <c r="X2373" s="2">
        <v>-8.35</v>
      </c>
      <c r="Y2373" s="2">
        <v>-0.06</v>
      </c>
      <c r="Z2373" s="2">
        <v>5.01</v>
      </c>
    </row>
    <row r="2374" spans="1:26" x14ac:dyDescent="0.25">
      <c r="A2374" s="1" t="s">
        <v>9566</v>
      </c>
      <c r="B2374" s="1" t="s">
        <v>9567</v>
      </c>
      <c r="C2374" s="1" t="s">
        <v>31</v>
      </c>
      <c r="D2374" s="1" t="s">
        <v>18</v>
      </c>
      <c r="E2374" s="1" t="s">
        <v>624</v>
      </c>
      <c r="F2374" s="1" t="s">
        <v>9568</v>
      </c>
      <c r="G2374" s="1" t="s">
        <v>12502</v>
      </c>
      <c r="H2374" s="1" t="s">
        <v>9569</v>
      </c>
      <c r="I2374" s="2">
        <v>6.83</v>
      </c>
      <c r="J2374" s="2"/>
      <c r="K2374" s="2"/>
      <c r="L2374" s="2"/>
      <c r="M2374" s="4" t="e">
        <f t="shared" si="222"/>
        <v>#DIV/0!</v>
      </c>
      <c r="N2374" s="4" t="e">
        <f t="shared" si="223"/>
        <v>#DIV/0!</v>
      </c>
      <c r="O2374" s="5" t="e">
        <f t="shared" si="224"/>
        <v>#DIV/0!</v>
      </c>
      <c r="P2374" s="5" t="e">
        <f t="shared" si="225"/>
        <v>#DIV/0!</v>
      </c>
      <c r="Q2374" s="4" t="e">
        <f t="shared" si="226"/>
        <v>#DIV/0!</v>
      </c>
      <c r="R2374" s="4" t="e">
        <f t="shared" si="227"/>
        <v>#DIV/0!</v>
      </c>
      <c r="S2374" s="4"/>
      <c r="T2374" s="2">
        <v>-0.05</v>
      </c>
      <c r="U2374" s="2">
        <v>6.83</v>
      </c>
      <c r="V2374" s="2">
        <v>4.3099999999999996</v>
      </c>
      <c r="W2374" s="2" t="s">
        <v>12489</v>
      </c>
      <c r="X2374" s="2">
        <v>9.11</v>
      </c>
      <c r="Y2374" s="2">
        <v>32.11</v>
      </c>
      <c r="Z2374" s="2">
        <v>21.31</v>
      </c>
    </row>
    <row r="2375" spans="1:26" x14ac:dyDescent="0.25">
      <c r="A2375" s="1" t="s">
        <v>9570</v>
      </c>
      <c r="B2375" s="1" t="s">
        <v>9571</v>
      </c>
      <c r="C2375" s="1" t="s">
        <v>16</v>
      </c>
      <c r="D2375" s="1" t="s">
        <v>32</v>
      </c>
      <c r="E2375" s="1" t="s">
        <v>3521</v>
      </c>
      <c r="F2375" s="1" t="s">
        <v>9572</v>
      </c>
      <c r="G2375" s="1" t="s">
        <v>12480</v>
      </c>
      <c r="H2375" s="1" t="s">
        <v>9573</v>
      </c>
      <c r="I2375" s="2">
        <v>41.84</v>
      </c>
      <c r="J2375" s="2">
        <v>4.3600000000000003</v>
      </c>
      <c r="K2375" s="2">
        <v>4.8</v>
      </c>
      <c r="L2375" s="2">
        <v>5.09</v>
      </c>
      <c r="M2375" s="4">
        <f t="shared" si="222"/>
        <v>8.7166666666666686</v>
      </c>
      <c r="N2375" s="4">
        <f t="shared" si="223"/>
        <v>8.2200392927308457</v>
      </c>
      <c r="O2375" s="5">
        <f t="shared" si="224"/>
        <v>0.10091743119266039</v>
      </c>
      <c r="P2375" s="5">
        <f t="shared" si="225"/>
        <v>6.0416666666666785E-2</v>
      </c>
      <c r="Q2375" s="4">
        <f t="shared" si="226"/>
        <v>0.86374242424242587</v>
      </c>
      <c r="R2375" s="4">
        <f t="shared" si="227"/>
        <v>1.3605582277623443</v>
      </c>
      <c r="S2375" s="4">
        <v>4.78</v>
      </c>
      <c r="T2375" s="2">
        <v>1.1399999999999999</v>
      </c>
      <c r="U2375" s="2">
        <v>42.02</v>
      </c>
      <c r="V2375" s="2">
        <v>21.51</v>
      </c>
      <c r="W2375" s="2">
        <v>15.77</v>
      </c>
      <c r="X2375" s="2">
        <v>52.87</v>
      </c>
      <c r="Y2375" s="2">
        <v>43.44</v>
      </c>
      <c r="Z2375" s="2">
        <v>44.88</v>
      </c>
    </row>
    <row r="2376" spans="1:26" x14ac:dyDescent="0.25">
      <c r="A2376" s="1" t="s">
        <v>9574</v>
      </c>
      <c r="B2376" s="1" t="s">
        <v>9575</v>
      </c>
      <c r="C2376" s="1" t="s">
        <v>31</v>
      </c>
      <c r="D2376" s="1" t="s">
        <v>305</v>
      </c>
      <c r="E2376" s="1" t="s">
        <v>1176</v>
      </c>
      <c r="F2376" s="1" t="s">
        <v>9576</v>
      </c>
      <c r="G2376" s="1" t="s">
        <v>12480</v>
      </c>
      <c r="H2376" s="1" t="s">
        <v>9577</v>
      </c>
      <c r="I2376" s="2">
        <v>6.56</v>
      </c>
      <c r="J2376" s="2">
        <v>0.59</v>
      </c>
      <c r="K2376" s="2">
        <v>1.63</v>
      </c>
      <c r="L2376" s="2">
        <v>1.52</v>
      </c>
      <c r="M2376" s="4">
        <f t="shared" si="222"/>
        <v>4.0245398773006134</v>
      </c>
      <c r="N2376" s="4">
        <f t="shared" si="223"/>
        <v>4.3157894736842106</v>
      </c>
      <c r="O2376" s="5">
        <f t="shared" si="224"/>
        <v>1.7627118644067794</v>
      </c>
      <c r="P2376" s="5">
        <f t="shared" si="225"/>
        <v>-6.748466257668706E-2</v>
      </c>
      <c r="Q2376" s="4">
        <f t="shared" si="226"/>
        <v>2.2831524303916943E-2</v>
      </c>
      <c r="R2376" s="4">
        <f t="shared" si="227"/>
        <v>-0.63952153110047893</v>
      </c>
      <c r="S2376" s="4">
        <v>7.66</v>
      </c>
      <c r="T2376" s="2">
        <v>0.83</v>
      </c>
      <c r="U2376" s="2">
        <v>11.11</v>
      </c>
      <c r="V2376" s="2">
        <v>6.56</v>
      </c>
      <c r="W2376" s="2">
        <v>-7.21</v>
      </c>
      <c r="X2376" s="2">
        <v>-10.99</v>
      </c>
      <c r="Y2376" s="2">
        <v>-25.11</v>
      </c>
      <c r="Z2376" s="2">
        <v>-20.29</v>
      </c>
    </row>
    <row r="2377" spans="1:26" x14ac:dyDescent="0.25">
      <c r="A2377" s="1" t="s">
        <v>9578</v>
      </c>
      <c r="B2377" s="1" t="s">
        <v>9579</v>
      </c>
      <c r="C2377" s="1" t="s">
        <v>31</v>
      </c>
      <c r="D2377" s="1" t="s">
        <v>204</v>
      </c>
      <c r="E2377" s="1" t="s">
        <v>534</v>
      </c>
      <c r="F2377" s="1" t="s">
        <v>9580</v>
      </c>
      <c r="G2377" s="1" t="s">
        <v>12480</v>
      </c>
      <c r="H2377" s="1" t="s">
        <v>9581</v>
      </c>
      <c r="I2377" s="2">
        <v>373.01</v>
      </c>
      <c r="J2377" s="2">
        <v>3.85</v>
      </c>
      <c r="K2377" s="2">
        <v>8.99</v>
      </c>
      <c r="L2377" s="2">
        <v>13.41</v>
      </c>
      <c r="M2377" s="4">
        <f t="shared" si="222"/>
        <v>41.491657397107893</v>
      </c>
      <c r="N2377" s="4">
        <f t="shared" si="223"/>
        <v>27.815809097688291</v>
      </c>
      <c r="O2377" s="5">
        <f t="shared" si="224"/>
        <v>1.3350649350649353</v>
      </c>
      <c r="P2377" s="5">
        <f t="shared" si="225"/>
        <v>0.49165739710789769</v>
      </c>
      <c r="Q2377" s="4">
        <f t="shared" si="226"/>
        <v>0.31078381513397929</v>
      </c>
      <c r="R2377" s="4">
        <f t="shared" si="227"/>
        <v>0.56575593617243836</v>
      </c>
      <c r="S2377" s="4">
        <v>35.880000000000003</v>
      </c>
      <c r="T2377" s="2">
        <v>0.12</v>
      </c>
      <c r="U2377" s="2" t="s">
        <v>12778</v>
      </c>
      <c r="V2377" s="2">
        <v>241.39</v>
      </c>
      <c r="W2377" s="2">
        <v>-2.21</v>
      </c>
      <c r="X2377" s="2">
        <v>-5.38</v>
      </c>
      <c r="Y2377" s="2">
        <v>2.79</v>
      </c>
      <c r="Z2377" s="2">
        <v>2.0499999999999998</v>
      </c>
    </row>
    <row r="2378" spans="1:26" x14ac:dyDescent="0.25">
      <c r="A2378" s="1" t="s">
        <v>9582</v>
      </c>
      <c r="B2378" s="1" t="s">
        <v>9583</v>
      </c>
      <c r="C2378" s="1" t="s">
        <v>16</v>
      </c>
      <c r="D2378" s="1" t="s">
        <v>38</v>
      </c>
      <c r="E2378" s="1" t="s">
        <v>194</v>
      </c>
      <c r="F2378" s="1" t="s">
        <v>9584</v>
      </c>
      <c r="G2378" s="1" t="s">
        <v>12480</v>
      </c>
      <c r="H2378" s="1" t="s">
        <v>9585</v>
      </c>
      <c r="I2378" s="2">
        <v>296.64</v>
      </c>
      <c r="J2378" s="2">
        <v>39.1</v>
      </c>
      <c r="K2378" s="2">
        <v>37.65</v>
      </c>
      <c r="L2378" s="2">
        <v>41.76</v>
      </c>
      <c r="M2378" s="4">
        <f t="shared" si="222"/>
        <v>7.8788844621513947</v>
      </c>
      <c r="N2378" s="4">
        <f t="shared" si="223"/>
        <v>7.1034482758620694</v>
      </c>
      <c r="O2378" s="5">
        <f t="shared" si="224"/>
        <v>-3.7084398976982125E-2</v>
      </c>
      <c r="P2378" s="5">
        <f t="shared" si="225"/>
        <v>0.10916334661354576</v>
      </c>
      <c r="Q2378" s="4">
        <f t="shared" si="226"/>
        <v>-2.1245819480697885</v>
      </c>
      <c r="R2378" s="4">
        <f t="shared" si="227"/>
        <v>0.65071734205889797</v>
      </c>
      <c r="S2378" s="4">
        <v>9.86</v>
      </c>
      <c r="T2378" s="2">
        <v>0.21</v>
      </c>
      <c r="U2378" s="2">
        <v>310.89999999999998</v>
      </c>
      <c r="V2378" s="2">
        <v>220.37</v>
      </c>
      <c r="W2378" s="2">
        <v>-3.38</v>
      </c>
      <c r="X2378" s="2">
        <v>2.61</v>
      </c>
      <c r="Y2378" s="2">
        <v>9.24</v>
      </c>
      <c r="Z2378" s="2">
        <v>5.51</v>
      </c>
    </row>
    <row r="2379" spans="1:26" x14ac:dyDescent="0.25">
      <c r="A2379" s="1" t="s">
        <v>9587</v>
      </c>
      <c r="B2379" s="1" t="s">
        <v>9588</v>
      </c>
      <c r="C2379" s="1" t="s">
        <v>31</v>
      </c>
      <c r="D2379" s="1" t="s">
        <v>140</v>
      </c>
      <c r="E2379" s="1" t="s">
        <v>284</v>
      </c>
      <c r="F2379" s="1" t="s">
        <v>9589</v>
      </c>
      <c r="G2379" s="1" t="s">
        <v>12502</v>
      </c>
      <c r="H2379" s="1" t="s">
        <v>9590</v>
      </c>
      <c r="I2379" s="2">
        <v>59.03</v>
      </c>
      <c r="J2379" s="2">
        <v>1.78</v>
      </c>
      <c r="K2379" s="2"/>
      <c r="L2379" s="2"/>
      <c r="M2379" s="4" t="e">
        <f t="shared" si="222"/>
        <v>#DIV/0!</v>
      </c>
      <c r="N2379" s="4" t="e">
        <f t="shared" si="223"/>
        <v>#DIV/0!</v>
      </c>
      <c r="O2379" s="5">
        <f t="shared" si="224"/>
        <v>-1</v>
      </c>
      <c r="P2379" s="5" t="e">
        <f t="shared" si="225"/>
        <v>#DIV/0!</v>
      </c>
      <c r="Q2379" s="4" t="e">
        <f t="shared" si="226"/>
        <v>#DIV/0!</v>
      </c>
      <c r="R2379" s="4" t="e">
        <f t="shared" si="227"/>
        <v>#DIV/0!</v>
      </c>
      <c r="S2379" s="4">
        <v>5.98</v>
      </c>
      <c r="T2379" s="2">
        <v>0.65</v>
      </c>
      <c r="U2379" s="2">
        <v>59.03</v>
      </c>
      <c r="V2379" s="2">
        <v>28.98</v>
      </c>
      <c r="W2379" s="2" t="s">
        <v>12489</v>
      </c>
      <c r="X2379" s="2">
        <v>14.22</v>
      </c>
      <c r="Y2379" s="2">
        <v>28.33</v>
      </c>
      <c r="Z2379" s="2">
        <v>24.87</v>
      </c>
    </row>
    <row r="2380" spans="1:26" x14ac:dyDescent="0.25">
      <c r="A2380" s="1" t="s">
        <v>9591</v>
      </c>
      <c r="B2380" s="1" t="s">
        <v>9592</v>
      </c>
      <c r="C2380" s="1" t="s">
        <v>16</v>
      </c>
      <c r="D2380" s="1" t="s">
        <v>38</v>
      </c>
      <c r="E2380" s="1" t="s">
        <v>119</v>
      </c>
      <c r="F2380" s="1" t="s">
        <v>9593</v>
      </c>
      <c r="G2380" s="1" t="s">
        <v>12480</v>
      </c>
      <c r="H2380" s="1" t="s">
        <v>978</v>
      </c>
      <c r="I2380" s="2">
        <v>36.61</v>
      </c>
      <c r="J2380" s="2">
        <v>3.06</v>
      </c>
      <c r="K2380" s="2">
        <v>3.61</v>
      </c>
      <c r="L2380" s="2">
        <v>3.89</v>
      </c>
      <c r="M2380" s="4">
        <f t="shared" si="222"/>
        <v>10.141274238227147</v>
      </c>
      <c r="N2380" s="4">
        <f t="shared" si="223"/>
        <v>9.4113110539845746</v>
      </c>
      <c r="O2380" s="5">
        <f t="shared" si="224"/>
        <v>0.1797385620915033</v>
      </c>
      <c r="P2380" s="5">
        <f t="shared" si="225"/>
        <v>7.7562326869806242E-2</v>
      </c>
      <c r="Q2380" s="4">
        <f t="shared" si="226"/>
        <v>0.56422362125409209</v>
      </c>
      <c r="R2380" s="4">
        <f t="shared" si="227"/>
        <v>1.2133868894601518</v>
      </c>
      <c r="S2380" s="4">
        <v>32.32</v>
      </c>
      <c r="T2380" s="2">
        <v>0.97</v>
      </c>
      <c r="U2380" s="2">
        <v>41.8</v>
      </c>
      <c r="V2380" s="2">
        <v>27.68</v>
      </c>
      <c r="W2380" s="2">
        <v>-5.91</v>
      </c>
      <c r="X2380" s="2">
        <v>-11.38</v>
      </c>
      <c r="Y2380" s="2">
        <v>-1.61</v>
      </c>
      <c r="Z2380" s="2">
        <v>3.95</v>
      </c>
    </row>
    <row r="2381" spans="1:26" x14ac:dyDescent="0.25">
      <c r="A2381" s="1" t="s">
        <v>9594</v>
      </c>
      <c r="B2381" s="1" t="s">
        <v>9595</v>
      </c>
      <c r="C2381" s="1" t="s">
        <v>45</v>
      </c>
      <c r="D2381" s="1" t="s">
        <v>94</v>
      </c>
      <c r="E2381" s="1" t="s">
        <v>95</v>
      </c>
      <c r="F2381" s="1" t="s">
        <v>9596</v>
      </c>
      <c r="G2381" s="1" t="s">
        <v>12490</v>
      </c>
      <c r="H2381" s="1" t="s">
        <v>9597</v>
      </c>
      <c r="I2381" s="2">
        <v>5.28</v>
      </c>
      <c r="J2381" s="2">
        <v>0.13</v>
      </c>
      <c r="K2381" s="2">
        <v>7.0000000000000007E-2</v>
      </c>
      <c r="L2381" s="2">
        <v>0.2</v>
      </c>
      <c r="M2381" s="4">
        <f t="shared" si="222"/>
        <v>75.428571428571431</v>
      </c>
      <c r="N2381" s="4">
        <f t="shared" si="223"/>
        <v>26.4</v>
      </c>
      <c r="O2381" s="5">
        <f t="shared" si="224"/>
        <v>-0.46153846153846145</v>
      </c>
      <c r="P2381" s="5">
        <f t="shared" si="225"/>
        <v>1.8571428571428572</v>
      </c>
      <c r="Q2381" s="4">
        <f t="shared" si="226"/>
        <v>-1.6342857142857146</v>
      </c>
      <c r="R2381" s="4">
        <f t="shared" si="227"/>
        <v>0.14215384615384613</v>
      </c>
      <c r="S2381" s="4">
        <v>-1.9</v>
      </c>
      <c r="T2381" s="2">
        <v>0.9</v>
      </c>
      <c r="U2381" s="2">
        <v>8.19</v>
      </c>
      <c r="V2381" s="2">
        <v>5.16</v>
      </c>
      <c r="W2381" s="2">
        <v>-4.5199999999999996</v>
      </c>
      <c r="X2381" s="2">
        <v>0.38</v>
      </c>
      <c r="Y2381" s="2" t="s">
        <v>12494</v>
      </c>
      <c r="Z2381" s="2">
        <v>-6.55</v>
      </c>
    </row>
    <row r="2382" spans="1:26" x14ac:dyDescent="0.25">
      <c r="A2382" s="1" t="s">
        <v>9598</v>
      </c>
      <c r="B2382" s="1" t="s">
        <v>9599</v>
      </c>
      <c r="C2382" s="1" t="s">
        <v>45</v>
      </c>
      <c r="D2382" s="1" t="s">
        <v>61</v>
      </c>
      <c r="E2382" s="1" t="s">
        <v>170</v>
      </c>
      <c r="F2382" s="1" t="s">
        <v>9600</v>
      </c>
      <c r="G2382" s="1" t="s">
        <v>12485</v>
      </c>
      <c r="H2382" s="1" t="s">
        <v>1450</v>
      </c>
      <c r="I2382" s="2">
        <v>123.47</v>
      </c>
      <c r="J2382" s="2">
        <v>2.2000000000000002</v>
      </c>
      <c r="K2382" s="2">
        <v>2.86</v>
      </c>
      <c r="L2382" s="2">
        <v>3.52</v>
      </c>
      <c r="M2382" s="4">
        <f t="shared" si="222"/>
        <v>43.171328671328673</v>
      </c>
      <c r="N2382" s="4">
        <f t="shared" si="223"/>
        <v>35.076704545454547</v>
      </c>
      <c r="O2382" s="5">
        <f t="shared" si="224"/>
        <v>0.29999999999999982</v>
      </c>
      <c r="P2382" s="5">
        <f t="shared" si="225"/>
        <v>0.23076923076923084</v>
      </c>
      <c r="Q2382" s="4">
        <f t="shared" si="226"/>
        <v>1.43904428904429</v>
      </c>
      <c r="R2382" s="4">
        <f t="shared" si="227"/>
        <v>1.5199905303030299</v>
      </c>
      <c r="S2382" s="4">
        <v>54.2</v>
      </c>
      <c r="T2382" s="2">
        <v>0.83</v>
      </c>
      <c r="U2382" s="2">
        <v>138.88</v>
      </c>
      <c r="V2382" s="2">
        <v>67.67</v>
      </c>
      <c r="W2382" s="2">
        <v>-9.65</v>
      </c>
      <c r="X2382" s="2">
        <v>-2.5</v>
      </c>
      <c r="Y2382" s="2">
        <v>12.26</v>
      </c>
      <c r="Z2382" s="2">
        <v>13.74</v>
      </c>
    </row>
    <row r="2383" spans="1:26" x14ac:dyDescent="0.25">
      <c r="A2383" s="1" t="s">
        <v>9601</v>
      </c>
      <c r="B2383" s="1" t="s">
        <v>9602</v>
      </c>
      <c r="C2383" s="1" t="s">
        <v>45</v>
      </c>
      <c r="D2383" s="1" t="s">
        <v>61</v>
      </c>
      <c r="E2383" s="1" t="s">
        <v>170</v>
      </c>
      <c r="F2383" s="1" t="s">
        <v>9603</v>
      </c>
      <c r="G2383" s="1" t="s">
        <v>12480</v>
      </c>
      <c r="H2383" s="1" t="s">
        <v>2480</v>
      </c>
      <c r="I2383" s="2">
        <v>39.18</v>
      </c>
      <c r="J2383" s="2">
        <v>3.92</v>
      </c>
      <c r="K2383" s="2">
        <v>3.77</v>
      </c>
      <c r="L2383" s="2">
        <v>4.74</v>
      </c>
      <c r="M2383" s="4">
        <f t="shared" si="222"/>
        <v>10.392572944297083</v>
      </c>
      <c r="N2383" s="4">
        <f t="shared" si="223"/>
        <v>8.2658227848101262</v>
      </c>
      <c r="O2383" s="5">
        <f t="shared" si="224"/>
        <v>-3.8265306122448939E-2</v>
      </c>
      <c r="P2383" s="5">
        <f t="shared" si="225"/>
        <v>0.25729442970822292</v>
      </c>
      <c r="Q2383" s="4">
        <f t="shared" si="226"/>
        <v>-2.7159257294429739</v>
      </c>
      <c r="R2383" s="4">
        <f t="shared" si="227"/>
        <v>0.3212592979250945</v>
      </c>
      <c r="S2383" s="4">
        <v>-13.24</v>
      </c>
      <c r="T2383" s="2">
        <v>1.34</v>
      </c>
      <c r="U2383" s="2">
        <v>74.58</v>
      </c>
      <c r="V2383" s="2">
        <v>39.18</v>
      </c>
      <c r="W2383" s="2">
        <v>-13.24</v>
      </c>
      <c r="X2383" s="2">
        <v>-26.97</v>
      </c>
      <c r="Y2383" s="2">
        <v>-22.89</v>
      </c>
      <c r="Z2383" s="2">
        <v>-20.75</v>
      </c>
    </row>
    <row r="2384" spans="1:26" x14ac:dyDescent="0.25">
      <c r="A2384" s="1" t="s">
        <v>9604</v>
      </c>
      <c r="B2384" s="1" t="s">
        <v>9605</v>
      </c>
      <c r="C2384" s="1" t="s">
        <v>16</v>
      </c>
      <c r="D2384" s="1" t="s">
        <v>32</v>
      </c>
      <c r="E2384" s="1" t="s">
        <v>33</v>
      </c>
      <c r="F2384" s="1" t="s">
        <v>9606</v>
      </c>
      <c r="G2384" s="1" t="s">
        <v>12480</v>
      </c>
      <c r="H2384" s="1" t="s">
        <v>9607</v>
      </c>
      <c r="I2384" s="2">
        <v>104.77</v>
      </c>
      <c r="J2384" s="2">
        <v>2.39</v>
      </c>
      <c r="K2384" s="2">
        <v>3.23</v>
      </c>
      <c r="L2384" s="2">
        <v>4.22</v>
      </c>
      <c r="M2384" s="4">
        <f t="shared" si="222"/>
        <v>32.43653250773994</v>
      </c>
      <c r="N2384" s="4">
        <f t="shared" si="223"/>
        <v>24.827014218009481</v>
      </c>
      <c r="O2384" s="5">
        <f t="shared" si="224"/>
        <v>0.35146443514644354</v>
      </c>
      <c r="P2384" s="5">
        <f t="shared" si="225"/>
        <v>0.30650154798761609</v>
      </c>
      <c r="Q2384" s="4">
        <f t="shared" si="226"/>
        <v>0.92289657968450545</v>
      </c>
      <c r="R2384" s="4">
        <f t="shared" si="227"/>
        <v>0.81001268610273358</v>
      </c>
      <c r="S2384" s="4">
        <v>-2.33</v>
      </c>
      <c r="T2384" s="2">
        <v>0.36</v>
      </c>
      <c r="U2384" s="2">
        <v>111.91</v>
      </c>
      <c r="V2384" s="2">
        <v>52.69</v>
      </c>
      <c r="W2384" s="2">
        <v>-6.38</v>
      </c>
      <c r="X2384" s="2">
        <v>-1.25</v>
      </c>
      <c r="Y2384" s="2">
        <v>14.19</v>
      </c>
      <c r="Z2384" s="2">
        <v>14.41</v>
      </c>
    </row>
    <row r="2385" spans="1:26" x14ac:dyDescent="0.25">
      <c r="A2385" s="1" t="s">
        <v>9608</v>
      </c>
      <c r="B2385" s="1" t="s">
        <v>9609</v>
      </c>
      <c r="C2385" s="1" t="s">
        <v>31</v>
      </c>
      <c r="D2385" s="1" t="s">
        <v>32</v>
      </c>
      <c r="E2385" s="1" t="s">
        <v>57</v>
      </c>
      <c r="F2385" s="1" t="s">
        <v>9610</v>
      </c>
      <c r="G2385" s="1" t="s">
        <v>12490</v>
      </c>
      <c r="H2385" s="1" t="s">
        <v>9611</v>
      </c>
      <c r="I2385" s="2">
        <v>22.19</v>
      </c>
      <c r="J2385" s="2">
        <v>-0.39</v>
      </c>
      <c r="K2385" s="2"/>
      <c r="L2385" s="2"/>
      <c r="M2385" s="4" t="e">
        <f t="shared" si="222"/>
        <v>#DIV/0!</v>
      </c>
      <c r="N2385" s="4" t="e">
        <f t="shared" si="223"/>
        <v>#DIV/0!</v>
      </c>
      <c r="O2385" s="5">
        <f t="shared" si="224"/>
        <v>-1</v>
      </c>
      <c r="P2385" s="5" t="e">
        <f t="shared" si="225"/>
        <v>#DIV/0!</v>
      </c>
      <c r="Q2385" s="4" t="e">
        <f t="shared" si="226"/>
        <v>#DIV/0!</v>
      </c>
      <c r="R2385" s="4" t="e">
        <f t="shared" si="227"/>
        <v>#DIV/0!</v>
      </c>
      <c r="S2385" s="4">
        <v>-9.11</v>
      </c>
      <c r="T2385" s="2">
        <v>1.1399999999999999</v>
      </c>
      <c r="U2385" s="2">
        <v>22.19</v>
      </c>
      <c r="V2385" s="2">
        <v>7.58</v>
      </c>
      <c r="W2385" s="2">
        <v>21.46</v>
      </c>
      <c r="X2385" s="2">
        <v>34.36</v>
      </c>
      <c r="Y2385" s="2">
        <v>62.01</v>
      </c>
      <c r="Z2385" s="2">
        <v>55.77</v>
      </c>
    </row>
    <row r="2386" spans="1:26" x14ac:dyDescent="0.25">
      <c r="A2386" s="1" t="s">
        <v>9612</v>
      </c>
      <c r="B2386" s="1" t="s">
        <v>9613</v>
      </c>
      <c r="C2386" s="1" t="s">
        <v>45</v>
      </c>
      <c r="D2386" s="1" t="s">
        <v>18</v>
      </c>
      <c r="E2386" s="1" t="s">
        <v>74</v>
      </c>
      <c r="F2386" s="1" t="s">
        <v>9614</v>
      </c>
      <c r="G2386" s="1" t="s">
        <v>12490</v>
      </c>
      <c r="H2386" s="1" t="s">
        <v>9615</v>
      </c>
      <c r="I2386" s="2">
        <v>29.53</v>
      </c>
      <c r="J2386" s="2">
        <v>-0.87</v>
      </c>
      <c r="K2386" s="2">
        <v>-1.07</v>
      </c>
      <c r="L2386" s="2">
        <v>-0.6</v>
      </c>
      <c r="M2386" s="4">
        <f t="shared" si="222"/>
        <v>-27.598130841121495</v>
      </c>
      <c r="N2386" s="4">
        <f t="shared" si="223"/>
        <v>-49.216666666666669</v>
      </c>
      <c r="O2386" s="5">
        <f t="shared" si="224"/>
        <v>0.22988505747126453</v>
      </c>
      <c r="P2386" s="5">
        <f t="shared" si="225"/>
        <v>-0.43925233644859818</v>
      </c>
      <c r="Q2386" s="4">
        <f t="shared" si="226"/>
        <v>-1.2005186915887842</v>
      </c>
      <c r="R2386" s="4">
        <f t="shared" si="227"/>
        <v>1.1204645390070922</v>
      </c>
      <c r="S2386" s="4">
        <v>-76.72</v>
      </c>
      <c r="T2386" s="2">
        <v>1.17</v>
      </c>
      <c r="U2386" s="2">
        <v>29.72</v>
      </c>
      <c r="V2386" s="2">
        <v>9.08</v>
      </c>
      <c r="W2386" s="2">
        <v>5.09</v>
      </c>
      <c r="X2386" s="2">
        <v>6.72</v>
      </c>
      <c r="Y2386" s="2">
        <v>34.840000000000003</v>
      </c>
      <c r="Z2386" s="2">
        <v>36.08</v>
      </c>
    </row>
    <row r="2387" spans="1:26" x14ac:dyDescent="0.25">
      <c r="A2387" s="1" t="s">
        <v>9616</v>
      </c>
      <c r="B2387" s="1" t="s">
        <v>9617</v>
      </c>
      <c r="C2387" s="1" t="s">
        <v>16</v>
      </c>
      <c r="D2387" s="1" t="s">
        <v>32</v>
      </c>
      <c r="E2387" s="1" t="s">
        <v>1607</v>
      </c>
      <c r="F2387" s="1" t="s">
        <v>9618</v>
      </c>
      <c r="G2387" s="1" t="s">
        <v>12485</v>
      </c>
      <c r="H2387" s="1" t="s">
        <v>9619</v>
      </c>
      <c r="I2387" s="2">
        <v>375.55</v>
      </c>
      <c r="J2387" s="2">
        <v>10.53</v>
      </c>
      <c r="K2387" s="2">
        <v>12.13</v>
      </c>
      <c r="L2387" s="2">
        <v>13.66</v>
      </c>
      <c r="M2387" s="4">
        <f t="shared" si="222"/>
        <v>30.960428689200327</v>
      </c>
      <c r="N2387" s="4">
        <f t="shared" si="223"/>
        <v>27.492679355783309</v>
      </c>
      <c r="O2387" s="5">
        <f t="shared" si="224"/>
        <v>0.15194681861348536</v>
      </c>
      <c r="P2387" s="5">
        <f t="shared" si="225"/>
        <v>0.12613355317394892</v>
      </c>
      <c r="Q2387" s="4">
        <f t="shared" si="226"/>
        <v>2.0375832131079958</v>
      </c>
      <c r="R2387" s="4">
        <f t="shared" si="227"/>
        <v>2.1796483698408595</v>
      </c>
      <c r="S2387" s="4">
        <v>0.94</v>
      </c>
      <c r="T2387" s="2">
        <v>1.53</v>
      </c>
      <c r="U2387" s="2">
        <v>430.31</v>
      </c>
      <c r="V2387" s="2">
        <v>218.97</v>
      </c>
      <c r="W2387" s="2">
        <v>-8.8800000000000008</v>
      </c>
      <c r="X2387" s="2">
        <v>-8.5500000000000007</v>
      </c>
      <c r="Y2387" s="2">
        <v>-6.5</v>
      </c>
      <c r="Z2387" s="2">
        <v>-3.48</v>
      </c>
    </row>
    <row r="2388" spans="1:26" x14ac:dyDescent="0.25">
      <c r="A2388" s="1" t="s">
        <v>9620</v>
      </c>
      <c r="B2388" s="1" t="s">
        <v>9621</v>
      </c>
      <c r="C2388" s="1" t="s">
        <v>45</v>
      </c>
      <c r="D2388" s="1" t="s">
        <v>147</v>
      </c>
      <c r="E2388" s="1" t="s">
        <v>1695</v>
      </c>
      <c r="F2388" s="1" t="s">
        <v>9622</v>
      </c>
      <c r="G2388" s="1" t="s">
        <v>12480</v>
      </c>
      <c r="H2388" s="1" t="s">
        <v>9623</v>
      </c>
      <c r="I2388" s="2">
        <v>100.17</v>
      </c>
      <c r="J2388" s="2">
        <v>0.59</v>
      </c>
      <c r="K2388" s="2">
        <v>2.1</v>
      </c>
      <c r="L2388" s="2">
        <v>3.27</v>
      </c>
      <c r="M2388" s="4">
        <f t="shared" si="222"/>
        <v>47.699999999999996</v>
      </c>
      <c r="N2388" s="4">
        <f t="shared" si="223"/>
        <v>30.63302752293578</v>
      </c>
      <c r="O2388" s="5">
        <f t="shared" si="224"/>
        <v>2.5593220338983054</v>
      </c>
      <c r="P2388" s="5">
        <f t="shared" si="225"/>
        <v>0.55714285714285716</v>
      </c>
      <c r="Q2388" s="4">
        <f t="shared" si="226"/>
        <v>0.18637748344370858</v>
      </c>
      <c r="R2388" s="4">
        <f t="shared" si="227"/>
        <v>0.5498235709244883</v>
      </c>
      <c r="S2388" s="4">
        <v>15.18</v>
      </c>
      <c r="T2388" s="2">
        <v>1.98</v>
      </c>
      <c r="U2388" s="2">
        <v>114.68</v>
      </c>
      <c r="V2388" s="2">
        <v>55.1</v>
      </c>
      <c r="W2388" s="2">
        <v>2.12</v>
      </c>
      <c r="X2388" s="2">
        <v>13.16</v>
      </c>
      <c r="Y2388" s="2">
        <v>-8.1199999999999992</v>
      </c>
      <c r="Z2388" s="2">
        <v>-7.67</v>
      </c>
    </row>
    <row r="2389" spans="1:26" x14ac:dyDescent="0.25">
      <c r="A2389" s="1" t="s">
        <v>9624</v>
      </c>
      <c r="B2389" s="1" t="s">
        <v>9625</v>
      </c>
      <c r="C2389" s="1" t="s">
        <v>16</v>
      </c>
      <c r="D2389" s="1" t="s">
        <v>140</v>
      </c>
      <c r="E2389" s="1" t="s">
        <v>9627</v>
      </c>
      <c r="F2389" s="1" t="s">
        <v>9626</v>
      </c>
      <c r="G2389" s="1" t="s">
        <v>12480</v>
      </c>
      <c r="H2389" s="1" t="s">
        <v>9628</v>
      </c>
      <c r="I2389" s="2">
        <v>57.57</v>
      </c>
      <c r="J2389" s="2">
        <v>1.1200000000000001</v>
      </c>
      <c r="K2389" s="2">
        <v>1.24</v>
      </c>
      <c r="L2389" s="2">
        <v>1.39</v>
      </c>
      <c r="M2389" s="4">
        <f t="shared" si="222"/>
        <v>46.427419354838712</v>
      </c>
      <c r="N2389" s="4">
        <f t="shared" si="223"/>
        <v>41.417266187050366</v>
      </c>
      <c r="O2389" s="5">
        <f t="shared" si="224"/>
        <v>0.10714285714285698</v>
      </c>
      <c r="P2389" s="5">
        <f t="shared" si="225"/>
        <v>0.12096774193548376</v>
      </c>
      <c r="Q2389" s="4">
        <f t="shared" si="226"/>
        <v>4.3332258064516198</v>
      </c>
      <c r="R2389" s="4">
        <f t="shared" si="227"/>
        <v>3.4238273381294997</v>
      </c>
      <c r="S2389" s="4">
        <v>10.99</v>
      </c>
      <c r="T2389" s="2">
        <v>0.8</v>
      </c>
      <c r="U2389" s="2">
        <v>65.599999999999994</v>
      </c>
      <c r="V2389" s="2">
        <v>50.56</v>
      </c>
      <c r="W2389" s="2">
        <v>-5.44</v>
      </c>
      <c r="X2389" s="2">
        <v>-10.48</v>
      </c>
      <c r="Y2389" s="2">
        <v>-4.08</v>
      </c>
      <c r="Z2389" s="2">
        <v>-4.08</v>
      </c>
    </row>
    <row r="2390" spans="1:26" x14ac:dyDescent="0.25">
      <c r="A2390" s="1" t="s">
        <v>9629</v>
      </c>
      <c r="B2390" s="1" t="s">
        <v>9630</v>
      </c>
      <c r="C2390" s="1" t="s">
        <v>45</v>
      </c>
      <c r="D2390" s="1" t="s">
        <v>32</v>
      </c>
      <c r="E2390" s="1" t="s">
        <v>248</v>
      </c>
      <c r="F2390" s="1" t="s">
        <v>9631</v>
      </c>
      <c r="G2390" s="1" t="s">
        <v>12480</v>
      </c>
      <c r="H2390" s="1" t="s">
        <v>9632</v>
      </c>
      <c r="I2390" s="2">
        <v>363.06</v>
      </c>
      <c r="J2390" s="2" t="s">
        <v>12779</v>
      </c>
      <c r="K2390" s="2">
        <v>20.91</v>
      </c>
      <c r="L2390" s="2">
        <v>22.78</v>
      </c>
      <c r="M2390" s="4">
        <f t="shared" si="222"/>
        <v>17.362984218077475</v>
      </c>
      <c r="N2390" s="4">
        <f t="shared" si="223"/>
        <v>15.937664618086039</v>
      </c>
      <c r="O2390" s="5">
        <f t="shared" si="224"/>
        <v>4.5500000000000096E-2</v>
      </c>
      <c r="P2390" s="5">
        <f t="shared" si="225"/>
        <v>8.9430894308943243E-2</v>
      </c>
      <c r="Q2390" s="4">
        <f t="shared" si="226"/>
        <v>3.8160404874895471</v>
      </c>
      <c r="R2390" s="4">
        <f t="shared" si="227"/>
        <v>1.7821206800223448</v>
      </c>
      <c r="S2390" s="4">
        <v>12.26</v>
      </c>
      <c r="T2390" s="2">
        <v>0.94</v>
      </c>
      <c r="U2390" s="2">
        <v>592.54999999999995</v>
      </c>
      <c r="V2390" s="2">
        <v>315.52999999999997</v>
      </c>
      <c r="W2390" s="2">
        <v>2.58</v>
      </c>
      <c r="X2390" s="2">
        <v>3.23</v>
      </c>
      <c r="Y2390" s="2">
        <v>-18.16</v>
      </c>
      <c r="Z2390" s="2">
        <v>-18.440000000000001</v>
      </c>
    </row>
    <row r="2391" spans="1:26" x14ac:dyDescent="0.25">
      <c r="A2391" s="1" t="s">
        <v>9633</v>
      </c>
      <c r="B2391" s="1" t="s">
        <v>9634</v>
      </c>
      <c r="C2391" s="1" t="s">
        <v>45</v>
      </c>
      <c r="D2391" s="1" t="s">
        <v>67</v>
      </c>
      <c r="E2391" s="1" t="s">
        <v>2094</v>
      </c>
      <c r="F2391" s="1" t="s">
        <v>9635</v>
      </c>
      <c r="G2391" s="1" t="s">
        <v>12493</v>
      </c>
      <c r="H2391" s="1" t="s">
        <v>9636</v>
      </c>
      <c r="I2391" s="2">
        <v>212.15</v>
      </c>
      <c r="J2391" s="2">
        <v>6.61</v>
      </c>
      <c r="K2391" s="2">
        <v>7.23</v>
      </c>
      <c r="L2391" s="2">
        <v>7.89</v>
      </c>
      <c r="M2391" s="4">
        <f t="shared" si="222"/>
        <v>29.343015214384508</v>
      </c>
      <c r="N2391" s="4">
        <f t="shared" si="223"/>
        <v>26.888466413181245</v>
      </c>
      <c r="O2391" s="5">
        <f t="shared" si="224"/>
        <v>9.3797276853252676E-2</v>
      </c>
      <c r="P2391" s="5">
        <f t="shared" si="225"/>
        <v>9.1286307053941806E-2</v>
      </c>
      <c r="Q2391" s="4">
        <f t="shared" si="226"/>
        <v>3.1283440414045409</v>
      </c>
      <c r="R2391" s="4">
        <f t="shared" si="227"/>
        <v>2.9455092752621308</v>
      </c>
      <c r="S2391" s="4">
        <v>7.67</v>
      </c>
      <c r="T2391" s="2">
        <v>0.97</v>
      </c>
      <c r="U2391" s="2">
        <v>214.83</v>
      </c>
      <c r="V2391" s="2">
        <v>123.3</v>
      </c>
      <c r="W2391" s="2">
        <v>4.87</v>
      </c>
      <c r="X2391" s="2">
        <v>9.07</v>
      </c>
      <c r="Y2391" s="2">
        <v>15.12</v>
      </c>
      <c r="Z2391" s="2">
        <v>17.77</v>
      </c>
    </row>
    <row r="2392" spans="1:26" x14ac:dyDescent="0.25">
      <c r="A2392" s="1" t="s">
        <v>9637</v>
      </c>
      <c r="B2392" s="1" t="s">
        <v>9638</v>
      </c>
      <c r="C2392" s="1" t="s">
        <v>31</v>
      </c>
      <c r="D2392" s="1" t="s">
        <v>46</v>
      </c>
      <c r="E2392" s="1" t="s">
        <v>1142</v>
      </c>
      <c r="F2392" s="1" t="s">
        <v>9639</v>
      </c>
      <c r="G2392" s="1" t="s">
        <v>12490</v>
      </c>
      <c r="H2392" s="1" t="s">
        <v>9640</v>
      </c>
      <c r="I2392" s="2">
        <v>8.4</v>
      </c>
      <c r="J2392" s="2">
        <v>-0.37</v>
      </c>
      <c r="K2392" s="2"/>
      <c r="L2392" s="2"/>
      <c r="M2392" s="4" t="e">
        <f t="shared" si="222"/>
        <v>#DIV/0!</v>
      </c>
      <c r="N2392" s="4" t="e">
        <f t="shared" si="223"/>
        <v>#DIV/0!</v>
      </c>
      <c r="O2392" s="5">
        <f t="shared" si="224"/>
        <v>-1</v>
      </c>
      <c r="P2392" s="5" t="e">
        <f t="shared" si="225"/>
        <v>#DIV/0!</v>
      </c>
      <c r="Q2392" s="4" t="e">
        <f t="shared" si="226"/>
        <v>#DIV/0!</v>
      </c>
      <c r="R2392" s="4" t="e">
        <f t="shared" si="227"/>
        <v>#DIV/0!</v>
      </c>
      <c r="S2392" s="4">
        <v>6.95</v>
      </c>
      <c r="T2392" s="2">
        <v>1.0900000000000001</v>
      </c>
      <c r="U2392" s="2" t="s">
        <v>12518</v>
      </c>
      <c r="V2392" s="2">
        <v>3.75</v>
      </c>
      <c r="W2392" s="2" t="s">
        <v>12489</v>
      </c>
      <c r="X2392" s="2" t="s">
        <v>12489</v>
      </c>
      <c r="Y2392" s="2" t="s">
        <v>12494</v>
      </c>
      <c r="Z2392" s="2">
        <v>4.22</v>
      </c>
    </row>
    <row r="2393" spans="1:26" x14ac:dyDescent="0.25">
      <c r="A2393" s="1" t="s">
        <v>9641</v>
      </c>
      <c r="B2393" s="1" t="s">
        <v>9642</v>
      </c>
      <c r="C2393" s="1" t="s">
        <v>16</v>
      </c>
      <c r="D2393" s="1" t="s">
        <v>88</v>
      </c>
      <c r="E2393" s="1" t="s">
        <v>1113</v>
      </c>
      <c r="F2393" s="1" t="s">
        <v>9643</v>
      </c>
      <c r="G2393" s="1" t="s">
        <v>12508</v>
      </c>
      <c r="H2393" s="1" t="s">
        <v>9644</v>
      </c>
      <c r="I2393" s="2">
        <v>102.64</v>
      </c>
      <c r="J2393" s="2">
        <v>5.3</v>
      </c>
      <c r="K2393" s="2">
        <v>5.26</v>
      </c>
      <c r="L2393" s="2">
        <v>6.05</v>
      </c>
      <c r="M2393" s="4">
        <f t="shared" si="222"/>
        <v>19.513307984790874</v>
      </c>
      <c r="N2393" s="4">
        <f t="shared" si="223"/>
        <v>16.965289256198346</v>
      </c>
      <c r="O2393" s="5">
        <f t="shared" si="224"/>
        <v>-7.547169811320753E-3</v>
      </c>
      <c r="P2393" s="5">
        <f t="shared" si="225"/>
        <v>0.15019011406844118</v>
      </c>
      <c r="Q2393" s="4">
        <f t="shared" si="226"/>
        <v>-25.855133079847914</v>
      </c>
      <c r="R2393" s="4">
        <f t="shared" si="227"/>
        <v>1.1295876137671295</v>
      </c>
      <c r="S2393" s="4">
        <v>0.51</v>
      </c>
      <c r="T2393" s="2">
        <v>1.0900000000000001</v>
      </c>
      <c r="U2393" s="2">
        <v>128.22999999999999</v>
      </c>
      <c r="V2393" s="2">
        <v>96.97</v>
      </c>
      <c r="W2393" s="2">
        <v>-7.21</v>
      </c>
      <c r="X2393" s="2">
        <v>-12.87</v>
      </c>
      <c r="Y2393" s="2">
        <v>-3.79</v>
      </c>
      <c r="Z2393" s="2">
        <v>-1.31</v>
      </c>
    </row>
    <row r="2394" spans="1:26" x14ac:dyDescent="0.25">
      <c r="A2394" s="1" t="s">
        <v>9646</v>
      </c>
      <c r="B2394" s="1" t="s">
        <v>9647</v>
      </c>
      <c r="C2394" s="1" t="s">
        <v>45</v>
      </c>
      <c r="D2394" s="1" t="s">
        <v>18</v>
      </c>
      <c r="E2394" s="1" t="s">
        <v>74</v>
      </c>
      <c r="F2394" s="1" t="s">
        <v>9648</v>
      </c>
      <c r="G2394" s="1" t="s">
        <v>12480</v>
      </c>
      <c r="H2394" s="1" t="s">
        <v>9649</v>
      </c>
      <c r="I2394" s="2">
        <v>45.84</v>
      </c>
      <c r="J2394" s="2">
        <v>4.83</v>
      </c>
      <c r="K2394" s="2">
        <v>4.99</v>
      </c>
      <c r="L2394" s="2">
        <v>5.32</v>
      </c>
      <c r="M2394" s="4">
        <f t="shared" si="222"/>
        <v>9.1863727454909814</v>
      </c>
      <c r="N2394" s="4">
        <f t="shared" si="223"/>
        <v>8.6165413533834592</v>
      </c>
      <c r="O2394" s="5">
        <f t="shared" si="224"/>
        <v>3.3126293995859202E-2</v>
      </c>
      <c r="P2394" s="5">
        <f t="shared" si="225"/>
        <v>6.6132264529058071E-2</v>
      </c>
      <c r="Q2394" s="4">
        <f t="shared" si="226"/>
        <v>2.773136272545091</v>
      </c>
      <c r="R2394" s="4">
        <f t="shared" si="227"/>
        <v>1.3029254955570755</v>
      </c>
      <c r="S2394" s="4">
        <v>5.04</v>
      </c>
      <c r="T2394" s="2">
        <v>0.4</v>
      </c>
      <c r="U2394" s="2">
        <v>47.48</v>
      </c>
      <c r="V2394" s="2">
        <v>30.85</v>
      </c>
      <c r="W2394" s="2">
        <v>-3.43</v>
      </c>
      <c r="X2394" s="2">
        <v>4.0599999999999996</v>
      </c>
      <c r="Y2394" s="2">
        <v>18.97</v>
      </c>
      <c r="Z2394" s="2">
        <v>18.63</v>
      </c>
    </row>
    <row r="2395" spans="1:26" x14ac:dyDescent="0.25">
      <c r="A2395" s="1" t="s">
        <v>9650</v>
      </c>
      <c r="B2395" s="1" t="s">
        <v>9651</v>
      </c>
      <c r="C2395" s="1" t="s">
        <v>16</v>
      </c>
      <c r="D2395" s="1" t="s">
        <v>94</v>
      </c>
      <c r="E2395" s="1" t="s">
        <v>894</v>
      </c>
      <c r="F2395" s="1" t="s">
        <v>9652</v>
      </c>
      <c r="G2395" s="1" t="s">
        <v>12480</v>
      </c>
      <c r="H2395" s="1" t="s">
        <v>9653</v>
      </c>
      <c r="I2395" s="2">
        <v>41.62</v>
      </c>
      <c r="J2395" s="2" t="s">
        <v>12490</v>
      </c>
      <c r="K2395" s="2">
        <v>3.23</v>
      </c>
      <c r="L2395" s="2">
        <v>3.88</v>
      </c>
      <c r="M2395" s="4">
        <f t="shared" si="222"/>
        <v>12.885448916408668</v>
      </c>
      <c r="N2395" s="4">
        <f t="shared" si="223"/>
        <v>10.726804123711339</v>
      </c>
      <c r="O2395" s="5">
        <f t="shared" si="224"/>
        <v>7.6666666666666661E-2</v>
      </c>
      <c r="P2395" s="5">
        <f t="shared" si="225"/>
        <v>0.20123839009287914</v>
      </c>
      <c r="Q2395" s="4">
        <f t="shared" si="226"/>
        <v>1.6807107282272178</v>
      </c>
      <c r="R2395" s="4">
        <f t="shared" si="227"/>
        <v>0.53303965107057916</v>
      </c>
      <c r="S2395" s="4">
        <v>28.9</v>
      </c>
      <c r="T2395" s="2">
        <v>0.56999999999999995</v>
      </c>
      <c r="U2395" s="2">
        <v>43.23</v>
      </c>
      <c r="V2395" s="2">
        <v>32.1</v>
      </c>
      <c r="W2395" s="2">
        <v>-0.62</v>
      </c>
      <c r="X2395" s="2">
        <v>15.52</v>
      </c>
      <c r="Y2395" s="2">
        <v>16.489999999999998</v>
      </c>
      <c r="Z2395" s="2">
        <v>18.04</v>
      </c>
    </row>
    <row r="2396" spans="1:26" x14ac:dyDescent="0.25">
      <c r="A2396" s="1" t="s">
        <v>9654</v>
      </c>
      <c r="B2396" s="1" t="s">
        <v>9655</v>
      </c>
      <c r="C2396" s="1" t="s">
        <v>45</v>
      </c>
      <c r="D2396" s="1" t="s">
        <v>147</v>
      </c>
      <c r="E2396" s="1" t="s">
        <v>2000</v>
      </c>
      <c r="F2396" s="1" t="s">
        <v>9656</v>
      </c>
      <c r="G2396" s="1" t="s">
        <v>12480</v>
      </c>
      <c r="H2396" s="1" t="s">
        <v>9657</v>
      </c>
      <c r="I2396" s="2">
        <v>58.09</v>
      </c>
      <c r="J2396" s="2">
        <v>3.12</v>
      </c>
      <c r="K2396" s="2">
        <v>2.14</v>
      </c>
      <c r="L2396" s="2">
        <v>2.4300000000000002</v>
      </c>
      <c r="M2396" s="4">
        <f t="shared" si="222"/>
        <v>27.144859813084111</v>
      </c>
      <c r="N2396" s="4">
        <f t="shared" si="223"/>
        <v>23.905349794238681</v>
      </c>
      <c r="O2396" s="5">
        <f t="shared" si="224"/>
        <v>-0.3141025641025641</v>
      </c>
      <c r="P2396" s="5">
        <f t="shared" si="225"/>
        <v>0.13551401869158886</v>
      </c>
      <c r="Q2396" s="4">
        <f t="shared" si="226"/>
        <v>-0.86420370017165749</v>
      </c>
      <c r="R2396" s="4">
        <f t="shared" si="227"/>
        <v>1.7640499503334741</v>
      </c>
      <c r="S2396" s="4">
        <v>3.74</v>
      </c>
      <c r="T2396" s="2">
        <v>1.46</v>
      </c>
      <c r="U2396" s="2">
        <v>66.790000000000006</v>
      </c>
      <c r="V2396" s="2">
        <v>37.6</v>
      </c>
      <c r="W2396" s="2">
        <v>-4.0599999999999996</v>
      </c>
      <c r="X2396" s="2">
        <v>-11.33</v>
      </c>
      <c r="Y2396" s="2">
        <v>-6.46</v>
      </c>
      <c r="Z2396" s="2">
        <v>-6.23</v>
      </c>
    </row>
    <row r="2397" spans="1:26" x14ac:dyDescent="0.25">
      <c r="A2397" s="1" t="s">
        <v>9658</v>
      </c>
      <c r="B2397" s="1" t="s">
        <v>9659</v>
      </c>
      <c r="C2397" s="1" t="s">
        <v>16</v>
      </c>
      <c r="D2397" s="1" t="s">
        <v>25</v>
      </c>
      <c r="E2397" s="1" t="s">
        <v>220</v>
      </c>
      <c r="F2397" s="1" t="s">
        <v>9660</v>
      </c>
      <c r="G2397" s="1" t="s">
        <v>12480</v>
      </c>
      <c r="H2397" s="1" t="s">
        <v>70</v>
      </c>
      <c r="I2397" s="2">
        <v>195.99</v>
      </c>
      <c r="J2397" s="2">
        <v>9.65</v>
      </c>
      <c r="K2397" s="2">
        <v>10.76</v>
      </c>
      <c r="L2397" s="2">
        <v>13.23</v>
      </c>
      <c r="M2397" s="4">
        <f t="shared" si="222"/>
        <v>18.214684014869889</v>
      </c>
      <c r="N2397" s="4">
        <f t="shared" si="223"/>
        <v>14.814058956916099</v>
      </c>
      <c r="O2397" s="5">
        <f t="shared" si="224"/>
        <v>0.1150259067357513</v>
      </c>
      <c r="P2397" s="5">
        <f t="shared" si="225"/>
        <v>0.22955390334572501</v>
      </c>
      <c r="Q2397" s="4">
        <f t="shared" si="226"/>
        <v>1.5835288355269765</v>
      </c>
      <c r="R2397" s="4">
        <f t="shared" si="227"/>
        <v>0.64534119180735694</v>
      </c>
      <c r="S2397" s="4">
        <v>-1.65</v>
      </c>
      <c r="T2397" s="2">
        <v>1.05</v>
      </c>
      <c r="U2397" s="2">
        <v>224.08</v>
      </c>
      <c r="V2397" s="2">
        <v>94.06</v>
      </c>
      <c r="W2397" s="2">
        <v>-11.74</v>
      </c>
      <c r="X2397" s="2">
        <v>-9.51</v>
      </c>
      <c r="Y2397" s="2">
        <v>32.39</v>
      </c>
      <c r="Z2397" s="2">
        <v>39.67</v>
      </c>
    </row>
    <row r="2398" spans="1:26" x14ac:dyDescent="0.25">
      <c r="A2398" s="1" t="s">
        <v>9661</v>
      </c>
      <c r="B2398" s="1" t="s">
        <v>9662</v>
      </c>
      <c r="C2398" s="1" t="s">
        <v>16</v>
      </c>
      <c r="D2398" s="1" t="s">
        <v>88</v>
      </c>
      <c r="E2398" s="1" t="s">
        <v>658</v>
      </c>
      <c r="F2398" s="1" t="s">
        <v>9663</v>
      </c>
      <c r="G2398" s="1" t="s">
        <v>12480</v>
      </c>
      <c r="H2398" s="1" t="s">
        <v>9664</v>
      </c>
      <c r="I2398" s="2">
        <v>302.58</v>
      </c>
      <c r="J2398" s="2">
        <v>14.26</v>
      </c>
      <c r="K2398" s="2">
        <v>17.690000000000001</v>
      </c>
      <c r="L2398" s="2">
        <v>18.78</v>
      </c>
      <c r="M2398" s="4">
        <f t="shared" si="222"/>
        <v>17.104578858111925</v>
      </c>
      <c r="N2398" s="4">
        <f t="shared" si="223"/>
        <v>16.11182108626198</v>
      </c>
      <c r="O2398" s="5">
        <f t="shared" si="224"/>
        <v>0.24053295932678842</v>
      </c>
      <c r="P2398" s="5">
        <f t="shared" si="225"/>
        <v>6.1616732617297831E-2</v>
      </c>
      <c r="Q2398" s="4">
        <f t="shared" si="226"/>
        <v>0.71111164582121233</v>
      </c>
      <c r="R2398" s="4">
        <f t="shared" si="227"/>
        <v>2.6148450918896771</v>
      </c>
      <c r="S2398" s="4" t="s">
        <v>12866</v>
      </c>
      <c r="T2398" s="2">
        <v>0.91</v>
      </c>
      <c r="U2398" s="2">
        <v>360.37</v>
      </c>
      <c r="V2398" s="2">
        <v>262.08</v>
      </c>
      <c r="W2398" s="2">
        <v>-6.28</v>
      </c>
      <c r="X2398" s="2">
        <v>-14.1</v>
      </c>
      <c r="Y2398" s="2">
        <v>3.67</v>
      </c>
      <c r="Z2398" s="2">
        <v>4.75</v>
      </c>
    </row>
    <row r="2399" spans="1:26" x14ac:dyDescent="0.25">
      <c r="A2399" s="1" t="s">
        <v>9665</v>
      </c>
      <c r="B2399" s="1" t="s">
        <v>9666</v>
      </c>
      <c r="C2399" s="1" t="s">
        <v>16</v>
      </c>
      <c r="D2399" s="1" t="s">
        <v>140</v>
      </c>
      <c r="E2399" s="1" t="s">
        <v>2558</v>
      </c>
      <c r="F2399" s="1" t="s">
        <v>9667</v>
      </c>
      <c r="G2399" s="1" t="s">
        <v>12480</v>
      </c>
      <c r="H2399" s="1" t="s">
        <v>9668</v>
      </c>
      <c r="I2399" s="2">
        <v>230.14</v>
      </c>
      <c r="J2399" s="2">
        <v>7.02</v>
      </c>
      <c r="K2399" s="2">
        <v>7.24</v>
      </c>
      <c r="L2399" s="2">
        <v>8.02</v>
      </c>
      <c r="M2399" s="4">
        <f t="shared" si="222"/>
        <v>31.787292817679557</v>
      </c>
      <c r="N2399" s="4">
        <f t="shared" si="223"/>
        <v>28.695760598503739</v>
      </c>
      <c r="O2399" s="5">
        <f t="shared" si="224"/>
        <v>3.1339031339031376E-2</v>
      </c>
      <c r="P2399" s="5">
        <f t="shared" si="225"/>
        <v>0.10773480662983426</v>
      </c>
      <c r="Q2399" s="4">
        <f t="shared" si="226"/>
        <v>10.143036162732283</v>
      </c>
      <c r="R2399" s="4">
        <f t="shared" si="227"/>
        <v>2.6635552145277828</v>
      </c>
      <c r="S2399" s="4">
        <v>3.49</v>
      </c>
      <c r="T2399" s="2">
        <v>0.54</v>
      </c>
      <c r="U2399" s="2">
        <v>258.07</v>
      </c>
      <c r="V2399" s="2">
        <v>204.12</v>
      </c>
      <c r="W2399" s="2">
        <v>-0.1</v>
      </c>
      <c r="X2399" s="2">
        <v>2.7</v>
      </c>
      <c r="Y2399" s="2">
        <v>6.88</v>
      </c>
      <c r="Z2399" s="2">
        <v>8.59</v>
      </c>
    </row>
    <row r="2400" spans="1:26" x14ac:dyDescent="0.25">
      <c r="A2400" s="1" t="s">
        <v>9669</v>
      </c>
      <c r="B2400" s="1" t="s">
        <v>9670</v>
      </c>
      <c r="C2400" s="1" t="s">
        <v>16</v>
      </c>
      <c r="D2400" s="1" t="s">
        <v>147</v>
      </c>
      <c r="E2400" s="1" t="s">
        <v>2000</v>
      </c>
      <c r="F2400" s="1" t="s">
        <v>9671</v>
      </c>
      <c r="G2400" s="1" t="s">
        <v>12480</v>
      </c>
      <c r="H2400" s="1" t="s">
        <v>819</v>
      </c>
      <c r="I2400" s="2">
        <v>20.73</v>
      </c>
      <c r="J2400" s="2">
        <v>0.37</v>
      </c>
      <c r="K2400" s="2">
        <v>0.53</v>
      </c>
      <c r="L2400" s="2">
        <v>0.65</v>
      </c>
      <c r="M2400" s="4">
        <f t="shared" si="222"/>
        <v>39.113207547169807</v>
      </c>
      <c r="N2400" s="4">
        <f t="shared" si="223"/>
        <v>31.892307692307693</v>
      </c>
      <c r="O2400" s="5">
        <f t="shared" si="224"/>
        <v>0.43243243243243246</v>
      </c>
      <c r="P2400" s="5">
        <f t="shared" si="225"/>
        <v>0.22641509433962259</v>
      </c>
      <c r="Q2400" s="4">
        <f t="shared" si="226"/>
        <v>0.90449292452830177</v>
      </c>
      <c r="R2400" s="4">
        <f t="shared" si="227"/>
        <v>1.4085769230769234</v>
      </c>
      <c r="S2400" s="4">
        <v>22.76</v>
      </c>
      <c r="T2400" s="2">
        <v>1.54</v>
      </c>
      <c r="U2400" s="2">
        <v>22.53</v>
      </c>
      <c r="V2400" s="2">
        <v>9.68</v>
      </c>
      <c r="W2400" s="2">
        <v>3.91</v>
      </c>
      <c r="X2400" s="2">
        <v>17.12</v>
      </c>
      <c r="Y2400" s="2">
        <v>9.39</v>
      </c>
      <c r="Z2400" s="2">
        <v>6.69</v>
      </c>
    </row>
    <row r="2401" spans="1:26" x14ac:dyDescent="0.25">
      <c r="A2401" s="1" t="s">
        <v>9672</v>
      </c>
      <c r="B2401" s="1" t="s">
        <v>9673</v>
      </c>
      <c r="C2401" s="1" t="s">
        <v>16</v>
      </c>
      <c r="D2401" s="1" t="s">
        <v>38</v>
      </c>
      <c r="E2401" s="1" t="s">
        <v>259</v>
      </c>
      <c r="F2401" s="1" t="s">
        <v>9674</v>
      </c>
      <c r="G2401" s="1" t="s">
        <v>12480</v>
      </c>
      <c r="H2401" s="1" t="s">
        <v>9675</v>
      </c>
      <c r="I2401" s="2">
        <v>198.71</v>
      </c>
      <c r="J2401" s="2"/>
      <c r="K2401" s="2"/>
      <c r="L2401" s="2"/>
      <c r="M2401" s="4" t="e">
        <f t="shared" si="222"/>
        <v>#DIV/0!</v>
      </c>
      <c r="N2401" s="4" t="e">
        <f t="shared" si="223"/>
        <v>#DIV/0!</v>
      </c>
      <c r="O2401" s="5" t="e">
        <f t="shared" si="224"/>
        <v>#DIV/0!</v>
      </c>
      <c r="P2401" s="5" t="e">
        <f t="shared" si="225"/>
        <v>#DIV/0!</v>
      </c>
      <c r="Q2401" s="4" t="e">
        <f t="shared" si="226"/>
        <v>#DIV/0!</v>
      </c>
      <c r="R2401" s="4" t="e">
        <f t="shared" si="227"/>
        <v>#DIV/0!</v>
      </c>
      <c r="S2401" s="4"/>
      <c r="T2401" s="2">
        <v>0.95</v>
      </c>
      <c r="U2401" s="2">
        <v>204.97</v>
      </c>
      <c r="V2401" s="2">
        <v>152.93</v>
      </c>
      <c r="W2401" s="2">
        <v>-2.87</v>
      </c>
      <c r="X2401" s="2">
        <v>-1.81</v>
      </c>
      <c r="Y2401" s="2">
        <v>2.61</v>
      </c>
      <c r="Z2401" s="2">
        <v>3.73</v>
      </c>
    </row>
    <row r="2402" spans="1:26" x14ac:dyDescent="0.25">
      <c r="A2402" s="1" t="s">
        <v>9676</v>
      </c>
      <c r="B2402" s="1" t="s">
        <v>9677</v>
      </c>
      <c r="C2402" s="1" t="s">
        <v>16</v>
      </c>
      <c r="D2402" s="1" t="s">
        <v>140</v>
      </c>
      <c r="E2402" s="1" t="s">
        <v>141</v>
      </c>
      <c r="F2402" s="1" t="s">
        <v>9678</v>
      </c>
      <c r="G2402" s="1" t="s">
        <v>12480</v>
      </c>
      <c r="H2402" s="1" t="s">
        <v>9679</v>
      </c>
      <c r="I2402" s="2">
        <v>31.59</v>
      </c>
      <c r="J2402" s="2">
        <v>1.29</v>
      </c>
      <c r="K2402" s="2">
        <v>1.36</v>
      </c>
      <c r="L2402" s="2">
        <v>1.59</v>
      </c>
      <c r="M2402" s="4">
        <f t="shared" si="222"/>
        <v>23.227941176470587</v>
      </c>
      <c r="N2402" s="4">
        <f t="shared" si="223"/>
        <v>19.867924528301884</v>
      </c>
      <c r="O2402" s="5">
        <f t="shared" si="224"/>
        <v>5.4263565891472965E-2</v>
      </c>
      <c r="P2402" s="5">
        <f t="shared" si="225"/>
        <v>0.16911764705882359</v>
      </c>
      <c r="Q2402" s="4">
        <f t="shared" si="226"/>
        <v>4.2805777310924293</v>
      </c>
      <c r="R2402" s="4">
        <f t="shared" si="227"/>
        <v>1.1747990155865458</v>
      </c>
      <c r="S2402" s="4">
        <v>-0.56000000000000005</v>
      </c>
      <c r="T2402" s="2">
        <v>1.05</v>
      </c>
      <c r="U2402" s="2">
        <v>33.450000000000003</v>
      </c>
      <c r="V2402" s="2">
        <v>19.89</v>
      </c>
      <c r="W2402" s="2">
        <v>2.5299999999999998</v>
      </c>
      <c r="X2402" s="2">
        <v>-2.35</v>
      </c>
      <c r="Y2402" s="2">
        <v>9.99</v>
      </c>
      <c r="Z2402" s="2">
        <v>7.23</v>
      </c>
    </row>
    <row r="2403" spans="1:26" x14ac:dyDescent="0.25">
      <c r="A2403" s="1" t="s">
        <v>9680</v>
      </c>
      <c r="B2403" s="1" t="s">
        <v>9681</v>
      </c>
      <c r="C2403" s="1" t="s">
        <v>16</v>
      </c>
      <c r="D2403" s="1" t="s">
        <v>204</v>
      </c>
      <c r="E2403" s="1" t="s">
        <v>205</v>
      </c>
      <c r="F2403" s="1" t="s">
        <v>9682</v>
      </c>
      <c r="G2403" s="1" t="s">
        <v>12480</v>
      </c>
      <c r="H2403" s="1" t="s">
        <v>9683</v>
      </c>
      <c r="I2403" s="2">
        <v>208.23</v>
      </c>
      <c r="J2403" s="2">
        <v>6.29</v>
      </c>
      <c r="K2403" s="2">
        <v>6.81</v>
      </c>
      <c r="L2403" s="2">
        <v>7.5</v>
      </c>
      <c r="M2403" s="4">
        <f t="shared" si="222"/>
        <v>30.577092511013216</v>
      </c>
      <c r="N2403" s="4">
        <f t="shared" si="223"/>
        <v>27.763999999999999</v>
      </c>
      <c r="O2403" s="5">
        <f t="shared" si="224"/>
        <v>8.2670906200317917E-2</v>
      </c>
      <c r="P2403" s="5">
        <f t="shared" si="225"/>
        <v>0.10132158590308382</v>
      </c>
      <c r="Q2403" s="4">
        <f t="shared" si="226"/>
        <v>3.6986521518129472</v>
      </c>
      <c r="R2403" s="4">
        <f t="shared" si="227"/>
        <v>2.7401860869565184</v>
      </c>
      <c r="S2403" s="4">
        <v>9.74</v>
      </c>
      <c r="T2403" s="2">
        <v>0.42</v>
      </c>
      <c r="U2403" s="2">
        <v>212.16</v>
      </c>
      <c r="V2403" s="2">
        <v>113.75</v>
      </c>
      <c r="W2403" s="2">
        <v>-1.85</v>
      </c>
      <c r="X2403" s="2">
        <v>6.14</v>
      </c>
      <c r="Y2403" s="2">
        <v>14.34</v>
      </c>
      <c r="Z2403" s="2">
        <v>13.54</v>
      </c>
    </row>
    <row r="2404" spans="1:26" x14ac:dyDescent="0.25">
      <c r="A2404" s="1" t="s">
        <v>9684</v>
      </c>
      <c r="B2404" s="1" t="s">
        <v>9685</v>
      </c>
      <c r="C2404" s="1" t="s">
        <v>45</v>
      </c>
      <c r="D2404" s="1" t="s">
        <v>32</v>
      </c>
      <c r="E2404" s="1" t="s">
        <v>311</v>
      </c>
      <c r="F2404" s="1" t="s">
        <v>9686</v>
      </c>
      <c r="G2404" s="1" t="s">
        <v>12480</v>
      </c>
      <c r="H2404" s="1" t="s">
        <v>9687</v>
      </c>
      <c r="I2404" s="2">
        <v>5.31</v>
      </c>
      <c r="J2404" s="2">
        <v>-0.32</v>
      </c>
      <c r="K2404" s="2">
        <v>-0.32</v>
      </c>
      <c r="L2404" s="2">
        <v>-0.09</v>
      </c>
      <c r="M2404" s="4">
        <f t="shared" si="222"/>
        <v>-16.59375</v>
      </c>
      <c r="N2404" s="4">
        <f t="shared" si="223"/>
        <v>-59</v>
      </c>
      <c r="O2404" s="5">
        <f t="shared" si="224"/>
        <v>0</v>
      </c>
      <c r="P2404" s="5">
        <f t="shared" si="225"/>
        <v>-0.71875</v>
      </c>
      <c r="Q2404" s="4" t="e">
        <f t="shared" si="226"/>
        <v>#DIV/0!</v>
      </c>
      <c r="R2404" s="4">
        <f t="shared" si="227"/>
        <v>0.82086956521739129</v>
      </c>
      <c r="S2404" s="4">
        <v>5.38</v>
      </c>
      <c r="T2404" s="2">
        <v>0.7</v>
      </c>
      <c r="U2404" s="2">
        <v>10.56</v>
      </c>
      <c r="V2404" s="2">
        <v>4.91</v>
      </c>
      <c r="W2404" s="2">
        <v>-3.45</v>
      </c>
      <c r="X2404" s="2">
        <v>-15.04</v>
      </c>
      <c r="Y2404" s="2">
        <v>-16.97</v>
      </c>
      <c r="Z2404" s="2">
        <v>-15.98</v>
      </c>
    </row>
    <row r="2405" spans="1:26" x14ac:dyDescent="0.25">
      <c r="A2405" s="1" t="s">
        <v>9688</v>
      </c>
      <c r="B2405" s="1" t="s">
        <v>9689</v>
      </c>
      <c r="C2405" s="1" t="s">
        <v>45</v>
      </c>
      <c r="D2405" s="1" t="s">
        <v>94</v>
      </c>
      <c r="E2405" s="1" t="s">
        <v>1055</v>
      </c>
      <c r="F2405" s="1" t="s">
        <v>9690</v>
      </c>
      <c r="G2405" s="1" t="s">
        <v>12480</v>
      </c>
      <c r="H2405" s="1" t="s">
        <v>9691</v>
      </c>
      <c r="I2405" s="2">
        <v>11.33</v>
      </c>
      <c r="J2405" s="2">
        <v>1.71</v>
      </c>
      <c r="K2405" s="2">
        <v>0.2</v>
      </c>
      <c r="L2405" s="2">
        <v>0.46</v>
      </c>
      <c r="M2405" s="4">
        <f t="shared" si="222"/>
        <v>56.65</v>
      </c>
      <c r="N2405" s="4">
        <f t="shared" si="223"/>
        <v>24.630434782608695</v>
      </c>
      <c r="O2405" s="5">
        <f t="shared" si="224"/>
        <v>-0.88304093567251463</v>
      </c>
      <c r="P2405" s="5">
        <f t="shared" si="225"/>
        <v>1.2999999999999998</v>
      </c>
      <c r="Q2405" s="4">
        <f t="shared" si="226"/>
        <v>-0.64153311258278145</v>
      </c>
      <c r="R2405" s="4">
        <f t="shared" si="227"/>
        <v>0.18946488294314384</v>
      </c>
      <c r="S2405" s="4">
        <v>45.11</v>
      </c>
      <c r="T2405" s="2">
        <v>2.4300000000000002</v>
      </c>
      <c r="U2405" s="2">
        <v>21.41</v>
      </c>
      <c r="V2405" s="2">
        <v>5.66</v>
      </c>
      <c r="W2405" s="2">
        <v>-9.5</v>
      </c>
      <c r="X2405" s="2">
        <v>-44.49</v>
      </c>
      <c r="Y2405" s="2">
        <v>-34.700000000000003</v>
      </c>
      <c r="Z2405" s="2">
        <v>-38.42</v>
      </c>
    </row>
    <row r="2406" spans="1:26" x14ac:dyDescent="0.25">
      <c r="A2406" s="1" t="s">
        <v>9692</v>
      </c>
      <c r="B2406" s="1" t="s">
        <v>9693</v>
      </c>
      <c r="C2406" s="1" t="s">
        <v>45</v>
      </c>
      <c r="D2406" s="1" t="s">
        <v>67</v>
      </c>
      <c r="E2406" s="1" t="s">
        <v>134</v>
      </c>
      <c r="F2406" s="1" t="s">
        <v>9694</v>
      </c>
      <c r="G2406" s="1" t="s">
        <v>12480</v>
      </c>
      <c r="H2406" s="1" t="s">
        <v>9695</v>
      </c>
      <c r="I2406" s="2">
        <v>65.099999999999994</v>
      </c>
      <c r="J2406" s="2">
        <v>3.27</v>
      </c>
      <c r="K2406" s="2">
        <v>4.25</v>
      </c>
      <c r="L2406" s="2">
        <v>4.96</v>
      </c>
      <c r="M2406" s="4">
        <f t="shared" si="222"/>
        <v>15.317647058823528</v>
      </c>
      <c r="N2406" s="4">
        <f t="shared" si="223"/>
        <v>13.124999999999998</v>
      </c>
      <c r="O2406" s="5">
        <f t="shared" si="224"/>
        <v>0.29969418960244654</v>
      </c>
      <c r="P2406" s="5">
        <f t="shared" si="225"/>
        <v>0.1670588235294117</v>
      </c>
      <c r="Q2406" s="4">
        <f t="shared" si="226"/>
        <v>0.5111092436974789</v>
      </c>
      <c r="R2406" s="4">
        <f t="shared" si="227"/>
        <v>0.78565140845070436</v>
      </c>
      <c r="S2406" s="4">
        <v>-4.75</v>
      </c>
      <c r="T2406" s="2">
        <v>0.91</v>
      </c>
      <c r="U2406" s="2">
        <v>75.260000000000005</v>
      </c>
      <c r="V2406" s="2">
        <v>46.68</v>
      </c>
      <c r="W2406" s="2">
        <v>-10.029999999999999</v>
      </c>
      <c r="X2406" s="2">
        <v>-8.36</v>
      </c>
      <c r="Y2406" s="2">
        <v>14.55</v>
      </c>
      <c r="Z2406" s="2">
        <v>20.69</v>
      </c>
    </row>
    <row r="2407" spans="1:26" x14ac:dyDescent="0.25">
      <c r="A2407" s="1" t="s">
        <v>9692</v>
      </c>
      <c r="B2407" s="1" t="s">
        <v>9696</v>
      </c>
      <c r="C2407" s="1" t="s">
        <v>45</v>
      </c>
      <c r="D2407" s="1" t="s">
        <v>67</v>
      </c>
      <c r="E2407" s="1" t="s">
        <v>134</v>
      </c>
      <c r="F2407" s="1" t="s">
        <v>9697</v>
      </c>
      <c r="G2407" s="1" t="s">
        <v>12480</v>
      </c>
      <c r="H2407" s="1" t="s">
        <v>9695</v>
      </c>
      <c r="I2407" s="2">
        <v>58.73</v>
      </c>
      <c r="J2407" s="2">
        <v>3.27</v>
      </c>
      <c r="K2407" s="2"/>
      <c r="L2407" s="2"/>
      <c r="M2407" s="4" t="e">
        <f t="shared" si="222"/>
        <v>#DIV/0!</v>
      </c>
      <c r="N2407" s="4" t="e">
        <f t="shared" si="223"/>
        <v>#DIV/0!</v>
      </c>
      <c r="O2407" s="5">
        <f t="shared" si="224"/>
        <v>-1</v>
      </c>
      <c r="P2407" s="5" t="e">
        <f t="shared" si="225"/>
        <v>#DIV/0!</v>
      </c>
      <c r="Q2407" s="4" t="e">
        <f t="shared" si="226"/>
        <v>#DIV/0!</v>
      </c>
      <c r="R2407" s="4" t="e">
        <f t="shared" si="227"/>
        <v>#DIV/0!</v>
      </c>
      <c r="S2407" s="4">
        <v>-4.75</v>
      </c>
      <c r="T2407" s="2">
        <v>0.74</v>
      </c>
      <c r="U2407" s="2">
        <v>66.81</v>
      </c>
      <c r="V2407" s="2">
        <v>47.94</v>
      </c>
      <c r="W2407" s="2">
        <v>-10.34</v>
      </c>
      <c r="X2407" s="2">
        <v>-8.2200000000000006</v>
      </c>
      <c r="Y2407" s="2">
        <v>-0.81</v>
      </c>
      <c r="Z2407" s="2">
        <v>4.3899999999999997</v>
      </c>
    </row>
    <row r="2408" spans="1:26" x14ac:dyDescent="0.25">
      <c r="A2408" s="1" t="s">
        <v>9698</v>
      </c>
      <c r="B2408" s="1" t="s">
        <v>9699</v>
      </c>
      <c r="C2408" s="1" t="s">
        <v>16</v>
      </c>
      <c r="D2408" s="1" t="s">
        <v>147</v>
      </c>
      <c r="E2408" s="1" t="s">
        <v>1931</v>
      </c>
      <c r="F2408" s="1" t="s">
        <v>9700</v>
      </c>
      <c r="G2408" s="1" t="s">
        <v>12480</v>
      </c>
      <c r="H2408" s="1" t="s">
        <v>6145</v>
      </c>
      <c r="I2408" s="2">
        <v>23.96</v>
      </c>
      <c r="J2408" s="2">
        <v>0.86</v>
      </c>
      <c r="K2408" s="2">
        <v>0.87</v>
      </c>
      <c r="L2408" s="2">
        <v>1.05</v>
      </c>
      <c r="M2408" s="4">
        <f t="shared" si="222"/>
        <v>27.540229885057471</v>
      </c>
      <c r="N2408" s="4">
        <f t="shared" si="223"/>
        <v>22.81904761904762</v>
      </c>
      <c r="O2408" s="5">
        <f t="shared" si="224"/>
        <v>1.1627906976744207E-2</v>
      </c>
      <c r="P2408" s="5">
        <f t="shared" si="225"/>
        <v>0.2068965517241379</v>
      </c>
      <c r="Q2408" s="4">
        <f t="shared" si="226"/>
        <v>23.684597701149382</v>
      </c>
      <c r="R2408" s="4">
        <f t="shared" si="227"/>
        <v>1.1029206349206351</v>
      </c>
      <c r="S2408" s="4">
        <v>8.48</v>
      </c>
      <c r="T2408" s="2">
        <v>1.77</v>
      </c>
      <c r="U2408" s="2">
        <v>31.45</v>
      </c>
      <c r="V2408" s="2">
        <v>17.07</v>
      </c>
      <c r="W2408" s="2">
        <v>-0.54</v>
      </c>
      <c r="X2408" s="2">
        <v>-11.39</v>
      </c>
      <c r="Y2408" s="2">
        <v>-13.97</v>
      </c>
      <c r="Z2408" s="2">
        <v>-20.64</v>
      </c>
    </row>
    <row r="2409" spans="1:26" x14ac:dyDescent="0.25">
      <c r="A2409" s="1" t="s">
        <v>9701</v>
      </c>
      <c r="B2409" s="1" t="s">
        <v>9702</v>
      </c>
      <c r="C2409" s="1" t="s">
        <v>45</v>
      </c>
      <c r="D2409" s="1" t="s">
        <v>18</v>
      </c>
      <c r="E2409" s="1" t="s">
        <v>74</v>
      </c>
      <c r="F2409" s="1" t="s">
        <v>9703</v>
      </c>
      <c r="G2409" s="1" t="s">
        <v>12480</v>
      </c>
      <c r="H2409" s="1" t="s">
        <v>9704</v>
      </c>
      <c r="I2409" s="2">
        <v>99.79</v>
      </c>
      <c r="J2409" s="2">
        <v>-5.95</v>
      </c>
      <c r="K2409" s="2">
        <v>-7.46</v>
      </c>
      <c r="L2409" s="2">
        <v>-6.36</v>
      </c>
      <c r="M2409" s="4">
        <f t="shared" si="222"/>
        <v>-13.376675603217159</v>
      </c>
      <c r="N2409" s="4">
        <f t="shared" si="223"/>
        <v>-15.690251572327044</v>
      </c>
      <c r="O2409" s="5">
        <f t="shared" si="224"/>
        <v>0.253781512605042</v>
      </c>
      <c r="P2409" s="5">
        <f t="shared" si="225"/>
        <v>-0.14745308310991956</v>
      </c>
      <c r="Q2409" s="4">
        <f t="shared" si="226"/>
        <v>-0.52709417112014634</v>
      </c>
      <c r="R2409" s="4">
        <f t="shared" si="227"/>
        <v>1.0640843339050887</v>
      </c>
      <c r="S2409" s="4"/>
      <c r="T2409" s="2">
        <v>0.99</v>
      </c>
      <c r="U2409" s="2">
        <v>123.27</v>
      </c>
      <c r="V2409" s="2">
        <v>31.13</v>
      </c>
      <c r="W2409" s="2">
        <v>-1.8</v>
      </c>
      <c r="X2409" s="2">
        <v>3.15</v>
      </c>
      <c r="Y2409" s="2">
        <v>26.32</v>
      </c>
      <c r="Z2409" s="2">
        <v>25.29</v>
      </c>
    </row>
    <row r="2410" spans="1:26" x14ac:dyDescent="0.25">
      <c r="A2410" s="1" t="s">
        <v>9705</v>
      </c>
      <c r="B2410" s="1" t="s">
        <v>9706</v>
      </c>
      <c r="C2410" s="1" t="s">
        <v>16</v>
      </c>
      <c r="D2410" s="1" t="s">
        <v>38</v>
      </c>
      <c r="E2410" s="1" t="s">
        <v>259</v>
      </c>
      <c r="F2410" s="1" t="s">
        <v>9707</v>
      </c>
      <c r="G2410" s="1" t="s">
        <v>12480</v>
      </c>
      <c r="H2410" s="1" t="s">
        <v>4772</v>
      </c>
      <c r="I2410" s="2">
        <v>17.079999999999998</v>
      </c>
      <c r="J2410" s="2"/>
      <c r="K2410" s="2"/>
      <c r="L2410" s="2"/>
      <c r="M2410" s="4" t="e">
        <f t="shared" si="222"/>
        <v>#DIV/0!</v>
      </c>
      <c r="N2410" s="4" t="e">
        <f t="shared" si="223"/>
        <v>#DIV/0!</v>
      </c>
      <c r="O2410" s="5" t="e">
        <f t="shared" si="224"/>
        <v>#DIV/0!</v>
      </c>
      <c r="P2410" s="5" t="e">
        <f t="shared" si="225"/>
        <v>#DIV/0!</v>
      </c>
      <c r="Q2410" s="4" t="e">
        <f t="shared" si="226"/>
        <v>#DIV/0!</v>
      </c>
      <c r="R2410" s="4" t="e">
        <f t="shared" si="227"/>
        <v>#DIV/0!</v>
      </c>
      <c r="S2410" s="4"/>
      <c r="T2410" s="2">
        <v>1.2</v>
      </c>
      <c r="U2410" s="2">
        <v>18.649999999999999</v>
      </c>
      <c r="V2410" s="2">
        <v>12.5</v>
      </c>
      <c r="W2410" s="2">
        <v>-8.1199999999999992</v>
      </c>
      <c r="X2410" s="2">
        <v>-5.74</v>
      </c>
      <c r="Y2410" s="2">
        <v>6.42</v>
      </c>
      <c r="Z2410" s="2">
        <v>6.09</v>
      </c>
    </row>
    <row r="2411" spans="1:26" x14ac:dyDescent="0.25">
      <c r="A2411" s="1" t="s">
        <v>9708</v>
      </c>
      <c r="B2411" s="1" t="s">
        <v>9709</v>
      </c>
      <c r="C2411" s="1" t="s">
        <v>16</v>
      </c>
      <c r="D2411" s="1" t="s">
        <v>18</v>
      </c>
      <c r="E2411" s="1" t="s">
        <v>624</v>
      </c>
      <c r="F2411" s="1" t="s">
        <v>9710</v>
      </c>
      <c r="G2411" s="1" t="s">
        <v>12480</v>
      </c>
      <c r="H2411" s="1" t="s">
        <v>3442</v>
      </c>
      <c r="I2411" s="2">
        <v>92.11</v>
      </c>
      <c r="J2411" s="2">
        <v>5.0599999999999996</v>
      </c>
      <c r="K2411" s="2">
        <v>5.39</v>
      </c>
      <c r="L2411" s="2">
        <v>6.01</v>
      </c>
      <c r="M2411" s="4">
        <f t="shared" si="222"/>
        <v>17.089053803339517</v>
      </c>
      <c r="N2411" s="4">
        <f t="shared" si="223"/>
        <v>15.3261231281198</v>
      </c>
      <c r="O2411" s="5">
        <f t="shared" si="224"/>
        <v>6.5217391304347894E-2</v>
      </c>
      <c r="P2411" s="5">
        <f t="shared" si="225"/>
        <v>0.11502782931354361</v>
      </c>
      <c r="Q2411" s="4">
        <f t="shared" si="226"/>
        <v>2.6203215831787232</v>
      </c>
      <c r="R2411" s="4">
        <f t="shared" si="227"/>
        <v>1.3323839300091245</v>
      </c>
      <c r="S2411" s="4" t="s">
        <v>12867</v>
      </c>
      <c r="T2411" s="2">
        <v>1.1000000000000001</v>
      </c>
      <c r="U2411" s="2">
        <v>118.23</v>
      </c>
      <c r="V2411" s="2">
        <v>82.5</v>
      </c>
      <c r="W2411" s="2">
        <v>-3.64</v>
      </c>
      <c r="X2411" s="2">
        <v>-10.42</v>
      </c>
      <c r="Y2411" s="2">
        <v>-7.03</v>
      </c>
      <c r="Z2411" s="2">
        <v>-4.8</v>
      </c>
    </row>
    <row r="2412" spans="1:26" x14ac:dyDescent="0.25">
      <c r="A2412" s="1" t="s">
        <v>9711</v>
      </c>
      <c r="B2412" s="1" t="s">
        <v>9712</v>
      </c>
      <c r="C2412" s="1" t="s">
        <v>31</v>
      </c>
      <c r="D2412" s="1" t="s">
        <v>354</v>
      </c>
      <c r="E2412" s="1" t="s">
        <v>355</v>
      </c>
      <c r="F2412" s="1" t="s">
        <v>9713</v>
      </c>
      <c r="G2412" s="1" t="s">
        <v>12480</v>
      </c>
      <c r="H2412" s="1" t="s">
        <v>9714</v>
      </c>
      <c r="I2412" s="2">
        <v>62.2</v>
      </c>
      <c r="J2412" s="2">
        <v>3.38</v>
      </c>
      <c r="K2412" s="2">
        <v>3.14</v>
      </c>
      <c r="L2412" s="2"/>
      <c r="M2412" s="4">
        <f t="shared" si="222"/>
        <v>19.808917197452228</v>
      </c>
      <c r="N2412" s="4" t="e">
        <f t="shared" si="223"/>
        <v>#DIV/0!</v>
      </c>
      <c r="O2412" s="5">
        <f t="shared" si="224"/>
        <v>-7.1005917159763232E-2</v>
      </c>
      <c r="P2412" s="5">
        <f t="shared" si="225"/>
        <v>-1</v>
      </c>
      <c r="Q2412" s="4">
        <f t="shared" si="226"/>
        <v>-2.789755838641192</v>
      </c>
      <c r="R2412" s="4" t="e">
        <f t="shared" si="227"/>
        <v>#DIV/0!</v>
      </c>
      <c r="S2412" s="4">
        <v>-15.2</v>
      </c>
      <c r="T2412" s="2">
        <v>0.68</v>
      </c>
      <c r="U2412" s="2">
        <v>64.75</v>
      </c>
      <c r="V2412" s="2">
        <v>33.200000000000003</v>
      </c>
      <c r="W2412" s="2">
        <v>-3.16</v>
      </c>
      <c r="X2412" s="2">
        <v>-2.72</v>
      </c>
      <c r="Y2412" s="2">
        <v>20.82</v>
      </c>
      <c r="Z2412" s="2">
        <v>16.68</v>
      </c>
    </row>
    <row r="2413" spans="1:26" x14ac:dyDescent="0.25">
      <c r="B2413" s="1" t="s">
        <v>9715</v>
      </c>
      <c r="C2413" s="1" t="s">
        <v>16</v>
      </c>
      <c r="D2413" s="1" t="s">
        <v>46</v>
      </c>
      <c r="E2413" s="1" t="s">
        <v>1142</v>
      </c>
      <c r="F2413" s="1" t="s">
        <v>9716</v>
      </c>
      <c r="G2413" s="1" t="s">
        <v>12480</v>
      </c>
      <c r="H2413" s="1" t="s">
        <v>9717</v>
      </c>
      <c r="I2413" s="2">
        <v>13.83</v>
      </c>
      <c r="J2413" s="2">
        <v>-0.04</v>
      </c>
      <c r="K2413" s="2">
        <v>0.04</v>
      </c>
      <c r="L2413" s="2">
        <v>0.46</v>
      </c>
      <c r="M2413" s="4">
        <f t="shared" si="222"/>
        <v>345.75</v>
      </c>
      <c r="N2413" s="4">
        <f t="shared" si="223"/>
        <v>30.065217391304348</v>
      </c>
      <c r="O2413" s="5">
        <f t="shared" si="224"/>
        <v>-2</v>
      </c>
      <c r="P2413" s="5">
        <f t="shared" si="225"/>
        <v>10.5</v>
      </c>
      <c r="Q2413" s="4">
        <f t="shared" si="226"/>
        <v>-1.72875</v>
      </c>
      <c r="R2413" s="4">
        <f t="shared" si="227"/>
        <v>2.8633540372670806E-2</v>
      </c>
      <c r="S2413" s="4">
        <v>26.2</v>
      </c>
      <c r="T2413" s="2">
        <v>1.67</v>
      </c>
      <c r="U2413" s="2">
        <v>20.43</v>
      </c>
      <c r="V2413" s="2">
        <v>10.48</v>
      </c>
      <c r="W2413" s="2" t="s">
        <v>12635</v>
      </c>
      <c r="X2413" s="2">
        <v>-13.83</v>
      </c>
      <c r="Y2413" s="2">
        <v>-7.8</v>
      </c>
      <c r="Z2413" s="2">
        <v>9.41</v>
      </c>
    </row>
    <row r="2414" spans="1:26" x14ac:dyDescent="0.25">
      <c r="A2414" s="1" t="s">
        <v>9718</v>
      </c>
      <c r="B2414" s="1" t="s">
        <v>9719</v>
      </c>
      <c r="C2414" s="1" t="s">
        <v>45</v>
      </c>
      <c r="D2414" s="1" t="s">
        <v>18</v>
      </c>
      <c r="E2414" s="1" t="s">
        <v>74</v>
      </c>
      <c r="F2414" s="1" t="s">
        <v>9720</v>
      </c>
      <c r="G2414" s="1" t="s">
        <v>12480</v>
      </c>
      <c r="H2414" s="1" t="s">
        <v>9721</v>
      </c>
      <c r="I2414" s="2">
        <v>3.51</v>
      </c>
      <c r="J2414" s="2">
        <v>-1.44</v>
      </c>
      <c r="K2414" s="2">
        <v>-0.93</v>
      </c>
      <c r="L2414" s="2">
        <v>-0.79</v>
      </c>
      <c r="M2414" s="4">
        <f t="shared" si="222"/>
        <v>-3.7741935483870965</v>
      </c>
      <c r="N2414" s="4">
        <f t="shared" si="223"/>
        <v>-4.443037974683544</v>
      </c>
      <c r="O2414" s="5">
        <f t="shared" si="224"/>
        <v>-0.35416666666666663</v>
      </c>
      <c r="P2414" s="5">
        <f t="shared" si="225"/>
        <v>-0.15053763440860213</v>
      </c>
      <c r="Q2414" s="4">
        <f t="shared" si="226"/>
        <v>0.10656546489563568</v>
      </c>
      <c r="R2414" s="4">
        <f t="shared" si="227"/>
        <v>0.29514466546112117</v>
      </c>
      <c r="S2414" s="4">
        <v>26.92</v>
      </c>
      <c r="T2414" s="2">
        <v>0.97</v>
      </c>
      <c r="U2414" s="2">
        <v>6.84</v>
      </c>
      <c r="V2414" s="2">
        <v>3.41</v>
      </c>
      <c r="W2414" s="2">
        <v>-3.31</v>
      </c>
      <c r="X2414" s="2">
        <v>-11.81</v>
      </c>
      <c r="Y2414" s="2">
        <v>-16.43</v>
      </c>
      <c r="Z2414" s="2">
        <v>-14.18</v>
      </c>
    </row>
    <row r="2415" spans="1:26" x14ac:dyDescent="0.25">
      <c r="A2415" s="1" t="s">
        <v>9722</v>
      </c>
      <c r="B2415" s="1" t="s">
        <v>9723</v>
      </c>
      <c r="C2415" s="1" t="s">
        <v>16</v>
      </c>
      <c r="D2415" s="1" t="s">
        <v>38</v>
      </c>
      <c r="E2415" s="1" t="s">
        <v>189</v>
      </c>
      <c r="F2415" s="1" t="s">
        <v>9724</v>
      </c>
      <c r="G2415" s="1" t="s">
        <v>12479</v>
      </c>
      <c r="H2415" s="1" t="s">
        <v>9725</v>
      </c>
      <c r="I2415" s="2">
        <v>163.44</v>
      </c>
      <c r="J2415" s="2">
        <v>10.3</v>
      </c>
      <c r="K2415" s="2">
        <v>11.54</v>
      </c>
      <c r="L2415" s="2">
        <v>12.63</v>
      </c>
      <c r="M2415" s="4">
        <f t="shared" si="222"/>
        <v>14.162911611785097</v>
      </c>
      <c r="N2415" s="4">
        <f t="shared" si="223"/>
        <v>12.940617577197148</v>
      </c>
      <c r="O2415" s="5">
        <f t="shared" si="224"/>
        <v>0.12038834951456301</v>
      </c>
      <c r="P2415" s="5">
        <f t="shared" si="225"/>
        <v>9.4454072790294719E-2</v>
      </c>
      <c r="Q2415" s="4">
        <f t="shared" si="226"/>
        <v>1.1764354000111823</v>
      </c>
      <c r="R2415" s="4">
        <f t="shared" si="227"/>
        <v>1.3700433655124309</v>
      </c>
      <c r="S2415" s="4">
        <v>-0.6</v>
      </c>
      <c r="T2415" s="2">
        <v>0.79</v>
      </c>
      <c r="U2415" s="2">
        <v>175.46</v>
      </c>
      <c r="V2415" s="2">
        <v>108.36</v>
      </c>
      <c r="W2415" s="2">
        <v>-3.07</v>
      </c>
      <c r="X2415" s="2">
        <v>-6.16</v>
      </c>
      <c r="Y2415" s="2">
        <v>-2.1800000000000002</v>
      </c>
      <c r="Z2415" s="2">
        <v>-4.1399999999999997</v>
      </c>
    </row>
    <row r="2416" spans="1:26" x14ac:dyDescent="0.25">
      <c r="A2416" s="1" t="s">
        <v>9726</v>
      </c>
      <c r="B2416" s="1" t="s">
        <v>9727</v>
      </c>
      <c r="C2416" s="1" t="s">
        <v>45</v>
      </c>
      <c r="D2416" s="1" t="s">
        <v>46</v>
      </c>
      <c r="E2416" s="1" t="s">
        <v>47</v>
      </c>
      <c r="F2416" s="1" t="s">
        <v>9728</v>
      </c>
      <c r="G2416" s="1" t="s">
        <v>12490</v>
      </c>
      <c r="H2416" s="1" t="s">
        <v>9729</v>
      </c>
      <c r="I2416" s="2">
        <v>63.05</v>
      </c>
      <c r="J2416" s="2">
        <v>3.12</v>
      </c>
      <c r="K2416" s="2">
        <v>4.88</v>
      </c>
      <c r="L2416" s="2">
        <v>5.65</v>
      </c>
      <c r="M2416" s="4">
        <f t="shared" si="222"/>
        <v>12.920081967213115</v>
      </c>
      <c r="N2416" s="4">
        <f t="shared" si="223"/>
        <v>11.159292035398229</v>
      </c>
      <c r="O2416" s="5">
        <f t="shared" si="224"/>
        <v>0.5641025641025641</v>
      </c>
      <c r="P2416" s="5">
        <f t="shared" si="225"/>
        <v>0.15778688524590168</v>
      </c>
      <c r="Q2416" s="4">
        <f t="shared" si="226"/>
        <v>0.22903781669150522</v>
      </c>
      <c r="R2416" s="4">
        <f t="shared" si="227"/>
        <v>0.7072382484771863</v>
      </c>
      <c r="S2416" s="4">
        <v>2.66</v>
      </c>
      <c r="T2416" s="2">
        <v>1.22</v>
      </c>
      <c r="U2416" s="2">
        <v>73.819999999999993</v>
      </c>
      <c r="V2416" s="2">
        <v>39.21</v>
      </c>
      <c r="W2416" s="2">
        <v>-3.45</v>
      </c>
      <c r="X2416" s="2">
        <v>-9.31</v>
      </c>
      <c r="Y2416" s="2">
        <v>-11.46</v>
      </c>
      <c r="Z2416" s="2">
        <v>-12.66</v>
      </c>
    </row>
    <row r="2417" spans="1:26" x14ac:dyDescent="0.25">
      <c r="A2417" s="1" t="s">
        <v>9730</v>
      </c>
      <c r="B2417" s="1" t="s">
        <v>9731</v>
      </c>
      <c r="C2417" s="1" t="s">
        <v>16</v>
      </c>
      <c r="D2417" s="1" t="s">
        <v>38</v>
      </c>
      <c r="E2417" s="1" t="s">
        <v>551</v>
      </c>
      <c r="F2417" s="1" t="s">
        <v>9732</v>
      </c>
      <c r="G2417" s="1" t="s">
        <v>12480</v>
      </c>
      <c r="H2417" s="1" t="s">
        <v>9733</v>
      </c>
      <c r="I2417" s="2">
        <v>37.840000000000003</v>
      </c>
      <c r="J2417" s="2">
        <v>1.96</v>
      </c>
      <c r="K2417" s="2">
        <v>2.2999999999999998</v>
      </c>
      <c r="L2417" s="2">
        <v>2.7</v>
      </c>
      <c r="M2417" s="4">
        <f t="shared" si="222"/>
        <v>16.452173913043481</v>
      </c>
      <c r="N2417" s="4">
        <f t="shared" si="223"/>
        <v>14.014814814814816</v>
      </c>
      <c r="O2417" s="5">
        <f t="shared" si="224"/>
        <v>0.1734693877551019</v>
      </c>
      <c r="P2417" s="5">
        <f t="shared" si="225"/>
        <v>0.17391304347826098</v>
      </c>
      <c r="Q2417" s="4">
        <f t="shared" si="226"/>
        <v>0.94841943734015444</v>
      </c>
      <c r="R2417" s="4">
        <f t="shared" si="227"/>
        <v>0.80585185185185149</v>
      </c>
      <c r="S2417" s="4">
        <v>21.28</v>
      </c>
      <c r="T2417" s="2">
        <v>0.65</v>
      </c>
      <c r="U2417" s="2">
        <v>75.930000000000007</v>
      </c>
      <c r="V2417" s="2">
        <v>37.840000000000003</v>
      </c>
      <c r="W2417" s="2">
        <v>-5.89</v>
      </c>
      <c r="X2417" s="2">
        <v>-13.57</v>
      </c>
      <c r="Y2417" s="2">
        <v>-30.17</v>
      </c>
      <c r="Z2417" s="2">
        <v>-26.71</v>
      </c>
    </row>
    <row r="2418" spans="1:26" x14ac:dyDescent="0.25">
      <c r="A2418" s="1" t="s">
        <v>9734</v>
      </c>
      <c r="B2418" s="1" t="s">
        <v>9735</v>
      </c>
      <c r="C2418" s="1" t="s">
        <v>31</v>
      </c>
      <c r="D2418" s="1" t="s">
        <v>204</v>
      </c>
      <c r="E2418" s="1" t="s">
        <v>534</v>
      </c>
      <c r="F2418" s="1" t="s">
        <v>9736</v>
      </c>
      <c r="G2418" s="1" t="s">
        <v>12480</v>
      </c>
      <c r="H2418" s="1" t="s">
        <v>9737</v>
      </c>
      <c r="I2418" s="2">
        <v>16.850000000000001</v>
      </c>
      <c r="J2418" s="2">
        <v>0.39</v>
      </c>
      <c r="K2418" s="2">
        <v>0.49</v>
      </c>
      <c r="L2418" s="2">
        <v>0.55000000000000004</v>
      </c>
      <c r="M2418" s="4">
        <f t="shared" si="222"/>
        <v>34.387755102040821</v>
      </c>
      <c r="N2418" s="4">
        <f t="shared" si="223"/>
        <v>30.636363636363637</v>
      </c>
      <c r="O2418" s="5">
        <f t="shared" si="224"/>
        <v>0.25641025641025639</v>
      </c>
      <c r="P2418" s="5">
        <f t="shared" si="225"/>
        <v>0.12244897959183687</v>
      </c>
      <c r="Q2418" s="4">
        <f t="shared" si="226"/>
        <v>1.3411224489795921</v>
      </c>
      <c r="R2418" s="4">
        <f t="shared" si="227"/>
        <v>2.5019696969696943</v>
      </c>
      <c r="S2418" s="4">
        <v>15.71</v>
      </c>
      <c r="T2418" s="2">
        <v>1.0900000000000001</v>
      </c>
      <c r="U2418" s="2">
        <v>18.62</v>
      </c>
      <c r="V2418" s="2">
        <v>8.2799999999999994</v>
      </c>
      <c r="W2418" s="2">
        <v>-8.27</v>
      </c>
      <c r="X2418" s="2">
        <v>-5.12</v>
      </c>
      <c r="Y2418" s="2">
        <v>13.7</v>
      </c>
      <c r="Z2418" s="2">
        <v>7.19</v>
      </c>
    </row>
    <row r="2419" spans="1:26" x14ac:dyDescent="0.25">
      <c r="A2419" s="1" t="s">
        <v>9738</v>
      </c>
      <c r="B2419" s="1" t="s">
        <v>9739</v>
      </c>
      <c r="C2419" s="1" t="s">
        <v>31</v>
      </c>
      <c r="D2419" s="1" t="s">
        <v>128</v>
      </c>
      <c r="E2419" s="1" t="s">
        <v>210</v>
      </c>
      <c r="F2419" s="1" t="s">
        <v>9740</v>
      </c>
      <c r="G2419" s="1" t="s">
        <v>12497</v>
      </c>
      <c r="H2419" s="1" t="s">
        <v>9741</v>
      </c>
      <c r="I2419" s="2">
        <v>11.31</v>
      </c>
      <c r="J2419" s="2">
        <v>0.36</v>
      </c>
      <c r="K2419" s="2">
        <v>0.34</v>
      </c>
      <c r="L2419" s="2">
        <v>0.38</v>
      </c>
      <c r="M2419" s="4">
        <f t="shared" si="222"/>
        <v>33.264705882352942</v>
      </c>
      <c r="N2419" s="4">
        <f t="shared" si="223"/>
        <v>29.763157894736842</v>
      </c>
      <c r="O2419" s="5">
        <f t="shared" si="224"/>
        <v>-5.5555555555555469E-2</v>
      </c>
      <c r="P2419" s="5">
        <f t="shared" si="225"/>
        <v>0.11764705882352944</v>
      </c>
      <c r="Q2419" s="4">
        <f t="shared" si="226"/>
        <v>-5.9876470588235398</v>
      </c>
      <c r="R2419" s="4">
        <f t="shared" si="227"/>
        <v>2.529868421052631</v>
      </c>
      <c r="S2419" s="4">
        <v>20.85</v>
      </c>
      <c r="T2419" s="2"/>
      <c r="U2419" s="2">
        <v>12.81</v>
      </c>
      <c r="V2419" s="2">
        <v>8.81</v>
      </c>
      <c r="W2419" s="2">
        <v>-7.37</v>
      </c>
      <c r="X2419" s="2">
        <v>8.23</v>
      </c>
      <c r="Y2419" s="2">
        <v>17.079999999999998</v>
      </c>
      <c r="Z2419" s="2">
        <v>27.57</v>
      </c>
    </row>
    <row r="2420" spans="1:26" x14ac:dyDescent="0.25">
      <c r="A2420" s="1" t="s">
        <v>9742</v>
      </c>
      <c r="B2420" s="1" t="s">
        <v>9743</v>
      </c>
      <c r="C2420" s="1" t="s">
        <v>16</v>
      </c>
      <c r="D2420" s="1" t="s">
        <v>61</v>
      </c>
      <c r="E2420" s="1" t="s">
        <v>1534</v>
      </c>
      <c r="F2420" s="1" t="s">
        <v>9744</v>
      </c>
      <c r="G2420" s="1" t="s">
        <v>12480</v>
      </c>
      <c r="H2420" s="1" t="s">
        <v>9745</v>
      </c>
      <c r="I2420" s="2">
        <v>21.1</v>
      </c>
      <c r="J2420" s="2">
        <v>0.56999999999999995</v>
      </c>
      <c r="K2420" s="2">
        <v>0.43</v>
      </c>
      <c r="L2420" s="2">
        <v>0.74</v>
      </c>
      <c r="M2420" s="4">
        <f t="shared" si="222"/>
        <v>49.069767441860471</v>
      </c>
      <c r="N2420" s="4">
        <f t="shared" si="223"/>
        <v>28.513513513513516</v>
      </c>
      <c r="O2420" s="5">
        <f t="shared" si="224"/>
        <v>-0.24561403508771928</v>
      </c>
      <c r="P2420" s="5">
        <f t="shared" si="225"/>
        <v>0.72093023255813948</v>
      </c>
      <c r="Q2420" s="4">
        <f t="shared" si="226"/>
        <v>-1.9978405315614622</v>
      </c>
      <c r="R2420" s="4">
        <f t="shared" si="227"/>
        <v>0.39551002615518749</v>
      </c>
      <c r="S2420" s="4">
        <v>-61.64</v>
      </c>
      <c r="T2420" s="2">
        <v>0.98</v>
      </c>
      <c r="U2420" s="2">
        <v>28.24</v>
      </c>
      <c r="V2420" s="2">
        <v>21.1</v>
      </c>
      <c r="W2420" s="2">
        <v>-2.5</v>
      </c>
      <c r="X2420" s="2">
        <v>-5.8</v>
      </c>
      <c r="Y2420" s="2">
        <v>-4.22</v>
      </c>
      <c r="Z2420" s="2">
        <v>-2.54</v>
      </c>
    </row>
    <row r="2421" spans="1:26" x14ac:dyDescent="0.25">
      <c r="A2421" s="1" t="s">
        <v>9746</v>
      </c>
      <c r="B2421" s="1" t="s">
        <v>9747</v>
      </c>
      <c r="C2421" s="1" t="s">
        <v>45</v>
      </c>
      <c r="D2421" s="1" t="s">
        <v>18</v>
      </c>
      <c r="E2421" s="1" t="s">
        <v>74</v>
      </c>
      <c r="F2421" s="1" t="s">
        <v>9748</v>
      </c>
      <c r="G2421" s="1" t="s">
        <v>12480</v>
      </c>
      <c r="H2421" s="1" t="s">
        <v>9749</v>
      </c>
      <c r="I2421" s="2" t="s">
        <v>12615</v>
      </c>
      <c r="J2421" s="2">
        <v>-3.11</v>
      </c>
      <c r="K2421" s="2">
        <v>-2.81</v>
      </c>
      <c r="L2421" s="2">
        <v>0.15</v>
      </c>
      <c r="M2421" s="4">
        <f t="shared" si="222"/>
        <v>-33.096085409252666</v>
      </c>
      <c r="N2421" s="4">
        <f t="shared" si="223"/>
        <v>620</v>
      </c>
      <c r="O2421" s="5">
        <f t="shared" si="224"/>
        <v>-9.646302250803851E-2</v>
      </c>
      <c r="P2421" s="5">
        <f t="shared" si="225"/>
        <v>-1.0533807829181494</v>
      </c>
      <c r="Q2421" s="4">
        <f t="shared" si="226"/>
        <v>3.4309608540925289</v>
      </c>
      <c r="R2421" s="4">
        <f t="shared" si="227"/>
        <v>-5.8858108108108116</v>
      </c>
      <c r="S2421" s="4">
        <v>45.83</v>
      </c>
      <c r="T2421" s="2">
        <v>2.06</v>
      </c>
      <c r="U2421" s="2">
        <v>117.62</v>
      </c>
      <c r="V2421" s="2">
        <v>46.95</v>
      </c>
      <c r="W2421" s="2">
        <v>-2.04</v>
      </c>
      <c r="X2421" s="2">
        <v>-10.55</v>
      </c>
      <c r="Y2421" s="2">
        <v>-17.350000000000001</v>
      </c>
      <c r="Z2421" s="2">
        <v>-13.12</v>
      </c>
    </row>
    <row r="2422" spans="1:26" x14ac:dyDescent="0.25">
      <c r="A2422" s="1" t="s">
        <v>9750</v>
      </c>
      <c r="B2422" s="1" t="s">
        <v>9751</v>
      </c>
      <c r="C2422" s="1" t="s">
        <v>16</v>
      </c>
      <c r="D2422" s="1" t="s">
        <v>25</v>
      </c>
      <c r="E2422" s="1" t="s">
        <v>26</v>
      </c>
      <c r="F2422" s="1" t="s">
        <v>9752</v>
      </c>
      <c r="G2422" s="1" t="s">
        <v>12480</v>
      </c>
      <c r="H2422" s="1" t="s">
        <v>9753</v>
      </c>
      <c r="I2422" s="2">
        <v>23.75</v>
      </c>
      <c r="J2422" s="2">
        <v>-1.56</v>
      </c>
      <c r="K2422" s="2">
        <v>1.25</v>
      </c>
      <c r="L2422" s="2"/>
      <c r="M2422" s="4">
        <f t="shared" si="222"/>
        <v>19</v>
      </c>
      <c r="N2422" s="4" t="e">
        <f t="shared" si="223"/>
        <v>#DIV/0!</v>
      </c>
      <c r="O2422" s="5">
        <f t="shared" si="224"/>
        <v>-1.8012820512820511</v>
      </c>
      <c r="P2422" s="5">
        <f t="shared" si="225"/>
        <v>-1</v>
      </c>
      <c r="Q2422" s="4">
        <f t="shared" si="226"/>
        <v>-0.10548042704626336</v>
      </c>
      <c r="R2422" s="4" t="e">
        <f t="shared" si="227"/>
        <v>#DIV/0!</v>
      </c>
      <c r="S2422" s="4">
        <v>-0.6</v>
      </c>
      <c r="T2422" s="2">
        <v>1.59</v>
      </c>
      <c r="U2422" s="2">
        <v>30.54</v>
      </c>
      <c r="V2422" s="2">
        <v>19.190000000000001</v>
      </c>
      <c r="W2422" s="2">
        <v>-13.76</v>
      </c>
      <c r="X2422" s="2">
        <v>-18.239999999999998</v>
      </c>
      <c r="Y2422" s="2">
        <v>-0.13</v>
      </c>
      <c r="Z2422" s="2">
        <v>-5.6</v>
      </c>
    </row>
    <row r="2423" spans="1:26" x14ac:dyDescent="0.25">
      <c r="A2423" s="1" t="s">
        <v>9754</v>
      </c>
      <c r="B2423" s="1" t="s">
        <v>9755</v>
      </c>
      <c r="C2423" s="1" t="s">
        <v>16</v>
      </c>
      <c r="D2423" s="1" t="s">
        <v>32</v>
      </c>
      <c r="E2423" s="1" t="s">
        <v>2571</v>
      </c>
      <c r="F2423" s="1" t="s">
        <v>9756</v>
      </c>
      <c r="G2423" s="1" t="s">
        <v>12493</v>
      </c>
      <c r="H2423" s="1" t="s">
        <v>9757</v>
      </c>
      <c r="I2423" s="2">
        <v>14.35</v>
      </c>
      <c r="J2423" s="2">
        <v>0.05</v>
      </c>
      <c r="K2423" s="2">
        <v>0.28999999999999998</v>
      </c>
      <c r="L2423" s="2">
        <v>0.37</v>
      </c>
      <c r="M2423" s="4">
        <f t="shared" si="222"/>
        <v>49.482758620689658</v>
      </c>
      <c r="N2423" s="4">
        <f t="shared" si="223"/>
        <v>38.783783783783782</v>
      </c>
      <c r="O2423" s="5">
        <f t="shared" si="224"/>
        <v>4.7999999999999989</v>
      </c>
      <c r="P2423" s="5">
        <f t="shared" si="225"/>
        <v>0.27586206896551735</v>
      </c>
      <c r="Q2423" s="4">
        <f t="shared" si="226"/>
        <v>0.10308908045977015</v>
      </c>
      <c r="R2423" s="4">
        <f t="shared" si="227"/>
        <v>1.4059121621621615</v>
      </c>
      <c r="S2423" s="4">
        <v>32.25</v>
      </c>
      <c r="T2423" s="2">
        <v>0.77</v>
      </c>
      <c r="U2423" s="2">
        <v>20.34</v>
      </c>
      <c r="V2423" s="2">
        <v>12.37</v>
      </c>
      <c r="W2423" s="2">
        <v>9.2899999999999991</v>
      </c>
      <c r="X2423" s="2">
        <v>9.2100000000000009</v>
      </c>
      <c r="Y2423" s="2">
        <v>-3.3</v>
      </c>
      <c r="Z2423" s="2">
        <v>-4.33</v>
      </c>
    </row>
    <row r="2424" spans="1:26" x14ac:dyDescent="0.25">
      <c r="A2424" s="1" t="s">
        <v>9758</v>
      </c>
      <c r="B2424" s="1" t="s">
        <v>9759</v>
      </c>
      <c r="C2424" s="1" t="s">
        <v>16</v>
      </c>
      <c r="D2424" s="1" t="s">
        <v>88</v>
      </c>
      <c r="E2424" s="1" t="s">
        <v>89</v>
      </c>
      <c r="F2424" s="1" t="s">
        <v>9760</v>
      </c>
      <c r="G2424" s="1" t="s">
        <v>12480</v>
      </c>
      <c r="H2424" s="1" t="s">
        <v>9761</v>
      </c>
      <c r="I2424" s="2" t="s">
        <v>12548</v>
      </c>
      <c r="J2424" s="2">
        <v>-0.26</v>
      </c>
      <c r="K2424" s="2">
        <v>-0.11</v>
      </c>
      <c r="L2424" s="2"/>
      <c r="M2424" s="4">
        <f t="shared" si="222"/>
        <v>-309.09090909090907</v>
      </c>
      <c r="N2424" s="4" t="e">
        <f t="shared" si="223"/>
        <v>#DIV/0!</v>
      </c>
      <c r="O2424" s="5">
        <f t="shared" si="224"/>
        <v>-0.57692307692307687</v>
      </c>
      <c r="P2424" s="5">
        <f t="shared" si="225"/>
        <v>-1</v>
      </c>
      <c r="Q2424" s="4">
        <f t="shared" si="226"/>
        <v>5.3575757575757574</v>
      </c>
      <c r="R2424" s="4" t="e">
        <f t="shared" si="227"/>
        <v>#DIV/0!</v>
      </c>
      <c r="S2424" s="4"/>
      <c r="T2424" s="2">
        <v>0.76</v>
      </c>
      <c r="U2424" s="2">
        <v>39.35</v>
      </c>
      <c r="V2424" s="2">
        <v>9.75</v>
      </c>
      <c r="W2424" s="2">
        <v>-13.49</v>
      </c>
      <c r="X2424" s="2">
        <v>4.49</v>
      </c>
      <c r="Y2424" s="2">
        <v>19.13</v>
      </c>
      <c r="Z2424" s="2">
        <v>14.9</v>
      </c>
    </row>
    <row r="2425" spans="1:26" x14ac:dyDescent="0.25">
      <c r="A2425" s="1" t="s">
        <v>9762</v>
      </c>
      <c r="B2425" s="1" t="s">
        <v>9763</v>
      </c>
      <c r="C2425" s="1" t="s">
        <v>31</v>
      </c>
      <c r="D2425" s="1" t="s">
        <v>204</v>
      </c>
      <c r="E2425" s="1" t="s">
        <v>534</v>
      </c>
      <c r="F2425" s="1" t="s">
        <v>9764</v>
      </c>
      <c r="G2425" s="1" t="s">
        <v>12480</v>
      </c>
      <c r="H2425" s="1" t="s">
        <v>9765</v>
      </c>
      <c r="I2425" s="2">
        <v>36.630000000000003</v>
      </c>
      <c r="J2425" s="2">
        <v>0.62</v>
      </c>
      <c r="K2425" s="2"/>
      <c r="L2425" s="2"/>
      <c r="M2425" s="4" t="e">
        <f t="shared" si="222"/>
        <v>#DIV/0!</v>
      </c>
      <c r="N2425" s="4" t="e">
        <f t="shared" si="223"/>
        <v>#DIV/0!</v>
      </c>
      <c r="O2425" s="5">
        <f t="shared" si="224"/>
        <v>-1</v>
      </c>
      <c r="P2425" s="5" t="e">
        <f t="shared" si="225"/>
        <v>#DIV/0!</v>
      </c>
      <c r="Q2425" s="4" t="e">
        <f t="shared" si="226"/>
        <v>#DIV/0!</v>
      </c>
      <c r="R2425" s="4" t="e">
        <f t="shared" si="227"/>
        <v>#DIV/0!</v>
      </c>
      <c r="S2425" s="4">
        <v>39.54</v>
      </c>
      <c r="T2425" s="2">
        <v>-0.15</v>
      </c>
      <c r="U2425" s="2">
        <v>40.6</v>
      </c>
      <c r="V2425" s="2" t="s">
        <v>12518</v>
      </c>
      <c r="W2425" s="2">
        <v>3.3</v>
      </c>
      <c r="X2425" s="2">
        <v>-1.88</v>
      </c>
      <c r="Y2425" s="2">
        <v>35.42</v>
      </c>
      <c r="Z2425" s="2">
        <v>26.44</v>
      </c>
    </row>
    <row r="2426" spans="1:26" x14ac:dyDescent="0.25">
      <c r="A2426" s="1" t="s">
        <v>9766</v>
      </c>
      <c r="B2426" s="1" t="s">
        <v>9767</v>
      </c>
      <c r="C2426" s="1" t="s">
        <v>16</v>
      </c>
      <c r="D2426" s="1" t="s">
        <v>38</v>
      </c>
      <c r="E2426" s="1" t="s">
        <v>765</v>
      </c>
      <c r="F2426" s="1" t="s">
        <v>9768</v>
      </c>
      <c r="G2426" s="1" t="s">
        <v>12480</v>
      </c>
      <c r="H2426" s="1" t="s">
        <v>9769</v>
      </c>
      <c r="I2426" s="2">
        <v>15.21</v>
      </c>
      <c r="J2426" s="2">
        <v>1.65</v>
      </c>
      <c r="K2426" s="2">
        <v>1.77</v>
      </c>
      <c r="L2426" s="2">
        <v>1.88</v>
      </c>
      <c r="M2426" s="4">
        <f t="shared" si="222"/>
        <v>8.5932203389830519</v>
      </c>
      <c r="N2426" s="4">
        <f t="shared" si="223"/>
        <v>8.0904255319148941</v>
      </c>
      <c r="O2426" s="5">
        <f t="shared" si="224"/>
        <v>7.2727272727272751E-2</v>
      </c>
      <c r="P2426" s="5">
        <f t="shared" si="225"/>
        <v>6.2146892655367214E-2</v>
      </c>
      <c r="Q2426" s="4">
        <f t="shared" si="226"/>
        <v>1.1815677966101692</v>
      </c>
      <c r="R2426" s="4">
        <f t="shared" si="227"/>
        <v>1.3018230174081242</v>
      </c>
      <c r="S2426" s="4">
        <v>5.43</v>
      </c>
      <c r="T2426" s="2">
        <v>1.8</v>
      </c>
      <c r="U2426" s="2">
        <v>19.190000000000001</v>
      </c>
      <c r="V2426" s="2">
        <v>12.76</v>
      </c>
      <c r="W2426" s="2">
        <v>-6.23</v>
      </c>
      <c r="X2426" s="2">
        <v>0.73</v>
      </c>
      <c r="Y2426" s="2">
        <v>10.14</v>
      </c>
      <c r="Z2426" s="2">
        <v>11.1</v>
      </c>
    </row>
    <row r="2427" spans="1:26" x14ac:dyDescent="0.25">
      <c r="A2427" s="1" t="s">
        <v>9770</v>
      </c>
      <c r="B2427" s="1" t="s">
        <v>9771</v>
      </c>
      <c r="C2427" s="1" t="s">
        <v>31</v>
      </c>
      <c r="D2427" s="1" t="s">
        <v>204</v>
      </c>
      <c r="E2427" s="1" t="s">
        <v>205</v>
      </c>
      <c r="F2427" s="1" t="s">
        <v>9772</v>
      </c>
      <c r="G2427" s="1" t="s">
        <v>12480</v>
      </c>
      <c r="H2427" s="1" t="s">
        <v>9773</v>
      </c>
      <c r="I2427" s="2">
        <v>91.92</v>
      </c>
      <c r="J2427" s="2">
        <v>2.15</v>
      </c>
      <c r="K2427" s="2">
        <v>2.85</v>
      </c>
      <c r="L2427" s="2">
        <v>3.67</v>
      </c>
      <c r="M2427" s="4">
        <f t="shared" si="222"/>
        <v>32.252631578947366</v>
      </c>
      <c r="N2427" s="4">
        <f t="shared" si="223"/>
        <v>25.04632152588556</v>
      </c>
      <c r="O2427" s="5">
        <f t="shared" si="224"/>
        <v>0.32558139534883734</v>
      </c>
      <c r="P2427" s="5">
        <f t="shared" si="225"/>
        <v>0.28771929824561404</v>
      </c>
      <c r="Q2427" s="4">
        <f t="shared" si="226"/>
        <v>0.99061654135338295</v>
      </c>
      <c r="R2427" s="4">
        <f t="shared" si="227"/>
        <v>0.87051239449724205</v>
      </c>
      <c r="S2427" s="4">
        <v>17.52</v>
      </c>
      <c r="T2427" s="2">
        <v>1.05</v>
      </c>
      <c r="U2427" s="2">
        <v>102.49</v>
      </c>
      <c r="V2427" s="2">
        <v>55.01</v>
      </c>
      <c r="W2427" s="2">
        <v>-6.08</v>
      </c>
      <c r="X2427" s="2">
        <v>-1.87</v>
      </c>
      <c r="Y2427" s="2">
        <v>7.01</v>
      </c>
      <c r="Z2427" s="2">
        <v>5.59</v>
      </c>
    </row>
    <row r="2428" spans="1:26" x14ac:dyDescent="0.25">
      <c r="A2428" s="1" t="s">
        <v>9774</v>
      </c>
      <c r="B2428" s="1" t="s">
        <v>9775</v>
      </c>
      <c r="C2428" s="1" t="s">
        <v>45</v>
      </c>
      <c r="D2428" s="1" t="s">
        <v>38</v>
      </c>
      <c r="E2428" s="1" t="s">
        <v>194</v>
      </c>
      <c r="F2428" s="1" t="s">
        <v>9776</v>
      </c>
      <c r="G2428" s="1" t="s">
        <v>12480</v>
      </c>
      <c r="H2428" s="1" t="s">
        <v>2090</v>
      </c>
      <c r="I2428" s="2">
        <v>72.650000000000006</v>
      </c>
      <c r="J2428" s="2">
        <v>5.71</v>
      </c>
      <c r="K2428" s="2"/>
      <c r="L2428" s="2"/>
      <c r="M2428" s="4" t="e">
        <f t="shared" si="222"/>
        <v>#DIV/0!</v>
      </c>
      <c r="N2428" s="4" t="e">
        <f t="shared" si="223"/>
        <v>#DIV/0!</v>
      </c>
      <c r="O2428" s="5">
        <f t="shared" si="224"/>
        <v>-1</v>
      </c>
      <c r="P2428" s="5" t="e">
        <f t="shared" si="225"/>
        <v>#DIV/0!</v>
      </c>
      <c r="Q2428" s="4" t="e">
        <f t="shared" si="226"/>
        <v>#DIV/0!</v>
      </c>
      <c r="R2428" s="4" t="e">
        <f t="shared" si="227"/>
        <v>#DIV/0!</v>
      </c>
      <c r="S2428" s="4">
        <v>12.83</v>
      </c>
      <c r="T2428" s="2">
        <v>0.21</v>
      </c>
      <c r="U2428" s="2">
        <v>83.49</v>
      </c>
      <c r="V2428" s="2">
        <v>67.37</v>
      </c>
      <c r="W2428" s="2">
        <v>-5.76</v>
      </c>
      <c r="X2428" s="2">
        <v>-7.69</v>
      </c>
      <c r="Y2428" s="2">
        <v>-7.06</v>
      </c>
      <c r="Z2428" s="2">
        <v>-6.75</v>
      </c>
    </row>
    <row r="2429" spans="1:26" x14ac:dyDescent="0.25">
      <c r="A2429" s="1" t="s">
        <v>9778</v>
      </c>
      <c r="B2429" s="1" t="s">
        <v>9779</v>
      </c>
      <c r="C2429" s="1" t="s">
        <v>16</v>
      </c>
      <c r="D2429" s="1" t="s">
        <v>67</v>
      </c>
      <c r="E2429" s="1" t="s">
        <v>134</v>
      </c>
      <c r="F2429" s="1" t="s">
        <v>9780</v>
      </c>
      <c r="G2429" s="1" t="s">
        <v>12480</v>
      </c>
      <c r="H2429" s="1" t="s">
        <v>3166</v>
      </c>
      <c r="I2429" s="2">
        <v>61.22</v>
      </c>
      <c r="J2429" s="2">
        <v>6.6</v>
      </c>
      <c r="K2429" s="2">
        <v>6.77</v>
      </c>
      <c r="L2429" s="2">
        <v>7.31</v>
      </c>
      <c r="M2429" s="4">
        <f t="shared" si="222"/>
        <v>9.042836041358937</v>
      </c>
      <c r="N2429" s="4">
        <f t="shared" si="223"/>
        <v>8.3748290013679885</v>
      </c>
      <c r="O2429" s="5">
        <f t="shared" si="224"/>
        <v>2.5757575757575646E-2</v>
      </c>
      <c r="P2429" s="5">
        <f t="shared" si="225"/>
        <v>7.9763663220088654E-2</v>
      </c>
      <c r="Q2429" s="4">
        <f t="shared" si="226"/>
        <v>3.5107481101746614</v>
      </c>
      <c r="R2429" s="4">
        <f t="shared" si="227"/>
        <v>1.0499554136900233</v>
      </c>
      <c r="S2429" s="4">
        <v>6.53</v>
      </c>
      <c r="T2429" s="2">
        <v>0.91</v>
      </c>
      <c r="U2429" s="2">
        <v>88.76</v>
      </c>
      <c r="V2429" s="2">
        <v>55.11</v>
      </c>
      <c r="W2429" s="2">
        <v>-0.41</v>
      </c>
      <c r="X2429" s="2">
        <v>-0.54</v>
      </c>
      <c r="Y2429" s="2">
        <v>-6.78</v>
      </c>
      <c r="Z2429" s="2">
        <v>-1.03</v>
      </c>
    </row>
    <row r="2430" spans="1:26" x14ac:dyDescent="0.25">
      <c r="A2430" s="1" t="s">
        <v>9781</v>
      </c>
      <c r="B2430" s="1" t="s">
        <v>9782</v>
      </c>
      <c r="C2430" s="1" t="s">
        <v>45</v>
      </c>
      <c r="D2430" s="1" t="s">
        <v>46</v>
      </c>
      <c r="E2430" s="1" t="s">
        <v>977</v>
      </c>
      <c r="F2430" s="1" t="s">
        <v>9783</v>
      </c>
      <c r="G2430" s="1" t="s">
        <v>12480</v>
      </c>
      <c r="H2430" s="1" t="s">
        <v>6072</v>
      </c>
      <c r="I2430" s="2">
        <v>368.78</v>
      </c>
      <c r="J2430" s="2">
        <v>9.11</v>
      </c>
      <c r="K2430" s="2">
        <v>10.66</v>
      </c>
      <c r="L2430" s="2">
        <v>13.73</v>
      </c>
      <c r="M2430" s="4">
        <f t="shared" si="222"/>
        <v>34.594746716697934</v>
      </c>
      <c r="N2430" s="4">
        <f t="shared" si="223"/>
        <v>26.859431900946827</v>
      </c>
      <c r="O2430" s="5">
        <f t="shared" si="224"/>
        <v>0.17014270032930856</v>
      </c>
      <c r="P2430" s="5">
        <f t="shared" si="225"/>
        <v>0.2879924953095685</v>
      </c>
      <c r="Q2430" s="4">
        <f t="shared" si="226"/>
        <v>2.0332783392846321</v>
      </c>
      <c r="R2430" s="4">
        <f t="shared" si="227"/>
        <v>0.93264346600681813</v>
      </c>
      <c r="S2430" s="4">
        <v>0.79</v>
      </c>
      <c r="T2430" s="2">
        <v>2.04</v>
      </c>
      <c r="U2430" s="2">
        <v>415.46</v>
      </c>
      <c r="V2430" s="2">
        <v>236.65</v>
      </c>
      <c r="W2430" s="2">
        <v>-9.57</v>
      </c>
      <c r="X2430" s="2">
        <v>-9.9700000000000006</v>
      </c>
      <c r="Y2430" s="2">
        <v>8.6</v>
      </c>
      <c r="Z2430" s="2">
        <v>12.94</v>
      </c>
    </row>
    <row r="2431" spans="1:26" x14ac:dyDescent="0.25">
      <c r="A2431" s="1" t="s">
        <v>9784</v>
      </c>
      <c r="B2431" s="1" t="s">
        <v>9785</v>
      </c>
      <c r="C2431" s="1" t="s">
        <v>45</v>
      </c>
      <c r="D2431" s="1" t="s">
        <v>32</v>
      </c>
      <c r="E2431" s="1" t="s">
        <v>248</v>
      </c>
      <c r="F2431" s="1" t="s">
        <v>9786</v>
      </c>
      <c r="G2431" s="1" t="s">
        <v>12493</v>
      </c>
      <c r="H2431" s="1" t="s">
        <v>4156</v>
      </c>
      <c r="I2431" s="2">
        <v>94.31</v>
      </c>
      <c r="J2431" s="2">
        <v>9.1300000000000008</v>
      </c>
      <c r="K2431" s="2">
        <v>9.58</v>
      </c>
      <c r="L2431" s="2">
        <v>10.76</v>
      </c>
      <c r="M2431" s="4">
        <f t="shared" si="222"/>
        <v>9.8444676409185803</v>
      </c>
      <c r="N2431" s="4">
        <f t="shared" si="223"/>
        <v>8.764869888475836</v>
      </c>
      <c r="O2431" s="5">
        <f t="shared" si="224"/>
        <v>4.9288061336254074E-2</v>
      </c>
      <c r="P2431" s="5">
        <f t="shared" si="225"/>
        <v>0.12317327766179531</v>
      </c>
      <c r="Q2431" s="4">
        <f t="shared" si="226"/>
        <v>1.9973331013685933</v>
      </c>
      <c r="R2431" s="4">
        <f t="shared" si="227"/>
        <v>0.71158858925083535</v>
      </c>
      <c r="S2431" s="4">
        <v>0.47</v>
      </c>
      <c r="T2431" s="2">
        <v>0.31</v>
      </c>
      <c r="U2431" s="2">
        <v>123.41</v>
      </c>
      <c r="V2431" s="2">
        <v>82.22</v>
      </c>
      <c r="W2431" s="2">
        <v>1.97</v>
      </c>
      <c r="X2431" s="2">
        <v>-4.0199999999999996</v>
      </c>
      <c r="Y2431" s="2">
        <v>-7.16</v>
      </c>
      <c r="Z2431" s="2">
        <v>-6.31</v>
      </c>
    </row>
    <row r="2432" spans="1:26" x14ac:dyDescent="0.25">
      <c r="A2432" s="1" t="s">
        <v>9787</v>
      </c>
      <c r="B2432" s="1" t="s">
        <v>9788</v>
      </c>
      <c r="C2432" s="1" t="s">
        <v>45</v>
      </c>
      <c r="D2432" s="1" t="s">
        <v>32</v>
      </c>
      <c r="E2432" s="1" t="s">
        <v>311</v>
      </c>
      <c r="F2432" s="1" t="s">
        <v>9789</v>
      </c>
      <c r="G2432" s="1" t="s">
        <v>12493</v>
      </c>
      <c r="H2432" s="1" t="s">
        <v>9790</v>
      </c>
      <c r="I2432" s="2">
        <v>15.42</v>
      </c>
      <c r="J2432" s="2">
        <v>-12.91</v>
      </c>
      <c r="K2432" s="2">
        <v>0.31</v>
      </c>
      <c r="L2432" s="2">
        <v>0.39</v>
      </c>
      <c r="M2432" s="4">
        <f t="shared" si="222"/>
        <v>49.741935483870968</v>
      </c>
      <c r="N2432" s="4">
        <f t="shared" si="223"/>
        <v>39.53846153846154</v>
      </c>
      <c r="O2432" s="5">
        <f t="shared" si="224"/>
        <v>-1.024012393493416</v>
      </c>
      <c r="P2432" s="5">
        <f t="shared" si="225"/>
        <v>0.25806451612903225</v>
      </c>
      <c r="Q2432" s="4">
        <f t="shared" si="226"/>
        <v>-0.48575520960421648</v>
      </c>
      <c r="R2432" s="4">
        <f t="shared" si="227"/>
        <v>1.5321153846153848</v>
      </c>
      <c r="S2432" s="4">
        <v>23.16</v>
      </c>
      <c r="T2432" s="2"/>
      <c r="U2432" s="2">
        <v>24.26</v>
      </c>
      <c r="V2432" s="2">
        <v>12.86</v>
      </c>
      <c r="W2432" s="2">
        <v>7.53</v>
      </c>
      <c r="X2432" s="2">
        <v>1.58</v>
      </c>
      <c r="Y2432" s="2">
        <v>-25.29</v>
      </c>
      <c r="Z2432" s="2">
        <v>-23.78</v>
      </c>
    </row>
    <row r="2433" spans="1:26" x14ac:dyDescent="0.25">
      <c r="A2433" s="1" t="s">
        <v>9791</v>
      </c>
      <c r="B2433" s="1" t="s">
        <v>9792</v>
      </c>
      <c r="C2433" s="1" t="s">
        <v>16</v>
      </c>
      <c r="D2433" s="1" t="s">
        <v>128</v>
      </c>
      <c r="E2433" s="1" t="s">
        <v>129</v>
      </c>
      <c r="F2433" s="1" t="s">
        <v>9793</v>
      </c>
      <c r="G2433" s="1" t="s">
        <v>12480</v>
      </c>
      <c r="H2433" s="1" t="s">
        <v>12520</v>
      </c>
      <c r="I2433" s="2">
        <v>230.78</v>
      </c>
      <c r="J2433" s="2">
        <v>9.89</v>
      </c>
      <c r="K2433" s="2">
        <v>10.08</v>
      </c>
      <c r="L2433" s="2">
        <v>11.67</v>
      </c>
      <c r="M2433" s="4">
        <f t="shared" si="222"/>
        <v>22.894841269841269</v>
      </c>
      <c r="N2433" s="4">
        <f t="shared" si="223"/>
        <v>19.775492716366752</v>
      </c>
      <c r="O2433" s="5">
        <f t="shared" si="224"/>
        <v>1.921132457027297E-2</v>
      </c>
      <c r="P2433" s="5">
        <f t="shared" si="225"/>
        <v>0.15773809523809512</v>
      </c>
      <c r="Q2433" s="4">
        <f t="shared" si="226"/>
        <v>11.917367376775292</v>
      </c>
      <c r="R2433" s="4">
        <f t="shared" si="227"/>
        <v>1.2536916137168366</v>
      </c>
      <c r="S2433" s="4">
        <v>-2.36</v>
      </c>
      <c r="T2433" s="2" t="s">
        <v>12493</v>
      </c>
      <c r="U2433" s="2">
        <v>250.83</v>
      </c>
      <c r="V2433" s="2">
        <v>187.06</v>
      </c>
      <c r="W2433" s="2">
        <v>3.41</v>
      </c>
      <c r="X2433" s="2">
        <v>-6.46</v>
      </c>
      <c r="Y2433" s="2">
        <v>16.149999999999999</v>
      </c>
      <c r="Z2433" s="2">
        <v>18.27</v>
      </c>
    </row>
    <row r="2434" spans="1:26" x14ac:dyDescent="0.25">
      <c r="A2434" s="1" t="s">
        <v>9794</v>
      </c>
      <c r="B2434" s="1" t="s">
        <v>9795</v>
      </c>
      <c r="C2434" s="1" t="s">
        <v>16</v>
      </c>
      <c r="D2434" s="1" t="s">
        <v>38</v>
      </c>
      <c r="E2434" s="1" t="s">
        <v>189</v>
      </c>
      <c r="F2434" s="1" t="s">
        <v>9796</v>
      </c>
      <c r="G2434" s="1" t="s">
        <v>12480</v>
      </c>
      <c r="H2434" s="1" t="s">
        <v>9797</v>
      </c>
      <c r="I2434" s="2">
        <v>11.2</v>
      </c>
      <c r="J2434" s="2">
        <v>1.03</v>
      </c>
      <c r="K2434" s="2">
        <v>1.1100000000000001</v>
      </c>
      <c r="L2434" s="2">
        <v>1.28</v>
      </c>
      <c r="M2434" s="4">
        <f t="shared" si="222"/>
        <v>10.090090090090088</v>
      </c>
      <c r="N2434" s="4">
        <f t="shared" si="223"/>
        <v>8.75</v>
      </c>
      <c r="O2434" s="5">
        <f t="shared" si="224"/>
        <v>7.7669902912621325E-2</v>
      </c>
      <c r="P2434" s="5">
        <f t="shared" si="225"/>
        <v>0.15315315315315314</v>
      </c>
      <c r="Q2434" s="4">
        <f t="shared" si="226"/>
        <v>1.2990990990990994</v>
      </c>
      <c r="R2434" s="4">
        <f t="shared" si="227"/>
        <v>0.57132352941176479</v>
      </c>
      <c r="S2434" s="4">
        <v>-0.89</v>
      </c>
      <c r="T2434" s="2">
        <v>0.71</v>
      </c>
      <c r="U2434" s="2">
        <v>13.21</v>
      </c>
      <c r="V2434" s="2">
        <v>5.72</v>
      </c>
      <c r="W2434" s="2">
        <v>-6.35</v>
      </c>
      <c r="X2434" s="2">
        <v>-12.5</v>
      </c>
      <c r="Y2434" s="2">
        <v>-3.45</v>
      </c>
      <c r="Z2434" s="2">
        <v>-4.5199999999999996</v>
      </c>
    </row>
    <row r="2435" spans="1:26" x14ac:dyDescent="0.25">
      <c r="A2435" s="1" t="s">
        <v>9798</v>
      </c>
      <c r="B2435" s="1" t="s">
        <v>9799</v>
      </c>
      <c r="C2435" s="1" t="s">
        <v>45</v>
      </c>
      <c r="D2435" s="1" t="s">
        <v>32</v>
      </c>
      <c r="E2435" s="1" t="s">
        <v>1666</v>
      </c>
      <c r="F2435" s="1" t="s">
        <v>9800</v>
      </c>
      <c r="G2435" s="1" t="s">
        <v>12485</v>
      </c>
      <c r="H2435" s="1" t="s">
        <v>2743</v>
      </c>
      <c r="I2435" s="2">
        <v>125.22</v>
      </c>
      <c r="J2435" s="2">
        <v>6.04</v>
      </c>
      <c r="K2435" s="2">
        <v>10.06</v>
      </c>
      <c r="L2435" s="2">
        <v>12.11</v>
      </c>
      <c r="M2435" s="4">
        <f t="shared" ref="M2435:M2498" si="228">I2435/K2435</f>
        <v>12.447316103379721</v>
      </c>
      <c r="N2435" s="4">
        <f t="shared" ref="N2435:N2498" si="229">I2435/L2435</f>
        <v>10.340214698596203</v>
      </c>
      <c r="O2435" s="5">
        <f t="shared" ref="O2435:O2498" si="230">K2435/J2435-1</f>
        <v>0.66556291390728495</v>
      </c>
      <c r="P2435" s="5">
        <f t="shared" ref="P2435:P2498" si="231">L2435/K2435-1</f>
        <v>0.20377733598409531</v>
      </c>
      <c r="Q2435" s="4">
        <f t="shared" ref="Q2435:Q2498" si="232">M2435/(O2435*100)</f>
        <v>0.18701937627963558</v>
      </c>
      <c r="R2435" s="4">
        <f t="shared" ref="R2435:R2498" si="233">N2435/(P2435*100)</f>
        <v>0.5074271213067213</v>
      </c>
      <c r="S2435" s="4">
        <v>7.4</v>
      </c>
      <c r="T2435" s="2">
        <v>1.01</v>
      </c>
      <c r="U2435" s="2">
        <v>182.54</v>
      </c>
      <c r="V2435" s="2">
        <v>67.3</v>
      </c>
      <c r="W2435" s="2" t="s">
        <v>12618</v>
      </c>
      <c r="X2435" s="2">
        <v>-16.97</v>
      </c>
      <c r="Y2435" s="2">
        <v>-20.83</v>
      </c>
      <c r="Z2435" s="2">
        <v>-16.559999999999999</v>
      </c>
    </row>
    <row r="2436" spans="1:26" x14ac:dyDescent="0.25">
      <c r="A2436" s="1" t="s">
        <v>9801</v>
      </c>
      <c r="B2436" s="1" t="s">
        <v>9801</v>
      </c>
      <c r="C2436" s="1" t="s">
        <v>16</v>
      </c>
      <c r="D2436" s="1" t="s">
        <v>32</v>
      </c>
      <c r="E2436" s="1" t="s">
        <v>215</v>
      </c>
      <c r="F2436" s="1" t="s">
        <v>9802</v>
      </c>
      <c r="G2436" s="1" t="s">
        <v>12480</v>
      </c>
      <c r="H2436" s="1" t="s">
        <v>5933</v>
      </c>
      <c r="I2436" s="2">
        <v>200.1</v>
      </c>
      <c r="J2436" s="2">
        <v>6.96</v>
      </c>
      <c r="K2436" s="2">
        <v>8.48</v>
      </c>
      <c r="L2436" s="2">
        <v>9.86</v>
      </c>
      <c r="M2436" s="4">
        <f t="shared" si="228"/>
        <v>23.596698113207545</v>
      </c>
      <c r="N2436" s="4">
        <f t="shared" si="229"/>
        <v>20.294117647058822</v>
      </c>
      <c r="O2436" s="5">
        <f t="shared" si="230"/>
        <v>0.21839080459770122</v>
      </c>
      <c r="P2436" s="5">
        <f t="shared" si="231"/>
        <v>0.16273584905660354</v>
      </c>
      <c r="Q2436" s="4">
        <f t="shared" si="232"/>
        <v>1.0804803872889766</v>
      </c>
      <c r="R2436" s="4">
        <f t="shared" si="233"/>
        <v>1.2470588235294136</v>
      </c>
      <c r="S2436" s="4">
        <v>12.55</v>
      </c>
      <c r="T2436" s="2">
        <v>1.18</v>
      </c>
      <c r="U2436" s="2">
        <v>311.93</v>
      </c>
      <c r="V2436" s="2">
        <v>195.58</v>
      </c>
      <c r="W2436" s="2">
        <v>2.09</v>
      </c>
      <c r="X2436" s="2">
        <v>-4.9000000000000004</v>
      </c>
      <c r="Y2436" s="2">
        <v>-18.16</v>
      </c>
      <c r="Z2436" s="2">
        <v>-17.62</v>
      </c>
    </row>
    <row r="2437" spans="1:26" x14ac:dyDescent="0.25">
      <c r="A2437" s="1" t="s">
        <v>9803</v>
      </c>
      <c r="B2437" s="1" t="s">
        <v>9804</v>
      </c>
      <c r="C2437" s="1" t="s">
        <v>31</v>
      </c>
      <c r="D2437" s="1" t="s">
        <v>94</v>
      </c>
      <c r="E2437" s="1" t="s">
        <v>1925</v>
      </c>
      <c r="F2437" s="1" t="s">
        <v>9805</v>
      </c>
      <c r="G2437" s="1" t="s">
        <v>12480</v>
      </c>
      <c r="H2437" s="1" t="s">
        <v>9806</v>
      </c>
      <c r="I2437" s="2">
        <v>3.8759999999999999</v>
      </c>
      <c r="J2437" s="2">
        <v>0.16</v>
      </c>
      <c r="K2437" s="2"/>
      <c r="L2437" s="2"/>
      <c r="M2437" s="4" t="e">
        <f t="shared" si="228"/>
        <v>#DIV/0!</v>
      </c>
      <c r="N2437" s="4" t="e">
        <f t="shared" si="229"/>
        <v>#DIV/0!</v>
      </c>
      <c r="O2437" s="5">
        <f t="shared" si="230"/>
        <v>-1</v>
      </c>
      <c r="P2437" s="5" t="e">
        <f t="shared" si="231"/>
        <v>#DIV/0!</v>
      </c>
      <c r="Q2437" s="4" t="e">
        <f t="shared" si="232"/>
        <v>#DIV/0!</v>
      </c>
      <c r="R2437" s="4" t="e">
        <f t="shared" si="233"/>
        <v>#DIV/0!</v>
      </c>
      <c r="S2437" s="4">
        <v>22.31</v>
      </c>
      <c r="T2437" s="2">
        <v>0.96</v>
      </c>
      <c r="U2437" s="2">
        <v>4.3</v>
      </c>
      <c r="V2437" s="2">
        <v>1.81</v>
      </c>
      <c r="W2437" s="2">
        <v>-3.58</v>
      </c>
      <c r="X2437" s="2">
        <v>3.36</v>
      </c>
      <c r="Y2437" s="2" t="s">
        <v>12690</v>
      </c>
      <c r="Z2437" s="2" t="s">
        <v>12690</v>
      </c>
    </row>
    <row r="2438" spans="1:26" x14ac:dyDescent="0.25">
      <c r="A2438" s="1" t="s">
        <v>9807</v>
      </c>
      <c r="B2438" s="1" t="s">
        <v>9808</v>
      </c>
      <c r="C2438" s="1" t="s">
        <v>16</v>
      </c>
      <c r="D2438" s="1" t="s">
        <v>204</v>
      </c>
      <c r="E2438" s="1" t="s">
        <v>205</v>
      </c>
      <c r="F2438" s="1" t="s">
        <v>9809</v>
      </c>
      <c r="G2438" s="1" t="s">
        <v>12480</v>
      </c>
      <c r="H2438" s="1" t="s">
        <v>9810</v>
      </c>
      <c r="I2438" s="2">
        <v>28.59</v>
      </c>
      <c r="J2438" s="2">
        <v>1.19</v>
      </c>
      <c r="K2438" s="2">
        <v>1.41</v>
      </c>
      <c r="L2438" s="2">
        <v>1.68</v>
      </c>
      <c r="M2438" s="4">
        <f t="shared" si="228"/>
        <v>20.276595744680851</v>
      </c>
      <c r="N2438" s="4">
        <f t="shared" si="229"/>
        <v>17.017857142857142</v>
      </c>
      <c r="O2438" s="5">
        <f t="shared" si="230"/>
        <v>0.18487394957983194</v>
      </c>
      <c r="P2438" s="5">
        <f t="shared" si="231"/>
        <v>0.1914893617021276</v>
      </c>
      <c r="Q2438" s="4">
        <f t="shared" si="232"/>
        <v>1.096779497098646</v>
      </c>
      <c r="R2438" s="4">
        <f t="shared" si="233"/>
        <v>0.8887103174603177</v>
      </c>
      <c r="S2438" s="4">
        <v>15.76</v>
      </c>
      <c r="T2438" s="2">
        <v>1.02</v>
      </c>
      <c r="U2438" s="2">
        <v>33.119999999999997</v>
      </c>
      <c r="V2438" s="2">
        <v>22.23</v>
      </c>
      <c r="W2438" s="2">
        <v>-6.96</v>
      </c>
      <c r="X2438" s="2">
        <v>-7.57</v>
      </c>
      <c r="Y2438" s="2">
        <v>4.34</v>
      </c>
      <c r="Z2438" s="2">
        <v>-0.31</v>
      </c>
    </row>
    <row r="2439" spans="1:26" x14ac:dyDescent="0.25">
      <c r="A2439" s="1" t="s">
        <v>9811</v>
      </c>
      <c r="B2439" s="1" t="s">
        <v>9812</v>
      </c>
      <c r="C2439" s="1" t="s">
        <v>45</v>
      </c>
      <c r="D2439" s="1" t="s">
        <v>32</v>
      </c>
      <c r="E2439" s="1" t="s">
        <v>5062</v>
      </c>
      <c r="F2439" s="1" t="s">
        <v>9813</v>
      </c>
      <c r="G2439" s="1" t="s">
        <v>12480</v>
      </c>
      <c r="H2439" s="1" t="s">
        <v>9814</v>
      </c>
      <c r="I2439" s="2">
        <v>109.92</v>
      </c>
      <c r="J2439" s="2">
        <v>-3.65</v>
      </c>
      <c r="K2439" s="2" t="s">
        <v>12590</v>
      </c>
      <c r="L2439" s="2">
        <v>-1.96</v>
      </c>
      <c r="M2439" s="4">
        <f t="shared" si="228"/>
        <v>-36.64</v>
      </c>
      <c r="N2439" s="4">
        <f t="shared" si="229"/>
        <v>-56.081632653061227</v>
      </c>
      <c r="O2439" s="5">
        <f t="shared" si="230"/>
        <v>-0.17808219178082185</v>
      </c>
      <c r="P2439" s="5">
        <f t="shared" si="231"/>
        <v>-0.34666666666666668</v>
      </c>
      <c r="Q2439" s="4">
        <f t="shared" si="232"/>
        <v>2.0574769230769236</v>
      </c>
      <c r="R2439" s="4">
        <f t="shared" si="233"/>
        <v>1.6177394034536889</v>
      </c>
      <c r="S2439" s="4">
        <v>-5.18</v>
      </c>
      <c r="T2439" s="2">
        <v>1.01</v>
      </c>
      <c r="U2439" s="2">
        <v>131.09</v>
      </c>
      <c r="V2439" s="2">
        <v>15.99</v>
      </c>
      <c r="W2439" s="2">
        <v>-7.38</v>
      </c>
      <c r="X2439" s="2">
        <v>-4.58</v>
      </c>
      <c r="Y2439" s="2">
        <v>5.76</v>
      </c>
      <c r="Z2439" s="2">
        <v>1.1200000000000001</v>
      </c>
    </row>
    <row r="2440" spans="1:26" x14ac:dyDescent="0.25">
      <c r="A2440" s="1" t="s">
        <v>9815</v>
      </c>
      <c r="B2440" s="1" t="s">
        <v>9816</v>
      </c>
      <c r="C2440" s="1" t="s">
        <v>31</v>
      </c>
      <c r="D2440" s="1" t="s">
        <v>38</v>
      </c>
      <c r="E2440" s="1" t="s">
        <v>194</v>
      </c>
      <c r="F2440" s="1" t="s">
        <v>9817</v>
      </c>
      <c r="G2440" s="1" t="s">
        <v>12480</v>
      </c>
      <c r="H2440" s="1" t="s">
        <v>9818</v>
      </c>
      <c r="I2440" s="2">
        <v>21.57</v>
      </c>
      <c r="J2440" s="2">
        <v>1.25</v>
      </c>
      <c r="K2440" s="2">
        <v>1.35</v>
      </c>
      <c r="L2440" s="2">
        <v>1.47</v>
      </c>
      <c r="M2440" s="4">
        <f t="shared" si="228"/>
        <v>15.977777777777776</v>
      </c>
      <c r="N2440" s="4">
        <f t="shared" si="229"/>
        <v>14.673469387755102</v>
      </c>
      <c r="O2440" s="5">
        <f t="shared" si="230"/>
        <v>8.0000000000000071E-2</v>
      </c>
      <c r="P2440" s="5">
        <f t="shared" si="231"/>
        <v>8.8888888888888795E-2</v>
      </c>
      <c r="Q2440" s="4">
        <f t="shared" si="232"/>
        <v>1.9972222222222202</v>
      </c>
      <c r="R2440" s="4">
        <f t="shared" si="233"/>
        <v>1.6507653061224508</v>
      </c>
      <c r="S2440" s="4">
        <v>429.52</v>
      </c>
      <c r="T2440" s="2">
        <v>0.44</v>
      </c>
      <c r="U2440" s="2">
        <v>24.23</v>
      </c>
      <c r="V2440" s="2">
        <v>17.57</v>
      </c>
      <c r="W2440" s="2">
        <v>-1.33</v>
      </c>
      <c r="X2440" s="2">
        <v>-1.73</v>
      </c>
      <c r="Y2440" s="2">
        <v>-7.98</v>
      </c>
      <c r="Z2440" s="2">
        <v>-10.79</v>
      </c>
    </row>
    <row r="2441" spans="1:26" x14ac:dyDescent="0.25">
      <c r="A2441" s="1" t="s">
        <v>9819</v>
      </c>
      <c r="B2441" s="1" t="s">
        <v>9820</v>
      </c>
      <c r="C2441" s="1" t="s">
        <v>45</v>
      </c>
      <c r="D2441" s="1" t="s">
        <v>38</v>
      </c>
      <c r="E2441" s="1" t="s">
        <v>510</v>
      </c>
      <c r="F2441" s="1" t="s">
        <v>9821</v>
      </c>
      <c r="G2441" s="1" t="s">
        <v>12480</v>
      </c>
      <c r="H2441" s="1" t="s">
        <v>9822</v>
      </c>
      <c r="I2441" s="2">
        <v>195.93</v>
      </c>
      <c r="J2441" s="2">
        <v>12.84</v>
      </c>
      <c r="K2441" s="2">
        <v>12.06</v>
      </c>
      <c r="L2441" s="2">
        <v>11.82</v>
      </c>
      <c r="M2441" s="4">
        <f t="shared" si="228"/>
        <v>16.246268656716417</v>
      </c>
      <c r="N2441" s="4">
        <f t="shared" si="229"/>
        <v>16.576142131979697</v>
      </c>
      <c r="O2441" s="5">
        <f t="shared" si="230"/>
        <v>-6.074766355140182E-2</v>
      </c>
      <c r="P2441" s="5">
        <f t="shared" si="231"/>
        <v>-1.9900497512437831E-2</v>
      </c>
      <c r="Q2441" s="4">
        <f t="shared" si="232"/>
        <v>-2.674385763490243</v>
      </c>
      <c r="R2441" s="4">
        <f t="shared" si="233"/>
        <v>-8.3295114213197898</v>
      </c>
      <c r="S2441" s="4">
        <v>5.0599999999999996</v>
      </c>
      <c r="T2441" s="2">
        <v>0.86</v>
      </c>
      <c r="U2441" s="2">
        <v>243.4</v>
      </c>
      <c r="V2441" s="2">
        <v>179.65</v>
      </c>
      <c r="W2441" s="2">
        <v>-1.5</v>
      </c>
      <c r="X2441" s="2">
        <v>6.12</v>
      </c>
      <c r="Y2441" s="2">
        <v>1.45</v>
      </c>
      <c r="Z2441" s="2">
        <v>1.29</v>
      </c>
    </row>
    <row r="2442" spans="1:26" x14ac:dyDescent="0.25">
      <c r="A2442" s="1" t="s">
        <v>9823</v>
      </c>
      <c r="B2442" s="1" t="s">
        <v>9824</v>
      </c>
      <c r="C2442" s="1" t="s">
        <v>45</v>
      </c>
      <c r="D2442" s="1" t="s">
        <v>38</v>
      </c>
      <c r="E2442" s="1" t="s">
        <v>119</v>
      </c>
      <c r="F2442" s="1" t="s">
        <v>9825</v>
      </c>
      <c r="G2442" s="1" t="s">
        <v>12480</v>
      </c>
      <c r="H2442" s="1" t="s">
        <v>9826</v>
      </c>
      <c r="I2442" s="2">
        <v>30.65</v>
      </c>
      <c r="J2442" s="2">
        <v>1.84</v>
      </c>
      <c r="K2442" s="2">
        <v>2.5299999999999998</v>
      </c>
      <c r="L2442" s="2">
        <v>2.76</v>
      </c>
      <c r="M2442" s="4">
        <f t="shared" si="228"/>
        <v>12.114624505928854</v>
      </c>
      <c r="N2442" s="4">
        <f t="shared" si="229"/>
        <v>11.105072463768117</v>
      </c>
      <c r="O2442" s="5">
        <f t="shared" si="230"/>
        <v>0.37499999999999978</v>
      </c>
      <c r="P2442" s="5">
        <f t="shared" si="231"/>
        <v>9.0909090909090828E-2</v>
      </c>
      <c r="Q2442" s="4">
        <f t="shared" si="232"/>
        <v>0.32305665349143625</v>
      </c>
      <c r="R2442" s="4">
        <f t="shared" si="233"/>
        <v>1.2215579710144939</v>
      </c>
      <c r="S2442" s="4">
        <v>15.64</v>
      </c>
      <c r="T2442" s="2">
        <v>0.92</v>
      </c>
      <c r="U2442" s="2">
        <v>35.090000000000003</v>
      </c>
      <c r="V2442" s="2">
        <v>22.01</v>
      </c>
      <c r="W2442" s="2">
        <v>-4.28</v>
      </c>
      <c r="X2442" s="2">
        <v>-11.82</v>
      </c>
      <c r="Y2442" s="2">
        <v>-6.24</v>
      </c>
      <c r="Z2442" s="2">
        <v>-2.4500000000000002</v>
      </c>
    </row>
    <row r="2443" spans="1:26" x14ac:dyDescent="0.25">
      <c r="A2443" s="1" t="s">
        <v>9827</v>
      </c>
      <c r="B2443" s="1" t="s">
        <v>9828</v>
      </c>
      <c r="C2443" s="1" t="s">
        <v>45</v>
      </c>
      <c r="D2443" s="1" t="s">
        <v>38</v>
      </c>
      <c r="E2443" s="1" t="s">
        <v>52</v>
      </c>
      <c r="F2443" s="1" t="s">
        <v>9829</v>
      </c>
      <c r="G2443" s="1" t="s">
        <v>12480</v>
      </c>
      <c r="H2443" s="1" t="s">
        <v>9830</v>
      </c>
      <c r="I2443" s="2">
        <v>7.6</v>
      </c>
      <c r="J2443" s="2">
        <v>-1.82</v>
      </c>
      <c r="K2443" s="2">
        <v>-0.17</v>
      </c>
      <c r="L2443" s="2">
        <v>-0.17</v>
      </c>
      <c r="M2443" s="4">
        <f t="shared" si="228"/>
        <v>-44.705882352941174</v>
      </c>
      <c r="N2443" s="4">
        <f t="shared" si="229"/>
        <v>-44.705882352941174</v>
      </c>
      <c r="O2443" s="5">
        <f t="shared" si="230"/>
        <v>-0.90659340659340659</v>
      </c>
      <c r="P2443" s="5">
        <f t="shared" si="231"/>
        <v>0</v>
      </c>
      <c r="Q2443" s="4">
        <f t="shared" si="232"/>
        <v>0.49311942959001781</v>
      </c>
      <c r="R2443" s="4" t="e">
        <f t="shared" si="233"/>
        <v>#DIV/0!</v>
      </c>
      <c r="S2443" s="4">
        <v>666.11</v>
      </c>
      <c r="T2443" s="2">
        <v>11.4</v>
      </c>
      <c r="U2443" s="2">
        <v>79.209999999999994</v>
      </c>
      <c r="V2443" s="2">
        <v>2.57</v>
      </c>
      <c r="W2443" s="2">
        <v>2.84</v>
      </c>
      <c r="X2443" s="2">
        <v>6.89</v>
      </c>
      <c r="Y2443" s="2">
        <v>-20.079999999999998</v>
      </c>
      <c r="Z2443" s="2">
        <v>-14.99</v>
      </c>
    </row>
    <row r="2444" spans="1:26" x14ac:dyDescent="0.25">
      <c r="A2444" s="1" t="s">
        <v>9831</v>
      </c>
      <c r="B2444" s="1" t="s">
        <v>9832</v>
      </c>
      <c r="C2444" s="1" t="s">
        <v>45</v>
      </c>
      <c r="D2444" s="1" t="s">
        <v>147</v>
      </c>
      <c r="E2444" s="1" t="s">
        <v>1460</v>
      </c>
      <c r="F2444" s="1" t="s">
        <v>9833</v>
      </c>
      <c r="G2444" s="1" t="s">
        <v>12480</v>
      </c>
      <c r="H2444" s="1" t="s">
        <v>9834</v>
      </c>
      <c r="I2444" s="2">
        <v>14.84</v>
      </c>
      <c r="J2444" s="2">
        <v>-3.13</v>
      </c>
      <c r="K2444" s="2">
        <v>1.0900000000000001</v>
      </c>
      <c r="L2444" s="2">
        <v>-1.49</v>
      </c>
      <c r="M2444" s="4">
        <f t="shared" si="228"/>
        <v>13.614678899082568</v>
      </c>
      <c r="N2444" s="4">
        <f t="shared" si="229"/>
        <v>-9.9597315436241605</v>
      </c>
      <c r="O2444" s="5">
        <f t="shared" si="230"/>
        <v>-1.3482428115015974</v>
      </c>
      <c r="P2444" s="5">
        <f t="shared" si="231"/>
        <v>-2.3669724770642198</v>
      </c>
      <c r="Q2444" s="4">
        <f t="shared" si="232"/>
        <v>-0.1009809122135745</v>
      </c>
      <c r="R2444" s="4">
        <f t="shared" si="233"/>
        <v>4.2077935591280376E-2</v>
      </c>
      <c r="S2444" s="4">
        <v>-10.68</v>
      </c>
      <c r="T2444" s="2">
        <v>0.94</v>
      </c>
      <c r="U2444" s="2" t="s">
        <v>12642</v>
      </c>
      <c r="V2444" s="2">
        <v>11.93</v>
      </c>
      <c r="W2444" s="2">
        <v>-6.19</v>
      </c>
      <c r="X2444" s="2">
        <v>1.5</v>
      </c>
      <c r="Y2444" s="2">
        <v>-8.11</v>
      </c>
      <c r="Z2444" s="2">
        <v>-3.01</v>
      </c>
    </row>
    <row r="2445" spans="1:26" x14ac:dyDescent="0.25">
      <c r="A2445" s="1" t="s">
        <v>9835</v>
      </c>
      <c r="B2445" s="1" t="s">
        <v>9836</v>
      </c>
      <c r="C2445" s="1" t="s">
        <v>31</v>
      </c>
      <c r="D2445" s="1" t="s">
        <v>25</v>
      </c>
      <c r="E2445" s="1" t="s">
        <v>106</v>
      </c>
      <c r="F2445" s="1" t="s">
        <v>9837</v>
      </c>
      <c r="G2445" s="1" t="s">
        <v>12480</v>
      </c>
      <c r="H2445" s="1" t="s">
        <v>9838</v>
      </c>
      <c r="I2445" s="2">
        <v>58.13</v>
      </c>
      <c r="J2445" s="2">
        <v>1.94</v>
      </c>
      <c r="K2445" s="2">
        <v>2.33</v>
      </c>
      <c r="L2445" s="2">
        <v>2.75</v>
      </c>
      <c r="M2445" s="4">
        <f t="shared" si="228"/>
        <v>24.948497854077253</v>
      </c>
      <c r="N2445" s="4">
        <f t="shared" si="229"/>
        <v>21.13818181818182</v>
      </c>
      <c r="O2445" s="5">
        <f t="shared" si="230"/>
        <v>0.20103092783505172</v>
      </c>
      <c r="P2445" s="5">
        <f t="shared" si="231"/>
        <v>0.1802575107296136</v>
      </c>
      <c r="Q2445" s="4">
        <f t="shared" si="232"/>
        <v>1.2410278419720469</v>
      </c>
      <c r="R2445" s="4">
        <f t="shared" si="233"/>
        <v>1.172665800865802</v>
      </c>
      <c r="S2445" s="4" t="s">
        <v>12479</v>
      </c>
      <c r="T2445" s="2">
        <v>1.47</v>
      </c>
      <c r="U2445" s="2">
        <v>65.209999999999994</v>
      </c>
      <c r="V2445" s="2">
        <v>40.53</v>
      </c>
      <c r="W2445" s="2">
        <v>-7.29</v>
      </c>
      <c r="X2445" s="2">
        <v>-5.48</v>
      </c>
      <c r="Y2445" s="2">
        <v>2.2000000000000002</v>
      </c>
      <c r="Z2445" s="2">
        <v>5.82</v>
      </c>
    </row>
    <row r="2446" spans="1:26" x14ac:dyDescent="0.25">
      <c r="A2446" s="1" t="s">
        <v>9839</v>
      </c>
      <c r="B2446" s="1" t="s">
        <v>9840</v>
      </c>
      <c r="C2446" s="1" t="s">
        <v>16</v>
      </c>
      <c r="D2446" s="1" t="s">
        <v>67</v>
      </c>
      <c r="E2446" s="1" t="s">
        <v>882</v>
      </c>
      <c r="F2446" s="1" t="s">
        <v>9841</v>
      </c>
      <c r="G2446" s="1" t="s">
        <v>12485</v>
      </c>
      <c r="H2446" s="1" t="s">
        <v>9842</v>
      </c>
      <c r="I2446" s="2">
        <v>14.59</v>
      </c>
      <c r="J2446" s="2">
        <v>1.9</v>
      </c>
      <c r="K2446" s="2">
        <v>2.0699999999999998</v>
      </c>
      <c r="L2446" s="2">
        <v>2.2799999999999998</v>
      </c>
      <c r="M2446" s="4">
        <f t="shared" si="228"/>
        <v>7.0483091787439616</v>
      </c>
      <c r="N2446" s="4">
        <f t="shared" si="229"/>
        <v>6.3991228070175445</v>
      </c>
      <c r="O2446" s="5">
        <f t="shared" si="230"/>
        <v>8.9473684210526372E-2</v>
      </c>
      <c r="P2446" s="5">
        <f t="shared" si="231"/>
        <v>0.10144927536231885</v>
      </c>
      <c r="Q2446" s="4">
        <f t="shared" si="232"/>
        <v>0.78775220233020693</v>
      </c>
      <c r="R2446" s="4">
        <f t="shared" si="233"/>
        <v>0.63077067669172937</v>
      </c>
      <c r="S2446" s="4">
        <v>-0.42</v>
      </c>
      <c r="T2446" s="2">
        <v>1.1399999999999999</v>
      </c>
      <c r="U2446" s="2" t="s">
        <v>12642</v>
      </c>
      <c r="V2446" s="2">
        <v>7.79</v>
      </c>
      <c r="W2446" s="2">
        <v>-9.94</v>
      </c>
      <c r="X2446" s="2">
        <v>-14.18</v>
      </c>
      <c r="Y2446" s="2">
        <v>-2.15</v>
      </c>
      <c r="Z2446" s="2">
        <v>2.31</v>
      </c>
    </row>
    <row r="2447" spans="1:26" x14ac:dyDescent="0.25">
      <c r="A2447" s="1" t="s">
        <v>9843</v>
      </c>
      <c r="B2447" s="1" t="s">
        <v>9844</v>
      </c>
      <c r="C2447" s="1" t="s">
        <v>31</v>
      </c>
      <c r="D2447" s="1" t="s">
        <v>38</v>
      </c>
      <c r="E2447" s="1" t="s">
        <v>1408</v>
      </c>
      <c r="F2447" s="1" t="s">
        <v>9845</v>
      </c>
      <c r="G2447" s="1" t="s">
        <v>12490</v>
      </c>
      <c r="H2447" s="1" t="s">
        <v>9846</v>
      </c>
      <c r="I2447" s="2">
        <v>18.885000000000002</v>
      </c>
      <c r="J2447" s="2">
        <v>3.37</v>
      </c>
      <c r="K2447" s="2"/>
      <c r="L2447" s="2"/>
      <c r="M2447" s="4" t="e">
        <f t="shared" si="228"/>
        <v>#DIV/0!</v>
      </c>
      <c r="N2447" s="4" t="e">
        <f t="shared" si="229"/>
        <v>#DIV/0!</v>
      </c>
      <c r="O2447" s="5">
        <f t="shared" si="230"/>
        <v>-1</v>
      </c>
      <c r="P2447" s="5" t="e">
        <f t="shared" si="231"/>
        <v>#DIV/0!</v>
      </c>
      <c r="Q2447" s="4" t="e">
        <f t="shared" si="232"/>
        <v>#DIV/0!</v>
      </c>
      <c r="R2447" s="4" t="e">
        <f t="shared" si="233"/>
        <v>#DIV/0!</v>
      </c>
      <c r="S2447" s="4">
        <v>13.07</v>
      </c>
      <c r="T2447" s="2">
        <v>0.76</v>
      </c>
      <c r="U2447" s="2">
        <v>50.09</v>
      </c>
      <c r="V2447" s="2">
        <v>18.52</v>
      </c>
      <c r="W2447" s="2">
        <v>-6.74</v>
      </c>
      <c r="X2447" s="2">
        <v>-17.5</v>
      </c>
      <c r="Y2447" s="2">
        <v>-16.809999999999999</v>
      </c>
      <c r="Z2447" s="2">
        <v>-11.88</v>
      </c>
    </row>
    <row r="2448" spans="1:26" x14ac:dyDescent="0.25">
      <c r="A2448" s="1" t="s">
        <v>9847</v>
      </c>
      <c r="B2448" s="1" t="s">
        <v>9848</v>
      </c>
      <c r="C2448" s="1" t="s">
        <v>45</v>
      </c>
      <c r="D2448" s="1" t="s">
        <v>46</v>
      </c>
      <c r="E2448" s="1" t="s">
        <v>770</v>
      </c>
      <c r="F2448" s="1" t="s">
        <v>9849</v>
      </c>
      <c r="G2448" s="1" t="s">
        <v>12480</v>
      </c>
      <c r="H2448" s="1" t="s">
        <v>1033</v>
      </c>
      <c r="I2448" s="2">
        <v>23.72</v>
      </c>
      <c r="J2448" s="2">
        <v>0.97</v>
      </c>
      <c r="K2448" s="2">
        <v>2.75</v>
      </c>
      <c r="L2448" s="2">
        <v>2.66</v>
      </c>
      <c r="M2448" s="4">
        <f t="shared" si="228"/>
        <v>8.625454545454545</v>
      </c>
      <c r="N2448" s="4">
        <f t="shared" si="229"/>
        <v>8.9172932330827059</v>
      </c>
      <c r="O2448" s="5">
        <f t="shared" si="230"/>
        <v>1.8350515463917527</v>
      </c>
      <c r="P2448" s="5">
        <f t="shared" si="231"/>
        <v>-3.2727272727272716E-2</v>
      </c>
      <c r="Q2448" s="4">
        <f t="shared" si="232"/>
        <v>4.7003881511746677E-2</v>
      </c>
      <c r="R2448" s="4">
        <f t="shared" si="233"/>
        <v>-2.7247284878863831</v>
      </c>
      <c r="S2448" s="4">
        <v>-17.62</v>
      </c>
      <c r="T2448" s="2">
        <v>0.73</v>
      </c>
      <c r="U2448" s="2">
        <v>26.89</v>
      </c>
      <c r="V2448" s="2">
        <v>12.66</v>
      </c>
      <c r="W2448" s="2">
        <v>-11.79</v>
      </c>
      <c r="X2448" s="2">
        <v>1.85</v>
      </c>
      <c r="Y2448" s="2">
        <v>30.11</v>
      </c>
      <c r="Z2448" s="2">
        <v>23.41</v>
      </c>
    </row>
    <row r="2449" spans="1:26" x14ac:dyDescent="0.25">
      <c r="A2449" s="1" t="s">
        <v>9850</v>
      </c>
      <c r="B2449" s="1" t="s">
        <v>9851</v>
      </c>
      <c r="C2449" s="1" t="s">
        <v>31</v>
      </c>
      <c r="D2449" s="1" t="s">
        <v>18</v>
      </c>
      <c r="E2449" s="1" t="s">
        <v>74</v>
      </c>
      <c r="F2449" s="1" t="s">
        <v>9852</v>
      </c>
      <c r="G2449" s="1" t="s">
        <v>12480</v>
      </c>
      <c r="H2449" s="1" t="s">
        <v>9853</v>
      </c>
      <c r="I2449" s="2">
        <v>0.83989999999999998</v>
      </c>
      <c r="J2449" s="2">
        <v>0.01</v>
      </c>
      <c r="K2449" s="2"/>
      <c r="L2449" s="2"/>
      <c r="M2449" s="4" t="e">
        <f t="shared" si="228"/>
        <v>#DIV/0!</v>
      </c>
      <c r="N2449" s="4" t="e">
        <f t="shared" si="229"/>
        <v>#DIV/0!</v>
      </c>
      <c r="O2449" s="5">
        <f t="shared" si="230"/>
        <v>-1</v>
      </c>
      <c r="P2449" s="5" t="e">
        <f t="shared" si="231"/>
        <v>#DIV/0!</v>
      </c>
      <c r="Q2449" s="4" t="e">
        <f t="shared" si="232"/>
        <v>#DIV/0!</v>
      </c>
      <c r="R2449" s="4" t="e">
        <f t="shared" si="233"/>
        <v>#DIV/0!</v>
      </c>
      <c r="S2449" s="4">
        <v>8.4700000000000006</v>
      </c>
      <c r="T2449" s="2">
        <v>0.74</v>
      </c>
      <c r="U2449" s="2">
        <v>1.24</v>
      </c>
      <c r="V2449" s="2">
        <v>0.42</v>
      </c>
      <c r="W2449" s="2" t="s">
        <v>12489</v>
      </c>
      <c r="X2449" s="2">
        <v>7.97</v>
      </c>
      <c r="Y2449" s="2">
        <v>-3.69</v>
      </c>
      <c r="Z2449" s="2">
        <v>-3.69</v>
      </c>
    </row>
    <row r="2450" spans="1:26" x14ac:dyDescent="0.25">
      <c r="A2450" s="1" t="s">
        <v>9854</v>
      </c>
      <c r="B2450" s="1" t="s">
        <v>9855</v>
      </c>
      <c r="C2450" s="1" t="s">
        <v>16</v>
      </c>
      <c r="D2450" s="1" t="s">
        <v>94</v>
      </c>
      <c r="E2450" s="1" t="s">
        <v>3650</v>
      </c>
      <c r="F2450" s="1" t="s">
        <v>9856</v>
      </c>
      <c r="G2450" s="1" t="s">
        <v>12480</v>
      </c>
      <c r="H2450" s="1" t="s">
        <v>7640</v>
      </c>
      <c r="I2450" s="2">
        <v>74.680000000000007</v>
      </c>
      <c r="J2450" s="2">
        <v>5.46</v>
      </c>
      <c r="K2450" s="2"/>
      <c r="L2450" s="2"/>
      <c r="M2450" s="4" t="e">
        <f t="shared" si="228"/>
        <v>#DIV/0!</v>
      </c>
      <c r="N2450" s="4" t="e">
        <f t="shared" si="229"/>
        <v>#DIV/0!</v>
      </c>
      <c r="O2450" s="5">
        <f t="shared" si="230"/>
        <v>-1</v>
      </c>
      <c r="P2450" s="5" t="e">
        <f t="shared" si="231"/>
        <v>#DIV/0!</v>
      </c>
      <c r="Q2450" s="4" t="e">
        <f t="shared" si="232"/>
        <v>#DIV/0!</v>
      </c>
      <c r="R2450" s="4" t="e">
        <f t="shared" si="233"/>
        <v>#DIV/0!</v>
      </c>
      <c r="S2450" s="4">
        <v>-6.78</v>
      </c>
      <c r="T2450" s="2">
        <v>0.28000000000000003</v>
      </c>
      <c r="U2450" s="2">
        <v>82.12</v>
      </c>
      <c r="V2450" s="2">
        <v>60.25</v>
      </c>
      <c r="W2450" s="2">
        <v>1.54</v>
      </c>
      <c r="X2450" s="2">
        <v>6.98</v>
      </c>
      <c r="Y2450" s="2">
        <v>7.76</v>
      </c>
      <c r="Z2450" s="2">
        <v>8.91</v>
      </c>
    </row>
    <row r="2451" spans="1:26" x14ac:dyDescent="0.25">
      <c r="A2451" s="1" t="s">
        <v>9857</v>
      </c>
      <c r="B2451" s="1" t="s">
        <v>9858</v>
      </c>
      <c r="C2451" s="1" t="s">
        <v>45</v>
      </c>
      <c r="D2451" s="1" t="s">
        <v>38</v>
      </c>
      <c r="E2451" s="1" t="s">
        <v>510</v>
      </c>
      <c r="F2451" s="1" t="s">
        <v>9859</v>
      </c>
      <c r="G2451" s="1" t="s">
        <v>12480</v>
      </c>
      <c r="H2451" s="1" t="s">
        <v>1398</v>
      </c>
      <c r="I2451" s="2">
        <v>20.63</v>
      </c>
      <c r="J2451" s="2">
        <v>1.49</v>
      </c>
      <c r="K2451" s="2">
        <v>1.54</v>
      </c>
      <c r="L2451" s="2">
        <v>1.6</v>
      </c>
      <c r="M2451" s="4">
        <f t="shared" si="228"/>
        <v>13.396103896103895</v>
      </c>
      <c r="N2451" s="4">
        <f t="shared" si="229"/>
        <v>12.893749999999999</v>
      </c>
      <c r="O2451" s="5">
        <f t="shared" si="230"/>
        <v>3.3557046979865834E-2</v>
      </c>
      <c r="P2451" s="5">
        <f t="shared" si="231"/>
        <v>3.8961038961039085E-2</v>
      </c>
      <c r="Q2451" s="4">
        <f t="shared" si="232"/>
        <v>3.9920389610389533</v>
      </c>
      <c r="R2451" s="4">
        <f t="shared" si="233"/>
        <v>3.3093958333333227</v>
      </c>
      <c r="S2451" s="4">
        <v>10.15</v>
      </c>
      <c r="T2451" s="2">
        <v>0.64</v>
      </c>
      <c r="U2451" s="2">
        <v>20.86</v>
      </c>
      <c r="V2451" s="2">
        <v>16.37</v>
      </c>
      <c r="W2451" s="2">
        <v>0.28999999999999998</v>
      </c>
      <c r="X2451" s="2">
        <v>8.07</v>
      </c>
      <c r="Y2451" s="2">
        <v>7.48</v>
      </c>
      <c r="Z2451" s="2">
        <v>8.92</v>
      </c>
    </row>
    <row r="2452" spans="1:26" x14ac:dyDescent="0.25">
      <c r="A2452" s="1" t="s">
        <v>9860</v>
      </c>
      <c r="B2452" s="1" t="s">
        <v>9861</v>
      </c>
      <c r="C2452" s="1" t="s">
        <v>16</v>
      </c>
      <c r="D2452" s="1" t="s">
        <v>354</v>
      </c>
      <c r="E2452" s="1" t="s">
        <v>1319</v>
      </c>
      <c r="F2452" s="1" t="s">
        <v>9862</v>
      </c>
      <c r="G2452" s="1" t="s">
        <v>12480</v>
      </c>
      <c r="H2452" s="1" t="s">
        <v>9863</v>
      </c>
      <c r="I2452" s="2">
        <v>28.3</v>
      </c>
      <c r="J2452" s="2">
        <v>1.36</v>
      </c>
      <c r="K2452" s="2">
        <v>1.47</v>
      </c>
      <c r="L2452" s="2">
        <v>1.18</v>
      </c>
      <c r="M2452" s="4">
        <f t="shared" si="228"/>
        <v>19.251700680272108</v>
      </c>
      <c r="N2452" s="4">
        <f t="shared" si="229"/>
        <v>23.98305084745763</v>
      </c>
      <c r="O2452" s="5">
        <f t="shared" si="230"/>
        <v>8.0882352941176405E-2</v>
      </c>
      <c r="P2452" s="5">
        <f t="shared" si="231"/>
        <v>-0.19727891156462585</v>
      </c>
      <c r="Q2452" s="4">
        <f t="shared" si="232"/>
        <v>2.3802102659245534</v>
      </c>
      <c r="R2452" s="4">
        <f t="shared" si="233"/>
        <v>-1.2156925774400937</v>
      </c>
      <c r="S2452" s="4">
        <v>30.86</v>
      </c>
      <c r="T2452" s="2">
        <v>0.78</v>
      </c>
      <c r="U2452" s="2">
        <v>30.51</v>
      </c>
      <c r="V2452" s="2">
        <v>15.78</v>
      </c>
      <c r="W2452" s="2">
        <v>-4.42</v>
      </c>
      <c r="X2452" s="2">
        <v>-1.05</v>
      </c>
      <c r="Y2452" s="2">
        <v>13.55</v>
      </c>
      <c r="Z2452" s="2">
        <v>18.66</v>
      </c>
    </row>
    <row r="2453" spans="1:26" x14ac:dyDescent="0.25">
      <c r="A2453" s="1" t="s">
        <v>9864</v>
      </c>
      <c r="B2453" s="1" t="s">
        <v>9865</v>
      </c>
      <c r="C2453" s="1" t="s">
        <v>16</v>
      </c>
      <c r="D2453" s="1" t="s">
        <v>88</v>
      </c>
      <c r="E2453" s="1" t="s">
        <v>658</v>
      </c>
      <c r="F2453" s="1" t="s">
        <v>9866</v>
      </c>
      <c r="G2453" s="1" t="s">
        <v>12480</v>
      </c>
      <c r="H2453" s="1" t="s">
        <v>9867</v>
      </c>
      <c r="I2453" s="2">
        <v>14.39</v>
      </c>
      <c r="J2453" s="2">
        <v>0.53</v>
      </c>
      <c r="K2453" s="2">
        <v>4.2</v>
      </c>
      <c r="L2453" s="2"/>
      <c r="M2453" s="4">
        <f t="shared" si="228"/>
        <v>3.426190476190476</v>
      </c>
      <c r="N2453" s="4" t="e">
        <f t="shared" si="229"/>
        <v>#DIV/0!</v>
      </c>
      <c r="O2453" s="5">
        <f t="shared" si="230"/>
        <v>6.9245283018867925</v>
      </c>
      <c r="P2453" s="5">
        <f t="shared" si="231"/>
        <v>-1</v>
      </c>
      <c r="Q2453" s="4">
        <f t="shared" si="232"/>
        <v>4.947904502400415E-3</v>
      </c>
      <c r="R2453" s="4" t="e">
        <f t="shared" si="233"/>
        <v>#DIV/0!</v>
      </c>
      <c r="S2453" s="4">
        <v>18.489999999999998</v>
      </c>
      <c r="T2453" s="2">
        <v>0.57999999999999996</v>
      </c>
      <c r="U2453" s="2">
        <v>21.12</v>
      </c>
      <c r="V2453" s="2">
        <v>3.22</v>
      </c>
      <c r="W2453" s="2">
        <v>-15.3</v>
      </c>
      <c r="X2453" s="2">
        <v>-15.35</v>
      </c>
      <c r="Y2453" s="2">
        <v>6.04</v>
      </c>
      <c r="Z2453" s="2">
        <v>0.98</v>
      </c>
    </row>
    <row r="2454" spans="1:26" x14ac:dyDescent="0.25">
      <c r="A2454" s="1" t="s">
        <v>9868</v>
      </c>
      <c r="B2454" s="1" t="s">
        <v>9869</v>
      </c>
      <c r="C2454" s="1" t="s">
        <v>45</v>
      </c>
      <c r="D2454" s="1" t="s">
        <v>67</v>
      </c>
      <c r="E2454" s="1" t="s">
        <v>1037</v>
      </c>
      <c r="F2454" s="1" t="s">
        <v>9870</v>
      </c>
      <c r="G2454" s="1" t="s">
        <v>12485</v>
      </c>
      <c r="H2454" s="1" t="s">
        <v>9871</v>
      </c>
      <c r="I2454" s="2">
        <v>99.77</v>
      </c>
      <c r="J2454" s="2">
        <v>2.13</v>
      </c>
      <c r="K2454" s="2">
        <v>2.31</v>
      </c>
      <c r="L2454" s="2">
        <v>2.93</v>
      </c>
      <c r="M2454" s="4">
        <f t="shared" si="228"/>
        <v>43.19047619047619</v>
      </c>
      <c r="N2454" s="4">
        <f t="shared" si="229"/>
        <v>34.051194539249146</v>
      </c>
      <c r="O2454" s="5">
        <f t="shared" si="230"/>
        <v>8.4507042253521236E-2</v>
      </c>
      <c r="P2454" s="5">
        <f t="shared" si="231"/>
        <v>0.26839826839826841</v>
      </c>
      <c r="Q2454" s="4">
        <f t="shared" si="232"/>
        <v>5.1108730158730094</v>
      </c>
      <c r="R2454" s="4">
        <f t="shared" si="233"/>
        <v>1.2686816029946051</v>
      </c>
      <c r="S2454" s="4">
        <v>2.79</v>
      </c>
      <c r="T2454" s="2">
        <v>0.93</v>
      </c>
      <c r="U2454" s="2">
        <v>106.48</v>
      </c>
      <c r="V2454" s="2">
        <v>78.459999999999994</v>
      </c>
      <c r="W2454" s="2">
        <v>3.11</v>
      </c>
      <c r="X2454" s="2">
        <v>0.8</v>
      </c>
      <c r="Y2454" s="2">
        <v>16.829999999999998</v>
      </c>
      <c r="Z2454" s="2">
        <v>18.48</v>
      </c>
    </row>
    <row r="2455" spans="1:26" x14ac:dyDescent="0.25">
      <c r="A2455" s="1" t="s">
        <v>9872</v>
      </c>
      <c r="B2455" s="1" t="s">
        <v>9873</v>
      </c>
      <c r="C2455" s="1" t="s">
        <v>31</v>
      </c>
      <c r="D2455" s="1" t="s">
        <v>38</v>
      </c>
      <c r="E2455" s="1" t="s">
        <v>189</v>
      </c>
      <c r="F2455" s="1" t="s">
        <v>9874</v>
      </c>
      <c r="G2455" s="1" t="s">
        <v>12480</v>
      </c>
      <c r="H2455" s="1" t="s">
        <v>9875</v>
      </c>
      <c r="I2455" s="2">
        <v>22.04</v>
      </c>
      <c r="J2455" s="2">
        <v>2.23</v>
      </c>
      <c r="K2455" s="2">
        <v>2.27</v>
      </c>
      <c r="L2455" s="2">
        <v>2.73</v>
      </c>
      <c r="M2455" s="4">
        <f t="shared" si="228"/>
        <v>9.7092511013215859</v>
      </c>
      <c r="N2455" s="4">
        <f t="shared" si="229"/>
        <v>8.073260073260073</v>
      </c>
      <c r="O2455" s="5">
        <f t="shared" si="230"/>
        <v>1.7937219730941756E-2</v>
      </c>
      <c r="P2455" s="5">
        <f t="shared" si="231"/>
        <v>0.20264317180616742</v>
      </c>
      <c r="Q2455" s="4">
        <f t="shared" si="232"/>
        <v>5.4129074889867681</v>
      </c>
      <c r="R2455" s="4">
        <f t="shared" si="233"/>
        <v>0.39839783405000789</v>
      </c>
      <c r="S2455" s="4">
        <v>-3.67</v>
      </c>
      <c r="T2455" s="2">
        <v>0.51</v>
      </c>
      <c r="U2455" s="2">
        <v>26.2</v>
      </c>
      <c r="V2455" s="2">
        <v>11.51</v>
      </c>
      <c r="W2455" s="2">
        <v>-7.82</v>
      </c>
      <c r="X2455" s="2">
        <v>-14.6</v>
      </c>
      <c r="Y2455" s="2">
        <v>-6.33</v>
      </c>
      <c r="Z2455" s="2">
        <v>-10.78</v>
      </c>
    </row>
    <row r="2456" spans="1:26" x14ac:dyDescent="0.25">
      <c r="A2456" s="1" t="s">
        <v>9876</v>
      </c>
      <c r="B2456" s="1" t="s">
        <v>9877</v>
      </c>
      <c r="C2456" s="1" t="s">
        <v>16</v>
      </c>
      <c r="D2456" s="1" t="s">
        <v>88</v>
      </c>
      <c r="E2456" s="1" t="s">
        <v>2402</v>
      </c>
      <c r="F2456" s="1" t="s">
        <v>9878</v>
      </c>
      <c r="G2456" s="1" t="s">
        <v>12480</v>
      </c>
      <c r="H2456" s="1" t="s">
        <v>9879</v>
      </c>
      <c r="I2456" s="2">
        <v>190.64</v>
      </c>
      <c r="J2456" s="2">
        <v>5.24</v>
      </c>
      <c r="K2456" s="2">
        <v>6.57</v>
      </c>
      <c r="L2456" s="2">
        <v>6.24</v>
      </c>
      <c r="M2456" s="4">
        <f t="shared" si="228"/>
        <v>29.016742770167426</v>
      </c>
      <c r="N2456" s="4">
        <f t="shared" si="229"/>
        <v>30.551282051282048</v>
      </c>
      <c r="O2456" s="5">
        <f t="shared" si="230"/>
        <v>0.25381679389312972</v>
      </c>
      <c r="P2456" s="5">
        <f t="shared" si="231"/>
        <v>-5.0228310502283158E-2</v>
      </c>
      <c r="Q2456" s="4">
        <f t="shared" si="232"/>
        <v>1.1432160309449424</v>
      </c>
      <c r="R2456" s="4">
        <f t="shared" si="233"/>
        <v>-6.0824825174825108</v>
      </c>
      <c r="S2456" s="4">
        <v>17.38</v>
      </c>
      <c r="T2456" s="2">
        <v>1.03</v>
      </c>
      <c r="U2456" s="2">
        <v>218.85</v>
      </c>
      <c r="V2456" s="2">
        <v>75.63</v>
      </c>
      <c r="W2456" s="2">
        <v>-12.89</v>
      </c>
      <c r="X2456" s="2">
        <v>-8.4700000000000006</v>
      </c>
      <c r="Y2456" s="2">
        <v>32.520000000000003</v>
      </c>
      <c r="Z2456" s="2">
        <v>32.880000000000003</v>
      </c>
    </row>
    <row r="2457" spans="1:26" x14ac:dyDescent="0.25">
      <c r="A2457" s="1" t="s">
        <v>9880</v>
      </c>
      <c r="B2457" s="1" t="s">
        <v>9881</v>
      </c>
      <c r="C2457" s="1" t="s">
        <v>31</v>
      </c>
      <c r="D2457" s="1" t="s">
        <v>38</v>
      </c>
      <c r="E2457" s="1" t="s">
        <v>189</v>
      </c>
      <c r="F2457" s="1" t="s">
        <v>9882</v>
      </c>
      <c r="G2457" s="1" t="s">
        <v>12480</v>
      </c>
      <c r="H2457" s="1" t="s">
        <v>9883</v>
      </c>
      <c r="I2457" s="2">
        <v>15.58</v>
      </c>
      <c r="J2457" s="2">
        <v>1.54</v>
      </c>
      <c r="K2457" s="2">
        <v>1.72</v>
      </c>
      <c r="L2457" s="2">
        <v>1.98</v>
      </c>
      <c r="M2457" s="4">
        <f t="shared" si="228"/>
        <v>9.0581395348837219</v>
      </c>
      <c r="N2457" s="4">
        <f t="shared" si="229"/>
        <v>7.8686868686868685</v>
      </c>
      <c r="O2457" s="5">
        <f t="shared" si="230"/>
        <v>0.11688311688311681</v>
      </c>
      <c r="P2457" s="5">
        <f t="shared" si="231"/>
        <v>0.15116279069767447</v>
      </c>
      <c r="Q2457" s="4">
        <f t="shared" si="232"/>
        <v>0.77497416020671883</v>
      </c>
      <c r="R2457" s="4">
        <f t="shared" si="233"/>
        <v>0.52054390054390032</v>
      </c>
      <c r="S2457" s="4">
        <v>6.34</v>
      </c>
      <c r="T2457" s="2">
        <v>0.75</v>
      </c>
      <c r="U2457" s="2">
        <v>18.25</v>
      </c>
      <c r="V2457" s="2">
        <v>7.38</v>
      </c>
      <c r="W2457" s="2">
        <v>-7.32</v>
      </c>
      <c r="X2457" s="2">
        <v>-13.11</v>
      </c>
      <c r="Y2457" s="2">
        <v>2.77</v>
      </c>
      <c r="Z2457" s="2">
        <v>-3.53</v>
      </c>
    </row>
    <row r="2458" spans="1:26" x14ac:dyDescent="0.25">
      <c r="A2458" s="1" t="s">
        <v>9884</v>
      </c>
      <c r="B2458" s="1" t="s">
        <v>9885</v>
      </c>
      <c r="C2458" s="1" t="s">
        <v>16</v>
      </c>
      <c r="D2458" s="1" t="s">
        <v>38</v>
      </c>
      <c r="E2458" s="1" t="s">
        <v>1408</v>
      </c>
      <c r="F2458" s="1" t="s">
        <v>9886</v>
      </c>
      <c r="G2458" s="1" t="s">
        <v>12480</v>
      </c>
      <c r="H2458" s="1" t="s">
        <v>9887</v>
      </c>
      <c r="I2458" s="2">
        <v>94.38</v>
      </c>
      <c r="J2458" s="2">
        <v>4.87</v>
      </c>
      <c r="K2458" s="2">
        <v>5.79</v>
      </c>
      <c r="L2458" s="2">
        <v>6.71</v>
      </c>
      <c r="M2458" s="4">
        <f t="shared" si="228"/>
        <v>16.300518134715023</v>
      </c>
      <c r="N2458" s="4">
        <f t="shared" si="229"/>
        <v>14.065573770491802</v>
      </c>
      <c r="O2458" s="5">
        <f t="shared" si="230"/>
        <v>0.1889117043121149</v>
      </c>
      <c r="P2458" s="5">
        <f t="shared" si="231"/>
        <v>0.15889464594127811</v>
      </c>
      <c r="Q2458" s="4">
        <f t="shared" si="232"/>
        <v>0.86286438387024122</v>
      </c>
      <c r="R2458" s="4">
        <f t="shared" si="233"/>
        <v>0.88521382751247291</v>
      </c>
      <c r="S2458" s="4">
        <v>22.01</v>
      </c>
      <c r="T2458" s="2">
        <v>0.93</v>
      </c>
      <c r="U2458" s="2">
        <v>107.21</v>
      </c>
      <c r="V2458" s="2">
        <v>69.06</v>
      </c>
      <c r="W2458" s="2">
        <v>-1.1599999999999999</v>
      </c>
      <c r="X2458" s="2">
        <v>-11.97</v>
      </c>
      <c r="Y2458" s="2">
        <v>-0.94</v>
      </c>
      <c r="Z2458" s="2">
        <v>-5.54</v>
      </c>
    </row>
    <row r="2459" spans="1:26" x14ac:dyDescent="0.25">
      <c r="A2459" s="1" t="s">
        <v>9888</v>
      </c>
      <c r="B2459" s="1" t="s">
        <v>9889</v>
      </c>
      <c r="C2459" s="1" t="s">
        <v>16</v>
      </c>
      <c r="D2459" s="1" t="s">
        <v>128</v>
      </c>
      <c r="E2459" s="1" t="s">
        <v>9891</v>
      </c>
      <c r="F2459" s="1" t="s">
        <v>9890</v>
      </c>
      <c r="G2459" s="1" t="s">
        <v>12480</v>
      </c>
      <c r="H2459" s="1" t="s">
        <v>9892</v>
      </c>
      <c r="I2459" s="2">
        <v>80.67</v>
      </c>
      <c r="J2459" s="2">
        <v>3.85</v>
      </c>
      <c r="K2459" s="2">
        <v>4.21</v>
      </c>
      <c r="L2459" s="2">
        <v>4.6100000000000003</v>
      </c>
      <c r="M2459" s="4">
        <f t="shared" si="228"/>
        <v>19.161520190023754</v>
      </c>
      <c r="N2459" s="4">
        <f t="shared" si="229"/>
        <v>17.498915401301517</v>
      </c>
      <c r="O2459" s="5">
        <f t="shared" si="230"/>
        <v>9.3506493506493538E-2</v>
      </c>
      <c r="P2459" s="5">
        <f t="shared" si="231"/>
        <v>9.5011876484560664E-2</v>
      </c>
      <c r="Q2459" s="4">
        <f t="shared" si="232"/>
        <v>2.0492181314330953</v>
      </c>
      <c r="R2459" s="4">
        <f t="shared" si="233"/>
        <v>1.8417608459869825</v>
      </c>
      <c r="S2459" s="4">
        <v>2.93</v>
      </c>
      <c r="T2459" s="2" t="s">
        <v>12493</v>
      </c>
      <c r="U2459" s="2">
        <v>85.65</v>
      </c>
      <c r="V2459" s="2">
        <v>73.58</v>
      </c>
      <c r="W2459" s="2">
        <v>-5.81</v>
      </c>
      <c r="X2459" s="2">
        <v>-4.1399999999999997</v>
      </c>
      <c r="Y2459" s="2">
        <v>3.17</v>
      </c>
      <c r="Z2459" s="2">
        <v>3.46</v>
      </c>
    </row>
    <row r="2460" spans="1:26" x14ac:dyDescent="0.25">
      <c r="A2460" s="1" t="s">
        <v>9893</v>
      </c>
      <c r="B2460" s="1" t="s">
        <v>9894</v>
      </c>
      <c r="C2460" s="1" t="s">
        <v>16</v>
      </c>
      <c r="D2460" s="1" t="s">
        <v>88</v>
      </c>
      <c r="E2460" s="1" t="s">
        <v>504</v>
      </c>
      <c r="F2460" s="1" t="s">
        <v>9895</v>
      </c>
      <c r="G2460" s="1" t="s">
        <v>12480</v>
      </c>
      <c r="H2460" s="1" t="s">
        <v>5330</v>
      </c>
      <c r="I2460" s="2">
        <v>47.98</v>
      </c>
      <c r="J2460" s="2">
        <v>1.82</v>
      </c>
      <c r="K2460" s="2">
        <v>2.63</v>
      </c>
      <c r="L2460" s="2">
        <v>4.5199999999999996</v>
      </c>
      <c r="M2460" s="4">
        <f t="shared" si="228"/>
        <v>18.243346007604561</v>
      </c>
      <c r="N2460" s="4">
        <f t="shared" si="229"/>
        <v>10.61504424778761</v>
      </c>
      <c r="O2460" s="5">
        <f t="shared" si="230"/>
        <v>0.44505494505494503</v>
      </c>
      <c r="P2460" s="5">
        <f t="shared" si="231"/>
        <v>0.71863117870722415</v>
      </c>
      <c r="Q2460" s="4">
        <f t="shared" si="232"/>
        <v>0.40991221893630003</v>
      </c>
      <c r="R2460" s="4">
        <f t="shared" si="233"/>
        <v>0.14771199138455779</v>
      </c>
      <c r="S2460" s="4">
        <v>6.96</v>
      </c>
      <c r="T2460" s="2">
        <v>1.05</v>
      </c>
      <c r="U2460" s="2">
        <v>67.23</v>
      </c>
      <c r="V2460" s="2">
        <v>42.31</v>
      </c>
      <c r="W2460" s="2">
        <v>-5.01</v>
      </c>
      <c r="X2460" s="2">
        <v>-23.97</v>
      </c>
      <c r="Y2460" s="2">
        <v>-0.46</v>
      </c>
      <c r="Z2460" s="2">
        <v>1.31</v>
      </c>
    </row>
    <row r="2461" spans="1:26" x14ac:dyDescent="0.25">
      <c r="A2461" s="1" t="s">
        <v>9896</v>
      </c>
      <c r="B2461" s="1" t="s">
        <v>9897</v>
      </c>
      <c r="C2461" s="1" t="s">
        <v>31</v>
      </c>
      <c r="D2461" s="1" t="s">
        <v>354</v>
      </c>
      <c r="E2461" s="1" t="s">
        <v>1537</v>
      </c>
      <c r="F2461" s="1" t="s">
        <v>9898</v>
      </c>
      <c r="G2461" s="1" t="s">
        <v>12480</v>
      </c>
      <c r="H2461" s="1" t="s">
        <v>9899</v>
      </c>
      <c r="I2461" s="2">
        <v>93.194000000000003</v>
      </c>
      <c r="J2461" s="2">
        <v>2.96</v>
      </c>
      <c r="K2461" s="2">
        <v>3.29</v>
      </c>
      <c r="L2461" s="2">
        <v>3.6</v>
      </c>
      <c r="M2461" s="4">
        <f t="shared" si="228"/>
        <v>28.32644376899696</v>
      </c>
      <c r="N2461" s="4">
        <f t="shared" si="229"/>
        <v>25.887222222222221</v>
      </c>
      <c r="O2461" s="5">
        <f t="shared" si="230"/>
        <v>0.1114864864864864</v>
      </c>
      <c r="P2461" s="5">
        <f t="shared" si="231"/>
        <v>9.4224924012157985E-2</v>
      </c>
      <c r="Q2461" s="4">
        <f t="shared" si="232"/>
        <v>2.5407961683706382</v>
      </c>
      <c r="R2461" s="4">
        <f t="shared" si="233"/>
        <v>2.7473858422939088</v>
      </c>
      <c r="S2461" s="4">
        <v>44.83</v>
      </c>
      <c r="T2461" s="2">
        <v>0.26</v>
      </c>
      <c r="U2461" s="2">
        <v>93.68</v>
      </c>
      <c r="V2461" s="2">
        <v>57.64</v>
      </c>
      <c r="W2461" s="2">
        <v>1.1299999999999999</v>
      </c>
      <c r="X2461" s="2">
        <v>8.42</v>
      </c>
      <c r="Y2461" s="2">
        <v>32.68</v>
      </c>
      <c r="Z2461" s="2">
        <v>28.03</v>
      </c>
    </row>
    <row r="2462" spans="1:26" x14ac:dyDescent="0.25">
      <c r="A2462" s="1" t="s">
        <v>9900</v>
      </c>
      <c r="B2462" s="1" t="s">
        <v>9901</v>
      </c>
      <c r="C2462" s="1" t="s">
        <v>31</v>
      </c>
      <c r="D2462" s="1" t="s">
        <v>38</v>
      </c>
      <c r="E2462" s="1" t="s">
        <v>254</v>
      </c>
      <c r="F2462" s="1" t="s">
        <v>9902</v>
      </c>
      <c r="G2462" s="1" t="s">
        <v>12480</v>
      </c>
      <c r="H2462" s="1" t="s">
        <v>9903</v>
      </c>
      <c r="I2462" s="2">
        <v>3.43</v>
      </c>
      <c r="J2462" s="2">
        <v>0.54</v>
      </c>
      <c r="K2462" s="2">
        <v>0.49</v>
      </c>
      <c r="L2462" s="2">
        <v>0.5</v>
      </c>
      <c r="M2462" s="4">
        <f t="shared" si="228"/>
        <v>7.0000000000000009</v>
      </c>
      <c r="N2462" s="4">
        <f t="shared" si="229"/>
        <v>6.86</v>
      </c>
      <c r="O2462" s="5">
        <f t="shared" si="230"/>
        <v>-9.2592592592592671E-2</v>
      </c>
      <c r="P2462" s="5">
        <f t="shared" si="231"/>
        <v>2.0408163265306145E-2</v>
      </c>
      <c r="Q2462" s="4">
        <f t="shared" si="232"/>
        <v>-0.75599999999999945</v>
      </c>
      <c r="R2462" s="4">
        <f t="shared" si="233"/>
        <v>3.3613999999999966</v>
      </c>
      <c r="S2462" s="4">
        <v>-0.33</v>
      </c>
      <c r="T2462" s="2">
        <v>0.55000000000000004</v>
      </c>
      <c r="U2462" s="2">
        <v>3.69</v>
      </c>
      <c r="V2462" s="2">
        <v>2.36</v>
      </c>
      <c r="W2462" s="2">
        <v>-2.83</v>
      </c>
      <c r="X2462" s="2">
        <v>-0.59</v>
      </c>
      <c r="Y2462" s="2">
        <v>8.3699999999999992</v>
      </c>
      <c r="Z2462" s="2">
        <v>1.48</v>
      </c>
    </row>
    <row r="2463" spans="1:26" x14ac:dyDescent="0.25">
      <c r="A2463" s="1" t="s">
        <v>9904</v>
      </c>
      <c r="B2463" s="1" t="s">
        <v>9905</v>
      </c>
      <c r="C2463" s="1" t="s">
        <v>16</v>
      </c>
      <c r="D2463" s="1" t="s">
        <v>94</v>
      </c>
      <c r="E2463" s="1" t="s">
        <v>1925</v>
      </c>
      <c r="F2463" s="1" t="s">
        <v>9906</v>
      </c>
      <c r="G2463" s="1" t="s">
        <v>12480</v>
      </c>
      <c r="H2463" s="1" t="s">
        <v>9907</v>
      </c>
      <c r="I2463" s="2">
        <v>43.29</v>
      </c>
      <c r="J2463" s="2">
        <v>-0.96</v>
      </c>
      <c r="K2463" s="2">
        <v>0.76</v>
      </c>
      <c r="L2463" s="2"/>
      <c r="M2463" s="4">
        <f t="shared" si="228"/>
        <v>56.960526315789473</v>
      </c>
      <c r="N2463" s="4" t="e">
        <f t="shared" si="229"/>
        <v>#DIV/0!</v>
      </c>
      <c r="O2463" s="5">
        <f t="shared" si="230"/>
        <v>-1.7916666666666667</v>
      </c>
      <c r="P2463" s="5">
        <f t="shared" si="231"/>
        <v>-1</v>
      </c>
      <c r="Q2463" s="4">
        <f t="shared" si="232"/>
        <v>-0.31791921664626677</v>
      </c>
      <c r="R2463" s="4" t="e">
        <f t="shared" si="233"/>
        <v>#DIV/0!</v>
      </c>
      <c r="S2463" s="4">
        <v>3.75</v>
      </c>
      <c r="T2463" s="2">
        <v>1.45</v>
      </c>
      <c r="U2463" s="2">
        <v>45.22</v>
      </c>
      <c r="V2463" s="2">
        <v>18.739999999999998</v>
      </c>
      <c r="W2463" s="2">
        <v>-0.87</v>
      </c>
      <c r="X2463" s="2">
        <v>5.12</v>
      </c>
      <c r="Y2463" s="2">
        <v>35.32</v>
      </c>
      <c r="Z2463" s="2">
        <v>25.12</v>
      </c>
    </row>
    <row r="2464" spans="1:26" x14ac:dyDescent="0.25">
      <c r="A2464" s="1" t="s">
        <v>9908</v>
      </c>
      <c r="B2464" s="1" t="s">
        <v>9909</v>
      </c>
      <c r="C2464" s="1" t="s">
        <v>31</v>
      </c>
      <c r="D2464" s="1" t="s">
        <v>25</v>
      </c>
      <c r="E2464" s="1" t="s">
        <v>743</v>
      </c>
      <c r="F2464" s="1" t="s">
        <v>9910</v>
      </c>
      <c r="G2464" s="1" t="s">
        <v>12480</v>
      </c>
      <c r="H2464" s="1" t="s">
        <v>9911</v>
      </c>
      <c r="I2464" s="2">
        <v>39.963500000000003</v>
      </c>
      <c r="J2464" s="2">
        <v>1.24</v>
      </c>
      <c r="K2464" s="2">
        <v>1.57</v>
      </c>
      <c r="L2464" s="2">
        <v>1.81</v>
      </c>
      <c r="M2464" s="4">
        <f t="shared" si="228"/>
        <v>25.454458598726116</v>
      </c>
      <c r="N2464" s="4">
        <f t="shared" si="229"/>
        <v>22.079281767955802</v>
      </c>
      <c r="O2464" s="5">
        <f t="shared" si="230"/>
        <v>0.2661290322580645</v>
      </c>
      <c r="P2464" s="5">
        <f t="shared" si="231"/>
        <v>0.15286624203821653</v>
      </c>
      <c r="Q2464" s="4">
        <f t="shared" si="232"/>
        <v>0.95647056552789056</v>
      </c>
      <c r="R2464" s="4">
        <f t="shared" si="233"/>
        <v>1.4443530156537756</v>
      </c>
      <c r="S2464" s="4">
        <v>6.12</v>
      </c>
      <c r="T2464" s="2">
        <v>1.48</v>
      </c>
      <c r="U2464" s="2">
        <v>44.19</v>
      </c>
      <c r="V2464" s="2">
        <v>17.170000000000002</v>
      </c>
      <c r="W2464" s="2">
        <v>-6.91</v>
      </c>
      <c r="X2464" s="2">
        <v>-6.51</v>
      </c>
      <c r="Y2464" s="2">
        <v>26.95</v>
      </c>
      <c r="Z2464" s="2">
        <v>23.69</v>
      </c>
    </row>
    <row r="2465" spans="1:26" x14ac:dyDescent="0.25">
      <c r="A2465" s="1" t="s">
        <v>9912</v>
      </c>
      <c r="B2465" s="1" t="s">
        <v>9913</v>
      </c>
      <c r="C2465" s="1" t="s">
        <v>31</v>
      </c>
      <c r="D2465" s="1" t="s">
        <v>140</v>
      </c>
      <c r="E2465" s="1" t="s">
        <v>141</v>
      </c>
      <c r="F2465" s="1" t="s">
        <v>9914</v>
      </c>
      <c r="G2465" s="1" t="s">
        <v>12497</v>
      </c>
      <c r="H2465" s="1" t="s">
        <v>9915</v>
      </c>
      <c r="I2465" s="2">
        <v>10.57</v>
      </c>
      <c r="J2465" s="2">
        <v>1.18</v>
      </c>
      <c r="K2465" s="2">
        <v>1.07</v>
      </c>
      <c r="L2465" s="2">
        <v>1.1100000000000001</v>
      </c>
      <c r="M2465" s="4">
        <f t="shared" si="228"/>
        <v>9.8785046728971952</v>
      </c>
      <c r="N2465" s="4">
        <f t="shared" si="229"/>
        <v>9.5225225225225216</v>
      </c>
      <c r="O2465" s="5">
        <f t="shared" si="230"/>
        <v>-9.322033898305071E-2</v>
      </c>
      <c r="P2465" s="5">
        <f t="shared" si="231"/>
        <v>3.7383177570093462E-2</v>
      </c>
      <c r="Q2465" s="4">
        <f t="shared" si="232"/>
        <v>-1.0596941376380644</v>
      </c>
      <c r="R2465" s="4">
        <f t="shared" si="233"/>
        <v>2.5472747747747744</v>
      </c>
      <c r="S2465" s="4">
        <v>2.98</v>
      </c>
      <c r="T2465" s="2">
        <v>0.54</v>
      </c>
      <c r="U2465" s="2">
        <v>16.829999999999998</v>
      </c>
      <c r="V2465" s="2">
        <v>9.74</v>
      </c>
      <c r="W2465" s="2">
        <v>-2.31</v>
      </c>
      <c r="X2465" s="2">
        <v>-6.21</v>
      </c>
      <c r="Y2465" s="2">
        <v>-1.49</v>
      </c>
      <c r="Z2465" s="2">
        <v>2.72</v>
      </c>
    </row>
    <row r="2466" spans="1:26" x14ac:dyDescent="0.25">
      <c r="A2466" s="1" t="s">
        <v>9916</v>
      </c>
      <c r="B2466" s="1" t="s">
        <v>9917</v>
      </c>
      <c r="C2466" s="1" t="s">
        <v>16</v>
      </c>
      <c r="D2466" s="1" t="s">
        <v>38</v>
      </c>
      <c r="E2466" s="1" t="s">
        <v>259</v>
      </c>
      <c r="F2466" s="1" t="s">
        <v>9918</v>
      </c>
      <c r="G2466" s="1" t="s">
        <v>12480</v>
      </c>
      <c r="H2466" s="1" t="s">
        <v>9919</v>
      </c>
      <c r="I2466" s="2">
        <v>151.24</v>
      </c>
      <c r="J2466" s="2"/>
      <c r="K2466" s="2"/>
      <c r="L2466" s="2"/>
      <c r="M2466" s="4" t="e">
        <f t="shared" si="228"/>
        <v>#DIV/0!</v>
      </c>
      <c r="N2466" s="4" t="e">
        <f t="shared" si="229"/>
        <v>#DIV/0!</v>
      </c>
      <c r="O2466" s="5" t="e">
        <f t="shared" si="230"/>
        <v>#DIV/0!</v>
      </c>
      <c r="P2466" s="5" t="e">
        <f t="shared" si="231"/>
        <v>#DIV/0!</v>
      </c>
      <c r="Q2466" s="4" t="e">
        <f t="shared" si="232"/>
        <v>#DIV/0!</v>
      </c>
      <c r="R2466" s="4" t="e">
        <f t="shared" si="233"/>
        <v>#DIV/0!</v>
      </c>
      <c r="S2466" s="4"/>
      <c r="T2466" s="2">
        <v>0.75</v>
      </c>
      <c r="U2466" s="2">
        <v>155.93</v>
      </c>
      <c r="V2466" s="2">
        <v>121.58</v>
      </c>
      <c r="W2466" s="2">
        <v>-2.99</v>
      </c>
      <c r="X2466" s="2">
        <v>-1.1499999999999999</v>
      </c>
      <c r="Y2466" s="2">
        <v>6.5</v>
      </c>
      <c r="Z2466" s="2">
        <v>8.68</v>
      </c>
    </row>
    <row r="2467" spans="1:26" x14ac:dyDescent="0.25">
      <c r="A2467" s="1" t="s">
        <v>9920</v>
      </c>
      <c r="B2467" s="1" t="s">
        <v>9921</v>
      </c>
      <c r="C2467" s="1" t="s">
        <v>31</v>
      </c>
      <c r="D2467" s="1" t="s">
        <v>18</v>
      </c>
      <c r="E2467" s="1" t="s">
        <v>780</v>
      </c>
      <c r="F2467" s="1" t="s">
        <v>9922</v>
      </c>
      <c r="G2467" s="1" t="s">
        <v>12480</v>
      </c>
      <c r="H2467" s="1" t="s">
        <v>12780</v>
      </c>
      <c r="I2467" s="2">
        <v>82.51</v>
      </c>
      <c r="J2467" s="2">
        <v>3.64</v>
      </c>
      <c r="K2467" s="2">
        <v>4.22</v>
      </c>
      <c r="L2467" s="2">
        <v>4.63</v>
      </c>
      <c r="M2467" s="4">
        <f t="shared" si="228"/>
        <v>19.552132701421804</v>
      </c>
      <c r="N2467" s="4">
        <f t="shared" si="229"/>
        <v>17.820734341252702</v>
      </c>
      <c r="O2467" s="5">
        <f t="shared" si="230"/>
        <v>0.15934065934065922</v>
      </c>
      <c r="P2467" s="5">
        <f t="shared" si="231"/>
        <v>9.7156398104265351E-2</v>
      </c>
      <c r="Q2467" s="4">
        <f t="shared" si="232"/>
        <v>1.2270648798823349</v>
      </c>
      <c r="R2467" s="4">
        <f t="shared" si="233"/>
        <v>1.8342316809777184</v>
      </c>
      <c r="S2467" s="4">
        <v>7.04</v>
      </c>
      <c r="T2467" s="2">
        <v>0.45</v>
      </c>
      <c r="U2467" s="2">
        <v>93.35</v>
      </c>
      <c r="V2467" s="2">
        <v>37.15</v>
      </c>
      <c r="W2467" s="2">
        <v>-4.8499999999999996</v>
      </c>
      <c r="X2467" s="2">
        <v>0.16</v>
      </c>
      <c r="Y2467" s="2">
        <v>13.35</v>
      </c>
      <c r="Z2467" s="2">
        <v>13.38</v>
      </c>
    </row>
    <row r="2468" spans="1:26" x14ac:dyDescent="0.25">
      <c r="A2468" s="1" t="s">
        <v>9923</v>
      </c>
      <c r="B2468" s="1" t="s">
        <v>9924</v>
      </c>
      <c r="C2468" s="1" t="s">
        <v>16</v>
      </c>
      <c r="D2468" s="1" t="s">
        <v>32</v>
      </c>
      <c r="E2468" s="1" t="s">
        <v>311</v>
      </c>
      <c r="F2468" s="1" t="s">
        <v>9925</v>
      </c>
      <c r="G2468" s="1" t="s">
        <v>12480</v>
      </c>
      <c r="H2468" s="1" t="s">
        <v>9926</v>
      </c>
      <c r="I2468" s="2">
        <v>90.1</v>
      </c>
      <c r="J2468" s="2">
        <v>3.29</v>
      </c>
      <c r="K2468" s="2">
        <v>5.16</v>
      </c>
      <c r="L2468" s="2">
        <v>6.68</v>
      </c>
      <c r="M2468" s="4">
        <f t="shared" si="228"/>
        <v>17.461240310077518</v>
      </c>
      <c r="N2468" s="4">
        <f t="shared" si="229"/>
        <v>13.488023952095809</v>
      </c>
      <c r="O2468" s="5">
        <f t="shared" si="230"/>
        <v>0.56838905775075999</v>
      </c>
      <c r="P2468" s="5">
        <f t="shared" si="231"/>
        <v>0.29457364341085257</v>
      </c>
      <c r="Q2468" s="4">
        <f t="shared" si="232"/>
        <v>0.30720577871740651</v>
      </c>
      <c r="R2468" s="4">
        <f t="shared" si="233"/>
        <v>0.45788291837377898</v>
      </c>
      <c r="S2468" s="4">
        <v>36.380000000000003</v>
      </c>
      <c r="T2468" s="2">
        <v>1.59</v>
      </c>
      <c r="U2468" s="2">
        <v>196.5</v>
      </c>
      <c r="V2468" s="2">
        <v>87.82</v>
      </c>
      <c r="W2468" s="2">
        <v>-14.36</v>
      </c>
      <c r="X2468" s="2">
        <v>-17.23</v>
      </c>
      <c r="Y2468" s="2">
        <v>-25.88</v>
      </c>
      <c r="Z2468" s="2">
        <v>-29.37</v>
      </c>
    </row>
    <row r="2469" spans="1:26" x14ac:dyDescent="0.25">
      <c r="A2469" s="1" t="s">
        <v>9927</v>
      </c>
      <c r="B2469" s="1" t="s">
        <v>9928</v>
      </c>
      <c r="C2469" s="1" t="s">
        <v>1118</v>
      </c>
      <c r="D2469" s="1" t="s">
        <v>128</v>
      </c>
      <c r="E2469" s="1" t="s">
        <v>556</v>
      </c>
      <c r="F2469" s="1" t="s">
        <v>9929</v>
      </c>
      <c r="G2469" s="1" t="s">
        <v>12480</v>
      </c>
      <c r="H2469" s="1" t="s">
        <v>97</v>
      </c>
      <c r="I2469" s="2">
        <v>4862.3599000000004</v>
      </c>
      <c r="J2469" s="2">
        <v>514.46</v>
      </c>
      <c r="K2469" s="2"/>
      <c r="L2469" s="2"/>
      <c r="M2469" s="4" t="e">
        <f t="shared" si="228"/>
        <v>#DIV/0!</v>
      </c>
      <c r="N2469" s="4" t="e">
        <f t="shared" si="229"/>
        <v>#DIV/0!</v>
      </c>
      <c r="O2469" s="5">
        <f t="shared" si="230"/>
        <v>-1</v>
      </c>
      <c r="P2469" s="5" t="e">
        <f t="shared" si="231"/>
        <v>#DIV/0!</v>
      </c>
      <c r="Q2469" s="4" t="e">
        <f t="shared" si="232"/>
        <v>#DIV/0!</v>
      </c>
      <c r="R2469" s="4" t="e">
        <f t="shared" si="233"/>
        <v>#DIV/0!</v>
      </c>
      <c r="S2469" s="4">
        <v>7.1</v>
      </c>
      <c r="T2469" s="2">
        <v>0.36</v>
      </c>
      <c r="U2469" s="2">
        <v>5587.66</v>
      </c>
      <c r="V2469" s="2">
        <v>2459.69</v>
      </c>
      <c r="W2469" s="2">
        <v>-6.18</v>
      </c>
      <c r="X2469" s="2">
        <v>-11.49</v>
      </c>
      <c r="Y2469" s="2">
        <v>8.18</v>
      </c>
      <c r="Z2469" s="2">
        <v>9.39</v>
      </c>
    </row>
    <row r="2470" spans="1:26" x14ac:dyDescent="0.25">
      <c r="A2470" s="1" t="s">
        <v>9930</v>
      </c>
      <c r="B2470" s="1" t="s">
        <v>9931</v>
      </c>
      <c r="C2470" s="1" t="s">
        <v>45</v>
      </c>
      <c r="D2470" s="1" t="s">
        <v>94</v>
      </c>
      <c r="E2470" s="1" t="s">
        <v>1055</v>
      </c>
      <c r="F2470" s="1" t="s">
        <v>9932</v>
      </c>
      <c r="G2470" s="1" t="s">
        <v>12480</v>
      </c>
      <c r="H2470" s="1" t="s">
        <v>9933</v>
      </c>
      <c r="I2470" s="2">
        <v>34.590000000000003</v>
      </c>
      <c r="J2470" s="2">
        <v>-2.38</v>
      </c>
      <c r="K2470" s="2">
        <v>0.28000000000000003</v>
      </c>
      <c r="L2470" s="2">
        <v>1.98</v>
      </c>
      <c r="M2470" s="4">
        <f t="shared" si="228"/>
        <v>123.53571428571429</v>
      </c>
      <c r="N2470" s="4">
        <f t="shared" si="229"/>
        <v>17.469696969696972</v>
      </c>
      <c r="O2470" s="5">
        <f t="shared" si="230"/>
        <v>-1.1176470588235294</v>
      </c>
      <c r="P2470" s="5">
        <f t="shared" si="231"/>
        <v>6.0714285714285703</v>
      </c>
      <c r="Q2470" s="4">
        <f t="shared" si="232"/>
        <v>-1.1053195488721805</v>
      </c>
      <c r="R2470" s="4">
        <f t="shared" si="233"/>
        <v>2.8773618538324431E-2</v>
      </c>
      <c r="S2470" s="4">
        <v>31.39</v>
      </c>
      <c r="T2470" s="2">
        <v>1.62</v>
      </c>
      <c r="U2470" s="2">
        <v>45.38</v>
      </c>
      <c r="V2470" s="2">
        <v>11.58</v>
      </c>
      <c r="W2470" s="2">
        <v>-14.8</v>
      </c>
      <c r="X2470" s="2">
        <v>-6.01</v>
      </c>
      <c r="Y2470" s="2">
        <v>21.2</v>
      </c>
      <c r="Z2470" s="2">
        <v>19.899999999999999</v>
      </c>
    </row>
    <row r="2471" spans="1:26" x14ac:dyDescent="0.25">
      <c r="A2471" s="1" t="s">
        <v>9934</v>
      </c>
      <c r="B2471" s="1" t="s">
        <v>9935</v>
      </c>
      <c r="C2471" s="1" t="s">
        <v>16</v>
      </c>
      <c r="D2471" s="1" t="s">
        <v>25</v>
      </c>
      <c r="E2471" s="1" t="s">
        <v>734</v>
      </c>
      <c r="F2471" s="1" t="s">
        <v>9936</v>
      </c>
      <c r="G2471" s="1" t="s">
        <v>12480</v>
      </c>
      <c r="H2471" s="1" t="s">
        <v>9937</v>
      </c>
      <c r="I2471" s="2">
        <v>42.03</v>
      </c>
      <c r="J2471" s="2">
        <v>3.34</v>
      </c>
      <c r="K2471" s="2">
        <v>3.34</v>
      </c>
      <c r="L2471" s="2">
        <v>3.57</v>
      </c>
      <c r="M2471" s="4">
        <f t="shared" si="228"/>
        <v>12.583832335329342</v>
      </c>
      <c r="N2471" s="4">
        <f t="shared" si="229"/>
        <v>11.77310924369748</v>
      </c>
      <c r="O2471" s="5">
        <f t="shared" si="230"/>
        <v>0</v>
      </c>
      <c r="P2471" s="5">
        <f t="shared" si="231"/>
        <v>6.8862275449101729E-2</v>
      </c>
      <c r="Q2471" s="4" t="e">
        <f t="shared" si="232"/>
        <v>#DIV/0!</v>
      </c>
      <c r="R2471" s="4">
        <f t="shared" si="233"/>
        <v>1.709660211910853</v>
      </c>
      <c r="S2471" s="4">
        <v>-0.61</v>
      </c>
      <c r="T2471" s="2">
        <v>1.35</v>
      </c>
      <c r="U2471" s="2">
        <v>43.4</v>
      </c>
      <c r="V2471" s="2">
        <v>23.93</v>
      </c>
      <c r="W2471" s="2">
        <v>0.17</v>
      </c>
      <c r="X2471" s="2">
        <v>0.45</v>
      </c>
      <c r="Y2471" s="2">
        <v>-0.12</v>
      </c>
      <c r="Z2471" s="2">
        <v>1.45</v>
      </c>
    </row>
    <row r="2472" spans="1:26" x14ac:dyDescent="0.25">
      <c r="A2472" s="1" t="s">
        <v>9938</v>
      </c>
      <c r="B2472" s="1" t="s">
        <v>9939</v>
      </c>
      <c r="C2472" s="1" t="s">
        <v>31</v>
      </c>
      <c r="D2472" s="1" t="s">
        <v>38</v>
      </c>
      <c r="E2472" s="1" t="s">
        <v>510</v>
      </c>
      <c r="F2472" s="1" t="s">
        <v>9940</v>
      </c>
      <c r="G2472" s="1" t="s">
        <v>12480</v>
      </c>
      <c r="H2472" s="1" t="s">
        <v>9941</v>
      </c>
      <c r="I2472" s="2">
        <v>10.24</v>
      </c>
      <c r="J2472" s="2">
        <v>0.48</v>
      </c>
      <c r="K2472" s="2"/>
      <c r="L2472" s="2"/>
      <c r="M2472" s="4" t="e">
        <f t="shared" si="228"/>
        <v>#DIV/0!</v>
      </c>
      <c r="N2472" s="4" t="e">
        <f t="shared" si="229"/>
        <v>#DIV/0!</v>
      </c>
      <c r="O2472" s="5">
        <f t="shared" si="230"/>
        <v>-1</v>
      </c>
      <c r="P2472" s="5" t="e">
        <f t="shared" si="231"/>
        <v>#DIV/0!</v>
      </c>
      <c r="Q2472" s="4" t="e">
        <f t="shared" si="232"/>
        <v>#DIV/0!</v>
      </c>
      <c r="R2472" s="4" t="e">
        <f t="shared" si="233"/>
        <v>#DIV/0!</v>
      </c>
      <c r="S2472" s="4">
        <v>10.97</v>
      </c>
      <c r="T2472" s="2">
        <v>1.1200000000000001</v>
      </c>
      <c r="U2472" s="2">
        <v>11.13</v>
      </c>
      <c r="V2472" s="2">
        <v>7.64</v>
      </c>
      <c r="W2472" s="2">
        <v>-7.96</v>
      </c>
      <c r="X2472" s="2">
        <v>-0.51</v>
      </c>
      <c r="Y2472" s="2">
        <v>8.65</v>
      </c>
      <c r="Z2472" s="2">
        <v>8.68</v>
      </c>
    </row>
    <row r="2473" spans="1:26" x14ac:dyDescent="0.25">
      <c r="A2473" s="1" t="s">
        <v>9942</v>
      </c>
      <c r="B2473" s="1" t="s">
        <v>9943</v>
      </c>
      <c r="C2473" s="1" t="s">
        <v>16</v>
      </c>
      <c r="D2473" s="1" t="s">
        <v>94</v>
      </c>
      <c r="E2473" s="1" t="s">
        <v>6131</v>
      </c>
      <c r="F2473" s="1" t="s">
        <v>9944</v>
      </c>
      <c r="G2473" s="1" t="s">
        <v>12480</v>
      </c>
      <c r="H2473" s="1" t="s">
        <v>7102</v>
      </c>
      <c r="I2473" s="2">
        <v>49.45</v>
      </c>
      <c r="J2473" s="2">
        <v>1.25</v>
      </c>
      <c r="K2473" s="2">
        <v>1.22</v>
      </c>
      <c r="L2473" s="2">
        <v>2.3199999999999998</v>
      </c>
      <c r="M2473" s="4">
        <f t="shared" si="228"/>
        <v>40.532786885245905</v>
      </c>
      <c r="N2473" s="4">
        <f t="shared" si="229"/>
        <v>21.314655172413797</v>
      </c>
      <c r="O2473" s="5">
        <f t="shared" si="230"/>
        <v>-2.4000000000000021E-2</v>
      </c>
      <c r="P2473" s="5">
        <f t="shared" si="231"/>
        <v>0.90163934426229497</v>
      </c>
      <c r="Q2473" s="4">
        <f t="shared" si="232"/>
        <v>-16.88866120218578</v>
      </c>
      <c r="R2473" s="4">
        <f t="shared" si="233"/>
        <v>0.23639890282131668</v>
      </c>
      <c r="S2473" s="4">
        <v>98.73</v>
      </c>
      <c r="T2473" s="2">
        <v>1.1299999999999999</v>
      </c>
      <c r="U2473" s="2" t="s">
        <v>12781</v>
      </c>
      <c r="V2473" s="2">
        <v>15.96</v>
      </c>
      <c r="W2473" s="2">
        <v>0.28000000000000003</v>
      </c>
      <c r="X2473" s="2">
        <v>-6.63</v>
      </c>
      <c r="Y2473" s="2">
        <v>13.52</v>
      </c>
      <c r="Z2473" s="2">
        <v>7.57</v>
      </c>
    </row>
    <row r="2474" spans="1:26" x14ac:dyDescent="0.25">
      <c r="A2474" s="1" t="s">
        <v>9945</v>
      </c>
      <c r="B2474" s="1" t="s">
        <v>9946</v>
      </c>
      <c r="C2474" s="1" t="s">
        <v>45</v>
      </c>
      <c r="D2474" s="1" t="s">
        <v>38</v>
      </c>
      <c r="E2474" s="1" t="s">
        <v>101</v>
      </c>
      <c r="F2474" s="1" t="s">
        <v>9947</v>
      </c>
      <c r="G2474" s="1" t="s">
        <v>12480</v>
      </c>
      <c r="H2474" s="1" t="s">
        <v>9948</v>
      </c>
      <c r="I2474" s="2">
        <v>81.16</v>
      </c>
      <c r="J2474" s="2">
        <v>5.63</v>
      </c>
      <c r="K2474" s="2">
        <v>5.66</v>
      </c>
      <c r="L2474" s="2">
        <v>6.34</v>
      </c>
      <c r="M2474" s="4">
        <f t="shared" si="228"/>
        <v>14.339222614840988</v>
      </c>
      <c r="N2474" s="4">
        <f t="shared" si="229"/>
        <v>12.801261829652997</v>
      </c>
      <c r="O2474" s="5">
        <f t="shared" si="230"/>
        <v>5.3285968028420339E-3</v>
      </c>
      <c r="P2474" s="5">
        <f t="shared" si="231"/>
        <v>0.12014134275618371</v>
      </c>
      <c r="Q2474" s="4">
        <f t="shared" si="232"/>
        <v>26.909941107184338</v>
      </c>
      <c r="R2474" s="4">
        <f t="shared" si="233"/>
        <v>1.0655167934681762</v>
      </c>
      <c r="S2474" s="4">
        <v>8.1</v>
      </c>
      <c r="T2474" s="2">
        <v>0.96</v>
      </c>
      <c r="U2474" s="2">
        <v>93.8</v>
      </c>
      <c r="V2474" s="2">
        <v>66.45</v>
      </c>
      <c r="W2474" s="2">
        <v>-1.43</v>
      </c>
      <c r="X2474" s="2">
        <v>-4.93</v>
      </c>
      <c r="Y2474" s="2">
        <v>-1.01</v>
      </c>
      <c r="Z2474" s="2">
        <v>-1.05</v>
      </c>
    </row>
    <row r="2475" spans="1:26" x14ac:dyDescent="0.25">
      <c r="A2475" s="1" t="s">
        <v>9949</v>
      </c>
      <c r="B2475" s="1" t="s">
        <v>9950</v>
      </c>
      <c r="C2475" s="1" t="s">
        <v>31</v>
      </c>
      <c r="D2475" s="1" t="s">
        <v>32</v>
      </c>
      <c r="E2475" s="1" t="s">
        <v>6624</v>
      </c>
      <c r="F2475" s="1" t="s">
        <v>9951</v>
      </c>
      <c r="G2475" s="1" t="s">
        <v>12490</v>
      </c>
      <c r="H2475" s="1" t="s">
        <v>9952</v>
      </c>
      <c r="I2475" s="2">
        <v>6.33</v>
      </c>
      <c r="J2475" s="2">
        <v>0.55000000000000004</v>
      </c>
      <c r="K2475" s="2">
        <v>0.46</v>
      </c>
      <c r="L2475" s="2">
        <v>0.56000000000000005</v>
      </c>
      <c r="M2475" s="4">
        <f t="shared" si="228"/>
        <v>13.760869565217391</v>
      </c>
      <c r="N2475" s="4">
        <f t="shared" si="229"/>
        <v>11.303571428571427</v>
      </c>
      <c r="O2475" s="5">
        <f t="shared" si="230"/>
        <v>-0.16363636363636369</v>
      </c>
      <c r="P2475" s="5">
        <f t="shared" si="231"/>
        <v>0.21739130434782616</v>
      </c>
      <c r="Q2475" s="4">
        <f t="shared" si="232"/>
        <v>-0.84094202898550685</v>
      </c>
      <c r="R2475" s="4">
        <f t="shared" si="233"/>
        <v>0.51996428571428543</v>
      </c>
      <c r="S2475" s="4">
        <v>3.08</v>
      </c>
      <c r="T2475" s="2">
        <v>0.67</v>
      </c>
      <c r="U2475" s="2">
        <v>8.4499999999999993</v>
      </c>
      <c r="V2475" s="2">
        <v>5.79</v>
      </c>
      <c r="W2475" s="2">
        <v>-4.09</v>
      </c>
      <c r="X2475" s="2">
        <v>-7.05</v>
      </c>
      <c r="Y2475" s="2">
        <v>-0.31</v>
      </c>
      <c r="Z2475" s="2">
        <v>1.34</v>
      </c>
    </row>
    <row r="2476" spans="1:26" x14ac:dyDescent="0.25">
      <c r="A2476" s="1" t="s">
        <v>9953</v>
      </c>
      <c r="B2476" s="1" t="s">
        <v>9954</v>
      </c>
      <c r="C2476" s="1" t="s">
        <v>16</v>
      </c>
      <c r="D2476" s="1" t="s">
        <v>18</v>
      </c>
      <c r="E2476" s="1" t="s">
        <v>2606</v>
      </c>
      <c r="F2476" s="1" t="s">
        <v>9955</v>
      </c>
      <c r="G2476" s="1" t="s">
        <v>12480</v>
      </c>
      <c r="H2476" s="1" t="s">
        <v>9956</v>
      </c>
      <c r="I2476" s="2">
        <v>16.25</v>
      </c>
      <c r="J2476" s="2">
        <v>1.1599999999999999</v>
      </c>
      <c r="K2476" s="2">
        <v>1.27</v>
      </c>
      <c r="L2476" s="2">
        <v>1.44</v>
      </c>
      <c r="M2476" s="4">
        <f t="shared" si="228"/>
        <v>12.795275590551181</v>
      </c>
      <c r="N2476" s="4">
        <f t="shared" si="229"/>
        <v>11.284722222222223</v>
      </c>
      <c r="O2476" s="5">
        <f t="shared" si="230"/>
        <v>9.4827586206896575E-2</v>
      </c>
      <c r="P2476" s="5">
        <f t="shared" si="231"/>
        <v>0.13385826771653542</v>
      </c>
      <c r="Q2476" s="4">
        <f t="shared" si="232"/>
        <v>1.349319971367215</v>
      </c>
      <c r="R2476" s="4">
        <f t="shared" si="233"/>
        <v>0.84303513071895453</v>
      </c>
      <c r="S2476" s="4">
        <v>5.12</v>
      </c>
      <c r="T2476" s="2">
        <v>1.22</v>
      </c>
      <c r="U2476" s="2">
        <v>18.41</v>
      </c>
      <c r="V2476" s="2">
        <v>11.77</v>
      </c>
      <c r="W2476" s="2">
        <v>8.33</v>
      </c>
      <c r="X2476" s="2">
        <v>3.9</v>
      </c>
      <c r="Y2476" s="2">
        <v>3.9</v>
      </c>
      <c r="Z2476" s="2">
        <v>9.43</v>
      </c>
    </row>
    <row r="2477" spans="1:26" x14ac:dyDescent="0.25">
      <c r="A2477" s="1" t="s">
        <v>9957</v>
      </c>
      <c r="B2477" s="1" t="s">
        <v>9958</v>
      </c>
      <c r="C2477" s="1" t="s">
        <v>16</v>
      </c>
      <c r="D2477" s="1" t="s">
        <v>32</v>
      </c>
      <c r="E2477" s="1" t="s">
        <v>311</v>
      </c>
      <c r="F2477" s="1" t="s">
        <v>9959</v>
      </c>
      <c r="G2477" s="1" t="s">
        <v>12480</v>
      </c>
      <c r="H2477" s="1" t="s">
        <v>9960</v>
      </c>
      <c r="I2477" s="2">
        <v>11.94</v>
      </c>
      <c r="J2477" s="2">
        <v>0.28999999999999998</v>
      </c>
      <c r="K2477" s="2">
        <v>0.36</v>
      </c>
      <c r="L2477" s="2">
        <v>0.45</v>
      </c>
      <c r="M2477" s="4">
        <f t="shared" si="228"/>
        <v>33.166666666666664</v>
      </c>
      <c r="N2477" s="4">
        <f t="shared" si="229"/>
        <v>26.533333333333331</v>
      </c>
      <c r="O2477" s="5">
        <f t="shared" si="230"/>
        <v>0.24137931034482762</v>
      </c>
      <c r="P2477" s="5">
        <f t="shared" si="231"/>
        <v>0.25</v>
      </c>
      <c r="Q2477" s="4">
        <f t="shared" si="232"/>
        <v>1.3740476190476187</v>
      </c>
      <c r="R2477" s="4">
        <f t="shared" si="233"/>
        <v>1.0613333333333332</v>
      </c>
      <c r="S2477" s="4">
        <v>17.739999999999998</v>
      </c>
      <c r="T2477" s="2">
        <v>1.55</v>
      </c>
      <c r="U2477" s="2">
        <v>11.95</v>
      </c>
      <c r="V2477" s="2">
        <v>6.75</v>
      </c>
      <c r="W2477" s="2">
        <v>1.19</v>
      </c>
      <c r="X2477" s="2">
        <v>0.84</v>
      </c>
      <c r="Y2477" s="2">
        <v>0.67</v>
      </c>
      <c r="Z2477" s="2">
        <v>0.42</v>
      </c>
    </row>
    <row r="2478" spans="1:26" x14ac:dyDescent="0.25">
      <c r="A2478" s="1" t="s">
        <v>9961</v>
      </c>
      <c r="B2478" s="1" t="s">
        <v>9962</v>
      </c>
      <c r="C2478" s="1" t="s">
        <v>31</v>
      </c>
      <c r="D2478" s="1" t="s">
        <v>88</v>
      </c>
      <c r="E2478" s="1" t="s">
        <v>6156</v>
      </c>
      <c r="F2478" s="1" t="s">
        <v>9963</v>
      </c>
      <c r="G2478" s="1" t="s">
        <v>12480</v>
      </c>
      <c r="H2478" s="1" t="s">
        <v>9964</v>
      </c>
      <c r="I2478" s="2">
        <v>12.37</v>
      </c>
      <c r="J2478" s="2">
        <v>0.46</v>
      </c>
      <c r="K2478" s="2">
        <v>0.68</v>
      </c>
      <c r="L2478" s="2">
        <v>0.93</v>
      </c>
      <c r="M2478" s="4">
        <f t="shared" si="228"/>
        <v>18.191176470588232</v>
      </c>
      <c r="N2478" s="4">
        <f t="shared" si="229"/>
        <v>13.301075268817202</v>
      </c>
      <c r="O2478" s="5">
        <f t="shared" si="230"/>
        <v>0.47826086956521752</v>
      </c>
      <c r="P2478" s="5">
        <f t="shared" si="231"/>
        <v>0.36764705882352944</v>
      </c>
      <c r="Q2478" s="4">
        <f t="shared" si="232"/>
        <v>0.38036096256684476</v>
      </c>
      <c r="R2478" s="4">
        <f t="shared" si="233"/>
        <v>0.36178924731182788</v>
      </c>
      <c r="S2478" s="4">
        <v>7.72</v>
      </c>
      <c r="T2478" s="2">
        <v>0.66</v>
      </c>
      <c r="U2478" s="2">
        <v>14.41</v>
      </c>
      <c r="V2478" s="2">
        <v>8.1999999999999993</v>
      </c>
      <c r="W2478" s="2">
        <v>-5.14</v>
      </c>
      <c r="X2478" s="2">
        <v>-5.36</v>
      </c>
      <c r="Y2478" s="2">
        <v>3.78</v>
      </c>
      <c r="Z2478" s="2">
        <v>-1.2</v>
      </c>
    </row>
    <row r="2479" spans="1:26" x14ac:dyDescent="0.25">
      <c r="A2479" s="1" t="s">
        <v>9965</v>
      </c>
      <c r="B2479" s="1" t="s">
        <v>9966</v>
      </c>
      <c r="C2479" s="1" t="s">
        <v>45</v>
      </c>
      <c r="D2479" s="1" t="s">
        <v>18</v>
      </c>
      <c r="E2479" s="1" t="s">
        <v>74</v>
      </c>
      <c r="F2479" s="1" t="s">
        <v>9967</v>
      </c>
      <c r="G2479" s="1" t="s">
        <v>12480</v>
      </c>
      <c r="H2479" s="1" t="s">
        <v>9968</v>
      </c>
      <c r="I2479" s="2">
        <v>29.06</v>
      </c>
      <c r="J2479" s="2">
        <v>-1.1000000000000001</v>
      </c>
      <c r="K2479" s="2">
        <v>-1.1100000000000001</v>
      </c>
      <c r="L2479" s="2">
        <v>-2.02</v>
      </c>
      <c r="M2479" s="4">
        <f t="shared" si="228"/>
        <v>-26.180180180180177</v>
      </c>
      <c r="N2479" s="4">
        <f t="shared" si="229"/>
        <v>-14.386138613861386</v>
      </c>
      <c r="O2479" s="5">
        <f t="shared" si="230"/>
        <v>9.0909090909090384E-3</v>
      </c>
      <c r="P2479" s="5">
        <f t="shared" si="231"/>
        <v>0.81981981981981966</v>
      </c>
      <c r="Q2479" s="4">
        <f t="shared" si="232"/>
        <v>-28.79819819819836</v>
      </c>
      <c r="R2479" s="4">
        <f t="shared" si="233"/>
        <v>-0.17547927320204551</v>
      </c>
      <c r="S2479" s="4">
        <v>4174.51</v>
      </c>
      <c r="T2479" s="2">
        <v>3.46</v>
      </c>
      <c r="U2479" s="2">
        <v>30.86</v>
      </c>
      <c r="V2479" s="2">
        <v>5.0199999999999996</v>
      </c>
      <c r="W2479" s="2">
        <v>1.47</v>
      </c>
      <c r="X2479" s="2">
        <v>9.2899999999999991</v>
      </c>
      <c r="Y2479" s="2">
        <v>6.92</v>
      </c>
      <c r="Z2479" s="2">
        <v>4.2300000000000004</v>
      </c>
    </row>
    <row r="2480" spans="1:26" x14ac:dyDescent="0.25">
      <c r="A2480" s="1" t="s">
        <v>9969</v>
      </c>
      <c r="B2480" s="1" t="s">
        <v>9970</v>
      </c>
      <c r="C2480" s="1" t="s">
        <v>45</v>
      </c>
      <c r="D2480" s="1" t="s">
        <v>140</v>
      </c>
      <c r="E2480" s="1" t="s">
        <v>1555</v>
      </c>
      <c r="F2480" s="1" t="s">
        <v>9971</v>
      </c>
      <c r="G2480" s="1" t="s">
        <v>12480</v>
      </c>
      <c r="H2480" s="1" t="s">
        <v>1937</v>
      </c>
      <c r="I2480" s="2">
        <v>72.45</v>
      </c>
      <c r="J2480" s="2">
        <v>3.59</v>
      </c>
      <c r="K2480" s="2">
        <v>4.6900000000000004</v>
      </c>
      <c r="L2480" s="2">
        <v>5.8</v>
      </c>
      <c r="M2480" s="4">
        <f t="shared" si="228"/>
        <v>15.44776119402985</v>
      </c>
      <c r="N2480" s="4">
        <f t="shared" si="229"/>
        <v>12.491379310344829</v>
      </c>
      <c r="O2480" s="5">
        <f t="shared" si="230"/>
        <v>0.30640668523676906</v>
      </c>
      <c r="P2480" s="5">
        <f t="shared" si="231"/>
        <v>0.23667377398720668</v>
      </c>
      <c r="Q2480" s="4">
        <f t="shared" si="232"/>
        <v>0.50415875169606461</v>
      </c>
      <c r="R2480" s="4">
        <f t="shared" si="233"/>
        <v>0.52778890959925484</v>
      </c>
      <c r="S2480" s="4">
        <v>66.08</v>
      </c>
      <c r="T2480" s="2">
        <v>8.57</v>
      </c>
      <c r="U2480" s="2">
        <v>182.16</v>
      </c>
      <c r="V2480" s="2">
        <v>28.7</v>
      </c>
      <c r="W2480" s="2">
        <v>-4.42</v>
      </c>
      <c r="X2480" s="2">
        <v>7.32</v>
      </c>
      <c r="Y2480" s="2">
        <v>9.49</v>
      </c>
      <c r="Z2480" s="2">
        <v>14.14</v>
      </c>
    </row>
    <row r="2481" spans="1:26" x14ac:dyDescent="0.25">
      <c r="A2481" s="1" t="s">
        <v>9972</v>
      </c>
      <c r="B2481" s="1" t="s">
        <v>9973</v>
      </c>
      <c r="C2481" s="1" t="s">
        <v>16</v>
      </c>
      <c r="D2481" s="1" t="s">
        <v>38</v>
      </c>
      <c r="E2481" s="1" t="s">
        <v>1408</v>
      </c>
      <c r="F2481" s="1" t="s">
        <v>9974</v>
      </c>
      <c r="G2481" s="1" t="s">
        <v>12480</v>
      </c>
      <c r="H2481" s="1" t="s">
        <v>9975</v>
      </c>
      <c r="I2481" s="2">
        <v>73.05</v>
      </c>
      <c r="J2481" s="2">
        <v>4.51</v>
      </c>
      <c r="K2481" s="2">
        <v>6.39</v>
      </c>
      <c r="L2481" s="2">
        <v>6.91</v>
      </c>
      <c r="M2481" s="4">
        <f t="shared" si="228"/>
        <v>11.431924882629108</v>
      </c>
      <c r="N2481" s="4">
        <f t="shared" si="229"/>
        <v>10.57163531114327</v>
      </c>
      <c r="O2481" s="5">
        <f t="shared" si="230"/>
        <v>0.41685144124168505</v>
      </c>
      <c r="P2481" s="5">
        <f t="shared" si="231"/>
        <v>8.1377151799687075E-2</v>
      </c>
      <c r="Q2481" s="4">
        <f t="shared" si="232"/>
        <v>0.27424458096094306</v>
      </c>
      <c r="R2481" s="4">
        <f t="shared" si="233"/>
        <v>1.2990913391962584</v>
      </c>
      <c r="S2481" s="4">
        <v>11.26</v>
      </c>
      <c r="T2481" s="2">
        <v>1.1299999999999999</v>
      </c>
      <c r="U2481" s="2">
        <v>88.81</v>
      </c>
      <c r="V2481" s="2">
        <v>50.99</v>
      </c>
      <c r="W2481" s="2">
        <v>-3.33</v>
      </c>
      <c r="X2481" s="2">
        <v>-16.05</v>
      </c>
      <c r="Y2481" s="2">
        <v>-14.56</v>
      </c>
      <c r="Z2481" s="2">
        <v>-12.49</v>
      </c>
    </row>
    <row r="2482" spans="1:26" x14ac:dyDescent="0.25">
      <c r="A2482" s="1" t="s">
        <v>9976</v>
      </c>
      <c r="B2482" s="1" t="s">
        <v>9977</v>
      </c>
      <c r="C2482" s="1" t="s">
        <v>16</v>
      </c>
      <c r="D2482" s="1" t="s">
        <v>38</v>
      </c>
      <c r="E2482" s="1" t="s">
        <v>1449</v>
      </c>
      <c r="F2482" s="1" t="s">
        <v>9978</v>
      </c>
      <c r="G2482" s="1" t="s">
        <v>12480</v>
      </c>
      <c r="H2482" s="1" t="s">
        <v>9979</v>
      </c>
      <c r="I2482" s="2">
        <v>75.72</v>
      </c>
      <c r="J2482" s="2">
        <v>5.25</v>
      </c>
      <c r="K2482" s="2">
        <v>6.4</v>
      </c>
      <c r="L2482" s="2">
        <v>7.02</v>
      </c>
      <c r="M2482" s="4">
        <f t="shared" si="228"/>
        <v>11.831249999999999</v>
      </c>
      <c r="N2482" s="4">
        <f t="shared" si="229"/>
        <v>10.786324786324787</v>
      </c>
      <c r="O2482" s="5">
        <f t="shared" si="230"/>
        <v>0.21904761904761916</v>
      </c>
      <c r="P2482" s="5">
        <f t="shared" si="231"/>
        <v>9.6874999999999822E-2</v>
      </c>
      <c r="Q2482" s="4">
        <f t="shared" si="232"/>
        <v>0.54012228260869533</v>
      </c>
      <c r="R2482" s="4">
        <f t="shared" si="233"/>
        <v>1.1134270747173993</v>
      </c>
      <c r="S2482" s="4">
        <v>3.72</v>
      </c>
      <c r="T2482" s="2">
        <v>0.91</v>
      </c>
      <c r="U2482" s="2">
        <v>89.24</v>
      </c>
      <c r="V2482" s="2">
        <v>67.760000000000005</v>
      </c>
      <c r="W2482" s="2">
        <v>-7.16</v>
      </c>
      <c r="X2482" s="2">
        <v>-12.2</v>
      </c>
      <c r="Y2482" s="2">
        <v>2.66</v>
      </c>
      <c r="Z2482" s="2">
        <v>5.47</v>
      </c>
    </row>
    <row r="2483" spans="1:26" x14ac:dyDescent="0.25">
      <c r="A2483" s="1" t="s">
        <v>9980</v>
      </c>
      <c r="B2483" s="1" t="s">
        <v>9981</v>
      </c>
      <c r="C2483" s="1" t="s">
        <v>45</v>
      </c>
      <c r="D2483" s="1" t="s">
        <v>128</v>
      </c>
      <c r="E2483" s="1" t="s">
        <v>5662</v>
      </c>
      <c r="F2483" s="1" t="s">
        <v>9982</v>
      </c>
      <c r="G2483" s="1" t="s">
        <v>12480</v>
      </c>
      <c r="H2483" s="1" t="s">
        <v>9983</v>
      </c>
      <c r="I2483" s="2">
        <v>24.25</v>
      </c>
      <c r="J2483" s="2">
        <v>1.88</v>
      </c>
      <c r="K2483" s="2">
        <v>2.4500000000000002</v>
      </c>
      <c r="L2483" s="2">
        <v>2.57</v>
      </c>
      <c r="M2483" s="4">
        <f t="shared" si="228"/>
        <v>9.8979591836734695</v>
      </c>
      <c r="N2483" s="4">
        <f t="shared" si="229"/>
        <v>9.43579766536965</v>
      </c>
      <c r="O2483" s="5">
        <f t="shared" si="230"/>
        <v>0.30319148936170226</v>
      </c>
      <c r="P2483" s="5">
        <f t="shared" si="231"/>
        <v>4.8979591836734615E-2</v>
      </c>
      <c r="Q2483" s="4">
        <f t="shared" si="232"/>
        <v>0.32645900465449323</v>
      </c>
      <c r="R2483" s="4">
        <f t="shared" si="233"/>
        <v>1.92647535667964</v>
      </c>
      <c r="S2483" s="4"/>
      <c r="T2483" s="2">
        <v>0.12</v>
      </c>
      <c r="U2483" s="2">
        <v>25.94</v>
      </c>
      <c r="V2483" s="2">
        <v>18.61</v>
      </c>
      <c r="W2483" s="2">
        <v>-3.62</v>
      </c>
      <c r="X2483" s="2">
        <v>0.28999999999999998</v>
      </c>
      <c r="Y2483" s="2">
        <v>7.21</v>
      </c>
      <c r="Z2483" s="2">
        <v>8.6</v>
      </c>
    </row>
    <row r="2484" spans="1:26" x14ac:dyDescent="0.25">
      <c r="A2484" s="1" t="s">
        <v>9984</v>
      </c>
      <c r="B2484" s="1" t="s">
        <v>9984</v>
      </c>
      <c r="C2484" s="1" t="s">
        <v>16</v>
      </c>
      <c r="D2484" s="1" t="s">
        <v>46</v>
      </c>
      <c r="E2484" s="1" t="s">
        <v>770</v>
      </c>
      <c r="F2484" s="1" t="s">
        <v>9985</v>
      </c>
      <c r="G2484" s="1" t="s">
        <v>12480</v>
      </c>
      <c r="H2484" s="1" t="s">
        <v>9986</v>
      </c>
      <c r="I2484" s="2">
        <v>10.9</v>
      </c>
      <c r="J2484" s="2">
        <v>-0.2</v>
      </c>
      <c r="K2484" s="2"/>
      <c r="L2484" s="2"/>
      <c r="M2484" s="4" t="e">
        <f t="shared" si="228"/>
        <v>#DIV/0!</v>
      </c>
      <c r="N2484" s="4" t="e">
        <f t="shared" si="229"/>
        <v>#DIV/0!</v>
      </c>
      <c r="O2484" s="5">
        <f t="shared" si="230"/>
        <v>-1</v>
      </c>
      <c r="P2484" s="5" t="e">
        <f t="shared" si="231"/>
        <v>#DIV/0!</v>
      </c>
      <c r="Q2484" s="4" t="e">
        <f t="shared" si="232"/>
        <v>#DIV/0!</v>
      </c>
      <c r="R2484" s="4" t="e">
        <f t="shared" si="233"/>
        <v>#DIV/0!</v>
      </c>
      <c r="S2484" s="4">
        <v>-18.95</v>
      </c>
      <c r="T2484" s="2">
        <v>0.41</v>
      </c>
      <c r="U2484" s="2">
        <v>11.27</v>
      </c>
      <c r="V2484" s="2">
        <v>6.84</v>
      </c>
      <c r="W2484" s="2">
        <v>-3.28</v>
      </c>
      <c r="X2484" s="2">
        <v>18.350000000000001</v>
      </c>
      <c r="Y2484" s="2">
        <v>39.03</v>
      </c>
      <c r="Z2484" s="2">
        <v>39.56</v>
      </c>
    </row>
    <row r="2485" spans="1:26" x14ac:dyDescent="0.25">
      <c r="A2485" s="1" t="s">
        <v>9987</v>
      </c>
      <c r="B2485" s="1" t="s">
        <v>9988</v>
      </c>
      <c r="C2485" s="1" t="s">
        <v>45</v>
      </c>
      <c r="D2485" s="1" t="s">
        <v>67</v>
      </c>
      <c r="E2485" s="1" t="s">
        <v>8814</v>
      </c>
      <c r="F2485" s="1" t="s">
        <v>9989</v>
      </c>
      <c r="G2485" s="1" t="s">
        <v>12480</v>
      </c>
      <c r="H2485" s="1" t="s">
        <v>9990</v>
      </c>
      <c r="I2485" s="2">
        <v>77.790000000000006</v>
      </c>
      <c r="J2485" s="2">
        <v>5.31</v>
      </c>
      <c r="K2485" s="2">
        <v>5.53</v>
      </c>
      <c r="L2485" s="2">
        <v>5.71</v>
      </c>
      <c r="M2485" s="4">
        <f t="shared" si="228"/>
        <v>14.066907775768536</v>
      </c>
      <c r="N2485" s="4">
        <f t="shared" si="229"/>
        <v>13.623467600700527</v>
      </c>
      <c r="O2485" s="5">
        <f t="shared" si="230"/>
        <v>4.1431261770245031E-2</v>
      </c>
      <c r="P2485" s="5">
        <f t="shared" si="231"/>
        <v>3.2549728752260254E-2</v>
      </c>
      <c r="Q2485" s="4">
        <f t="shared" si="232"/>
        <v>3.3952400131513887</v>
      </c>
      <c r="R2485" s="4">
        <f t="shared" si="233"/>
        <v>4.1854319906596809</v>
      </c>
      <c r="S2485" s="4">
        <v>14.08</v>
      </c>
      <c r="T2485" s="2">
        <v>0.76</v>
      </c>
      <c r="U2485" s="2">
        <v>179.53</v>
      </c>
      <c r="V2485" s="2">
        <v>65.56</v>
      </c>
      <c r="W2485" s="2">
        <v>5.14</v>
      </c>
      <c r="X2485" s="2">
        <v>18.13</v>
      </c>
      <c r="Y2485" s="2">
        <v>-3.23</v>
      </c>
      <c r="Z2485" s="2">
        <v>-2.36</v>
      </c>
    </row>
    <row r="2486" spans="1:26" x14ac:dyDescent="0.25">
      <c r="A2486" s="1" t="s">
        <v>9991</v>
      </c>
      <c r="B2486" s="1" t="s">
        <v>9992</v>
      </c>
      <c r="C2486" s="1" t="s">
        <v>45</v>
      </c>
      <c r="D2486" s="1" t="s">
        <v>38</v>
      </c>
      <c r="E2486" s="1" t="s">
        <v>119</v>
      </c>
      <c r="F2486" s="1" t="s">
        <v>9993</v>
      </c>
      <c r="G2486" s="1" t="s">
        <v>12480</v>
      </c>
      <c r="H2486" s="1" t="s">
        <v>1381</v>
      </c>
      <c r="I2486" s="2">
        <v>19.350000000000001</v>
      </c>
      <c r="J2486" s="2">
        <v>1.73</v>
      </c>
      <c r="K2486" s="2">
        <v>2.02</v>
      </c>
      <c r="L2486" s="2">
        <v>2.15</v>
      </c>
      <c r="M2486" s="4">
        <f t="shared" si="228"/>
        <v>9.5792079207920793</v>
      </c>
      <c r="N2486" s="4">
        <f t="shared" si="229"/>
        <v>9.0000000000000018</v>
      </c>
      <c r="O2486" s="5">
        <f t="shared" si="230"/>
        <v>0.16763005780346818</v>
      </c>
      <c r="P2486" s="5">
        <f t="shared" si="231"/>
        <v>6.4356435643564414E-2</v>
      </c>
      <c r="Q2486" s="4">
        <f t="shared" si="232"/>
        <v>0.57144930010242423</v>
      </c>
      <c r="R2486" s="4">
        <f t="shared" si="233"/>
        <v>1.3984615384615375</v>
      </c>
      <c r="S2486" s="4">
        <v>-2.12</v>
      </c>
      <c r="T2486" s="2">
        <v>0.91</v>
      </c>
      <c r="U2486" s="2">
        <v>21.81</v>
      </c>
      <c r="V2486" s="2">
        <v>17.260000000000002</v>
      </c>
      <c r="W2486" s="2">
        <v>-4.96</v>
      </c>
      <c r="X2486" s="2">
        <v>-11.08</v>
      </c>
      <c r="Y2486" s="2">
        <v>-0.1</v>
      </c>
      <c r="Z2486" s="2">
        <v>2.65</v>
      </c>
    </row>
    <row r="2487" spans="1:26" x14ac:dyDescent="0.25">
      <c r="A2487" s="1" t="s">
        <v>9994</v>
      </c>
      <c r="B2487" s="1" t="s">
        <v>9995</v>
      </c>
      <c r="C2487" s="1" t="s">
        <v>31</v>
      </c>
      <c r="D2487" s="1" t="s">
        <v>38</v>
      </c>
      <c r="E2487" s="1" t="s">
        <v>1806</v>
      </c>
      <c r="F2487" s="1" t="s">
        <v>9996</v>
      </c>
      <c r="G2487" s="1" t="s">
        <v>12479</v>
      </c>
      <c r="H2487" s="1" t="s">
        <v>9997</v>
      </c>
      <c r="I2487" s="2">
        <v>9.5579999999999998</v>
      </c>
      <c r="J2487" s="2">
        <v>0.53</v>
      </c>
      <c r="K2487" s="2"/>
      <c r="L2487" s="2"/>
      <c r="M2487" s="4" t="e">
        <f t="shared" si="228"/>
        <v>#DIV/0!</v>
      </c>
      <c r="N2487" s="4" t="e">
        <f t="shared" si="229"/>
        <v>#DIV/0!</v>
      </c>
      <c r="O2487" s="5">
        <f t="shared" si="230"/>
        <v>-1</v>
      </c>
      <c r="P2487" s="5" t="e">
        <f t="shared" si="231"/>
        <v>#DIV/0!</v>
      </c>
      <c r="Q2487" s="4" t="e">
        <f t="shared" si="232"/>
        <v>#DIV/0!</v>
      </c>
      <c r="R2487" s="4" t="e">
        <f t="shared" si="233"/>
        <v>#DIV/0!</v>
      </c>
      <c r="S2487" s="4">
        <v>7.61</v>
      </c>
      <c r="T2487" s="2">
        <v>0.78</v>
      </c>
      <c r="U2487" s="2">
        <v>11.01</v>
      </c>
      <c r="V2487" s="2">
        <v>6.97</v>
      </c>
      <c r="W2487" s="2">
        <v>-13.03</v>
      </c>
      <c r="X2487" s="2">
        <v>-13.03</v>
      </c>
      <c r="Y2487" s="2">
        <v>8.61</v>
      </c>
      <c r="Z2487" s="2">
        <v>-0.8</v>
      </c>
    </row>
    <row r="2488" spans="1:26" x14ac:dyDescent="0.25">
      <c r="A2488" s="1" t="s">
        <v>9998</v>
      </c>
      <c r="B2488" s="1" t="s">
        <v>9999</v>
      </c>
      <c r="C2488" s="1" t="s">
        <v>31</v>
      </c>
      <c r="D2488" s="1" t="s">
        <v>32</v>
      </c>
      <c r="E2488" s="1" t="s">
        <v>829</v>
      </c>
      <c r="F2488" s="1" t="s">
        <v>10000</v>
      </c>
      <c r="G2488" s="1" t="s">
        <v>12490</v>
      </c>
      <c r="H2488" s="1" t="s">
        <v>10001</v>
      </c>
      <c r="I2488" s="2">
        <v>11.88</v>
      </c>
      <c r="J2488" s="2">
        <v>0.64</v>
      </c>
      <c r="K2488" s="2"/>
      <c r="L2488" s="2"/>
      <c r="M2488" s="4" t="e">
        <f t="shared" si="228"/>
        <v>#DIV/0!</v>
      </c>
      <c r="N2488" s="4" t="e">
        <f t="shared" si="229"/>
        <v>#DIV/0!</v>
      </c>
      <c r="O2488" s="5">
        <f t="shared" si="230"/>
        <v>-1</v>
      </c>
      <c r="P2488" s="5" t="e">
        <f t="shared" si="231"/>
        <v>#DIV/0!</v>
      </c>
      <c r="Q2488" s="4" t="e">
        <f t="shared" si="232"/>
        <v>#DIV/0!</v>
      </c>
      <c r="R2488" s="4" t="e">
        <f t="shared" si="233"/>
        <v>#DIV/0!</v>
      </c>
      <c r="S2488" s="4">
        <v>1.64</v>
      </c>
      <c r="T2488" s="2">
        <v>1.46</v>
      </c>
      <c r="U2488" s="2">
        <v>22.17</v>
      </c>
      <c r="V2488" s="2">
        <v>5.24</v>
      </c>
      <c r="W2488" s="2">
        <v>-7.94</v>
      </c>
      <c r="X2488" s="2">
        <v>-18.57</v>
      </c>
      <c r="Y2488" s="2">
        <v>-9.64</v>
      </c>
      <c r="Z2488" s="2">
        <v>-16.190000000000001</v>
      </c>
    </row>
    <row r="2489" spans="1:26" x14ac:dyDescent="0.25">
      <c r="A2489" s="1" t="s">
        <v>10002</v>
      </c>
      <c r="B2489" s="1" t="s">
        <v>10003</v>
      </c>
      <c r="C2489" s="1" t="s">
        <v>31</v>
      </c>
      <c r="D2489" s="1" t="s">
        <v>354</v>
      </c>
      <c r="E2489" s="1" t="s">
        <v>1537</v>
      </c>
      <c r="F2489" s="1" t="s">
        <v>10004</v>
      </c>
      <c r="G2489" s="1" t="s">
        <v>12490</v>
      </c>
      <c r="H2489" s="1" t="s">
        <v>10005</v>
      </c>
      <c r="I2489" s="2">
        <v>39.19</v>
      </c>
      <c r="J2489" s="2">
        <v>1.0900000000000001</v>
      </c>
      <c r="K2489" s="2"/>
      <c r="L2489" s="2"/>
      <c r="M2489" s="4" t="e">
        <f t="shared" si="228"/>
        <v>#DIV/0!</v>
      </c>
      <c r="N2489" s="4" t="e">
        <f t="shared" si="229"/>
        <v>#DIV/0!</v>
      </c>
      <c r="O2489" s="5">
        <f t="shared" si="230"/>
        <v>-1</v>
      </c>
      <c r="P2489" s="5" t="e">
        <f t="shared" si="231"/>
        <v>#DIV/0!</v>
      </c>
      <c r="Q2489" s="4" t="e">
        <f t="shared" si="232"/>
        <v>#DIV/0!</v>
      </c>
      <c r="R2489" s="4" t="e">
        <f t="shared" si="233"/>
        <v>#DIV/0!</v>
      </c>
      <c r="S2489" s="4">
        <v>0.3</v>
      </c>
      <c r="T2489" s="2">
        <v>0.31</v>
      </c>
      <c r="U2489" s="2">
        <v>40.479999999999997</v>
      </c>
      <c r="V2489" s="2">
        <v>24.56</v>
      </c>
      <c r="W2489" s="2">
        <v>1.1399999999999999</v>
      </c>
      <c r="X2489" s="2">
        <v>3.38</v>
      </c>
      <c r="Y2489" s="2">
        <v>8.83</v>
      </c>
      <c r="Z2489" s="2">
        <v>10.68</v>
      </c>
    </row>
    <row r="2490" spans="1:26" x14ac:dyDescent="0.25">
      <c r="A2490" s="1" t="s">
        <v>10006</v>
      </c>
      <c r="B2490" s="1" t="s">
        <v>10007</v>
      </c>
      <c r="C2490" s="1" t="s">
        <v>31</v>
      </c>
      <c r="D2490" s="1" t="s">
        <v>32</v>
      </c>
      <c r="E2490" s="1" t="s">
        <v>5062</v>
      </c>
      <c r="F2490" s="1" t="s">
        <v>10008</v>
      </c>
      <c r="G2490" s="1" t="s">
        <v>12480</v>
      </c>
      <c r="H2490" s="1" t="s">
        <v>10009</v>
      </c>
      <c r="I2490" s="2">
        <v>7.3150000000000004</v>
      </c>
      <c r="J2490" s="2">
        <v>0.15</v>
      </c>
      <c r="K2490" s="2">
        <v>0.05</v>
      </c>
      <c r="L2490" s="2">
        <v>0.08</v>
      </c>
      <c r="M2490" s="4">
        <f t="shared" si="228"/>
        <v>146.30000000000001</v>
      </c>
      <c r="N2490" s="4">
        <f t="shared" si="229"/>
        <v>91.4375</v>
      </c>
      <c r="O2490" s="5">
        <f t="shared" si="230"/>
        <v>-0.66666666666666663</v>
      </c>
      <c r="P2490" s="5">
        <f t="shared" si="231"/>
        <v>0.59999999999999987</v>
      </c>
      <c r="Q2490" s="4">
        <f t="shared" si="232"/>
        <v>-2.1945000000000006</v>
      </c>
      <c r="R2490" s="4">
        <f t="shared" si="233"/>
        <v>1.5239583333333337</v>
      </c>
      <c r="S2490" s="4">
        <v>37.22</v>
      </c>
      <c r="T2490" s="2">
        <v>0.77</v>
      </c>
      <c r="U2490" s="2">
        <v>8.5500000000000007</v>
      </c>
      <c r="V2490" s="2">
        <v>4.74</v>
      </c>
      <c r="W2490" s="2">
        <v>-6.25</v>
      </c>
      <c r="X2490" s="2">
        <v>-10.029999999999999</v>
      </c>
      <c r="Y2490" s="2">
        <v>24.41</v>
      </c>
      <c r="Z2490" s="2">
        <v>12.97</v>
      </c>
    </row>
    <row r="2491" spans="1:26" x14ac:dyDescent="0.25">
      <c r="A2491" s="1" t="s">
        <v>10010</v>
      </c>
      <c r="B2491" s="1" t="s">
        <v>10011</v>
      </c>
      <c r="C2491" s="1" t="s">
        <v>16</v>
      </c>
      <c r="D2491" s="1" t="s">
        <v>147</v>
      </c>
      <c r="E2491" s="1" t="s">
        <v>2000</v>
      </c>
      <c r="F2491" s="1" t="s">
        <v>10012</v>
      </c>
      <c r="G2491" s="1" t="s">
        <v>12480</v>
      </c>
      <c r="H2491" s="1" t="s">
        <v>10013</v>
      </c>
      <c r="I2491" s="2">
        <v>10.81</v>
      </c>
      <c r="J2491" s="2">
        <v>0.34</v>
      </c>
      <c r="K2491" s="2">
        <v>0.8</v>
      </c>
      <c r="L2491" s="2">
        <v>0.88</v>
      </c>
      <c r="M2491" s="4">
        <f t="shared" si="228"/>
        <v>13.512499999999999</v>
      </c>
      <c r="N2491" s="4">
        <f t="shared" si="229"/>
        <v>12.28409090909091</v>
      </c>
      <c r="O2491" s="5">
        <f t="shared" si="230"/>
        <v>1.3529411764705883</v>
      </c>
      <c r="P2491" s="5">
        <f t="shared" si="231"/>
        <v>9.9999999999999867E-2</v>
      </c>
      <c r="Q2491" s="4">
        <f t="shared" si="232"/>
        <v>9.9874999999999978E-2</v>
      </c>
      <c r="R2491" s="4">
        <f t="shared" si="233"/>
        <v>1.2284090909090928</v>
      </c>
      <c r="S2491" s="4">
        <v>18.16</v>
      </c>
      <c r="T2491" s="2">
        <v>1.05</v>
      </c>
      <c r="U2491" s="2">
        <v>14.09</v>
      </c>
      <c r="V2491" s="2">
        <v>5.99</v>
      </c>
      <c r="W2491" s="2">
        <v>-1.91</v>
      </c>
      <c r="X2491" s="2">
        <v>18.27</v>
      </c>
      <c r="Y2491" s="2">
        <v>-5.75</v>
      </c>
      <c r="Z2491" s="2">
        <v>-9.5399999999999991</v>
      </c>
    </row>
    <row r="2492" spans="1:26" x14ac:dyDescent="0.25">
      <c r="A2492" s="1" t="s">
        <v>10014</v>
      </c>
      <c r="B2492" s="1" t="s">
        <v>10015</v>
      </c>
      <c r="C2492" s="1" t="s">
        <v>31</v>
      </c>
      <c r="D2492" s="1" t="s">
        <v>2417</v>
      </c>
      <c r="E2492" s="1" t="s">
        <v>2418</v>
      </c>
      <c r="F2492" s="1" t="s">
        <v>10016</v>
      </c>
      <c r="G2492" s="1" t="s">
        <v>12480</v>
      </c>
      <c r="H2492" s="1" t="s">
        <v>8816</v>
      </c>
      <c r="I2492" s="2">
        <v>16.95</v>
      </c>
      <c r="J2492" s="2">
        <v>3.31</v>
      </c>
      <c r="K2492" s="2"/>
      <c r="L2492" s="2"/>
      <c r="M2492" s="4" t="e">
        <f t="shared" si="228"/>
        <v>#DIV/0!</v>
      </c>
      <c r="N2492" s="4" t="e">
        <f t="shared" si="229"/>
        <v>#DIV/0!</v>
      </c>
      <c r="O2492" s="5">
        <f t="shared" si="230"/>
        <v>-1</v>
      </c>
      <c r="P2492" s="5" t="e">
        <f t="shared" si="231"/>
        <v>#DIV/0!</v>
      </c>
      <c r="Q2492" s="4" t="e">
        <f t="shared" si="232"/>
        <v>#DIV/0!</v>
      </c>
      <c r="R2492" s="4" t="e">
        <f t="shared" si="233"/>
        <v>#DIV/0!</v>
      </c>
      <c r="S2492" s="4">
        <v>-11.26</v>
      </c>
      <c r="T2492" s="2">
        <v>0.11</v>
      </c>
      <c r="U2492" s="2">
        <v>22.08</v>
      </c>
      <c r="V2492" s="2">
        <v>14.3</v>
      </c>
      <c r="W2492" s="2">
        <v>-0.88</v>
      </c>
      <c r="X2492" s="2" t="s">
        <v>12489</v>
      </c>
      <c r="Y2492" s="2">
        <v>-23.23</v>
      </c>
      <c r="Z2492" s="2">
        <v>-23.23</v>
      </c>
    </row>
    <row r="2493" spans="1:26" x14ac:dyDescent="0.25">
      <c r="A2493" s="1" t="s">
        <v>10017</v>
      </c>
      <c r="B2493" s="1" t="s">
        <v>10018</v>
      </c>
      <c r="C2493" s="1" t="s">
        <v>16</v>
      </c>
      <c r="D2493" s="1" t="s">
        <v>67</v>
      </c>
      <c r="E2493" s="1" t="s">
        <v>619</v>
      </c>
      <c r="F2493" s="1" t="s">
        <v>10019</v>
      </c>
      <c r="G2493" s="1" t="s">
        <v>12480</v>
      </c>
      <c r="H2493" s="1" t="s">
        <v>9454</v>
      </c>
      <c r="I2493" s="2">
        <v>80.709999999999994</v>
      </c>
      <c r="J2493" s="2">
        <v>2.7</v>
      </c>
      <c r="K2493" s="2">
        <v>3.32</v>
      </c>
      <c r="L2493" s="2">
        <v>4.1399999999999997</v>
      </c>
      <c r="M2493" s="4">
        <f t="shared" si="228"/>
        <v>24.310240963855421</v>
      </c>
      <c r="N2493" s="4">
        <f t="shared" si="229"/>
        <v>19.495169082125603</v>
      </c>
      <c r="O2493" s="5">
        <f t="shared" si="230"/>
        <v>0.22962962962962941</v>
      </c>
      <c r="P2493" s="5">
        <f t="shared" si="231"/>
        <v>0.24698795180722888</v>
      </c>
      <c r="Q2493" s="4">
        <f t="shared" si="232"/>
        <v>1.0586717839098339</v>
      </c>
      <c r="R2493" s="4">
        <f t="shared" si="233"/>
        <v>0.78931660186167085</v>
      </c>
      <c r="S2493" s="4">
        <v>51.63</v>
      </c>
      <c r="T2493" s="2">
        <v>1.28</v>
      </c>
      <c r="U2493" s="2">
        <v>97.99</v>
      </c>
      <c r="V2493" s="2">
        <v>54.47</v>
      </c>
      <c r="W2493" s="2">
        <v>-7.68</v>
      </c>
      <c r="X2493" s="2">
        <v>-16.77</v>
      </c>
      <c r="Y2493" s="2">
        <v>-13.18</v>
      </c>
      <c r="Z2493" s="2">
        <v>-9.6</v>
      </c>
    </row>
    <row r="2494" spans="1:26" x14ac:dyDescent="0.25">
      <c r="A2494" s="1" t="s">
        <v>10020</v>
      </c>
      <c r="B2494" s="1" t="s">
        <v>10021</v>
      </c>
      <c r="C2494" s="1" t="s">
        <v>31</v>
      </c>
      <c r="D2494" s="1" t="s">
        <v>18</v>
      </c>
      <c r="E2494" s="1" t="s">
        <v>780</v>
      </c>
      <c r="F2494" s="1" t="s">
        <v>10022</v>
      </c>
      <c r="G2494" s="1" t="s">
        <v>12490</v>
      </c>
      <c r="H2494" s="1" t="s">
        <v>10023</v>
      </c>
      <c r="I2494" s="2">
        <v>10.87</v>
      </c>
      <c r="J2494" s="2">
        <v>0.66</v>
      </c>
      <c r="K2494" s="2">
        <v>0.76</v>
      </c>
      <c r="L2494" s="2">
        <v>0.92</v>
      </c>
      <c r="M2494" s="4">
        <f t="shared" si="228"/>
        <v>14.302631578947366</v>
      </c>
      <c r="N2494" s="4">
        <f t="shared" si="229"/>
        <v>11.815217391304346</v>
      </c>
      <c r="O2494" s="5">
        <f t="shared" si="230"/>
        <v>0.15151515151515138</v>
      </c>
      <c r="P2494" s="5">
        <f t="shared" si="231"/>
        <v>0.21052631578947367</v>
      </c>
      <c r="Q2494" s="4">
        <f t="shared" si="232"/>
        <v>0.94397368421052696</v>
      </c>
      <c r="R2494" s="4">
        <f t="shared" si="233"/>
        <v>0.56122282608695651</v>
      </c>
      <c r="S2494" s="4">
        <v>-4.5</v>
      </c>
      <c r="T2494" s="2">
        <v>0.17</v>
      </c>
      <c r="U2494" s="2">
        <v>11.79</v>
      </c>
      <c r="V2494" s="2">
        <v>7.4</v>
      </c>
      <c r="W2494" s="2">
        <v>-2.77</v>
      </c>
      <c r="X2494" s="2">
        <v>-3.72</v>
      </c>
      <c r="Y2494" s="2">
        <v>24.23</v>
      </c>
      <c r="Z2494" s="2">
        <v>21.05</v>
      </c>
    </row>
    <row r="2495" spans="1:26" x14ac:dyDescent="0.25">
      <c r="A2495" s="1" t="s">
        <v>10024</v>
      </c>
      <c r="B2495" s="1" t="s">
        <v>10025</v>
      </c>
      <c r="C2495" s="1" t="s">
        <v>45</v>
      </c>
      <c r="D2495" s="1" t="s">
        <v>88</v>
      </c>
      <c r="E2495" s="1" t="s">
        <v>658</v>
      </c>
      <c r="F2495" s="1" t="s">
        <v>10026</v>
      </c>
      <c r="G2495" s="1" t="s">
        <v>12480</v>
      </c>
      <c r="H2495" s="1" t="s">
        <v>10027</v>
      </c>
      <c r="I2495" s="2">
        <v>12.31</v>
      </c>
      <c r="J2495" s="2">
        <v>-0.46</v>
      </c>
      <c r="K2495" s="2">
        <v>0.63</v>
      </c>
      <c r="L2495" s="2"/>
      <c r="M2495" s="4">
        <f t="shared" si="228"/>
        <v>19.539682539682541</v>
      </c>
      <c r="N2495" s="4" t="e">
        <f t="shared" si="229"/>
        <v>#DIV/0!</v>
      </c>
      <c r="O2495" s="5">
        <f t="shared" si="230"/>
        <v>-2.3695652173913042</v>
      </c>
      <c r="P2495" s="5">
        <f t="shared" si="231"/>
        <v>-1</v>
      </c>
      <c r="Q2495" s="4">
        <f t="shared" si="232"/>
        <v>-8.2461045580311657E-2</v>
      </c>
      <c r="R2495" s="4" t="e">
        <f t="shared" si="233"/>
        <v>#DIV/0!</v>
      </c>
      <c r="S2495" s="4">
        <v>13.49</v>
      </c>
      <c r="T2495" s="2">
        <v>-0.06</v>
      </c>
      <c r="U2495" s="2">
        <v>16.59</v>
      </c>
      <c r="V2495" s="2">
        <v>4.28</v>
      </c>
      <c r="W2495" s="2">
        <v>-12.2</v>
      </c>
      <c r="X2495" s="2">
        <v>2.33</v>
      </c>
      <c r="Y2495" s="2">
        <v>19.170000000000002</v>
      </c>
      <c r="Z2495" s="2">
        <v>-6.67</v>
      </c>
    </row>
    <row r="2496" spans="1:26" x14ac:dyDescent="0.25">
      <c r="A2496" s="1" t="s">
        <v>10028</v>
      </c>
      <c r="B2496" s="1" t="s">
        <v>10029</v>
      </c>
      <c r="C2496" s="1" t="s">
        <v>31</v>
      </c>
      <c r="D2496" s="1" t="s">
        <v>32</v>
      </c>
      <c r="E2496" s="1" t="s">
        <v>8947</v>
      </c>
      <c r="F2496" s="1" t="s">
        <v>10030</v>
      </c>
      <c r="G2496" s="1" t="s">
        <v>12485</v>
      </c>
      <c r="H2496" s="1" t="s">
        <v>10031</v>
      </c>
      <c r="I2496" s="2">
        <v>45.89</v>
      </c>
      <c r="J2496" s="2">
        <v>2.2200000000000002</v>
      </c>
      <c r="K2496" s="2">
        <v>2.78</v>
      </c>
      <c r="L2496" s="2">
        <v>3.15</v>
      </c>
      <c r="M2496" s="4">
        <f t="shared" si="228"/>
        <v>16.507194244604317</v>
      </c>
      <c r="N2496" s="4">
        <f t="shared" si="229"/>
        <v>14.568253968253968</v>
      </c>
      <c r="O2496" s="5">
        <f t="shared" si="230"/>
        <v>0.25225225225225212</v>
      </c>
      <c r="P2496" s="5">
        <f t="shared" si="231"/>
        <v>0.13309352517985618</v>
      </c>
      <c r="Q2496" s="4">
        <f t="shared" si="232"/>
        <v>0.65439234326824292</v>
      </c>
      <c r="R2496" s="4">
        <f t="shared" si="233"/>
        <v>1.0945877305877301</v>
      </c>
      <c r="S2496" s="4">
        <v>10.99</v>
      </c>
      <c r="T2496" s="2">
        <v>1.1299999999999999</v>
      </c>
      <c r="U2496" s="2">
        <v>69.38</v>
      </c>
      <c r="V2496" s="2">
        <v>42.16</v>
      </c>
      <c r="W2496" s="2">
        <v>2.27</v>
      </c>
      <c r="X2496" s="2">
        <v>-0.54</v>
      </c>
      <c r="Y2496" s="2">
        <v>-20.92</v>
      </c>
      <c r="Z2496" s="2">
        <v>-20.99</v>
      </c>
    </row>
    <row r="2497" spans="1:26" x14ac:dyDescent="0.25">
      <c r="A2497" s="1" t="s">
        <v>10032</v>
      </c>
      <c r="B2497" s="1" t="s">
        <v>10033</v>
      </c>
      <c r="C2497" s="1" t="s">
        <v>45</v>
      </c>
      <c r="D2497" s="1" t="s">
        <v>18</v>
      </c>
      <c r="E2497" s="1" t="s">
        <v>624</v>
      </c>
      <c r="F2497" s="1" t="s">
        <v>10034</v>
      </c>
      <c r="G2497" s="1" t="s">
        <v>12480</v>
      </c>
      <c r="H2497" s="1" t="s">
        <v>10035</v>
      </c>
      <c r="I2497" s="2">
        <v>13.3</v>
      </c>
      <c r="J2497" s="2">
        <v>0.47</v>
      </c>
      <c r="K2497" s="2">
        <v>0.45</v>
      </c>
      <c r="L2497" s="2">
        <v>0.54</v>
      </c>
      <c r="M2497" s="4">
        <f t="shared" si="228"/>
        <v>29.555555555555557</v>
      </c>
      <c r="N2497" s="4">
        <f t="shared" si="229"/>
        <v>24.62962962962963</v>
      </c>
      <c r="O2497" s="5">
        <f t="shared" si="230"/>
        <v>-4.2553191489361653E-2</v>
      </c>
      <c r="P2497" s="5">
        <f t="shared" si="231"/>
        <v>0.19999999999999996</v>
      </c>
      <c r="Q2497" s="4">
        <f t="shared" si="232"/>
        <v>-6.9455555555555648</v>
      </c>
      <c r="R2497" s="4">
        <f t="shared" si="233"/>
        <v>1.2314814814814816</v>
      </c>
      <c r="S2497" s="4">
        <v>6.24</v>
      </c>
      <c r="T2497" s="2">
        <v>1.95</v>
      </c>
      <c r="U2497" s="2">
        <v>24.4</v>
      </c>
      <c r="V2497" s="2">
        <v>13.3</v>
      </c>
      <c r="W2497" s="2">
        <v>-16.25</v>
      </c>
      <c r="X2497" s="2">
        <v>-1.34</v>
      </c>
      <c r="Y2497" s="2">
        <v>-13.86</v>
      </c>
      <c r="Z2497" s="2">
        <v>-13.92</v>
      </c>
    </row>
    <row r="2498" spans="1:26" x14ac:dyDescent="0.25">
      <c r="A2498" s="1" t="s">
        <v>10036</v>
      </c>
      <c r="B2498" s="1" t="s">
        <v>10037</v>
      </c>
      <c r="C2498" s="1" t="s">
        <v>31</v>
      </c>
      <c r="D2498" s="1" t="s">
        <v>140</v>
      </c>
      <c r="E2498" s="1" t="s">
        <v>141</v>
      </c>
      <c r="F2498" s="1" t="s">
        <v>10038</v>
      </c>
      <c r="G2498" s="1" t="s">
        <v>12480</v>
      </c>
      <c r="H2498" s="1" t="s">
        <v>10039</v>
      </c>
      <c r="I2498" s="2">
        <v>11.88</v>
      </c>
      <c r="J2498" s="2">
        <v>0.42</v>
      </c>
      <c r="K2498" s="2">
        <v>0.54</v>
      </c>
      <c r="L2498" s="2">
        <v>0.57999999999999996</v>
      </c>
      <c r="M2498" s="4">
        <f t="shared" si="228"/>
        <v>22</v>
      </c>
      <c r="N2498" s="4">
        <f t="shared" si="229"/>
        <v>20.482758620689658</v>
      </c>
      <c r="O2498" s="5">
        <f t="shared" si="230"/>
        <v>0.28571428571428581</v>
      </c>
      <c r="P2498" s="5">
        <f t="shared" si="231"/>
        <v>7.4074074074073959E-2</v>
      </c>
      <c r="Q2498" s="4">
        <f t="shared" si="232"/>
        <v>0.7699999999999998</v>
      </c>
      <c r="R2498" s="4">
        <f t="shared" si="233"/>
        <v>2.765172413793108</v>
      </c>
      <c r="S2498" s="4">
        <v>8.58</v>
      </c>
      <c r="T2498" s="2">
        <v>0.74</v>
      </c>
      <c r="U2498" s="2">
        <v>12.58</v>
      </c>
      <c r="V2498" s="2">
        <v>8.52</v>
      </c>
      <c r="W2498" s="2">
        <v>-3.81</v>
      </c>
      <c r="X2498" s="2">
        <v>-5.1100000000000003</v>
      </c>
      <c r="Y2498" s="2">
        <v>7.32</v>
      </c>
      <c r="Z2498" s="2">
        <v>4.3</v>
      </c>
    </row>
    <row r="2499" spans="1:26" x14ac:dyDescent="0.25">
      <c r="A2499" s="1" t="s">
        <v>10040</v>
      </c>
      <c r="B2499" s="1" t="s">
        <v>10041</v>
      </c>
      <c r="C2499" s="1" t="s">
        <v>16</v>
      </c>
      <c r="D2499" s="1" t="s">
        <v>67</v>
      </c>
      <c r="E2499" s="1" t="s">
        <v>1037</v>
      </c>
      <c r="F2499" s="1" t="s">
        <v>12782</v>
      </c>
      <c r="G2499" s="1" t="s">
        <v>12480</v>
      </c>
      <c r="H2499" s="1" t="s">
        <v>9409</v>
      </c>
      <c r="I2499" s="2">
        <v>95.67</v>
      </c>
      <c r="J2499" s="2">
        <v>1.32</v>
      </c>
      <c r="K2499" s="2">
        <v>1.38</v>
      </c>
      <c r="L2499" s="2">
        <v>1.75</v>
      </c>
      <c r="M2499" s="4">
        <f t="shared" ref="M2499:M2562" si="234">I2499/K2499</f>
        <v>69.326086956521749</v>
      </c>
      <c r="N2499" s="4">
        <f t="shared" ref="N2499:N2562" si="235">I2499/L2499</f>
        <v>54.668571428571433</v>
      </c>
      <c r="O2499" s="5">
        <f t="shared" ref="O2499:O2562" si="236">K2499/J2499-1</f>
        <v>4.5454545454545414E-2</v>
      </c>
      <c r="P2499" s="5">
        <f t="shared" ref="P2499:P2562" si="237">L2499/K2499-1</f>
        <v>0.26811594202898559</v>
      </c>
      <c r="Q2499" s="4">
        <f t="shared" ref="Q2499:Q2562" si="238">M2499/(O2499*100)</f>
        <v>15.251739130434798</v>
      </c>
      <c r="R2499" s="4">
        <f t="shared" ref="R2499:R2562" si="239">N2499/(P2499*100)</f>
        <v>2.0389899613899609</v>
      </c>
      <c r="S2499" s="4">
        <v>15.38</v>
      </c>
      <c r="T2499" s="2">
        <v>1.73</v>
      </c>
      <c r="U2499" s="2">
        <v>142.03</v>
      </c>
      <c r="V2499" s="2">
        <v>75.849999999999994</v>
      </c>
      <c r="W2499" s="2">
        <v>1.3</v>
      </c>
      <c r="X2499" s="2">
        <v>-1.56</v>
      </c>
      <c r="Y2499" s="2">
        <v>14.37</v>
      </c>
      <c r="Z2499" s="2">
        <v>17.86</v>
      </c>
    </row>
    <row r="2500" spans="1:26" x14ac:dyDescent="0.25">
      <c r="A2500" s="1" t="s">
        <v>10042</v>
      </c>
      <c r="B2500" s="1" t="s">
        <v>10043</v>
      </c>
      <c r="C2500" s="1" t="s">
        <v>45</v>
      </c>
      <c r="D2500" s="1" t="s">
        <v>18</v>
      </c>
      <c r="E2500" s="1" t="s">
        <v>624</v>
      </c>
      <c r="F2500" s="1" t="s">
        <v>10044</v>
      </c>
      <c r="G2500" s="1" t="s">
        <v>12480</v>
      </c>
      <c r="H2500" s="1" t="s">
        <v>10045</v>
      </c>
      <c r="I2500" s="2">
        <v>14.57</v>
      </c>
      <c r="J2500" s="2">
        <v>0.86</v>
      </c>
      <c r="K2500" s="2">
        <v>0.97</v>
      </c>
      <c r="L2500" s="2">
        <v>1.07</v>
      </c>
      <c r="M2500" s="4">
        <f t="shared" si="234"/>
        <v>15.020618556701031</v>
      </c>
      <c r="N2500" s="4">
        <f t="shared" si="235"/>
        <v>13.616822429906541</v>
      </c>
      <c r="O2500" s="5">
        <f t="shared" si="236"/>
        <v>0.12790697674418605</v>
      </c>
      <c r="P2500" s="5">
        <f t="shared" si="237"/>
        <v>0.10309278350515472</v>
      </c>
      <c r="Q2500" s="4">
        <f t="shared" si="238"/>
        <v>1.1743392689784442</v>
      </c>
      <c r="R2500" s="4">
        <f t="shared" si="239"/>
        <v>1.3208317757009336</v>
      </c>
      <c r="S2500" s="4">
        <v>5.74</v>
      </c>
      <c r="T2500" s="2">
        <v>1.84</v>
      </c>
      <c r="U2500" s="2">
        <v>19.350000000000001</v>
      </c>
      <c r="V2500" s="2">
        <v>9.8000000000000007</v>
      </c>
      <c r="W2500" s="2">
        <v>-8.42</v>
      </c>
      <c r="X2500" s="2">
        <v>-16.309999999999999</v>
      </c>
      <c r="Y2500" s="2">
        <v>-13.27</v>
      </c>
      <c r="Z2500" s="2">
        <v>-17.399999999999999</v>
      </c>
    </row>
    <row r="2501" spans="1:26" x14ac:dyDescent="0.25">
      <c r="A2501" s="1" t="s">
        <v>10046</v>
      </c>
      <c r="B2501" s="1" t="s">
        <v>10047</v>
      </c>
      <c r="C2501" s="1" t="s">
        <v>31</v>
      </c>
      <c r="D2501" s="1" t="s">
        <v>147</v>
      </c>
      <c r="E2501" s="1" t="s">
        <v>3624</v>
      </c>
      <c r="F2501" s="1" t="s">
        <v>10048</v>
      </c>
      <c r="G2501" s="1" t="s">
        <v>12490</v>
      </c>
      <c r="H2501" s="1" t="s">
        <v>10049</v>
      </c>
      <c r="I2501" s="2">
        <v>0.91649999999999998</v>
      </c>
      <c r="J2501" s="2" t="s">
        <v>12489</v>
      </c>
      <c r="K2501" s="2">
        <v>0.13</v>
      </c>
      <c r="L2501" s="2">
        <v>7.0000000000000007E-2</v>
      </c>
      <c r="M2501" s="4">
        <f t="shared" si="234"/>
        <v>7.05</v>
      </c>
      <c r="N2501" s="4">
        <f t="shared" si="235"/>
        <v>13.092857142857142</v>
      </c>
      <c r="O2501" s="5" t="e">
        <f t="shared" si="236"/>
        <v>#DIV/0!</v>
      </c>
      <c r="P2501" s="5">
        <f t="shared" si="237"/>
        <v>-0.46153846153846145</v>
      </c>
      <c r="Q2501" s="4" t="e">
        <f t="shared" si="238"/>
        <v>#DIV/0!</v>
      </c>
      <c r="R2501" s="4">
        <f t="shared" si="239"/>
        <v>-0.28367857142857145</v>
      </c>
      <c r="S2501" s="4">
        <v>-11.8</v>
      </c>
      <c r="T2501" s="2">
        <v>0.6</v>
      </c>
      <c r="U2501" s="2">
        <v>1.6</v>
      </c>
      <c r="V2501" s="2">
        <v>0.89</v>
      </c>
      <c r="W2501" s="2">
        <v>-2.5</v>
      </c>
      <c r="X2501" s="2">
        <v>-20.3</v>
      </c>
      <c r="Y2501" s="2">
        <v>-21.67</v>
      </c>
      <c r="Z2501" s="2">
        <v>-22.33</v>
      </c>
    </row>
    <row r="2502" spans="1:26" x14ac:dyDescent="0.25">
      <c r="A2502" s="1" t="s">
        <v>10050</v>
      </c>
      <c r="B2502" s="1" t="s">
        <v>10051</v>
      </c>
      <c r="C2502" s="1" t="s">
        <v>31</v>
      </c>
      <c r="D2502" s="1" t="s">
        <v>88</v>
      </c>
      <c r="E2502" s="1" t="s">
        <v>504</v>
      </c>
      <c r="F2502" s="1" t="s">
        <v>10052</v>
      </c>
      <c r="G2502" s="1" t="s">
        <v>12490</v>
      </c>
      <c r="H2502" s="1" t="s">
        <v>10053</v>
      </c>
      <c r="I2502" s="2">
        <v>19.309999999999999</v>
      </c>
      <c r="J2502" s="2">
        <v>0.87</v>
      </c>
      <c r="K2502" s="2">
        <v>0.81</v>
      </c>
      <c r="L2502" s="2"/>
      <c r="M2502" s="4">
        <f t="shared" si="234"/>
        <v>23.839506172839503</v>
      </c>
      <c r="N2502" s="4" t="e">
        <f t="shared" si="235"/>
        <v>#DIV/0!</v>
      </c>
      <c r="O2502" s="5">
        <f t="shared" si="236"/>
        <v>-6.8965517241379226E-2</v>
      </c>
      <c r="P2502" s="5">
        <f t="shared" si="237"/>
        <v>-1</v>
      </c>
      <c r="Q2502" s="4">
        <f t="shared" si="238"/>
        <v>-3.4567283950617322</v>
      </c>
      <c r="R2502" s="4" t="e">
        <f t="shared" si="239"/>
        <v>#DIV/0!</v>
      </c>
      <c r="S2502" s="4">
        <v>0.55000000000000004</v>
      </c>
      <c r="T2502" s="2">
        <v>1.33</v>
      </c>
      <c r="U2502" s="2">
        <v>19.98</v>
      </c>
      <c r="V2502" s="2">
        <v>12.46</v>
      </c>
      <c r="W2502" s="2">
        <v>-3.35</v>
      </c>
      <c r="X2502" s="2">
        <v>12.73</v>
      </c>
      <c r="Y2502" s="2">
        <v>20.239999999999998</v>
      </c>
      <c r="Z2502" s="2">
        <v>24.58</v>
      </c>
    </row>
    <row r="2503" spans="1:26" x14ac:dyDescent="0.25">
      <c r="A2503" s="1" t="s">
        <v>10054</v>
      </c>
      <c r="B2503" s="1" t="s">
        <v>10055</v>
      </c>
      <c r="C2503" s="1" t="s">
        <v>16</v>
      </c>
      <c r="D2503" s="1" t="s">
        <v>94</v>
      </c>
      <c r="E2503" s="1" t="s">
        <v>1948</v>
      </c>
      <c r="F2503" s="1" t="s">
        <v>10056</v>
      </c>
      <c r="G2503" s="1" t="s">
        <v>12480</v>
      </c>
      <c r="H2503" s="1" t="s">
        <v>10057</v>
      </c>
      <c r="I2503" s="2">
        <v>85.59</v>
      </c>
      <c r="J2503" s="2">
        <v>6.3</v>
      </c>
      <c r="K2503" s="2">
        <v>6.29</v>
      </c>
      <c r="L2503" s="2">
        <v>7.09</v>
      </c>
      <c r="M2503" s="4">
        <f t="shared" si="234"/>
        <v>13.607313195548491</v>
      </c>
      <c r="N2503" s="4">
        <f t="shared" si="235"/>
        <v>12.071932299012694</v>
      </c>
      <c r="O2503" s="5">
        <f t="shared" si="236"/>
        <v>-1.5873015873015817E-3</v>
      </c>
      <c r="P2503" s="5">
        <f t="shared" si="237"/>
        <v>0.12718600953895076</v>
      </c>
      <c r="Q2503" s="4">
        <f t="shared" si="238"/>
        <v>-85.7260731319558</v>
      </c>
      <c r="R2503" s="4">
        <f t="shared" si="239"/>
        <v>0.94915567700987269</v>
      </c>
      <c r="S2503" s="4">
        <v>-5.29</v>
      </c>
      <c r="T2503" s="2">
        <v>0.14000000000000001</v>
      </c>
      <c r="U2503" s="2">
        <v>85.59</v>
      </c>
      <c r="V2503" s="2">
        <v>59.75</v>
      </c>
      <c r="W2503" s="2">
        <v>1.63</v>
      </c>
      <c r="X2503" s="2">
        <v>10.01</v>
      </c>
      <c r="Y2503" s="2">
        <v>18.5</v>
      </c>
      <c r="Z2503" s="2">
        <v>16.48</v>
      </c>
    </row>
    <row r="2504" spans="1:26" x14ac:dyDescent="0.25">
      <c r="A2504" s="1" t="s">
        <v>10058</v>
      </c>
      <c r="B2504" s="1" t="s">
        <v>10059</v>
      </c>
      <c r="C2504" s="1" t="s">
        <v>16</v>
      </c>
      <c r="D2504" s="1" t="s">
        <v>38</v>
      </c>
      <c r="E2504" s="1" t="s">
        <v>189</v>
      </c>
      <c r="F2504" s="1" t="s">
        <v>10060</v>
      </c>
      <c r="G2504" s="1" t="s">
        <v>12480</v>
      </c>
      <c r="H2504" s="1" t="s">
        <v>10061</v>
      </c>
      <c r="I2504" s="2">
        <v>61.57</v>
      </c>
      <c r="J2504" s="2">
        <v>6.91</v>
      </c>
      <c r="K2504" s="2" t="s">
        <v>12497</v>
      </c>
      <c r="L2504" s="2"/>
      <c r="M2504" s="4">
        <f t="shared" si="234"/>
        <v>7.69625</v>
      </c>
      <c r="N2504" s="4" t="e">
        <f t="shared" si="235"/>
        <v>#DIV/0!</v>
      </c>
      <c r="O2504" s="5">
        <f t="shared" si="236"/>
        <v>0.15774240231548475</v>
      </c>
      <c r="P2504" s="5">
        <f t="shared" si="237"/>
        <v>-1</v>
      </c>
      <c r="Q2504" s="4">
        <f t="shared" si="238"/>
        <v>0.48789988532110107</v>
      </c>
      <c r="R2504" s="4" t="e">
        <f t="shared" si="239"/>
        <v>#DIV/0!</v>
      </c>
      <c r="S2504" s="4">
        <v>-2.95</v>
      </c>
      <c r="T2504" s="2">
        <v>0.97</v>
      </c>
      <c r="U2504" s="2">
        <v>71.72</v>
      </c>
      <c r="V2504" s="2">
        <v>29.04</v>
      </c>
      <c r="W2504" s="2" t="s">
        <v>12534</v>
      </c>
      <c r="X2504" s="2">
        <v>-4.76</v>
      </c>
      <c r="Y2504" s="2">
        <v>15.32</v>
      </c>
      <c r="Z2504" s="2">
        <v>14.81</v>
      </c>
    </row>
    <row r="2505" spans="1:26" x14ac:dyDescent="0.25">
      <c r="A2505" s="1" t="s">
        <v>10062</v>
      </c>
      <c r="B2505" s="1" t="s">
        <v>10063</v>
      </c>
      <c r="C2505" s="1" t="s">
        <v>16</v>
      </c>
      <c r="D2505" s="1" t="s">
        <v>38</v>
      </c>
      <c r="E2505" s="1" t="s">
        <v>259</v>
      </c>
      <c r="F2505" s="1" t="s">
        <v>10064</v>
      </c>
      <c r="G2505" s="1" t="s">
        <v>12480</v>
      </c>
      <c r="H2505" s="1" t="s">
        <v>9777</v>
      </c>
      <c r="I2505" s="2">
        <v>48.18</v>
      </c>
      <c r="J2505" s="2"/>
      <c r="K2505" s="2"/>
      <c r="L2505" s="2"/>
      <c r="M2505" s="4" t="e">
        <f t="shared" si="234"/>
        <v>#DIV/0!</v>
      </c>
      <c r="N2505" s="4" t="e">
        <f t="shared" si="235"/>
        <v>#DIV/0!</v>
      </c>
      <c r="O2505" s="5" t="e">
        <f t="shared" si="236"/>
        <v>#DIV/0!</v>
      </c>
      <c r="P2505" s="5" t="e">
        <f t="shared" si="237"/>
        <v>#DIV/0!</v>
      </c>
      <c r="Q2505" s="4" t="e">
        <f t="shared" si="238"/>
        <v>#DIV/0!</v>
      </c>
      <c r="R2505" s="4" t="e">
        <f t="shared" si="239"/>
        <v>#DIV/0!</v>
      </c>
      <c r="S2505" s="4"/>
      <c r="T2505" s="2">
        <v>0.13</v>
      </c>
      <c r="U2505" s="2">
        <v>48.46</v>
      </c>
      <c r="V2505" s="2">
        <v>47.02</v>
      </c>
      <c r="W2505" s="2">
        <v>-0.21</v>
      </c>
      <c r="X2505" s="2">
        <v>-0.25</v>
      </c>
      <c r="Y2505" s="2">
        <v>0.48</v>
      </c>
      <c r="Z2505" s="2">
        <v>0.4</v>
      </c>
    </row>
    <row r="2506" spans="1:26" x14ac:dyDescent="0.25">
      <c r="A2506" s="1" t="s">
        <v>10065</v>
      </c>
      <c r="B2506" s="1" t="s">
        <v>10066</v>
      </c>
      <c r="C2506" s="1" t="s">
        <v>31</v>
      </c>
      <c r="D2506" s="1" t="s">
        <v>61</v>
      </c>
      <c r="E2506" s="1" t="s">
        <v>170</v>
      </c>
      <c r="F2506" s="1" t="s">
        <v>10067</v>
      </c>
      <c r="G2506" s="1" t="s">
        <v>12490</v>
      </c>
      <c r="H2506" s="1" t="s">
        <v>10068</v>
      </c>
      <c r="I2506" s="2">
        <v>91.302499999999995</v>
      </c>
      <c r="J2506" s="2">
        <v>1.1100000000000001</v>
      </c>
      <c r="K2506" s="2"/>
      <c r="L2506" s="2"/>
      <c r="M2506" s="4" t="e">
        <f t="shared" si="234"/>
        <v>#DIV/0!</v>
      </c>
      <c r="N2506" s="4" t="e">
        <f t="shared" si="235"/>
        <v>#DIV/0!</v>
      </c>
      <c r="O2506" s="5">
        <f t="shared" si="236"/>
        <v>-1</v>
      </c>
      <c r="P2506" s="5" t="e">
        <f t="shared" si="237"/>
        <v>#DIV/0!</v>
      </c>
      <c r="Q2506" s="4" t="e">
        <f t="shared" si="238"/>
        <v>#DIV/0!</v>
      </c>
      <c r="R2506" s="4" t="e">
        <f t="shared" si="239"/>
        <v>#DIV/0!</v>
      </c>
      <c r="S2506" s="4">
        <v>-8.09</v>
      </c>
      <c r="T2506" s="2">
        <v>0.13</v>
      </c>
      <c r="U2506" s="2" t="s">
        <v>12615</v>
      </c>
      <c r="V2506" s="2">
        <v>25.89</v>
      </c>
      <c r="W2506" s="2" t="s">
        <v>12489</v>
      </c>
      <c r="X2506" s="2">
        <v>109.19</v>
      </c>
      <c r="Y2506" s="2">
        <v>109.19</v>
      </c>
      <c r="Z2506" s="2">
        <v>109.19</v>
      </c>
    </row>
    <row r="2507" spans="1:26" x14ac:dyDescent="0.25">
      <c r="A2507" s="1" t="s">
        <v>10069</v>
      </c>
      <c r="B2507" s="1" t="s">
        <v>10070</v>
      </c>
      <c r="C2507" s="1" t="s">
        <v>31</v>
      </c>
      <c r="D2507" s="1" t="s">
        <v>38</v>
      </c>
      <c r="E2507" s="1" t="s">
        <v>101</v>
      </c>
      <c r="F2507" s="1" t="s">
        <v>10071</v>
      </c>
      <c r="G2507" s="1" t="s">
        <v>12480</v>
      </c>
      <c r="H2507" s="1" t="s">
        <v>10072</v>
      </c>
      <c r="I2507" s="2">
        <v>7.8194999999999997</v>
      </c>
      <c r="J2507" s="2">
        <v>0.38</v>
      </c>
      <c r="K2507" s="2"/>
      <c r="L2507" s="2"/>
      <c r="M2507" s="4" t="e">
        <f t="shared" si="234"/>
        <v>#DIV/0!</v>
      </c>
      <c r="N2507" s="4" t="e">
        <f t="shared" si="235"/>
        <v>#DIV/0!</v>
      </c>
      <c r="O2507" s="5">
        <f t="shared" si="236"/>
        <v>-1</v>
      </c>
      <c r="P2507" s="5" t="e">
        <f t="shared" si="237"/>
        <v>#DIV/0!</v>
      </c>
      <c r="Q2507" s="4" t="e">
        <f t="shared" si="238"/>
        <v>#DIV/0!</v>
      </c>
      <c r="R2507" s="4" t="e">
        <f t="shared" si="239"/>
        <v>#DIV/0!</v>
      </c>
      <c r="S2507" s="4">
        <v>3.9</v>
      </c>
      <c r="T2507" s="2">
        <v>1.1399999999999999</v>
      </c>
      <c r="U2507" s="2">
        <v>7.98</v>
      </c>
      <c r="V2507" s="2">
        <v>3.5</v>
      </c>
      <c r="W2507" s="2">
        <v>-0.75</v>
      </c>
      <c r="X2507" s="2">
        <v>35.99</v>
      </c>
      <c r="Y2507" s="2">
        <v>42.17</v>
      </c>
      <c r="Z2507" s="2">
        <v>41.66</v>
      </c>
    </row>
    <row r="2508" spans="1:26" x14ac:dyDescent="0.25">
      <c r="A2508" s="1" t="s">
        <v>10073</v>
      </c>
      <c r="B2508" s="1" t="s">
        <v>10074</v>
      </c>
      <c r="C2508" s="1" t="s">
        <v>16</v>
      </c>
      <c r="D2508" s="1" t="s">
        <v>38</v>
      </c>
      <c r="E2508" s="1" t="s">
        <v>510</v>
      </c>
      <c r="F2508" s="1" t="s">
        <v>10075</v>
      </c>
      <c r="G2508" s="1" t="s">
        <v>12480</v>
      </c>
      <c r="H2508" s="1" t="s">
        <v>10076</v>
      </c>
      <c r="I2508" s="2">
        <v>9.35</v>
      </c>
      <c r="J2508" s="2">
        <v>0.86</v>
      </c>
      <c r="K2508" s="2">
        <v>0.88</v>
      </c>
      <c r="L2508" s="2">
        <v>0.92</v>
      </c>
      <c r="M2508" s="4">
        <f t="shared" si="234"/>
        <v>10.625</v>
      </c>
      <c r="N2508" s="4">
        <f t="shared" si="235"/>
        <v>10.163043478260869</v>
      </c>
      <c r="O2508" s="5">
        <f t="shared" si="236"/>
        <v>2.3255813953488413E-2</v>
      </c>
      <c r="P2508" s="5">
        <f t="shared" si="237"/>
        <v>4.5454545454545414E-2</v>
      </c>
      <c r="Q2508" s="4">
        <f t="shared" si="238"/>
        <v>4.5687499999999917</v>
      </c>
      <c r="R2508" s="4">
        <f t="shared" si="239"/>
        <v>2.235869565217393</v>
      </c>
      <c r="S2508" s="4" t="s">
        <v>12502</v>
      </c>
      <c r="T2508" s="2">
        <v>0.97</v>
      </c>
      <c r="U2508" s="2">
        <v>10.56</v>
      </c>
      <c r="V2508" s="2">
        <v>7.72</v>
      </c>
      <c r="W2508" s="2">
        <v>-1.48</v>
      </c>
      <c r="X2508" s="2">
        <v>2.52</v>
      </c>
      <c r="Y2508" s="2">
        <v>0.75</v>
      </c>
      <c r="Z2508" s="2">
        <v>4.59</v>
      </c>
    </row>
    <row r="2509" spans="1:26" x14ac:dyDescent="0.25">
      <c r="A2509" s="1" t="s">
        <v>10077</v>
      </c>
      <c r="B2509" s="1" t="s">
        <v>10078</v>
      </c>
      <c r="C2509" s="1" t="s">
        <v>45</v>
      </c>
      <c r="D2509" s="1" t="s">
        <v>147</v>
      </c>
      <c r="E2509" s="1" t="s">
        <v>279</v>
      </c>
      <c r="F2509" s="1" t="s">
        <v>10079</v>
      </c>
      <c r="G2509" s="1" t="s">
        <v>12480</v>
      </c>
      <c r="H2509" s="1" t="s">
        <v>10080</v>
      </c>
      <c r="I2509" s="2">
        <v>33.619999999999997</v>
      </c>
      <c r="J2509" s="2">
        <v>1.7</v>
      </c>
      <c r="K2509" s="2">
        <v>2.04</v>
      </c>
      <c r="L2509" s="2">
        <v>2.37</v>
      </c>
      <c r="M2509" s="4">
        <f t="shared" si="234"/>
        <v>16.480392156862745</v>
      </c>
      <c r="N2509" s="4">
        <f t="shared" si="235"/>
        <v>14.185654008438817</v>
      </c>
      <c r="O2509" s="5">
        <f t="shared" si="236"/>
        <v>0.19999999999999996</v>
      </c>
      <c r="P2509" s="5">
        <f t="shared" si="237"/>
        <v>0.16176470588235303</v>
      </c>
      <c r="Q2509" s="4">
        <f t="shared" si="238"/>
        <v>0.82401960784313744</v>
      </c>
      <c r="R2509" s="4">
        <f t="shared" si="239"/>
        <v>0.87693133870348994</v>
      </c>
      <c r="S2509" s="4">
        <v>10.45</v>
      </c>
      <c r="T2509" s="2">
        <v>1.1299999999999999</v>
      </c>
      <c r="U2509" s="2">
        <v>46.23</v>
      </c>
      <c r="V2509" s="2">
        <v>19.54</v>
      </c>
      <c r="W2509" s="2">
        <v>-5.61</v>
      </c>
      <c r="X2509" s="2">
        <v>-7.97</v>
      </c>
      <c r="Y2509" s="2">
        <v>-23.85</v>
      </c>
      <c r="Z2509" s="2">
        <v>-19.260000000000002</v>
      </c>
    </row>
    <row r="2510" spans="1:26" x14ac:dyDescent="0.25">
      <c r="A2510" s="1" t="s">
        <v>10081</v>
      </c>
      <c r="B2510" s="1" t="s">
        <v>10082</v>
      </c>
      <c r="C2510" s="1" t="s">
        <v>45</v>
      </c>
      <c r="D2510" s="1" t="s">
        <v>32</v>
      </c>
      <c r="E2510" s="1" t="s">
        <v>565</v>
      </c>
      <c r="F2510" s="1" t="s">
        <v>10083</v>
      </c>
      <c r="G2510" s="1" t="s">
        <v>12480</v>
      </c>
      <c r="H2510" s="1" t="s">
        <v>10084</v>
      </c>
      <c r="I2510" s="2">
        <v>133.5</v>
      </c>
      <c r="J2510" s="2">
        <v>1.17</v>
      </c>
      <c r="K2510" s="2">
        <v>1.76</v>
      </c>
      <c r="L2510" s="2">
        <v>2.17</v>
      </c>
      <c r="M2510" s="4">
        <f t="shared" si="234"/>
        <v>75.852272727272734</v>
      </c>
      <c r="N2510" s="4">
        <f t="shared" si="235"/>
        <v>61.52073732718894</v>
      </c>
      <c r="O2510" s="5">
        <f t="shared" si="236"/>
        <v>0.50427350427350448</v>
      </c>
      <c r="P2510" s="5">
        <f t="shared" si="237"/>
        <v>0.23295454545454541</v>
      </c>
      <c r="Q2510" s="4">
        <f t="shared" si="238"/>
        <v>1.5041891371340519</v>
      </c>
      <c r="R2510" s="4">
        <f t="shared" si="239"/>
        <v>2.6408901877037212</v>
      </c>
      <c r="S2510" s="4">
        <v>30.14</v>
      </c>
      <c r="T2510" s="2">
        <v>2.83</v>
      </c>
      <c r="U2510" s="2">
        <v>179.01</v>
      </c>
      <c r="V2510" s="2">
        <v>76.89</v>
      </c>
      <c r="W2510" s="2">
        <v>11.83</v>
      </c>
      <c r="X2510" s="2">
        <v>12.75</v>
      </c>
      <c r="Y2510" s="2">
        <v>-16.48</v>
      </c>
      <c r="Z2510" s="2">
        <v>-17.07</v>
      </c>
    </row>
    <row r="2511" spans="1:26" x14ac:dyDescent="0.25">
      <c r="A2511" s="1" t="s">
        <v>10085</v>
      </c>
      <c r="B2511" s="1" t="s">
        <v>10086</v>
      </c>
      <c r="C2511" s="1" t="s">
        <v>16</v>
      </c>
      <c r="D2511" s="1" t="s">
        <v>38</v>
      </c>
      <c r="E2511" s="1" t="s">
        <v>259</v>
      </c>
      <c r="F2511" s="1" t="s">
        <v>10087</v>
      </c>
      <c r="G2511" s="1" t="s">
        <v>12480</v>
      </c>
      <c r="H2511" s="1" t="s">
        <v>10088</v>
      </c>
      <c r="I2511" s="2">
        <v>110.17</v>
      </c>
      <c r="J2511" s="2"/>
      <c r="K2511" s="2"/>
      <c r="L2511" s="2"/>
      <c r="M2511" s="4" t="e">
        <f t="shared" si="234"/>
        <v>#DIV/0!</v>
      </c>
      <c r="N2511" s="4" t="e">
        <f t="shared" si="235"/>
        <v>#DIV/0!</v>
      </c>
      <c r="O2511" s="5" t="e">
        <f t="shared" si="236"/>
        <v>#DIV/0!</v>
      </c>
      <c r="P2511" s="5" t="e">
        <f t="shared" si="237"/>
        <v>#DIV/0!</v>
      </c>
      <c r="Q2511" s="4" t="e">
        <f t="shared" si="238"/>
        <v>#DIV/0!</v>
      </c>
      <c r="R2511" s="4" t="e">
        <f t="shared" si="239"/>
        <v>#DIV/0!</v>
      </c>
      <c r="S2511" s="4"/>
      <c r="T2511" s="2">
        <v>0.01</v>
      </c>
      <c r="U2511" s="2">
        <v>110.49</v>
      </c>
      <c r="V2511" s="2">
        <v>110.02</v>
      </c>
      <c r="W2511" s="2">
        <v>0.06</v>
      </c>
      <c r="X2511" s="2">
        <v>-0.03</v>
      </c>
      <c r="Y2511" s="2">
        <v>-0.14000000000000001</v>
      </c>
      <c r="Z2511" s="2">
        <v>0.02</v>
      </c>
    </row>
    <row r="2512" spans="1:26" x14ac:dyDescent="0.25">
      <c r="A2512" s="1" t="s">
        <v>10089</v>
      </c>
      <c r="B2512" s="1" t="s">
        <v>10090</v>
      </c>
      <c r="C2512" s="1" t="s">
        <v>16</v>
      </c>
      <c r="D2512" s="1" t="s">
        <v>88</v>
      </c>
      <c r="E2512" s="1" t="s">
        <v>1113</v>
      </c>
      <c r="F2512" s="1" t="s">
        <v>10091</v>
      </c>
      <c r="G2512" s="1" t="s">
        <v>12480</v>
      </c>
      <c r="H2512" s="1" t="s">
        <v>10092</v>
      </c>
      <c r="I2512" s="2">
        <v>333.4</v>
      </c>
      <c r="J2512" s="2">
        <v>11.43</v>
      </c>
      <c r="K2512" s="2" t="s">
        <v>12480</v>
      </c>
      <c r="L2512" s="2">
        <v>13.54</v>
      </c>
      <c r="M2512" s="4">
        <f t="shared" si="234"/>
        <v>27.783333333333331</v>
      </c>
      <c r="N2512" s="4">
        <f t="shared" si="235"/>
        <v>24.623338257016247</v>
      </c>
      <c r="O2512" s="5">
        <f t="shared" si="236"/>
        <v>4.986876640419946E-2</v>
      </c>
      <c r="P2512" s="5">
        <f t="shared" si="237"/>
        <v>0.12833333333333319</v>
      </c>
      <c r="Q2512" s="4">
        <f t="shared" si="238"/>
        <v>5.571289473684212</v>
      </c>
      <c r="R2512" s="4">
        <f t="shared" si="239"/>
        <v>1.9187016823649046</v>
      </c>
      <c r="S2512" s="4">
        <v>2.06</v>
      </c>
      <c r="T2512" s="2">
        <v>1.25</v>
      </c>
      <c r="U2512" s="2">
        <v>375.23</v>
      </c>
      <c r="V2512" s="2">
        <v>313.51</v>
      </c>
      <c r="W2512" s="2">
        <v>-6.37</v>
      </c>
      <c r="X2512" s="2">
        <v>-7.54</v>
      </c>
      <c r="Y2512" s="2">
        <v>1.51</v>
      </c>
      <c r="Z2512" s="2">
        <v>2.89</v>
      </c>
    </row>
    <row r="2513" spans="1:26" x14ac:dyDescent="0.25">
      <c r="A2513" s="1" t="s">
        <v>10093</v>
      </c>
      <c r="B2513" s="1" t="s">
        <v>10094</v>
      </c>
      <c r="C2513" s="1" t="s">
        <v>31</v>
      </c>
      <c r="D2513" s="1" t="s">
        <v>88</v>
      </c>
      <c r="E2513" s="1" t="s">
        <v>504</v>
      </c>
      <c r="F2513" s="1" t="s">
        <v>10095</v>
      </c>
      <c r="G2513" s="1" t="s">
        <v>12480</v>
      </c>
      <c r="H2513" s="1" t="s">
        <v>10096</v>
      </c>
      <c r="I2513" s="2">
        <v>68.59</v>
      </c>
      <c r="J2513" s="2">
        <v>1.07</v>
      </c>
      <c r="K2513" s="2"/>
      <c r="L2513" s="2"/>
      <c r="M2513" s="4" t="e">
        <f t="shared" si="234"/>
        <v>#DIV/0!</v>
      </c>
      <c r="N2513" s="4" t="e">
        <f t="shared" si="235"/>
        <v>#DIV/0!</v>
      </c>
      <c r="O2513" s="5">
        <f t="shared" si="236"/>
        <v>-1</v>
      </c>
      <c r="P2513" s="5" t="e">
        <f t="shared" si="237"/>
        <v>#DIV/0!</v>
      </c>
      <c r="Q2513" s="4" t="e">
        <f t="shared" si="238"/>
        <v>#DIV/0!</v>
      </c>
      <c r="R2513" s="4" t="e">
        <f t="shared" si="239"/>
        <v>#DIV/0!</v>
      </c>
      <c r="S2513" s="4">
        <v>2.6</v>
      </c>
      <c r="T2513" s="2">
        <v>0.34</v>
      </c>
      <c r="U2513" s="2">
        <v>77.900000000000006</v>
      </c>
      <c r="V2513" s="2">
        <v>15.43</v>
      </c>
      <c r="W2513" s="2">
        <v>-7.93</v>
      </c>
      <c r="X2513" s="2">
        <v>13.05</v>
      </c>
      <c r="Y2513" s="2">
        <v>95.14</v>
      </c>
      <c r="Z2513" s="2">
        <v>79.319999999999993</v>
      </c>
    </row>
    <row r="2514" spans="1:26" x14ac:dyDescent="0.25">
      <c r="A2514" s="1" t="s">
        <v>10098</v>
      </c>
      <c r="B2514" s="1" t="s">
        <v>10099</v>
      </c>
      <c r="C2514" s="1" t="s">
        <v>31</v>
      </c>
      <c r="D2514" s="1" t="s">
        <v>18</v>
      </c>
      <c r="E2514" s="1" t="s">
        <v>19</v>
      </c>
      <c r="F2514" s="1" t="s">
        <v>1261</v>
      </c>
      <c r="G2514" s="1" t="s">
        <v>12480</v>
      </c>
      <c r="H2514" s="1" t="s">
        <v>10100</v>
      </c>
      <c r="I2514" s="2">
        <v>0.72650000000000003</v>
      </c>
      <c r="J2514" s="2">
        <v>0.06</v>
      </c>
      <c r="K2514" s="2"/>
      <c r="L2514" s="2"/>
      <c r="M2514" s="4" t="e">
        <f t="shared" si="234"/>
        <v>#DIV/0!</v>
      </c>
      <c r="N2514" s="4" t="e">
        <f t="shared" si="235"/>
        <v>#DIV/0!</v>
      </c>
      <c r="O2514" s="5">
        <f t="shared" si="236"/>
        <v>-1</v>
      </c>
      <c r="P2514" s="5" t="e">
        <f t="shared" si="237"/>
        <v>#DIV/0!</v>
      </c>
      <c r="Q2514" s="4" t="e">
        <f t="shared" si="238"/>
        <v>#DIV/0!</v>
      </c>
      <c r="R2514" s="4" t="e">
        <f t="shared" si="239"/>
        <v>#DIV/0!</v>
      </c>
      <c r="S2514" s="4">
        <v>-2.74</v>
      </c>
      <c r="T2514" s="2">
        <v>-0.25</v>
      </c>
      <c r="U2514" s="2">
        <v>0.76</v>
      </c>
      <c r="V2514" s="2">
        <v>0.66</v>
      </c>
      <c r="W2514" s="2" t="s">
        <v>12489</v>
      </c>
      <c r="X2514" s="2" t="s">
        <v>12489</v>
      </c>
      <c r="Y2514" s="2">
        <v>5.31</v>
      </c>
      <c r="Z2514" s="2">
        <v>5.31</v>
      </c>
    </row>
    <row r="2515" spans="1:26" x14ac:dyDescent="0.25">
      <c r="A2515" s="1" t="s">
        <v>10101</v>
      </c>
      <c r="B2515" s="1" t="s">
        <v>10102</v>
      </c>
      <c r="C2515" s="1" t="s">
        <v>45</v>
      </c>
      <c r="D2515" s="1" t="s">
        <v>38</v>
      </c>
      <c r="E2515" s="1" t="s">
        <v>259</v>
      </c>
      <c r="F2515" s="1" t="s">
        <v>10103</v>
      </c>
      <c r="G2515" s="1" t="s">
        <v>12480</v>
      </c>
      <c r="H2515" s="1" t="s">
        <v>10104</v>
      </c>
      <c r="I2515" s="2">
        <v>82.77</v>
      </c>
      <c r="J2515" s="2"/>
      <c r="K2515" s="2"/>
      <c r="L2515" s="2"/>
      <c r="M2515" s="4" t="e">
        <f t="shared" si="234"/>
        <v>#DIV/0!</v>
      </c>
      <c r="N2515" s="4" t="e">
        <f t="shared" si="235"/>
        <v>#DIV/0!</v>
      </c>
      <c r="O2515" s="5" t="e">
        <f t="shared" si="236"/>
        <v>#DIV/0!</v>
      </c>
      <c r="P2515" s="5" t="e">
        <f t="shared" si="237"/>
        <v>#DIV/0!</v>
      </c>
      <c r="Q2515" s="4" t="e">
        <f t="shared" si="238"/>
        <v>#DIV/0!</v>
      </c>
      <c r="R2515" s="4" t="e">
        <f t="shared" si="239"/>
        <v>#DIV/0!</v>
      </c>
      <c r="S2515" s="4"/>
      <c r="T2515" s="2">
        <v>0.05</v>
      </c>
      <c r="U2515" s="2">
        <v>83.18</v>
      </c>
      <c r="V2515" s="2">
        <v>82.21</v>
      </c>
      <c r="W2515" s="2">
        <v>-0.05</v>
      </c>
      <c r="X2515" s="2">
        <v>-0.13</v>
      </c>
      <c r="Y2515" s="2">
        <v>-0.18</v>
      </c>
      <c r="Z2515" s="2">
        <v>-0.06</v>
      </c>
    </row>
    <row r="2516" spans="1:26" x14ac:dyDescent="0.25">
      <c r="A2516" s="1" t="s">
        <v>10106</v>
      </c>
      <c r="B2516" s="1" t="s">
        <v>10107</v>
      </c>
      <c r="C2516" s="1" t="s">
        <v>16</v>
      </c>
      <c r="D2516" s="1" t="s">
        <v>88</v>
      </c>
      <c r="E2516" s="1" t="s">
        <v>912</v>
      </c>
      <c r="F2516" s="1" t="s">
        <v>10108</v>
      </c>
      <c r="G2516" s="1" t="s">
        <v>12480</v>
      </c>
      <c r="H2516" s="1" t="s">
        <v>10109</v>
      </c>
      <c r="I2516" s="2">
        <v>1.42</v>
      </c>
      <c r="J2516" s="2">
        <v>-0.36</v>
      </c>
      <c r="K2516" s="2">
        <v>0.22</v>
      </c>
      <c r="L2516" s="2">
        <v>0.15</v>
      </c>
      <c r="M2516" s="4">
        <f t="shared" si="234"/>
        <v>6.4545454545454541</v>
      </c>
      <c r="N2516" s="4">
        <f t="shared" si="235"/>
        <v>9.4666666666666668</v>
      </c>
      <c r="O2516" s="5">
        <f t="shared" si="236"/>
        <v>-1.6111111111111112</v>
      </c>
      <c r="P2516" s="5">
        <f t="shared" si="237"/>
        <v>-0.31818181818181823</v>
      </c>
      <c r="Q2516" s="4">
        <f t="shared" si="238"/>
        <v>-4.0062695924764885E-2</v>
      </c>
      <c r="R2516" s="4">
        <f t="shared" si="239"/>
        <v>-0.29752380952380947</v>
      </c>
      <c r="S2516" s="4">
        <v>-10.99</v>
      </c>
      <c r="T2516" s="2">
        <v>1.67</v>
      </c>
      <c r="U2516" s="2">
        <v>2.12</v>
      </c>
      <c r="V2516" s="2">
        <v>1.25</v>
      </c>
      <c r="W2516" s="2">
        <v>-13.42</v>
      </c>
      <c r="X2516" s="2">
        <v>-25.26</v>
      </c>
      <c r="Y2516" s="2">
        <v>-18.39</v>
      </c>
      <c r="Z2516" s="2">
        <v>-11.25</v>
      </c>
    </row>
    <row r="2517" spans="1:26" x14ac:dyDescent="0.25">
      <c r="A2517" s="1" t="s">
        <v>10110</v>
      </c>
      <c r="B2517" s="1" t="s">
        <v>10111</v>
      </c>
      <c r="C2517" s="1" t="s">
        <v>31</v>
      </c>
      <c r="D2517" s="1" t="s">
        <v>25</v>
      </c>
      <c r="E2517" s="1" t="s">
        <v>325</v>
      </c>
      <c r="F2517" s="1" t="s">
        <v>10112</v>
      </c>
      <c r="G2517" s="1" t="s">
        <v>12485</v>
      </c>
      <c r="H2517" s="1" t="s">
        <v>12783</v>
      </c>
      <c r="I2517" s="2">
        <v>130.6</v>
      </c>
      <c r="J2517" s="2">
        <v>5.26</v>
      </c>
      <c r="K2517" s="2">
        <v>6.57</v>
      </c>
      <c r="L2517" s="2">
        <v>7.58</v>
      </c>
      <c r="M2517" s="4">
        <f t="shared" si="234"/>
        <v>19.878234398782343</v>
      </c>
      <c r="N2517" s="4">
        <f t="shared" si="235"/>
        <v>17.229551451187334</v>
      </c>
      <c r="O2517" s="5">
        <f t="shared" si="236"/>
        <v>0.24904942965779475</v>
      </c>
      <c r="P2517" s="5">
        <f t="shared" si="237"/>
        <v>0.15372907153729076</v>
      </c>
      <c r="Q2517" s="4">
        <f t="shared" si="238"/>
        <v>0.79816422089767247</v>
      </c>
      <c r="R2517" s="4">
        <f t="shared" si="239"/>
        <v>1.1207737924188192</v>
      </c>
      <c r="S2517" s="4">
        <v>5.96</v>
      </c>
      <c r="T2517" s="2">
        <v>1.25</v>
      </c>
      <c r="U2517" s="2">
        <v>154.68</v>
      </c>
      <c r="V2517" s="2">
        <v>96.27</v>
      </c>
      <c r="W2517" s="2">
        <v>-6.08</v>
      </c>
      <c r="X2517" s="2">
        <v>-14.87</v>
      </c>
      <c r="Y2517" s="2">
        <v>-6.71</v>
      </c>
      <c r="Z2517" s="2">
        <v>-6.68</v>
      </c>
    </row>
    <row r="2518" spans="1:26" x14ac:dyDescent="0.25">
      <c r="A2518" s="1" t="s">
        <v>10113</v>
      </c>
      <c r="B2518" s="1" t="s">
        <v>10114</v>
      </c>
      <c r="C2518" s="1" t="s">
        <v>31</v>
      </c>
      <c r="D2518" s="1" t="s">
        <v>25</v>
      </c>
      <c r="E2518" s="1" t="s">
        <v>5727</v>
      </c>
      <c r="F2518" s="1" t="s">
        <v>10115</v>
      </c>
      <c r="G2518" s="1" t="s">
        <v>12480</v>
      </c>
      <c r="H2518" s="1" t="s">
        <v>10116</v>
      </c>
      <c r="I2518" s="2">
        <v>11.925000000000001</v>
      </c>
      <c r="J2518" s="2"/>
      <c r="K2518" s="2"/>
      <c r="L2518" s="2"/>
      <c r="M2518" s="4" t="e">
        <f t="shared" si="234"/>
        <v>#DIV/0!</v>
      </c>
      <c r="N2518" s="4" t="e">
        <f t="shared" si="235"/>
        <v>#DIV/0!</v>
      </c>
      <c r="O2518" s="5" t="e">
        <f t="shared" si="236"/>
        <v>#DIV/0!</v>
      </c>
      <c r="P2518" s="5" t="e">
        <f t="shared" si="237"/>
        <v>#DIV/0!</v>
      </c>
      <c r="Q2518" s="4" t="e">
        <f t="shared" si="238"/>
        <v>#DIV/0!</v>
      </c>
      <c r="R2518" s="4" t="e">
        <f t="shared" si="239"/>
        <v>#DIV/0!</v>
      </c>
      <c r="S2518" s="4"/>
      <c r="T2518" s="2">
        <v>-0.02</v>
      </c>
      <c r="U2518" s="2">
        <v>13.35</v>
      </c>
      <c r="V2518" s="2">
        <v>5.75</v>
      </c>
      <c r="W2518" s="2">
        <v>4.6100000000000003</v>
      </c>
      <c r="X2518" s="2">
        <v>14.11</v>
      </c>
      <c r="Y2518" s="2">
        <v>9.4</v>
      </c>
      <c r="Z2518" s="2">
        <v>20.45</v>
      </c>
    </row>
    <row r="2519" spans="1:26" x14ac:dyDescent="0.25">
      <c r="A2519" s="1" t="s">
        <v>10117</v>
      </c>
      <c r="B2519" s="1" t="s">
        <v>10118</v>
      </c>
      <c r="C2519" s="1" t="s">
        <v>45</v>
      </c>
      <c r="D2519" s="1" t="s">
        <v>32</v>
      </c>
      <c r="E2519" s="1" t="s">
        <v>565</v>
      </c>
      <c r="F2519" s="1" t="s">
        <v>10119</v>
      </c>
      <c r="G2519" s="1" t="s">
        <v>12490</v>
      </c>
      <c r="H2519" s="1" t="s">
        <v>10120</v>
      </c>
      <c r="I2519" s="2">
        <v>13.95</v>
      </c>
      <c r="J2519" s="2"/>
      <c r="K2519" s="2">
        <v>-0.04</v>
      </c>
      <c r="L2519" s="2">
        <v>0.02</v>
      </c>
      <c r="M2519" s="4">
        <f t="shared" si="234"/>
        <v>-348.75</v>
      </c>
      <c r="N2519" s="4">
        <f t="shared" si="235"/>
        <v>697.5</v>
      </c>
      <c r="O2519" s="5" t="e">
        <f t="shared" si="236"/>
        <v>#DIV/0!</v>
      </c>
      <c r="P2519" s="5">
        <f t="shared" si="237"/>
        <v>-1.5</v>
      </c>
      <c r="Q2519" s="4" t="e">
        <f t="shared" si="238"/>
        <v>#DIV/0!</v>
      </c>
      <c r="R2519" s="4">
        <f t="shared" si="239"/>
        <v>-4.6500000000000004</v>
      </c>
      <c r="S2519" s="4">
        <v>9.6</v>
      </c>
      <c r="T2519" s="2">
        <v>1.0900000000000001</v>
      </c>
      <c r="U2519" s="2">
        <v>17.350000000000001</v>
      </c>
      <c r="V2519" s="2">
        <v>3.78</v>
      </c>
      <c r="W2519" s="2">
        <v>-6.12</v>
      </c>
      <c r="X2519" s="2">
        <v>-5.3</v>
      </c>
      <c r="Y2519" s="2">
        <v>23.45</v>
      </c>
      <c r="Z2519" s="2">
        <v>14.44</v>
      </c>
    </row>
    <row r="2520" spans="1:26" x14ac:dyDescent="0.25">
      <c r="A2520" s="1" t="s">
        <v>10121</v>
      </c>
      <c r="B2520" s="1" t="s">
        <v>10122</v>
      </c>
      <c r="C2520" s="1" t="s">
        <v>16</v>
      </c>
      <c r="D2520" s="1" t="s">
        <v>67</v>
      </c>
      <c r="E2520" s="1" t="s">
        <v>2654</v>
      </c>
      <c r="F2520" s="1" t="s">
        <v>10123</v>
      </c>
      <c r="G2520" s="1" t="s">
        <v>12493</v>
      </c>
      <c r="H2520" s="1" t="s">
        <v>10124</v>
      </c>
      <c r="I2520" s="2">
        <v>91.61</v>
      </c>
      <c r="J2520" s="2">
        <v>8.94</v>
      </c>
      <c r="K2520" s="2">
        <v>10.27</v>
      </c>
      <c r="L2520" s="2"/>
      <c r="M2520" s="4">
        <f t="shared" si="234"/>
        <v>8.9201557935735156</v>
      </c>
      <c r="N2520" s="4" t="e">
        <f t="shared" si="235"/>
        <v>#DIV/0!</v>
      </c>
      <c r="O2520" s="5">
        <f t="shared" si="236"/>
        <v>0.14876957494407161</v>
      </c>
      <c r="P2520" s="5">
        <f t="shared" si="237"/>
        <v>-1</v>
      </c>
      <c r="Q2520" s="4">
        <f t="shared" si="238"/>
        <v>0.59959543454546782</v>
      </c>
      <c r="R2520" s="4" t="e">
        <f t="shared" si="239"/>
        <v>#DIV/0!</v>
      </c>
      <c r="S2520" s="4">
        <v>-6.52</v>
      </c>
      <c r="T2520" s="2">
        <v>1.25</v>
      </c>
      <c r="U2520" s="2" t="s">
        <v>12784</v>
      </c>
      <c r="V2520" s="2">
        <v>46.42</v>
      </c>
      <c r="W2520" s="2">
        <v>-4.76</v>
      </c>
      <c r="X2520" s="2">
        <v>-5.55</v>
      </c>
      <c r="Y2520" s="2">
        <v>5.85</v>
      </c>
      <c r="Z2520" s="2">
        <v>10.53</v>
      </c>
    </row>
    <row r="2521" spans="1:26" x14ac:dyDescent="0.25">
      <c r="A2521" s="1" t="s">
        <v>10125</v>
      </c>
      <c r="B2521" s="1" t="s">
        <v>10126</v>
      </c>
      <c r="C2521" s="1" t="s">
        <v>45</v>
      </c>
      <c r="D2521" s="1" t="s">
        <v>38</v>
      </c>
      <c r="E2521" s="1" t="s">
        <v>194</v>
      </c>
      <c r="F2521" s="1" t="s">
        <v>10127</v>
      </c>
      <c r="G2521" s="1" t="s">
        <v>12480</v>
      </c>
      <c r="H2521" s="1" t="s">
        <v>10128</v>
      </c>
      <c r="I2521" s="2">
        <v>77.78</v>
      </c>
      <c r="J2521" s="2">
        <v>7.38</v>
      </c>
      <c r="K2521" s="2">
        <v>7.81</v>
      </c>
      <c r="L2521" s="2">
        <v>8.8000000000000007</v>
      </c>
      <c r="M2521" s="4">
        <f t="shared" si="234"/>
        <v>9.9590268886043543</v>
      </c>
      <c r="N2521" s="4">
        <f t="shared" si="235"/>
        <v>8.838636363636363</v>
      </c>
      <c r="O2521" s="5">
        <f t="shared" si="236"/>
        <v>5.8265582655826487E-2</v>
      </c>
      <c r="P2521" s="5">
        <f t="shared" si="237"/>
        <v>0.12676056338028174</v>
      </c>
      <c r="Q2521" s="4">
        <f t="shared" si="238"/>
        <v>1.7092469404162842</v>
      </c>
      <c r="R2521" s="4">
        <f t="shared" si="239"/>
        <v>0.69727020202020162</v>
      </c>
      <c r="S2521" s="4">
        <v>9.77</v>
      </c>
      <c r="T2521" s="2">
        <v>0.23</v>
      </c>
      <c r="U2521" s="2">
        <v>92.83</v>
      </c>
      <c r="V2521" s="2">
        <v>74.02</v>
      </c>
      <c r="W2521" s="2">
        <v>-8.34</v>
      </c>
      <c r="X2521" s="2">
        <v>-12.21</v>
      </c>
      <c r="Y2521" s="2">
        <v>-7.12</v>
      </c>
      <c r="Z2521" s="2">
        <v>-7.04</v>
      </c>
    </row>
    <row r="2522" spans="1:26" x14ac:dyDescent="0.25">
      <c r="A2522" s="1" t="s">
        <v>10129</v>
      </c>
      <c r="B2522" s="1" t="s">
        <v>10130</v>
      </c>
      <c r="C2522" s="1" t="s">
        <v>16</v>
      </c>
      <c r="D2522" s="1" t="s">
        <v>38</v>
      </c>
      <c r="E2522" s="1" t="s">
        <v>101</v>
      </c>
      <c r="F2522" s="1" t="s">
        <v>10131</v>
      </c>
      <c r="G2522" s="1" t="s">
        <v>12480</v>
      </c>
      <c r="H2522" s="1" t="s">
        <v>7393</v>
      </c>
      <c r="I2522" s="2">
        <v>162.28</v>
      </c>
      <c r="J2522" s="2">
        <v>2.61</v>
      </c>
      <c r="K2522" s="2"/>
      <c r="L2522" s="2"/>
      <c r="M2522" s="4" t="e">
        <f t="shared" si="234"/>
        <v>#DIV/0!</v>
      </c>
      <c r="N2522" s="4" t="e">
        <f t="shared" si="235"/>
        <v>#DIV/0!</v>
      </c>
      <c r="O2522" s="5">
        <f t="shared" si="236"/>
        <v>-1</v>
      </c>
      <c r="P2522" s="5" t="e">
        <f t="shared" si="237"/>
        <v>#DIV/0!</v>
      </c>
      <c r="Q2522" s="4" t="e">
        <f t="shared" si="238"/>
        <v>#DIV/0!</v>
      </c>
      <c r="R2522" s="4" t="e">
        <f t="shared" si="239"/>
        <v>#DIV/0!</v>
      </c>
      <c r="S2522" s="4">
        <v>59.57</v>
      </c>
      <c r="T2522" s="2">
        <v>0.94</v>
      </c>
      <c r="U2522" s="2">
        <v>165.54</v>
      </c>
      <c r="V2522" s="2">
        <v>39.51</v>
      </c>
      <c r="W2522" s="2">
        <v>-1.71</v>
      </c>
      <c r="X2522" s="2">
        <v>32.299999999999997</v>
      </c>
      <c r="Y2522" s="2">
        <v>71.94</v>
      </c>
      <c r="Z2522" s="2">
        <v>65.73</v>
      </c>
    </row>
    <row r="2523" spans="1:26" x14ac:dyDescent="0.25">
      <c r="A2523" s="1" t="s">
        <v>10133</v>
      </c>
      <c r="B2523" s="1" t="s">
        <v>10134</v>
      </c>
      <c r="C2523" s="1" t="s">
        <v>16</v>
      </c>
      <c r="D2523" s="1" t="s">
        <v>38</v>
      </c>
      <c r="E2523" s="1" t="s">
        <v>510</v>
      </c>
      <c r="F2523" s="1" t="s">
        <v>10135</v>
      </c>
      <c r="G2523" s="1" t="s">
        <v>12480</v>
      </c>
      <c r="H2523" s="1" t="s">
        <v>6711</v>
      </c>
      <c r="I2523" s="2">
        <v>24.41</v>
      </c>
      <c r="J2523" s="2">
        <v>2.1800000000000002</v>
      </c>
      <c r="K2523" s="2">
        <v>2.21</v>
      </c>
      <c r="L2523" s="2"/>
      <c r="M2523" s="4">
        <f t="shared" si="234"/>
        <v>11.04524886877828</v>
      </c>
      <c r="N2523" s="4" t="e">
        <f t="shared" si="235"/>
        <v>#DIV/0!</v>
      </c>
      <c r="O2523" s="5">
        <f t="shared" si="236"/>
        <v>1.3761467889908063E-2</v>
      </c>
      <c r="P2523" s="5">
        <f t="shared" si="237"/>
        <v>-1</v>
      </c>
      <c r="Q2523" s="4">
        <f t="shared" si="238"/>
        <v>8.0262141779789964</v>
      </c>
      <c r="R2523" s="4" t="e">
        <f t="shared" si="239"/>
        <v>#DIV/0!</v>
      </c>
      <c r="S2523" s="4" t="s">
        <v>12868</v>
      </c>
      <c r="T2523" s="2">
        <v>-7.0000000000000007E-2</v>
      </c>
      <c r="U2523" s="2">
        <v>27.21</v>
      </c>
      <c r="V2523" s="2">
        <v>22.04</v>
      </c>
      <c r="W2523" s="2">
        <v>-5.9</v>
      </c>
      <c r="X2523" s="2">
        <v>-2.98</v>
      </c>
      <c r="Y2523" s="2">
        <v>5.58</v>
      </c>
      <c r="Z2523" s="2">
        <v>4.72</v>
      </c>
    </row>
    <row r="2524" spans="1:26" x14ac:dyDescent="0.25">
      <c r="A2524" s="1" t="s">
        <v>10136</v>
      </c>
      <c r="B2524" s="1" t="s">
        <v>10137</v>
      </c>
      <c r="C2524" s="1" t="s">
        <v>1118</v>
      </c>
      <c r="D2524" s="1" t="s">
        <v>88</v>
      </c>
      <c r="E2524" s="1" t="s">
        <v>912</v>
      </c>
      <c r="F2524" s="1" t="s">
        <v>10138</v>
      </c>
      <c r="G2524" s="1" t="s">
        <v>12480</v>
      </c>
      <c r="H2524" s="1" t="s">
        <v>2484</v>
      </c>
      <c r="I2524" s="2">
        <v>30.8</v>
      </c>
      <c r="J2524" s="2">
        <v>0.48</v>
      </c>
      <c r="K2524" s="2"/>
      <c r="L2524" s="2"/>
      <c r="M2524" s="4" t="e">
        <f t="shared" si="234"/>
        <v>#DIV/0!</v>
      </c>
      <c r="N2524" s="4" t="e">
        <f t="shared" si="235"/>
        <v>#DIV/0!</v>
      </c>
      <c r="O2524" s="5">
        <f t="shared" si="236"/>
        <v>-1</v>
      </c>
      <c r="P2524" s="5" t="e">
        <f t="shared" si="237"/>
        <v>#DIV/0!</v>
      </c>
      <c r="Q2524" s="4" t="e">
        <f t="shared" si="238"/>
        <v>#DIV/0!</v>
      </c>
      <c r="R2524" s="4" t="e">
        <f t="shared" si="239"/>
        <v>#DIV/0!</v>
      </c>
      <c r="S2524" s="4">
        <v>-14.44</v>
      </c>
      <c r="T2524" s="2">
        <v>0.26</v>
      </c>
      <c r="U2524" s="2">
        <v>32.479999999999997</v>
      </c>
      <c r="V2524" s="2" t="s">
        <v>12712</v>
      </c>
      <c r="W2524" s="2" t="s">
        <v>12489</v>
      </c>
      <c r="X2524" s="2">
        <v>3.25</v>
      </c>
      <c r="Y2524" s="2">
        <v>3.7</v>
      </c>
      <c r="Z2524" s="2">
        <v>3.84</v>
      </c>
    </row>
    <row r="2525" spans="1:26" x14ac:dyDescent="0.25">
      <c r="A2525" s="1" t="s">
        <v>10139</v>
      </c>
      <c r="B2525" s="1" t="s">
        <v>10140</v>
      </c>
      <c r="C2525" s="1" t="s">
        <v>45</v>
      </c>
      <c r="D2525" s="1" t="s">
        <v>32</v>
      </c>
      <c r="E2525" s="1" t="s">
        <v>490</v>
      </c>
      <c r="F2525" s="1" t="s">
        <v>10141</v>
      </c>
      <c r="G2525" s="1" t="s">
        <v>12480</v>
      </c>
      <c r="H2525" s="1" t="s">
        <v>10142</v>
      </c>
      <c r="I2525" s="2">
        <v>121.63</v>
      </c>
      <c r="J2525" s="2">
        <v>3.55</v>
      </c>
      <c r="K2525" s="2">
        <v>5.8</v>
      </c>
      <c r="L2525" s="2">
        <v>7.88</v>
      </c>
      <c r="M2525" s="4">
        <f t="shared" si="234"/>
        <v>20.970689655172414</v>
      </c>
      <c r="N2525" s="4">
        <f t="shared" si="235"/>
        <v>15.435279187817258</v>
      </c>
      <c r="O2525" s="5">
        <f t="shared" si="236"/>
        <v>0.63380281690140849</v>
      </c>
      <c r="P2525" s="5">
        <f t="shared" si="237"/>
        <v>0.35862068965517246</v>
      </c>
      <c r="Q2525" s="4">
        <f t="shared" si="238"/>
        <v>0.33087088122605363</v>
      </c>
      <c r="R2525" s="4">
        <f t="shared" si="239"/>
        <v>0.43040682350644272</v>
      </c>
      <c r="S2525" s="4">
        <v>10.210000000000001</v>
      </c>
      <c r="T2525" s="2">
        <v>1.02</v>
      </c>
      <c r="U2525" s="2">
        <v>143.01</v>
      </c>
      <c r="V2525" s="2">
        <v>38.950000000000003</v>
      </c>
      <c r="W2525" s="2">
        <v>-5.85</v>
      </c>
      <c r="X2525" s="2">
        <v>-11.57</v>
      </c>
      <c r="Y2525" s="2">
        <v>39.69</v>
      </c>
      <c r="Z2525" s="2">
        <v>31.21</v>
      </c>
    </row>
    <row r="2526" spans="1:26" x14ac:dyDescent="0.25">
      <c r="A2526" s="1" t="s">
        <v>10143</v>
      </c>
      <c r="B2526" s="1" t="s">
        <v>10144</v>
      </c>
      <c r="C2526" s="1" t="s">
        <v>45</v>
      </c>
      <c r="D2526" s="1" t="s">
        <v>18</v>
      </c>
      <c r="E2526" s="1" t="s">
        <v>74</v>
      </c>
      <c r="F2526" s="1" t="s">
        <v>10145</v>
      </c>
      <c r="G2526" s="1" t="s">
        <v>12480</v>
      </c>
      <c r="H2526" s="1" t="s">
        <v>12698</v>
      </c>
      <c r="I2526" s="2">
        <v>37.53</v>
      </c>
      <c r="J2526" s="2">
        <v>-1.88</v>
      </c>
      <c r="K2526" s="2">
        <v>-2.44</v>
      </c>
      <c r="L2526" s="2">
        <v>-2.5099999999999998</v>
      </c>
      <c r="M2526" s="4">
        <f t="shared" si="234"/>
        <v>-15.381147540983607</v>
      </c>
      <c r="N2526" s="4">
        <f t="shared" si="235"/>
        <v>-14.952191235059763</v>
      </c>
      <c r="O2526" s="5">
        <f t="shared" si="236"/>
        <v>0.2978723404255319</v>
      </c>
      <c r="P2526" s="5">
        <f t="shared" si="237"/>
        <v>2.86885245901638E-2</v>
      </c>
      <c r="Q2526" s="4">
        <f t="shared" si="238"/>
        <v>-0.51636709601873543</v>
      </c>
      <c r="R2526" s="4">
        <f t="shared" si="239"/>
        <v>-5.2119066590779992</v>
      </c>
      <c r="S2526" s="4"/>
      <c r="T2526" s="2"/>
      <c r="U2526" s="2">
        <v>44.48</v>
      </c>
      <c r="V2526" s="2">
        <v>7.66</v>
      </c>
      <c r="W2526" s="2">
        <v>10.64</v>
      </c>
      <c r="X2526" s="2">
        <v>1.93</v>
      </c>
      <c r="Y2526" s="2">
        <v>-12.23</v>
      </c>
      <c r="Z2526" s="2">
        <v>-8.77</v>
      </c>
    </row>
    <row r="2527" spans="1:26" x14ac:dyDescent="0.25">
      <c r="A2527" s="1" t="s">
        <v>10146</v>
      </c>
      <c r="B2527" s="1" t="s">
        <v>10147</v>
      </c>
      <c r="C2527" s="1" t="s">
        <v>45</v>
      </c>
      <c r="D2527" s="1" t="s">
        <v>147</v>
      </c>
      <c r="E2527" s="1" t="s">
        <v>1695</v>
      </c>
      <c r="F2527" s="1" t="s">
        <v>10148</v>
      </c>
      <c r="G2527" s="1" t="s">
        <v>12480</v>
      </c>
      <c r="H2527" s="1" t="s">
        <v>10149</v>
      </c>
      <c r="I2527" s="2">
        <v>21.7</v>
      </c>
      <c r="J2527" s="2">
        <v>3.19</v>
      </c>
      <c r="K2527" s="2">
        <v>3.09</v>
      </c>
      <c r="L2527" s="2">
        <v>3.24</v>
      </c>
      <c r="M2527" s="4">
        <f t="shared" si="234"/>
        <v>7.0226537216828477</v>
      </c>
      <c r="N2527" s="4">
        <f t="shared" si="235"/>
        <v>6.69753086419753</v>
      </c>
      <c r="O2527" s="5">
        <f t="shared" si="236"/>
        <v>-3.1347962382445194E-2</v>
      </c>
      <c r="P2527" s="5">
        <f t="shared" si="237"/>
        <v>4.854368932038855E-2</v>
      </c>
      <c r="Q2527" s="4">
        <f t="shared" si="238"/>
        <v>-2.2402265372168246</v>
      </c>
      <c r="R2527" s="4">
        <f t="shared" si="239"/>
        <v>1.3796913580246855</v>
      </c>
      <c r="S2527" s="4">
        <v>-1.62</v>
      </c>
      <c r="T2527" s="2">
        <v>0.92</v>
      </c>
      <c r="U2527" s="2">
        <v>25.23</v>
      </c>
      <c r="V2527" s="2">
        <v>19.34</v>
      </c>
      <c r="W2527" s="2">
        <v>-1.0900000000000001</v>
      </c>
      <c r="X2527" s="2">
        <v>3.58</v>
      </c>
      <c r="Y2527" s="2">
        <v>0.74</v>
      </c>
      <c r="Z2527" s="2">
        <v>8.5299999999999994</v>
      </c>
    </row>
    <row r="2528" spans="1:26" x14ac:dyDescent="0.25">
      <c r="A2528" s="1" t="s">
        <v>10150</v>
      </c>
      <c r="B2528" s="1" t="s">
        <v>10151</v>
      </c>
      <c r="C2528" s="1" t="s">
        <v>16</v>
      </c>
      <c r="D2528" s="1" t="s">
        <v>25</v>
      </c>
      <c r="E2528" s="1" t="s">
        <v>325</v>
      </c>
      <c r="F2528" s="1" t="s">
        <v>10152</v>
      </c>
      <c r="G2528" s="1" t="s">
        <v>12480</v>
      </c>
      <c r="H2528" s="1" t="s">
        <v>10153</v>
      </c>
      <c r="I2528" s="2">
        <v>134.09</v>
      </c>
      <c r="J2528" s="2">
        <v>3.37</v>
      </c>
      <c r="K2528" s="2">
        <v>4.2300000000000004</v>
      </c>
      <c r="L2528" s="2">
        <v>5.14</v>
      </c>
      <c r="M2528" s="4">
        <f t="shared" si="234"/>
        <v>31.699763593380613</v>
      </c>
      <c r="N2528" s="4">
        <f t="shared" si="235"/>
        <v>26.087548638132297</v>
      </c>
      <c r="O2528" s="5">
        <f t="shared" si="236"/>
        <v>0.25519287833827908</v>
      </c>
      <c r="P2528" s="5">
        <f t="shared" si="237"/>
        <v>0.21513002364066169</v>
      </c>
      <c r="Q2528" s="4">
        <f t="shared" si="238"/>
        <v>1.2421884105778209</v>
      </c>
      <c r="R2528" s="4">
        <f t="shared" si="239"/>
        <v>1.2126409971351622</v>
      </c>
      <c r="S2528" s="4">
        <v>3.62</v>
      </c>
      <c r="T2528" s="2">
        <v>1.59</v>
      </c>
      <c r="U2528" s="2">
        <v>163.25</v>
      </c>
      <c r="V2528" s="2">
        <v>104.79</v>
      </c>
      <c r="W2528" s="2">
        <v>-5.48</v>
      </c>
      <c r="X2528" s="2">
        <v>-7.94</v>
      </c>
      <c r="Y2528" s="2">
        <v>4.68</v>
      </c>
      <c r="Z2528" s="2">
        <v>7.65</v>
      </c>
    </row>
    <row r="2529" spans="1:26" x14ac:dyDescent="0.25">
      <c r="A2529" s="1" t="s">
        <v>10154</v>
      </c>
      <c r="B2529" s="1" t="s">
        <v>10155</v>
      </c>
      <c r="C2529" s="1" t="s">
        <v>45</v>
      </c>
      <c r="D2529" s="1" t="s">
        <v>32</v>
      </c>
      <c r="E2529" s="1" t="s">
        <v>1607</v>
      </c>
      <c r="F2529" s="1" t="s">
        <v>10156</v>
      </c>
      <c r="G2529" s="1" t="s">
        <v>12480</v>
      </c>
      <c r="H2529" s="1" t="s">
        <v>12576</v>
      </c>
      <c r="I2529" s="2">
        <v>356.34</v>
      </c>
      <c r="J2529" s="2">
        <v>3.2</v>
      </c>
      <c r="K2529" s="2">
        <v>5.09</v>
      </c>
      <c r="L2529" s="2">
        <v>6.63</v>
      </c>
      <c r="M2529" s="4">
        <f t="shared" si="234"/>
        <v>70.007858546168961</v>
      </c>
      <c r="N2529" s="4">
        <f t="shared" si="235"/>
        <v>53.746606334841623</v>
      </c>
      <c r="O2529" s="5">
        <f t="shared" si="236"/>
        <v>0.59062499999999996</v>
      </c>
      <c r="P2529" s="5">
        <f t="shared" si="237"/>
        <v>0.30255402750491167</v>
      </c>
      <c r="Q2529" s="4">
        <f t="shared" si="238"/>
        <v>1.1853182399351361</v>
      </c>
      <c r="R2529" s="4">
        <f t="shared" si="239"/>
        <v>1.7764300405476869</v>
      </c>
      <c r="S2529" s="4">
        <v>61.16</v>
      </c>
      <c r="T2529" s="2">
        <v>2.5299999999999998</v>
      </c>
      <c r="U2529" s="2">
        <v>440.8</v>
      </c>
      <c r="V2529" s="2">
        <v>116.79</v>
      </c>
      <c r="W2529" s="2">
        <v>-19.16</v>
      </c>
      <c r="X2529" s="2">
        <v>-14.62</v>
      </c>
      <c r="Y2529" s="2">
        <v>-1.9</v>
      </c>
      <c r="Z2529" s="2">
        <v>0.89</v>
      </c>
    </row>
    <row r="2530" spans="1:26" x14ac:dyDescent="0.25">
      <c r="A2530" s="1" t="s">
        <v>10157</v>
      </c>
      <c r="B2530" s="1" t="s">
        <v>10158</v>
      </c>
      <c r="C2530" s="1" t="s">
        <v>16</v>
      </c>
      <c r="D2530" s="1" t="s">
        <v>128</v>
      </c>
      <c r="E2530" s="1" t="s">
        <v>556</v>
      </c>
      <c r="F2530" s="1" t="s">
        <v>10159</v>
      </c>
      <c r="G2530" s="1" t="s">
        <v>12513</v>
      </c>
      <c r="H2530" s="1" t="s">
        <v>10160</v>
      </c>
      <c r="I2530" s="2">
        <v>108.96</v>
      </c>
      <c r="J2530" s="2">
        <v>10.119999999999999</v>
      </c>
      <c r="K2530" s="2">
        <v>9.06</v>
      </c>
      <c r="L2530" s="2">
        <v>9.91</v>
      </c>
      <c r="M2530" s="4">
        <f t="shared" si="234"/>
        <v>12.026490066225165</v>
      </c>
      <c r="N2530" s="4">
        <f t="shared" si="235"/>
        <v>10.994954591321896</v>
      </c>
      <c r="O2530" s="5">
        <f t="shared" si="236"/>
        <v>-0.10474308300395241</v>
      </c>
      <c r="P2530" s="5">
        <f t="shared" si="237"/>
        <v>9.3818984547461293E-2</v>
      </c>
      <c r="Q2530" s="4">
        <f t="shared" si="238"/>
        <v>-1.1481894289641403</v>
      </c>
      <c r="R2530" s="4">
        <f t="shared" si="239"/>
        <v>1.1719328070279584</v>
      </c>
      <c r="S2530" s="4">
        <v>6.69</v>
      </c>
      <c r="T2530" s="2">
        <v>0.22</v>
      </c>
      <c r="U2530" s="2">
        <v>118.52</v>
      </c>
      <c r="V2530" s="2">
        <v>94.41</v>
      </c>
      <c r="W2530" s="2">
        <v>-4.99</v>
      </c>
      <c r="X2530" s="2">
        <v>1.4</v>
      </c>
      <c r="Y2530" s="2">
        <v>7.16</v>
      </c>
      <c r="Z2530" s="2">
        <v>11.4</v>
      </c>
    </row>
    <row r="2531" spans="1:26" x14ac:dyDescent="0.25">
      <c r="A2531" s="1" t="s">
        <v>10158</v>
      </c>
      <c r="B2531" s="1" t="s">
        <v>10161</v>
      </c>
      <c r="C2531" s="1" t="s">
        <v>31</v>
      </c>
      <c r="D2531" s="1" t="s">
        <v>147</v>
      </c>
      <c r="E2531" s="1" t="s">
        <v>2000</v>
      </c>
      <c r="F2531" s="1" t="s">
        <v>10162</v>
      </c>
      <c r="G2531" s="1" t="s">
        <v>12480</v>
      </c>
      <c r="H2531" s="1" t="s">
        <v>10163</v>
      </c>
      <c r="I2531" s="2">
        <v>0.28999999999999998</v>
      </c>
      <c r="J2531" s="2" t="s">
        <v>12489</v>
      </c>
      <c r="K2531" s="2"/>
      <c r="L2531" s="2"/>
      <c r="M2531" s="4" t="e">
        <f t="shared" si="234"/>
        <v>#DIV/0!</v>
      </c>
      <c r="N2531" s="4" t="e">
        <f t="shared" si="235"/>
        <v>#DIV/0!</v>
      </c>
      <c r="O2531" s="5" t="e">
        <f t="shared" si="236"/>
        <v>#DIV/0!</v>
      </c>
      <c r="P2531" s="5" t="e">
        <f t="shared" si="237"/>
        <v>#DIV/0!</v>
      </c>
      <c r="Q2531" s="4" t="e">
        <f t="shared" si="238"/>
        <v>#DIV/0!</v>
      </c>
      <c r="R2531" s="4" t="e">
        <f t="shared" si="239"/>
        <v>#DIV/0!</v>
      </c>
      <c r="S2531" s="4">
        <v>33.49</v>
      </c>
      <c r="T2531" s="2">
        <v>0.64</v>
      </c>
      <c r="U2531" s="2">
        <v>0.43</v>
      </c>
      <c r="V2531" s="2">
        <v>0.27</v>
      </c>
      <c r="W2531" s="2">
        <v>-7.32</v>
      </c>
      <c r="X2531" s="2">
        <v>-3.75</v>
      </c>
      <c r="Y2531" s="2">
        <v>-10.47</v>
      </c>
      <c r="Z2531" s="2">
        <v>-1.76</v>
      </c>
    </row>
    <row r="2532" spans="1:26" x14ac:dyDescent="0.25">
      <c r="A2532" s="1" t="s">
        <v>10164</v>
      </c>
      <c r="B2532" s="1" t="s">
        <v>10165</v>
      </c>
      <c r="C2532" s="1" t="s">
        <v>31</v>
      </c>
      <c r="D2532" s="1" t="s">
        <v>61</v>
      </c>
      <c r="E2532" s="1" t="s">
        <v>170</v>
      </c>
      <c r="F2532" s="1" t="s">
        <v>10166</v>
      </c>
      <c r="G2532" s="1" t="s">
        <v>12480</v>
      </c>
      <c r="H2532" s="1" t="s">
        <v>10167</v>
      </c>
      <c r="I2532" s="2">
        <v>28.294</v>
      </c>
      <c r="J2532" s="2">
        <v>1.41</v>
      </c>
      <c r="K2532" s="2"/>
      <c r="L2532" s="2"/>
      <c r="M2532" s="4" t="e">
        <f t="shared" si="234"/>
        <v>#DIV/0!</v>
      </c>
      <c r="N2532" s="4" t="e">
        <f t="shared" si="235"/>
        <v>#DIV/0!</v>
      </c>
      <c r="O2532" s="5">
        <f t="shared" si="236"/>
        <v>-1</v>
      </c>
      <c r="P2532" s="5" t="e">
        <f t="shared" si="237"/>
        <v>#DIV/0!</v>
      </c>
      <c r="Q2532" s="4" t="e">
        <f t="shared" si="238"/>
        <v>#DIV/0!</v>
      </c>
      <c r="R2532" s="4" t="e">
        <f t="shared" si="239"/>
        <v>#DIV/0!</v>
      </c>
      <c r="S2532" s="4">
        <v>8.16</v>
      </c>
      <c r="T2532" s="2"/>
      <c r="U2532" s="2">
        <v>31.5</v>
      </c>
      <c r="V2532" s="2">
        <v>23.33</v>
      </c>
      <c r="W2532" s="2">
        <v>-6.12</v>
      </c>
      <c r="X2532" s="2">
        <v>-5.72</v>
      </c>
      <c r="Y2532" s="2">
        <v>2.74</v>
      </c>
      <c r="Z2532" s="2">
        <v>3.41</v>
      </c>
    </row>
    <row r="2533" spans="1:26" x14ac:dyDescent="0.25">
      <c r="A2533" s="1" t="s">
        <v>10168</v>
      </c>
      <c r="B2533" s="1" t="s">
        <v>10169</v>
      </c>
      <c r="C2533" s="1" t="s">
        <v>16</v>
      </c>
      <c r="D2533" s="1" t="s">
        <v>88</v>
      </c>
      <c r="E2533" s="1" t="s">
        <v>658</v>
      </c>
      <c r="F2533" s="1" t="s">
        <v>10170</v>
      </c>
      <c r="G2533" s="1" t="s">
        <v>12480</v>
      </c>
      <c r="H2533" s="1" t="s">
        <v>10171</v>
      </c>
      <c r="I2533" s="2">
        <v>33.5</v>
      </c>
      <c r="J2533" s="2">
        <v>-0.85</v>
      </c>
      <c r="K2533" s="2">
        <v>-0.31</v>
      </c>
      <c r="L2533" s="2">
        <v>0.44</v>
      </c>
      <c r="M2533" s="4">
        <f t="shared" si="234"/>
        <v>-108.06451612903226</v>
      </c>
      <c r="N2533" s="4">
        <f t="shared" si="235"/>
        <v>76.13636363636364</v>
      </c>
      <c r="O2533" s="5">
        <f t="shared" si="236"/>
        <v>-0.63529411764705879</v>
      </c>
      <c r="P2533" s="5">
        <f t="shared" si="237"/>
        <v>-2.4193548387096775</v>
      </c>
      <c r="Q2533" s="4">
        <f t="shared" si="238"/>
        <v>1.701015531660693</v>
      </c>
      <c r="R2533" s="4">
        <f t="shared" si="239"/>
        <v>-0.3146969696969697</v>
      </c>
      <c r="S2533" s="4"/>
      <c r="T2533" s="2">
        <v>1.17</v>
      </c>
      <c r="U2533" s="2">
        <v>38.119999999999997</v>
      </c>
      <c r="V2533" s="2">
        <v>8.61</v>
      </c>
      <c r="W2533" s="2" t="s">
        <v>12785</v>
      </c>
      <c r="X2533" s="2">
        <v>-0.83</v>
      </c>
      <c r="Y2533" s="2">
        <v>36.18</v>
      </c>
      <c r="Z2533" s="2">
        <v>41.17</v>
      </c>
    </row>
    <row r="2534" spans="1:26" x14ac:dyDescent="0.25">
      <c r="A2534" s="1" t="s">
        <v>10172</v>
      </c>
      <c r="B2534" s="1" t="s">
        <v>10173</v>
      </c>
      <c r="C2534" s="1" t="s">
        <v>31</v>
      </c>
      <c r="D2534" s="1" t="s">
        <v>25</v>
      </c>
      <c r="E2534" s="1" t="s">
        <v>743</v>
      </c>
      <c r="F2534" s="1" t="s">
        <v>10174</v>
      </c>
      <c r="G2534" s="1" t="s">
        <v>12480</v>
      </c>
      <c r="H2534" s="1" t="s">
        <v>10175</v>
      </c>
      <c r="I2534" s="2">
        <v>25.34</v>
      </c>
      <c r="J2534" s="2">
        <v>1.76</v>
      </c>
      <c r="K2534" s="2">
        <v>1.93</v>
      </c>
      <c r="L2534" s="2">
        <v>2.19</v>
      </c>
      <c r="M2534" s="4">
        <f t="shared" si="234"/>
        <v>13.129533678756477</v>
      </c>
      <c r="N2534" s="4">
        <f t="shared" si="235"/>
        <v>11.570776255707763</v>
      </c>
      <c r="O2534" s="5">
        <f t="shared" si="236"/>
        <v>9.659090909090895E-2</v>
      </c>
      <c r="P2534" s="5">
        <f t="shared" si="237"/>
        <v>0.13471502590673579</v>
      </c>
      <c r="Q2534" s="4">
        <f t="shared" si="238"/>
        <v>1.3592928985065549</v>
      </c>
      <c r="R2534" s="4">
        <f t="shared" si="239"/>
        <v>0.85890762205830684</v>
      </c>
      <c r="S2534" s="4">
        <v>0.24</v>
      </c>
      <c r="T2534" s="2">
        <v>1.1299999999999999</v>
      </c>
      <c r="U2534" s="2">
        <v>29.26</v>
      </c>
      <c r="V2534" s="2">
        <v>15.86</v>
      </c>
      <c r="W2534" s="2">
        <v>-7.75</v>
      </c>
      <c r="X2534" s="2">
        <v>-9.86</v>
      </c>
      <c r="Y2534" s="2">
        <v>-4.67</v>
      </c>
      <c r="Z2534" s="2">
        <v>-4.3099999999999996</v>
      </c>
    </row>
    <row r="2535" spans="1:26" x14ac:dyDescent="0.25">
      <c r="A2535" s="1" t="s">
        <v>10176</v>
      </c>
      <c r="B2535" s="1" t="s">
        <v>10177</v>
      </c>
      <c r="C2535" s="1" t="s">
        <v>31</v>
      </c>
      <c r="D2535" s="1" t="s">
        <v>18</v>
      </c>
      <c r="E2535" s="1" t="s">
        <v>624</v>
      </c>
      <c r="F2535" s="1" t="s">
        <v>10178</v>
      </c>
      <c r="G2535" s="1" t="s">
        <v>12502</v>
      </c>
      <c r="H2535" s="1" t="s">
        <v>10179</v>
      </c>
      <c r="I2535" s="2">
        <v>15.97</v>
      </c>
      <c r="J2535" s="2">
        <v>0.69</v>
      </c>
      <c r="K2535" s="2"/>
      <c r="L2535" s="2"/>
      <c r="M2535" s="4" t="e">
        <f t="shared" si="234"/>
        <v>#DIV/0!</v>
      </c>
      <c r="N2535" s="4" t="e">
        <f t="shared" si="235"/>
        <v>#DIV/0!</v>
      </c>
      <c r="O2535" s="5">
        <f t="shared" si="236"/>
        <v>-1</v>
      </c>
      <c r="P2535" s="5" t="e">
        <f t="shared" si="237"/>
        <v>#DIV/0!</v>
      </c>
      <c r="Q2535" s="4" t="e">
        <f t="shared" si="238"/>
        <v>#DIV/0!</v>
      </c>
      <c r="R2535" s="4" t="e">
        <f t="shared" si="239"/>
        <v>#DIV/0!</v>
      </c>
      <c r="S2535" s="4">
        <v>5.23</v>
      </c>
      <c r="T2535" s="2">
        <v>0.72</v>
      </c>
      <c r="U2535" s="2">
        <v>18.86</v>
      </c>
      <c r="V2535" s="2">
        <v>13.39</v>
      </c>
      <c r="W2535" s="2">
        <v>-8.69</v>
      </c>
      <c r="X2535" s="2">
        <v>1.46</v>
      </c>
      <c r="Y2535" s="2">
        <v>3.9</v>
      </c>
      <c r="Z2535" s="2">
        <v>5.76</v>
      </c>
    </row>
    <row r="2536" spans="1:26" x14ac:dyDescent="0.25">
      <c r="A2536" s="1" t="s">
        <v>10180</v>
      </c>
      <c r="B2536" s="1" t="s">
        <v>10181</v>
      </c>
      <c r="C2536" s="1" t="s">
        <v>31</v>
      </c>
      <c r="D2536" s="1" t="s">
        <v>61</v>
      </c>
      <c r="E2536" s="1" t="s">
        <v>2394</v>
      </c>
      <c r="F2536" s="1" t="s">
        <v>10182</v>
      </c>
      <c r="G2536" s="1" t="s">
        <v>12493</v>
      </c>
      <c r="H2536" s="1" t="s">
        <v>10183</v>
      </c>
      <c r="I2536" s="2">
        <v>23.03</v>
      </c>
      <c r="J2536" s="2">
        <v>2.2799999999999998</v>
      </c>
      <c r="K2536" s="2"/>
      <c r="L2536" s="2"/>
      <c r="M2536" s="4" t="e">
        <f t="shared" si="234"/>
        <v>#DIV/0!</v>
      </c>
      <c r="N2536" s="4" t="e">
        <f t="shared" si="235"/>
        <v>#DIV/0!</v>
      </c>
      <c r="O2536" s="5">
        <f t="shared" si="236"/>
        <v>-1</v>
      </c>
      <c r="P2536" s="5" t="e">
        <f t="shared" si="237"/>
        <v>#DIV/0!</v>
      </c>
      <c r="Q2536" s="4" t="e">
        <f t="shared" si="238"/>
        <v>#DIV/0!</v>
      </c>
      <c r="R2536" s="4" t="e">
        <f t="shared" si="239"/>
        <v>#DIV/0!</v>
      </c>
      <c r="S2536" s="4">
        <v>5.26</v>
      </c>
      <c r="T2536" s="2">
        <v>0.42</v>
      </c>
      <c r="U2536" s="2">
        <v>24.71</v>
      </c>
      <c r="V2536" s="2">
        <v>20.58</v>
      </c>
      <c r="W2536" s="2">
        <v>-4.4000000000000004</v>
      </c>
      <c r="X2536" s="2">
        <v>-2.58</v>
      </c>
      <c r="Y2536" s="2">
        <v>2.77</v>
      </c>
      <c r="Z2536" s="2">
        <v>3.18</v>
      </c>
    </row>
    <row r="2537" spans="1:26" x14ac:dyDescent="0.25">
      <c r="A2537" s="1" t="s">
        <v>10184</v>
      </c>
      <c r="B2537" s="1" t="s">
        <v>10185</v>
      </c>
      <c r="C2537" s="1" t="s">
        <v>16</v>
      </c>
      <c r="D2537" s="1" t="s">
        <v>32</v>
      </c>
      <c r="E2537" s="1" t="s">
        <v>829</v>
      </c>
      <c r="F2537" s="1" t="s">
        <v>10186</v>
      </c>
      <c r="G2537" s="1" t="s">
        <v>12480</v>
      </c>
      <c r="H2537" s="1" t="s">
        <v>10187</v>
      </c>
      <c r="I2537" s="2">
        <v>29.69</v>
      </c>
      <c r="J2537" s="2">
        <v>0.71</v>
      </c>
      <c r="K2537" s="2">
        <v>2.71</v>
      </c>
      <c r="L2537" s="2">
        <v>3.5</v>
      </c>
      <c r="M2537" s="4">
        <f t="shared" si="234"/>
        <v>10.955719557195573</v>
      </c>
      <c r="N2537" s="4">
        <f t="shared" si="235"/>
        <v>8.482857142857144</v>
      </c>
      <c r="O2537" s="5">
        <f t="shared" si="236"/>
        <v>2.8169014084507045</v>
      </c>
      <c r="P2537" s="5">
        <f t="shared" si="237"/>
        <v>0.29151291512915134</v>
      </c>
      <c r="Q2537" s="4">
        <f t="shared" si="238"/>
        <v>3.8892804428044284E-2</v>
      </c>
      <c r="R2537" s="4">
        <f t="shared" si="239"/>
        <v>0.29099421338155518</v>
      </c>
      <c r="S2537" s="4">
        <v>-8.4700000000000006</v>
      </c>
      <c r="T2537" s="2">
        <v>0.49</v>
      </c>
      <c r="U2537" s="2">
        <v>33.43</v>
      </c>
      <c r="V2537" s="2">
        <v>19.68</v>
      </c>
      <c r="W2537" s="2">
        <v>-1.69</v>
      </c>
      <c r="X2537" s="2">
        <v>3.81</v>
      </c>
      <c r="Y2537" s="2">
        <v>45.97</v>
      </c>
      <c r="Z2537" s="2">
        <v>44.62</v>
      </c>
    </row>
    <row r="2538" spans="1:26" x14ac:dyDescent="0.25">
      <c r="A2538" s="1" t="s">
        <v>10188</v>
      </c>
      <c r="B2538" s="1" t="s">
        <v>10189</v>
      </c>
      <c r="C2538" s="1" t="s">
        <v>16</v>
      </c>
      <c r="D2538" s="1" t="s">
        <v>38</v>
      </c>
      <c r="E2538" s="1" t="s">
        <v>83</v>
      </c>
      <c r="F2538" s="1" t="s">
        <v>10190</v>
      </c>
      <c r="G2538" s="1" t="s">
        <v>12480</v>
      </c>
      <c r="H2538" s="1" t="s">
        <v>232</v>
      </c>
      <c r="I2538" s="2">
        <v>35.909999999999997</v>
      </c>
      <c r="J2538" s="2">
        <v>2.33</v>
      </c>
      <c r="K2538" s="2">
        <v>2.46</v>
      </c>
      <c r="L2538" s="2">
        <v>2.58</v>
      </c>
      <c r="M2538" s="4">
        <f t="shared" si="234"/>
        <v>14.597560975609754</v>
      </c>
      <c r="N2538" s="4">
        <f t="shared" si="235"/>
        <v>13.91860465116279</v>
      </c>
      <c r="O2538" s="5">
        <f t="shared" si="236"/>
        <v>5.579399141630903E-2</v>
      </c>
      <c r="P2538" s="5">
        <f t="shared" si="237"/>
        <v>4.8780487804878092E-2</v>
      </c>
      <c r="Q2538" s="4">
        <f t="shared" si="238"/>
        <v>2.6163320825515934</v>
      </c>
      <c r="R2538" s="4">
        <f t="shared" si="239"/>
        <v>2.8533139534883691</v>
      </c>
      <c r="S2538" s="4">
        <v>10.55</v>
      </c>
      <c r="T2538" s="2">
        <v>1.1599999999999999</v>
      </c>
      <c r="U2538" s="2">
        <v>37.630000000000003</v>
      </c>
      <c r="V2538" s="2">
        <v>28.81</v>
      </c>
      <c r="W2538" s="2">
        <v>-3.23</v>
      </c>
      <c r="X2538" s="2">
        <v>6.78</v>
      </c>
      <c r="Y2538" s="2">
        <v>5.62</v>
      </c>
      <c r="Z2538" s="2">
        <v>7.61</v>
      </c>
    </row>
    <row r="2539" spans="1:26" x14ac:dyDescent="0.25">
      <c r="A2539" s="1" t="s">
        <v>10191</v>
      </c>
      <c r="B2539" s="1" t="s">
        <v>10192</v>
      </c>
      <c r="C2539" s="1" t="s">
        <v>45</v>
      </c>
      <c r="D2539" s="1" t="s">
        <v>38</v>
      </c>
      <c r="E2539" s="1" t="s">
        <v>194</v>
      </c>
      <c r="F2539" s="1" t="s">
        <v>10193</v>
      </c>
      <c r="G2539" s="1" t="s">
        <v>12480</v>
      </c>
      <c r="H2539" s="1" t="s">
        <v>1703</v>
      </c>
      <c r="I2539" s="2">
        <v>46.26</v>
      </c>
      <c r="J2539" s="2" t="s">
        <v>12513</v>
      </c>
      <c r="K2539" s="2">
        <v>4.72</v>
      </c>
      <c r="L2539" s="2">
        <v>5.43</v>
      </c>
      <c r="M2539" s="4">
        <f t="shared" si="234"/>
        <v>9.8008474576271194</v>
      </c>
      <c r="N2539" s="4">
        <f t="shared" si="235"/>
        <v>8.5193370165745854</v>
      </c>
      <c r="O2539" s="5">
        <f t="shared" si="236"/>
        <v>0.17999999999999994</v>
      </c>
      <c r="P2539" s="5">
        <f t="shared" si="237"/>
        <v>0.15042372881355925</v>
      </c>
      <c r="Q2539" s="4">
        <f t="shared" si="238"/>
        <v>0.54449152542372903</v>
      </c>
      <c r="R2539" s="4">
        <f t="shared" si="239"/>
        <v>0.56635592560890224</v>
      </c>
      <c r="S2539" s="4">
        <v>23.16</v>
      </c>
      <c r="T2539" s="2">
        <v>0.54</v>
      </c>
      <c r="U2539" s="2" t="s">
        <v>12732</v>
      </c>
      <c r="V2539" s="2">
        <v>42.8</v>
      </c>
      <c r="W2539" s="2">
        <v>-4.78</v>
      </c>
      <c r="X2539" s="2">
        <v>8.08</v>
      </c>
      <c r="Y2539" s="2">
        <v>-5.2</v>
      </c>
      <c r="Z2539" s="2">
        <v>-9.49</v>
      </c>
    </row>
    <row r="2540" spans="1:26" x14ac:dyDescent="0.25">
      <c r="A2540" s="1" t="s">
        <v>10194</v>
      </c>
      <c r="B2540" s="1" t="s">
        <v>10195</v>
      </c>
      <c r="C2540" s="1" t="s">
        <v>16</v>
      </c>
      <c r="D2540" s="1" t="s">
        <v>61</v>
      </c>
      <c r="E2540" s="1" t="s">
        <v>3275</v>
      </c>
      <c r="F2540" s="1" t="s">
        <v>10196</v>
      </c>
      <c r="G2540" s="1" t="s">
        <v>12490</v>
      </c>
      <c r="H2540" s="1" t="s">
        <v>10197</v>
      </c>
      <c r="I2540" s="2">
        <v>79.83</v>
      </c>
      <c r="J2540" s="2">
        <v>3.52</v>
      </c>
      <c r="K2540" s="2">
        <v>3.8</v>
      </c>
      <c r="L2540" s="2">
        <v>3.6</v>
      </c>
      <c r="M2540" s="4">
        <f t="shared" si="234"/>
        <v>21.007894736842104</v>
      </c>
      <c r="N2540" s="4">
        <f t="shared" si="235"/>
        <v>22.175000000000001</v>
      </c>
      <c r="O2540" s="5">
        <f t="shared" si="236"/>
        <v>7.9545454545454586E-2</v>
      </c>
      <c r="P2540" s="5">
        <f t="shared" si="237"/>
        <v>-5.2631578947368363E-2</v>
      </c>
      <c r="Q2540" s="4">
        <f t="shared" si="238"/>
        <v>2.6409924812030061</v>
      </c>
      <c r="R2540" s="4">
        <f t="shared" si="239"/>
        <v>-4.2132500000000048</v>
      </c>
      <c r="S2540" s="4">
        <v>22.65</v>
      </c>
      <c r="T2540" s="2">
        <v>1.02</v>
      </c>
      <c r="U2540" s="2">
        <v>98.86</v>
      </c>
      <c r="V2540" s="2">
        <v>60.33</v>
      </c>
      <c r="W2540" s="2">
        <v>-12.08</v>
      </c>
      <c r="X2540" s="2">
        <v>-7.96</v>
      </c>
      <c r="Y2540" s="2">
        <v>-8.56</v>
      </c>
      <c r="Z2540" s="2">
        <v>-5.53</v>
      </c>
    </row>
    <row r="2541" spans="1:26" x14ac:dyDescent="0.25">
      <c r="A2541" s="1" t="s">
        <v>10198</v>
      </c>
      <c r="B2541" s="1" t="s">
        <v>10199</v>
      </c>
      <c r="C2541" s="1" t="s">
        <v>45</v>
      </c>
      <c r="D2541" s="1" t="s">
        <v>32</v>
      </c>
      <c r="E2541" s="1" t="s">
        <v>57</v>
      </c>
      <c r="F2541" s="1" t="s">
        <v>12786</v>
      </c>
      <c r="G2541" s="1" t="s">
        <v>12480</v>
      </c>
      <c r="H2541" s="1" t="s">
        <v>7093</v>
      </c>
      <c r="I2541" s="2">
        <v>28.82</v>
      </c>
      <c r="J2541" s="2">
        <v>0.01</v>
      </c>
      <c r="K2541" s="2">
        <v>-0.26</v>
      </c>
      <c r="L2541" s="2">
        <v>-0.13</v>
      </c>
      <c r="M2541" s="4">
        <f t="shared" si="234"/>
        <v>-110.84615384615384</v>
      </c>
      <c r="N2541" s="4">
        <f t="shared" si="235"/>
        <v>-221.69230769230768</v>
      </c>
      <c r="O2541" s="5">
        <f t="shared" si="236"/>
        <v>-27</v>
      </c>
      <c r="P2541" s="5">
        <f t="shared" si="237"/>
        <v>-0.5</v>
      </c>
      <c r="Q2541" s="4">
        <f t="shared" si="238"/>
        <v>4.1054131054131054E-2</v>
      </c>
      <c r="R2541" s="4">
        <f t="shared" si="239"/>
        <v>4.4338461538461535</v>
      </c>
      <c r="S2541" s="4">
        <v>29.18</v>
      </c>
      <c r="T2541" s="2">
        <v>3.52</v>
      </c>
      <c r="U2541" s="2">
        <v>34.78</v>
      </c>
      <c r="V2541" s="2">
        <v>5.85</v>
      </c>
      <c r="W2541" s="2">
        <v>-3.87</v>
      </c>
      <c r="X2541" s="2">
        <v>-4.9800000000000004</v>
      </c>
      <c r="Y2541" s="2">
        <v>75.84</v>
      </c>
      <c r="Z2541" s="2">
        <v>58.7</v>
      </c>
    </row>
    <row r="2542" spans="1:26" x14ac:dyDescent="0.25">
      <c r="A2542" s="1" t="s">
        <v>10200</v>
      </c>
      <c r="B2542" s="1" t="s">
        <v>10201</v>
      </c>
      <c r="C2542" s="1" t="s">
        <v>45</v>
      </c>
      <c r="D2542" s="1" t="s">
        <v>46</v>
      </c>
      <c r="E2542" s="1" t="s">
        <v>47</v>
      </c>
      <c r="F2542" s="1" t="s">
        <v>10202</v>
      </c>
      <c r="G2542" s="1" t="s">
        <v>12480</v>
      </c>
      <c r="H2542" s="1" t="s">
        <v>7676</v>
      </c>
      <c r="I2542" s="2">
        <v>93.2</v>
      </c>
      <c r="J2542" s="2">
        <v>10.35</v>
      </c>
      <c r="K2542" s="2">
        <v>11.42</v>
      </c>
      <c r="L2542" s="2">
        <v>12.01</v>
      </c>
      <c r="M2542" s="4">
        <f t="shared" si="234"/>
        <v>8.1611208406304723</v>
      </c>
      <c r="N2542" s="4">
        <f t="shared" si="235"/>
        <v>7.7601998334721065</v>
      </c>
      <c r="O2542" s="5">
        <f t="shared" si="236"/>
        <v>0.10338164251207727</v>
      </c>
      <c r="P2542" s="5">
        <f t="shared" si="237"/>
        <v>5.166374781085814E-2</v>
      </c>
      <c r="Q2542" s="4">
        <f t="shared" si="238"/>
        <v>0.78941682897687304</v>
      </c>
      <c r="R2542" s="4">
        <f t="shared" si="239"/>
        <v>1.5020590186144316</v>
      </c>
      <c r="S2542" s="4">
        <v>15.03</v>
      </c>
      <c r="T2542" s="2">
        <v>1.58</v>
      </c>
      <c r="U2542" s="2">
        <v>123.72</v>
      </c>
      <c r="V2542" s="2">
        <v>79.41</v>
      </c>
      <c r="W2542" s="2">
        <v>-8.3699999999999992</v>
      </c>
      <c r="X2542" s="2">
        <v>-11.72</v>
      </c>
      <c r="Y2542" s="2">
        <v>-9.9</v>
      </c>
      <c r="Z2542" s="2">
        <v>-7.18</v>
      </c>
    </row>
    <row r="2543" spans="1:26" x14ac:dyDescent="0.25">
      <c r="A2543" s="1" t="s">
        <v>10203</v>
      </c>
      <c r="B2543" s="1" t="s">
        <v>10204</v>
      </c>
      <c r="C2543" s="1" t="s">
        <v>45</v>
      </c>
      <c r="D2543" s="1" t="s">
        <v>32</v>
      </c>
      <c r="E2543" s="1" t="s">
        <v>290</v>
      </c>
      <c r="F2543" s="1" t="s">
        <v>10205</v>
      </c>
      <c r="G2543" s="1" t="s">
        <v>12480</v>
      </c>
      <c r="H2543" s="1" t="s">
        <v>8931</v>
      </c>
      <c r="I2543" s="2">
        <v>203.42</v>
      </c>
      <c r="J2543" s="2">
        <v>0.92</v>
      </c>
      <c r="K2543" s="2">
        <v>2.69</v>
      </c>
      <c r="L2543" s="2">
        <v>4.32</v>
      </c>
      <c r="M2543" s="4">
        <f t="shared" si="234"/>
        <v>75.620817843866163</v>
      </c>
      <c r="N2543" s="4">
        <f t="shared" si="235"/>
        <v>47.087962962962955</v>
      </c>
      <c r="O2543" s="5">
        <f t="shared" si="236"/>
        <v>1.9239130434782608</v>
      </c>
      <c r="P2543" s="5">
        <f t="shared" si="237"/>
        <v>0.60594795539033464</v>
      </c>
      <c r="Q2543" s="4">
        <f t="shared" si="238"/>
        <v>0.39305735828450211</v>
      </c>
      <c r="R2543" s="4">
        <f t="shared" si="239"/>
        <v>0.77709583049306952</v>
      </c>
      <c r="S2543" s="4">
        <v>34.29</v>
      </c>
      <c r="T2543" s="2">
        <v>1.46</v>
      </c>
      <c r="U2543" s="2">
        <v>207.27</v>
      </c>
      <c r="V2543" s="2">
        <v>86.17</v>
      </c>
      <c r="W2543" s="2">
        <v>-0.73</v>
      </c>
      <c r="X2543" s="2">
        <v>-0.97</v>
      </c>
      <c r="Y2543" s="2">
        <v>51.2</v>
      </c>
      <c r="Z2543" s="2">
        <v>55.64</v>
      </c>
    </row>
    <row r="2544" spans="1:26" x14ac:dyDescent="0.25">
      <c r="A2544" s="1" t="s">
        <v>10206</v>
      </c>
      <c r="B2544" s="1" t="s">
        <v>10207</v>
      </c>
      <c r="C2544" s="1" t="s">
        <v>16</v>
      </c>
      <c r="D2544" s="1" t="s">
        <v>140</v>
      </c>
      <c r="E2544" s="1" t="s">
        <v>284</v>
      </c>
      <c r="F2544" s="1" t="s">
        <v>10208</v>
      </c>
      <c r="G2544" s="1" t="s">
        <v>12480</v>
      </c>
      <c r="H2544" s="1" t="s">
        <v>10209</v>
      </c>
      <c r="I2544" s="2">
        <v>47.19</v>
      </c>
      <c r="J2544" s="2">
        <v>2.93</v>
      </c>
      <c r="K2544" s="2">
        <v>2.92</v>
      </c>
      <c r="L2544" s="2">
        <v>3.35</v>
      </c>
      <c r="M2544" s="4">
        <f t="shared" si="234"/>
        <v>16.160958904109588</v>
      </c>
      <c r="N2544" s="4">
        <f t="shared" si="235"/>
        <v>14.086567164179103</v>
      </c>
      <c r="O2544" s="5">
        <f t="shared" si="236"/>
        <v>-3.4129692832765013E-3</v>
      </c>
      <c r="P2544" s="5">
        <f t="shared" si="237"/>
        <v>0.14726027397260277</v>
      </c>
      <c r="Q2544" s="4">
        <f t="shared" si="238"/>
        <v>-47.351609589040386</v>
      </c>
      <c r="R2544" s="4">
        <f t="shared" si="239"/>
        <v>0.95657618882332485</v>
      </c>
      <c r="S2544" s="4">
        <v>-1.6</v>
      </c>
      <c r="T2544" s="2">
        <v>0.68</v>
      </c>
      <c r="U2544" s="2">
        <v>51.85</v>
      </c>
      <c r="V2544" s="2">
        <v>31.72</v>
      </c>
      <c r="W2544" s="2">
        <v>-7.96</v>
      </c>
      <c r="X2544" s="2">
        <v>-6.63</v>
      </c>
      <c r="Y2544" s="2">
        <v>21.31</v>
      </c>
      <c r="Z2544" s="2">
        <v>22.95</v>
      </c>
    </row>
    <row r="2545" spans="1:26" x14ac:dyDescent="0.25">
      <c r="A2545" s="1" t="s">
        <v>10210</v>
      </c>
      <c r="B2545" s="1" t="s">
        <v>10211</v>
      </c>
      <c r="C2545" s="1" t="s">
        <v>45</v>
      </c>
      <c r="D2545" s="1" t="s">
        <v>38</v>
      </c>
      <c r="E2545" s="1" t="s">
        <v>254</v>
      </c>
      <c r="F2545" s="1" t="s">
        <v>10212</v>
      </c>
      <c r="G2545" s="1" t="s">
        <v>12480</v>
      </c>
      <c r="H2545" s="1" t="s">
        <v>10213</v>
      </c>
      <c r="I2545" s="2">
        <v>17.7</v>
      </c>
      <c r="J2545" s="2">
        <v>3.36</v>
      </c>
      <c r="K2545" s="2">
        <v>3.28</v>
      </c>
      <c r="L2545" s="2">
        <v>3.53</v>
      </c>
      <c r="M2545" s="4">
        <f t="shared" si="234"/>
        <v>5.3963414634146343</v>
      </c>
      <c r="N2545" s="4">
        <f t="shared" si="235"/>
        <v>5.0141643059490084</v>
      </c>
      <c r="O2545" s="5">
        <f t="shared" si="236"/>
        <v>-2.3809523809523836E-2</v>
      </c>
      <c r="P2545" s="5">
        <f t="shared" si="237"/>
        <v>7.6219512195121908E-2</v>
      </c>
      <c r="Q2545" s="4">
        <f t="shared" si="238"/>
        <v>-2.2664634146341438</v>
      </c>
      <c r="R2545" s="4">
        <f t="shared" si="239"/>
        <v>0.65785835694051031</v>
      </c>
      <c r="S2545" s="4">
        <v>36.5</v>
      </c>
      <c r="T2545" s="2"/>
      <c r="U2545" s="2">
        <v>23.3</v>
      </c>
      <c r="V2545" s="2">
        <v>12.74</v>
      </c>
      <c r="W2545" s="2">
        <v>-7.81</v>
      </c>
      <c r="X2545" s="2">
        <v>3.15</v>
      </c>
      <c r="Y2545" s="2">
        <v>1.32</v>
      </c>
      <c r="Z2545" s="2">
        <v>-9.14</v>
      </c>
    </row>
    <row r="2546" spans="1:26" x14ac:dyDescent="0.25">
      <c r="A2546" s="1" t="s">
        <v>10214</v>
      </c>
      <c r="B2546" s="1" t="s">
        <v>10215</v>
      </c>
      <c r="C2546" s="1" t="s">
        <v>16</v>
      </c>
      <c r="D2546" s="1" t="s">
        <v>38</v>
      </c>
      <c r="E2546" s="1" t="s">
        <v>39</v>
      </c>
      <c r="F2546" s="1" t="s">
        <v>10216</v>
      </c>
      <c r="G2546" s="1" t="s">
        <v>12480</v>
      </c>
      <c r="H2546" s="1" t="s">
        <v>10217</v>
      </c>
      <c r="I2546" s="2">
        <v>63.53</v>
      </c>
      <c r="J2546" s="2">
        <v>5.33</v>
      </c>
      <c r="K2546" s="2">
        <v>5.73</v>
      </c>
      <c r="L2546" s="2">
        <v>6.37</v>
      </c>
      <c r="M2546" s="4">
        <f t="shared" si="234"/>
        <v>11.087260034904013</v>
      </c>
      <c r="N2546" s="4">
        <f t="shared" si="235"/>
        <v>9.9733124018838311</v>
      </c>
      <c r="O2546" s="5">
        <f t="shared" si="236"/>
        <v>7.5046904315197116E-2</v>
      </c>
      <c r="P2546" s="5">
        <f t="shared" si="237"/>
        <v>0.11169284467713791</v>
      </c>
      <c r="Q2546" s="4">
        <f t="shared" si="238"/>
        <v>1.4773773996509574</v>
      </c>
      <c r="R2546" s="4">
        <f t="shared" si="239"/>
        <v>0.89292312598116153</v>
      </c>
      <c r="S2546" s="4">
        <v>5.9</v>
      </c>
      <c r="T2546" s="2">
        <v>0.87</v>
      </c>
      <c r="U2546" s="2">
        <v>68.95</v>
      </c>
      <c r="V2546" s="2">
        <v>53.39</v>
      </c>
      <c r="W2546" s="2">
        <v>-2.58</v>
      </c>
      <c r="X2546" s="2">
        <v>-1.47</v>
      </c>
      <c r="Y2546" s="2">
        <v>4.42</v>
      </c>
      <c r="Z2546" s="2">
        <v>1.81</v>
      </c>
    </row>
    <row r="2547" spans="1:26" x14ac:dyDescent="0.25">
      <c r="A2547" s="1" t="s">
        <v>10218</v>
      </c>
      <c r="B2547" s="1" t="s">
        <v>10219</v>
      </c>
      <c r="C2547" s="1" t="s">
        <v>31</v>
      </c>
      <c r="D2547" s="1" t="s">
        <v>38</v>
      </c>
      <c r="E2547" s="1" t="s">
        <v>52</v>
      </c>
      <c r="F2547" s="1" t="s">
        <v>10220</v>
      </c>
      <c r="G2547" s="1" t="s">
        <v>12480</v>
      </c>
      <c r="H2547" s="1" t="s">
        <v>10221</v>
      </c>
      <c r="I2547" s="2">
        <v>11.19</v>
      </c>
      <c r="J2547" s="2">
        <v>0.83</v>
      </c>
      <c r="K2547" s="2">
        <v>0.71</v>
      </c>
      <c r="L2547" s="2">
        <v>0.8</v>
      </c>
      <c r="M2547" s="4">
        <f t="shared" si="234"/>
        <v>15.76056338028169</v>
      </c>
      <c r="N2547" s="4">
        <f t="shared" si="235"/>
        <v>13.987499999999999</v>
      </c>
      <c r="O2547" s="5">
        <f t="shared" si="236"/>
        <v>-0.14457831325301207</v>
      </c>
      <c r="P2547" s="5">
        <f t="shared" si="237"/>
        <v>0.12676056338028174</v>
      </c>
      <c r="Q2547" s="4">
        <f t="shared" si="238"/>
        <v>-1.0901056338028168</v>
      </c>
      <c r="R2547" s="4">
        <f t="shared" si="239"/>
        <v>1.1034583333333328</v>
      </c>
      <c r="S2547" s="4">
        <v>-4.13</v>
      </c>
      <c r="T2547" s="2">
        <v>1.45</v>
      </c>
      <c r="U2547" s="2">
        <v>12.63</v>
      </c>
      <c r="V2547" s="2">
        <v>6.36</v>
      </c>
      <c r="W2547" s="2">
        <v>-3.95</v>
      </c>
      <c r="X2547" s="2">
        <v>-6.67</v>
      </c>
      <c r="Y2547" s="2">
        <v>6.57</v>
      </c>
      <c r="Z2547" s="2">
        <v>0.27</v>
      </c>
    </row>
    <row r="2548" spans="1:26" x14ac:dyDescent="0.25">
      <c r="A2548" s="1" t="s">
        <v>10222</v>
      </c>
      <c r="B2548" s="1" t="s">
        <v>10223</v>
      </c>
      <c r="C2548" s="1" t="s">
        <v>16</v>
      </c>
      <c r="D2548" s="1" t="s">
        <v>38</v>
      </c>
      <c r="E2548" s="1" t="s">
        <v>510</v>
      </c>
      <c r="F2548" s="1" t="s">
        <v>10224</v>
      </c>
      <c r="G2548" s="1" t="s">
        <v>12480</v>
      </c>
      <c r="H2548" s="1" t="s">
        <v>9305</v>
      </c>
      <c r="I2548" s="2">
        <v>39.14</v>
      </c>
      <c r="J2548" s="2">
        <v>5.72</v>
      </c>
      <c r="K2548" s="2">
        <v>4.58</v>
      </c>
      <c r="L2548" s="2">
        <v>4.72</v>
      </c>
      <c r="M2548" s="4">
        <f t="shared" si="234"/>
        <v>8.5458515283842793</v>
      </c>
      <c r="N2548" s="4">
        <f t="shared" si="235"/>
        <v>8.2923728813559325</v>
      </c>
      <c r="O2548" s="5">
        <f t="shared" si="236"/>
        <v>-0.19930069930069927</v>
      </c>
      <c r="P2548" s="5">
        <f t="shared" si="237"/>
        <v>3.0567685589519611E-2</v>
      </c>
      <c r="Q2548" s="4">
        <f t="shared" si="238"/>
        <v>-0.42879184861717617</v>
      </c>
      <c r="R2548" s="4">
        <f t="shared" si="239"/>
        <v>2.71279055690073</v>
      </c>
      <c r="S2548" s="4">
        <v>13.18</v>
      </c>
      <c r="T2548" s="2">
        <v>1.66</v>
      </c>
      <c r="U2548" s="2">
        <v>65.94</v>
      </c>
      <c r="V2548" s="2">
        <v>36.659999999999997</v>
      </c>
      <c r="W2548" s="2">
        <v>4.12</v>
      </c>
      <c r="X2548" s="2">
        <v>-9.06</v>
      </c>
      <c r="Y2548" s="2">
        <v>-14.15</v>
      </c>
      <c r="Z2548" s="2">
        <v>-14.67</v>
      </c>
    </row>
    <row r="2549" spans="1:26" x14ac:dyDescent="0.25">
      <c r="A2549" s="1" t="s">
        <v>10225</v>
      </c>
      <c r="B2549" s="1" t="s">
        <v>10226</v>
      </c>
      <c r="C2549" s="1" t="s">
        <v>16</v>
      </c>
      <c r="D2549" s="1" t="s">
        <v>25</v>
      </c>
      <c r="E2549" s="1" t="s">
        <v>729</v>
      </c>
      <c r="F2549" s="1" t="s">
        <v>10227</v>
      </c>
      <c r="G2549" s="1" t="s">
        <v>12480</v>
      </c>
      <c r="H2549" s="1" t="s">
        <v>10228</v>
      </c>
      <c r="I2549" s="2">
        <v>44.18</v>
      </c>
      <c r="J2549" s="2">
        <v>3.72</v>
      </c>
      <c r="K2549" s="2">
        <v>3.82</v>
      </c>
      <c r="L2549" s="2">
        <v>4.12</v>
      </c>
      <c r="M2549" s="4">
        <f t="shared" si="234"/>
        <v>11.565445026178011</v>
      </c>
      <c r="N2549" s="4">
        <f t="shared" si="235"/>
        <v>10.723300970873787</v>
      </c>
      <c r="O2549" s="5">
        <f t="shared" si="236"/>
        <v>2.6881720430107503E-2</v>
      </c>
      <c r="P2549" s="5">
        <f t="shared" si="237"/>
        <v>7.8534031413612704E-2</v>
      </c>
      <c r="Q2549" s="4">
        <f t="shared" si="238"/>
        <v>4.3023455497382237</v>
      </c>
      <c r="R2549" s="4">
        <f t="shared" si="239"/>
        <v>1.3654336569579264</v>
      </c>
      <c r="S2549" s="4">
        <v>10.73</v>
      </c>
      <c r="T2549" s="2">
        <v>0.7</v>
      </c>
      <c r="U2549" s="2">
        <v>56.76</v>
      </c>
      <c r="V2549" s="2">
        <v>37.56</v>
      </c>
      <c r="W2549" s="2">
        <v>-8.9600000000000009</v>
      </c>
      <c r="X2549" s="2">
        <v>-9.24</v>
      </c>
      <c r="Y2549" s="2">
        <v>9.36</v>
      </c>
      <c r="Z2549" s="2">
        <v>9.44</v>
      </c>
    </row>
    <row r="2550" spans="1:26" x14ac:dyDescent="0.25">
      <c r="A2550" s="1" t="s">
        <v>10230</v>
      </c>
      <c r="B2550" s="1" t="s">
        <v>10231</v>
      </c>
      <c r="C2550" s="1" t="s">
        <v>1118</v>
      </c>
      <c r="D2550" s="1" t="s">
        <v>94</v>
      </c>
      <c r="E2550" s="1" t="s">
        <v>95</v>
      </c>
      <c r="F2550" s="1" t="s">
        <v>10232</v>
      </c>
      <c r="G2550" s="1" t="s">
        <v>12480</v>
      </c>
      <c r="H2550" s="1" t="s">
        <v>10233</v>
      </c>
      <c r="I2550" s="2">
        <v>4.45</v>
      </c>
      <c r="J2550" s="2">
        <v>-0.13</v>
      </c>
      <c r="K2550" s="2">
        <v>-0.13</v>
      </c>
      <c r="L2550" s="2"/>
      <c r="M2550" s="4">
        <f t="shared" si="234"/>
        <v>-34.230769230769234</v>
      </c>
      <c r="N2550" s="4" t="e">
        <f t="shared" si="235"/>
        <v>#DIV/0!</v>
      </c>
      <c r="O2550" s="5">
        <f t="shared" si="236"/>
        <v>0</v>
      </c>
      <c r="P2550" s="5">
        <f t="shared" si="237"/>
        <v>-1</v>
      </c>
      <c r="Q2550" s="4" t="e">
        <f t="shared" si="238"/>
        <v>#DIV/0!</v>
      </c>
      <c r="R2550" s="4" t="e">
        <f t="shared" si="239"/>
        <v>#DIV/0!</v>
      </c>
      <c r="S2550" s="4"/>
      <c r="T2550" s="2">
        <v>1.71</v>
      </c>
      <c r="U2550" s="2">
        <v>5.65</v>
      </c>
      <c r="V2550" s="2">
        <v>1.1100000000000001</v>
      </c>
      <c r="W2550" s="2">
        <v>-5.72</v>
      </c>
      <c r="X2550" s="2">
        <v>1.6</v>
      </c>
      <c r="Y2550" s="2">
        <v>-7.1</v>
      </c>
      <c r="Z2550" s="2">
        <v>-0.45</v>
      </c>
    </row>
    <row r="2551" spans="1:26" x14ac:dyDescent="0.25">
      <c r="A2551" s="1" t="s">
        <v>10234</v>
      </c>
      <c r="B2551" s="1" t="s">
        <v>10234</v>
      </c>
      <c r="C2551" s="1" t="s">
        <v>45</v>
      </c>
      <c r="D2551" s="1" t="s">
        <v>38</v>
      </c>
      <c r="E2551" s="1" t="s">
        <v>653</v>
      </c>
      <c r="F2551" s="1" t="s">
        <v>10235</v>
      </c>
      <c r="G2551" s="1" t="s">
        <v>12480</v>
      </c>
      <c r="H2551" s="1" t="s">
        <v>10236</v>
      </c>
      <c r="I2551" s="2">
        <v>19.98</v>
      </c>
      <c r="J2551" s="2">
        <v>3.46</v>
      </c>
      <c r="K2551" s="2">
        <v>2.76</v>
      </c>
      <c r="L2551" s="2">
        <v>3.25</v>
      </c>
      <c r="M2551" s="4">
        <f t="shared" si="234"/>
        <v>7.2391304347826093</v>
      </c>
      <c r="N2551" s="4">
        <f t="shared" si="235"/>
        <v>6.1476923076923082</v>
      </c>
      <c r="O2551" s="5">
        <f t="shared" si="236"/>
        <v>-0.20231213872832376</v>
      </c>
      <c r="P2551" s="5">
        <f t="shared" si="237"/>
        <v>0.17753623188405809</v>
      </c>
      <c r="Q2551" s="4">
        <f t="shared" si="238"/>
        <v>-0.3578198757763974</v>
      </c>
      <c r="R2551" s="4">
        <f t="shared" si="239"/>
        <v>0.34627817896389301</v>
      </c>
      <c r="S2551" s="4">
        <v>0.31</v>
      </c>
      <c r="T2551" s="2">
        <v>1.18</v>
      </c>
      <c r="U2551" s="2">
        <v>34.4</v>
      </c>
      <c r="V2551" s="2">
        <v>18.739999999999998</v>
      </c>
      <c r="W2551" s="2">
        <v>5.38</v>
      </c>
      <c r="X2551" s="2">
        <v>-25.59</v>
      </c>
      <c r="Y2551" s="2">
        <v>-24.58</v>
      </c>
      <c r="Z2551" s="2">
        <v>-26.16</v>
      </c>
    </row>
    <row r="2552" spans="1:26" x14ac:dyDescent="0.25">
      <c r="A2552" s="1" t="s">
        <v>10237</v>
      </c>
      <c r="B2552" s="1" t="s">
        <v>10238</v>
      </c>
      <c r="C2552" s="1" t="s">
        <v>45</v>
      </c>
      <c r="D2552" s="1" t="s">
        <v>18</v>
      </c>
      <c r="E2552" s="1" t="s">
        <v>780</v>
      </c>
      <c r="F2552" s="1" t="s">
        <v>10239</v>
      </c>
      <c r="G2552" s="1" t="s">
        <v>12480</v>
      </c>
      <c r="H2552" s="1" t="s">
        <v>3608</v>
      </c>
      <c r="I2552" s="2">
        <v>39.770000000000003</v>
      </c>
      <c r="J2552" s="2">
        <v>0.39</v>
      </c>
      <c r="K2552" s="2">
        <v>3.98</v>
      </c>
      <c r="L2552" s="2">
        <v>6.8</v>
      </c>
      <c r="M2552" s="4">
        <f t="shared" si="234"/>
        <v>9.9924623115577891</v>
      </c>
      <c r="N2552" s="4">
        <f t="shared" si="235"/>
        <v>5.8485294117647069</v>
      </c>
      <c r="O2552" s="5">
        <f t="shared" si="236"/>
        <v>9.2051282051282044</v>
      </c>
      <c r="P2552" s="5">
        <f t="shared" si="237"/>
        <v>0.70854271356783927</v>
      </c>
      <c r="Q2552" s="4">
        <f t="shared" si="238"/>
        <v>1.0855321174115706E-2</v>
      </c>
      <c r="R2552" s="4">
        <f t="shared" si="239"/>
        <v>8.2543074676679193E-2</v>
      </c>
      <c r="S2552" s="4"/>
      <c r="T2552" s="2">
        <v>-3.16</v>
      </c>
      <c r="U2552" s="2">
        <v>88.49</v>
      </c>
      <c r="V2552" s="2">
        <v>37.24</v>
      </c>
      <c r="W2552" s="2">
        <v>1.82</v>
      </c>
      <c r="X2552" s="2">
        <v>-2.72</v>
      </c>
      <c r="Y2552" s="2">
        <v>-20.38</v>
      </c>
      <c r="Z2552" s="2">
        <v>-14.1</v>
      </c>
    </row>
    <row r="2553" spans="1:26" x14ac:dyDescent="0.25">
      <c r="A2553" s="1" t="s">
        <v>10240</v>
      </c>
      <c r="B2553" s="1" t="s">
        <v>10241</v>
      </c>
      <c r="C2553" s="1" t="s">
        <v>31</v>
      </c>
      <c r="D2553" s="1" t="s">
        <v>32</v>
      </c>
      <c r="E2553" s="1" t="s">
        <v>57</v>
      </c>
      <c r="F2553" s="1" t="s">
        <v>10242</v>
      </c>
      <c r="G2553" s="1" t="s">
        <v>12490</v>
      </c>
      <c r="H2553" s="1" t="s">
        <v>10243</v>
      </c>
      <c r="I2553" s="2">
        <v>47.77</v>
      </c>
      <c r="J2553" s="2">
        <v>2.66</v>
      </c>
      <c r="K2553" s="2"/>
      <c r="L2553" s="2"/>
      <c r="M2553" s="4" t="e">
        <f t="shared" si="234"/>
        <v>#DIV/0!</v>
      </c>
      <c r="N2553" s="4" t="e">
        <f t="shared" si="235"/>
        <v>#DIV/0!</v>
      </c>
      <c r="O2553" s="5">
        <f t="shared" si="236"/>
        <v>-1</v>
      </c>
      <c r="P2553" s="5" t="e">
        <f t="shared" si="237"/>
        <v>#DIV/0!</v>
      </c>
      <c r="Q2553" s="4" t="e">
        <f t="shared" si="238"/>
        <v>#DIV/0!</v>
      </c>
      <c r="R2553" s="4" t="e">
        <f t="shared" si="239"/>
        <v>#DIV/0!</v>
      </c>
      <c r="S2553" s="4">
        <v>-11.7</v>
      </c>
      <c r="T2553" s="2">
        <v>0.33</v>
      </c>
      <c r="U2553" s="2">
        <v>65.7</v>
      </c>
      <c r="V2553" s="2">
        <v>24.57</v>
      </c>
      <c r="W2553" s="2">
        <v>-6.38</v>
      </c>
      <c r="X2553" s="2">
        <v>29.51</v>
      </c>
      <c r="Y2553" s="2">
        <v>66.34</v>
      </c>
      <c r="Z2553" s="2">
        <v>94.42</v>
      </c>
    </row>
    <row r="2554" spans="1:26" x14ac:dyDescent="0.25">
      <c r="A2554" s="1" t="s">
        <v>10244</v>
      </c>
      <c r="B2554" s="1" t="s">
        <v>10245</v>
      </c>
      <c r="C2554" s="1" t="s">
        <v>1118</v>
      </c>
      <c r="D2554" s="1" t="s">
        <v>88</v>
      </c>
      <c r="E2554" s="1" t="s">
        <v>658</v>
      </c>
      <c r="F2554" s="1" t="s">
        <v>10246</v>
      </c>
      <c r="G2554" s="1" t="s">
        <v>12480</v>
      </c>
      <c r="H2554" s="1" t="s">
        <v>10247</v>
      </c>
      <c r="I2554" s="2">
        <v>9.23</v>
      </c>
      <c r="J2554" s="2">
        <v>-0.49</v>
      </c>
      <c r="K2554" s="2">
        <v>-0.35</v>
      </c>
      <c r="L2554" s="2"/>
      <c r="M2554" s="4">
        <f t="shared" si="234"/>
        <v>-26.371428571428574</v>
      </c>
      <c r="N2554" s="4" t="e">
        <f t="shared" si="235"/>
        <v>#DIV/0!</v>
      </c>
      <c r="O2554" s="5">
        <f t="shared" si="236"/>
        <v>-0.2857142857142857</v>
      </c>
      <c r="P2554" s="5">
        <f t="shared" si="237"/>
        <v>-1</v>
      </c>
      <c r="Q2554" s="4">
        <f t="shared" si="238"/>
        <v>0.92300000000000015</v>
      </c>
      <c r="R2554" s="4" t="e">
        <f t="shared" si="239"/>
        <v>#DIV/0!</v>
      </c>
      <c r="S2554" s="4"/>
      <c r="T2554" s="2">
        <v>0.31</v>
      </c>
      <c r="U2554" s="2">
        <v>10.86</v>
      </c>
      <c r="V2554" s="2">
        <v>2.59</v>
      </c>
      <c r="W2554" s="2">
        <v>-15.01</v>
      </c>
      <c r="X2554" s="2">
        <v>-11.76</v>
      </c>
      <c r="Y2554" s="2">
        <v>19.100000000000001</v>
      </c>
      <c r="Z2554" s="2">
        <v>15.81</v>
      </c>
    </row>
    <row r="2555" spans="1:26" x14ac:dyDescent="0.25">
      <c r="A2555" s="1" t="s">
        <v>10248</v>
      </c>
      <c r="B2555" s="1" t="s">
        <v>10249</v>
      </c>
      <c r="C2555" s="1" t="s">
        <v>16</v>
      </c>
      <c r="D2555" s="1" t="s">
        <v>88</v>
      </c>
      <c r="E2555" s="1" t="s">
        <v>6156</v>
      </c>
      <c r="F2555" s="1" t="s">
        <v>10250</v>
      </c>
      <c r="G2555" s="1" t="s">
        <v>12480</v>
      </c>
      <c r="H2555" s="1" t="s">
        <v>10132</v>
      </c>
      <c r="I2555" s="2">
        <v>42.99</v>
      </c>
      <c r="J2555" s="2">
        <v>3.54</v>
      </c>
      <c r="K2555" s="2">
        <v>3.1</v>
      </c>
      <c r="L2555" s="2">
        <v>5.75</v>
      </c>
      <c r="M2555" s="4">
        <f t="shared" si="234"/>
        <v>13.86774193548387</v>
      </c>
      <c r="N2555" s="4">
        <f t="shared" si="235"/>
        <v>7.4765217391304351</v>
      </c>
      <c r="O2555" s="5">
        <f t="shared" si="236"/>
        <v>-0.12429378531073443</v>
      </c>
      <c r="P2555" s="5">
        <f t="shared" si="237"/>
        <v>0.85483870967741926</v>
      </c>
      <c r="Q2555" s="4">
        <f t="shared" si="238"/>
        <v>-1.1157228739002936</v>
      </c>
      <c r="R2555" s="4">
        <f t="shared" si="239"/>
        <v>8.7461197703035287E-2</v>
      </c>
      <c r="S2555" s="4">
        <v>-11.18</v>
      </c>
      <c r="T2555" s="2">
        <v>0.96</v>
      </c>
      <c r="U2555" s="2">
        <v>68.36</v>
      </c>
      <c r="V2555" s="2">
        <v>39.24</v>
      </c>
      <c r="W2555" s="2">
        <v>-7.03</v>
      </c>
      <c r="X2555" s="2">
        <v>-16.77</v>
      </c>
      <c r="Y2555" s="2">
        <v>-16.440000000000001</v>
      </c>
      <c r="Z2555" s="2">
        <v>-10.72</v>
      </c>
    </row>
    <row r="2556" spans="1:26" x14ac:dyDescent="0.25">
      <c r="A2556" s="1" t="s">
        <v>10251</v>
      </c>
      <c r="B2556" s="1" t="s">
        <v>10252</v>
      </c>
      <c r="C2556" s="1" t="s">
        <v>16</v>
      </c>
      <c r="D2556" s="1" t="s">
        <v>94</v>
      </c>
      <c r="E2556" s="1" t="s">
        <v>894</v>
      </c>
      <c r="F2556" s="1" t="s">
        <v>10253</v>
      </c>
      <c r="G2556" s="1" t="s">
        <v>12480</v>
      </c>
      <c r="H2556" s="1" t="s">
        <v>10254</v>
      </c>
      <c r="I2556" s="2">
        <v>26.02</v>
      </c>
      <c r="J2556" s="2">
        <v>5.42</v>
      </c>
      <c r="K2556" s="2">
        <v>3.81</v>
      </c>
      <c r="L2556" s="2">
        <v>4.6100000000000003</v>
      </c>
      <c r="M2556" s="4">
        <f t="shared" si="234"/>
        <v>6.8293963254593173</v>
      </c>
      <c r="N2556" s="4">
        <f t="shared" si="235"/>
        <v>5.6442516268980469</v>
      </c>
      <c r="O2556" s="5">
        <f t="shared" si="236"/>
        <v>-0.29704797047970477</v>
      </c>
      <c r="P2556" s="5">
        <f t="shared" si="237"/>
        <v>0.20997375328083989</v>
      </c>
      <c r="Q2556" s="4">
        <f t="shared" si="238"/>
        <v>-0.22990887008689131</v>
      </c>
      <c r="R2556" s="4">
        <f t="shared" si="239"/>
        <v>0.26880748373101948</v>
      </c>
      <c r="S2556" s="4">
        <v>17.239999999999998</v>
      </c>
      <c r="T2556" s="2">
        <v>1.03</v>
      </c>
      <c r="U2556" s="2">
        <v>31.81</v>
      </c>
      <c r="V2556" s="2">
        <v>17.57</v>
      </c>
      <c r="W2556" s="2">
        <v>7.57</v>
      </c>
      <c r="X2556" s="2">
        <v>22.5</v>
      </c>
      <c r="Y2556" s="2">
        <v>36.020000000000003</v>
      </c>
      <c r="Z2556" s="2">
        <v>39.14</v>
      </c>
    </row>
    <row r="2557" spans="1:26" x14ac:dyDescent="0.25">
      <c r="A2557" s="1" t="s">
        <v>10255</v>
      </c>
      <c r="B2557" s="1" t="s">
        <v>10256</v>
      </c>
      <c r="C2557" s="1" t="s">
        <v>16</v>
      </c>
      <c r="D2557" s="1" t="s">
        <v>38</v>
      </c>
      <c r="E2557" s="1" t="s">
        <v>510</v>
      </c>
      <c r="F2557" s="1" t="s">
        <v>10257</v>
      </c>
      <c r="G2557" s="1" t="s">
        <v>12480</v>
      </c>
      <c r="H2557" s="1" t="s">
        <v>3559</v>
      </c>
      <c r="I2557" s="2">
        <v>31.86</v>
      </c>
      <c r="J2557" s="2">
        <v>1.87</v>
      </c>
      <c r="K2557" s="2">
        <v>2.02</v>
      </c>
      <c r="L2557" s="2">
        <v>2.2000000000000002</v>
      </c>
      <c r="M2557" s="4">
        <f t="shared" si="234"/>
        <v>15.772277227722771</v>
      </c>
      <c r="N2557" s="4">
        <f t="shared" si="235"/>
        <v>14.481818181818181</v>
      </c>
      <c r="O2557" s="5">
        <f t="shared" si="236"/>
        <v>8.0213903743315385E-2</v>
      </c>
      <c r="P2557" s="5">
        <f t="shared" si="237"/>
        <v>8.9108910891089188E-2</v>
      </c>
      <c r="Q2557" s="4">
        <f t="shared" si="238"/>
        <v>1.9662772277227751</v>
      </c>
      <c r="R2557" s="4">
        <f t="shared" si="239"/>
        <v>1.6251818181818165</v>
      </c>
      <c r="S2557" s="4">
        <v>18.62</v>
      </c>
      <c r="T2557" s="2"/>
      <c r="U2557" s="2">
        <v>38.99</v>
      </c>
      <c r="V2557" s="2">
        <v>30.72</v>
      </c>
      <c r="W2557" s="2">
        <v>-5.35</v>
      </c>
      <c r="X2557" s="2">
        <v>-0.84</v>
      </c>
      <c r="Y2557" s="2">
        <v>-1.79</v>
      </c>
      <c r="Z2557" s="2">
        <v>2.97</v>
      </c>
    </row>
    <row r="2558" spans="1:26" x14ac:dyDescent="0.25">
      <c r="A2558" s="1" t="s">
        <v>10258</v>
      </c>
      <c r="B2558" s="1" t="s">
        <v>10259</v>
      </c>
      <c r="C2558" s="1" t="s">
        <v>31</v>
      </c>
      <c r="D2558" s="1" t="s">
        <v>32</v>
      </c>
      <c r="E2558" s="1" t="s">
        <v>1607</v>
      </c>
      <c r="F2558" s="1" t="s">
        <v>10260</v>
      </c>
      <c r="G2558" s="1" t="s">
        <v>12490</v>
      </c>
      <c r="H2558" s="1" t="s">
        <v>10261</v>
      </c>
      <c r="I2558" s="2">
        <v>21.15</v>
      </c>
      <c r="J2558" s="2">
        <v>0.79</v>
      </c>
      <c r="K2558" s="2">
        <v>0.81</v>
      </c>
      <c r="L2558" s="2">
        <v>0.81</v>
      </c>
      <c r="M2558" s="4">
        <f t="shared" si="234"/>
        <v>26.111111111111107</v>
      </c>
      <c r="N2558" s="4">
        <f t="shared" si="235"/>
        <v>26.111111111111107</v>
      </c>
      <c r="O2558" s="5">
        <f t="shared" si="236"/>
        <v>2.5316455696202445E-2</v>
      </c>
      <c r="P2558" s="5">
        <f t="shared" si="237"/>
        <v>0</v>
      </c>
      <c r="Q2558" s="4">
        <f t="shared" si="238"/>
        <v>10.313888888888922</v>
      </c>
      <c r="R2558" s="4" t="e">
        <f t="shared" si="239"/>
        <v>#DIV/0!</v>
      </c>
      <c r="S2558" s="4">
        <v>-3.34</v>
      </c>
      <c r="T2558" s="2">
        <v>0.93</v>
      </c>
      <c r="U2558" s="2">
        <v>24.73</v>
      </c>
      <c r="V2558" s="2">
        <v>14.62</v>
      </c>
      <c r="W2558" s="2">
        <v>-11.06</v>
      </c>
      <c r="X2558" s="2">
        <v>-2.02</v>
      </c>
      <c r="Y2558" s="2">
        <v>20.72</v>
      </c>
      <c r="Z2558" s="2">
        <v>22.57</v>
      </c>
    </row>
    <row r="2559" spans="1:26" x14ac:dyDescent="0.25">
      <c r="A2559" s="1" t="s">
        <v>10262</v>
      </c>
      <c r="B2559" s="1" t="s">
        <v>10263</v>
      </c>
      <c r="C2559" s="1" t="s">
        <v>45</v>
      </c>
      <c r="D2559" s="1" t="s">
        <v>32</v>
      </c>
      <c r="E2559" s="1" t="s">
        <v>8147</v>
      </c>
      <c r="F2559" s="1" t="s">
        <v>10264</v>
      </c>
      <c r="G2559" s="1" t="s">
        <v>12502</v>
      </c>
      <c r="H2559" s="1" t="s">
        <v>10265</v>
      </c>
      <c r="I2559" s="2">
        <v>31.98</v>
      </c>
      <c r="J2559" s="2">
        <v>2.06</v>
      </c>
      <c r="K2559" s="2">
        <v>2.2000000000000002</v>
      </c>
      <c r="L2559" s="2">
        <v>2.97</v>
      </c>
      <c r="M2559" s="4">
        <f t="shared" si="234"/>
        <v>14.536363636363635</v>
      </c>
      <c r="N2559" s="4">
        <f t="shared" si="235"/>
        <v>10.767676767676766</v>
      </c>
      <c r="O2559" s="5">
        <f t="shared" si="236"/>
        <v>6.7961165048543659E-2</v>
      </c>
      <c r="P2559" s="5">
        <f t="shared" si="237"/>
        <v>0.35000000000000009</v>
      </c>
      <c r="Q2559" s="4">
        <f t="shared" si="238"/>
        <v>2.1389220779220786</v>
      </c>
      <c r="R2559" s="4">
        <f t="shared" si="239"/>
        <v>0.30764790764790756</v>
      </c>
      <c r="S2559" s="4">
        <v>47.04</v>
      </c>
      <c r="T2559" s="2">
        <v>1.52</v>
      </c>
      <c r="U2559" s="2">
        <v>60.71</v>
      </c>
      <c r="V2559" s="2">
        <v>28.27</v>
      </c>
      <c r="W2559" s="2">
        <v>0.47</v>
      </c>
      <c r="X2559" s="2">
        <v>-4.62</v>
      </c>
      <c r="Y2559" s="2">
        <v>1.94</v>
      </c>
      <c r="Z2559" s="2">
        <v>9.26</v>
      </c>
    </row>
    <row r="2560" spans="1:26" x14ac:dyDescent="0.25">
      <c r="A2560" s="1" t="s">
        <v>10266</v>
      </c>
      <c r="B2560" s="1" t="s">
        <v>10267</v>
      </c>
      <c r="C2560" s="1" t="s">
        <v>31</v>
      </c>
      <c r="D2560" s="1" t="s">
        <v>94</v>
      </c>
      <c r="E2560" s="1" t="s">
        <v>95</v>
      </c>
      <c r="F2560" s="1" t="s">
        <v>10268</v>
      </c>
      <c r="G2560" s="1" t="s">
        <v>12485</v>
      </c>
      <c r="H2560" s="1" t="s">
        <v>10269</v>
      </c>
      <c r="I2560" s="2">
        <v>174.85</v>
      </c>
      <c r="J2560" s="2">
        <v>1.77</v>
      </c>
      <c r="K2560" s="2">
        <v>4.6399999999999997</v>
      </c>
      <c r="L2560" s="2">
        <v>6.64</v>
      </c>
      <c r="M2560" s="4">
        <f t="shared" si="234"/>
        <v>37.683189655172413</v>
      </c>
      <c r="N2560" s="4">
        <f t="shared" si="235"/>
        <v>26.332831325301207</v>
      </c>
      <c r="O2560" s="5">
        <f t="shared" si="236"/>
        <v>1.6214689265536721</v>
      </c>
      <c r="P2560" s="5">
        <f t="shared" si="237"/>
        <v>0.43103448275862077</v>
      </c>
      <c r="Q2560" s="4">
        <f t="shared" si="238"/>
        <v>0.23240155292562778</v>
      </c>
      <c r="R2560" s="4">
        <f t="shared" si="239"/>
        <v>0.61092168674698788</v>
      </c>
      <c r="S2560" s="4">
        <v>15.58</v>
      </c>
      <c r="T2560" s="2">
        <v>2.06</v>
      </c>
      <c r="U2560" s="2">
        <v>175.64</v>
      </c>
      <c r="V2560" s="2">
        <v>52.54</v>
      </c>
      <c r="W2560" s="2"/>
      <c r="X2560" s="2"/>
      <c r="Y2560" s="2">
        <v>24.15</v>
      </c>
      <c r="Z2560" s="2">
        <v>24.76</v>
      </c>
    </row>
    <row r="2561" spans="1:26" x14ac:dyDescent="0.25">
      <c r="A2561" s="1" t="s">
        <v>10270</v>
      </c>
      <c r="B2561" s="1" t="s">
        <v>10271</v>
      </c>
      <c r="C2561" s="1" t="s">
        <v>16</v>
      </c>
      <c r="D2561" s="1" t="s">
        <v>38</v>
      </c>
      <c r="E2561" s="1" t="s">
        <v>189</v>
      </c>
      <c r="F2561" s="1" t="s">
        <v>10272</v>
      </c>
      <c r="G2561" s="1" t="s">
        <v>12490</v>
      </c>
      <c r="H2561" s="1" t="s">
        <v>10273</v>
      </c>
      <c r="I2561" s="2">
        <v>20.329999999999998</v>
      </c>
      <c r="J2561" s="2">
        <v>1.21</v>
      </c>
      <c r="K2561" s="2">
        <v>1.48</v>
      </c>
      <c r="L2561" s="2">
        <v>1.65</v>
      </c>
      <c r="M2561" s="4">
        <f t="shared" si="234"/>
        <v>13.736486486486486</v>
      </c>
      <c r="N2561" s="4">
        <f t="shared" si="235"/>
        <v>12.32121212121212</v>
      </c>
      <c r="O2561" s="5">
        <f t="shared" si="236"/>
        <v>0.22314049586776852</v>
      </c>
      <c r="P2561" s="5">
        <f t="shared" si="237"/>
        <v>0.11486486486486491</v>
      </c>
      <c r="Q2561" s="4">
        <f t="shared" si="238"/>
        <v>0.61559809809809829</v>
      </c>
      <c r="R2561" s="4">
        <f t="shared" si="239"/>
        <v>1.0726702317290548</v>
      </c>
      <c r="S2561" s="4">
        <v>3.12</v>
      </c>
      <c r="T2561" s="2">
        <v>0.34</v>
      </c>
      <c r="U2561" s="2">
        <v>23.81</v>
      </c>
      <c r="V2561" s="2">
        <v>12.23</v>
      </c>
      <c r="W2561" s="2">
        <v>-7.63</v>
      </c>
      <c r="X2561" s="2">
        <v>-12.41</v>
      </c>
      <c r="Y2561" s="2">
        <v>3.57</v>
      </c>
      <c r="Z2561" s="2">
        <v>5.17</v>
      </c>
    </row>
    <row r="2562" spans="1:26" x14ac:dyDescent="0.25">
      <c r="A2562" s="1" t="s">
        <v>10274</v>
      </c>
      <c r="B2562" s="1" t="s">
        <v>10275</v>
      </c>
      <c r="C2562" s="1" t="s">
        <v>16</v>
      </c>
      <c r="D2562" s="1" t="s">
        <v>128</v>
      </c>
      <c r="E2562" s="1" t="s">
        <v>296</v>
      </c>
      <c r="F2562" s="1" t="s">
        <v>10276</v>
      </c>
      <c r="G2562" s="1" t="s">
        <v>12485</v>
      </c>
      <c r="H2562" s="1" t="s">
        <v>9121</v>
      </c>
      <c r="I2562" s="2">
        <v>64.319999999999993</v>
      </c>
      <c r="J2562" s="2">
        <v>3.74</v>
      </c>
      <c r="K2562" s="2">
        <v>4.2699999999999996</v>
      </c>
      <c r="L2562" s="2">
        <v>4.72</v>
      </c>
      <c r="M2562" s="4">
        <f t="shared" si="234"/>
        <v>15.063231850117097</v>
      </c>
      <c r="N2562" s="4">
        <f t="shared" si="235"/>
        <v>13.627118644067796</v>
      </c>
      <c r="O2562" s="5">
        <f t="shared" si="236"/>
        <v>0.14171122994652396</v>
      </c>
      <c r="P2562" s="5">
        <f t="shared" si="237"/>
        <v>0.10538641686182681</v>
      </c>
      <c r="Q2562" s="4">
        <f t="shared" si="238"/>
        <v>1.0629525871592072</v>
      </c>
      <c r="R2562" s="4">
        <f t="shared" si="239"/>
        <v>1.2930621468926538</v>
      </c>
      <c r="S2562" s="4">
        <v>-3.93</v>
      </c>
      <c r="T2562" s="2">
        <v>1.96</v>
      </c>
      <c r="U2562" s="2">
        <v>70.52</v>
      </c>
      <c r="V2562" s="2">
        <v>48.21</v>
      </c>
      <c r="W2562" s="2">
        <v>-8.61</v>
      </c>
      <c r="X2562" s="2">
        <v>-3.45</v>
      </c>
      <c r="Y2562" s="2">
        <v>9.9700000000000006</v>
      </c>
      <c r="Z2562" s="2">
        <v>10.23</v>
      </c>
    </row>
    <row r="2563" spans="1:26" x14ac:dyDescent="0.25">
      <c r="A2563" s="1" t="s">
        <v>10277</v>
      </c>
      <c r="B2563" s="1" t="s">
        <v>10278</v>
      </c>
      <c r="C2563" s="1" t="s">
        <v>31</v>
      </c>
      <c r="D2563" s="1" t="s">
        <v>140</v>
      </c>
      <c r="E2563" s="1" t="s">
        <v>284</v>
      </c>
      <c r="F2563" s="1" t="s">
        <v>10279</v>
      </c>
      <c r="G2563" s="1" t="s">
        <v>12496</v>
      </c>
      <c r="H2563" s="1" t="s">
        <v>10280</v>
      </c>
      <c r="I2563" s="2">
        <v>35.380000000000003</v>
      </c>
      <c r="J2563" s="2">
        <v>1.35</v>
      </c>
      <c r="K2563" s="2">
        <v>1.2</v>
      </c>
      <c r="L2563" s="2">
        <v>1.59</v>
      </c>
      <c r="M2563" s="4">
        <f t="shared" ref="M2563:M2626" si="240">I2563/K2563</f>
        <v>29.483333333333338</v>
      </c>
      <c r="N2563" s="4">
        <f t="shared" ref="N2563:N2626" si="241">I2563/L2563</f>
        <v>22.251572327044027</v>
      </c>
      <c r="O2563" s="5">
        <f t="shared" ref="O2563:O2626" si="242">K2563/J2563-1</f>
        <v>-0.11111111111111116</v>
      </c>
      <c r="P2563" s="5">
        <f t="shared" ref="P2563:P2626" si="243">L2563/K2563-1</f>
        <v>0.32500000000000018</v>
      </c>
      <c r="Q2563" s="4">
        <f t="shared" ref="Q2563:Q2626" si="244">M2563/(O2563*100)</f>
        <v>-2.6534999999999993</v>
      </c>
      <c r="R2563" s="4">
        <f t="shared" ref="R2563:R2626" si="245">N2563/(P2563*100)</f>
        <v>0.68466376390904671</v>
      </c>
      <c r="S2563" s="4">
        <v>-3.96</v>
      </c>
      <c r="T2563" s="2">
        <v>0.86</v>
      </c>
      <c r="U2563" s="2">
        <v>37.56</v>
      </c>
      <c r="V2563" s="2">
        <v>21.91</v>
      </c>
      <c r="W2563" s="2">
        <v>-4.33</v>
      </c>
      <c r="X2563" s="2">
        <v>-3.57</v>
      </c>
      <c r="Y2563" s="2">
        <v>10.84</v>
      </c>
      <c r="Z2563" s="2">
        <v>10.01</v>
      </c>
    </row>
    <row r="2564" spans="1:26" x14ac:dyDescent="0.25">
      <c r="A2564" s="1" t="s">
        <v>10281</v>
      </c>
      <c r="B2564" s="1" t="s">
        <v>10282</v>
      </c>
      <c r="C2564" s="1" t="s">
        <v>45</v>
      </c>
      <c r="D2564" s="1" t="s">
        <v>18</v>
      </c>
      <c r="E2564" s="1" t="s">
        <v>780</v>
      </c>
      <c r="F2564" s="1" t="s">
        <v>10283</v>
      </c>
      <c r="G2564" s="1" t="s">
        <v>12480</v>
      </c>
      <c r="H2564" s="1" t="s">
        <v>10284</v>
      </c>
      <c r="I2564" s="2">
        <v>15.72</v>
      </c>
      <c r="J2564" s="2">
        <v>-1.44</v>
      </c>
      <c r="K2564" s="2">
        <v>-1.23</v>
      </c>
      <c r="L2564" s="2">
        <v>-1.22</v>
      </c>
      <c r="M2564" s="4">
        <f t="shared" si="240"/>
        <v>-12.780487804878049</v>
      </c>
      <c r="N2564" s="4">
        <f t="shared" si="241"/>
        <v>-12.885245901639346</v>
      </c>
      <c r="O2564" s="5">
        <f t="shared" si="242"/>
        <v>-0.14583333333333326</v>
      </c>
      <c r="P2564" s="5">
        <f t="shared" si="243"/>
        <v>-8.1300813008130524E-3</v>
      </c>
      <c r="Q2564" s="4">
        <f t="shared" si="244"/>
        <v>0.8763763066202096</v>
      </c>
      <c r="R2564" s="4">
        <f t="shared" si="245"/>
        <v>15.848852459016308</v>
      </c>
      <c r="S2564" s="4"/>
      <c r="T2564" s="2">
        <v>-1.43</v>
      </c>
      <c r="U2564" s="2">
        <v>36.700000000000003</v>
      </c>
      <c r="V2564" s="2">
        <v>13.85</v>
      </c>
      <c r="W2564" s="2">
        <v>-2.9</v>
      </c>
      <c r="X2564" s="2">
        <v>5.01</v>
      </c>
      <c r="Y2564" s="2">
        <v>-9.5500000000000007</v>
      </c>
      <c r="Z2564" s="2">
        <v>-10.119999999999999</v>
      </c>
    </row>
    <row r="2565" spans="1:26" x14ac:dyDescent="0.25">
      <c r="A2565" s="1" t="s">
        <v>10285</v>
      </c>
      <c r="B2565" s="1" t="s">
        <v>10286</v>
      </c>
      <c r="C2565" s="1" t="s">
        <v>31</v>
      </c>
      <c r="D2565" s="1" t="s">
        <v>147</v>
      </c>
      <c r="E2565" s="1" t="s">
        <v>1073</v>
      </c>
      <c r="F2565" s="1" t="s">
        <v>10287</v>
      </c>
      <c r="G2565" s="1" t="s">
        <v>12480</v>
      </c>
      <c r="H2565" s="1" t="s">
        <v>10288</v>
      </c>
      <c r="I2565" s="2">
        <v>10.391999999999999</v>
      </c>
      <c r="J2565" s="2">
        <v>0.19</v>
      </c>
      <c r="K2565" s="2"/>
      <c r="L2565" s="2"/>
      <c r="M2565" s="4" t="e">
        <f t="shared" si="240"/>
        <v>#DIV/0!</v>
      </c>
      <c r="N2565" s="4" t="e">
        <f t="shared" si="241"/>
        <v>#DIV/0!</v>
      </c>
      <c r="O2565" s="5">
        <f t="shared" si="242"/>
        <v>-1</v>
      </c>
      <c r="P2565" s="5" t="e">
        <f t="shared" si="243"/>
        <v>#DIV/0!</v>
      </c>
      <c r="Q2565" s="4" t="e">
        <f t="shared" si="244"/>
        <v>#DIV/0!</v>
      </c>
      <c r="R2565" s="4" t="e">
        <f t="shared" si="245"/>
        <v>#DIV/0!</v>
      </c>
      <c r="S2565" s="4">
        <v>4.55</v>
      </c>
      <c r="T2565" s="2">
        <v>0.65</v>
      </c>
      <c r="U2565" s="2">
        <v>15.14</v>
      </c>
      <c r="V2565" s="2">
        <v>9.39</v>
      </c>
      <c r="W2565" s="2">
        <v>-0.84</v>
      </c>
      <c r="X2565" s="2">
        <v>-12.82</v>
      </c>
      <c r="Y2565" s="2">
        <v>-2.88</v>
      </c>
      <c r="Z2565" s="2">
        <v>-0.56000000000000005</v>
      </c>
    </row>
    <row r="2566" spans="1:26" x14ac:dyDescent="0.25">
      <c r="A2566" s="1" t="s">
        <v>10289</v>
      </c>
      <c r="B2566" s="1" t="s">
        <v>10290</v>
      </c>
      <c r="C2566" s="1" t="s">
        <v>45</v>
      </c>
      <c r="D2566" s="1" t="s">
        <v>128</v>
      </c>
      <c r="E2566" s="1" t="s">
        <v>5691</v>
      </c>
      <c r="F2566" s="1" t="s">
        <v>10291</v>
      </c>
      <c r="G2566" s="1" t="s">
        <v>12497</v>
      </c>
      <c r="H2566" s="1" t="s">
        <v>10292</v>
      </c>
      <c r="I2566" s="2">
        <v>15.49</v>
      </c>
      <c r="J2566" s="2">
        <v>1.92</v>
      </c>
      <c r="K2566" s="2">
        <v>1.95</v>
      </c>
      <c r="L2566" s="2">
        <v>2.2000000000000002</v>
      </c>
      <c r="M2566" s="4">
        <f t="shared" si="240"/>
        <v>7.9435897435897438</v>
      </c>
      <c r="N2566" s="4">
        <f t="shared" si="241"/>
        <v>7.0409090909090901</v>
      </c>
      <c r="O2566" s="5">
        <f t="shared" si="242"/>
        <v>1.5625E-2</v>
      </c>
      <c r="P2566" s="5">
        <f t="shared" si="243"/>
        <v>0.12820512820512842</v>
      </c>
      <c r="Q2566" s="4">
        <f t="shared" si="244"/>
        <v>5.0838974358974358</v>
      </c>
      <c r="R2566" s="4">
        <f t="shared" si="245"/>
        <v>0.54919090909090806</v>
      </c>
      <c r="S2566" s="4">
        <v>8.98</v>
      </c>
      <c r="T2566" s="2">
        <v>0.26</v>
      </c>
      <c r="U2566" s="2" t="s">
        <v>12787</v>
      </c>
      <c r="V2566" s="2">
        <v>15.49</v>
      </c>
      <c r="W2566" s="2">
        <v>-4.74</v>
      </c>
      <c r="X2566" s="2">
        <v>-5.95</v>
      </c>
      <c r="Y2566" s="2">
        <v>-19.739999999999998</v>
      </c>
      <c r="Z2566" s="2">
        <v>-22.86</v>
      </c>
    </row>
    <row r="2567" spans="1:26" x14ac:dyDescent="0.25">
      <c r="A2567" s="1" t="s">
        <v>10293</v>
      </c>
      <c r="B2567" s="1" t="s">
        <v>10294</v>
      </c>
      <c r="C2567" s="1" t="s">
        <v>31</v>
      </c>
      <c r="D2567" s="1" t="s">
        <v>38</v>
      </c>
      <c r="E2567" s="1" t="s">
        <v>254</v>
      </c>
      <c r="F2567" s="1" t="s">
        <v>10295</v>
      </c>
      <c r="G2567" s="1" t="s">
        <v>12490</v>
      </c>
      <c r="H2567" s="1" t="s">
        <v>10296</v>
      </c>
      <c r="I2567" s="2">
        <v>18.62</v>
      </c>
      <c r="J2567" s="2">
        <v>1.46</v>
      </c>
      <c r="K2567" s="2"/>
      <c r="L2567" s="2"/>
      <c r="M2567" s="4" t="e">
        <f t="shared" si="240"/>
        <v>#DIV/0!</v>
      </c>
      <c r="N2567" s="4" t="e">
        <f t="shared" si="241"/>
        <v>#DIV/0!</v>
      </c>
      <c r="O2567" s="5">
        <f t="shared" si="242"/>
        <v>-1</v>
      </c>
      <c r="P2567" s="5" t="e">
        <f t="shared" si="243"/>
        <v>#DIV/0!</v>
      </c>
      <c r="Q2567" s="4" t="e">
        <f t="shared" si="244"/>
        <v>#DIV/0!</v>
      </c>
      <c r="R2567" s="4" t="e">
        <f t="shared" si="245"/>
        <v>#DIV/0!</v>
      </c>
      <c r="S2567" s="4">
        <v>4.79</v>
      </c>
      <c r="T2567" s="2">
        <v>0.38</v>
      </c>
      <c r="U2567" s="2">
        <v>19.79</v>
      </c>
      <c r="V2567" s="2">
        <v>13.64</v>
      </c>
      <c r="W2567" s="2">
        <v>-2.56</v>
      </c>
      <c r="X2567" s="2">
        <v>-2.92</v>
      </c>
      <c r="Y2567" s="2">
        <v>9.5299999999999994</v>
      </c>
      <c r="Z2567" s="2">
        <v>10.11</v>
      </c>
    </row>
    <row r="2568" spans="1:26" x14ac:dyDescent="0.25">
      <c r="A2568" s="1" t="s">
        <v>10297</v>
      </c>
      <c r="B2568" s="1" t="s">
        <v>10298</v>
      </c>
      <c r="C2568" s="1" t="s">
        <v>16</v>
      </c>
      <c r="D2568" s="1" t="s">
        <v>32</v>
      </c>
      <c r="E2568" s="1" t="s">
        <v>2119</v>
      </c>
      <c r="F2568" s="1" t="s">
        <v>10299</v>
      </c>
      <c r="G2568" s="1" t="s">
        <v>12480</v>
      </c>
      <c r="H2568" s="1" t="s">
        <v>10300</v>
      </c>
      <c r="I2568" s="2">
        <v>12.16</v>
      </c>
      <c r="J2568" s="2">
        <v>-2.17</v>
      </c>
      <c r="K2568" s="2">
        <v>-0.59</v>
      </c>
      <c r="L2568" s="2">
        <v>-0.43</v>
      </c>
      <c r="M2568" s="4">
        <f t="shared" si="240"/>
        <v>-20.610169491525426</v>
      </c>
      <c r="N2568" s="4">
        <f t="shared" si="241"/>
        <v>-28.279069767441861</v>
      </c>
      <c r="O2568" s="5">
        <f t="shared" si="242"/>
        <v>-0.72811059907834097</v>
      </c>
      <c r="P2568" s="5">
        <f t="shared" si="243"/>
        <v>-0.27118644067796605</v>
      </c>
      <c r="Q2568" s="4">
        <f t="shared" si="244"/>
        <v>0.28306372023171</v>
      </c>
      <c r="R2568" s="4">
        <f t="shared" si="245"/>
        <v>1.0427906976744188</v>
      </c>
      <c r="S2568" s="4">
        <v>-15.02</v>
      </c>
      <c r="T2568" s="2">
        <v>2.19</v>
      </c>
      <c r="U2568" s="2">
        <v>53.43</v>
      </c>
      <c r="V2568" s="2">
        <v>11.67</v>
      </c>
      <c r="W2568" s="2">
        <v>-6.82</v>
      </c>
      <c r="X2568" s="2">
        <v>-31.22</v>
      </c>
      <c r="Y2568" s="2">
        <v>-30.16</v>
      </c>
      <c r="Z2568" s="2">
        <v>-14.19</v>
      </c>
    </row>
    <row r="2569" spans="1:26" x14ac:dyDescent="0.25">
      <c r="A2569" s="1" t="s">
        <v>10301</v>
      </c>
      <c r="B2569" s="1" t="s">
        <v>10302</v>
      </c>
      <c r="C2569" s="1" t="s">
        <v>31</v>
      </c>
      <c r="D2569" s="1" t="s">
        <v>147</v>
      </c>
      <c r="E2569" s="1" t="s">
        <v>1084</v>
      </c>
      <c r="F2569" s="1" t="s">
        <v>10303</v>
      </c>
      <c r="G2569" s="1" t="s">
        <v>12480</v>
      </c>
      <c r="H2569" s="1" t="s">
        <v>10304</v>
      </c>
      <c r="I2569" s="2">
        <v>10.96</v>
      </c>
      <c r="J2569" s="2">
        <v>1.27</v>
      </c>
      <c r="K2569" s="2"/>
      <c r="L2569" s="2"/>
      <c r="M2569" s="4" t="e">
        <f t="shared" si="240"/>
        <v>#DIV/0!</v>
      </c>
      <c r="N2569" s="4" t="e">
        <f t="shared" si="241"/>
        <v>#DIV/0!</v>
      </c>
      <c r="O2569" s="5">
        <f t="shared" si="242"/>
        <v>-1</v>
      </c>
      <c r="P2569" s="5" t="e">
        <f t="shared" si="243"/>
        <v>#DIV/0!</v>
      </c>
      <c r="Q2569" s="4" t="e">
        <f t="shared" si="244"/>
        <v>#DIV/0!</v>
      </c>
      <c r="R2569" s="4" t="e">
        <f t="shared" si="245"/>
        <v>#DIV/0!</v>
      </c>
      <c r="S2569" s="4">
        <v>-2.5499999999999998</v>
      </c>
      <c r="T2569" s="2">
        <v>0.67</v>
      </c>
      <c r="U2569" s="2">
        <v>13.82</v>
      </c>
      <c r="V2569" s="2">
        <v>8.44</v>
      </c>
      <c r="W2569" s="2">
        <v>-7.43</v>
      </c>
      <c r="X2569" s="2">
        <v>-14.24</v>
      </c>
      <c r="Y2569" s="2">
        <v>-12.43</v>
      </c>
      <c r="Z2569" s="2">
        <v>-13.9</v>
      </c>
    </row>
    <row r="2570" spans="1:26" x14ac:dyDescent="0.25">
      <c r="A2570" s="1" t="s">
        <v>10305</v>
      </c>
      <c r="B2570" s="1" t="s">
        <v>10306</v>
      </c>
      <c r="C2570" s="1" t="s">
        <v>31</v>
      </c>
      <c r="D2570" s="1" t="s">
        <v>140</v>
      </c>
      <c r="E2570" s="1" t="s">
        <v>2558</v>
      </c>
      <c r="F2570" s="1" t="s">
        <v>10307</v>
      </c>
      <c r="G2570" s="1" t="s">
        <v>12502</v>
      </c>
      <c r="H2570" s="1" t="s">
        <v>10308</v>
      </c>
      <c r="I2570" s="2">
        <v>12.72</v>
      </c>
      <c r="J2570" s="2">
        <v>0.28000000000000003</v>
      </c>
      <c r="K2570" s="2">
        <v>0.7</v>
      </c>
      <c r="L2570" s="2">
        <v>1.1499999999999999</v>
      </c>
      <c r="M2570" s="4">
        <f t="shared" si="240"/>
        <v>18.171428571428574</v>
      </c>
      <c r="N2570" s="4">
        <f t="shared" si="241"/>
        <v>11.060869565217393</v>
      </c>
      <c r="O2570" s="5">
        <f t="shared" si="242"/>
        <v>1.4999999999999996</v>
      </c>
      <c r="P2570" s="5">
        <f t="shared" si="243"/>
        <v>0.64285714285714279</v>
      </c>
      <c r="Q2570" s="4">
        <f t="shared" si="244"/>
        <v>0.1211428571428572</v>
      </c>
      <c r="R2570" s="4">
        <f t="shared" si="245"/>
        <v>0.1720579710144928</v>
      </c>
      <c r="S2570" s="4">
        <v>2.4500000000000002</v>
      </c>
      <c r="T2570" s="2">
        <v>1.1100000000000001</v>
      </c>
      <c r="U2570" s="2">
        <v>16.2</v>
      </c>
      <c r="V2570" s="2">
        <v>7.57</v>
      </c>
      <c r="W2570" s="2">
        <v>-19.73</v>
      </c>
      <c r="X2570" s="2">
        <v>-13.41</v>
      </c>
      <c r="Y2570" s="2">
        <v>6.35</v>
      </c>
      <c r="Z2570" s="2">
        <v>4.26</v>
      </c>
    </row>
    <row r="2571" spans="1:26" x14ac:dyDescent="0.25">
      <c r="A2571" s="1" t="s">
        <v>10309</v>
      </c>
      <c r="B2571" s="1" t="s">
        <v>10310</v>
      </c>
      <c r="C2571" s="1" t="s">
        <v>45</v>
      </c>
      <c r="D2571" s="1" t="s">
        <v>32</v>
      </c>
      <c r="E2571" s="1" t="s">
        <v>290</v>
      </c>
      <c r="F2571" s="1" t="s">
        <v>10311</v>
      </c>
      <c r="G2571" s="1" t="s">
        <v>12493</v>
      </c>
      <c r="H2571" s="1" t="s">
        <v>10312</v>
      </c>
      <c r="I2571" s="2">
        <v>85.14</v>
      </c>
      <c r="J2571" s="2">
        <v>0.88</v>
      </c>
      <c r="K2571" s="2">
        <v>2.14</v>
      </c>
      <c r="L2571" s="2">
        <v>2.64</v>
      </c>
      <c r="M2571" s="4">
        <f t="shared" si="240"/>
        <v>39.785046728971963</v>
      </c>
      <c r="N2571" s="4">
        <f t="shared" si="241"/>
        <v>32.25</v>
      </c>
      <c r="O2571" s="5">
        <f t="shared" si="242"/>
        <v>1.4318181818181821</v>
      </c>
      <c r="P2571" s="5">
        <f t="shared" si="243"/>
        <v>0.23364485981308403</v>
      </c>
      <c r="Q2571" s="4">
        <f t="shared" si="244"/>
        <v>0.27786381842456603</v>
      </c>
      <c r="R2571" s="4">
        <f t="shared" si="245"/>
        <v>1.3803000000000005</v>
      </c>
      <c r="S2571" s="4">
        <v>4.67</v>
      </c>
      <c r="T2571" s="2">
        <v>1.99</v>
      </c>
      <c r="U2571" s="2">
        <v>96.3</v>
      </c>
      <c r="V2571" s="2">
        <v>24.34</v>
      </c>
      <c r="W2571" s="2">
        <v>-11.59</v>
      </c>
      <c r="X2571" s="2">
        <v>-4.07</v>
      </c>
      <c r="Y2571" s="2">
        <v>17.37</v>
      </c>
      <c r="Z2571" s="2">
        <v>15.54</v>
      </c>
    </row>
    <row r="2572" spans="1:26" x14ac:dyDescent="0.25">
      <c r="A2572" s="1" t="s">
        <v>10314</v>
      </c>
      <c r="B2572" s="1" t="s">
        <v>10315</v>
      </c>
      <c r="C2572" s="1" t="s">
        <v>16</v>
      </c>
      <c r="D2572" s="1" t="s">
        <v>147</v>
      </c>
      <c r="E2572" s="1" t="s">
        <v>1084</v>
      </c>
      <c r="F2572" s="1" t="s">
        <v>10316</v>
      </c>
      <c r="G2572" s="1" t="s">
        <v>12480</v>
      </c>
      <c r="H2572" s="1" t="s">
        <v>10317</v>
      </c>
      <c r="I2572" s="2">
        <v>111.36</v>
      </c>
      <c r="J2572" s="2">
        <v>5.28</v>
      </c>
      <c r="K2572" s="2">
        <v>6.02</v>
      </c>
      <c r="L2572" s="2">
        <v>6.86</v>
      </c>
      <c r="M2572" s="4">
        <f t="shared" si="240"/>
        <v>18.498338870431894</v>
      </c>
      <c r="N2572" s="4">
        <f t="shared" si="241"/>
        <v>16.233236151603499</v>
      </c>
      <c r="O2572" s="5">
        <f t="shared" si="242"/>
        <v>0.14015151515151492</v>
      </c>
      <c r="P2572" s="5">
        <f t="shared" si="243"/>
        <v>0.13953488372093026</v>
      </c>
      <c r="Q2572" s="4">
        <f t="shared" si="244"/>
        <v>1.3198814761605482</v>
      </c>
      <c r="R2572" s="4">
        <f t="shared" si="245"/>
        <v>1.1633819241982506</v>
      </c>
      <c r="S2572" s="4">
        <v>15.75</v>
      </c>
      <c r="T2572" s="2">
        <v>1.39</v>
      </c>
      <c r="U2572" s="2">
        <v>131.44999999999999</v>
      </c>
      <c r="V2572" s="2">
        <v>65.64</v>
      </c>
      <c r="W2572" s="2">
        <v>-7.65</v>
      </c>
      <c r="X2572" s="2">
        <v>-6.85</v>
      </c>
      <c r="Y2572" s="2">
        <v>-1.99</v>
      </c>
      <c r="Z2572" s="2">
        <v>-0.48</v>
      </c>
    </row>
    <row r="2573" spans="1:26" x14ac:dyDescent="0.25">
      <c r="A2573" s="1" t="s">
        <v>10319</v>
      </c>
      <c r="B2573" s="1" t="s">
        <v>10320</v>
      </c>
      <c r="C2573" s="1" t="s">
        <v>16</v>
      </c>
      <c r="D2573" s="1" t="s">
        <v>147</v>
      </c>
      <c r="E2573" s="1" t="s">
        <v>7480</v>
      </c>
      <c r="F2573" s="1" t="s">
        <v>10321</v>
      </c>
      <c r="G2573" s="1" t="s">
        <v>12480</v>
      </c>
      <c r="H2573" s="1" t="s">
        <v>10322</v>
      </c>
      <c r="I2573" s="2">
        <v>373.57</v>
      </c>
      <c r="J2573" s="2">
        <v>19.54</v>
      </c>
      <c r="K2573" s="2">
        <v>19.86</v>
      </c>
      <c r="L2573" s="2">
        <v>21.07</v>
      </c>
      <c r="M2573" s="4">
        <f t="shared" si="240"/>
        <v>18.810171198388723</v>
      </c>
      <c r="N2573" s="4">
        <f t="shared" si="241"/>
        <v>17.729947793070718</v>
      </c>
      <c r="O2573" s="5">
        <f t="shared" si="242"/>
        <v>1.6376663254861867E-2</v>
      </c>
      <c r="P2573" s="5">
        <f t="shared" si="243"/>
        <v>6.0926485397784447E-2</v>
      </c>
      <c r="Q2573" s="4">
        <f t="shared" si="244"/>
        <v>11.485960788016081</v>
      </c>
      <c r="R2573" s="4">
        <f t="shared" si="245"/>
        <v>2.9100558939701218</v>
      </c>
      <c r="S2573" s="4">
        <v>-7.15</v>
      </c>
      <c r="T2573" s="2">
        <v>0.78</v>
      </c>
      <c r="U2573" s="2">
        <v>389.59</v>
      </c>
      <c r="V2573" s="2">
        <v>292.36</v>
      </c>
      <c r="W2573" s="2">
        <v>-4.1100000000000003</v>
      </c>
      <c r="X2573" s="2">
        <v>1.48</v>
      </c>
      <c r="Y2573" s="2">
        <v>6.14</v>
      </c>
      <c r="Z2573" s="2">
        <v>8.41</v>
      </c>
    </row>
    <row r="2574" spans="1:26" x14ac:dyDescent="0.25">
      <c r="A2574" s="1" t="s">
        <v>10323</v>
      </c>
      <c r="B2574" s="1" t="s">
        <v>10324</v>
      </c>
      <c r="C2574" s="1" t="s">
        <v>16</v>
      </c>
      <c r="D2574" s="1" t="s">
        <v>32</v>
      </c>
      <c r="E2574" s="1" t="s">
        <v>311</v>
      </c>
      <c r="F2574" s="1" t="s">
        <v>10325</v>
      </c>
      <c r="G2574" s="1" t="s">
        <v>12480</v>
      </c>
      <c r="H2574" s="1" t="s">
        <v>10326</v>
      </c>
      <c r="I2574" s="2">
        <v>5.13</v>
      </c>
      <c r="J2574" s="2">
        <v>0.33</v>
      </c>
      <c r="K2574" s="2">
        <v>0.51</v>
      </c>
      <c r="L2574" s="2">
        <v>0.62</v>
      </c>
      <c r="M2574" s="4">
        <f t="shared" si="240"/>
        <v>10.058823529411764</v>
      </c>
      <c r="N2574" s="4">
        <f t="shared" si="241"/>
        <v>8.2741935483870961</v>
      </c>
      <c r="O2574" s="5">
        <f t="shared" si="242"/>
        <v>0.54545454545454541</v>
      </c>
      <c r="P2574" s="5">
        <f t="shared" si="243"/>
        <v>0.21568627450980382</v>
      </c>
      <c r="Q2574" s="4">
        <f t="shared" si="244"/>
        <v>0.18441176470588236</v>
      </c>
      <c r="R2574" s="4">
        <f t="shared" si="245"/>
        <v>0.38362170087976555</v>
      </c>
      <c r="S2574" s="4">
        <v>10.63</v>
      </c>
      <c r="T2574" s="2">
        <v>0.83</v>
      </c>
      <c r="U2574" s="2">
        <v>10.35</v>
      </c>
      <c r="V2574" s="2">
        <v>4.7300000000000004</v>
      </c>
      <c r="W2574" s="2">
        <v>-2.4700000000000002</v>
      </c>
      <c r="X2574" s="2">
        <v>-1.1599999999999999</v>
      </c>
      <c r="Y2574" s="2">
        <v>-29.34</v>
      </c>
      <c r="Z2574" s="2">
        <v>-36.43</v>
      </c>
    </row>
    <row r="2575" spans="1:26" x14ac:dyDescent="0.25">
      <c r="A2575" s="1" t="s">
        <v>10327</v>
      </c>
      <c r="B2575" s="1" t="s">
        <v>10328</v>
      </c>
      <c r="C2575" s="1" t="s">
        <v>45</v>
      </c>
      <c r="D2575" s="1" t="s">
        <v>32</v>
      </c>
      <c r="E2575" s="1" t="s">
        <v>8147</v>
      </c>
      <c r="F2575" s="1" t="s">
        <v>10329</v>
      </c>
      <c r="G2575" s="1" t="s">
        <v>12502</v>
      </c>
      <c r="H2575" s="1" t="s">
        <v>10330</v>
      </c>
      <c r="I2575" s="2">
        <v>588.73</v>
      </c>
      <c r="J2575" s="2">
        <v>2.99</v>
      </c>
      <c r="K2575" s="2">
        <v>31.37</v>
      </c>
      <c r="L2575" s="2">
        <v>67.5</v>
      </c>
      <c r="M2575" s="4">
        <f t="shared" si="240"/>
        <v>18.7672935926044</v>
      </c>
      <c r="N2575" s="4">
        <f t="shared" si="241"/>
        <v>8.7219259259259267</v>
      </c>
      <c r="O2575" s="5">
        <f t="shared" si="242"/>
        <v>9.4916387959866224</v>
      </c>
      <c r="P2575" s="5">
        <f t="shared" si="243"/>
        <v>1.1517373286579535</v>
      </c>
      <c r="Q2575" s="4">
        <f t="shared" si="244"/>
        <v>1.977244814724706E-2</v>
      </c>
      <c r="R2575" s="4">
        <f t="shared" si="245"/>
        <v>7.5728429641930883E-2</v>
      </c>
      <c r="S2575" s="4">
        <v>10.39</v>
      </c>
      <c r="T2575" s="2"/>
      <c r="U2575" s="2">
        <v>695.51</v>
      </c>
      <c r="V2575" s="2">
        <v>29.62</v>
      </c>
      <c r="W2575" s="2">
        <v>-4.9000000000000004</v>
      </c>
      <c r="X2575" s="2">
        <v>0.91</v>
      </c>
      <c r="Y2575" s="2">
        <v>191.64</v>
      </c>
      <c r="Z2575" s="2">
        <v>148.01</v>
      </c>
    </row>
    <row r="2576" spans="1:26" x14ac:dyDescent="0.25">
      <c r="A2576" s="1" t="s">
        <v>10331</v>
      </c>
      <c r="B2576" s="1" t="s">
        <v>10332</v>
      </c>
      <c r="C2576" s="1" t="s">
        <v>16</v>
      </c>
      <c r="D2576" s="1" t="s">
        <v>46</v>
      </c>
      <c r="E2576" s="1" t="s">
        <v>1142</v>
      </c>
      <c r="F2576" s="1" t="s">
        <v>10333</v>
      </c>
      <c r="G2576" s="1" t="s">
        <v>12480</v>
      </c>
      <c r="H2576" s="1" t="s">
        <v>10334</v>
      </c>
      <c r="I2576" s="2">
        <v>25.79</v>
      </c>
      <c r="J2576" s="2">
        <v>0.63</v>
      </c>
      <c r="K2576" s="2">
        <v>0.84</v>
      </c>
      <c r="L2576" s="2">
        <v>1.42</v>
      </c>
      <c r="M2576" s="4">
        <f t="shared" si="240"/>
        <v>30.702380952380953</v>
      </c>
      <c r="N2576" s="4">
        <f t="shared" si="241"/>
        <v>18.161971830985916</v>
      </c>
      <c r="O2576" s="5">
        <f t="shared" si="242"/>
        <v>0.33333333333333326</v>
      </c>
      <c r="P2576" s="5">
        <f t="shared" si="243"/>
        <v>0.69047619047619047</v>
      </c>
      <c r="Q2576" s="4">
        <f t="shared" si="244"/>
        <v>0.92107142857142865</v>
      </c>
      <c r="R2576" s="4">
        <f t="shared" si="245"/>
        <v>0.26303545410393392</v>
      </c>
      <c r="S2576" s="4">
        <v>7.25</v>
      </c>
      <c r="T2576" s="2">
        <v>1.06</v>
      </c>
      <c r="U2576" s="2">
        <v>30.49</v>
      </c>
      <c r="V2576" s="2">
        <v>20.25</v>
      </c>
      <c r="W2576" s="2">
        <v>-8.42</v>
      </c>
      <c r="X2576" s="2">
        <v>-12.72</v>
      </c>
      <c r="Y2576" s="2">
        <v>-5.01</v>
      </c>
      <c r="Z2576" s="2">
        <v>-2.79</v>
      </c>
    </row>
    <row r="2577" spans="1:26" x14ac:dyDescent="0.25">
      <c r="A2577" s="1" t="s">
        <v>10335</v>
      </c>
      <c r="B2577" s="1" t="s">
        <v>10336</v>
      </c>
      <c r="C2577" s="1" t="s">
        <v>45</v>
      </c>
      <c r="D2577" s="1" t="s">
        <v>18</v>
      </c>
      <c r="E2577" s="1" t="s">
        <v>74</v>
      </c>
      <c r="F2577" s="1" t="s">
        <v>10337</v>
      </c>
      <c r="G2577" s="1" t="s">
        <v>12480</v>
      </c>
      <c r="H2577" s="1" t="s">
        <v>10338</v>
      </c>
      <c r="I2577" s="2">
        <v>23.88</v>
      </c>
      <c r="J2577" s="2">
        <v>-3.29</v>
      </c>
      <c r="K2577" s="2">
        <v>-1.49</v>
      </c>
      <c r="L2577" s="2">
        <v>0.38</v>
      </c>
      <c r="M2577" s="4">
        <f t="shared" si="240"/>
        <v>-16.026845637583893</v>
      </c>
      <c r="N2577" s="4">
        <f t="shared" si="241"/>
        <v>62.84210526315789</v>
      </c>
      <c r="O2577" s="5">
        <f t="shared" si="242"/>
        <v>-0.54711246200607899</v>
      </c>
      <c r="P2577" s="5">
        <f t="shared" si="243"/>
        <v>-1.2550335570469799</v>
      </c>
      <c r="Q2577" s="4">
        <f t="shared" si="244"/>
        <v>0.29293512304250557</v>
      </c>
      <c r="R2577" s="4">
        <f t="shared" si="245"/>
        <v>-0.50072051787222061</v>
      </c>
      <c r="S2577" s="4">
        <v>627.84</v>
      </c>
      <c r="T2577" s="2">
        <v>0.42</v>
      </c>
      <c r="U2577" s="2">
        <v>23.88</v>
      </c>
      <c r="V2577" s="2">
        <v>8.73</v>
      </c>
      <c r="W2577" s="2">
        <v>7.86</v>
      </c>
      <c r="X2577" s="2">
        <v>12.69</v>
      </c>
      <c r="Y2577" s="2">
        <v>14.37</v>
      </c>
      <c r="Z2577" s="2">
        <v>13.66</v>
      </c>
    </row>
    <row r="2578" spans="1:26" x14ac:dyDescent="0.25">
      <c r="A2578" s="1" t="s">
        <v>10339</v>
      </c>
      <c r="B2578" s="1" t="s">
        <v>10340</v>
      </c>
      <c r="C2578" s="1" t="s">
        <v>45</v>
      </c>
      <c r="D2578" s="1" t="s">
        <v>38</v>
      </c>
      <c r="E2578" s="1" t="s">
        <v>52</v>
      </c>
      <c r="F2578" s="1" t="s">
        <v>10341</v>
      </c>
      <c r="G2578" s="1" t="s">
        <v>12485</v>
      </c>
      <c r="H2578" s="1" t="s">
        <v>8590</v>
      </c>
      <c r="I2578" s="2">
        <v>109.04</v>
      </c>
      <c r="J2578" s="2">
        <v>5.89</v>
      </c>
      <c r="K2578" s="2">
        <v>7.9</v>
      </c>
      <c r="L2578" s="2">
        <v>8.5</v>
      </c>
      <c r="M2578" s="4">
        <f t="shared" si="240"/>
        <v>13.802531645569621</v>
      </c>
      <c r="N2578" s="4">
        <f t="shared" si="241"/>
        <v>12.828235294117647</v>
      </c>
      <c r="O2578" s="5">
        <f t="shared" si="242"/>
        <v>0.34125636672325999</v>
      </c>
      <c r="P2578" s="5">
        <f t="shared" si="243"/>
        <v>7.5949367088607556E-2</v>
      </c>
      <c r="Q2578" s="4">
        <f t="shared" si="244"/>
        <v>0.40446224573335832</v>
      </c>
      <c r="R2578" s="4">
        <f t="shared" si="245"/>
        <v>1.6890509803921576</v>
      </c>
      <c r="S2578" s="4">
        <v>32.53</v>
      </c>
      <c r="T2578" s="2">
        <v>0.42</v>
      </c>
      <c r="U2578" s="2">
        <v>130.96</v>
      </c>
      <c r="V2578" s="2">
        <v>69.59</v>
      </c>
      <c r="W2578" s="2">
        <v>-16.54</v>
      </c>
      <c r="X2578" s="2">
        <v>-12.73</v>
      </c>
      <c r="Y2578" s="2">
        <v>13.3</v>
      </c>
      <c r="Z2578" s="2">
        <v>14.62</v>
      </c>
    </row>
    <row r="2579" spans="1:26" x14ac:dyDescent="0.25">
      <c r="A2579" s="1" t="s">
        <v>10342</v>
      </c>
      <c r="B2579" s="1" t="s">
        <v>10343</v>
      </c>
      <c r="C2579" s="1" t="s">
        <v>31</v>
      </c>
      <c r="D2579" s="1" t="s">
        <v>38</v>
      </c>
      <c r="E2579" s="1" t="s">
        <v>1806</v>
      </c>
      <c r="F2579" s="1" t="s">
        <v>10344</v>
      </c>
      <c r="G2579" s="1" t="s">
        <v>12502</v>
      </c>
      <c r="H2579" s="1" t="s">
        <v>10345</v>
      </c>
      <c r="I2579" s="2">
        <v>7.5549999999999997</v>
      </c>
      <c r="J2579" s="2">
        <v>0.37</v>
      </c>
      <c r="K2579" s="2"/>
      <c r="L2579" s="2"/>
      <c r="M2579" s="4" t="e">
        <f t="shared" si="240"/>
        <v>#DIV/0!</v>
      </c>
      <c r="N2579" s="4" t="e">
        <f t="shared" si="241"/>
        <v>#DIV/0!</v>
      </c>
      <c r="O2579" s="5">
        <f t="shared" si="242"/>
        <v>-1</v>
      </c>
      <c r="P2579" s="5" t="e">
        <f t="shared" si="243"/>
        <v>#DIV/0!</v>
      </c>
      <c r="Q2579" s="4" t="e">
        <f t="shared" si="244"/>
        <v>#DIV/0!</v>
      </c>
      <c r="R2579" s="4" t="e">
        <f t="shared" si="245"/>
        <v>#DIV/0!</v>
      </c>
      <c r="S2579" s="4">
        <v>-6.28</v>
      </c>
      <c r="T2579" s="2">
        <v>0.28000000000000003</v>
      </c>
      <c r="U2579" s="2">
        <v>8.36</v>
      </c>
      <c r="V2579" s="2">
        <v>4.5</v>
      </c>
      <c r="W2579" s="2">
        <v>-7.87</v>
      </c>
      <c r="X2579" s="2">
        <v>-5.56</v>
      </c>
      <c r="Y2579" s="2">
        <v>14.85</v>
      </c>
      <c r="Z2579" s="2">
        <v>24.88</v>
      </c>
    </row>
    <row r="2580" spans="1:26" x14ac:dyDescent="0.25">
      <c r="A2580" s="1" t="s">
        <v>10346</v>
      </c>
      <c r="B2580" s="1" t="s">
        <v>10347</v>
      </c>
      <c r="C2580" s="1" t="s">
        <v>16</v>
      </c>
      <c r="D2580" s="1" t="s">
        <v>18</v>
      </c>
      <c r="E2580" s="1" t="s">
        <v>19</v>
      </c>
      <c r="F2580" s="1" t="s">
        <v>10348</v>
      </c>
      <c r="G2580" s="1" t="s">
        <v>12480</v>
      </c>
      <c r="H2580" s="1" t="s">
        <v>10349</v>
      </c>
      <c r="I2580" s="2">
        <v>34.08</v>
      </c>
      <c r="J2580" s="2">
        <v>2.0299999999999998</v>
      </c>
      <c r="K2580" s="2">
        <v>2.2799999999999998</v>
      </c>
      <c r="L2580" s="2">
        <v>2.54</v>
      </c>
      <c r="M2580" s="4">
        <f t="shared" si="240"/>
        <v>14.947368421052632</v>
      </c>
      <c r="N2580" s="4">
        <f t="shared" si="241"/>
        <v>13.417322834645669</v>
      </c>
      <c r="O2580" s="5">
        <f t="shared" si="242"/>
        <v>0.12315270935960587</v>
      </c>
      <c r="P2580" s="5">
        <f t="shared" si="243"/>
        <v>0.11403508771929838</v>
      </c>
      <c r="Q2580" s="4">
        <f t="shared" si="244"/>
        <v>1.213726315789474</v>
      </c>
      <c r="R2580" s="4">
        <f t="shared" si="245"/>
        <v>1.1765960024227726</v>
      </c>
      <c r="S2580" s="4">
        <v>6.09</v>
      </c>
      <c r="T2580" s="2">
        <v>0.62</v>
      </c>
      <c r="U2580" s="2">
        <v>38.700000000000003</v>
      </c>
      <c r="V2580" s="2">
        <v>24.97</v>
      </c>
      <c r="W2580" s="2">
        <v>-4.7</v>
      </c>
      <c r="X2580" s="2">
        <v>-2.8</v>
      </c>
      <c r="Y2580" s="2">
        <v>5.74</v>
      </c>
      <c r="Z2580" s="2">
        <v>3.87</v>
      </c>
    </row>
    <row r="2581" spans="1:26" x14ac:dyDescent="0.25">
      <c r="A2581" s="1" t="s">
        <v>10350</v>
      </c>
      <c r="B2581" s="1" t="s">
        <v>10351</v>
      </c>
      <c r="C2581" s="1" t="s">
        <v>16</v>
      </c>
      <c r="D2581" s="1" t="s">
        <v>32</v>
      </c>
      <c r="E2581" s="1" t="s">
        <v>311</v>
      </c>
      <c r="F2581" s="1" t="s">
        <v>10352</v>
      </c>
      <c r="G2581" s="1" t="s">
        <v>12493</v>
      </c>
      <c r="H2581" s="1" t="s">
        <v>10353</v>
      </c>
      <c r="I2581" s="2">
        <v>182.84</v>
      </c>
      <c r="J2581" s="2">
        <v>1.25</v>
      </c>
      <c r="K2581" s="2">
        <v>1.8</v>
      </c>
      <c r="L2581" s="2">
        <v>2.41</v>
      </c>
      <c r="M2581" s="4">
        <f t="shared" si="240"/>
        <v>101.57777777777778</v>
      </c>
      <c r="N2581" s="4">
        <f t="shared" si="241"/>
        <v>75.867219917012449</v>
      </c>
      <c r="O2581" s="5">
        <f t="shared" si="242"/>
        <v>0.43999999999999995</v>
      </c>
      <c r="P2581" s="5">
        <f t="shared" si="243"/>
        <v>0.33888888888888902</v>
      </c>
      <c r="Q2581" s="4">
        <f t="shared" si="244"/>
        <v>2.3085858585858592</v>
      </c>
      <c r="R2581" s="4">
        <f t="shared" si="245"/>
        <v>2.2387048500102025</v>
      </c>
      <c r="S2581" s="4">
        <v>29.16</v>
      </c>
      <c r="T2581" s="2">
        <v>1.1599999999999999</v>
      </c>
      <c r="U2581" s="2">
        <v>277.14</v>
      </c>
      <c r="V2581" s="2">
        <v>130.53</v>
      </c>
      <c r="W2581" s="2">
        <v>7.34</v>
      </c>
      <c r="X2581" s="2">
        <v>3.92</v>
      </c>
      <c r="Y2581" s="2">
        <v>-15.07</v>
      </c>
      <c r="Z2581" s="2">
        <v>-16.649999999999999</v>
      </c>
    </row>
    <row r="2582" spans="1:26" x14ac:dyDescent="0.25">
      <c r="A2582" s="1" t="s">
        <v>10354</v>
      </c>
      <c r="B2582" s="1" t="s">
        <v>10355</v>
      </c>
      <c r="C2582" s="1" t="s">
        <v>45</v>
      </c>
      <c r="D2582" s="1" t="s">
        <v>32</v>
      </c>
      <c r="E2582" s="1" t="s">
        <v>215</v>
      </c>
      <c r="F2582" s="1" t="s">
        <v>10356</v>
      </c>
      <c r="G2582" s="1" t="s">
        <v>12479</v>
      </c>
      <c r="H2582" s="1" t="s">
        <v>10357</v>
      </c>
      <c r="I2582" s="2">
        <v>437.22</v>
      </c>
      <c r="J2582" s="2">
        <v>12.91</v>
      </c>
      <c r="K2582" s="2">
        <v>14.43</v>
      </c>
      <c r="L2582" s="2">
        <v>16.97</v>
      </c>
      <c r="M2582" s="4">
        <f t="shared" si="240"/>
        <v>30.299376299376302</v>
      </c>
      <c r="N2582" s="4">
        <f t="shared" si="241"/>
        <v>25.76428992339423</v>
      </c>
      <c r="O2582" s="5">
        <f t="shared" si="242"/>
        <v>0.11773818745158793</v>
      </c>
      <c r="P2582" s="5">
        <f t="shared" si="243"/>
        <v>0.17602217602217607</v>
      </c>
      <c r="Q2582" s="4">
        <f t="shared" si="244"/>
        <v>2.5734536054272898</v>
      </c>
      <c r="R2582" s="4">
        <f t="shared" si="245"/>
        <v>1.4636956834432231</v>
      </c>
      <c r="S2582" s="4">
        <v>15.12</v>
      </c>
      <c r="T2582" s="2">
        <v>1.1499999999999999</v>
      </c>
      <c r="U2582" s="2">
        <v>645.35</v>
      </c>
      <c r="V2582" s="2">
        <v>380.9</v>
      </c>
      <c r="W2582" s="2">
        <v>2.96</v>
      </c>
      <c r="X2582" s="2">
        <v>-0.38</v>
      </c>
      <c r="Y2582" s="2">
        <v>-3.84</v>
      </c>
      <c r="Z2582" s="2">
        <v>-6.92</v>
      </c>
    </row>
    <row r="2583" spans="1:26" x14ac:dyDescent="0.25">
      <c r="A2583" s="1" t="s">
        <v>10358</v>
      </c>
      <c r="B2583" s="1" t="s">
        <v>10359</v>
      </c>
      <c r="C2583" s="1" t="s">
        <v>31</v>
      </c>
      <c r="D2583" s="1" t="s">
        <v>18</v>
      </c>
      <c r="E2583" s="1" t="s">
        <v>19</v>
      </c>
      <c r="F2583" s="1" t="s">
        <v>10360</v>
      </c>
      <c r="G2583" s="1" t="s">
        <v>12480</v>
      </c>
      <c r="H2583" s="1" t="s">
        <v>10361</v>
      </c>
      <c r="I2583" s="2">
        <v>6.8</v>
      </c>
      <c r="J2583" s="2">
        <v>0.34</v>
      </c>
      <c r="K2583" s="2"/>
      <c r="L2583" s="2"/>
      <c r="M2583" s="4" t="e">
        <f t="shared" si="240"/>
        <v>#DIV/0!</v>
      </c>
      <c r="N2583" s="4" t="e">
        <f t="shared" si="241"/>
        <v>#DIV/0!</v>
      </c>
      <c r="O2583" s="5">
        <f t="shared" si="242"/>
        <v>-1</v>
      </c>
      <c r="P2583" s="5" t="e">
        <f t="shared" si="243"/>
        <v>#DIV/0!</v>
      </c>
      <c r="Q2583" s="4" t="e">
        <f t="shared" si="244"/>
        <v>#DIV/0!</v>
      </c>
      <c r="R2583" s="4" t="e">
        <f t="shared" si="245"/>
        <v>#DIV/0!</v>
      </c>
      <c r="S2583" s="4">
        <v>18.84</v>
      </c>
      <c r="T2583" s="2">
        <v>0.61</v>
      </c>
      <c r="U2583" s="2">
        <v>11.75</v>
      </c>
      <c r="V2583" s="2">
        <v>6.8</v>
      </c>
      <c r="W2583" s="2">
        <v>-2.86</v>
      </c>
      <c r="X2583" s="2">
        <v>-12.26</v>
      </c>
      <c r="Y2583" s="2">
        <v>-17.78</v>
      </c>
      <c r="Z2583" s="2">
        <v>-22.36</v>
      </c>
    </row>
    <row r="2584" spans="1:26" x14ac:dyDescent="0.25">
      <c r="A2584" s="1" t="s">
        <v>10362</v>
      </c>
      <c r="B2584" s="1" t="s">
        <v>10363</v>
      </c>
      <c r="C2584" s="1" t="s">
        <v>16</v>
      </c>
      <c r="D2584" s="1" t="s">
        <v>32</v>
      </c>
      <c r="E2584" s="1" t="s">
        <v>248</v>
      </c>
      <c r="F2584" s="1" t="s">
        <v>10364</v>
      </c>
      <c r="G2584" s="1" t="s">
        <v>12499</v>
      </c>
      <c r="H2584" s="1" t="s">
        <v>10365</v>
      </c>
      <c r="I2584" s="2">
        <v>155.84</v>
      </c>
      <c r="J2584" s="2">
        <v>13.19</v>
      </c>
      <c r="K2584" s="2">
        <v>14.42</v>
      </c>
      <c r="L2584" s="2">
        <v>15.82</v>
      </c>
      <c r="M2584" s="4">
        <f t="shared" si="240"/>
        <v>10.807212205270458</v>
      </c>
      <c r="N2584" s="4">
        <f t="shared" si="241"/>
        <v>9.850821744627055</v>
      </c>
      <c r="O2584" s="5">
        <f t="shared" si="242"/>
        <v>9.3252463987869572E-2</v>
      </c>
      <c r="P2584" s="5">
        <f t="shared" si="243"/>
        <v>9.7087378640776656E-2</v>
      </c>
      <c r="Q2584" s="4">
        <f t="shared" si="244"/>
        <v>1.1589197478659949</v>
      </c>
      <c r="R2584" s="4">
        <f t="shared" si="245"/>
        <v>1.0146346396965871</v>
      </c>
      <c r="S2584" s="4">
        <v>6.94</v>
      </c>
      <c r="T2584" s="2">
        <v>1.37</v>
      </c>
      <c r="U2584" s="2">
        <v>172.2</v>
      </c>
      <c r="V2584" s="2">
        <v>95.81</v>
      </c>
      <c r="W2584" s="2">
        <v>-0.83</v>
      </c>
      <c r="X2584" s="2">
        <v>-9.49</v>
      </c>
      <c r="Y2584" s="2">
        <v>3.73</v>
      </c>
      <c r="Z2584" s="2">
        <v>3.73</v>
      </c>
    </row>
    <row r="2585" spans="1:26" x14ac:dyDescent="0.25">
      <c r="A2585" s="1" t="s">
        <v>10366</v>
      </c>
      <c r="B2585" s="1" t="s">
        <v>10367</v>
      </c>
      <c r="C2585" s="1" t="s">
        <v>45</v>
      </c>
      <c r="D2585" s="1" t="s">
        <v>18</v>
      </c>
      <c r="E2585" s="1" t="s">
        <v>113</v>
      </c>
      <c r="F2585" s="1" t="s">
        <v>10368</v>
      </c>
      <c r="G2585" s="1" t="s">
        <v>12480</v>
      </c>
      <c r="H2585" s="1" t="s">
        <v>12788</v>
      </c>
      <c r="I2585" s="2">
        <v>44.35</v>
      </c>
      <c r="J2585" s="2">
        <v>4.43</v>
      </c>
      <c r="K2585" s="2">
        <v>4.9800000000000004</v>
      </c>
      <c r="L2585" s="2">
        <v>5.18</v>
      </c>
      <c r="M2585" s="4">
        <f t="shared" si="240"/>
        <v>8.9056224899598391</v>
      </c>
      <c r="N2585" s="4">
        <f t="shared" si="241"/>
        <v>8.5617760617760617</v>
      </c>
      <c r="O2585" s="5">
        <f t="shared" si="242"/>
        <v>0.12415349887133198</v>
      </c>
      <c r="P2585" s="5">
        <f t="shared" si="243"/>
        <v>4.0160642570280958E-2</v>
      </c>
      <c r="Q2585" s="4">
        <f t="shared" si="244"/>
        <v>0.71730741146403709</v>
      </c>
      <c r="R2585" s="4">
        <f t="shared" si="245"/>
        <v>2.1318822393822483</v>
      </c>
      <c r="S2585" s="4" t="s">
        <v>12499</v>
      </c>
      <c r="T2585" s="2">
        <v>0.45</v>
      </c>
      <c r="U2585" s="2">
        <v>59.42</v>
      </c>
      <c r="V2585" s="2">
        <v>44.35</v>
      </c>
      <c r="W2585" s="2">
        <v>-6.95</v>
      </c>
      <c r="X2585" s="2">
        <v>-8.1199999999999992</v>
      </c>
      <c r="Y2585" s="2">
        <v>-7.26</v>
      </c>
      <c r="Z2585" s="2">
        <v>-8.48</v>
      </c>
    </row>
    <row r="2586" spans="1:26" x14ac:dyDescent="0.25">
      <c r="A2586" s="1" t="s">
        <v>10369</v>
      </c>
      <c r="B2586" s="1" t="s">
        <v>10370</v>
      </c>
      <c r="C2586" s="1" t="s">
        <v>16</v>
      </c>
      <c r="D2586" s="1" t="s">
        <v>354</v>
      </c>
      <c r="E2586" s="1" t="s">
        <v>355</v>
      </c>
      <c r="F2586" s="1" t="s">
        <v>10371</v>
      </c>
      <c r="G2586" s="1" t="s">
        <v>12480</v>
      </c>
      <c r="H2586" s="1" t="s">
        <v>10372</v>
      </c>
      <c r="I2586" s="2">
        <v>97.25</v>
      </c>
      <c r="J2586" s="2">
        <v>4.3</v>
      </c>
      <c r="K2586" s="2">
        <v>4.58</v>
      </c>
      <c r="L2586" s="2">
        <v>4.92</v>
      </c>
      <c r="M2586" s="4">
        <f t="shared" si="240"/>
        <v>21.233624454148472</v>
      </c>
      <c r="N2586" s="4">
        <f t="shared" si="241"/>
        <v>19.766260162601625</v>
      </c>
      <c r="O2586" s="5">
        <f t="shared" si="242"/>
        <v>6.5116279069767469E-2</v>
      </c>
      <c r="P2586" s="5">
        <f t="shared" si="243"/>
        <v>7.4235807860262071E-2</v>
      </c>
      <c r="Q2586" s="4">
        <f t="shared" si="244"/>
        <v>3.2608780411727998</v>
      </c>
      <c r="R2586" s="4">
        <f t="shared" si="245"/>
        <v>2.6626315160210403</v>
      </c>
      <c r="S2586" s="4">
        <v>10.59</v>
      </c>
      <c r="T2586" s="2">
        <v>0.44</v>
      </c>
      <c r="U2586" s="2">
        <v>99.72</v>
      </c>
      <c r="V2586" s="2">
        <v>84.08</v>
      </c>
      <c r="W2586" s="2">
        <v>0.02</v>
      </c>
      <c r="X2586" s="2">
        <v>8.81</v>
      </c>
      <c r="Y2586" s="2">
        <v>13.08</v>
      </c>
      <c r="Z2586" s="2">
        <v>11.52</v>
      </c>
    </row>
    <row r="2587" spans="1:26" x14ac:dyDescent="0.25">
      <c r="A2587" s="1" t="s">
        <v>10373</v>
      </c>
      <c r="B2587" s="1" t="s">
        <v>10374</v>
      </c>
      <c r="C2587" s="1" t="s">
        <v>16</v>
      </c>
      <c r="D2587" s="1" t="s">
        <v>94</v>
      </c>
      <c r="E2587" s="1" t="s">
        <v>4079</v>
      </c>
      <c r="F2587" s="1" t="s">
        <v>10375</v>
      </c>
      <c r="G2587" s="1" t="s">
        <v>12480</v>
      </c>
      <c r="H2587" s="1" t="s">
        <v>10376</v>
      </c>
      <c r="I2587" s="2">
        <v>33.380000000000003</v>
      </c>
      <c r="J2587" s="2">
        <v>1.97</v>
      </c>
      <c r="K2587" s="2">
        <v>1.85</v>
      </c>
      <c r="L2587" s="2">
        <v>2.08</v>
      </c>
      <c r="M2587" s="4">
        <f t="shared" si="240"/>
        <v>18.043243243243243</v>
      </c>
      <c r="N2587" s="4">
        <f t="shared" si="241"/>
        <v>16.048076923076923</v>
      </c>
      <c r="O2587" s="5">
        <f t="shared" si="242"/>
        <v>-6.0913705583756306E-2</v>
      </c>
      <c r="P2587" s="5">
        <f t="shared" si="243"/>
        <v>0.12432432432432439</v>
      </c>
      <c r="Q2587" s="4">
        <f t="shared" si="244"/>
        <v>-2.9620990990991007</v>
      </c>
      <c r="R2587" s="4">
        <f t="shared" si="245"/>
        <v>1.290823578595317</v>
      </c>
      <c r="S2587" s="4">
        <v>-6.32</v>
      </c>
      <c r="T2587" s="2">
        <v>0.28999999999999998</v>
      </c>
      <c r="U2587" s="2">
        <v>33.450000000000003</v>
      </c>
      <c r="V2587" s="2">
        <v>21.83</v>
      </c>
      <c r="W2587" s="2">
        <v>1.61</v>
      </c>
      <c r="X2587" s="2">
        <v>14.47</v>
      </c>
      <c r="Y2587" s="2" t="s">
        <v>12517</v>
      </c>
      <c r="Z2587" s="2">
        <v>21.51</v>
      </c>
    </row>
    <row r="2588" spans="1:26" x14ac:dyDescent="0.25">
      <c r="A2588" s="1" t="s">
        <v>10377</v>
      </c>
      <c r="B2588" s="1" t="s">
        <v>10378</v>
      </c>
      <c r="C2588" s="1" t="s">
        <v>16</v>
      </c>
      <c r="D2588" s="1" t="s">
        <v>94</v>
      </c>
      <c r="E2588" s="1" t="s">
        <v>403</v>
      </c>
      <c r="F2588" s="1" t="s">
        <v>10379</v>
      </c>
      <c r="G2588" s="1" t="s">
        <v>12480</v>
      </c>
      <c r="H2588" s="1" t="s">
        <v>10380</v>
      </c>
      <c r="I2588" s="2">
        <v>14.17</v>
      </c>
      <c r="J2588" s="2">
        <v>-3.63</v>
      </c>
      <c r="K2588" s="2">
        <v>-0.57999999999999996</v>
      </c>
      <c r="L2588" s="2">
        <v>2.77</v>
      </c>
      <c r="M2588" s="4">
        <f t="shared" si="240"/>
        <v>-24.431034482758623</v>
      </c>
      <c r="N2588" s="4">
        <f t="shared" si="241"/>
        <v>5.115523465703971</v>
      </c>
      <c r="O2588" s="5">
        <f t="shared" si="242"/>
        <v>-0.84022038567493107</v>
      </c>
      <c r="P2588" s="5">
        <f t="shared" si="243"/>
        <v>-5.7758620689655178</v>
      </c>
      <c r="Q2588" s="4">
        <f t="shared" si="244"/>
        <v>0.29076936122102887</v>
      </c>
      <c r="R2588" s="4">
        <f t="shared" si="245"/>
        <v>-8.856727194353143E-3</v>
      </c>
      <c r="S2588" s="4"/>
      <c r="T2588" s="2">
        <v>0.43</v>
      </c>
      <c r="U2588" s="2">
        <v>33.020000000000003</v>
      </c>
      <c r="V2588" s="2">
        <v>4.12</v>
      </c>
      <c r="W2588" s="2">
        <v>64.77</v>
      </c>
      <c r="X2588" s="2">
        <v>66.319999999999993</v>
      </c>
      <c r="Y2588" s="2">
        <v>153.04</v>
      </c>
      <c r="Z2588" s="2">
        <v>57.1</v>
      </c>
    </row>
    <row r="2589" spans="1:26" x14ac:dyDescent="0.25">
      <c r="A2589" s="1" t="s">
        <v>10381</v>
      </c>
      <c r="B2589" s="1" t="s">
        <v>10382</v>
      </c>
      <c r="C2589" s="1" t="s">
        <v>45</v>
      </c>
      <c r="D2589" s="1" t="s">
        <v>38</v>
      </c>
      <c r="E2589" s="1" t="s">
        <v>52</v>
      </c>
      <c r="F2589" s="1" t="s">
        <v>10383</v>
      </c>
      <c r="G2589" s="1" t="s">
        <v>12480</v>
      </c>
      <c r="H2589" s="1" t="s">
        <v>10384</v>
      </c>
      <c r="I2589" s="2">
        <v>18.79</v>
      </c>
      <c r="J2589" s="2">
        <v>0.39</v>
      </c>
      <c r="K2589" s="2">
        <v>0.6</v>
      </c>
      <c r="L2589" s="2">
        <v>0.8</v>
      </c>
      <c r="M2589" s="4">
        <f t="shared" si="240"/>
        <v>31.316666666666666</v>
      </c>
      <c r="N2589" s="4">
        <f t="shared" si="241"/>
        <v>23.487499999999997</v>
      </c>
      <c r="O2589" s="5">
        <f t="shared" si="242"/>
        <v>0.53846153846153832</v>
      </c>
      <c r="P2589" s="5">
        <f t="shared" si="243"/>
        <v>0.33333333333333348</v>
      </c>
      <c r="Q2589" s="4">
        <f t="shared" si="244"/>
        <v>0.58159523809523828</v>
      </c>
      <c r="R2589" s="4">
        <f t="shared" si="245"/>
        <v>0.70462499999999961</v>
      </c>
      <c r="S2589" s="4">
        <v>35.090000000000003</v>
      </c>
      <c r="T2589" s="2">
        <v>2.2000000000000002</v>
      </c>
      <c r="U2589" s="2">
        <v>32.21</v>
      </c>
      <c r="V2589" s="2">
        <v>9.5</v>
      </c>
      <c r="W2589" s="2">
        <v>2.1800000000000002</v>
      </c>
      <c r="X2589" s="2">
        <v>-11.99</v>
      </c>
      <c r="Y2589" s="2">
        <v>-27.23</v>
      </c>
      <c r="Z2589" s="2">
        <v>-28.23</v>
      </c>
    </row>
    <row r="2590" spans="1:26" x14ac:dyDescent="0.25">
      <c r="A2590" s="1" t="s">
        <v>10385</v>
      </c>
      <c r="B2590" s="1" t="s">
        <v>10386</v>
      </c>
      <c r="C2590" s="1" t="s">
        <v>31</v>
      </c>
      <c r="D2590" s="1" t="s">
        <v>25</v>
      </c>
      <c r="E2590" s="1" t="s">
        <v>220</v>
      </c>
      <c r="F2590" s="1" t="s">
        <v>10387</v>
      </c>
      <c r="G2590" s="1" t="s">
        <v>12480</v>
      </c>
      <c r="H2590" s="1" t="s">
        <v>10388</v>
      </c>
      <c r="I2590" s="2">
        <v>8.9049999999999994</v>
      </c>
      <c r="J2590" s="2">
        <v>0.46</v>
      </c>
      <c r="K2590" s="2"/>
      <c r="L2590" s="2"/>
      <c r="M2590" s="4" t="e">
        <f t="shared" si="240"/>
        <v>#DIV/0!</v>
      </c>
      <c r="N2590" s="4" t="e">
        <f t="shared" si="241"/>
        <v>#DIV/0!</v>
      </c>
      <c r="O2590" s="5">
        <f t="shared" si="242"/>
        <v>-1</v>
      </c>
      <c r="P2590" s="5" t="e">
        <f t="shared" si="243"/>
        <v>#DIV/0!</v>
      </c>
      <c r="Q2590" s="4" t="e">
        <f t="shared" si="244"/>
        <v>#DIV/0!</v>
      </c>
      <c r="R2590" s="4" t="e">
        <f t="shared" si="245"/>
        <v>#DIV/0!</v>
      </c>
      <c r="S2590" s="4">
        <v>0.73</v>
      </c>
      <c r="T2590" s="2">
        <v>0.23</v>
      </c>
      <c r="U2590" s="2">
        <v>10.08</v>
      </c>
      <c r="V2590" s="2">
        <v>4.66</v>
      </c>
      <c r="W2590" s="2">
        <v>-4.25</v>
      </c>
      <c r="X2590" s="2">
        <v>1.54</v>
      </c>
      <c r="Y2590" s="2">
        <v>33.11</v>
      </c>
      <c r="Z2590" s="2">
        <v>31.83</v>
      </c>
    </row>
    <row r="2591" spans="1:26" x14ac:dyDescent="0.25">
      <c r="A2591" s="1" t="s">
        <v>10389</v>
      </c>
      <c r="B2591" s="1" t="s">
        <v>10390</v>
      </c>
      <c r="C2591" s="1" t="s">
        <v>45</v>
      </c>
      <c r="D2591" s="1" t="s">
        <v>88</v>
      </c>
      <c r="E2591" s="1" t="s">
        <v>1113</v>
      </c>
      <c r="F2591" s="1" t="s">
        <v>10391</v>
      </c>
      <c r="G2591" s="1" t="s">
        <v>12480</v>
      </c>
      <c r="H2591" s="1" t="s">
        <v>10392</v>
      </c>
      <c r="I2591" s="2">
        <v>73.87</v>
      </c>
      <c r="J2591" s="2">
        <v>1.49</v>
      </c>
      <c r="K2591" s="2">
        <v>2.66</v>
      </c>
      <c r="L2591" s="2">
        <v>3.12</v>
      </c>
      <c r="M2591" s="4">
        <f t="shared" si="240"/>
        <v>27.770676691729324</v>
      </c>
      <c r="N2591" s="4">
        <f t="shared" si="241"/>
        <v>23.676282051282051</v>
      </c>
      <c r="O2591" s="5">
        <f t="shared" si="242"/>
        <v>0.78523489932885915</v>
      </c>
      <c r="P2591" s="5">
        <f t="shared" si="243"/>
        <v>0.1729323308270676</v>
      </c>
      <c r="Q2591" s="4">
        <f t="shared" si="244"/>
        <v>0.35366075445022815</v>
      </c>
      <c r="R2591" s="4">
        <f t="shared" si="245"/>
        <v>1.3691067447045713</v>
      </c>
      <c r="S2591" s="4">
        <v>3.08</v>
      </c>
      <c r="T2591" s="2"/>
      <c r="U2591" s="2">
        <v>80.92</v>
      </c>
      <c r="V2591" s="2">
        <v>41.43</v>
      </c>
      <c r="W2591" s="2">
        <v>-6.35</v>
      </c>
      <c r="X2591" s="2">
        <v>14.24</v>
      </c>
      <c r="Y2591" s="2">
        <v>51.47</v>
      </c>
      <c r="Z2591" s="2">
        <v>52.06</v>
      </c>
    </row>
    <row r="2592" spans="1:26" x14ac:dyDescent="0.25">
      <c r="A2592" s="1" t="s">
        <v>10393</v>
      </c>
      <c r="B2592" s="1" t="s">
        <v>10394</v>
      </c>
      <c r="C2592" s="1" t="s">
        <v>16</v>
      </c>
      <c r="D2592" s="1" t="s">
        <v>18</v>
      </c>
      <c r="E2592" s="1" t="s">
        <v>624</v>
      </c>
      <c r="F2592" s="1" t="s">
        <v>10395</v>
      </c>
      <c r="G2592" s="1" t="s">
        <v>12480</v>
      </c>
      <c r="H2592" s="1" t="s">
        <v>10396</v>
      </c>
      <c r="I2592" s="2">
        <v>68.599999999999994</v>
      </c>
      <c r="J2592" s="2">
        <v>6.11</v>
      </c>
      <c r="K2592" s="2">
        <v>6.43</v>
      </c>
      <c r="L2592" s="2">
        <v>7.05</v>
      </c>
      <c r="M2592" s="4">
        <f t="shared" si="240"/>
        <v>10.668740279937792</v>
      </c>
      <c r="N2592" s="4">
        <f t="shared" si="241"/>
        <v>9.7304964539007095</v>
      </c>
      <c r="O2592" s="5">
        <f t="shared" si="242"/>
        <v>5.237315875613735E-2</v>
      </c>
      <c r="P2592" s="5">
        <f t="shared" si="243"/>
        <v>9.6423017107309494E-2</v>
      </c>
      <c r="Q2592" s="4">
        <f t="shared" si="244"/>
        <v>2.0370625972006273</v>
      </c>
      <c r="R2592" s="4">
        <f t="shared" si="245"/>
        <v>1.0091466483642186</v>
      </c>
      <c r="S2592" s="4">
        <v>0.86</v>
      </c>
      <c r="T2592" s="2">
        <v>0.4</v>
      </c>
      <c r="U2592" s="2">
        <v>86.14</v>
      </c>
      <c r="V2592" s="2">
        <v>63.01</v>
      </c>
      <c r="W2592" s="2">
        <v>-6.03</v>
      </c>
      <c r="X2592" s="2">
        <v>-12.13</v>
      </c>
      <c r="Y2592" s="2">
        <v>-16.23</v>
      </c>
      <c r="Z2592" s="2">
        <v>-13.43</v>
      </c>
    </row>
    <row r="2593" spans="1:26" x14ac:dyDescent="0.25">
      <c r="A2593" s="1" t="s">
        <v>10397</v>
      </c>
      <c r="B2593" s="1" t="s">
        <v>10398</v>
      </c>
      <c r="C2593" s="1" t="s">
        <v>31</v>
      </c>
      <c r="D2593" s="1" t="s">
        <v>140</v>
      </c>
      <c r="E2593" s="1" t="s">
        <v>141</v>
      </c>
      <c r="F2593" s="1" t="s">
        <v>10399</v>
      </c>
      <c r="G2593" s="1" t="s">
        <v>12490</v>
      </c>
      <c r="H2593" s="1" t="s">
        <v>10400</v>
      </c>
      <c r="I2593" s="2">
        <v>9.49</v>
      </c>
      <c r="J2593" s="2">
        <v>0.43</v>
      </c>
      <c r="K2593" s="2"/>
      <c r="L2593" s="2"/>
      <c r="M2593" s="4" t="e">
        <f t="shared" si="240"/>
        <v>#DIV/0!</v>
      </c>
      <c r="N2593" s="4" t="e">
        <f t="shared" si="241"/>
        <v>#DIV/0!</v>
      </c>
      <c r="O2593" s="5">
        <f t="shared" si="242"/>
        <v>-1</v>
      </c>
      <c r="P2593" s="5" t="e">
        <f t="shared" si="243"/>
        <v>#DIV/0!</v>
      </c>
      <c r="Q2593" s="4" t="e">
        <f t="shared" si="244"/>
        <v>#DIV/0!</v>
      </c>
      <c r="R2593" s="4" t="e">
        <f t="shared" si="245"/>
        <v>#DIV/0!</v>
      </c>
      <c r="S2593" s="4">
        <v>-1.49</v>
      </c>
      <c r="T2593" s="2">
        <v>0.28999999999999998</v>
      </c>
      <c r="U2593" s="2">
        <v>10.07</v>
      </c>
      <c r="V2593" s="2">
        <v>8.3000000000000007</v>
      </c>
      <c r="W2593" s="2">
        <v>0.49</v>
      </c>
      <c r="X2593" s="2">
        <v>-3.06</v>
      </c>
      <c r="Y2593" s="2">
        <v>5.92</v>
      </c>
      <c r="Z2593" s="2">
        <v>7.23</v>
      </c>
    </row>
    <row r="2594" spans="1:26" x14ac:dyDescent="0.25">
      <c r="A2594" s="1" t="s">
        <v>10401</v>
      </c>
      <c r="B2594" s="1" t="s">
        <v>10402</v>
      </c>
      <c r="C2594" s="1" t="s">
        <v>31</v>
      </c>
      <c r="D2594" s="1" t="s">
        <v>88</v>
      </c>
      <c r="E2594" s="1" t="s">
        <v>504</v>
      </c>
      <c r="F2594" s="1" t="s">
        <v>10403</v>
      </c>
      <c r="G2594" s="1" t="s">
        <v>12490</v>
      </c>
      <c r="H2594" s="1" t="s">
        <v>10404</v>
      </c>
      <c r="I2594" s="2">
        <v>15.57</v>
      </c>
      <c r="J2594" s="2">
        <v>0.77</v>
      </c>
      <c r="K2594" s="2"/>
      <c r="L2594" s="2"/>
      <c r="M2594" s="4" t="e">
        <f t="shared" si="240"/>
        <v>#DIV/0!</v>
      </c>
      <c r="N2594" s="4" t="e">
        <f t="shared" si="241"/>
        <v>#DIV/0!</v>
      </c>
      <c r="O2594" s="5">
        <f t="shared" si="242"/>
        <v>-1</v>
      </c>
      <c r="P2594" s="5" t="e">
        <f t="shared" si="243"/>
        <v>#DIV/0!</v>
      </c>
      <c r="Q2594" s="4" t="e">
        <f t="shared" si="244"/>
        <v>#DIV/0!</v>
      </c>
      <c r="R2594" s="4" t="e">
        <f t="shared" si="245"/>
        <v>#DIV/0!</v>
      </c>
      <c r="S2594" s="4">
        <v>0.98</v>
      </c>
      <c r="T2594" s="2">
        <v>0.24</v>
      </c>
      <c r="U2594" s="2">
        <v>20.5</v>
      </c>
      <c r="V2594" s="2">
        <v>10.15</v>
      </c>
      <c r="W2594" s="2">
        <v>-9.2100000000000009</v>
      </c>
      <c r="X2594" s="2">
        <v>-11.51</v>
      </c>
      <c r="Y2594" s="2">
        <v>4.84</v>
      </c>
      <c r="Z2594" s="2">
        <v>7.83</v>
      </c>
    </row>
    <row r="2595" spans="1:26" x14ac:dyDescent="0.25">
      <c r="A2595" s="1" t="s">
        <v>10405</v>
      </c>
      <c r="B2595" s="1" t="s">
        <v>10406</v>
      </c>
      <c r="C2595" s="1" t="s">
        <v>16</v>
      </c>
      <c r="D2595" s="1" t="s">
        <v>25</v>
      </c>
      <c r="E2595" s="1" t="s">
        <v>734</v>
      </c>
      <c r="F2595" s="1" t="s">
        <v>10407</v>
      </c>
      <c r="G2595" s="1" t="s">
        <v>12480</v>
      </c>
      <c r="H2595" s="1" t="s">
        <v>10408</v>
      </c>
      <c r="I2595" s="2">
        <v>53.4</v>
      </c>
      <c r="J2595" s="2">
        <v>5.71</v>
      </c>
      <c r="K2595" s="2">
        <v>5.99</v>
      </c>
      <c r="L2595" s="2">
        <v>6.69</v>
      </c>
      <c r="M2595" s="4">
        <f t="shared" si="240"/>
        <v>8.9148580968280466</v>
      </c>
      <c r="N2595" s="4">
        <f t="shared" si="241"/>
        <v>7.9820627802690574</v>
      </c>
      <c r="O2595" s="5">
        <f t="shared" si="242"/>
        <v>4.9036777583187474E-2</v>
      </c>
      <c r="P2595" s="5">
        <f t="shared" si="243"/>
        <v>0.11686143572621033</v>
      </c>
      <c r="Q2595" s="4">
        <f t="shared" si="244"/>
        <v>1.8179942761745735</v>
      </c>
      <c r="R2595" s="4">
        <f t="shared" si="245"/>
        <v>0.68303651505445229</v>
      </c>
      <c r="S2595" s="4">
        <v>41.72</v>
      </c>
      <c r="T2595" s="2">
        <v>0.51</v>
      </c>
      <c r="U2595" s="2">
        <v>57.63</v>
      </c>
      <c r="V2595" s="2">
        <v>39.270000000000003</v>
      </c>
      <c r="W2595" s="2">
        <v>-5.29</v>
      </c>
      <c r="X2595" s="2">
        <v>5.18</v>
      </c>
      <c r="Y2595" s="2">
        <v>24.36</v>
      </c>
      <c r="Z2595" s="2">
        <v>22.36</v>
      </c>
    </row>
    <row r="2596" spans="1:26" x14ac:dyDescent="0.25">
      <c r="A2596" s="1" t="s">
        <v>10409</v>
      </c>
      <c r="B2596" s="1" t="s">
        <v>10410</v>
      </c>
      <c r="C2596" s="1" t="s">
        <v>45</v>
      </c>
      <c r="D2596" s="1" t="s">
        <v>147</v>
      </c>
      <c r="E2596" s="1" t="s">
        <v>3624</v>
      </c>
      <c r="F2596" s="1" t="s">
        <v>10411</v>
      </c>
      <c r="G2596" s="1" t="s">
        <v>12485</v>
      </c>
      <c r="H2596" s="1" t="s">
        <v>1418</v>
      </c>
      <c r="I2596" s="2">
        <v>14.2</v>
      </c>
      <c r="J2596" s="2">
        <v>0.64</v>
      </c>
      <c r="K2596" s="2">
        <v>1.2</v>
      </c>
      <c r="L2596" s="2">
        <v>1.26</v>
      </c>
      <c r="M2596" s="4">
        <f t="shared" si="240"/>
        <v>11.833333333333334</v>
      </c>
      <c r="N2596" s="4">
        <f t="shared" si="241"/>
        <v>11.269841269841269</v>
      </c>
      <c r="O2596" s="5">
        <f t="shared" si="242"/>
        <v>0.875</v>
      </c>
      <c r="P2596" s="5">
        <f t="shared" si="243"/>
        <v>5.0000000000000044E-2</v>
      </c>
      <c r="Q2596" s="4">
        <f t="shared" si="244"/>
        <v>0.13523809523809524</v>
      </c>
      <c r="R2596" s="4">
        <f t="shared" si="245"/>
        <v>2.2539682539682517</v>
      </c>
      <c r="S2596" s="4">
        <v>-4.93</v>
      </c>
      <c r="T2596" s="2">
        <v>1.97</v>
      </c>
      <c r="U2596" s="2">
        <v>19.16</v>
      </c>
      <c r="V2596" s="2">
        <v>7.7</v>
      </c>
      <c r="W2596" s="2">
        <v>-3.4</v>
      </c>
      <c r="X2596" s="2">
        <v>-16.809999999999999</v>
      </c>
      <c r="Y2596" s="2">
        <v>-22.53</v>
      </c>
      <c r="Z2596" s="2">
        <v>-19.13</v>
      </c>
    </row>
    <row r="2597" spans="1:26" x14ac:dyDescent="0.25">
      <c r="A2597" s="1" t="s">
        <v>10412</v>
      </c>
      <c r="B2597" s="1" t="s">
        <v>10413</v>
      </c>
      <c r="C2597" s="1" t="s">
        <v>31</v>
      </c>
      <c r="D2597" s="1" t="s">
        <v>18</v>
      </c>
      <c r="E2597" s="1" t="s">
        <v>594</v>
      </c>
      <c r="F2597" s="1" t="s">
        <v>10414</v>
      </c>
      <c r="G2597" s="1" t="s">
        <v>12490</v>
      </c>
      <c r="H2597" s="1" t="s">
        <v>10415</v>
      </c>
      <c r="I2597" s="2">
        <v>49.54</v>
      </c>
      <c r="J2597" s="2">
        <v>2.44</v>
      </c>
      <c r="K2597" s="2">
        <v>2.44</v>
      </c>
      <c r="L2597" s="2">
        <v>2.83</v>
      </c>
      <c r="M2597" s="4">
        <f t="shared" si="240"/>
        <v>20.303278688524589</v>
      </c>
      <c r="N2597" s="4">
        <f t="shared" si="241"/>
        <v>17.50530035335689</v>
      </c>
      <c r="O2597" s="5">
        <f t="shared" si="242"/>
        <v>0</v>
      </c>
      <c r="P2597" s="5">
        <f t="shared" si="243"/>
        <v>0.1598360655737705</v>
      </c>
      <c r="Q2597" s="4" t="e">
        <f t="shared" si="244"/>
        <v>#DIV/0!</v>
      </c>
      <c r="R2597" s="4">
        <f t="shared" si="245"/>
        <v>1.0952034067228411</v>
      </c>
      <c r="S2597" s="4">
        <v>14.76</v>
      </c>
      <c r="T2597" s="2">
        <v>1.37</v>
      </c>
      <c r="U2597" s="2">
        <v>68.08</v>
      </c>
      <c r="V2597" s="2">
        <v>47.75</v>
      </c>
      <c r="W2597" s="2">
        <v>-4.07</v>
      </c>
      <c r="X2597" s="2">
        <v>-7.38</v>
      </c>
      <c r="Y2597" s="2">
        <v>-4.03</v>
      </c>
      <c r="Z2597" s="2">
        <v>-4.16</v>
      </c>
    </row>
    <row r="2598" spans="1:26" x14ac:dyDescent="0.25">
      <c r="A2598" s="1" t="s">
        <v>10416</v>
      </c>
      <c r="B2598" s="1" t="s">
        <v>10417</v>
      </c>
      <c r="C2598" s="1" t="s">
        <v>16</v>
      </c>
      <c r="D2598" s="1" t="s">
        <v>147</v>
      </c>
      <c r="E2598" s="1" t="s">
        <v>3624</v>
      </c>
      <c r="F2598" s="1" t="s">
        <v>10418</v>
      </c>
      <c r="G2598" s="1" t="s">
        <v>12490</v>
      </c>
      <c r="H2598" s="1" t="s">
        <v>10419</v>
      </c>
      <c r="I2598" s="2">
        <v>21.62</v>
      </c>
      <c r="J2598" s="2">
        <v>1.23</v>
      </c>
      <c r="K2598" s="2">
        <v>1.24</v>
      </c>
      <c r="L2598" s="2">
        <v>1.29</v>
      </c>
      <c r="M2598" s="4">
        <f t="shared" si="240"/>
        <v>17.435483870967744</v>
      </c>
      <c r="N2598" s="4">
        <f t="shared" si="241"/>
        <v>16.759689922480622</v>
      </c>
      <c r="O2598" s="5">
        <f t="shared" si="242"/>
        <v>8.1300813008129413E-3</v>
      </c>
      <c r="P2598" s="5">
        <f t="shared" si="243"/>
        <v>4.0322580645161255E-2</v>
      </c>
      <c r="Q2598" s="4">
        <f t="shared" si="244"/>
        <v>21.4456451612905</v>
      </c>
      <c r="R2598" s="4">
        <f t="shared" si="245"/>
        <v>4.156403100775198</v>
      </c>
      <c r="S2598" s="4">
        <v>-5.66</v>
      </c>
      <c r="T2598" s="2">
        <v>0.94</v>
      </c>
      <c r="U2598" s="2">
        <v>30.26</v>
      </c>
      <c r="V2598" s="2">
        <v>21.24</v>
      </c>
      <c r="W2598" s="2">
        <v>-4.72</v>
      </c>
      <c r="X2598" s="2">
        <v>-3.18</v>
      </c>
      <c r="Y2598" s="2">
        <v>-18.84</v>
      </c>
      <c r="Z2598" s="2">
        <v>-15.55</v>
      </c>
    </row>
    <row r="2599" spans="1:26" x14ac:dyDescent="0.25">
      <c r="A2599" s="1" t="s">
        <v>10420</v>
      </c>
      <c r="B2599" s="1" t="s">
        <v>10421</v>
      </c>
      <c r="C2599" s="1" t="s">
        <v>31</v>
      </c>
      <c r="D2599" s="1" t="s">
        <v>88</v>
      </c>
      <c r="E2599" s="1" t="s">
        <v>658</v>
      </c>
      <c r="F2599" s="1" t="s">
        <v>10422</v>
      </c>
      <c r="G2599" s="1" t="s">
        <v>12502</v>
      </c>
      <c r="H2599" s="1" t="s">
        <v>10423</v>
      </c>
      <c r="I2599" s="2">
        <v>15.61</v>
      </c>
      <c r="J2599" s="2">
        <v>0.73</v>
      </c>
      <c r="K2599" s="2">
        <v>1.0900000000000001</v>
      </c>
      <c r="L2599" s="2">
        <v>1.4</v>
      </c>
      <c r="M2599" s="4">
        <f t="shared" si="240"/>
        <v>14.321100917431192</v>
      </c>
      <c r="N2599" s="4">
        <f t="shared" si="241"/>
        <v>11.15</v>
      </c>
      <c r="O2599" s="5">
        <f t="shared" si="242"/>
        <v>0.49315068493150704</v>
      </c>
      <c r="P2599" s="5">
        <f t="shared" si="243"/>
        <v>0.28440366972477049</v>
      </c>
      <c r="Q2599" s="4">
        <f t="shared" si="244"/>
        <v>0.29040010193679905</v>
      </c>
      <c r="R2599" s="4">
        <f t="shared" si="245"/>
        <v>0.39204838709677436</v>
      </c>
      <c r="S2599" s="4">
        <v>5.49</v>
      </c>
      <c r="T2599" s="2">
        <v>0.74</v>
      </c>
      <c r="U2599" s="2">
        <v>16.809999999999999</v>
      </c>
      <c r="V2599" s="2">
        <v>7.57</v>
      </c>
      <c r="W2599" s="2">
        <v>-7.14</v>
      </c>
      <c r="X2599" s="2">
        <v>-3.46</v>
      </c>
      <c r="Y2599" s="2">
        <v>33.99</v>
      </c>
      <c r="Z2599" s="2">
        <v>32.06</v>
      </c>
    </row>
    <row r="2600" spans="1:26" x14ac:dyDescent="0.25">
      <c r="A2600" s="1" t="s">
        <v>10424</v>
      </c>
      <c r="B2600" s="1" t="s">
        <v>10425</v>
      </c>
      <c r="C2600" s="1" t="s">
        <v>45</v>
      </c>
      <c r="D2600" s="1" t="s">
        <v>32</v>
      </c>
      <c r="E2600" s="1" t="s">
        <v>248</v>
      </c>
      <c r="F2600" s="1" t="s">
        <v>10426</v>
      </c>
      <c r="G2600" s="1" t="s">
        <v>12480</v>
      </c>
      <c r="H2600" s="1" t="s">
        <v>10427</v>
      </c>
      <c r="I2600" s="2">
        <v>8.2200000000000006</v>
      </c>
      <c r="J2600" s="2">
        <v>-0.13</v>
      </c>
      <c r="K2600" s="2">
        <v>-0.09</v>
      </c>
      <c r="L2600" s="2">
        <v>-0.03</v>
      </c>
      <c r="M2600" s="4">
        <f t="shared" si="240"/>
        <v>-91.333333333333343</v>
      </c>
      <c r="N2600" s="4">
        <f t="shared" si="241"/>
        <v>-274.00000000000006</v>
      </c>
      <c r="O2600" s="5">
        <f t="shared" si="242"/>
        <v>-0.30769230769230771</v>
      </c>
      <c r="P2600" s="5">
        <f t="shared" si="243"/>
        <v>-0.66666666666666674</v>
      </c>
      <c r="Q2600" s="4">
        <f t="shared" si="244"/>
        <v>2.9683333333333337</v>
      </c>
      <c r="R2600" s="4">
        <f t="shared" si="245"/>
        <v>4.1100000000000003</v>
      </c>
      <c r="S2600" s="4">
        <v>99.45</v>
      </c>
      <c r="T2600" s="2">
        <v>2.65</v>
      </c>
      <c r="U2600" s="2">
        <v>21.4</v>
      </c>
      <c r="V2600" s="2">
        <v>7.18</v>
      </c>
      <c r="W2600" s="2">
        <v>-4.6399999999999997</v>
      </c>
      <c r="X2600" s="2">
        <v>-6.7</v>
      </c>
      <c r="Y2600" s="2">
        <v>-23.82</v>
      </c>
      <c r="Z2600" s="2">
        <v>-17.55</v>
      </c>
    </row>
    <row r="2601" spans="1:26" x14ac:dyDescent="0.25">
      <c r="A2601" s="1" t="s">
        <v>10428</v>
      </c>
      <c r="B2601" s="1" t="s">
        <v>10429</v>
      </c>
      <c r="C2601" s="1" t="s">
        <v>16</v>
      </c>
      <c r="D2601" s="1" t="s">
        <v>147</v>
      </c>
      <c r="E2601" s="1" t="s">
        <v>1084</v>
      </c>
      <c r="F2601" s="1" t="s">
        <v>10430</v>
      </c>
      <c r="G2601" s="1" t="s">
        <v>12485</v>
      </c>
      <c r="H2601" s="1" t="s">
        <v>12596</v>
      </c>
      <c r="I2601" s="2">
        <v>76.23</v>
      </c>
      <c r="J2601" s="2">
        <v>5.43</v>
      </c>
      <c r="K2601" s="2">
        <v>4.9000000000000004</v>
      </c>
      <c r="L2601" s="2">
        <v>5.32</v>
      </c>
      <c r="M2601" s="4">
        <f t="shared" si="240"/>
        <v>15.557142857142857</v>
      </c>
      <c r="N2601" s="4">
        <f t="shared" si="241"/>
        <v>14.328947368421053</v>
      </c>
      <c r="O2601" s="5">
        <f t="shared" si="242"/>
        <v>-9.7605893186003545E-2</v>
      </c>
      <c r="P2601" s="5">
        <f t="shared" si="243"/>
        <v>8.5714285714285632E-2</v>
      </c>
      <c r="Q2601" s="4">
        <f t="shared" si="244"/>
        <v>-1.5938733153638835</v>
      </c>
      <c r="R2601" s="4">
        <f t="shared" si="245"/>
        <v>1.6717105263157912</v>
      </c>
      <c r="S2601" s="4">
        <v>-5.23</v>
      </c>
      <c r="T2601" s="2">
        <v>0.64</v>
      </c>
      <c r="U2601" s="2">
        <v>80.12</v>
      </c>
      <c r="V2601" s="2">
        <v>50.35</v>
      </c>
      <c r="W2601" s="2">
        <v>-3.14</v>
      </c>
      <c r="X2601" s="2">
        <v>2.76</v>
      </c>
      <c r="Y2601" s="2">
        <v>23.79</v>
      </c>
      <c r="Z2601" s="2">
        <v>29.03</v>
      </c>
    </row>
    <row r="2602" spans="1:26" x14ac:dyDescent="0.25">
      <c r="A2602" s="1" t="s">
        <v>10431</v>
      </c>
      <c r="B2602" s="1" t="s">
        <v>10432</v>
      </c>
      <c r="C2602" s="1" t="s">
        <v>16</v>
      </c>
      <c r="D2602" s="1" t="s">
        <v>38</v>
      </c>
      <c r="E2602" s="1" t="s">
        <v>83</v>
      </c>
      <c r="F2602" s="1" t="s">
        <v>10433</v>
      </c>
      <c r="G2602" s="1" t="s">
        <v>12480</v>
      </c>
      <c r="H2602" s="1" t="s">
        <v>10434</v>
      </c>
      <c r="I2602" s="2">
        <v>192.83</v>
      </c>
      <c r="J2602" s="2">
        <v>12.73</v>
      </c>
      <c r="K2602" s="2">
        <v>13.1</v>
      </c>
      <c r="L2602" s="2">
        <v>13.51</v>
      </c>
      <c r="M2602" s="4">
        <f t="shared" si="240"/>
        <v>14.719847328244276</v>
      </c>
      <c r="N2602" s="4">
        <f t="shared" si="241"/>
        <v>14.273131014063658</v>
      </c>
      <c r="O2602" s="5">
        <f t="shared" si="242"/>
        <v>2.906520031421822E-2</v>
      </c>
      <c r="P2602" s="5">
        <f t="shared" si="243"/>
        <v>3.1297709923664208E-2</v>
      </c>
      <c r="Q2602" s="4">
        <f t="shared" si="244"/>
        <v>5.0644231483392073</v>
      </c>
      <c r="R2602" s="4">
        <f t="shared" si="245"/>
        <v>4.5604394215666684</v>
      </c>
      <c r="S2602" s="4">
        <v>6.72</v>
      </c>
      <c r="T2602" s="2">
        <v>1.36</v>
      </c>
      <c r="U2602" s="2">
        <v>203.85</v>
      </c>
      <c r="V2602" s="2">
        <v>140.37</v>
      </c>
      <c r="W2602" s="2">
        <v>-5.08</v>
      </c>
      <c r="X2602" s="2">
        <v>-1.9</v>
      </c>
      <c r="Y2602" s="2">
        <v>4.7</v>
      </c>
      <c r="Z2602" s="2">
        <v>4.17</v>
      </c>
    </row>
    <row r="2603" spans="1:26" x14ac:dyDescent="0.25">
      <c r="A2603" s="1" t="s">
        <v>10435</v>
      </c>
      <c r="B2603" s="1" t="s">
        <v>10436</v>
      </c>
      <c r="C2603" s="1" t="s">
        <v>16</v>
      </c>
      <c r="D2603" s="1" t="s">
        <v>38</v>
      </c>
      <c r="E2603" s="1" t="s">
        <v>2304</v>
      </c>
      <c r="F2603" s="1" t="s">
        <v>10437</v>
      </c>
      <c r="G2603" s="1" t="s">
        <v>12480</v>
      </c>
      <c r="H2603" s="1" t="s">
        <v>10104</v>
      </c>
      <c r="I2603" s="2">
        <v>445.28</v>
      </c>
      <c r="J2603" s="2">
        <v>17.829999999999998</v>
      </c>
      <c r="K2603" s="2">
        <v>19.54</v>
      </c>
      <c r="L2603" s="2">
        <v>21.93</v>
      </c>
      <c r="M2603" s="4">
        <f t="shared" si="240"/>
        <v>22.788126919140225</v>
      </c>
      <c r="N2603" s="4">
        <f t="shared" si="241"/>
        <v>20.304605563155494</v>
      </c>
      <c r="O2603" s="5">
        <f t="shared" si="242"/>
        <v>9.5905776780706775E-2</v>
      </c>
      <c r="P2603" s="5">
        <f t="shared" si="243"/>
        <v>0.12231320368474918</v>
      </c>
      <c r="Q2603" s="4">
        <f t="shared" si="244"/>
        <v>2.37609533899573</v>
      </c>
      <c r="R2603" s="4">
        <f t="shared" si="245"/>
        <v>1.660050178678069</v>
      </c>
      <c r="S2603" s="4">
        <v>7.94</v>
      </c>
      <c r="T2603" s="2">
        <v>1.23</v>
      </c>
      <c r="U2603" s="2">
        <v>564.15</v>
      </c>
      <c r="V2603" s="2">
        <v>390.76</v>
      </c>
      <c r="W2603" s="2">
        <v>0.5</v>
      </c>
      <c r="X2603" s="2">
        <v>0.25</v>
      </c>
      <c r="Y2603" s="2">
        <v>-10.88</v>
      </c>
      <c r="Z2603" s="2">
        <v>-14.79</v>
      </c>
    </row>
    <row r="2604" spans="1:26" x14ac:dyDescent="0.25">
      <c r="A2604" s="1" t="s">
        <v>10438</v>
      </c>
      <c r="B2604" s="1" t="s">
        <v>10439</v>
      </c>
      <c r="C2604" s="1" t="s">
        <v>16</v>
      </c>
      <c r="D2604" s="1" t="s">
        <v>94</v>
      </c>
      <c r="E2604" s="1" t="s">
        <v>4976</v>
      </c>
      <c r="F2604" s="1" t="s">
        <v>10440</v>
      </c>
      <c r="G2604" s="1" t="s">
        <v>12485</v>
      </c>
      <c r="H2604" s="1" t="s">
        <v>3921</v>
      </c>
      <c r="I2604" s="2">
        <v>20.53</v>
      </c>
      <c r="J2604" s="2">
        <v>1.53</v>
      </c>
      <c r="K2604" s="2">
        <v>1.8</v>
      </c>
      <c r="L2604" s="2">
        <v>1.8</v>
      </c>
      <c r="M2604" s="4">
        <f t="shared" si="240"/>
        <v>11.405555555555557</v>
      </c>
      <c r="N2604" s="4">
        <f t="shared" si="241"/>
        <v>11.405555555555557</v>
      </c>
      <c r="O2604" s="5">
        <f t="shared" si="242"/>
        <v>0.17647058823529416</v>
      </c>
      <c r="P2604" s="5">
        <f t="shared" si="243"/>
        <v>0</v>
      </c>
      <c r="Q2604" s="4">
        <f t="shared" si="244"/>
        <v>0.64631481481481468</v>
      </c>
      <c r="R2604" s="4" t="e">
        <f t="shared" si="245"/>
        <v>#DIV/0!</v>
      </c>
      <c r="S2604" s="4">
        <v>7.94</v>
      </c>
      <c r="T2604" s="2">
        <v>0.42</v>
      </c>
      <c r="U2604" s="2">
        <v>21.62</v>
      </c>
      <c r="V2604" s="2">
        <v>17.47</v>
      </c>
      <c r="W2604" s="2">
        <v>-0.24</v>
      </c>
      <c r="X2604" s="2">
        <v>2.39</v>
      </c>
      <c r="Y2604" s="2">
        <v>8.34</v>
      </c>
      <c r="Z2604" s="2">
        <v>10.73</v>
      </c>
    </row>
    <row r="2605" spans="1:26" x14ac:dyDescent="0.25">
      <c r="A2605" s="1" t="s">
        <v>10441</v>
      </c>
      <c r="B2605" s="1" t="s">
        <v>10442</v>
      </c>
      <c r="C2605" s="1" t="s">
        <v>16</v>
      </c>
      <c r="D2605" s="1" t="s">
        <v>147</v>
      </c>
      <c r="E2605" s="1" t="s">
        <v>1460</v>
      </c>
      <c r="F2605" s="1" t="s">
        <v>10443</v>
      </c>
      <c r="G2605" s="1" t="s">
        <v>12480</v>
      </c>
      <c r="H2605" s="1" t="s">
        <v>4917</v>
      </c>
      <c r="I2605" s="2">
        <v>117.74</v>
      </c>
      <c r="J2605" s="2">
        <v>0.74</v>
      </c>
      <c r="K2605" s="2">
        <v>-2.59</v>
      </c>
      <c r="L2605" s="2">
        <v>-2.31</v>
      </c>
      <c r="M2605" s="4">
        <f t="shared" si="240"/>
        <v>-45.45945945945946</v>
      </c>
      <c r="N2605" s="4">
        <f t="shared" si="241"/>
        <v>-50.969696969696969</v>
      </c>
      <c r="O2605" s="5">
        <f t="shared" si="242"/>
        <v>-4.5</v>
      </c>
      <c r="P2605" s="5">
        <f t="shared" si="243"/>
        <v>-0.108108108108108</v>
      </c>
      <c r="Q2605" s="4">
        <f t="shared" si="244"/>
        <v>0.10102102102102102</v>
      </c>
      <c r="R2605" s="4">
        <f t="shared" si="245"/>
        <v>4.7146969696969743</v>
      </c>
      <c r="S2605" s="4">
        <v>18.809999999999999</v>
      </c>
      <c r="T2605" s="2">
        <v>1.61</v>
      </c>
      <c r="U2605" s="2">
        <v>119.01</v>
      </c>
      <c r="V2605" s="2">
        <v>24.28</v>
      </c>
      <c r="W2605" s="2">
        <v>2.92</v>
      </c>
      <c r="X2605" s="2">
        <v>24.04</v>
      </c>
      <c r="Y2605" s="2">
        <v>31.03</v>
      </c>
      <c r="Z2605" s="2">
        <v>23.83</v>
      </c>
    </row>
    <row r="2606" spans="1:26" x14ac:dyDescent="0.25">
      <c r="A2606" s="1" t="s">
        <v>10444</v>
      </c>
      <c r="B2606" s="1" t="s">
        <v>10445</v>
      </c>
      <c r="C2606" s="1" t="s">
        <v>31</v>
      </c>
      <c r="D2606" s="1" t="s">
        <v>354</v>
      </c>
      <c r="E2606" s="1" t="s">
        <v>6754</v>
      </c>
      <c r="F2606" s="1" t="s">
        <v>10446</v>
      </c>
      <c r="G2606" s="1" t="s">
        <v>12502</v>
      </c>
      <c r="H2606" s="1" t="s">
        <v>10447</v>
      </c>
      <c r="I2606" s="2">
        <v>6.69</v>
      </c>
      <c r="J2606" s="2">
        <v>0.36</v>
      </c>
      <c r="K2606" s="2">
        <v>0.39</v>
      </c>
      <c r="L2606" s="2">
        <v>0.39</v>
      </c>
      <c r="M2606" s="4">
        <f t="shared" si="240"/>
        <v>17.153846153846153</v>
      </c>
      <c r="N2606" s="4">
        <f t="shared" si="241"/>
        <v>17.153846153846153</v>
      </c>
      <c r="O2606" s="5">
        <f t="shared" si="242"/>
        <v>8.3333333333333481E-2</v>
      </c>
      <c r="P2606" s="5">
        <f t="shared" si="243"/>
        <v>0</v>
      </c>
      <c r="Q2606" s="4">
        <f t="shared" si="244"/>
        <v>2.0584615384615348</v>
      </c>
      <c r="R2606" s="4" t="e">
        <f t="shared" si="245"/>
        <v>#DIV/0!</v>
      </c>
      <c r="S2606" s="4">
        <v>-6.06</v>
      </c>
      <c r="T2606" s="2">
        <v>0.46</v>
      </c>
      <c r="U2606" s="2">
        <v>7.78</v>
      </c>
      <c r="V2606" s="2">
        <v>5.61</v>
      </c>
      <c r="W2606" s="2">
        <v>-0.89</v>
      </c>
      <c r="X2606" s="2">
        <v>1.06</v>
      </c>
      <c r="Y2606" s="2">
        <v>3.18</v>
      </c>
      <c r="Z2606" s="2">
        <v>2.37</v>
      </c>
    </row>
    <row r="2607" spans="1:26" x14ac:dyDescent="0.25">
      <c r="A2607" s="1" t="s">
        <v>10448</v>
      </c>
      <c r="B2607" s="1" t="s">
        <v>10449</v>
      </c>
      <c r="C2607" s="1" t="s">
        <v>16</v>
      </c>
      <c r="D2607" s="1" t="s">
        <v>38</v>
      </c>
      <c r="E2607" s="1" t="s">
        <v>254</v>
      </c>
      <c r="F2607" s="1" t="s">
        <v>10450</v>
      </c>
      <c r="G2607" s="1" t="s">
        <v>12480</v>
      </c>
      <c r="H2607" s="1" t="s">
        <v>10451</v>
      </c>
      <c r="I2607" s="2">
        <v>20.71</v>
      </c>
      <c r="J2607" s="2">
        <v>2.5499999999999998</v>
      </c>
      <c r="K2607" s="2">
        <v>2.5099999999999998</v>
      </c>
      <c r="L2607" s="2">
        <v>2.73</v>
      </c>
      <c r="M2607" s="4">
        <f t="shared" si="240"/>
        <v>8.2509960159362556</v>
      </c>
      <c r="N2607" s="4">
        <f t="shared" si="241"/>
        <v>7.5860805860805867</v>
      </c>
      <c r="O2607" s="5">
        <f t="shared" si="242"/>
        <v>-1.5686274509803977E-2</v>
      </c>
      <c r="P2607" s="5">
        <f t="shared" si="243"/>
        <v>8.7649402390438391E-2</v>
      </c>
      <c r="Q2607" s="4">
        <f t="shared" si="244"/>
        <v>-5.2600099601593442</v>
      </c>
      <c r="R2607" s="4">
        <f t="shared" si="245"/>
        <v>0.86550283050282928</v>
      </c>
      <c r="S2607" s="4">
        <v>23.09</v>
      </c>
      <c r="T2607" s="2">
        <v>0.66</v>
      </c>
      <c r="U2607" s="2">
        <v>22.66</v>
      </c>
      <c r="V2607" s="2">
        <v>14.29</v>
      </c>
      <c r="W2607" s="2">
        <v>-3.63</v>
      </c>
      <c r="X2607" s="2">
        <v>5.45</v>
      </c>
      <c r="Y2607" s="2">
        <v>-7.21</v>
      </c>
      <c r="Z2607" s="2">
        <v>-5.39</v>
      </c>
    </row>
    <row r="2608" spans="1:26" x14ac:dyDescent="0.25">
      <c r="A2608" s="1" t="s">
        <v>10452</v>
      </c>
      <c r="B2608" s="1" t="s">
        <v>10453</v>
      </c>
      <c r="C2608" s="1" t="s">
        <v>16</v>
      </c>
      <c r="D2608" s="1" t="s">
        <v>32</v>
      </c>
      <c r="E2608" s="1" t="s">
        <v>311</v>
      </c>
      <c r="F2608" s="1" t="s">
        <v>10454</v>
      </c>
      <c r="G2608" s="1" t="s">
        <v>12480</v>
      </c>
      <c r="H2608" s="1" t="s">
        <v>10455</v>
      </c>
      <c r="I2608" s="2">
        <v>544.88</v>
      </c>
      <c r="J2608" s="2">
        <v>11.89</v>
      </c>
      <c r="K2608" s="2">
        <v>15.64</v>
      </c>
      <c r="L2608" s="2">
        <v>19.39</v>
      </c>
      <c r="M2608" s="4">
        <f t="shared" si="240"/>
        <v>34.838874680306901</v>
      </c>
      <c r="N2608" s="4">
        <f t="shared" si="241"/>
        <v>28.101083032490973</v>
      </c>
      <c r="O2608" s="5">
        <f t="shared" si="242"/>
        <v>0.3153910849453323</v>
      </c>
      <c r="P2608" s="5">
        <f t="shared" si="243"/>
        <v>0.23976982097186705</v>
      </c>
      <c r="Q2608" s="4">
        <f t="shared" si="244"/>
        <v>1.1046245865302637</v>
      </c>
      <c r="R2608" s="4">
        <f t="shared" si="245"/>
        <v>1.1720025030084231</v>
      </c>
      <c r="S2608" s="4">
        <v>14.61</v>
      </c>
      <c r="T2608" s="2">
        <v>1.66</v>
      </c>
      <c r="U2608" s="2">
        <v>775.9</v>
      </c>
      <c r="V2608" s="2">
        <v>412.75</v>
      </c>
      <c r="W2608" s="2">
        <v>7.41</v>
      </c>
      <c r="X2608" s="2">
        <v>31.35</v>
      </c>
      <c r="Y2608" s="2">
        <v>-5.59</v>
      </c>
      <c r="Z2608" s="2">
        <v>-6.17</v>
      </c>
    </row>
    <row r="2609" spans="1:26" x14ac:dyDescent="0.25">
      <c r="A2609" s="1" t="s">
        <v>10456</v>
      </c>
      <c r="B2609" s="1" t="s">
        <v>10457</v>
      </c>
      <c r="C2609" s="1" t="s">
        <v>45</v>
      </c>
      <c r="D2609" s="1" t="s">
        <v>140</v>
      </c>
      <c r="E2609" s="1" t="s">
        <v>141</v>
      </c>
      <c r="F2609" s="1" t="s">
        <v>10458</v>
      </c>
      <c r="G2609" s="1" t="s">
        <v>12480</v>
      </c>
      <c r="H2609" s="1" t="s">
        <v>10459</v>
      </c>
      <c r="I2609" s="2">
        <v>62.17</v>
      </c>
      <c r="J2609" s="2">
        <v>4.2699999999999996</v>
      </c>
      <c r="K2609" s="2">
        <v>4.47</v>
      </c>
      <c r="L2609" s="2">
        <v>5.05</v>
      </c>
      <c r="M2609" s="4">
        <f t="shared" si="240"/>
        <v>13.908277404921702</v>
      </c>
      <c r="N2609" s="4">
        <f t="shared" si="241"/>
        <v>12.310891089108912</v>
      </c>
      <c r="O2609" s="5">
        <f t="shared" si="242"/>
        <v>4.6838407494145251E-2</v>
      </c>
      <c r="P2609" s="5">
        <f t="shared" si="243"/>
        <v>0.12975391498881428</v>
      </c>
      <c r="Q2609" s="4">
        <f t="shared" si="244"/>
        <v>2.9694172259507798</v>
      </c>
      <c r="R2609" s="4">
        <f t="shared" si="245"/>
        <v>0.94878764083304912</v>
      </c>
      <c r="S2609" s="4">
        <v>17.829999999999998</v>
      </c>
      <c r="T2609" s="2">
        <v>0.62</v>
      </c>
      <c r="U2609" s="2">
        <v>152.66999999999999</v>
      </c>
      <c r="V2609" s="2">
        <v>54.14</v>
      </c>
      <c r="W2609" s="2">
        <v>6.44</v>
      </c>
      <c r="X2609" s="2">
        <v>-17.63</v>
      </c>
      <c r="Y2609" s="2">
        <v>-27.91</v>
      </c>
      <c r="Z2609" s="2">
        <v>-30.25</v>
      </c>
    </row>
    <row r="2610" spans="1:26" x14ac:dyDescent="0.25">
      <c r="A2610" s="1" t="s">
        <v>10460</v>
      </c>
      <c r="B2610" s="1" t="s">
        <v>10461</v>
      </c>
      <c r="C2610" s="1" t="s">
        <v>16</v>
      </c>
      <c r="D2610" s="1" t="s">
        <v>61</v>
      </c>
      <c r="E2610" s="1" t="s">
        <v>62</v>
      </c>
      <c r="F2610" s="1" t="s">
        <v>10462</v>
      </c>
      <c r="G2610" s="1" t="s">
        <v>12480</v>
      </c>
      <c r="H2610" s="1" t="s">
        <v>10463</v>
      </c>
      <c r="I2610" s="2">
        <v>209.8</v>
      </c>
      <c r="J2610" s="2">
        <v>6.76</v>
      </c>
      <c r="K2610" s="2">
        <v>7.8</v>
      </c>
      <c r="L2610" s="2">
        <v>8.76</v>
      </c>
      <c r="M2610" s="4">
        <f t="shared" si="240"/>
        <v>26.897435897435898</v>
      </c>
      <c r="N2610" s="4">
        <f t="shared" si="241"/>
        <v>23.94977168949772</v>
      </c>
      <c r="O2610" s="5">
        <f t="shared" si="242"/>
        <v>0.15384615384615397</v>
      </c>
      <c r="P2610" s="5">
        <f t="shared" si="243"/>
        <v>0.12307692307692308</v>
      </c>
      <c r="Q2610" s="4">
        <f t="shared" si="244"/>
        <v>1.748333333333332</v>
      </c>
      <c r="R2610" s="4">
        <f t="shared" si="245"/>
        <v>1.9459189497716896</v>
      </c>
      <c r="S2610" s="4">
        <v>14.17</v>
      </c>
      <c r="T2610" s="2">
        <v>1.3</v>
      </c>
      <c r="U2610" s="2">
        <v>243.04</v>
      </c>
      <c r="V2610" s="2">
        <v>120.66</v>
      </c>
      <c r="W2610" s="2">
        <v>-6.76</v>
      </c>
      <c r="X2610" s="2">
        <v>-6.28</v>
      </c>
      <c r="Y2610" s="2">
        <v>-3.82</v>
      </c>
      <c r="Z2610" s="2">
        <v>4.87</v>
      </c>
    </row>
    <row r="2611" spans="1:26" x14ac:dyDescent="0.25">
      <c r="A2611" s="1" t="s">
        <v>10464</v>
      </c>
      <c r="B2611" s="1" t="s">
        <v>10465</v>
      </c>
      <c r="C2611" s="1" t="s">
        <v>16</v>
      </c>
      <c r="D2611" s="1" t="s">
        <v>38</v>
      </c>
      <c r="E2611" s="1" t="s">
        <v>259</v>
      </c>
      <c r="F2611" s="1" t="s">
        <v>10466</v>
      </c>
      <c r="G2611" s="1" t="s">
        <v>12480</v>
      </c>
      <c r="H2611" s="1" t="s">
        <v>10467</v>
      </c>
      <c r="I2611" s="2">
        <v>678.27</v>
      </c>
      <c r="J2611" s="2"/>
      <c r="K2611" s="2"/>
      <c r="L2611" s="2"/>
      <c r="M2611" s="4" t="e">
        <f t="shared" si="240"/>
        <v>#DIV/0!</v>
      </c>
      <c r="N2611" s="4" t="e">
        <f t="shared" si="241"/>
        <v>#DIV/0!</v>
      </c>
      <c r="O2611" s="5" t="e">
        <f t="shared" si="242"/>
        <v>#DIV/0!</v>
      </c>
      <c r="P2611" s="5" t="e">
        <f t="shared" si="243"/>
        <v>#DIV/0!</v>
      </c>
      <c r="Q2611" s="4" t="e">
        <f t="shared" si="244"/>
        <v>#DIV/0!</v>
      </c>
      <c r="R2611" s="4" t="e">
        <f t="shared" si="245"/>
        <v>#DIV/0!</v>
      </c>
      <c r="S2611" s="4"/>
      <c r="T2611" s="2" t="s">
        <v>12493</v>
      </c>
      <c r="U2611" s="2">
        <v>695.49</v>
      </c>
      <c r="V2611" s="2">
        <v>496.48</v>
      </c>
      <c r="W2611" s="2">
        <v>-1.18</v>
      </c>
      <c r="X2611" s="2">
        <v>-2.2599999999999998</v>
      </c>
      <c r="Y2611" s="2">
        <v>-0.36</v>
      </c>
      <c r="Z2611" s="2">
        <v>-0.54</v>
      </c>
    </row>
    <row r="2612" spans="1:26" x14ac:dyDescent="0.25">
      <c r="A2612" s="1" t="s">
        <v>10468</v>
      </c>
      <c r="B2612" s="1" t="s">
        <v>10469</v>
      </c>
      <c r="C2612" s="1" t="s">
        <v>16</v>
      </c>
      <c r="D2612" s="1" t="s">
        <v>88</v>
      </c>
      <c r="E2612" s="1" t="s">
        <v>1113</v>
      </c>
      <c r="F2612" s="1" t="s">
        <v>10470</v>
      </c>
      <c r="G2612" s="1" t="s">
        <v>12480</v>
      </c>
      <c r="H2612" s="1" t="s">
        <v>10471</v>
      </c>
      <c r="I2612" s="2" t="s">
        <v>12557</v>
      </c>
      <c r="J2612" s="2">
        <v>2.06</v>
      </c>
      <c r="K2612" s="2">
        <v>6.24</v>
      </c>
      <c r="L2612" s="2">
        <v>8.06</v>
      </c>
      <c r="M2612" s="4">
        <f t="shared" si="240"/>
        <v>12.019230769230768</v>
      </c>
      <c r="N2612" s="4">
        <f t="shared" si="241"/>
        <v>9.3052109181141436</v>
      </c>
      <c r="O2612" s="5">
        <f t="shared" si="242"/>
        <v>2.029126213592233</v>
      </c>
      <c r="P2612" s="5">
        <f t="shared" si="243"/>
        <v>0.29166666666666674</v>
      </c>
      <c r="Q2612" s="4">
        <f t="shared" si="244"/>
        <v>5.9233529628266467E-2</v>
      </c>
      <c r="R2612" s="4">
        <f t="shared" si="245"/>
        <v>0.31903580290677053</v>
      </c>
      <c r="S2612" s="4">
        <v>1.05</v>
      </c>
      <c r="T2612" s="2">
        <v>0.99</v>
      </c>
      <c r="U2612" s="2">
        <v>85.43</v>
      </c>
      <c r="V2612" s="2">
        <v>30.03</v>
      </c>
      <c r="W2612" s="2">
        <v>-0.83</v>
      </c>
      <c r="X2612" s="2">
        <v>5.41</v>
      </c>
      <c r="Y2612" s="2">
        <v>15.44</v>
      </c>
      <c r="Z2612" s="2">
        <v>9.01</v>
      </c>
    </row>
    <row r="2613" spans="1:26" x14ac:dyDescent="0.25">
      <c r="A2613" s="1" t="s">
        <v>10472</v>
      </c>
      <c r="B2613" s="1" t="s">
        <v>10473</v>
      </c>
      <c r="C2613" s="1" t="s">
        <v>31</v>
      </c>
      <c r="D2613" s="1" t="s">
        <v>32</v>
      </c>
      <c r="E2613" s="1" t="s">
        <v>565</v>
      </c>
      <c r="F2613" s="1" t="s">
        <v>10474</v>
      </c>
      <c r="G2613" s="1" t="s">
        <v>12490</v>
      </c>
      <c r="H2613" s="1" t="s">
        <v>10475</v>
      </c>
      <c r="I2613" s="2">
        <v>15.77</v>
      </c>
      <c r="J2613" s="2">
        <v>0.47</v>
      </c>
      <c r="K2613" s="2"/>
      <c r="L2613" s="2"/>
      <c r="M2613" s="4" t="e">
        <f t="shared" si="240"/>
        <v>#DIV/0!</v>
      </c>
      <c r="N2613" s="4" t="e">
        <f t="shared" si="241"/>
        <v>#DIV/0!</v>
      </c>
      <c r="O2613" s="5">
        <f t="shared" si="242"/>
        <v>-1</v>
      </c>
      <c r="P2613" s="5" t="e">
        <f t="shared" si="243"/>
        <v>#DIV/0!</v>
      </c>
      <c r="Q2613" s="4" t="e">
        <f t="shared" si="244"/>
        <v>#DIV/0!</v>
      </c>
      <c r="R2613" s="4" t="e">
        <f t="shared" si="245"/>
        <v>#DIV/0!</v>
      </c>
      <c r="S2613" s="4">
        <v>-13.67</v>
      </c>
      <c r="T2613" s="2">
        <v>0.5</v>
      </c>
      <c r="U2613" s="2">
        <v>26.07</v>
      </c>
      <c r="V2613" s="2">
        <v>15.33</v>
      </c>
      <c r="W2613" s="2">
        <v>-3.84</v>
      </c>
      <c r="X2613" s="2">
        <v>-16.12</v>
      </c>
      <c r="Y2613" s="2">
        <v>-16.45</v>
      </c>
      <c r="Z2613" s="2">
        <v>-16.45</v>
      </c>
    </row>
    <row r="2614" spans="1:26" x14ac:dyDescent="0.25">
      <c r="A2614" s="1" t="s">
        <v>10476</v>
      </c>
      <c r="B2614" s="1" t="s">
        <v>10477</v>
      </c>
      <c r="C2614" s="1" t="s">
        <v>16</v>
      </c>
      <c r="D2614" s="1" t="s">
        <v>354</v>
      </c>
      <c r="E2614" s="1" t="s">
        <v>1213</v>
      </c>
      <c r="F2614" s="1" t="s">
        <v>10478</v>
      </c>
      <c r="G2614" s="1" t="s">
        <v>12485</v>
      </c>
      <c r="H2614" s="1" t="s">
        <v>973</v>
      </c>
      <c r="I2614" s="2">
        <v>91.87</v>
      </c>
      <c r="J2614" s="2">
        <v>4.4400000000000004</v>
      </c>
      <c r="K2614" s="2">
        <v>5.14</v>
      </c>
      <c r="L2614" s="2">
        <v>5.74</v>
      </c>
      <c r="M2614" s="4">
        <f t="shared" si="240"/>
        <v>17.873540856031131</v>
      </c>
      <c r="N2614" s="4">
        <f t="shared" si="241"/>
        <v>16.005226480836239</v>
      </c>
      <c r="O2614" s="5">
        <f t="shared" si="242"/>
        <v>0.15765765765765738</v>
      </c>
      <c r="P2614" s="5">
        <f t="shared" si="243"/>
        <v>0.11673151750972766</v>
      </c>
      <c r="Q2614" s="4">
        <f t="shared" si="244"/>
        <v>1.1336931628682623</v>
      </c>
      <c r="R2614" s="4">
        <f t="shared" si="245"/>
        <v>1.3711144018583041</v>
      </c>
      <c r="S2614" s="4">
        <v>-4.5</v>
      </c>
      <c r="T2614" s="2">
        <v>0.64</v>
      </c>
      <c r="U2614" s="2">
        <v>91.98</v>
      </c>
      <c r="V2614" s="2">
        <v>71.03</v>
      </c>
      <c r="W2614" s="2">
        <v>0.23</v>
      </c>
      <c r="X2614" s="2">
        <v>7.35</v>
      </c>
      <c r="Y2614" s="2">
        <v>9.5</v>
      </c>
      <c r="Z2614" s="2">
        <v>11.09</v>
      </c>
    </row>
    <row r="2615" spans="1:26" x14ac:dyDescent="0.25">
      <c r="A2615" s="1" t="s">
        <v>10479</v>
      </c>
      <c r="B2615" s="1" t="s">
        <v>10480</v>
      </c>
      <c r="C2615" s="1" t="s">
        <v>45</v>
      </c>
      <c r="D2615" s="1" t="s">
        <v>32</v>
      </c>
      <c r="E2615" s="1" t="s">
        <v>311</v>
      </c>
      <c r="F2615" s="1" t="s">
        <v>10481</v>
      </c>
      <c r="G2615" s="1" t="s">
        <v>12480</v>
      </c>
      <c r="H2615" s="1" t="s">
        <v>10482</v>
      </c>
      <c r="I2615" s="2">
        <v>18.84</v>
      </c>
      <c r="J2615" s="2">
        <v>0.35</v>
      </c>
      <c r="K2615" s="2">
        <v>0.53</v>
      </c>
      <c r="L2615" s="2">
        <v>0.78</v>
      </c>
      <c r="M2615" s="4">
        <f t="shared" si="240"/>
        <v>35.547169811320749</v>
      </c>
      <c r="N2615" s="4">
        <f t="shared" si="241"/>
        <v>24.153846153846153</v>
      </c>
      <c r="O2615" s="5">
        <f t="shared" si="242"/>
        <v>0.51428571428571446</v>
      </c>
      <c r="P2615" s="5">
        <f t="shared" si="243"/>
        <v>0.47169811320754707</v>
      </c>
      <c r="Q2615" s="4">
        <f t="shared" si="244"/>
        <v>0.69119496855345885</v>
      </c>
      <c r="R2615" s="4">
        <f t="shared" si="245"/>
        <v>0.51206153846153857</v>
      </c>
      <c r="S2615" s="4">
        <v>21.85</v>
      </c>
      <c r="T2615" s="2" t="s">
        <v>12487</v>
      </c>
      <c r="U2615" s="2">
        <v>31.79</v>
      </c>
      <c r="V2615" s="2">
        <v>16.350000000000001</v>
      </c>
      <c r="W2615" s="2">
        <v>-3.78</v>
      </c>
      <c r="X2615" s="2">
        <v>9.15</v>
      </c>
      <c r="Y2615" s="2">
        <v>-17.329999999999998</v>
      </c>
      <c r="Z2615" s="2">
        <v>-20.74</v>
      </c>
    </row>
    <row r="2616" spans="1:26" x14ac:dyDescent="0.25">
      <c r="A2616" s="1" t="s">
        <v>10483</v>
      </c>
      <c r="B2616" s="1" t="s">
        <v>10484</v>
      </c>
      <c r="C2616" s="1" t="s">
        <v>45</v>
      </c>
      <c r="D2616" s="1" t="s">
        <v>38</v>
      </c>
      <c r="E2616" s="1" t="s">
        <v>1093</v>
      </c>
      <c r="F2616" s="1" t="s">
        <v>10485</v>
      </c>
      <c r="G2616" s="1" t="s">
        <v>12480</v>
      </c>
      <c r="H2616" s="1" t="s">
        <v>6950</v>
      </c>
      <c r="I2616" s="2">
        <v>67.290000000000006</v>
      </c>
      <c r="J2616" s="2">
        <v>6.41</v>
      </c>
      <c r="K2616" s="2">
        <v>6.69</v>
      </c>
      <c r="L2616" s="2">
        <v>6.88</v>
      </c>
      <c r="M2616" s="4">
        <f t="shared" si="240"/>
        <v>10.058295964125561</v>
      </c>
      <c r="N2616" s="4">
        <f t="shared" si="241"/>
        <v>9.7805232558139554</v>
      </c>
      <c r="O2616" s="5">
        <f t="shared" si="242"/>
        <v>4.3681747269890936E-2</v>
      </c>
      <c r="P2616" s="5">
        <f t="shared" si="243"/>
        <v>2.8400597907324299E-2</v>
      </c>
      <c r="Q2616" s="4">
        <f t="shared" si="244"/>
        <v>2.3026313260730227</v>
      </c>
      <c r="R2616" s="4">
        <f t="shared" si="245"/>
        <v>3.4437737148102903</v>
      </c>
      <c r="S2616" s="4">
        <v>4.49</v>
      </c>
      <c r="T2616" s="2">
        <v>0.63</v>
      </c>
      <c r="U2616" s="2">
        <v>71.099999999999994</v>
      </c>
      <c r="V2616" s="2">
        <v>53.28</v>
      </c>
      <c r="W2616" s="2">
        <v>-0.78</v>
      </c>
      <c r="X2616" s="2">
        <v>-3.99</v>
      </c>
      <c r="Y2616" s="2">
        <v>1.55</v>
      </c>
      <c r="Z2616" s="2">
        <v>7.68</v>
      </c>
    </row>
    <row r="2617" spans="1:26" x14ac:dyDescent="0.25">
      <c r="A2617" s="1" t="s">
        <v>10486</v>
      </c>
      <c r="B2617" s="1" t="s">
        <v>10487</v>
      </c>
      <c r="C2617" s="1" t="s">
        <v>16</v>
      </c>
      <c r="D2617" s="1" t="s">
        <v>94</v>
      </c>
      <c r="E2617" s="1" t="s">
        <v>95</v>
      </c>
      <c r="F2617" s="1" t="s">
        <v>10488</v>
      </c>
      <c r="G2617" s="1" t="s">
        <v>12480</v>
      </c>
      <c r="H2617" s="1" t="s">
        <v>10489</v>
      </c>
      <c r="I2617" s="2">
        <v>93.51</v>
      </c>
      <c r="J2617" s="2">
        <v>4.6900000000000004</v>
      </c>
      <c r="K2617" s="2">
        <v>5.16</v>
      </c>
      <c r="L2617" s="2">
        <v>5.55</v>
      </c>
      <c r="M2617" s="4">
        <f t="shared" si="240"/>
        <v>18.122093023255815</v>
      </c>
      <c r="N2617" s="4">
        <f t="shared" si="241"/>
        <v>16.848648648648648</v>
      </c>
      <c r="O2617" s="5">
        <f t="shared" si="242"/>
        <v>0.10021321961620466</v>
      </c>
      <c r="P2617" s="5">
        <f t="shared" si="243"/>
        <v>7.5581395348837122E-2</v>
      </c>
      <c r="Q2617" s="4">
        <f t="shared" si="244"/>
        <v>1.808353537852549</v>
      </c>
      <c r="R2617" s="4">
        <f t="shared" si="245"/>
        <v>2.2292058212058237</v>
      </c>
      <c r="S2617" s="4">
        <v>3.92</v>
      </c>
      <c r="T2617" s="2">
        <v>0.73</v>
      </c>
      <c r="U2617" s="2">
        <v>96.27</v>
      </c>
      <c r="V2617" s="2">
        <v>63.78</v>
      </c>
      <c r="W2617" s="2">
        <v>-2.2599999999999998</v>
      </c>
      <c r="X2617" s="2">
        <v>6.89</v>
      </c>
      <c r="Y2617" s="2">
        <v>5.55</v>
      </c>
      <c r="Z2617" s="2">
        <v>5.91</v>
      </c>
    </row>
    <row r="2618" spans="1:26" x14ac:dyDescent="0.25">
      <c r="A2618" s="1" t="s">
        <v>10490</v>
      </c>
      <c r="B2618" s="1" t="s">
        <v>10491</v>
      </c>
      <c r="C2618" s="1" t="s">
        <v>45</v>
      </c>
      <c r="D2618" s="1" t="s">
        <v>18</v>
      </c>
      <c r="E2618" s="1" t="s">
        <v>74</v>
      </c>
      <c r="F2618" s="1" t="s">
        <v>10492</v>
      </c>
      <c r="G2618" s="1" t="s">
        <v>12480</v>
      </c>
      <c r="H2618" s="1" t="s">
        <v>10493</v>
      </c>
      <c r="I2618" s="2">
        <v>17.64</v>
      </c>
      <c r="J2618" s="2">
        <v>-5.05</v>
      </c>
      <c r="K2618" s="2">
        <v>4.07</v>
      </c>
      <c r="L2618" s="2">
        <v>2.81</v>
      </c>
      <c r="M2618" s="4">
        <f t="shared" si="240"/>
        <v>4.3341523341523338</v>
      </c>
      <c r="N2618" s="4">
        <f t="shared" si="241"/>
        <v>6.277580071174377</v>
      </c>
      <c r="O2618" s="5">
        <f t="shared" si="242"/>
        <v>-1.805940594059406</v>
      </c>
      <c r="P2618" s="5">
        <f t="shared" si="243"/>
        <v>-0.30958230958230959</v>
      </c>
      <c r="Q2618" s="4">
        <f t="shared" si="244"/>
        <v>-2.3999418078365444E-2</v>
      </c>
      <c r="R2618" s="4">
        <f t="shared" si="245"/>
        <v>-0.20277580071174375</v>
      </c>
      <c r="S2618" s="4">
        <v>15.58</v>
      </c>
      <c r="T2618" s="2">
        <v>0.42</v>
      </c>
      <c r="U2618" s="2">
        <v>105.56</v>
      </c>
      <c r="V2618" s="2">
        <v>11.93</v>
      </c>
      <c r="W2618" s="2">
        <v>8.09</v>
      </c>
      <c r="X2618" s="2">
        <v>-3.66</v>
      </c>
      <c r="Y2618" s="2">
        <v>-18.14</v>
      </c>
      <c r="Z2618" s="2">
        <v>-18.03</v>
      </c>
    </row>
    <row r="2619" spans="1:26" x14ac:dyDescent="0.25">
      <c r="A2619" s="1" t="s">
        <v>10494</v>
      </c>
      <c r="B2619" s="1" t="s">
        <v>10495</v>
      </c>
      <c r="C2619" s="1" t="s">
        <v>45</v>
      </c>
      <c r="D2619" s="1" t="s">
        <v>18</v>
      </c>
      <c r="E2619" s="1" t="s">
        <v>74</v>
      </c>
      <c r="F2619" s="1" t="s">
        <v>10496</v>
      </c>
      <c r="G2619" s="1" t="s">
        <v>12480</v>
      </c>
      <c r="H2619" s="1" t="s">
        <v>10497</v>
      </c>
      <c r="I2619" s="2">
        <v>44.23</v>
      </c>
      <c r="J2619" s="2">
        <v>-3.29</v>
      </c>
      <c r="K2619" s="2">
        <v>-3.18</v>
      </c>
      <c r="L2619" s="2">
        <v>-2.56</v>
      </c>
      <c r="M2619" s="4">
        <f t="shared" si="240"/>
        <v>-13.908805031446539</v>
      </c>
      <c r="N2619" s="4">
        <f t="shared" si="241"/>
        <v>-17.27734375</v>
      </c>
      <c r="O2619" s="5">
        <f t="shared" si="242"/>
        <v>-3.3434650455926973E-2</v>
      </c>
      <c r="P2619" s="5">
        <f t="shared" si="243"/>
        <v>-0.19496855345911956</v>
      </c>
      <c r="Q2619" s="4">
        <f t="shared" si="244"/>
        <v>4.1599971412235659</v>
      </c>
      <c r="R2619" s="4">
        <f t="shared" si="245"/>
        <v>0.88616053427419317</v>
      </c>
      <c r="S2619" s="4"/>
      <c r="T2619" s="2">
        <v>0.7</v>
      </c>
      <c r="U2619" s="2" t="s">
        <v>12529</v>
      </c>
      <c r="V2619" s="2">
        <v>24.47</v>
      </c>
      <c r="W2619" s="2">
        <v>1.72</v>
      </c>
      <c r="X2619" s="2">
        <v>-7.57</v>
      </c>
      <c r="Y2619" s="2">
        <v>-2.23</v>
      </c>
      <c r="Z2619" s="2">
        <v>0.41</v>
      </c>
    </row>
    <row r="2620" spans="1:26" x14ac:dyDescent="0.25">
      <c r="A2620" s="1" t="s">
        <v>10498</v>
      </c>
      <c r="B2620" s="1" t="s">
        <v>10499</v>
      </c>
      <c r="C2620" s="1" t="s">
        <v>31</v>
      </c>
      <c r="D2620" s="1" t="s">
        <v>88</v>
      </c>
      <c r="E2620" s="1" t="s">
        <v>912</v>
      </c>
      <c r="F2620" s="1" t="s">
        <v>10500</v>
      </c>
      <c r="G2620" s="1" t="s">
        <v>12480</v>
      </c>
      <c r="H2620" s="1" t="s">
        <v>10501</v>
      </c>
      <c r="I2620" s="2">
        <v>4.25</v>
      </c>
      <c r="J2620" s="2">
        <v>0.25</v>
      </c>
      <c r="K2620" s="2">
        <v>0.42</v>
      </c>
      <c r="L2620" s="2">
        <v>0.44</v>
      </c>
      <c r="M2620" s="4">
        <f t="shared" si="240"/>
        <v>10.119047619047619</v>
      </c>
      <c r="N2620" s="4">
        <f t="shared" si="241"/>
        <v>9.6590909090909083</v>
      </c>
      <c r="O2620" s="5">
        <f t="shared" si="242"/>
        <v>0.67999999999999994</v>
      </c>
      <c r="P2620" s="5">
        <f t="shared" si="243"/>
        <v>4.7619047619047672E-2</v>
      </c>
      <c r="Q2620" s="4">
        <f t="shared" si="244"/>
        <v>0.14880952380952381</v>
      </c>
      <c r="R2620" s="4">
        <f t="shared" si="245"/>
        <v>2.0284090909090886</v>
      </c>
      <c r="S2620" s="4">
        <v>0.53</v>
      </c>
      <c r="T2620" s="2">
        <v>1.33</v>
      </c>
      <c r="U2620" s="2">
        <v>4.53</v>
      </c>
      <c r="V2620" s="2">
        <v>2.6</v>
      </c>
      <c r="W2620" s="2">
        <v>-6.18</v>
      </c>
      <c r="X2620" s="2">
        <v>3.66</v>
      </c>
      <c r="Y2620" s="2">
        <v>13.68</v>
      </c>
      <c r="Z2620" s="2">
        <v>12.28</v>
      </c>
    </row>
    <row r="2621" spans="1:26" x14ac:dyDescent="0.25">
      <c r="A2621" s="1" t="s">
        <v>10502</v>
      </c>
      <c r="B2621" s="1" t="s">
        <v>10503</v>
      </c>
      <c r="C2621" s="1" t="s">
        <v>16</v>
      </c>
      <c r="D2621" s="1" t="s">
        <v>38</v>
      </c>
      <c r="E2621" s="1" t="s">
        <v>119</v>
      </c>
      <c r="F2621" s="1" t="s">
        <v>10504</v>
      </c>
      <c r="G2621" s="1" t="s">
        <v>12480</v>
      </c>
      <c r="H2621" s="1" t="s">
        <v>10505</v>
      </c>
      <c r="I2621" s="2">
        <v>93.89</v>
      </c>
      <c r="J2621" s="2">
        <v>9.5</v>
      </c>
      <c r="K2621" s="2">
        <v>9.48</v>
      </c>
      <c r="L2621" s="2">
        <v>10.52</v>
      </c>
      <c r="M2621" s="4">
        <f t="shared" si="240"/>
        <v>9.9040084388185647</v>
      </c>
      <c r="N2621" s="4">
        <f t="shared" si="241"/>
        <v>8.9249049429657799</v>
      </c>
      <c r="O2621" s="5">
        <f t="shared" si="242"/>
        <v>-2.1052631578947212E-3</v>
      </c>
      <c r="P2621" s="5">
        <f t="shared" si="243"/>
        <v>0.10970464135021096</v>
      </c>
      <c r="Q2621" s="4">
        <f t="shared" si="244"/>
        <v>-47.044040084388534</v>
      </c>
      <c r="R2621" s="4">
        <f t="shared" si="245"/>
        <v>0.81353941210880387</v>
      </c>
      <c r="S2621" s="4">
        <v>53.76</v>
      </c>
      <c r="T2621" s="2">
        <v>0.73</v>
      </c>
      <c r="U2621" s="2">
        <v>107.82</v>
      </c>
      <c r="V2621" s="2">
        <v>80.59</v>
      </c>
      <c r="W2621" s="2">
        <v>-5.89</v>
      </c>
      <c r="X2621" s="2">
        <v>-12.4</v>
      </c>
      <c r="Y2621" s="2">
        <v>-3.29</v>
      </c>
      <c r="Z2621" s="2">
        <v>-0.23</v>
      </c>
    </row>
    <row r="2622" spans="1:26" x14ac:dyDescent="0.25">
      <c r="A2622" s="1" t="s">
        <v>10506</v>
      </c>
      <c r="B2622" s="1" t="s">
        <v>10507</v>
      </c>
      <c r="C2622" s="1" t="s">
        <v>16</v>
      </c>
      <c r="D2622" s="1" t="s">
        <v>61</v>
      </c>
      <c r="E2622" s="1" t="s">
        <v>170</v>
      </c>
      <c r="F2622" s="1" t="s">
        <v>10508</v>
      </c>
      <c r="G2622" s="1" t="s">
        <v>12480</v>
      </c>
      <c r="H2622" s="1" t="s">
        <v>2905</v>
      </c>
      <c r="I2622" s="2">
        <v>185.11</v>
      </c>
      <c r="J2622" s="2">
        <v>8.24</v>
      </c>
      <c r="K2622" s="2">
        <v>8.9700000000000006</v>
      </c>
      <c r="L2622" s="2">
        <v>9.85</v>
      </c>
      <c r="M2622" s="4">
        <f t="shared" si="240"/>
        <v>20.636566332218507</v>
      </c>
      <c r="N2622" s="4">
        <f t="shared" si="241"/>
        <v>18.792893401015231</v>
      </c>
      <c r="O2622" s="5">
        <f t="shared" si="242"/>
        <v>8.8592233009708865E-2</v>
      </c>
      <c r="P2622" s="5">
        <f t="shared" si="243"/>
        <v>9.8104793756967457E-2</v>
      </c>
      <c r="Q2622" s="4">
        <f t="shared" si="244"/>
        <v>2.329387761335346</v>
      </c>
      <c r="R2622" s="4">
        <f t="shared" si="245"/>
        <v>1.9155937932625795</v>
      </c>
      <c r="S2622" s="4">
        <v>4.51</v>
      </c>
      <c r="T2622" s="2">
        <v>1.35</v>
      </c>
      <c r="U2622" s="2">
        <v>209.21</v>
      </c>
      <c r="V2622" s="2">
        <v>139.81</v>
      </c>
      <c r="W2622" s="2">
        <v>-4.07</v>
      </c>
      <c r="X2622" s="2">
        <v>-5.59</v>
      </c>
      <c r="Y2622" s="2">
        <v>9.61</v>
      </c>
      <c r="Z2622" s="2">
        <v>14.64</v>
      </c>
    </row>
    <row r="2623" spans="1:26" x14ac:dyDescent="0.25">
      <c r="A2623" s="1" t="s">
        <v>10509</v>
      </c>
      <c r="B2623" s="1" t="s">
        <v>10510</v>
      </c>
      <c r="C2623" s="1" t="s">
        <v>31</v>
      </c>
      <c r="D2623" s="1" t="s">
        <v>128</v>
      </c>
      <c r="E2623" s="1" t="s">
        <v>2974</v>
      </c>
      <c r="F2623" s="1" t="s">
        <v>10511</v>
      </c>
      <c r="G2623" s="1" t="s">
        <v>12480</v>
      </c>
      <c r="H2623" s="1" t="s">
        <v>10512</v>
      </c>
      <c r="I2623" s="2">
        <v>19.54</v>
      </c>
      <c r="J2623" s="2">
        <v>0.11</v>
      </c>
      <c r="K2623" s="2">
        <v>0.68</v>
      </c>
      <c r="L2623" s="2">
        <v>0.83</v>
      </c>
      <c r="M2623" s="4">
        <f t="shared" si="240"/>
        <v>28.735294117647054</v>
      </c>
      <c r="N2623" s="4">
        <f t="shared" si="241"/>
        <v>23.542168674698797</v>
      </c>
      <c r="O2623" s="5">
        <f t="shared" si="242"/>
        <v>5.1818181818181825</v>
      </c>
      <c r="P2623" s="5">
        <f t="shared" si="243"/>
        <v>0.22058823529411753</v>
      </c>
      <c r="Q2623" s="4">
        <f t="shared" si="244"/>
        <v>5.5454076367389048E-2</v>
      </c>
      <c r="R2623" s="4">
        <f t="shared" si="245"/>
        <v>1.0672449799196793</v>
      </c>
      <c r="S2623" s="4">
        <v>-0.97</v>
      </c>
      <c r="T2623" s="2">
        <v>0.3</v>
      </c>
      <c r="U2623" s="2">
        <v>21.76</v>
      </c>
      <c r="V2623" s="2">
        <v>13.64</v>
      </c>
      <c r="W2623" s="2">
        <v>-4.5</v>
      </c>
      <c r="X2623" s="2">
        <v>6.14</v>
      </c>
      <c r="Y2623" s="2">
        <v>24.46</v>
      </c>
      <c r="Z2623" s="2">
        <v>33.840000000000003</v>
      </c>
    </row>
    <row r="2624" spans="1:26" x14ac:dyDescent="0.25">
      <c r="A2624" s="1" t="s">
        <v>10513</v>
      </c>
      <c r="B2624" s="1" t="s">
        <v>10514</v>
      </c>
      <c r="C2624" s="1" t="s">
        <v>31</v>
      </c>
      <c r="D2624" s="1" t="s">
        <v>32</v>
      </c>
      <c r="E2624" s="1" t="s">
        <v>2119</v>
      </c>
      <c r="F2624" s="1" t="s">
        <v>10515</v>
      </c>
      <c r="G2624" s="1" t="s">
        <v>12490</v>
      </c>
      <c r="H2624" s="1" t="s">
        <v>10516</v>
      </c>
      <c r="I2624" s="2">
        <v>35.619999999999997</v>
      </c>
      <c r="J2624" s="2">
        <v>2.0499999999999998</v>
      </c>
      <c r="K2624" s="2">
        <v>2.06</v>
      </c>
      <c r="L2624" s="2">
        <v>2.4700000000000002</v>
      </c>
      <c r="M2624" s="4">
        <f t="shared" si="240"/>
        <v>17.291262135922327</v>
      </c>
      <c r="N2624" s="4">
        <f t="shared" si="241"/>
        <v>14.421052631578945</v>
      </c>
      <c r="O2624" s="5">
        <f t="shared" si="242"/>
        <v>4.8780487804878092E-3</v>
      </c>
      <c r="P2624" s="5">
        <f t="shared" si="243"/>
        <v>0.19902912621359237</v>
      </c>
      <c r="Q2624" s="4">
        <f t="shared" si="244"/>
        <v>35.447087378640738</v>
      </c>
      <c r="R2624" s="4">
        <f t="shared" si="245"/>
        <v>0.72456996148908803</v>
      </c>
      <c r="S2624" s="4">
        <v>-1.67</v>
      </c>
      <c r="T2624" s="2">
        <v>0.83</v>
      </c>
      <c r="U2624" s="2">
        <v>36.71</v>
      </c>
      <c r="V2624" s="2">
        <v>18.96</v>
      </c>
      <c r="W2624" s="2">
        <v>-2.36</v>
      </c>
      <c r="X2624" s="2">
        <v>3.22</v>
      </c>
      <c r="Y2624" s="2">
        <v>23.04</v>
      </c>
      <c r="Z2624" s="2">
        <v>20.14</v>
      </c>
    </row>
    <row r="2625" spans="1:26" x14ac:dyDescent="0.25">
      <c r="A2625" s="1" t="s">
        <v>10517</v>
      </c>
      <c r="B2625" s="1" t="s">
        <v>10518</v>
      </c>
      <c r="C2625" s="1" t="s">
        <v>16</v>
      </c>
      <c r="D2625" s="1" t="s">
        <v>94</v>
      </c>
      <c r="E2625" s="1" t="s">
        <v>1948</v>
      </c>
      <c r="F2625" s="1" t="s">
        <v>10519</v>
      </c>
      <c r="G2625" s="1" t="s">
        <v>12502</v>
      </c>
      <c r="H2625" s="1" t="s">
        <v>10520</v>
      </c>
      <c r="I2625" s="2">
        <v>9.35</v>
      </c>
      <c r="J2625" s="2">
        <v>1.93</v>
      </c>
      <c r="K2625" s="2">
        <v>1.63</v>
      </c>
      <c r="L2625" s="2">
        <v>1.7</v>
      </c>
      <c r="M2625" s="4">
        <f t="shared" si="240"/>
        <v>5.7361963190184051</v>
      </c>
      <c r="N2625" s="4">
        <f t="shared" si="241"/>
        <v>5.5</v>
      </c>
      <c r="O2625" s="5">
        <f t="shared" si="242"/>
        <v>-0.15544041450777202</v>
      </c>
      <c r="P2625" s="5">
        <f t="shared" si="243"/>
        <v>4.2944785276073594E-2</v>
      </c>
      <c r="Q2625" s="4">
        <f t="shared" si="244"/>
        <v>-0.3690286298568507</v>
      </c>
      <c r="R2625" s="4">
        <f t="shared" si="245"/>
        <v>1.2807142857142866</v>
      </c>
      <c r="S2625" s="4">
        <v>-6.8</v>
      </c>
      <c r="T2625" s="2">
        <v>0.32</v>
      </c>
      <c r="U2625" s="2">
        <v>9.35</v>
      </c>
      <c r="V2625" s="2">
        <v>2.93</v>
      </c>
      <c r="W2625" s="2">
        <v>4.9400000000000004</v>
      </c>
      <c r="X2625" s="2">
        <v>33.19</v>
      </c>
      <c r="Y2625" s="2">
        <v>49.12</v>
      </c>
      <c r="Z2625" s="2">
        <v>43.63</v>
      </c>
    </row>
    <row r="2626" spans="1:26" x14ac:dyDescent="0.25">
      <c r="A2626" s="1" t="s">
        <v>10521</v>
      </c>
      <c r="B2626" s="1" t="s">
        <v>10522</v>
      </c>
      <c r="C2626" s="1" t="s">
        <v>31</v>
      </c>
      <c r="D2626" s="1" t="s">
        <v>18</v>
      </c>
      <c r="E2626" s="1" t="s">
        <v>594</v>
      </c>
      <c r="F2626" s="1" t="s">
        <v>10523</v>
      </c>
      <c r="G2626" s="1" t="s">
        <v>12490</v>
      </c>
      <c r="H2626" s="1" t="s">
        <v>10524</v>
      </c>
      <c r="I2626" s="2">
        <v>9.93</v>
      </c>
      <c r="J2626" s="2">
        <v>0.56999999999999995</v>
      </c>
      <c r="K2626" s="2">
        <v>0.54</v>
      </c>
      <c r="L2626" s="2">
        <v>0.57999999999999996</v>
      </c>
      <c r="M2626" s="4">
        <f t="shared" si="240"/>
        <v>18.388888888888886</v>
      </c>
      <c r="N2626" s="4">
        <f t="shared" si="241"/>
        <v>17.120689655172413</v>
      </c>
      <c r="O2626" s="5">
        <f t="shared" si="242"/>
        <v>-5.2631578947368252E-2</v>
      </c>
      <c r="P2626" s="5">
        <f t="shared" si="243"/>
        <v>7.4074074074073959E-2</v>
      </c>
      <c r="Q2626" s="4">
        <f t="shared" si="244"/>
        <v>-3.4938888888888999</v>
      </c>
      <c r="R2626" s="4">
        <f t="shared" si="245"/>
        <v>2.3112931034482793</v>
      </c>
      <c r="S2626" s="4">
        <v>4.4800000000000004</v>
      </c>
      <c r="T2626" s="2">
        <v>1.1399999999999999</v>
      </c>
      <c r="U2626" s="2">
        <v>19.52</v>
      </c>
      <c r="V2626" s="2">
        <v>8.23</v>
      </c>
      <c r="W2626" s="2">
        <v>7.93</v>
      </c>
      <c r="X2626" s="2">
        <v>1.64</v>
      </c>
      <c r="Y2626" s="2">
        <v>2.16</v>
      </c>
      <c r="Z2626" s="2">
        <v>1.85</v>
      </c>
    </row>
    <row r="2627" spans="1:26" x14ac:dyDescent="0.25">
      <c r="A2627" s="1" t="s">
        <v>10525</v>
      </c>
      <c r="B2627" s="1" t="s">
        <v>10526</v>
      </c>
      <c r="C2627" s="1" t="s">
        <v>45</v>
      </c>
      <c r="D2627" s="1" t="s">
        <v>32</v>
      </c>
      <c r="E2627" s="1" t="s">
        <v>215</v>
      </c>
      <c r="F2627" s="1" t="s">
        <v>10527</v>
      </c>
      <c r="G2627" s="1" t="s">
        <v>12480</v>
      </c>
      <c r="H2627" s="1" t="s">
        <v>10528</v>
      </c>
      <c r="I2627" s="2">
        <v>74.400000000000006</v>
      </c>
      <c r="J2627" s="2">
        <v>6.14</v>
      </c>
      <c r="K2627" s="2">
        <v>6.84</v>
      </c>
      <c r="L2627" s="2">
        <v>7.48</v>
      </c>
      <c r="M2627" s="4">
        <f t="shared" ref="M2627:M2690" si="246">I2627/K2627</f>
        <v>10.877192982456142</v>
      </c>
      <c r="N2627" s="4">
        <f t="shared" ref="N2627:N2690" si="247">I2627/L2627</f>
        <v>9.9465240641711237</v>
      </c>
      <c r="O2627" s="5">
        <f t="shared" ref="O2627:O2690" si="248">K2627/J2627-1</f>
        <v>0.11400651465798051</v>
      </c>
      <c r="P2627" s="5">
        <f t="shared" ref="P2627:P2690" si="249">L2627/K2627-1</f>
        <v>9.3567251461988299E-2</v>
      </c>
      <c r="Q2627" s="4">
        <f t="shared" ref="Q2627:Q2690" si="250">M2627/(O2627*100)</f>
        <v>0.9540852130325812</v>
      </c>
      <c r="R2627" s="4">
        <f t="shared" ref="R2627:R2690" si="251">N2627/(P2627*100)</f>
        <v>1.0630347593582889</v>
      </c>
      <c r="S2627" s="4">
        <v>6.63</v>
      </c>
      <c r="T2627" s="2">
        <v>1.18</v>
      </c>
      <c r="U2627" s="2">
        <v>90.2</v>
      </c>
      <c r="V2627" s="2">
        <v>69.55</v>
      </c>
      <c r="W2627" s="2">
        <v>-1.05</v>
      </c>
      <c r="X2627" s="2">
        <v>-2.66</v>
      </c>
      <c r="Y2627" s="2">
        <v>-13.99</v>
      </c>
      <c r="Z2627" s="2">
        <v>-14.89</v>
      </c>
    </row>
    <row r="2628" spans="1:26" x14ac:dyDescent="0.25">
      <c r="A2628" s="1" t="s">
        <v>10529</v>
      </c>
      <c r="B2628" s="1" t="s">
        <v>10530</v>
      </c>
      <c r="C2628" s="1" t="s">
        <v>31</v>
      </c>
      <c r="D2628" s="1" t="s">
        <v>67</v>
      </c>
      <c r="E2628" s="1" t="s">
        <v>1037</v>
      </c>
      <c r="F2628" s="1" t="s">
        <v>10531</v>
      </c>
      <c r="G2628" s="1" t="s">
        <v>12485</v>
      </c>
      <c r="H2628" s="1" t="s">
        <v>10532</v>
      </c>
      <c r="I2628" s="2">
        <v>2.5099999999999998</v>
      </c>
      <c r="J2628" s="2">
        <v>0.14000000000000001</v>
      </c>
      <c r="K2628" s="2"/>
      <c r="L2628" s="2"/>
      <c r="M2628" s="4" t="e">
        <f t="shared" si="246"/>
        <v>#DIV/0!</v>
      </c>
      <c r="N2628" s="4" t="e">
        <f t="shared" si="247"/>
        <v>#DIV/0!</v>
      </c>
      <c r="O2628" s="5">
        <f t="shared" si="248"/>
        <v>-1</v>
      </c>
      <c r="P2628" s="5" t="e">
        <f t="shared" si="249"/>
        <v>#DIV/0!</v>
      </c>
      <c r="Q2628" s="4" t="e">
        <f t="shared" si="250"/>
        <v>#DIV/0!</v>
      </c>
      <c r="R2628" s="4" t="e">
        <f t="shared" si="251"/>
        <v>#DIV/0!</v>
      </c>
      <c r="S2628" s="4">
        <v>9.14</v>
      </c>
      <c r="T2628" s="2">
        <v>0.49</v>
      </c>
      <c r="U2628" s="2">
        <v>2.5099999999999998</v>
      </c>
      <c r="V2628" s="2">
        <v>1.71</v>
      </c>
      <c r="W2628" s="2" t="s">
        <v>12489</v>
      </c>
      <c r="X2628" s="2" t="s">
        <v>12489</v>
      </c>
      <c r="Y2628" s="2">
        <v>46.78</v>
      </c>
      <c r="Z2628" s="2">
        <v>0.4</v>
      </c>
    </row>
    <row r="2629" spans="1:26" x14ac:dyDescent="0.25">
      <c r="A2629" s="1" t="s">
        <v>10533</v>
      </c>
      <c r="B2629" s="1" t="s">
        <v>10534</v>
      </c>
      <c r="C2629" s="1" t="s">
        <v>31</v>
      </c>
      <c r="D2629" s="1" t="s">
        <v>38</v>
      </c>
      <c r="E2629" s="1" t="s">
        <v>254</v>
      </c>
      <c r="F2629" s="1" t="s">
        <v>10535</v>
      </c>
      <c r="G2629" s="1" t="s">
        <v>12480</v>
      </c>
      <c r="H2629" s="1" t="s">
        <v>10536</v>
      </c>
      <c r="I2629" s="2">
        <v>41.74</v>
      </c>
      <c r="J2629" s="2">
        <v>3.92</v>
      </c>
      <c r="K2629" s="2">
        <v>4.05</v>
      </c>
      <c r="L2629" s="2">
        <v>4.17</v>
      </c>
      <c r="M2629" s="4">
        <f t="shared" si="246"/>
        <v>10.306172839506173</v>
      </c>
      <c r="N2629" s="4">
        <f t="shared" si="247"/>
        <v>10.009592326139089</v>
      </c>
      <c r="O2629" s="5">
        <f t="shared" si="248"/>
        <v>3.3163265306122458E-2</v>
      </c>
      <c r="P2629" s="5">
        <f t="shared" si="249"/>
        <v>2.9629629629629672E-2</v>
      </c>
      <c r="Q2629" s="4">
        <f t="shared" si="250"/>
        <v>3.1077075023741685</v>
      </c>
      <c r="R2629" s="4">
        <f t="shared" si="251"/>
        <v>3.3782374100719377</v>
      </c>
      <c r="S2629" s="4">
        <v>-5.4</v>
      </c>
      <c r="T2629" s="2">
        <v>0.56000000000000005</v>
      </c>
      <c r="U2629" s="2">
        <v>48.29</v>
      </c>
      <c r="V2629" s="2">
        <v>38.380000000000003</v>
      </c>
      <c r="W2629" s="2">
        <v>-2.66</v>
      </c>
      <c r="X2629" s="2">
        <v>1.07</v>
      </c>
      <c r="Y2629" s="2">
        <v>1.88</v>
      </c>
      <c r="Z2629" s="2">
        <v>-0.24</v>
      </c>
    </row>
    <row r="2630" spans="1:26" x14ac:dyDescent="0.25">
      <c r="A2630" s="1" t="s">
        <v>10537</v>
      </c>
      <c r="B2630" s="1" t="s">
        <v>10538</v>
      </c>
      <c r="C2630" s="1" t="s">
        <v>45</v>
      </c>
      <c r="D2630" s="1" t="s">
        <v>88</v>
      </c>
      <c r="E2630" s="1" t="s">
        <v>658</v>
      </c>
      <c r="F2630" s="1" t="s">
        <v>10539</v>
      </c>
      <c r="G2630" s="1" t="s">
        <v>12480</v>
      </c>
      <c r="H2630" s="1" t="s">
        <v>12789</v>
      </c>
      <c r="I2630" s="2">
        <v>30.14</v>
      </c>
      <c r="J2630" s="2">
        <v>2.0099999999999998</v>
      </c>
      <c r="K2630" s="2">
        <v>3.72</v>
      </c>
      <c r="L2630" s="2">
        <v>4.22</v>
      </c>
      <c r="M2630" s="4">
        <f t="shared" si="246"/>
        <v>8.1021505376344081</v>
      </c>
      <c r="N2630" s="4">
        <f t="shared" si="247"/>
        <v>7.1421800947867302</v>
      </c>
      <c r="O2630" s="5">
        <f t="shared" si="248"/>
        <v>0.85074626865671665</v>
      </c>
      <c r="P2630" s="5">
        <f t="shared" si="249"/>
        <v>0.13440860215053752</v>
      </c>
      <c r="Q2630" s="4">
        <f t="shared" si="250"/>
        <v>9.5235804565176357E-2</v>
      </c>
      <c r="R2630" s="4">
        <f t="shared" si="251"/>
        <v>0.53137819905213324</v>
      </c>
      <c r="S2630" s="4">
        <v>63.68</v>
      </c>
      <c r="T2630" s="2">
        <v>-0.18</v>
      </c>
      <c r="U2630" s="2">
        <v>33.26</v>
      </c>
      <c r="V2630" s="2">
        <v>9.09</v>
      </c>
      <c r="W2630" s="2">
        <v>-5.64</v>
      </c>
      <c r="X2630" s="2">
        <v>16.37</v>
      </c>
      <c r="Y2630" s="2" t="s">
        <v>12787</v>
      </c>
      <c r="Z2630" s="2">
        <v>37.5</v>
      </c>
    </row>
    <row r="2631" spans="1:26" x14ac:dyDescent="0.25">
      <c r="A2631" s="1" t="s">
        <v>10540</v>
      </c>
      <c r="B2631" s="1" t="s">
        <v>10541</v>
      </c>
      <c r="C2631" s="1" t="s">
        <v>31</v>
      </c>
      <c r="D2631" s="1" t="s">
        <v>18</v>
      </c>
      <c r="E2631" s="1" t="s">
        <v>594</v>
      </c>
      <c r="F2631" s="1" t="s">
        <v>10542</v>
      </c>
      <c r="G2631" s="1" t="s">
        <v>12480</v>
      </c>
      <c r="H2631" s="1" t="s">
        <v>10543</v>
      </c>
      <c r="I2631" s="2">
        <v>43.31</v>
      </c>
      <c r="J2631" s="2">
        <v>0.88</v>
      </c>
      <c r="K2631" s="2"/>
      <c r="L2631" s="2"/>
      <c r="M2631" s="4" t="e">
        <f t="shared" si="246"/>
        <v>#DIV/0!</v>
      </c>
      <c r="N2631" s="4" t="e">
        <f t="shared" si="247"/>
        <v>#DIV/0!</v>
      </c>
      <c r="O2631" s="5">
        <f t="shared" si="248"/>
        <v>-1</v>
      </c>
      <c r="P2631" s="5" t="e">
        <f t="shared" si="249"/>
        <v>#DIV/0!</v>
      </c>
      <c r="Q2631" s="4" t="e">
        <f t="shared" si="250"/>
        <v>#DIV/0!</v>
      </c>
      <c r="R2631" s="4" t="e">
        <f t="shared" si="251"/>
        <v>#DIV/0!</v>
      </c>
      <c r="S2631" s="4">
        <v>-0.44</v>
      </c>
      <c r="T2631" s="2">
        <v>0.96</v>
      </c>
      <c r="U2631" s="2">
        <v>49.77</v>
      </c>
      <c r="V2631" s="2" t="s">
        <v>12488</v>
      </c>
      <c r="W2631" s="2">
        <v>-5.6</v>
      </c>
      <c r="X2631" s="2">
        <v>-7.06</v>
      </c>
      <c r="Y2631" s="2">
        <v>-1.57</v>
      </c>
      <c r="Z2631" s="2">
        <v>-3.76</v>
      </c>
    </row>
    <row r="2632" spans="1:26" x14ac:dyDescent="0.25">
      <c r="A2632" s="1" t="s">
        <v>10544</v>
      </c>
      <c r="B2632" s="1" t="s">
        <v>10545</v>
      </c>
      <c r="C2632" s="1" t="s">
        <v>31</v>
      </c>
      <c r="D2632" s="1" t="s">
        <v>2417</v>
      </c>
      <c r="E2632" s="1" t="s">
        <v>2418</v>
      </c>
      <c r="F2632" s="1" t="s">
        <v>10546</v>
      </c>
      <c r="G2632" s="1" t="s">
        <v>12490</v>
      </c>
      <c r="H2632" s="1" t="s">
        <v>10547</v>
      </c>
      <c r="I2632" s="2">
        <v>36.46</v>
      </c>
      <c r="J2632" s="2">
        <v>3.04</v>
      </c>
      <c r="K2632" s="2">
        <v>3.05</v>
      </c>
      <c r="L2632" s="2">
        <v>3.43</v>
      </c>
      <c r="M2632" s="4">
        <f t="shared" si="246"/>
        <v>11.954098360655738</v>
      </c>
      <c r="N2632" s="4">
        <f t="shared" si="247"/>
        <v>10.629737609329446</v>
      </c>
      <c r="O2632" s="5">
        <f t="shared" si="248"/>
        <v>3.2894736842103978E-3</v>
      </c>
      <c r="P2632" s="5">
        <f t="shared" si="249"/>
        <v>0.12459016393442646</v>
      </c>
      <c r="Q2632" s="4">
        <f t="shared" si="250"/>
        <v>36.340459016394867</v>
      </c>
      <c r="R2632" s="4">
        <f t="shared" si="251"/>
        <v>0.85317630811723033</v>
      </c>
      <c r="S2632" s="4">
        <v>4.6399999999999997</v>
      </c>
      <c r="T2632" s="2">
        <v>0.46</v>
      </c>
      <c r="U2632" s="2">
        <v>43.99</v>
      </c>
      <c r="V2632" s="2">
        <v>20.29</v>
      </c>
      <c r="W2632" s="2">
        <v>-12.27</v>
      </c>
      <c r="X2632" s="2">
        <v>-11.57</v>
      </c>
      <c r="Y2632" s="2">
        <v>3.52</v>
      </c>
      <c r="Z2632" s="2">
        <v>5.5</v>
      </c>
    </row>
    <row r="2633" spans="1:26" x14ac:dyDescent="0.25">
      <c r="A2633" s="1" t="s">
        <v>10548</v>
      </c>
      <c r="B2633" s="1" t="s">
        <v>10549</v>
      </c>
      <c r="C2633" s="1" t="s">
        <v>16</v>
      </c>
      <c r="D2633" s="1" t="s">
        <v>32</v>
      </c>
      <c r="E2633" s="1" t="s">
        <v>1844</v>
      </c>
      <c r="F2633" s="1" t="s">
        <v>10550</v>
      </c>
      <c r="G2633" s="1" t="s">
        <v>12480</v>
      </c>
      <c r="H2633" s="1" t="s">
        <v>10551</v>
      </c>
      <c r="I2633" s="2">
        <v>33.119999999999997</v>
      </c>
      <c r="J2633" s="2">
        <v>3.42</v>
      </c>
      <c r="K2633" s="2">
        <v>3.64</v>
      </c>
      <c r="L2633" s="2">
        <v>3.9</v>
      </c>
      <c r="M2633" s="4">
        <f t="shared" si="246"/>
        <v>9.0989010989010985</v>
      </c>
      <c r="N2633" s="4">
        <f t="shared" si="247"/>
        <v>8.4923076923076923</v>
      </c>
      <c r="O2633" s="5">
        <f t="shared" si="248"/>
        <v>6.4327485380117011E-2</v>
      </c>
      <c r="P2633" s="5">
        <f t="shared" si="249"/>
        <v>7.1428571428571397E-2</v>
      </c>
      <c r="Q2633" s="4">
        <f t="shared" si="250"/>
        <v>1.4144655344655332</v>
      </c>
      <c r="R2633" s="4">
        <f t="shared" si="251"/>
        <v>1.1889230769230774</v>
      </c>
      <c r="S2633" s="4">
        <v>-5.8</v>
      </c>
      <c r="T2633" s="2">
        <v>1.1399999999999999</v>
      </c>
      <c r="U2633" s="2">
        <v>38.36</v>
      </c>
      <c r="V2633" s="2">
        <v>17.690000000000001</v>
      </c>
      <c r="W2633" s="2">
        <v>-10.119999999999999</v>
      </c>
      <c r="X2633" s="2">
        <v>-8.51</v>
      </c>
      <c r="Y2633" s="2">
        <v>-3.86</v>
      </c>
      <c r="Z2633" s="2">
        <v>-0.51</v>
      </c>
    </row>
    <row r="2634" spans="1:26" x14ac:dyDescent="0.25">
      <c r="A2634" s="1" t="s">
        <v>10552</v>
      </c>
      <c r="B2634" s="1" t="s">
        <v>10553</v>
      </c>
      <c r="C2634" s="1" t="s">
        <v>16</v>
      </c>
      <c r="D2634" s="1" t="s">
        <v>38</v>
      </c>
      <c r="E2634" s="1" t="s">
        <v>510</v>
      </c>
      <c r="F2634" s="1" t="s">
        <v>10554</v>
      </c>
      <c r="G2634" s="1" t="s">
        <v>12480</v>
      </c>
      <c r="H2634" s="1" t="s">
        <v>9390</v>
      </c>
      <c r="I2634" s="2">
        <v>38.36</v>
      </c>
      <c r="J2634" s="2">
        <v>2.5499999999999998</v>
      </c>
      <c r="K2634" s="2">
        <v>2.63</v>
      </c>
      <c r="L2634" s="2">
        <v>2.74</v>
      </c>
      <c r="M2634" s="4">
        <f t="shared" si="246"/>
        <v>14.585551330798479</v>
      </c>
      <c r="N2634" s="4">
        <f t="shared" si="247"/>
        <v>13.999999999999998</v>
      </c>
      <c r="O2634" s="5">
        <f t="shared" si="248"/>
        <v>3.1372549019607954E-2</v>
      </c>
      <c r="P2634" s="5">
        <f t="shared" si="249"/>
        <v>4.1825095057034245E-2</v>
      </c>
      <c r="Q2634" s="4">
        <f t="shared" si="250"/>
        <v>4.6491444866919984</v>
      </c>
      <c r="R2634" s="4">
        <f t="shared" si="251"/>
        <v>3.347272727272725</v>
      </c>
      <c r="S2634" s="4">
        <v>10.14</v>
      </c>
      <c r="T2634" s="2">
        <v>1.04</v>
      </c>
      <c r="U2634" s="2">
        <v>39.729999999999997</v>
      </c>
      <c r="V2634" s="2">
        <v>30.08</v>
      </c>
      <c r="W2634" s="2">
        <v>-3.45</v>
      </c>
      <c r="X2634" s="2">
        <v>-2.04</v>
      </c>
      <c r="Y2634" s="2">
        <v>2.13</v>
      </c>
      <c r="Z2634" s="2">
        <v>4.3499999999999996</v>
      </c>
    </row>
    <row r="2635" spans="1:26" x14ac:dyDescent="0.25">
      <c r="A2635" s="1" t="s">
        <v>10555</v>
      </c>
      <c r="B2635" s="1" t="s">
        <v>10556</v>
      </c>
      <c r="C2635" s="1" t="s">
        <v>45</v>
      </c>
      <c r="D2635" s="1" t="s">
        <v>38</v>
      </c>
      <c r="E2635" s="1" t="s">
        <v>1244</v>
      </c>
      <c r="F2635" s="1" t="s">
        <v>10557</v>
      </c>
      <c r="G2635" s="1" t="s">
        <v>12480</v>
      </c>
      <c r="H2635" s="1" t="s">
        <v>1195</v>
      </c>
      <c r="I2635" s="2">
        <v>40.299999999999997</v>
      </c>
      <c r="J2635" s="2">
        <v>3.49</v>
      </c>
      <c r="K2635" s="2">
        <v>3.64</v>
      </c>
      <c r="L2635" s="2">
        <v>3.77</v>
      </c>
      <c r="M2635" s="4">
        <f t="shared" si="246"/>
        <v>11.071428571428569</v>
      </c>
      <c r="N2635" s="4">
        <f t="shared" si="247"/>
        <v>10.689655172413792</v>
      </c>
      <c r="O2635" s="5">
        <f t="shared" si="248"/>
        <v>4.2979942693409656E-2</v>
      </c>
      <c r="P2635" s="5">
        <f t="shared" si="249"/>
        <v>3.5714285714285587E-2</v>
      </c>
      <c r="Q2635" s="4">
        <f t="shared" si="250"/>
        <v>2.5759523809523857</v>
      </c>
      <c r="R2635" s="4">
        <f t="shared" si="251"/>
        <v>2.9931034482758725</v>
      </c>
      <c r="S2635" s="4">
        <v>0.63</v>
      </c>
      <c r="T2635" s="2">
        <v>0.92</v>
      </c>
      <c r="U2635" s="2">
        <v>44.68</v>
      </c>
      <c r="V2635" s="2">
        <v>32.89</v>
      </c>
      <c r="W2635" s="2">
        <v>-6.04</v>
      </c>
      <c r="X2635" s="2">
        <v>-8.99</v>
      </c>
      <c r="Y2635" s="2">
        <v>-5.75</v>
      </c>
      <c r="Z2635" s="2">
        <v>2.41</v>
      </c>
    </row>
    <row r="2636" spans="1:26" x14ac:dyDescent="0.25">
      <c r="A2636" s="1" t="s">
        <v>10558</v>
      </c>
      <c r="B2636" s="1" t="s">
        <v>10559</v>
      </c>
      <c r="C2636" s="1" t="s">
        <v>16</v>
      </c>
      <c r="D2636" s="1" t="s">
        <v>38</v>
      </c>
      <c r="E2636" s="1" t="s">
        <v>194</v>
      </c>
      <c r="F2636" s="1" t="s">
        <v>10560</v>
      </c>
      <c r="G2636" s="1" t="s">
        <v>12480</v>
      </c>
      <c r="H2636" s="1" t="s">
        <v>12559</v>
      </c>
      <c r="I2636" s="2">
        <v>65.88</v>
      </c>
      <c r="J2636" s="2">
        <v>4.8899999999999997</v>
      </c>
      <c r="K2636" s="2"/>
      <c r="L2636" s="2"/>
      <c r="M2636" s="4" t="e">
        <f t="shared" si="246"/>
        <v>#DIV/0!</v>
      </c>
      <c r="N2636" s="4" t="e">
        <f t="shared" si="247"/>
        <v>#DIV/0!</v>
      </c>
      <c r="O2636" s="5">
        <f t="shared" si="248"/>
        <v>-1</v>
      </c>
      <c r="P2636" s="5" t="e">
        <f t="shared" si="249"/>
        <v>#DIV/0!</v>
      </c>
      <c r="Q2636" s="4" t="e">
        <f t="shared" si="250"/>
        <v>#DIV/0!</v>
      </c>
      <c r="R2636" s="4" t="e">
        <f t="shared" si="251"/>
        <v>#DIV/0!</v>
      </c>
      <c r="S2636" s="4">
        <v>17.32</v>
      </c>
      <c r="T2636" s="2">
        <v>1.01</v>
      </c>
      <c r="U2636" s="2">
        <v>77.17</v>
      </c>
      <c r="V2636" s="2">
        <v>56.87</v>
      </c>
      <c r="W2636" s="2">
        <v>-5.82</v>
      </c>
      <c r="X2636" s="2">
        <v>-6.47</v>
      </c>
      <c r="Y2636" s="2">
        <v>-11.2</v>
      </c>
      <c r="Z2636" s="2">
        <v>-6.23</v>
      </c>
    </row>
    <row r="2637" spans="1:26" x14ac:dyDescent="0.25">
      <c r="A2637" s="1" t="s">
        <v>10561</v>
      </c>
      <c r="B2637" s="1" t="s">
        <v>10562</v>
      </c>
      <c r="C2637" s="1" t="s">
        <v>16</v>
      </c>
      <c r="D2637" s="1" t="s">
        <v>18</v>
      </c>
      <c r="E2637" s="1" t="s">
        <v>594</v>
      </c>
      <c r="F2637" s="1" t="s">
        <v>10563</v>
      </c>
      <c r="G2637" s="1" t="s">
        <v>12490</v>
      </c>
      <c r="H2637" s="1" t="s">
        <v>10505</v>
      </c>
      <c r="I2637" s="2">
        <v>227.72</v>
      </c>
      <c r="J2637" s="2">
        <v>9.2200000000000006</v>
      </c>
      <c r="K2637" s="2">
        <v>10.210000000000001</v>
      </c>
      <c r="L2637" s="2">
        <v>11.08</v>
      </c>
      <c r="M2637" s="4">
        <f t="shared" si="246"/>
        <v>22.303623898139076</v>
      </c>
      <c r="N2637" s="4">
        <f t="shared" si="247"/>
        <v>20.552346570397113</v>
      </c>
      <c r="O2637" s="5">
        <f t="shared" si="248"/>
        <v>0.10737527114967471</v>
      </c>
      <c r="P2637" s="5">
        <f t="shared" si="249"/>
        <v>8.5210577864838211E-2</v>
      </c>
      <c r="Q2637" s="4">
        <f t="shared" si="250"/>
        <v>2.0771657812206277</v>
      </c>
      <c r="R2637" s="4">
        <f t="shared" si="251"/>
        <v>2.4119477986638502</v>
      </c>
      <c r="S2637" s="4">
        <v>6.24</v>
      </c>
      <c r="T2637" s="2">
        <v>1.05</v>
      </c>
      <c r="U2637" s="2">
        <v>268.64999999999998</v>
      </c>
      <c r="V2637" s="2">
        <v>208.55</v>
      </c>
      <c r="W2637" s="2">
        <v>-8.09</v>
      </c>
      <c r="X2637" s="2">
        <v>-7.2</v>
      </c>
      <c r="Y2637" s="2">
        <v>-10.37</v>
      </c>
      <c r="Z2637" s="2">
        <v>-10.18</v>
      </c>
    </row>
    <row r="2638" spans="1:26" x14ac:dyDescent="0.25">
      <c r="A2638" s="1" t="s">
        <v>10564</v>
      </c>
      <c r="B2638" s="1" t="s">
        <v>10565</v>
      </c>
      <c r="C2638" s="1" t="s">
        <v>16</v>
      </c>
      <c r="D2638" s="1" t="s">
        <v>38</v>
      </c>
      <c r="E2638" s="1" t="s">
        <v>119</v>
      </c>
      <c r="F2638" s="1" t="s">
        <v>10566</v>
      </c>
      <c r="G2638" s="1" t="s">
        <v>12480</v>
      </c>
      <c r="H2638" s="1" t="s">
        <v>7531</v>
      </c>
      <c r="I2638" s="2">
        <v>36.61</v>
      </c>
      <c r="J2638" s="2">
        <v>1.99</v>
      </c>
      <c r="K2638" s="2">
        <v>2.0299999999999998</v>
      </c>
      <c r="L2638" s="2">
        <v>2.2799999999999998</v>
      </c>
      <c r="M2638" s="4">
        <f t="shared" si="246"/>
        <v>18.03448275862069</v>
      </c>
      <c r="N2638" s="4">
        <f t="shared" si="247"/>
        <v>16.057017543859651</v>
      </c>
      <c r="O2638" s="5">
        <f t="shared" si="248"/>
        <v>2.0100502512562679E-2</v>
      </c>
      <c r="P2638" s="5">
        <f t="shared" si="249"/>
        <v>0.12315270935960587</v>
      </c>
      <c r="Q2638" s="4">
        <f t="shared" si="250"/>
        <v>8.9721551724138529</v>
      </c>
      <c r="R2638" s="4">
        <f t="shared" si="251"/>
        <v>1.3038298245614039</v>
      </c>
      <c r="S2638" s="4">
        <v>-4.67</v>
      </c>
      <c r="T2638" s="2">
        <v>0.77</v>
      </c>
      <c r="U2638" s="2">
        <v>39.71</v>
      </c>
      <c r="V2638" s="2">
        <v>24.88</v>
      </c>
      <c r="W2638" s="2">
        <v>-3.38</v>
      </c>
      <c r="X2638" s="2">
        <v>-6.82</v>
      </c>
      <c r="Y2638" s="2">
        <v>12.96</v>
      </c>
      <c r="Z2638" s="2">
        <v>18.329999999999998</v>
      </c>
    </row>
    <row r="2639" spans="1:26" x14ac:dyDescent="0.25">
      <c r="A2639" s="1" t="s">
        <v>10567</v>
      </c>
      <c r="B2639" s="1" t="s">
        <v>10568</v>
      </c>
      <c r="C2639" s="1" t="s">
        <v>45</v>
      </c>
      <c r="D2639" s="1" t="s">
        <v>38</v>
      </c>
      <c r="E2639" s="1" t="s">
        <v>52</v>
      </c>
      <c r="F2639" s="1" t="s">
        <v>10569</v>
      </c>
      <c r="G2639" s="1" t="s">
        <v>12490</v>
      </c>
      <c r="H2639" s="1" t="s">
        <v>2231</v>
      </c>
      <c r="I2639" s="2">
        <v>45.25</v>
      </c>
      <c r="J2639" s="2">
        <v>2.0499999999999998</v>
      </c>
      <c r="K2639" s="2">
        <v>2.08</v>
      </c>
      <c r="L2639" s="2">
        <v>2.57</v>
      </c>
      <c r="M2639" s="4">
        <f t="shared" si="246"/>
        <v>21.75480769230769</v>
      </c>
      <c r="N2639" s="4">
        <f t="shared" si="247"/>
        <v>17.607003891050585</v>
      </c>
      <c r="O2639" s="5">
        <f t="shared" si="248"/>
        <v>1.4634146341463428E-2</v>
      </c>
      <c r="P2639" s="5">
        <f t="shared" si="249"/>
        <v>0.23557692307692291</v>
      </c>
      <c r="Q2639" s="4">
        <f t="shared" si="250"/>
        <v>14.865785256410241</v>
      </c>
      <c r="R2639" s="4">
        <f t="shared" si="251"/>
        <v>0.7473993488445968</v>
      </c>
      <c r="S2639" s="4">
        <v>65.09</v>
      </c>
      <c r="T2639" s="2">
        <v>1.39</v>
      </c>
      <c r="U2639" s="2">
        <v>76.27</v>
      </c>
      <c r="V2639" s="2">
        <v>42.46</v>
      </c>
      <c r="W2639" s="2">
        <v>2.0299999999999998</v>
      </c>
      <c r="X2639" s="2">
        <v>-27.66</v>
      </c>
      <c r="Y2639" s="2">
        <v>-28.67</v>
      </c>
      <c r="Z2639" s="2">
        <v>-29.48</v>
      </c>
    </row>
    <row r="2640" spans="1:26" x14ac:dyDescent="0.25">
      <c r="A2640" s="1" t="s">
        <v>10570</v>
      </c>
      <c r="B2640" s="1" t="s">
        <v>10571</v>
      </c>
      <c r="C2640" s="1" t="s">
        <v>16</v>
      </c>
      <c r="D2640" s="1" t="s">
        <v>38</v>
      </c>
      <c r="E2640" s="1" t="s">
        <v>259</v>
      </c>
      <c r="F2640" s="1" t="s">
        <v>10572</v>
      </c>
      <c r="G2640" s="1" t="s">
        <v>12502</v>
      </c>
      <c r="H2640" s="1" t="s">
        <v>222</v>
      </c>
      <c r="I2640" s="2">
        <v>17.46</v>
      </c>
      <c r="J2640" s="2"/>
      <c r="K2640" s="2"/>
      <c r="L2640" s="2"/>
      <c r="M2640" s="4" t="e">
        <f t="shared" si="246"/>
        <v>#DIV/0!</v>
      </c>
      <c r="N2640" s="4" t="e">
        <f t="shared" si="247"/>
        <v>#DIV/0!</v>
      </c>
      <c r="O2640" s="5" t="e">
        <f t="shared" si="248"/>
        <v>#DIV/0!</v>
      </c>
      <c r="P2640" s="5" t="e">
        <f t="shared" si="249"/>
        <v>#DIV/0!</v>
      </c>
      <c r="Q2640" s="4" t="e">
        <f t="shared" si="250"/>
        <v>#DIV/0!</v>
      </c>
      <c r="R2640" s="4" t="e">
        <f t="shared" si="251"/>
        <v>#DIV/0!</v>
      </c>
      <c r="S2640" s="4"/>
      <c r="T2640" s="2">
        <v>0.9</v>
      </c>
      <c r="U2640" s="2">
        <v>18.57</v>
      </c>
      <c r="V2640" s="2">
        <v>15.52</v>
      </c>
      <c r="W2640" s="2">
        <v>-1.69</v>
      </c>
      <c r="X2640" s="2">
        <v>-4.49</v>
      </c>
      <c r="Y2640" s="2">
        <v>-5.16</v>
      </c>
      <c r="Z2640" s="2">
        <v>-5.83</v>
      </c>
    </row>
    <row r="2641" spans="1:26" x14ac:dyDescent="0.25">
      <c r="A2641" s="1" t="s">
        <v>10573</v>
      </c>
      <c r="B2641" s="1" t="s">
        <v>10574</v>
      </c>
      <c r="C2641" s="1" t="s">
        <v>45</v>
      </c>
      <c r="D2641" s="1" t="s">
        <v>140</v>
      </c>
      <c r="E2641" s="1" t="s">
        <v>2376</v>
      </c>
      <c r="F2641" s="1" t="s">
        <v>10575</v>
      </c>
      <c r="G2641" s="1" t="s">
        <v>12480</v>
      </c>
      <c r="H2641" s="1" t="s">
        <v>10576</v>
      </c>
      <c r="I2641" s="2">
        <v>5.24</v>
      </c>
      <c r="J2641" s="2">
        <v>0.77</v>
      </c>
      <c r="K2641" s="2">
        <v>1.1000000000000001</v>
      </c>
      <c r="L2641" s="2">
        <v>1.55</v>
      </c>
      <c r="M2641" s="4">
        <f t="shared" si="246"/>
        <v>4.7636363636363637</v>
      </c>
      <c r="N2641" s="4">
        <f t="shared" si="247"/>
        <v>3.3806451612903228</v>
      </c>
      <c r="O2641" s="5">
        <f t="shared" si="248"/>
        <v>0.4285714285714286</v>
      </c>
      <c r="P2641" s="5">
        <f t="shared" si="249"/>
        <v>0.40909090909090895</v>
      </c>
      <c r="Q2641" s="4">
        <f t="shared" si="250"/>
        <v>0.11115151515151514</v>
      </c>
      <c r="R2641" s="4">
        <f t="shared" si="251"/>
        <v>8.263799283154126E-2</v>
      </c>
      <c r="S2641" s="4">
        <v>12.43</v>
      </c>
      <c r="T2641" s="2">
        <v>1.71</v>
      </c>
      <c r="U2641" s="2">
        <v>6.96</v>
      </c>
      <c r="V2641" s="2">
        <v>4.16</v>
      </c>
      <c r="W2641" s="2">
        <v>8.7100000000000009</v>
      </c>
      <c r="X2641" s="2">
        <v>-1.69</v>
      </c>
      <c r="Y2641" s="2">
        <v>-5.76</v>
      </c>
      <c r="Z2641" s="2">
        <v>7.16</v>
      </c>
    </row>
    <row r="2642" spans="1:26" x14ac:dyDescent="0.25">
      <c r="A2642" s="1" t="s">
        <v>10577</v>
      </c>
      <c r="B2642" s="1" t="s">
        <v>10578</v>
      </c>
      <c r="C2642" s="1" t="s">
        <v>45</v>
      </c>
      <c r="D2642" s="1" t="s">
        <v>88</v>
      </c>
      <c r="E2642" s="1" t="s">
        <v>912</v>
      </c>
      <c r="F2642" s="1" t="s">
        <v>10579</v>
      </c>
      <c r="G2642" s="1" t="s">
        <v>12480</v>
      </c>
      <c r="H2642" s="1" t="s">
        <v>1621</v>
      </c>
      <c r="I2642" s="2">
        <v>182.36</v>
      </c>
      <c r="J2642" s="2">
        <v>7.99</v>
      </c>
      <c r="K2642" s="2">
        <v>13.59</v>
      </c>
      <c r="L2642" s="2">
        <v>15.74</v>
      </c>
      <c r="M2642" s="4">
        <f t="shared" si="246"/>
        <v>13.418690213392201</v>
      </c>
      <c r="N2642" s="4">
        <f t="shared" si="247"/>
        <v>11.58576874205845</v>
      </c>
      <c r="O2642" s="5">
        <f t="shared" si="248"/>
        <v>0.70087609511889859</v>
      </c>
      <c r="P2642" s="5">
        <f t="shared" si="249"/>
        <v>0.15820456217807211</v>
      </c>
      <c r="Q2642" s="4">
        <f t="shared" si="250"/>
        <v>0.19145595500893514</v>
      </c>
      <c r="R2642" s="4">
        <f t="shared" si="251"/>
        <v>0.73232835909104343</v>
      </c>
      <c r="S2642" s="4">
        <v>3.63</v>
      </c>
      <c r="T2642" s="2">
        <v>1.43</v>
      </c>
      <c r="U2642" s="2">
        <v>205.78</v>
      </c>
      <c r="V2642" s="2">
        <v>109.21</v>
      </c>
      <c r="W2642" s="2">
        <v>-9.5</v>
      </c>
      <c r="X2642" s="2">
        <v>-10.06</v>
      </c>
      <c r="Y2642" s="2">
        <v>7.94</v>
      </c>
      <c r="Z2642" s="2">
        <v>7.62</v>
      </c>
    </row>
    <row r="2643" spans="1:26" x14ac:dyDescent="0.25">
      <c r="A2643" s="1" t="s">
        <v>10580</v>
      </c>
      <c r="B2643" s="1" t="s">
        <v>10581</v>
      </c>
      <c r="C2643" s="1" t="s">
        <v>31</v>
      </c>
      <c r="D2643" s="1" t="s">
        <v>32</v>
      </c>
      <c r="E2643" s="1" t="s">
        <v>33</v>
      </c>
      <c r="F2643" s="1" t="s">
        <v>10582</v>
      </c>
      <c r="G2643" s="1" t="s">
        <v>12480</v>
      </c>
      <c r="H2643" s="1" t="s">
        <v>143</v>
      </c>
      <c r="I2643" s="2">
        <v>70.768500000000003</v>
      </c>
      <c r="J2643" s="2" t="s">
        <v>12513</v>
      </c>
      <c r="K2643" s="2"/>
      <c r="L2643" s="2"/>
      <c r="M2643" s="4" t="e">
        <f t="shared" si="246"/>
        <v>#DIV/0!</v>
      </c>
      <c r="N2643" s="4" t="e">
        <f t="shared" si="247"/>
        <v>#DIV/0!</v>
      </c>
      <c r="O2643" s="5">
        <f t="shared" si="248"/>
        <v>-1</v>
      </c>
      <c r="P2643" s="5" t="e">
        <f t="shared" si="249"/>
        <v>#DIV/0!</v>
      </c>
      <c r="Q2643" s="4" t="e">
        <f t="shared" si="250"/>
        <v>#DIV/0!</v>
      </c>
      <c r="R2643" s="4" t="e">
        <f t="shared" si="251"/>
        <v>#DIV/0!</v>
      </c>
      <c r="S2643" s="4"/>
      <c r="T2643" s="2"/>
      <c r="U2643" s="2">
        <v>72.459999999999994</v>
      </c>
      <c r="V2643" s="2">
        <v>57.81</v>
      </c>
      <c r="W2643" s="2">
        <v>1.5</v>
      </c>
      <c r="X2643" s="2">
        <v>-1.23</v>
      </c>
      <c r="Y2643" s="2">
        <v>10.38</v>
      </c>
      <c r="Z2643" s="2">
        <v>12.81</v>
      </c>
    </row>
    <row r="2644" spans="1:26" x14ac:dyDescent="0.25">
      <c r="A2644" s="1" t="s">
        <v>10583</v>
      </c>
      <c r="B2644" s="1" t="s">
        <v>10584</v>
      </c>
      <c r="C2644" s="1" t="s">
        <v>16</v>
      </c>
      <c r="D2644" s="1" t="s">
        <v>32</v>
      </c>
      <c r="E2644" s="1" t="s">
        <v>3580</v>
      </c>
      <c r="F2644" s="1" t="s">
        <v>10585</v>
      </c>
      <c r="G2644" s="1" t="s">
        <v>12480</v>
      </c>
      <c r="H2644" s="1" t="s">
        <v>10586</v>
      </c>
      <c r="I2644" s="2">
        <v>33.53</v>
      </c>
      <c r="J2644" s="2">
        <v>0.53</v>
      </c>
      <c r="K2644" s="2">
        <v>1.05</v>
      </c>
      <c r="L2644" s="2">
        <v>1.85</v>
      </c>
      <c r="M2644" s="4">
        <f t="shared" si="246"/>
        <v>31.933333333333334</v>
      </c>
      <c r="N2644" s="4">
        <f t="shared" si="247"/>
        <v>18.124324324324323</v>
      </c>
      <c r="O2644" s="5">
        <f t="shared" si="248"/>
        <v>0.98113207547169812</v>
      </c>
      <c r="P2644" s="5">
        <f t="shared" si="249"/>
        <v>0.76190476190476186</v>
      </c>
      <c r="Q2644" s="4">
        <f t="shared" si="250"/>
        <v>0.325474358974359</v>
      </c>
      <c r="R2644" s="4">
        <f t="shared" si="251"/>
        <v>0.23788175675675674</v>
      </c>
      <c r="S2644" s="4">
        <v>-11.07</v>
      </c>
      <c r="T2644" s="2">
        <v>1.55</v>
      </c>
      <c r="U2644" s="2">
        <v>34.950000000000003</v>
      </c>
      <c r="V2644" s="2">
        <v>17.78</v>
      </c>
      <c r="W2644" s="2">
        <v>0.15</v>
      </c>
      <c r="X2644" s="2">
        <v>3.14</v>
      </c>
      <c r="Y2644" s="2">
        <v>26.72</v>
      </c>
      <c r="Z2644" s="2">
        <v>29.26</v>
      </c>
    </row>
    <row r="2645" spans="1:26" x14ac:dyDescent="0.25">
      <c r="A2645" s="1" t="s">
        <v>10587</v>
      </c>
      <c r="B2645" s="1" t="s">
        <v>10588</v>
      </c>
      <c r="C2645" s="1" t="s">
        <v>16</v>
      </c>
      <c r="D2645" s="1" t="s">
        <v>140</v>
      </c>
      <c r="E2645" s="1" t="s">
        <v>1421</v>
      </c>
      <c r="F2645" s="1" t="s">
        <v>10589</v>
      </c>
      <c r="G2645" s="1" t="s">
        <v>12480</v>
      </c>
      <c r="H2645" s="1" t="s">
        <v>1543</v>
      </c>
      <c r="I2645" s="2">
        <v>91.27</v>
      </c>
      <c r="J2645" s="2">
        <v>3.79</v>
      </c>
      <c r="K2645" s="2">
        <v>4.4800000000000004</v>
      </c>
      <c r="L2645" s="2">
        <v>4.9000000000000004</v>
      </c>
      <c r="M2645" s="4">
        <f t="shared" si="246"/>
        <v>20.372767857142854</v>
      </c>
      <c r="N2645" s="4">
        <f t="shared" si="247"/>
        <v>18.626530612244895</v>
      </c>
      <c r="O2645" s="5">
        <f t="shared" si="248"/>
        <v>0.18205804749340371</v>
      </c>
      <c r="P2645" s="5">
        <f t="shared" si="249"/>
        <v>9.375E-2</v>
      </c>
      <c r="Q2645" s="4">
        <f t="shared" si="250"/>
        <v>1.119025944616977</v>
      </c>
      <c r="R2645" s="4">
        <f t="shared" si="251"/>
        <v>1.9868299319727889</v>
      </c>
      <c r="S2645" s="4">
        <v>6.48</v>
      </c>
      <c r="T2645" s="2">
        <v>1.1200000000000001</v>
      </c>
      <c r="U2645" s="2">
        <v>113.7</v>
      </c>
      <c r="V2645" s="2">
        <v>78.92</v>
      </c>
      <c r="W2645" s="2">
        <v>-1.7</v>
      </c>
      <c r="X2645" s="2">
        <v>-11.01</v>
      </c>
      <c r="Y2645" s="2">
        <v>-2.46</v>
      </c>
      <c r="Z2645" s="2">
        <v>-3.27</v>
      </c>
    </row>
    <row r="2646" spans="1:26" x14ac:dyDescent="0.25">
      <c r="A2646" s="1" t="s">
        <v>10591</v>
      </c>
      <c r="B2646" s="1" t="s">
        <v>10592</v>
      </c>
      <c r="C2646" s="1" t="s">
        <v>45</v>
      </c>
      <c r="D2646" s="1" t="s">
        <v>32</v>
      </c>
      <c r="E2646" s="1" t="s">
        <v>311</v>
      </c>
      <c r="F2646" s="1" t="s">
        <v>10593</v>
      </c>
      <c r="G2646" s="1" t="s">
        <v>12480</v>
      </c>
      <c r="H2646" s="1" t="s">
        <v>10594</v>
      </c>
      <c r="I2646" s="2">
        <v>13.87</v>
      </c>
      <c r="J2646" s="2">
        <v>1.62</v>
      </c>
      <c r="K2646" s="2">
        <v>1.95</v>
      </c>
      <c r="L2646" s="2">
        <v>1.91</v>
      </c>
      <c r="M2646" s="4">
        <f t="shared" si="246"/>
        <v>7.1128205128205124</v>
      </c>
      <c r="N2646" s="4">
        <f t="shared" si="247"/>
        <v>7.2617801047120416</v>
      </c>
      <c r="O2646" s="5">
        <f t="shared" si="248"/>
        <v>0.2037037037037035</v>
      </c>
      <c r="P2646" s="5">
        <f t="shared" si="249"/>
        <v>-2.0512820512820551E-2</v>
      </c>
      <c r="Q2646" s="4">
        <f t="shared" si="250"/>
        <v>0.34917482517482551</v>
      </c>
      <c r="R2646" s="4">
        <f t="shared" si="251"/>
        <v>-3.5401178010471135</v>
      </c>
      <c r="S2646" s="4">
        <v>3.08</v>
      </c>
      <c r="T2646" s="2">
        <v>1.78</v>
      </c>
      <c r="U2646" s="2">
        <v>19.46</v>
      </c>
      <c r="V2646" s="2">
        <v>9.1300000000000008</v>
      </c>
      <c r="W2646" s="2">
        <v>-18.559999999999999</v>
      </c>
      <c r="X2646" s="2">
        <v>-22.9</v>
      </c>
      <c r="Y2646" s="2">
        <v>-9.2899999999999991</v>
      </c>
      <c r="Z2646" s="2">
        <v>-6.22</v>
      </c>
    </row>
    <row r="2647" spans="1:26" x14ac:dyDescent="0.25">
      <c r="A2647" s="1" t="s">
        <v>10595</v>
      </c>
      <c r="B2647" s="1" t="s">
        <v>10596</v>
      </c>
      <c r="C2647" s="1" t="s">
        <v>16</v>
      </c>
      <c r="D2647" s="1" t="s">
        <v>46</v>
      </c>
      <c r="E2647" s="1" t="s">
        <v>770</v>
      </c>
      <c r="F2647" s="1" t="s">
        <v>10597</v>
      </c>
      <c r="G2647" s="1" t="s">
        <v>12480</v>
      </c>
      <c r="H2647" s="1" t="s">
        <v>3558</v>
      </c>
      <c r="I2647" s="2">
        <v>76.28</v>
      </c>
      <c r="J2647" s="2">
        <v>5.51</v>
      </c>
      <c r="K2647" s="2">
        <v>4.71</v>
      </c>
      <c r="L2647" s="2">
        <v>3.19</v>
      </c>
      <c r="M2647" s="4">
        <f t="shared" si="246"/>
        <v>16.195329087048833</v>
      </c>
      <c r="N2647" s="4">
        <f t="shared" si="247"/>
        <v>23.912225705329153</v>
      </c>
      <c r="O2647" s="5">
        <f t="shared" si="248"/>
        <v>-0.14519056261343011</v>
      </c>
      <c r="P2647" s="5">
        <f t="shared" si="249"/>
        <v>-0.32271762208067944</v>
      </c>
      <c r="Q2647" s="4">
        <f t="shared" si="250"/>
        <v>-1.1154532908704886</v>
      </c>
      <c r="R2647" s="4">
        <f t="shared" si="251"/>
        <v>-0.74096436231644924</v>
      </c>
      <c r="S2647" s="4">
        <v>-24.58</v>
      </c>
      <c r="T2647" s="2">
        <v>-0.31</v>
      </c>
      <c r="U2647" s="2">
        <v>80.19</v>
      </c>
      <c r="V2647" s="2">
        <v>31.86</v>
      </c>
      <c r="W2647" s="2">
        <v>-2.5499999999999998</v>
      </c>
      <c r="X2647" s="2">
        <v>12.66</v>
      </c>
      <c r="Y2647" s="2">
        <v>46.47</v>
      </c>
      <c r="Z2647" s="2">
        <v>50.07</v>
      </c>
    </row>
    <row r="2648" spans="1:26" x14ac:dyDescent="0.25">
      <c r="A2648" s="1" t="s">
        <v>10598</v>
      </c>
      <c r="B2648" s="1" t="s">
        <v>10599</v>
      </c>
      <c r="C2648" s="1" t="s">
        <v>45</v>
      </c>
      <c r="D2648" s="1" t="s">
        <v>18</v>
      </c>
      <c r="E2648" s="1" t="s">
        <v>74</v>
      </c>
      <c r="F2648" s="1" t="s">
        <v>10600</v>
      </c>
      <c r="G2648" s="1" t="s">
        <v>12480</v>
      </c>
      <c r="H2648" s="1" t="s">
        <v>10601</v>
      </c>
      <c r="I2648" s="2">
        <v>38.31</v>
      </c>
      <c r="J2648" s="2">
        <v>-1.65</v>
      </c>
      <c r="K2648" s="2">
        <v>-3.15</v>
      </c>
      <c r="L2648" s="2">
        <v>-2.67</v>
      </c>
      <c r="M2648" s="4">
        <f t="shared" si="246"/>
        <v>-12.161904761904763</v>
      </c>
      <c r="N2648" s="4">
        <f t="shared" si="247"/>
        <v>-14.348314606741575</v>
      </c>
      <c r="O2648" s="5">
        <f t="shared" si="248"/>
        <v>0.90909090909090917</v>
      </c>
      <c r="P2648" s="5">
        <f t="shared" si="249"/>
        <v>-0.15238095238095239</v>
      </c>
      <c r="Q2648" s="4">
        <f t="shared" si="250"/>
        <v>-0.13378095238095239</v>
      </c>
      <c r="R2648" s="4">
        <f t="shared" si="251"/>
        <v>0.94160814606741572</v>
      </c>
      <c r="S2648" s="4">
        <v>316.33999999999997</v>
      </c>
      <c r="T2648" s="2">
        <v>1.07</v>
      </c>
      <c r="U2648" s="2">
        <v>38.31</v>
      </c>
      <c r="V2648" s="2">
        <v>5.9</v>
      </c>
      <c r="W2648" s="2">
        <v>4.42</v>
      </c>
      <c r="X2648" s="2">
        <v>19.760000000000002</v>
      </c>
      <c r="Y2648" s="2">
        <v>16.16</v>
      </c>
      <c r="Z2648" s="2">
        <v>20.7</v>
      </c>
    </row>
    <row r="2649" spans="1:26" x14ac:dyDescent="0.25">
      <c r="A2649" s="1" t="s">
        <v>10602</v>
      </c>
      <c r="B2649" s="1" t="s">
        <v>10603</v>
      </c>
      <c r="C2649" s="1" t="s">
        <v>45</v>
      </c>
      <c r="D2649" s="1" t="s">
        <v>147</v>
      </c>
      <c r="E2649" s="1" t="s">
        <v>435</v>
      </c>
      <c r="F2649" s="1" t="s">
        <v>10604</v>
      </c>
      <c r="G2649" s="1" t="s">
        <v>12480</v>
      </c>
      <c r="H2649" s="1" t="s">
        <v>944</v>
      </c>
      <c r="I2649" s="2">
        <v>82.18</v>
      </c>
      <c r="J2649" s="2">
        <v>6.18</v>
      </c>
      <c r="K2649" s="2">
        <v>6.87</v>
      </c>
      <c r="L2649" s="2">
        <v>7.89</v>
      </c>
      <c r="M2649" s="4">
        <f t="shared" si="246"/>
        <v>11.962154294032024</v>
      </c>
      <c r="N2649" s="4">
        <f t="shared" si="247"/>
        <v>10.415716096324463</v>
      </c>
      <c r="O2649" s="5">
        <f t="shared" si="248"/>
        <v>0.11165048543689338</v>
      </c>
      <c r="P2649" s="5">
        <f t="shared" si="249"/>
        <v>0.14847161572052392</v>
      </c>
      <c r="Q2649" s="4">
        <f t="shared" si="250"/>
        <v>1.0713929498133012</v>
      </c>
      <c r="R2649" s="4">
        <f t="shared" si="251"/>
        <v>0.70152911354655978</v>
      </c>
      <c r="S2649" s="4">
        <v>3.96</v>
      </c>
      <c r="T2649" s="2">
        <v>0.56000000000000005</v>
      </c>
      <c r="U2649" s="2">
        <v>92.26</v>
      </c>
      <c r="V2649" s="2">
        <v>73.87</v>
      </c>
      <c r="W2649" s="2">
        <v>-2.68</v>
      </c>
      <c r="X2649" s="2">
        <v>2.84</v>
      </c>
      <c r="Y2649" s="2">
        <v>2.2000000000000002</v>
      </c>
      <c r="Z2649" s="2">
        <v>2.4700000000000002</v>
      </c>
    </row>
    <row r="2650" spans="1:26" x14ac:dyDescent="0.25">
      <c r="A2650" s="1" t="s">
        <v>10605</v>
      </c>
      <c r="B2650" s="1" t="s">
        <v>10606</v>
      </c>
      <c r="C2650" s="1" t="s">
        <v>45</v>
      </c>
      <c r="D2650" s="1" t="s">
        <v>61</v>
      </c>
      <c r="E2650" s="1" t="s">
        <v>237</v>
      </c>
      <c r="F2650" s="1" t="s">
        <v>10607</v>
      </c>
      <c r="G2650" s="1" t="s">
        <v>12480</v>
      </c>
      <c r="H2650" s="1" t="s">
        <v>1240</v>
      </c>
      <c r="I2650" s="2">
        <v>411.38</v>
      </c>
      <c r="J2650" s="2">
        <v>10.88</v>
      </c>
      <c r="K2650" s="2">
        <v>13.69</v>
      </c>
      <c r="L2650" s="2">
        <v>15.74</v>
      </c>
      <c r="M2650" s="4">
        <f t="shared" si="246"/>
        <v>30.049671292914535</v>
      </c>
      <c r="N2650" s="4">
        <f t="shared" si="247"/>
        <v>26.135959339263025</v>
      </c>
      <c r="O2650" s="5">
        <f t="shared" si="248"/>
        <v>0.25827205882352922</v>
      </c>
      <c r="P2650" s="5">
        <f t="shared" si="249"/>
        <v>0.14974433893352823</v>
      </c>
      <c r="Q2650" s="4">
        <f t="shared" si="250"/>
        <v>1.1634890521954107</v>
      </c>
      <c r="R2650" s="4">
        <f t="shared" si="251"/>
        <v>1.7453721139244416</v>
      </c>
      <c r="S2650" s="4">
        <v>17.690000000000001</v>
      </c>
      <c r="T2650" s="2">
        <v>1.48</v>
      </c>
      <c r="U2650" s="2">
        <v>459.72</v>
      </c>
      <c r="V2650" s="2">
        <v>104.96</v>
      </c>
      <c r="W2650" s="2">
        <v>-4.96</v>
      </c>
      <c r="X2650" s="2">
        <v>-1.73</v>
      </c>
      <c r="Y2650" s="2">
        <v>28.91</v>
      </c>
      <c r="Z2650" s="2">
        <v>34.340000000000003</v>
      </c>
    </row>
    <row r="2651" spans="1:26" x14ac:dyDescent="0.25">
      <c r="A2651" s="1" t="s">
        <v>10608</v>
      </c>
      <c r="B2651" s="1" t="s">
        <v>10609</v>
      </c>
      <c r="C2651" s="1" t="s">
        <v>16</v>
      </c>
      <c r="D2651" s="1" t="s">
        <v>38</v>
      </c>
      <c r="E2651" s="1" t="s">
        <v>1739</v>
      </c>
      <c r="F2651" s="1" t="s">
        <v>10610</v>
      </c>
      <c r="G2651" s="1" t="s">
        <v>12480</v>
      </c>
      <c r="H2651" s="1" t="s">
        <v>10611</v>
      </c>
      <c r="I2651" s="2">
        <v>121.93</v>
      </c>
      <c r="J2651" s="2">
        <v>10.3</v>
      </c>
      <c r="K2651" s="2">
        <v>11.59</v>
      </c>
      <c r="L2651" s="2">
        <v>13.03</v>
      </c>
      <c r="M2651" s="4">
        <f t="shared" si="246"/>
        <v>10.520276100086281</v>
      </c>
      <c r="N2651" s="4">
        <f t="shared" si="247"/>
        <v>9.3576362240982363</v>
      </c>
      <c r="O2651" s="5">
        <f t="shared" si="248"/>
        <v>0.12524271844660184</v>
      </c>
      <c r="P2651" s="5">
        <f t="shared" si="249"/>
        <v>0.12424503882657456</v>
      </c>
      <c r="Q2651" s="4">
        <f t="shared" si="250"/>
        <v>0.83999103744875026</v>
      </c>
      <c r="R2651" s="4">
        <f t="shared" si="251"/>
        <v>0.75315974887012926</v>
      </c>
      <c r="S2651" s="4">
        <v>2.2400000000000002</v>
      </c>
      <c r="T2651" s="2">
        <v>1.43</v>
      </c>
      <c r="U2651" s="2">
        <v>136.29</v>
      </c>
      <c r="V2651" s="2">
        <v>75.33</v>
      </c>
      <c r="W2651" s="2">
        <v>-5.82</v>
      </c>
      <c r="X2651" s="2">
        <v>-9.1999999999999993</v>
      </c>
      <c r="Y2651" s="2">
        <v>-5.44</v>
      </c>
      <c r="Z2651" s="2">
        <v>-5.49</v>
      </c>
    </row>
    <row r="2652" spans="1:26" x14ac:dyDescent="0.25">
      <c r="A2652" s="1" t="s">
        <v>10612</v>
      </c>
      <c r="B2652" s="1" t="s">
        <v>10613</v>
      </c>
      <c r="C2652" s="1" t="s">
        <v>16</v>
      </c>
      <c r="D2652" s="1" t="s">
        <v>67</v>
      </c>
      <c r="E2652" s="1" t="s">
        <v>833</v>
      </c>
      <c r="F2652" s="1" t="s">
        <v>10614</v>
      </c>
      <c r="G2652" s="1" t="s">
        <v>12480</v>
      </c>
      <c r="H2652" s="1" t="s">
        <v>10615</v>
      </c>
      <c r="I2652" s="2">
        <v>8.23</v>
      </c>
      <c r="J2652" s="2">
        <v>-0.43</v>
      </c>
      <c r="K2652" s="2">
        <v>0.35</v>
      </c>
      <c r="L2652" s="2">
        <v>0.59</v>
      </c>
      <c r="M2652" s="4">
        <f t="shared" si="246"/>
        <v>23.514285714285716</v>
      </c>
      <c r="N2652" s="4">
        <f t="shared" si="247"/>
        <v>13.949152542372882</v>
      </c>
      <c r="O2652" s="5">
        <f t="shared" si="248"/>
        <v>-1.8139534883720931</v>
      </c>
      <c r="P2652" s="5">
        <f t="shared" si="249"/>
        <v>0.68571428571428572</v>
      </c>
      <c r="Q2652" s="4">
        <f t="shared" si="250"/>
        <v>-0.12963003663003661</v>
      </c>
      <c r="R2652" s="4">
        <f t="shared" si="251"/>
        <v>0.20342514124293787</v>
      </c>
      <c r="S2652" s="4">
        <v>-1.44</v>
      </c>
      <c r="T2652" s="2"/>
      <c r="U2652" s="2" t="s">
        <v>12741</v>
      </c>
      <c r="V2652" s="2">
        <v>8.23</v>
      </c>
      <c r="W2652" s="2">
        <v>-16.53</v>
      </c>
      <c r="X2652" s="2">
        <v>-18.600000000000001</v>
      </c>
      <c r="Y2652" s="2">
        <v>-41.47</v>
      </c>
      <c r="Z2652" s="2">
        <v>-39.17</v>
      </c>
    </row>
    <row r="2653" spans="1:26" x14ac:dyDescent="0.25">
      <c r="A2653" s="1" t="s">
        <v>10616</v>
      </c>
      <c r="B2653" s="1" t="s">
        <v>10617</v>
      </c>
      <c r="C2653" s="1" t="s">
        <v>16</v>
      </c>
      <c r="D2653" s="1" t="s">
        <v>18</v>
      </c>
      <c r="E2653" s="1" t="s">
        <v>780</v>
      </c>
      <c r="F2653" s="1" t="s">
        <v>10618</v>
      </c>
      <c r="G2653" s="1" t="s">
        <v>12480</v>
      </c>
      <c r="H2653" s="1" t="s">
        <v>10619</v>
      </c>
      <c r="I2653" s="2">
        <v>15.58</v>
      </c>
      <c r="J2653" s="2">
        <v>0.61</v>
      </c>
      <c r="K2653" s="2">
        <v>0.7</v>
      </c>
      <c r="L2653" s="2">
        <v>0.84</v>
      </c>
      <c r="M2653" s="4">
        <f t="shared" si="246"/>
        <v>22.25714285714286</v>
      </c>
      <c r="N2653" s="4">
        <f t="shared" si="247"/>
        <v>18.547619047619047</v>
      </c>
      <c r="O2653" s="5">
        <f t="shared" si="248"/>
        <v>0.14754098360655732</v>
      </c>
      <c r="P2653" s="5">
        <f t="shared" si="249"/>
        <v>0.19999999999999996</v>
      </c>
      <c r="Q2653" s="4">
        <f t="shared" si="250"/>
        <v>1.5085396825396833</v>
      </c>
      <c r="R2653" s="4">
        <f t="shared" si="251"/>
        <v>0.92738095238095253</v>
      </c>
      <c r="S2653" s="4">
        <v>12.31</v>
      </c>
      <c r="T2653" s="2">
        <v>0.56999999999999995</v>
      </c>
      <c r="U2653" s="2">
        <v>27.95</v>
      </c>
      <c r="V2653" s="2">
        <v>14.15</v>
      </c>
      <c r="W2653" s="2">
        <v>3.25</v>
      </c>
      <c r="X2653" s="2">
        <v>-3.23</v>
      </c>
      <c r="Y2653" s="2">
        <v>-26.85</v>
      </c>
      <c r="Z2653" s="2">
        <v>-22.57</v>
      </c>
    </row>
    <row r="2654" spans="1:26" x14ac:dyDescent="0.25">
      <c r="A2654" s="1" t="s">
        <v>10620</v>
      </c>
      <c r="B2654" s="1" t="s">
        <v>10621</v>
      </c>
      <c r="C2654" s="1" t="s">
        <v>16</v>
      </c>
      <c r="D2654" s="1" t="s">
        <v>38</v>
      </c>
      <c r="E2654" s="1" t="s">
        <v>153</v>
      </c>
      <c r="F2654" s="1" t="s">
        <v>10622</v>
      </c>
      <c r="G2654" s="1" t="s">
        <v>12480</v>
      </c>
      <c r="H2654" s="1" t="s">
        <v>10623</v>
      </c>
      <c r="I2654" s="2">
        <v>17.89</v>
      </c>
      <c r="J2654" s="2">
        <v>1.69</v>
      </c>
      <c r="K2654" s="2">
        <v>1.79</v>
      </c>
      <c r="L2654" s="2">
        <v>1.92</v>
      </c>
      <c r="M2654" s="4">
        <f t="shared" si="246"/>
        <v>9.994413407821229</v>
      </c>
      <c r="N2654" s="4">
        <f t="shared" si="247"/>
        <v>9.3177083333333339</v>
      </c>
      <c r="O2654" s="5">
        <f t="shared" si="248"/>
        <v>5.9171597633136175E-2</v>
      </c>
      <c r="P2654" s="5">
        <f t="shared" si="249"/>
        <v>7.2625698324022325E-2</v>
      </c>
      <c r="Q2654" s="4">
        <f t="shared" si="250"/>
        <v>1.6890558659217854</v>
      </c>
      <c r="R2654" s="4">
        <f t="shared" si="251"/>
        <v>1.2829767628205133</v>
      </c>
      <c r="S2654" s="4">
        <v>-5.27</v>
      </c>
      <c r="T2654" s="2">
        <v>1.1000000000000001</v>
      </c>
      <c r="U2654" s="2">
        <v>20.97</v>
      </c>
      <c r="V2654" s="2">
        <v>17.28</v>
      </c>
      <c r="W2654" s="2">
        <v>-0.61</v>
      </c>
      <c r="X2654" s="2">
        <v>-0.5</v>
      </c>
      <c r="Y2654" s="2">
        <v>-3.35</v>
      </c>
      <c r="Z2654" s="2">
        <v>-0.67</v>
      </c>
    </row>
    <row r="2655" spans="1:26" x14ac:dyDescent="0.25">
      <c r="A2655" s="1" t="s">
        <v>10624</v>
      </c>
      <c r="B2655" s="1" t="s">
        <v>10625</v>
      </c>
      <c r="C2655" s="1" t="s">
        <v>45</v>
      </c>
      <c r="D2655" s="1" t="s">
        <v>32</v>
      </c>
      <c r="E2655" s="1" t="s">
        <v>490</v>
      </c>
      <c r="F2655" s="1" t="s">
        <v>10626</v>
      </c>
      <c r="G2655" s="1" t="s">
        <v>12502</v>
      </c>
      <c r="H2655" s="1" t="s">
        <v>10627</v>
      </c>
      <c r="I2655" s="2">
        <v>374.33</v>
      </c>
      <c r="J2655" s="2">
        <v>8.1</v>
      </c>
      <c r="K2655" s="2">
        <v>12.68</v>
      </c>
      <c r="L2655" s="2">
        <v>18.899999999999999</v>
      </c>
      <c r="M2655" s="4">
        <f t="shared" si="246"/>
        <v>29.521293375394322</v>
      </c>
      <c r="N2655" s="4">
        <f t="shared" si="247"/>
        <v>19.805820105820107</v>
      </c>
      <c r="O2655" s="5">
        <f t="shared" si="248"/>
        <v>0.56543209876543221</v>
      </c>
      <c r="P2655" s="5">
        <f t="shared" si="249"/>
        <v>0.4905362776025235</v>
      </c>
      <c r="Q2655" s="4">
        <f t="shared" si="250"/>
        <v>0.52210147672640606</v>
      </c>
      <c r="R2655" s="4">
        <f t="shared" si="251"/>
        <v>0.40375851919903383</v>
      </c>
      <c r="S2655" s="4">
        <v>38.86</v>
      </c>
      <c r="T2655" s="2">
        <v>1.61</v>
      </c>
      <c r="U2655" s="2">
        <v>446.57</v>
      </c>
      <c r="V2655" s="2">
        <v>66.540000000000006</v>
      </c>
      <c r="W2655" s="2">
        <v>-1.37</v>
      </c>
      <c r="X2655" s="2">
        <v>-11.92</v>
      </c>
      <c r="Y2655" s="2">
        <v>31.08</v>
      </c>
      <c r="Z2655" s="2">
        <v>35.93</v>
      </c>
    </row>
    <row r="2656" spans="1:26" x14ac:dyDescent="0.25">
      <c r="A2656" s="1" t="s">
        <v>10628</v>
      </c>
      <c r="B2656" s="1" t="s">
        <v>10629</v>
      </c>
      <c r="C2656" s="1" t="s">
        <v>16</v>
      </c>
      <c r="D2656" s="1" t="s">
        <v>128</v>
      </c>
      <c r="E2656" s="1" t="s">
        <v>129</v>
      </c>
      <c r="F2656" s="1" t="s">
        <v>10630</v>
      </c>
      <c r="G2656" s="1" t="s">
        <v>12487</v>
      </c>
      <c r="H2656" s="1" t="s">
        <v>10631</v>
      </c>
      <c r="I2656" s="2">
        <v>148.96</v>
      </c>
      <c r="J2656" s="2">
        <v>13.78</v>
      </c>
      <c r="K2656" s="2">
        <v>12.39</v>
      </c>
      <c r="L2656" s="2">
        <v>13.06</v>
      </c>
      <c r="M2656" s="4">
        <f t="shared" si="246"/>
        <v>12.022598870056497</v>
      </c>
      <c r="N2656" s="4">
        <f t="shared" si="247"/>
        <v>11.40581929555896</v>
      </c>
      <c r="O2656" s="5">
        <f t="shared" si="248"/>
        <v>-0.10087082728592156</v>
      </c>
      <c r="P2656" s="5">
        <f t="shared" si="249"/>
        <v>5.4075867635189567E-2</v>
      </c>
      <c r="Q2656" s="4">
        <f t="shared" si="250"/>
        <v>-1.1918806649595586</v>
      </c>
      <c r="R2656" s="4">
        <f t="shared" si="251"/>
        <v>2.1092253891339667</v>
      </c>
      <c r="S2656" s="4">
        <v>2.2999999999999998</v>
      </c>
      <c r="T2656" s="2">
        <v>0.44</v>
      </c>
      <c r="U2656" s="2">
        <v>195.62</v>
      </c>
      <c r="V2656" s="2">
        <v>127.65</v>
      </c>
      <c r="W2656" s="2">
        <v>-4.8499999999999996</v>
      </c>
      <c r="X2656" s="2">
        <v>-8.9499999999999993</v>
      </c>
      <c r="Y2656" s="2">
        <v>3.83</v>
      </c>
      <c r="Z2656" s="2">
        <v>7.97</v>
      </c>
    </row>
    <row r="2657" spans="1:26" x14ac:dyDescent="0.25">
      <c r="A2657" s="1" t="s">
        <v>10632</v>
      </c>
      <c r="B2657" s="1" t="s">
        <v>10633</v>
      </c>
      <c r="C2657" s="1" t="s">
        <v>16</v>
      </c>
      <c r="D2657" s="1" t="s">
        <v>94</v>
      </c>
      <c r="E2657" s="1" t="s">
        <v>3279</v>
      </c>
      <c r="F2657" s="1" t="s">
        <v>10634</v>
      </c>
      <c r="G2657" s="1" t="s">
        <v>12480</v>
      </c>
      <c r="H2657" s="1" t="s">
        <v>10635</v>
      </c>
      <c r="I2657" s="2">
        <v>57.4</v>
      </c>
      <c r="J2657" s="2">
        <v>3.3</v>
      </c>
      <c r="K2657" s="2">
        <v>2.85</v>
      </c>
      <c r="L2657" s="2">
        <v>3.07</v>
      </c>
      <c r="M2657" s="4">
        <f t="shared" si="246"/>
        <v>20.140350877192983</v>
      </c>
      <c r="N2657" s="4">
        <f t="shared" si="247"/>
        <v>18.697068403908794</v>
      </c>
      <c r="O2657" s="5">
        <f t="shared" si="248"/>
        <v>-0.13636363636363624</v>
      </c>
      <c r="P2657" s="5">
        <f t="shared" si="249"/>
        <v>7.7192982456140369E-2</v>
      </c>
      <c r="Q2657" s="4">
        <f t="shared" si="250"/>
        <v>-1.4769590643274868</v>
      </c>
      <c r="R2657" s="4">
        <f t="shared" si="251"/>
        <v>2.4221202250518203</v>
      </c>
      <c r="S2657" s="4">
        <v>-5.44</v>
      </c>
      <c r="T2657" s="2">
        <v>0.43</v>
      </c>
      <c r="U2657" s="2">
        <v>57.78</v>
      </c>
      <c r="V2657" s="2">
        <v>31.54</v>
      </c>
      <c r="W2657" s="2">
        <v>-0.66</v>
      </c>
      <c r="X2657" s="2">
        <v>4.99</v>
      </c>
      <c r="Y2657" s="2">
        <v>31.5</v>
      </c>
      <c r="Z2657" s="2">
        <v>29.4</v>
      </c>
    </row>
    <row r="2658" spans="1:26" x14ac:dyDescent="0.25">
      <c r="A2658" s="1" t="s">
        <v>10636</v>
      </c>
      <c r="B2658" s="1" t="s">
        <v>10637</v>
      </c>
      <c r="C2658" s="1" t="s">
        <v>31</v>
      </c>
      <c r="D2658" s="1" t="s">
        <v>94</v>
      </c>
      <c r="E2658" s="1" t="s">
        <v>1042</v>
      </c>
      <c r="F2658" s="1" t="s">
        <v>10638</v>
      </c>
      <c r="G2658" s="1" t="s">
        <v>12480</v>
      </c>
      <c r="H2658" s="1" t="s">
        <v>10639</v>
      </c>
      <c r="I2658" s="2">
        <v>26.45</v>
      </c>
      <c r="J2658" s="2">
        <v>1.38</v>
      </c>
      <c r="K2658" s="2">
        <v>2.2400000000000002</v>
      </c>
      <c r="L2658" s="2">
        <v>2.15</v>
      </c>
      <c r="M2658" s="4">
        <f t="shared" si="246"/>
        <v>11.808035714285714</v>
      </c>
      <c r="N2658" s="4">
        <f t="shared" si="247"/>
        <v>12.302325581395349</v>
      </c>
      <c r="O2658" s="5">
        <f t="shared" si="248"/>
        <v>0.62318840579710177</v>
      </c>
      <c r="P2658" s="5">
        <f t="shared" si="249"/>
        <v>-4.0178571428571508E-2</v>
      </c>
      <c r="Q2658" s="4">
        <f t="shared" si="250"/>
        <v>0.18947778239202648</v>
      </c>
      <c r="R2658" s="4">
        <f t="shared" si="251"/>
        <v>-3.0619121447028363</v>
      </c>
      <c r="S2658" s="4">
        <v>3.65</v>
      </c>
      <c r="T2658" s="2">
        <v>1.1000000000000001</v>
      </c>
      <c r="U2658" s="2">
        <v>28.88</v>
      </c>
      <c r="V2658" s="2">
        <v>12.87</v>
      </c>
      <c r="W2658" s="2">
        <v>-4.6500000000000004</v>
      </c>
      <c r="X2658" s="2">
        <v>0.93</v>
      </c>
      <c r="Y2658" s="2">
        <v>37.39</v>
      </c>
      <c r="Z2658" s="2">
        <v>31.14</v>
      </c>
    </row>
    <row r="2659" spans="1:26" x14ac:dyDescent="0.25">
      <c r="A2659" s="1" t="s">
        <v>10640</v>
      </c>
      <c r="B2659" s="1" t="s">
        <v>10641</v>
      </c>
      <c r="C2659" s="1" t="s">
        <v>31</v>
      </c>
      <c r="D2659" s="1" t="s">
        <v>38</v>
      </c>
      <c r="E2659" s="1" t="s">
        <v>1449</v>
      </c>
      <c r="F2659" s="1" t="s">
        <v>10642</v>
      </c>
      <c r="G2659" s="1" t="s">
        <v>12490</v>
      </c>
      <c r="H2659" s="1" t="s">
        <v>5590</v>
      </c>
      <c r="I2659" s="2">
        <v>80.02</v>
      </c>
      <c r="J2659" s="2">
        <v>7.52</v>
      </c>
      <c r="K2659" s="2"/>
      <c r="L2659" s="2"/>
      <c r="M2659" s="4" t="e">
        <f t="shared" si="246"/>
        <v>#DIV/0!</v>
      </c>
      <c r="N2659" s="4" t="e">
        <f t="shared" si="247"/>
        <v>#DIV/0!</v>
      </c>
      <c r="O2659" s="5">
        <f t="shared" si="248"/>
        <v>-1</v>
      </c>
      <c r="P2659" s="5" t="e">
        <f t="shared" si="249"/>
        <v>#DIV/0!</v>
      </c>
      <c r="Q2659" s="4" t="e">
        <f t="shared" si="250"/>
        <v>#DIV/0!</v>
      </c>
      <c r="R2659" s="4" t="e">
        <f t="shared" si="251"/>
        <v>#DIV/0!</v>
      </c>
      <c r="S2659" s="4">
        <v>-5.57</v>
      </c>
      <c r="T2659" s="2">
        <v>-7.0000000000000007E-2</v>
      </c>
      <c r="U2659" s="2">
        <v>80.02</v>
      </c>
      <c r="V2659" s="2">
        <v>72.2</v>
      </c>
      <c r="W2659" s="2" t="s">
        <v>12489</v>
      </c>
      <c r="X2659" s="2" t="s">
        <v>12489</v>
      </c>
      <c r="Y2659" s="2" t="s">
        <v>12489</v>
      </c>
      <c r="Z2659" s="2" t="s">
        <v>12489</v>
      </c>
    </row>
    <row r="2660" spans="1:26" x14ac:dyDescent="0.25">
      <c r="A2660" s="1" t="s">
        <v>10643</v>
      </c>
      <c r="B2660" s="1" t="s">
        <v>10644</v>
      </c>
      <c r="C2660" s="1" t="s">
        <v>31</v>
      </c>
      <c r="D2660" s="1" t="s">
        <v>38</v>
      </c>
      <c r="E2660" s="1" t="s">
        <v>1806</v>
      </c>
      <c r="F2660" s="1" t="s">
        <v>10645</v>
      </c>
      <c r="G2660" s="1" t="s">
        <v>12502</v>
      </c>
      <c r="H2660" s="1" t="s">
        <v>10646</v>
      </c>
      <c r="I2660" s="2">
        <v>17.690000000000001</v>
      </c>
      <c r="J2660" s="2">
        <v>0.97</v>
      </c>
      <c r="K2660" s="2" t="s">
        <v>12493</v>
      </c>
      <c r="L2660" s="2">
        <v>1.05</v>
      </c>
      <c r="M2660" s="4">
        <f t="shared" si="246"/>
        <v>17.690000000000001</v>
      </c>
      <c r="N2660" s="4">
        <f t="shared" si="247"/>
        <v>16.847619047619048</v>
      </c>
      <c r="O2660" s="5">
        <f t="shared" si="248"/>
        <v>3.0927835051546504E-2</v>
      </c>
      <c r="P2660" s="5">
        <f t="shared" si="249"/>
        <v>5.0000000000000044E-2</v>
      </c>
      <c r="Q2660" s="4">
        <f t="shared" si="250"/>
        <v>5.7197666666666462</v>
      </c>
      <c r="R2660" s="4">
        <f t="shared" si="251"/>
        <v>3.3695238095238067</v>
      </c>
      <c r="S2660" s="4">
        <v>11.91</v>
      </c>
      <c r="T2660" s="2">
        <v>0.39</v>
      </c>
      <c r="U2660" s="2">
        <v>18.62</v>
      </c>
      <c r="V2660" s="2">
        <v>8.41</v>
      </c>
      <c r="W2660" s="2">
        <v>-4.99</v>
      </c>
      <c r="X2660" s="2">
        <v>4.3499999999999996</v>
      </c>
      <c r="Y2660" s="2">
        <v>41.97</v>
      </c>
      <c r="Z2660" s="2">
        <v>44.41</v>
      </c>
    </row>
    <row r="2661" spans="1:26" x14ac:dyDescent="0.25">
      <c r="A2661" s="1" t="s">
        <v>10647</v>
      </c>
      <c r="B2661" s="1" t="s">
        <v>10648</v>
      </c>
      <c r="C2661" s="1" t="s">
        <v>16</v>
      </c>
      <c r="D2661" s="1" t="s">
        <v>38</v>
      </c>
      <c r="E2661" s="1" t="s">
        <v>765</v>
      </c>
      <c r="F2661" s="1" t="s">
        <v>10649</v>
      </c>
      <c r="G2661" s="1" t="s">
        <v>12480</v>
      </c>
      <c r="H2661" s="1" t="s">
        <v>10650</v>
      </c>
      <c r="I2661" s="2">
        <v>135.44</v>
      </c>
      <c r="J2661" s="2">
        <v>6.68</v>
      </c>
      <c r="K2661" s="2" t="s">
        <v>12496</v>
      </c>
      <c r="L2661" s="2">
        <v>7.41</v>
      </c>
      <c r="M2661" s="4">
        <f t="shared" si="246"/>
        <v>19.348571428571429</v>
      </c>
      <c r="N2661" s="4">
        <f t="shared" si="247"/>
        <v>18.278002699055332</v>
      </c>
      <c r="O2661" s="5">
        <f t="shared" si="248"/>
        <v>4.7904191616766401E-2</v>
      </c>
      <c r="P2661" s="5">
        <f t="shared" si="249"/>
        <v>5.8571428571428497E-2</v>
      </c>
      <c r="Q2661" s="4">
        <f t="shared" si="250"/>
        <v>4.0390142857142912</v>
      </c>
      <c r="R2661" s="4">
        <f t="shared" si="251"/>
        <v>3.1206346071557922</v>
      </c>
      <c r="S2661" s="4">
        <v>-28.41</v>
      </c>
      <c r="T2661" s="2">
        <v>0.88</v>
      </c>
      <c r="U2661" s="2">
        <v>137.18</v>
      </c>
      <c r="V2661" s="2">
        <v>114.62</v>
      </c>
      <c r="W2661" s="2">
        <v>-1.27</v>
      </c>
      <c r="X2661" s="2">
        <v>7.81</v>
      </c>
      <c r="Y2661" s="2">
        <v>9.32</v>
      </c>
      <c r="Z2661" s="2">
        <v>9.31</v>
      </c>
    </row>
    <row r="2662" spans="1:26" x14ac:dyDescent="0.25">
      <c r="A2662" s="1" t="s">
        <v>10651</v>
      </c>
      <c r="B2662" s="1" t="s">
        <v>10652</v>
      </c>
      <c r="C2662" s="1" t="s">
        <v>16</v>
      </c>
      <c r="D2662" s="1" t="s">
        <v>94</v>
      </c>
      <c r="E2662" s="1" t="s">
        <v>4976</v>
      </c>
      <c r="F2662" s="1" t="s">
        <v>10653</v>
      </c>
      <c r="G2662" s="1" t="s">
        <v>12480</v>
      </c>
      <c r="H2662" s="1" t="s">
        <v>10654</v>
      </c>
      <c r="I2662" s="2">
        <v>63.29</v>
      </c>
      <c r="J2662" s="2">
        <v>2.2799999999999998</v>
      </c>
      <c r="K2662" s="2">
        <v>6.11</v>
      </c>
      <c r="L2662" s="2">
        <v>7.28</v>
      </c>
      <c r="M2662" s="4">
        <f t="shared" si="246"/>
        <v>10.358428805237315</v>
      </c>
      <c r="N2662" s="4">
        <f t="shared" si="247"/>
        <v>8.6936813186813175</v>
      </c>
      <c r="O2662" s="5">
        <f t="shared" si="248"/>
        <v>1.679824561403509</v>
      </c>
      <c r="P2662" s="5">
        <f t="shared" si="249"/>
        <v>0.1914893617021276</v>
      </c>
      <c r="Q2662" s="4">
        <f t="shared" si="250"/>
        <v>6.1663753723083747E-2</v>
      </c>
      <c r="R2662" s="4">
        <f t="shared" si="251"/>
        <v>0.45400335775335782</v>
      </c>
      <c r="S2662" s="4">
        <v>11.05</v>
      </c>
      <c r="T2662" s="2">
        <v>0.49</v>
      </c>
      <c r="U2662" s="2">
        <v>64.400000000000006</v>
      </c>
      <c r="V2662" s="2">
        <v>48.42</v>
      </c>
      <c r="W2662" s="2">
        <v>-1.1200000000000001</v>
      </c>
      <c r="X2662" s="2">
        <v>8.76</v>
      </c>
      <c r="Y2662" s="2">
        <v>18.48</v>
      </c>
      <c r="Z2662" s="2">
        <v>20.76</v>
      </c>
    </row>
    <row r="2663" spans="1:26" x14ac:dyDescent="0.25">
      <c r="B2663" s="1" t="s">
        <v>10655</v>
      </c>
      <c r="C2663" s="1" t="s">
        <v>16</v>
      </c>
      <c r="D2663" s="1" t="s">
        <v>32</v>
      </c>
      <c r="E2663" s="1" t="s">
        <v>5916</v>
      </c>
      <c r="F2663" s="1" t="s">
        <v>10656</v>
      </c>
      <c r="G2663" s="1" t="s">
        <v>12480</v>
      </c>
      <c r="H2663" s="1" t="s">
        <v>10657</v>
      </c>
      <c r="I2663" s="2">
        <v>75.52</v>
      </c>
      <c r="J2663" s="2"/>
      <c r="K2663" s="2"/>
      <c r="L2663" s="2"/>
      <c r="M2663" s="4" t="e">
        <f t="shared" si="246"/>
        <v>#DIV/0!</v>
      </c>
      <c r="N2663" s="4" t="e">
        <f t="shared" si="247"/>
        <v>#DIV/0!</v>
      </c>
      <c r="O2663" s="5" t="e">
        <f t="shared" si="248"/>
        <v>#DIV/0!</v>
      </c>
      <c r="P2663" s="5" t="e">
        <f t="shared" si="249"/>
        <v>#DIV/0!</v>
      </c>
      <c r="Q2663" s="4" t="e">
        <f t="shared" si="250"/>
        <v>#DIV/0!</v>
      </c>
      <c r="R2663" s="4" t="e">
        <f t="shared" si="251"/>
        <v>#DIV/0!</v>
      </c>
      <c r="S2663" s="4"/>
      <c r="T2663" s="2"/>
      <c r="U2663" s="2">
        <v>75.52</v>
      </c>
      <c r="V2663" s="2">
        <v>73.099999999999994</v>
      </c>
      <c r="W2663" s="2">
        <v>2.34</v>
      </c>
      <c r="X2663" s="2"/>
      <c r="Y2663" s="2"/>
      <c r="Z2663" s="2"/>
    </row>
    <row r="2664" spans="1:26" x14ac:dyDescent="0.25">
      <c r="A2664" s="1" t="s">
        <v>10658</v>
      </c>
      <c r="B2664" s="1" t="s">
        <v>10659</v>
      </c>
      <c r="C2664" s="1" t="s">
        <v>16</v>
      </c>
      <c r="D2664" s="1" t="s">
        <v>94</v>
      </c>
      <c r="E2664" s="1" t="s">
        <v>2021</v>
      </c>
      <c r="F2664" s="1" t="s">
        <v>10660</v>
      </c>
      <c r="G2664" s="1" t="s">
        <v>12480</v>
      </c>
      <c r="H2664" s="1" t="s">
        <v>10661</v>
      </c>
      <c r="I2664" s="2">
        <v>59.55</v>
      </c>
      <c r="J2664" s="2"/>
      <c r="K2664" s="2">
        <v>6.99</v>
      </c>
      <c r="L2664" s="2">
        <v>7.67</v>
      </c>
      <c r="M2664" s="4">
        <f t="shared" si="246"/>
        <v>8.5193133047210292</v>
      </c>
      <c r="N2664" s="4">
        <f t="shared" si="247"/>
        <v>7.7640156453715772</v>
      </c>
      <c r="O2664" s="5" t="e">
        <f t="shared" si="248"/>
        <v>#DIV/0!</v>
      </c>
      <c r="P2664" s="5">
        <f t="shared" si="249"/>
        <v>9.7281831187410628E-2</v>
      </c>
      <c r="Q2664" s="4" t="e">
        <f t="shared" si="250"/>
        <v>#DIV/0!</v>
      </c>
      <c r="R2664" s="4">
        <f t="shared" si="251"/>
        <v>0.79809513766393092</v>
      </c>
      <c r="S2664" s="4"/>
      <c r="T2664" s="2"/>
      <c r="U2664" s="2">
        <v>60.57</v>
      </c>
      <c r="V2664" s="2">
        <v>48.85</v>
      </c>
      <c r="W2664" s="2">
        <v>-0.53</v>
      </c>
      <c r="X2664" s="2">
        <v>10.050000000000001</v>
      </c>
      <c r="Y2664" s="2">
        <v>18.84</v>
      </c>
      <c r="Z2664" s="2">
        <v>20.84</v>
      </c>
    </row>
    <row r="2665" spans="1:26" x14ac:dyDescent="0.25">
      <c r="A2665" s="1" t="s">
        <v>10662</v>
      </c>
      <c r="B2665" s="1" t="s">
        <v>10663</v>
      </c>
      <c r="C2665" s="1" t="s">
        <v>31</v>
      </c>
      <c r="D2665" s="1" t="s">
        <v>32</v>
      </c>
      <c r="E2665" s="1" t="s">
        <v>3580</v>
      </c>
      <c r="F2665" s="1" t="s">
        <v>10664</v>
      </c>
      <c r="G2665" s="1" t="s">
        <v>12480</v>
      </c>
      <c r="H2665" s="1" t="s">
        <v>10665</v>
      </c>
      <c r="I2665" s="2">
        <v>20.34</v>
      </c>
      <c r="J2665" s="2">
        <v>-0.45</v>
      </c>
      <c r="K2665" s="2">
        <v>-0.6</v>
      </c>
      <c r="L2665" s="2">
        <v>1.06</v>
      </c>
      <c r="M2665" s="4">
        <f t="shared" si="246"/>
        <v>-33.9</v>
      </c>
      <c r="N2665" s="4">
        <f t="shared" si="247"/>
        <v>19.188679245283019</v>
      </c>
      <c r="O2665" s="5">
        <f t="shared" si="248"/>
        <v>0.33333333333333326</v>
      </c>
      <c r="P2665" s="5">
        <f t="shared" si="249"/>
        <v>-2.7666666666666666</v>
      </c>
      <c r="Q2665" s="4">
        <f t="shared" si="250"/>
        <v>-1.0170000000000001</v>
      </c>
      <c r="R2665" s="4">
        <f t="shared" si="251"/>
        <v>-6.9356671970902478E-2</v>
      </c>
      <c r="S2665" s="4">
        <v>4.46</v>
      </c>
      <c r="T2665" s="2">
        <v>1.06</v>
      </c>
      <c r="U2665" s="2">
        <v>23.58</v>
      </c>
      <c r="V2665" s="2">
        <v>10.6</v>
      </c>
      <c r="W2665" s="2">
        <v>-12.55</v>
      </c>
      <c r="X2665" s="2">
        <v>-8.44</v>
      </c>
      <c r="Y2665" s="2">
        <v>22.98</v>
      </c>
      <c r="Z2665" s="2">
        <v>14.59</v>
      </c>
    </row>
    <row r="2666" spans="1:26" x14ac:dyDescent="0.25">
      <c r="A2666" s="1" t="s">
        <v>10666</v>
      </c>
      <c r="B2666" s="1" t="s">
        <v>10667</v>
      </c>
      <c r="C2666" s="1" t="s">
        <v>45</v>
      </c>
      <c r="D2666" s="1" t="s">
        <v>18</v>
      </c>
      <c r="E2666" s="1" t="s">
        <v>1491</v>
      </c>
      <c r="F2666" s="1" t="s">
        <v>10668</v>
      </c>
      <c r="G2666" s="1" t="s">
        <v>12480</v>
      </c>
      <c r="H2666" s="1" t="s">
        <v>10669</v>
      </c>
      <c r="I2666" s="2">
        <v>54.17</v>
      </c>
      <c r="J2666" s="2">
        <v>3.23</v>
      </c>
      <c r="K2666" s="2">
        <v>2.37</v>
      </c>
      <c r="L2666" s="2">
        <v>4.22</v>
      </c>
      <c r="M2666" s="4">
        <f t="shared" si="246"/>
        <v>22.856540084388186</v>
      </c>
      <c r="N2666" s="4">
        <f t="shared" si="247"/>
        <v>12.836492890995261</v>
      </c>
      <c r="O2666" s="5">
        <f t="shared" si="248"/>
        <v>-0.26625386996904021</v>
      </c>
      <c r="P2666" s="5">
        <f t="shared" si="249"/>
        <v>0.78059071729957785</v>
      </c>
      <c r="Q2666" s="4">
        <f t="shared" si="250"/>
        <v>-0.85844912177411459</v>
      </c>
      <c r="R2666" s="4">
        <f t="shared" si="251"/>
        <v>0.16444588190085827</v>
      </c>
      <c r="S2666" s="4">
        <v>8.6300000000000008</v>
      </c>
      <c r="T2666" s="2">
        <v>0.7</v>
      </c>
      <c r="U2666" s="2" t="s">
        <v>12781</v>
      </c>
      <c r="V2666" s="2">
        <v>30.29</v>
      </c>
      <c r="W2666" s="2">
        <v>-1.67</v>
      </c>
      <c r="X2666" s="2">
        <v>5.59</v>
      </c>
      <c r="Y2666" s="2">
        <v>14.57</v>
      </c>
      <c r="Z2666" s="2">
        <v>8.99</v>
      </c>
    </row>
    <row r="2667" spans="1:26" x14ac:dyDescent="0.25">
      <c r="A2667" s="1" t="s">
        <v>10670</v>
      </c>
      <c r="B2667" s="1" t="s">
        <v>10671</v>
      </c>
      <c r="C2667" s="1" t="s">
        <v>16</v>
      </c>
      <c r="D2667" s="1" t="s">
        <v>88</v>
      </c>
      <c r="E2667" s="1" t="s">
        <v>6156</v>
      </c>
      <c r="F2667" s="1" t="s">
        <v>10672</v>
      </c>
      <c r="G2667" s="1" t="s">
        <v>12480</v>
      </c>
      <c r="H2667" s="1" t="s">
        <v>12790</v>
      </c>
      <c r="I2667" s="2">
        <v>10.67</v>
      </c>
      <c r="J2667" s="2">
        <v>1.94</v>
      </c>
      <c r="K2667" s="2">
        <v>1.18</v>
      </c>
      <c r="L2667" s="2"/>
      <c r="M2667" s="4">
        <f t="shared" si="246"/>
        <v>9.0423728813559325</v>
      </c>
      <c r="N2667" s="4" t="e">
        <f t="shared" si="247"/>
        <v>#DIV/0!</v>
      </c>
      <c r="O2667" s="5">
        <f t="shared" si="248"/>
        <v>-0.39175257731958768</v>
      </c>
      <c r="P2667" s="5">
        <f t="shared" si="249"/>
        <v>-1</v>
      </c>
      <c r="Q2667" s="4">
        <f t="shared" si="250"/>
        <v>-0.23081846565566458</v>
      </c>
      <c r="R2667" s="4" t="e">
        <f t="shared" si="251"/>
        <v>#DIV/0!</v>
      </c>
      <c r="S2667" s="4">
        <v>2.08</v>
      </c>
      <c r="T2667" s="2">
        <v>0.67</v>
      </c>
      <c r="U2667" s="2">
        <v>11.46</v>
      </c>
      <c r="V2667" s="2">
        <v>8.48</v>
      </c>
      <c r="W2667" s="2">
        <v>-4.5599999999999996</v>
      </c>
      <c r="X2667" s="2">
        <v>8.32</v>
      </c>
      <c r="Y2667" s="2">
        <v>18.420000000000002</v>
      </c>
      <c r="Z2667" s="2">
        <v>14.24</v>
      </c>
    </row>
    <row r="2668" spans="1:26" x14ac:dyDescent="0.25">
      <c r="A2668" s="1" t="s">
        <v>10673</v>
      </c>
      <c r="B2668" s="1" t="s">
        <v>10674</v>
      </c>
      <c r="C2668" s="1" t="s">
        <v>31</v>
      </c>
      <c r="D2668" s="1" t="s">
        <v>38</v>
      </c>
      <c r="E2668" s="1" t="s">
        <v>189</v>
      </c>
      <c r="F2668" s="1" t="s">
        <v>10675</v>
      </c>
      <c r="G2668" s="1" t="s">
        <v>12480</v>
      </c>
      <c r="H2668" s="1" t="s">
        <v>12791</v>
      </c>
      <c r="I2668" s="2">
        <v>21.44</v>
      </c>
      <c r="J2668" s="2">
        <v>2.34</v>
      </c>
      <c r="K2668" s="2"/>
      <c r="L2668" s="2"/>
      <c r="M2668" s="4" t="e">
        <f t="shared" si="246"/>
        <v>#DIV/0!</v>
      </c>
      <c r="N2668" s="4" t="e">
        <f t="shared" si="247"/>
        <v>#DIV/0!</v>
      </c>
      <c r="O2668" s="5">
        <f t="shared" si="248"/>
        <v>-1</v>
      </c>
      <c r="P2668" s="5" t="e">
        <f t="shared" si="249"/>
        <v>#DIV/0!</v>
      </c>
      <c r="Q2668" s="4" t="e">
        <f t="shared" si="250"/>
        <v>#DIV/0!</v>
      </c>
      <c r="R2668" s="4" t="e">
        <f t="shared" si="251"/>
        <v>#DIV/0!</v>
      </c>
      <c r="S2668" s="4">
        <v>31.19</v>
      </c>
      <c r="T2668" s="2">
        <v>0.45</v>
      </c>
      <c r="U2668" s="2">
        <v>22.53</v>
      </c>
      <c r="V2668" s="2">
        <v>12.59</v>
      </c>
      <c r="W2668" s="2" t="s">
        <v>12489</v>
      </c>
      <c r="X2668" s="2">
        <v>-0.74</v>
      </c>
      <c r="Y2668" s="2">
        <v>13.66</v>
      </c>
      <c r="Z2668" s="2">
        <v>1.58</v>
      </c>
    </row>
    <row r="2669" spans="1:26" x14ac:dyDescent="0.25">
      <c r="A2669" s="1" t="s">
        <v>10676</v>
      </c>
      <c r="B2669" s="1" t="s">
        <v>10677</v>
      </c>
      <c r="C2669" s="1" t="s">
        <v>1118</v>
      </c>
      <c r="D2669" s="1" t="s">
        <v>88</v>
      </c>
      <c r="E2669" s="1" t="s">
        <v>658</v>
      </c>
      <c r="F2669" s="1" t="s">
        <v>10678</v>
      </c>
      <c r="G2669" s="1" t="s">
        <v>12490</v>
      </c>
      <c r="H2669" s="1" t="s">
        <v>10679</v>
      </c>
      <c r="I2669" s="2">
        <v>11.57</v>
      </c>
      <c r="J2669" s="2">
        <v>0.37</v>
      </c>
      <c r="K2669" s="2">
        <v>0.09</v>
      </c>
      <c r="L2669" s="2">
        <v>0.91</v>
      </c>
      <c r="M2669" s="4">
        <f t="shared" si="246"/>
        <v>128.55555555555557</v>
      </c>
      <c r="N2669" s="4">
        <f t="shared" si="247"/>
        <v>12.714285714285714</v>
      </c>
      <c r="O2669" s="5">
        <f t="shared" si="248"/>
        <v>-0.7567567567567568</v>
      </c>
      <c r="P2669" s="5">
        <f t="shared" si="249"/>
        <v>9.1111111111111125</v>
      </c>
      <c r="Q2669" s="4">
        <f t="shared" si="250"/>
        <v>-1.6987698412698415</v>
      </c>
      <c r="R2669" s="4">
        <f t="shared" si="251"/>
        <v>1.3954703832752611E-2</v>
      </c>
      <c r="S2669" s="4">
        <v>38.9</v>
      </c>
      <c r="T2669" s="2">
        <v>0.92</v>
      </c>
      <c r="U2669" s="2">
        <v>13.93</v>
      </c>
      <c r="V2669" s="2">
        <v>3.22</v>
      </c>
      <c r="W2669" s="2">
        <v>-14.68</v>
      </c>
      <c r="X2669" s="2">
        <v>7.33</v>
      </c>
      <c r="Y2669" s="2">
        <v>35.159999999999997</v>
      </c>
      <c r="Z2669" s="2">
        <v>38.729999999999997</v>
      </c>
    </row>
    <row r="2670" spans="1:26" x14ac:dyDescent="0.25">
      <c r="A2670" s="1" t="s">
        <v>10681</v>
      </c>
      <c r="B2670" s="1" t="s">
        <v>10682</v>
      </c>
      <c r="C2670" s="1" t="s">
        <v>31</v>
      </c>
      <c r="D2670" s="1" t="s">
        <v>67</v>
      </c>
      <c r="E2670" s="1" t="s">
        <v>882</v>
      </c>
      <c r="F2670" s="1" t="s">
        <v>10683</v>
      </c>
      <c r="G2670" s="1" t="s">
        <v>12487</v>
      </c>
      <c r="H2670" s="1" t="s">
        <v>10684</v>
      </c>
      <c r="I2670" s="2">
        <v>13.11</v>
      </c>
      <c r="J2670" s="2">
        <v>0.71</v>
      </c>
      <c r="K2670" s="2"/>
      <c r="L2670" s="2"/>
      <c r="M2670" s="4" t="e">
        <f t="shared" si="246"/>
        <v>#DIV/0!</v>
      </c>
      <c r="N2670" s="4" t="e">
        <f t="shared" si="247"/>
        <v>#DIV/0!</v>
      </c>
      <c r="O2670" s="5">
        <f t="shared" si="248"/>
        <v>-1</v>
      </c>
      <c r="P2670" s="5" t="e">
        <f t="shared" si="249"/>
        <v>#DIV/0!</v>
      </c>
      <c r="Q2670" s="4" t="e">
        <f t="shared" si="250"/>
        <v>#DIV/0!</v>
      </c>
      <c r="R2670" s="4" t="e">
        <f t="shared" si="251"/>
        <v>#DIV/0!</v>
      </c>
      <c r="S2670" s="4">
        <v>-1.1299999999999999</v>
      </c>
      <c r="T2670" s="2">
        <v>0.47</v>
      </c>
      <c r="U2670" s="2">
        <v>16.05</v>
      </c>
      <c r="V2670" s="2">
        <v>12.35</v>
      </c>
      <c r="W2670" s="2">
        <v>-2.74</v>
      </c>
      <c r="X2670" s="2">
        <v>-12.77</v>
      </c>
      <c r="Y2670" s="2">
        <v>-7.68</v>
      </c>
      <c r="Z2670" s="2">
        <v>-9.02</v>
      </c>
    </row>
    <row r="2671" spans="1:26" x14ac:dyDescent="0.25">
      <c r="A2671" s="1" t="s">
        <v>10685</v>
      </c>
      <c r="B2671" s="1" t="s">
        <v>10686</v>
      </c>
      <c r="C2671" s="1" t="s">
        <v>45</v>
      </c>
      <c r="D2671" s="1" t="s">
        <v>18</v>
      </c>
      <c r="E2671" s="1" t="s">
        <v>780</v>
      </c>
      <c r="F2671" s="1" t="s">
        <v>10687</v>
      </c>
      <c r="G2671" s="1" t="s">
        <v>12480</v>
      </c>
      <c r="H2671" s="1" t="s">
        <v>10688</v>
      </c>
      <c r="I2671" s="2">
        <v>5.43</v>
      </c>
      <c r="J2671" s="2">
        <v>-0.48</v>
      </c>
      <c r="K2671" s="2">
        <v>-0.44</v>
      </c>
      <c r="L2671" s="2" t="s">
        <v>12489</v>
      </c>
      <c r="M2671" s="4">
        <f t="shared" si="246"/>
        <v>-12.34090909090909</v>
      </c>
      <c r="N2671" s="4" t="e">
        <f t="shared" si="247"/>
        <v>#DIV/0!</v>
      </c>
      <c r="O2671" s="5">
        <f t="shared" si="248"/>
        <v>-8.3333333333333259E-2</v>
      </c>
      <c r="P2671" s="5">
        <f t="shared" si="249"/>
        <v>-1</v>
      </c>
      <c r="Q2671" s="4">
        <f t="shared" si="250"/>
        <v>1.4809090909090923</v>
      </c>
      <c r="R2671" s="4" t="e">
        <f t="shared" si="251"/>
        <v>#DIV/0!</v>
      </c>
      <c r="S2671" s="4"/>
      <c r="T2671" s="2">
        <v>0.31</v>
      </c>
      <c r="U2671" s="2">
        <v>6.94</v>
      </c>
      <c r="V2671" s="2">
        <v>1.94</v>
      </c>
      <c r="W2671" s="2">
        <v>-9.65</v>
      </c>
      <c r="X2671" s="2">
        <v>3.82</v>
      </c>
      <c r="Y2671" s="2">
        <v>-17.850000000000001</v>
      </c>
      <c r="Z2671" s="2">
        <v>-9.9499999999999993</v>
      </c>
    </row>
    <row r="2672" spans="1:26" x14ac:dyDescent="0.25">
      <c r="A2672" s="1" t="s">
        <v>10689</v>
      </c>
      <c r="B2672" s="1" t="s">
        <v>10690</v>
      </c>
      <c r="C2672" s="1" t="s">
        <v>16</v>
      </c>
      <c r="D2672" s="1" t="s">
        <v>147</v>
      </c>
      <c r="E2672" s="1" t="s">
        <v>1931</v>
      </c>
      <c r="F2672" s="1" t="s">
        <v>10691</v>
      </c>
      <c r="G2672" s="1" t="s">
        <v>12480</v>
      </c>
      <c r="H2672" s="1" t="s">
        <v>10692</v>
      </c>
      <c r="I2672" s="2">
        <v>8.48</v>
      </c>
      <c r="J2672" s="2">
        <v>0.45</v>
      </c>
      <c r="K2672" s="2">
        <v>0.48</v>
      </c>
      <c r="L2672" s="2">
        <v>0.56000000000000005</v>
      </c>
      <c r="M2672" s="4">
        <f t="shared" si="246"/>
        <v>17.666666666666668</v>
      </c>
      <c r="N2672" s="4">
        <f t="shared" si="247"/>
        <v>15.142857142857142</v>
      </c>
      <c r="O2672" s="5">
        <f t="shared" si="248"/>
        <v>6.6666666666666652E-2</v>
      </c>
      <c r="P2672" s="5">
        <f t="shared" si="249"/>
        <v>0.16666666666666674</v>
      </c>
      <c r="Q2672" s="4">
        <f t="shared" si="250"/>
        <v>2.6500000000000008</v>
      </c>
      <c r="R2672" s="4">
        <f t="shared" si="251"/>
        <v>0.90857142857142814</v>
      </c>
      <c r="S2672" s="4" t="s">
        <v>12869</v>
      </c>
      <c r="T2672" s="2">
        <v>1.01</v>
      </c>
      <c r="U2672" s="2">
        <v>13.71</v>
      </c>
      <c r="V2672" s="2">
        <v>6.62</v>
      </c>
      <c r="W2672" s="2">
        <v>-4.83</v>
      </c>
      <c r="X2672" s="2">
        <v>-25.87</v>
      </c>
      <c r="Y2672" s="2">
        <v>-10.92</v>
      </c>
      <c r="Z2672" s="2">
        <v>-9.2100000000000009</v>
      </c>
    </row>
    <row r="2673" spans="1:26" x14ac:dyDescent="0.25">
      <c r="A2673" s="1" t="s">
        <v>10693</v>
      </c>
      <c r="B2673" s="1" t="s">
        <v>10694</v>
      </c>
      <c r="C2673" s="1" t="s">
        <v>16</v>
      </c>
      <c r="D2673" s="1" t="s">
        <v>88</v>
      </c>
      <c r="E2673" s="1" t="s">
        <v>6156</v>
      </c>
      <c r="F2673" s="1" t="s">
        <v>10695</v>
      </c>
      <c r="G2673" s="1" t="s">
        <v>12480</v>
      </c>
      <c r="H2673" s="1" t="s">
        <v>10696</v>
      </c>
      <c r="I2673" s="2">
        <v>42.09</v>
      </c>
      <c r="J2673" s="2">
        <v>2.0499999999999998</v>
      </c>
      <c r="K2673" s="2">
        <v>2.79</v>
      </c>
      <c r="L2673" s="2">
        <v>3.66</v>
      </c>
      <c r="M2673" s="4">
        <f t="shared" si="246"/>
        <v>15.086021505376346</v>
      </c>
      <c r="N2673" s="4">
        <f t="shared" si="247"/>
        <v>11.5</v>
      </c>
      <c r="O2673" s="5">
        <f t="shared" si="248"/>
        <v>0.36097560975609766</v>
      </c>
      <c r="P2673" s="5">
        <f t="shared" si="249"/>
        <v>0.31182795698924726</v>
      </c>
      <c r="Q2673" s="4">
        <f t="shared" si="250"/>
        <v>0.41792356873002029</v>
      </c>
      <c r="R2673" s="4">
        <f t="shared" si="251"/>
        <v>0.36879310344827593</v>
      </c>
      <c r="S2673" s="4">
        <v>47.7</v>
      </c>
      <c r="T2673" s="2">
        <v>1.06</v>
      </c>
      <c r="U2673" s="2">
        <v>51.84</v>
      </c>
      <c r="V2673" s="2">
        <v>32.79</v>
      </c>
      <c r="W2673" s="2">
        <v>-10.1</v>
      </c>
      <c r="X2673" s="2">
        <v>-4.45</v>
      </c>
      <c r="Y2673" s="2">
        <v>12.12</v>
      </c>
      <c r="Z2673" s="2">
        <v>8.84</v>
      </c>
    </row>
    <row r="2674" spans="1:26" x14ac:dyDescent="0.25">
      <c r="A2674" s="1" t="s">
        <v>10697</v>
      </c>
      <c r="B2674" s="1" t="s">
        <v>10698</v>
      </c>
      <c r="C2674" s="1" t="s">
        <v>31</v>
      </c>
      <c r="D2674" s="1" t="s">
        <v>38</v>
      </c>
      <c r="E2674" s="1" t="s">
        <v>189</v>
      </c>
      <c r="F2674" s="1" t="s">
        <v>10699</v>
      </c>
      <c r="G2674" s="1" t="s">
        <v>12480</v>
      </c>
      <c r="H2674" s="1" t="s">
        <v>10700</v>
      </c>
      <c r="I2674" s="2">
        <v>37.020000000000003</v>
      </c>
      <c r="J2674" s="2">
        <v>2.96</v>
      </c>
      <c r="K2674" s="2">
        <v>3.08</v>
      </c>
      <c r="L2674" s="2">
        <v>3.21</v>
      </c>
      <c r="M2674" s="4">
        <f t="shared" si="246"/>
        <v>12.019480519480521</v>
      </c>
      <c r="N2674" s="4">
        <f t="shared" si="247"/>
        <v>11.532710280373832</v>
      </c>
      <c r="O2674" s="5">
        <f t="shared" si="248"/>
        <v>4.0540540540540571E-2</v>
      </c>
      <c r="P2674" s="5">
        <f t="shared" si="249"/>
        <v>4.2207792207792139E-2</v>
      </c>
      <c r="Q2674" s="4">
        <f t="shared" si="250"/>
        <v>2.964805194805193</v>
      </c>
      <c r="R2674" s="4">
        <f t="shared" si="251"/>
        <v>2.7323652048885738</v>
      </c>
      <c r="S2674" s="4">
        <v>-36.6</v>
      </c>
      <c r="T2674" s="2">
        <v>0.69</v>
      </c>
      <c r="U2674" s="2">
        <v>40.31</v>
      </c>
      <c r="V2674" s="2">
        <v>19.579999999999998</v>
      </c>
      <c r="W2674" s="2">
        <v>-1.46</v>
      </c>
      <c r="X2674" s="2">
        <v>-7.59</v>
      </c>
      <c r="Y2674" s="2">
        <v>10.51</v>
      </c>
      <c r="Z2674" s="2">
        <v>6.78</v>
      </c>
    </row>
    <row r="2675" spans="1:26" x14ac:dyDescent="0.25">
      <c r="A2675" s="1" t="s">
        <v>10701</v>
      </c>
      <c r="B2675" s="1" t="s">
        <v>10702</v>
      </c>
      <c r="C2675" s="1" t="s">
        <v>31</v>
      </c>
      <c r="D2675" s="1" t="s">
        <v>128</v>
      </c>
      <c r="E2675" s="1" t="s">
        <v>210</v>
      </c>
      <c r="F2675" s="1" t="s">
        <v>10703</v>
      </c>
      <c r="G2675" s="1" t="s">
        <v>12480</v>
      </c>
      <c r="H2675" s="1" t="s">
        <v>10704</v>
      </c>
      <c r="I2675" s="2">
        <v>11.01</v>
      </c>
      <c r="J2675" s="2" t="s">
        <v>12489</v>
      </c>
      <c r="K2675" s="2"/>
      <c r="L2675" s="2"/>
      <c r="M2675" s="4" t="e">
        <f t="shared" si="246"/>
        <v>#DIV/0!</v>
      </c>
      <c r="N2675" s="4" t="e">
        <f t="shared" si="247"/>
        <v>#DIV/0!</v>
      </c>
      <c r="O2675" s="5" t="e">
        <f t="shared" si="248"/>
        <v>#DIV/0!</v>
      </c>
      <c r="P2675" s="5" t="e">
        <f t="shared" si="249"/>
        <v>#DIV/0!</v>
      </c>
      <c r="Q2675" s="4" t="e">
        <f t="shared" si="250"/>
        <v>#DIV/0!</v>
      </c>
      <c r="R2675" s="4" t="e">
        <f t="shared" si="251"/>
        <v>#DIV/0!</v>
      </c>
      <c r="S2675" s="4">
        <v>-0.96</v>
      </c>
      <c r="T2675" s="2">
        <v>0.72</v>
      </c>
      <c r="U2675" s="2">
        <v>13.03</v>
      </c>
      <c r="V2675" s="2">
        <v>7.37</v>
      </c>
      <c r="W2675" s="2">
        <v>-6.22</v>
      </c>
      <c r="X2675" s="2">
        <v>-12.41</v>
      </c>
      <c r="Y2675" s="2">
        <v>7.1</v>
      </c>
      <c r="Z2675" s="2">
        <v>4.26</v>
      </c>
    </row>
    <row r="2676" spans="1:26" x14ac:dyDescent="0.25">
      <c r="A2676" s="1" t="s">
        <v>10705</v>
      </c>
      <c r="B2676" s="1" t="s">
        <v>10706</v>
      </c>
      <c r="C2676" s="1" t="s">
        <v>16</v>
      </c>
      <c r="D2676" s="1" t="s">
        <v>25</v>
      </c>
      <c r="E2676" s="1" t="s">
        <v>743</v>
      </c>
      <c r="F2676" s="1" t="s">
        <v>10707</v>
      </c>
      <c r="G2676" s="1" t="s">
        <v>12480</v>
      </c>
      <c r="H2676" s="1" t="s">
        <v>10708</v>
      </c>
      <c r="I2676" s="2">
        <v>75.62</v>
      </c>
      <c r="J2676" s="2">
        <v>4.67</v>
      </c>
      <c r="K2676" s="2">
        <v>5.22</v>
      </c>
      <c r="L2676" s="2">
        <v>6.22</v>
      </c>
      <c r="M2676" s="4">
        <f t="shared" si="246"/>
        <v>14.486590038314178</v>
      </c>
      <c r="N2676" s="4">
        <f t="shared" si="247"/>
        <v>12.157556270096464</v>
      </c>
      <c r="O2676" s="5">
        <f t="shared" si="248"/>
        <v>0.11777301927194861</v>
      </c>
      <c r="P2676" s="5">
        <f t="shared" si="249"/>
        <v>0.1915708812260537</v>
      </c>
      <c r="Q2676" s="4">
        <f t="shared" si="250"/>
        <v>1.2300431905259492</v>
      </c>
      <c r="R2676" s="4">
        <f t="shared" si="251"/>
        <v>0.63462443729903528</v>
      </c>
      <c r="S2676" s="4">
        <v>-1.53</v>
      </c>
      <c r="T2676" s="2">
        <v>1.18</v>
      </c>
      <c r="U2676" s="2">
        <v>91.96</v>
      </c>
      <c r="V2676" s="2">
        <v>55.86</v>
      </c>
      <c r="W2676" s="2">
        <v>-10.02</v>
      </c>
      <c r="X2676" s="2">
        <v>-15.84</v>
      </c>
      <c r="Y2676" s="2">
        <v>1.98</v>
      </c>
      <c r="Z2676" s="2">
        <v>1.8</v>
      </c>
    </row>
    <row r="2677" spans="1:26" x14ac:dyDescent="0.25">
      <c r="A2677" s="1" t="s">
        <v>10709</v>
      </c>
      <c r="B2677" s="1" t="s">
        <v>10710</v>
      </c>
      <c r="C2677" s="1" t="s">
        <v>45</v>
      </c>
      <c r="D2677" s="1" t="s">
        <v>32</v>
      </c>
      <c r="E2677" s="1" t="s">
        <v>9283</v>
      </c>
      <c r="F2677" s="1" t="s">
        <v>10711</v>
      </c>
      <c r="G2677" s="1" t="s">
        <v>12485</v>
      </c>
      <c r="H2677" s="1" t="s">
        <v>10712</v>
      </c>
      <c r="I2677" s="2">
        <v>55.28</v>
      </c>
      <c r="J2677" s="2">
        <v>5.93</v>
      </c>
      <c r="K2677" s="2">
        <v>4.7</v>
      </c>
      <c r="L2677" s="2">
        <v>5.12</v>
      </c>
      <c r="M2677" s="4">
        <f t="shared" si="246"/>
        <v>11.761702127659575</v>
      </c>
      <c r="N2677" s="4">
        <f t="shared" si="247"/>
        <v>10.796875</v>
      </c>
      <c r="O2677" s="5">
        <f t="shared" si="248"/>
        <v>-0.20741989881956147</v>
      </c>
      <c r="P2677" s="5">
        <f t="shared" si="249"/>
        <v>8.9361702127659592E-2</v>
      </c>
      <c r="Q2677" s="4">
        <f t="shared" si="250"/>
        <v>-0.56704791558553902</v>
      </c>
      <c r="R2677" s="4">
        <f t="shared" si="251"/>
        <v>1.208221726190476</v>
      </c>
      <c r="S2677" s="4">
        <v>-2.1800000000000002</v>
      </c>
      <c r="T2677" s="2">
        <v>1.3</v>
      </c>
      <c r="U2677" s="2">
        <v>82.97</v>
      </c>
      <c r="V2677" s="2">
        <v>49.2</v>
      </c>
      <c r="W2677" s="2">
        <v>-6.19</v>
      </c>
      <c r="X2677" s="2">
        <v>-10.19</v>
      </c>
      <c r="Y2677" s="2">
        <v>-16.71</v>
      </c>
      <c r="Z2677" s="2">
        <v>-12.82</v>
      </c>
    </row>
    <row r="2678" spans="1:26" x14ac:dyDescent="0.25">
      <c r="A2678" s="1" t="s">
        <v>10713</v>
      </c>
      <c r="B2678" s="1" t="s">
        <v>10714</v>
      </c>
      <c r="C2678" s="1" t="s">
        <v>31</v>
      </c>
      <c r="D2678" s="1" t="s">
        <v>2417</v>
      </c>
      <c r="E2678" s="1" t="s">
        <v>2418</v>
      </c>
      <c r="F2678" s="1" t="s">
        <v>10715</v>
      </c>
      <c r="G2678" s="1" t="s">
        <v>12480</v>
      </c>
      <c r="H2678" s="1" t="s">
        <v>10716</v>
      </c>
      <c r="I2678" s="2">
        <v>10.185</v>
      </c>
      <c r="J2678" s="2">
        <v>0.95</v>
      </c>
      <c r="K2678" s="2">
        <v>0.92</v>
      </c>
      <c r="L2678" s="2"/>
      <c r="M2678" s="4">
        <f t="shared" si="246"/>
        <v>11.070652173913043</v>
      </c>
      <c r="N2678" s="4" t="e">
        <f t="shared" si="247"/>
        <v>#DIV/0!</v>
      </c>
      <c r="O2678" s="5">
        <f t="shared" si="248"/>
        <v>-3.1578947368420929E-2</v>
      </c>
      <c r="P2678" s="5">
        <f t="shared" si="249"/>
        <v>-1</v>
      </c>
      <c r="Q2678" s="4">
        <f t="shared" si="250"/>
        <v>-3.5057065217391439</v>
      </c>
      <c r="R2678" s="4" t="e">
        <f t="shared" si="251"/>
        <v>#DIV/0!</v>
      </c>
      <c r="S2678" s="4">
        <v>-13.27</v>
      </c>
      <c r="T2678" s="2">
        <v>0.14000000000000001</v>
      </c>
      <c r="U2678" s="2">
        <v>10.73</v>
      </c>
      <c r="V2678" s="2">
        <v>7.79</v>
      </c>
      <c r="W2678" s="2">
        <v>-3.28</v>
      </c>
      <c r="X2678" s="2">
        <v>0.44</v>
      </c>
      <c r="Y2678" s="2">
        <v>22.86</v>
      </c>
      <c r="Z2678" s="2">
        <v>26.84</v>
      </c>
    </row>
    <row r="2679" spans="1:26" x14ac:dyDescent="0.25">
      <c r="A2679" s="1" t="s">
        <v>10717</v>
      </c>
      <c r="B2679" s="1" t="s">
        <v>10718</v>
      </c>
      <c r="C2679" s="1" t="s">
        <v>16</v>
      </c>
      <c r="D2679" s="1" t="s">
        <v>354</v>
      </c>
      <c r="E2679" s="1" t="s">
        <v>1213</v>
      </c>
      <c r="F2679" s="1" t="s">
        <v>10719</v>
      </c>
      <c r="G2679" s="1" t="s">
        <v>12480</v>
      </c>
      <c r="H2679" s="1" t="s">
        <v>1522</v>
      </c>
      <c r="I2679" s="2">
        <v>87.71</v>
      </c>
      <c r="J2679" s="2">
        <v>3.65</v>
      </c>
      <c r="K2679" s="2">
        <v>4.18</v>
      </c>
      <c r="L2679" s="2">
        <v>4.92</v>
      </c>
      <c r="M2679" s="4">
        <f t="shared" si="246"/>
        <v>20.983253588516746</v>
      </c>
      <c r="N2679" s="4">
        <f t="shared" si="247"/>
        <v>17.827235772357721</v>
      </c>
      <c r="O2679" s="5">
        <f t="shared" si="248"/>
        <v>0.14520547945205475</v>
      </c>
      <c r="P2679" s="5">
        <f t="shared" si="249"/>
        <v>0.17703349282296665</v>
      </c>
      <c r="Q2679" s="4">
        <f t="shared" si="250"/>
        <v>1.4450731244921915</v>
      </c>
      <c r="R2679" s="4">
        <f t="shared" si="251"/>
        <v>1.0069979125466921</v>
      </c>
      <c r="S2679" s="4">
        <v>-62.05</v>
      </c>
      <c r="T2679" s="2">
        <v>0.63</v>
      </c>
      <c r="U2679" s="2">
        <v>89.6</v>
      </c>
      <c r="V2679" s="2">
        <v>66.91</v>
      </c>
      <c r="W2679" s="2">
        <v>-0.89</v>
      </c>
      <c r="X2679" s="2">
        <v>5.84</v>
      </c>
      <c r="Y2679" s="2">
        <v>7.32</v>
      </c>
      <c r="Z2679" s="2">
        <v>9.61</v>
      </c>
    </row>
    <row r="2680" spans="1:26" x14ac:dyDescent="0.25">
      <c r="A2680" s="1" t="s">
        <v>10720</v>
      </c>
      <c r="B2680" s="1" t="s">
        <v>10721</v>
      </c>
      <c r="C2680" s="1" t="s">
        <v>16</v>
      </c>
      <c r="D2680" s="1" t="s">
        <v>25</v>
      </c>
      <c r="E2680" s="1" t="s">
        <v>220</v>
      </c>
      <c r="F2680" s="1" t="s">
        <v>10722</v>
      </c>
      <c r="G2680" s="1" t="s">
        <v>12502</v>
      </c>
      <c r="H2680" s="1" t="s">
        <v>12519</v>
      </c>
      <c r="I2680" s="2">
        <v>260.44</v>
      </c>
      <c r="J2680" s="2">
        <v>7.98</v>
      </c>
      <c r="K2680" s="2">
        <v>8.86</v>
      </c>
      <c r="L2680" s="2">
        <v>10.38</v>
      </c>
      <c r="M2680" s="4">
        <f t="shared" si="246"/>
        <v>29.39503386004515</v>
      </c>
      <c r="N2680" s="4">
        <f t="shared" si="247"/>
        <v>25.090558766859342</v>
      </c>
      <c r="O2680" s="5">
        <f t="shared" si="248"/>
        <v>0.11027568922305742</v>
      </c>
      <c r="P2680" s="5">
        <f t="shared" si="249"/>
        <v>0.17155756207674955</v>
      </c>
      <c r="Q2680" s="4">
        <f t="shared" si="250"/>
        <v>2.6655951159450089</v>
      </c>
      <c r="R2680" s="4">
        <f t="shared" si="251"/>
        <v>1.4625154649629843</v>
      </c>
      <c r="S2680" s="4">
        <v>9.64</v>
      </c>
      <c r="T2680" s="2">
        <v>1.0900000000000001</v>
      </c>
      <c r="U2680" s="2">
        <v>264.95999999999998</v>
      </c>
      <c r="V2680" s="2">
        <v>130.91</v>
      </c>
      <c r="W2680" s="2">
        <v>-1.35</v>
      </c>
      <c r="X2680" s="2">
        <v>0.52</v>
      </c>
      <c r="Y2680" s="2">
        <v>12.94</v>
      </c>
      <c r="Z2680" s="2">
        <v>19.86</v>
      </c>
    </row>
    <row r="2681" spans="1:26" x14ac:dyDescent="0.25">
      <c r="A2681" s="1" t="s">
        <v>10723</v>
      </c>
      <c r="B2681" s="1" t="s">
        <v>10724</v>
      </c>
      <c r="C2681" s="1" t="s">
        <v>16</v>
      </c>
      <c r="D2681" s="1" t="s">
        <v>88</v>
      </c>
      <c r="E2681" s="1" t="s">
        <v>1113</v>
      </c>
      <c r="F2681" s="1" t="s">
        <v>10725</v>
      </c>
      <c r="G2681" s="1" t="s">
        <v>12480</v>
      </c>
      <c r="H2681" s="1" t="s">
        <v>10726</v>
      </c>
      <c r="I2681" s="2">
        <v>91.32</v>
      </c>
      <c r="J2681" s="2">
        <v>3.48</v>
      </c>
      <c r="K2681" s="2">
        <v>3.7</v>
      </c>
      <c r="L2681" s="2">
        <v>4.5</v>
      </c>
      <c r="M2681" s="4">
        <f t="shared" si="246"/>
        <v>24.681081081081079</v>
      </c>
      <c r="N2681" s="4">
        <f t="shared" si="247"/>
        <v>20.293333333333333</v>
      </c>
      <c r="O2681" s="5">
        <f t="shared" si="248"/>
        <v>6.321839080459779E-2</v>
      </c>
      <c r="P2681" s="5">
        <f t="shared" si="249"/>
        <v>0.21621621621621623</v>
      </c>
      <c r="Q2681" s="4">
        <f t="shared" si="250"/>
        <v>3.9040982800982742</v>
      </c>
      <c r="R2681" s="4">
        <f t="shared" si="251"/>
        <v>0.93856666666666666</v>
      </c>
      <c r="S2681" s="4">
        <v>3.52</v>
      </c>
      <c r="T2681" s="2">
        <v>0.55000000000000004</v>
      </c>
      <c r="U2681" s="2">
        <v>120.77</v>
      </c>
      <c r="V2681" s="2">
        <v>68.75</v>
      </c>
      <c r="W2681" s="2">
        <v>-9.2100000000000009</v>
      </c>
      <c r="X2681" s="2">
        <v>-8.8000000000000007</v>
      </c>
      <c r="Y2681" s="2">
        <v>-2.95</v>
      </c>
      <c r="Z2681" s="2">
        <v>-2.8</v>
      </c>
    </row>
    <row r="2682" spans="1:26" x14ac:dyDescent="0.25">
      <c r="A2682" s="1" t="s">
        <v>10727</v>
      </c>
      <c r="B2682" s="1" t="s">
        <v>10728</v>
      </c>
      <c r="C2682" s="1" t="s">
        <v>31</v>
      </c>
      <c r="D2682" s="1" t="s">
        <v>88</v>
      </c>
      <c r="E2682" s="1" t="s">
        <v>1113</v>
      </c>
      <c r="F2682" s="1" t="s">
        <v>10729</v>
      </c>
      <c r="G2682" s="1" t="s">
        <v>12480</v>
      </c>
      <c r="H2682" s="1" t="s">
        <v>10730</v>
      </c>
      <c r="I2682" s="2">
        <v>18.100000000000001</v>
      </c>
      <c r="J2682" s="2">
        <v>0.78</v>
      </c>
      <c r="K2682" s="2">
        <v>0.95</v>
      </c>
      <c r="L2682" s="2">
        <v>1.07</v>
      </c>
      <c r="M2682" s="4">
        <f t="shared" si="246"/>
        <v>19.05263157894737</v>
      </c>
      <c r="N2682" s="4">
        <f t="shared" si="247"/>
        <v>16.915887850467289</v>
      </c>
      <c r="O2682" s="5">
        <f t="shared" si="248"/>
        <v>0.21794871794871784</v>
      </c>
      <c r="P2682" s="5">
        <f t="shared" si="249"/>
        <v>0.12631578947368438</v>
      </c>
      <c r="Q2682" s="4">
        <f t="shared" si="250"/>
        <v>0.87417956656346796</v>
      </c>
      <c r="R2682" s="4">
        <f t="shared" si="251"/>
        <v>1.3391744548286584</v>
      </c>
      <c r="S2682" s="4">
        <v>1.1399999999999999</v>
      </c>
      <c r="T2682" s="2">
        <v>0.02</v>
      </c>
      <c r="U2682" s="2">
        <v>27.51</v>
      </c>
      <c r="V2682" s="2">
        <v>18.100000000000001</v>
      </c>
      <c r="W2682" s="2">
        <v>-10.66</v>
      </c>
      <c r="X2682" s="2">
        <v>-10.53</v>
      </c>
      <c r="Y2682" s="2">
        <v>-11.06</v>
      </c>
      <c r="Z2682" s="2">
        <v>-11.41</v>
      </c>
    </row>
    <row r="2683" spans="1:26" x14ac:dyDescent="0.25">
      <c r="A2683" s="1" t="s">
        <v>10731</v>
      </c>
      <c r="B2683" s="1" t="s">
        <v>10732</v>
      </c>
      <c r="C2683" s="1" t="s">
        <v>45</v>
      </c>
      <c r="D2683" s="1" t="s">
        <v>38</v>
      </c>
      <c r="E2683" s="1" t="s">
        <v>119</v>
      </c>
      <c r="F2683" s="1" t="s">
        <v>10733</v>
      </c>
      <c r="G2683" s="1" t="s">
        <v>12480</v>
      </c>
      <c r="H2683" s="1" t="s">
        <v>1777</v>
      </c>
      <c r="I2683" s="2">
        <v>64.430000000000007</v>
      </c>
      <c r="J2683" s="2">
        <v>4.75</v>
      </c>
      <c r="K2683" s="2">
        <v>4.91</v>
      </c>
      <c r="L2683" s="2">
        <v>5.27</v>
      </c>
      <c r="M2683" s="4">
        <f t="shared" si="246"/>
        <v>13.122199592668025</v>
      </c>
      <c r="N2683" s="4">
        <f t="shared" si="247"/>
        <v>12.225806451612906</v>
      </c>
      <c r="O2683" s="5">
        <f t="shared" si="248"/>
        <v>3.3684210526315761E-2</v>
      </c>
      <c r="P2683" s="5">
        <f t="shared" si="249"/>
        <v>7.3319755600814496E-2</v>
      </c>
      <c r="Q2683" s="4">
        <f t="shared" si="250"/>
        <v>3.8956530040733233</v>
      </c>
      <c r="R2683" s="4">
        <f t="shared" si="251"/>
        <v>1.6674641577060973</v>
      </c>
      <c r="S2683" s="4">
        <v>11.11</v>
      </c>
      <c r="T2683" s="2">
        <v>0.71</v>
      </c>
      <c r="U2683" s="2">
        <v>83.01</v>
      </c>
      <c r="V2683" s="2">
        <v>62.76</v>
      </c>
      <c r="W2683" s="2">
        <v>-0.32</v>
      </c>
      <c r="X2683" s="2">
        <v>-8.58</v>
      </c>
      <c r="Y2683" s="2">
        <v>-6.74</v>
      </c>
      <c r="Z2683" s="2">
        <v>-0.8</v>
      </c>
    </row>
    <row r="2684" spans="1:26" x14ac:dyDescent="0.25">
      <c r="A2684" s="1" t="s">
        <v>10734</v>
      </c>
      <c r="B2684" s="1" t="s">
        <v>10735</v>
      </c>
      <c r="C2684" s="1" t="s">
        <v>16</v>
      </c>
      <c r="D2684" s="1" t="s">
        <v>38</v>
      </c>
      <c r="E2684" s="1" t="s">
        <v>52</v>
      </c>
      <c r="F2684" s="1" t="s">
        <v>10736</v>
      </c>
      <c r="G2684" s="1" t="s">
        <v>12480</v>
      </c>
      <c r="H2684" s="1" t="s">
        <v>10737</v>
      </c>
      <c r="I2684" s="2">
        <v>67.12</v>
      </c>
      <c r="J2684" s="2">
        <v>9.42</v>
      </c>
      <c r="K2684" s="2">
        <v>9.2899999999999991</v>
      </c>
      <c r="L2684" s="2">
        <v>10.19</v>
      </c>
      <c r="M2684" s="4">
        <f t="shared" si="246"/>
        <v>7.224973089343381</v>
      </c>
      <c r="N2684" s="4">
        <f t="shared" si="247"/>
        <v>6.5868498527968606</v>
      </c>
      <c r="O2684" s="5">
        <f t="shared" si="248"/>
        <v>-1.3800424628450214E-2</v>
      </c>
      <c r="P2684" s="5">
        <f t="shared" si="249"/>
        <v>9.6878363832077596E-2</v>
      </c>
      <c r="Q2684" s="4">
        <f t="shared" si="250"/>
        <v>-5.2353266539703167</v>
      </c>
      <c r="R2684" s="4">
        <f t="shared" si="251"/>
        <v>0.6799092792498086</v>
      </c>
      <c r="S2684" s="4">
        <v>-0.19</v>
      </c>
      <c r="T2684" s="2">
        <v>1.42</v>
      </c>
      <c r="U2684" s="2">
        <v>88.47</v>
      </c>
      <c r="V2684" s="2">
        <v>43.81</v>
      </c>
      <c r="W2684" s="2">
        <v>-2.21</v>
      </c>
      <c r="X2684" s="2">
        <v>-9.24</v>
      </c>
      <c r="Y2684" s="2">
        <v>-19.34</v>
      </c>
      <c r="Z2684" s="2">
        <v>-19.55</v>
      </c>
    </row>
    <row r="2685" spans="1:26" x14ac:dyDescent="0.25">
      <c r="A2685" s="1" t="s">
        <v>10738</v>
      </c>
      <c r="B2685" s="1" t="s">
        <v>10739</v>
      </c>
      <c r="C2685" s="1" t="s">
        <v>31</v>
      </c>
      <c r="D2685" s="1" t="s">
        <v>88</v>
      </c>
      <c r="E2685" s="1" t="s">
        <v>1113</v>
      </c>
      <c r="F2685" s="1" t="s">
        <v>10740</v>
      </c>
      <c r="G2685" s="1" t="s">
        <v>12480</v>
      </c>
      <c r="H2685" s="1" t="s">
        <v>10741</v>
      </c>
      <c r="I2685" s="2">
        <v>20.85</v>
      </c>
      <c r="J2685" s="2">
        <v>0.93</v>
      </c>
      <c r="K2685" s="2">
        <v>1.25</v>
      </c>
      <c r="L2685" s="2">
        <v>1.34</v>
      </c>
      <c r="M2685" s="4">
        <f t="shared" si="246"/>
        <v>16.68</v>
      </c>
      <c r="N2685" s="4">
        <f t="shared" si="247"/>
        <v>15.559701492537313</v>
      </c>
      <c r="O2685" s="5">
        <f t="shared" si="248"/>
        <v>0.34408602150537626</v>
      </c>
      <c r="P2685" s="5">
        <f t="shared" si="249"/>
        <v>7.2000000000000064E-2</v>
      </c>
      <c r="Q2685" s="4">
        <f t="shared" si="250"/>
        <v>0.4847625000000001</v>
      </c>
      <c r="R2685" s="4">
        <f t="shared" si="251"/>
        <v>2.1610696517412915</v>
      </c>
      <c r="S2685" s="4">
        <v>5.37</v>
      </c>
      <c r="T2685" s="2">
        <v>0.69</v>
      </c>
      <c r="U2685" s="2">
        <v>30.35</v>
      </c>
      <c r="V2685" s="2">
        <v>19.38</v>
      </c>
      <c r="W2685" s="2">
        <v>-6.38</v>
      </c>
      <c r="X2685" s="2">
        <v>-2.2000000000000002</v>
      </c>
      <c r="Y2685" s="2">
        <v>6.7</v>
      </c>
      <c r="Z2685" s="2">
        <v>3.63</v>
      </c>
    </row>
    <row r="2686" spans="1:26" x14ac:dyDescent="0.25">
      <c r="A2686" s="1" t="s">
        <v>10742</v>
      </c>
      <c r="B2686" s="1" t="s">
        <v>10743</v>
      </c>
      <c r="C2686" s="1" t="s">
        <v>16</v>
      </c>
      <c r="D2686" s="1" t="s">
        <v>18</v>
      </c>
      <c r="E2686" s="1" t="s">
        <v>19</v>
      </c>
      <c r="F2686" s="1" t="s">
        <v>10744</v>
      </c>
      <c r="G2686" s="1" t="s">
        <v>12480</v>
      </c>
      <c r="H2686" s="1" t="s">
        <v>10745</v>
      </c>
      <c r="I2686" s="2">
        <v>365.92</v>
      </c>
      <c r="J2686" s="2">
        <v>13.63</v>
      </c>
      <c r="K2686" s="2">
        <v>14.92</v>
      </c>
      <c r="L2686" s="2">
        <v>16.52</v>
      </c>
      <c r="M2686" s="4">
        <f t="shared" si="246"/>
        <v>24.525469168900806</v>
      </c>
      <c r="N2686" s="4">
        <f t="shared" si="247"/>
        <v>22.150121065375306</v>
      </c>
      <c r="O2686" s="5">
        <f t="shared" si="248"/>
        <v>9.4644167278063129E-2</v>
      </c>
      <c r="P2686" s="5">
        <f t="shared" si="249"/>
        <v>0.1072386058981234</v>
      </c>
      <c r="Q2686" s="4">
        <f t="shared" si="250"/>
        <v>2.5913344555978131</v>
      </c>
      <c r="R2686" s="4">
        <f t="shared" si="251"/>
        <v>2.065498789346246</v>
      </c>
      <c r="S2686" s="4">
        <v>11.16</v>
      </c>
      <c r="T2686" s="2">
        <v>0.85</v>
      </c>
      <c r="U2686" s="2">
        <v>403.53</v>
      </c>
      <c r="V2686" s="2">
        <v>337.37</v>
      </c>
      <c r="W2686" s="2">
        <v>-5.45</v>
      </c>
      <c r="X2686" s="2">
        <v>2.76</v>
      </c>
      <c r="Y2686" s="2">
        <v>2.99</v>
      </c>
      <c r="Z2686" s="2">
        <v>4.1100000000000003</v>
      </c>
    </row>
    <row r="2687" spans="1:26" x14ac:dyDescent="0.25">
      <c r="A2687" s="1" t="s">
        <v>10746</v>
      </c>
      <c r="B2687" s="1" t="s">
        <v>10747</v>
      </c>
      <c r="C2687" s="1" t="s">
        <v>45</v>
      </c>
      <c r="D2687" s="1" t="s">
        <v>140</v>
      </c>
      <c r="E2687" s="1" t="s">
        <v>284</v>
      </c>
      <c r="F2687" s="1" t="s">
        <v>10748</v>
      </c>
      <c r="G2687" s="1" t="s">
        <v>12485</v>
      </c>
      <c r="H2687" s="1" t="s">
        <v>10749</v>
      </c>
      <c r="I2687" s="2">
        <v>50.24</v>
      </c>
      <c r="J2687" s="2">
        <v>1.82</v>
      </c>
      <c r="K2687" s="2">
        <v>0.48</v>
      </c>
      <c r="L2687" s="2">
        <v>0.61</v>
      </c>
      <c r="M2687" s="4">
        <f t="shared" si="246"/>
        <v>104.66666666666667</v>
      </c>
      <c r="N2687" s="4">
        <f t="shared" si="247"/>
        <v>82.360655737704917</v>
      </c>
      <c r="O2687" s="5">
        <f t="shared" si="248"/>
        <v>-0.73626373626373631</v>
      </c>
      <c r="P2687" s="5">
        <f t="shared" si="249"/>
        <v>0.27083333333333326</v>
      </c>
      <c r="Q2687" s="4">
        <f t="shared" si="250"/>
        <v>-1.4215920398009949</v>
      </c>
      <c r="R2687" s="4">
        <f t="shared" si="251"/>
        <v>3.0410088272383362</v>
      </c>
      <c r="S2687" s="4">
        <v>23.31</v>
      </c>
      <c r="T2687" s="2">
        <v>2.13</v>
      </c>
      <c r="U2687" s="2">
        <v>87.3</v>
      </c>
      <c r="V2687" s="2">
        <v>17.5</v>
      </c>
      <c r="W2687" s="2">
        <v>-7.32</v>
      </c>
      <c r="X2687" s="2">
        <v>-19.670000000000002</v>
      </c>
      <c r="Y2687" s="2">
        <v>-15.89</v>
      </c>
      <c r="Z2687" s="2">
        <v>-15.56</v>
      </c>
    </row>
    <row r="2688" spans="1:26" x14ac:dyDescent="0.25">
      <c r="A2688" s="1" t="s">
        <v>10750</v>
      </c>
      <c r="B2688" s="1" t="s">
        <v>10751</v>
      </c>
      <c r="C2688" s="1" t="s">
        <v>45</v>
      </c>
      <c r="D2688" s="1" t="s">
        <v>32</v>
      </c>
      <c r="E2688" s="1" t="s">
        <v>57</v>
      </c>
      <c r="F2688" s="1" t="s">
        <v>10752</v>
      </c>
      <c r="G2688" s="1" t="s">
        <v>12502</v>
      </c>
      <c r="H2688" s="1" t="s">
        <v>10680</v>
      </c>
      <c r="I2688" s="2">
        <v>74.44</v>
      </c>
      <c r="J2688" s="2">
        <v>3.62</v>
      </c>
      <c r="K2688" s="2">
        <v>4.37</v>
      </c>
      <c r="L2688" s="2">
        <v>5.23</v>
      </c>
      <c r="M2688" s="4">
        <f t="shared" si="246"/>
        <v>17.034324942791763</v>
      </c>
      <c r="N2688" s="4">
        <f t="shared" si="247"/>
        <v>14.233269598470361</v>
      </c>
      <c r="O2688" s="5">
        <f t="shared" si="248"/>
        <v>0.20718232044198892</v>
      </c>
      <c r="P2688" s="5">
        <f t="shared" si="249"/>
        <v>0.19679633867276891</v>
      </c>
      <c r="Q2688" s="4">
        <f t="shared" si="250"/>
        <v>0.82219008390541581</v>
      </c>
      <c r="R2688" s="4">
        <f t="shared" si="251"/>
        <v>0.72324869936413339</v>
      </c>
      <c r="S2688" s="4">
        <v>11.98</v>
      </c>
      <c r="T2688" s="2">
        <v>1.68</v>
      </c>
      <c r="U2688" s="2">
        <v>92.07</v>
      </c>
      <c r="V2688" s="2">
        <v>42.92</v>
      </c>
      <c r="W2688" s="2">
        <v>-8.67</v>
      </c>
      <c r="X2688" s="2">
        <v>-14.79</v>
      </c>
      <c r="Y2688" s="2">
        <v>-1.68</v>
      </c>
      <c r="Z2688" s="2">
        <v>0.56999999999999995</v>
      </c>
    </row>
    <row r="2689" spans="1:26" x14ac:dyDescent="0.25">
      <c r="A2689" s="1" t="s">
        <v>10753</v>
      </c>
      <c r="B2689" s="1" t="s">
        <v>10754</v>
      </c>
      <c r="C2689" s="1" t="s">
        <v>45</v>
      </c>
      <c r="D2689" s="1" t="s">
        <v>18</v>
      </c>
      <c r="E2689" s="1" t="s">
        <v>74</v>
      </c>
      <c r="F2689" s="1" t="s">
        <v>10755</v>
      </c>
      <c r="G2689" s="1" t="s">
        <v>12480</v>
      </c>
      <c r="H2689" s="1" t="s">
        <v>10756</v>
      </c>
      <c r="I2689" s="2">
        <v>41.07</v>
      </c>
      <c r="J2689" s="2">
        <v>-1.98</v>
      </c>
      <c r="K2689" s="2">
        <v>-2.8</v>
      </c>
      <c r="L2689" s="2">
        <v>-2.77</v>
      </c>
      <c r="M2689" s="4">
        <f t="shared" si="246"/>
        <v>-14.667857142857144</v>
      </c>
      <c r="N2689" s="4">
        <f t="shared" si="247"/>
        <v>-14.826714801444043</v>
      </c>
      <c r="O2689" s="5">
        <f t="shared" si="248"/>
        <v>0.41414141414141414</v>
      </c>
      <c r="P2689" s="5">
        <f t="shared" si="249"/>
        <v>-1.0714285714285676E-2</v>
      </c>
      <c r="Q2689" s="4">
        <f t="shared" si="250"/>
        <v>-0.35417508710801399</v>
      </c>
      <c r="R2689" s="4">
        <f t="shared" si="251"/>
        <v>13.83826714801449</v>
      </c>
      <c r="S2689" s="4"/>
      <c r="T2689" s="2">
        <v>3.09</v>
      </c>
      <c r="U2689" s="2">
        <v>44.18</v>
      </c>
      <c r="V2689" s="2">
        <v>11.8</v>
      </c>
      <c r="W2689" s="2">
        <v>-3.34</v>
      </c>
      <c r="X2689" s="2">
        <v>20.94</v>
      </c>
      <c r="Y2689" s="2">
        <v>23.18</v>
      </c>
      <c r="Z2689" s="2">
        <v>25.37</v>
      </c>
    </row>
    <row r="2690" spans="1:26" x14ac:dyDescent="0.25">
      <c r="A2690" s="1" t="s">
        <v>10757</v>
      </c>
      <c r="B2690" s="1" t="s">
        <v>10758</v>
      </c>
      <c r="C2690" s="1" t="s">
        <v>16</v>
      </c>
      <c r="D2690" s="1" t="s">
        <v>128</v>
      </c>
      <c r="E2690" s="1" t="s">
        <v>556</v>
      </c>
      <c r="F2690" s="1" t="s">
        <v>10759</v>
      </c>
      <c r="G2690" s="1" t="s">
        <v>12502</v>
      </c>
      <c r="H2690" s="1" t="s">
        <v>10760</v>
      </c>
      <c r="I2690" s="2">
        <v>84.7</v>
      </c>
      <c r="J2690" s="2">
        <v>4.46</v>
      </c>
      <c r="K2690" s="2">
        <v>4.59</v>
      </c>
      <c r="L2690" s="2">
        <v>5.07</v>
      </c>
      <c r="M2690" s="4">
        <f t="shared" si="246"/>
        <v>18.453159041394336</v>
      </c>
      <c r="N2690" s="4">
        <f t="shared" si="247"/>
        <v>16.706114398422091</v>
      </c>
      <c r="O2690" s="5">
        <f t="shared" si="248"/>
        <v>2.9147982062780242E-2</v>
      </c>
      <c r="P2690" s="5">
        <f t="shared" si="249"/>
        <v>0.10457516339869288</v>
      </c>
      <c r="Q2690" s="4">
        <f t="shared" si="250"/>
        <v>6.3308530249706783</v>
      </c>
      <c r="R2690" s="4">
        <f t="shared" si="251"/>
        <v>1.5975221893491114</v>
      </c>
      <c r="S2690" s="4">
        <v>3.2</v>
      </c>
      <c r="T2690" s="2">
        <v>0.57999999999999996</v>
      </c>
      <c r="U2690" s="2">
        <v>91.16</v>
      </c>
      <c r="V2690" s="2" t="s">
        <v>12792</v>
      </c>
      <c r="W2690" s="2">
        <v>-6.39</v>
      </c>
      <c r="X2690" s="2">
        <v>-2.0499999999999998</v>
      </c>
      <c r="Y2690" s="2">
        <v>12.29</v>
      </c>
      <c r="Z2690" s="2">
        <v>14.94</v>
      </c>
    </row>
    <row r="2691" spans="1:26" x14ac:dyDescent="0.25">
      <c r="A2691" s="1" t="s">
        <v>10761</v>
      </c>
      <c r="B2691" s="1" t="s">
        <v>10762</v>
      </c>
      <c r="C2691" s="1" t="s">
        <v>31</v>
      </c>
      <c r="D2691" s="1" t="s">
        <v>88</v>
      </c>
      <c r="E2691" s="1" t="s">
        <v>912</v>
      </c>
      <c r="F2691" s="1" t="s">
        <v>10763</v>
      </c>
      <c r="G2691" s="1" t="s">
        <v>12480</v>
      </c>
      <c r="H2691" s="1" t="s">
        <v>10764</v>
      </c>
      <c r="I2691" s="2">
        <v>5.7949999999999999</v>
      </c>
      <c r="J2691" s="2">
        <v>-0.7</v>
      </c>
      <c r="K2691" s="2">
        <v>0.2</v>
      </c>
      <c r="L2691" s="2">
        <v>0.31</v>
      </c>
      <c r="M2691" s="4">
        <f t="shared" ref="M2691:M2754" si="252">I2691/K2691</f>
        <v>28.974999999999998</v>
      </c>
      <c r="N2691" s="4">
        <f t="shared" ref="N2691:N2754" si="253">I2691/L2691</f>
        <v>18.693548387096776</v>
      </c>
      <c r="O2691" s="5">
        <f t="shared" ref="O2691:O2754" si="254">K2691/J2691-1</f>
        <v>-1.2857142857142858</v>
      </c>
      <c r="P2691" s="5">
        <f t="shared" ref="P2691:P2754" si="255">L2691/K2691-1</f>
        <v>0.54999999999999982</v>
      </c>
      <c r="Q2691" s="4">
        <f t="shared" ref="Q2691:Q2754" si="256">M2691/(O2691*100)</f>
        <v>-0.22536111111111107</v>
      </c>
      <c r="R2691" s="4">
        <f t="shared" ref="R2691:R2754" si="257">N2691/(P2691*100)</f>
        <v>0.33988269794721421</v>
      </c>
      <c r="S2691" s="4">
        <v>-7.22</v>
      </c>
      <c r="T2691" s="2">
        <v>1.36</v>
      </c>
      <c r="U2691" s="2">
        <v>6.7</v>
      </c>
      <c r="V2691" s="2">
        <v>2.11</v>
      </c>
      <c r="W2691" s="2">
        <v>-7.89</v>
      </c>
      <c r="X2691" s="2" t="s">
        <v>12736</v>
      </c>
      <c r="Y2691" s="2">
        <v>21.23</v>
      </c>
      <c r="Z2691" s="2">
        <v>23.56</v>
      </c>
    </row>
    <row r="2692" spans="1:26" x14ac:dyDescent="0.25">
      <c r="A2692" s="1" t="s">
        <v>10765</v>
      </c>
      <c r="B2692" s="1" t="s">
        <v>10766</v>
      </c>
      <c r="C2692" s="1" t="s">
        <v>31</v>
      </c>
      <c r="D2692" s="1" t="s">
        <v>305</v>
      </c>
      <c r="E2692" s="1" t="s">
        <v>1176</v>
      </c>
      <c r="F2692" s="1" t="s">
        <v>10767</v>
      </c>
      <c r="G2692" s="1" t="s">
        <v>12490</v>
      </c>
      <c r="H2692" s="1" t="s">
        <v>9640</v>
      </c>
      <c r="I2692" s="2">
        <v>52.63</v>
      </c>
      <c r="J2692" s="2">
        <v>5.66</v>
      </c>
      <c r="K2692" s="2">
        <v>5.35</v>
      </c>
      <c r="L2692" s="2">
        <v>6.47</v>
      </c>
      <c r="M2692" s="4">
        <f t="shared" si="252"/>
        <v>9.8373831775700946</v>
      </c>
      <c r="N2692" s="4">
        <f t="shared" si="253"/>
        <v>8.1344667697063375</v>
      </c>
      <c r="O2692" s="5">
        <f t="shared" si="254"/>
        <v>-5.477031802120147E-2</v>
      </c>
      <c r="P2692" s="5">
        <f t="shared" si="255"/>
        <v>0.20934579439252343</v>
      </c>
      <c r="Q2692" s="4">
        <f t="shared" si="256"/>
        <v>-1.7961157672595705</v>
      </c>
      <c r="R2692" s="4">
        <f t="shared" si="257"/>
        <v>0.38856604658865085</v>
      </c>
      <c r="S2692" s="4">
        <v>2.75</v>
      </c>
      <c r="T2692" s="2">
        <v>0.45</v>
      </c>
      <c r="U2692" s="2">
        <v>63.4</v>
      </c>
      <c r="V2692" s="2">
        <v>40.75</v>
      </c>
      <c r="W2692" s="2">
        <v>-7.37</v>
      </c>
      <c r="X2692" s="2">
        <v>-10.48</v>
      </c>
      <c r="Y2692" s="2">
        <v>-12.18</v>
      </c>
      <c r="Z2692" s="2">
        <v>-10.99</v>
      </c>
    </row>
    <row r="2693" spans="1:26" x14ac:dyDescent="0.25">
      <c r="A2693" s="1" t="s">
        <v>10768</v>
      </c>
      <c r="B2693" s="1" t="s">
        <v>10769</v>
      </c>
      <c r="C2693" s="1" t="s">
        <v>16</v>
      </c>
      <c r="D2693" s="1" t="s">
        <v>32</v>
      </c>
      <c r="E2693" s="1" t="s">
        <v>264</v>
      </c>
      <c r="F2693" s="1" t="s">
        <v>10770</v>
      </c>
      <c r="G2693" s="1" t="s">
        <v>12480</v>
      </c>
      <c r="H2693" s="1" t="s">
        <v>10771</v>
      </c>
      <c r="I2693" s="2">
        <v>27.53</v>
      </c>
      <c r="J2693" s="2">
        <v>2.12</v>
      </c>
      <c r="K2693" s="2">
        <v>2.29</v>
      </c>
      <c r="L2693" s="2">
        <v>2.5499999999999998</v>
      </c>
      <c r="M2693" s="4">
        <f t="shared" si="252"/>
        <v>12.021834061135371</v>
      </c>
      <c r="N2693" s="4">
        <f t="shared" si="253"/>
        <v>10.79607843137255</v>
      </c>
      <c r="O2693" s="5">
        <f t="shared" si="254"/>
        <v>8.0188679245283057E-2</v>
      </c>
      <c r="P2693" s="5">
        <f t="shared" si="255"/>
        <v>0.11353711790392995</v>
      </c>
      <c r="Q2693" s="4">
        <f t="shared" si="256"/>
        <v>1.4991934240945279</v>
      </c>
      <c r="R2693" s="4">
        <f t="shared" si="257"/>
        <v>0.95088536953242986</v>
      </c>
      <c r="S2693" s="4">
        <v>2.71</v>
      </c>
      <c r="T2693" s="2">
        <v>0.39</v>
      </c>
      <c r="U2693" s="2">
        <v>29.62</v>
      </c>
      <c r="V2693" s="2" t="s">
        <v>12648</v>
      </c>
      <c r="W2693" s="2">
        <v>-1.71</v>
      </c>
      <c r="X2693" s="2">
        <v>1.55</v>
      </c>
      <c r="Y2693" s="2">
        <v>13.25</v>
      </c>
      <c r="Z2693" s="2">
        <v>10.83</v>
      </c>
    </row>
    <row r="2694" spans="1:26" x14ac:dyDescent="0.25">
      <c r="A2694" s="1" t="s">
        <v>10772</v>
      </c>
      <c r="B2694" s="1" t="s">
        <v>10773</v>
      </c>
      <c r="C2694" s="1" t="s">
        <v>16</v>
      </c>
      <c r="D2694" s="1" t="s">
        <v>354</v>
      </c>
      <c r="E2694" s="1" t="s">
        <v>355</v>
      </c>
      <c r="F2694" s="1" t="s">
        <v>10774</v>
      </c>
      <c r="G2694" s="1" t="s">
        <v>12480</v>
      </c>
      <c r="H2694" s="1" t="s">
        <v>10775</v>
      </c>
      <c r="I2694" s="2">
        <v>12.65</v>
      </c>
      <c r="J2694" s="2">
        <v>-0.46</v>
      </c>
      <c r="K2694" s="2">
        <v>0.31</v>
      </c>
      <c r="L2694" s="2">
        <v>0.42</v>
      </c>
      <c r="M2694" s="4">
        <f t="shared" si="252"/>
        <v>40.806451612903224</v>
      </c>
      <c r="N2694" s="4">
        <f t="shared" si="253"/>
        <v>30.11904761904762</v>
      </c>
      <c r="O2694" s="5">
        <f t="shared" si="254"/>
        <v>-1.6739130434782608</v>
      </c>
      <c r="P2694" s="5">
        <f t="shared" si="255"/>
        <v>0.35483870967741926</v>
      </c>
      <c r="Q2694" s="4">
        <f t="shared" si="256"/>
        <v>-0.24377880184331799</v>
      </c>
      <c r="R2694" s="4">
        <f t="shared" si="257"/>
        <v>0.84880952380952401</v>
      </c>
      <c r="S2694" s="4">
        <v>-17.11</v>
      </c>
      <c r="T2694" s="2">
        <v>0.77</v>
      </c>
      <c r="U2694" s="2">
        <v>17.73</v>
      </c>
      <c r="V2694" s="2">
        <v>8.16</v>
      </c>
      <c r="W2694" s="2">
        <v>-8.4</v>
      </c>
      <c r="X2694" s="2">
        <v>-7.05</v>
      </c>
      <c r="Y2694" s="2">
        <v>-7.6</v>
      </c>
      <c r="Z2694" s="2">
        <v>0.08</v>
      </c>
    </row>
    <row r="2695" spans="1:26" x14ac:dyDescent="0.25">
      <c r="A2695" s="1" t="s">
        <v>10776</v>
      </c>
      <c r="B2695" s="1" t="s">
        <v>10777</v>
      </c>
      <c r="C2695" s="1" t="s">
        <v>16</v>
      </c>
      <c r="D2695" s="1" t="s">
        <v>18</v>
      </c>
      <c r="E2695" s="1" t="s">
        <v>780</v>
      </c>
      <c r="F2695" s="1" t="s">
        <v>10778</v>
      </c>
      <c r="G2695" s="1" t="s">
        <v>12490</v>
      </c>
      <c r="H2695" s="1" t="s">
        <v>10779</v>
      </c>
      <c r="I2695" s="2">
        <v>18.07</v>
      </c>
      <c r="J2695" s="2">
        <v>1.61</v>
      </c>
      <c r="K2695" s="2">
        <v>1.58</v>
      </c>
      <c r="L2695" s="2">
        <v>1.28</v>
      </c>
      <c r="M2695" s="4">
        <f t="shared" si="252"/>
        <v>11.436708860759493</v>
      </c>
      <c r="N2695" s="4">
        <f t="shared" si="253"/>
        <v>14.1171875</v>
      </c>
      <c r="O2695" s="5">
        <f t="shared" si="254"/>
        <v>-1.8633540372670843E-2</v>
      </c>
      <c r="P2695" s="5">
        <f t="shared" si="255"/>
        <v>-0.189873417721519</v>
      </c>
      <c r="Q2695" s="4">
        <f t="shared" si="256"/>
        <v>-6.1377004219409166</v>
      </c>
      <c r="R2695" s="4">
        <f t="shared" si="257"/>
        <v>-0.74350520833333322</v>
      </c>
      <c r="S2695" s="4">
        <v>6.71</v>
      </c>
      <c r="T2695" s="2">
        <v>0.01</v>
      </c>
      <c r="U2695" s="2">
        <v>18.8</v>
      </c>
      <c r="V2695" s="2">
        <v>13.23</v>
      </c>
      <c r="W2695" s="2">
        <v>-2.0099999999999998</v>
      </c>
      <c r="X2695" s="2">
        <v>1.92</v>
      </c>
      <c r="Y2695" s="2">
        <v>23.68</v>
      </c>
      <c r="Z2695" s="2">
        <v>15.91</v>
      </c>
    </row>
    <row r="2696" spans="1:26" x14ac:dyDescent="0.25">
      <c r="A2696" s="1" t="s">
        <v>10780</v>
      </c>
      <c r="B2696" s="1" t="s">
        <v>10781</v>
      </c>
      <c r="C2696" s="1" t="s">
        <v>16</v>
      </c>
      <c r="D2696" s="1" t="s">
        <v>147</v>
      </c>
      <c r="E2696" s="1" t="s">
        <v>435</v>
      </c>
      <c r="F2696" s="1" t="s">
        <v>10782</v>
      </c>
      <c r="G2696" s="1" t="s">
        <v>12487</v>
      </c>
      <c r="H2696" s="1" t="s">
        <v>10783</v>
      </c>
      <c r="I2696" s="2">
        <v>10.74</v>
      </c>
      <c r="J2696" s="2">
        <v>0.24</v>
      </c>
      <c r="K2696" s="2">
        <v>0.8</v>
      </c>
      <c r="L2696" s="2">
        <v>0.99</v>
      </c>
      <c r="M2696" s="4">
        <f t="shared" si="252"/>
        <v>13.424999999999999</v>
      </c>
      <c r="N2696" s="4">
        <f t="shared" si="253"/>
        <v>10.84848484848485</v>
      </c>
      <c r="O2696" s="5">
        <f t="shared" si="254"/>
        <v>2.3333333333333335</v>
      </c>
      <c r="P2696" s="5">
        <f t="shared" si="255"/>
        <v>0.23749999999999982</v>
      </c>
      <c r="Q2696" s="4">
        <f t="shared" si="256"/>
        <v>5.753571428571428E-2</v>
      </c>
      <c r="R2696" s="4">
        <f t="shared" si="257"/>
        <v>0.45677830940988873</v>
      </c>
      <c r="S2696" s="4">
        <v>50.98</v>
      </c>
      <c r="T2696" s="2">
        <v>0.1</v>
      </c>
      <c r="U2696" s="2">
        <v>14.41</v>
      </c>
      <c r="V2696" s="2">
        <v>8.73</v>
      </c>
      <c r="W2696" s="2">
        <v>1.7</v>
      </c>
      <c r="X2696" s="2">
        <v>-11.46</v>
      </c>
      <c r="Y2696" s="2">
        <v>-4.3600000000000003</v>
      </c>
      <c r="Z2696" s="2">
        <v>-1.56</v>
      </c>
    </row>
    <row r="2697" spans="1:26" x14ac:dyDescent="0.25">
      <c r="A2697" s="1" t="s">
        <v>10784</v>
      </c>
      <c r="B2697" s="1" t="s">
        <v>10785</v>
      </c>
      <c r="C2697" s="1" t="s">
        <v>16</v>
      </c>
      <c r="D2697" s="1" t="s">
        <v>94</v>
      </c>
      <c r="E2697" s="1" t="s">
        <v>894</v>
      </c>
      <c r="F2697" s="1" t="s">
        <v>10786</v>
      </c>
      <c r="G2697" s="1" t="s">
        <v>12480</v>
      </c>
      <c r="H2697" s="1" t="s">
        <v>820</v>
      </c>
      <c r="I2697" s="2">
        <v>13.22</v>
      </c>
      <c r="J2697" s="2">
        <v>-0.84</v>
      </c>
      <c r="K2697" s="2">
        <v>-1.35</v>
      </c>
      <c r="L2697" s="2">
        <v>-1.31</v>
      </c>
      <c r="M2697" s="4">
        <f t="shared" si="252"/>
        <v>-9.7925925925925927</v>
      </c>
      <c r="N2697" s="4">
        <f t="shared" si="253"/>
        <v>-10.091603053435115</v>
      </c>
      <c r="O2697" s="5">
        <f t="shared" si="254"/>
        <v>0.60714285714285721</v>
      </c>
      <c r="P2697" s="5">
        <f t="shared" si="255"/>
        <v>-2.9629629629629672E-2</v>
      </c>
      <c r="Q2697" s="4">
        <f t="shared" si="256"/>
        <v>-0.16128976034858386</v>
      </c>
      <c r="R2697" s="4">
        <f t="shared" si="257"/>
        <v>3.4059160305343466</v>
      </c>
      <c r="S2697" s="4">
        <v>-9.8000000000000007</v>
      </c>
      <c r="T2697" s="2">
        <v>0.54</v>
      </c>
      <c r="U2697" s="2">
        <v>13.69</v>
      </c>
      <c r="V2697" s="2">
        <v>6.38</v>
      </c>
      <c r="W2697" s="2">
        <v>2.48</v>
      </c>
      <c r="X2697" s="2">
        <v>2.3199999999999998</v>
      </c>
      <c r="Y2697" s="2">
        <v>17.62</v>
      </c>
      <c r="Z2697" s="2">
        <v>19.96</v>
      </c>
    </row>
    <row r="2698" spans="1:26" x14ac:dyDescent="0.25">
      <c r="A2698" s="1" t="s">
        <v>10787</v>
      </c>
      <c r="B2698" s="1" t="s">
        <v>10788</v>
      </c>
      <c r="C2698" s="1" t="s">
        <v>16</v>
      </c>
      <c r="D2698" s="1" t="s">
        <v>128</v>
      </c>
      <c r="E2698" s="1" t="s">
        <v>129</v>
      </c>
      <c r="F2698" s="1" t="s">
        <v>10789</v>
      </c>
      <c r="G2698" s="1" t="s">
        <v>12480</v>
      </c>
      <c r="H2698" s="1" t="s">
        <v>10790</v>
      </c>
      <c r="I2698" s="2">
        <v>46.01</v>
      </c>
      <c r="J2698" s="2">
        <v>5.42</v>
      </c>
      <c r="K2698" s="2">
        <v>4.75</v>
      </c>
      <c r="L2698" s="2">
        <v>5.01</v>
      </c>
      <c r="M2698" s="4">
        <f t="shared" si="252"/>
        <v>9.6863157894736833</v>
      </c>
      <c r="N2698" s="4">
        <f t="shared" si="253"/>
        <v>9.1836327345309385</v>
      </c>
      <c r="O2698" s="5">
        <f t="shared" si="254"/>
        <v>-0.12361623616236161</v>
      </c>
      <c r="P2698" s="5">
        <f t="shared" si="255"/>
        <v>5.4736842105263195E-2</v>
      </c>
      <c r="Q2698" s="4">
        <f t="shared" si="256"/>
        <v>-0.78357957580518456</v>
      </c>
      <c r="R2698" s="4">
        <f t="shared" si="257"/>
        <v>1.6777790572700741</v>
      </c>
      <c r="S2698" s="4">
        <v>-5.05</v>
      </c>
      <c r="T2698" s="2">
        <v>0.49</v>
      </c>
      <c r="U2698" s="2">
        <v>62.91</v>
      </c>
      <c r="V2698" s="2">
        <v>43.22</v>
      </c>
      <c r="W2698" s="2">
        <v>-5.31</v>
      </c>
      <c r="X2698" s="2">
        <v>-9.5500000000000007</v>
      </c>
      <c r="Y2698" s="2">
        <v>-3.48</v>
      </c>
      <c r="Z2698" s="2">
        <v>-1.44</v>
      </c>
    </row>
    <row r="2699" spans="1:26" x14ac:dyDescent="0.25">
      <c r="A2699" s="1" t="s">
        <v>10791</v>
      </c>
      <c r="B2699" s="1" t="s">
        <v>10792</v>
      </c>
      <c r="C2699" s="1" t="s">
        <v>45</v>
      </c>
      <c r="D2699" s="1" t="s">
        <v>18</v>
      </c>
      <c r="E2699" s="1" t="s">
        <v>74</v>
      </c>
      <c r="F2699" s="1" t="s">
        <v>10793</v>
      </c>
      <c r="G2699" s="1" t="s">
        <v>12480</v>
      </c>
      <c r="H2699" s="1" t="s">
        <v>6811</v>
      </c>
      <c r="I2699" s="2">
        <v>74.489999999999995</v>
      </c>
      <c r="J2699" s="2">
        <v>-1.59</v>
      </c>
      <c r="K2699" s="2">
        <v>-0.77</v>
      </c>
      <c r="L2699" s="2">
        <v>2.52</v>
      </c>
      <c r="M2699" s="4">
        <f t="shared" si="252"/>
        <v>-96.740259740259731</v>
      </c>
      <c r="N2699" s="4">
        <f t="shared" si="253"/>
        <v>29.559523809523807</v>
      </c>
      <c r="O2699" s="5">
        <f t="shared" si="254"/>
        <v>-0.51572327044025157</v>
      </c>
      <c r="P2699" s="5">
        <f t="shared" si="255"/>
        <v>-4.2727272727272725</v>
      </c>
      <c r="Q2699" s="4">
        <f t="shared" si="256"/>
        <v>1.8758172315489388</v>
      </c>
      <c r="R2699" s="4">
        <f t="shared" si="257"/>
        <v>-6.9181864235055721E-2</v>
      </c>
      <c r="S2699" s="4">
        <v>146.71</v>
      </c>
      <c r="T2699" s="2">
        <v>0.55000000000000004</v>
      </c>
      <c r="U2699" s="2">
        <v>82.51</v>
      </c>
      <c r="V2699" s="2">
        <v>38.82</v>
      </c>
      <c r="W2699" s="2">
        <v>-3.8</v>
      </c>
      <c r="X2699" s="2">
        <v>13.73</v>
      </c>
      <c r="Y2699" s="2">
        <v>-7.44</v>
      </c>
      <c r="Z2699" s="2">
        <v>-9.0299999999999994</v>
      </c>
    </row>
    <row r="2700" spans="1:26" x14ac:dyDescent="0.25">
      <c r="A2700" s="1" t="s">
        <v>10794</v>
      </c>
      <c r="B2700" s="1" t="s">
        <v>10795</v>
      </c>
      <c r="C2700" s="1" t="s">
        <v>31</v>
      </c>
      <c r="D2700" s="1" t="s">
        <v>128</v>
      </c>
      <c r="E2700" s="1" t="s">
        <v>556</v>
      </c>
      <c r="F2700" s="1" t="s">
        <v>10796</v>
      </c>
      <c r="G2700" s="1" t="s">
        <v>12490</v>
      </c>
      <c r="H2700" s="1" t="s">
        <v>10318</v>
      </c>
      <c r="I2700" s="2">
        <v>18.89</v>
      </c>
      <c r="J2700" s="2">
        <v>2.57</v>
      </c>
      <c r="K2700" s="2"/>
      <c r="L2700" s="2"/>
      <c r="M2700" s="4" t="e">
        <f t="shared" si="252"/>
        <v>#DIV/0!</v>
      </c>
      <c r="N2700" s="4" t="e">
        <f t="shared" si="253"/>
        <v>#DIV/0!</v>
      </c>
      <c r="O2700" s="5">
        <f t="shared" si="254"/>
        <v>-1</v>
      </c>
      <c r="P2700" s="5" t="e">
        <f t="shared" si="255"/>
        <v>#DIV/0!</v>
      </c>
      <c r="Q2700" s="4" t="e">
        <f t="shared" si="256"/>
        <v>#DIV/0!</v>
      </c>
      <c r="R2700" s="4" t="e">
        <f t="shared" si="257"/>
        <v>#DIV/0!</v>
      </c>
      <c r="S2700" s="4">
        <v>6.97</v>
      </c>
      <c r="T2700" s="2">
        <v>0.28000000000000003</v>
      </c>
      <c r="U2700" s="2">
        <v>32.93</v>
      </c>
      <c r="V2700" s="2">
        <v>18.71</v>
      </c>
      <c r="W2700" s="2">
        <v>-5.17</v>
      </c>
      <c r="X2700" s="2">
        <v>-13.07</v>
      </c>
      <c r="Y2700" s="2">
        <v>-4.93</v>
      </c>
      <c r="Z2700" s="2">
        <v>-6.62</v>
      </c>
    </row>
    <row r="2701" spans="1:26" x14ac:dyDescent="0.25">
      <c r="A2701" s="1" t="s">
        <v>10797</v>
      </c>
      <c r="B2701" s="1" t="s">
        <v>10798</v>
      </c>
      <c r="C2701" s="1" t="s">
        <v>16</v>
      </c>
      <c r="D2701" s="1" t="s">
        <v>128</v>
      </c>
      <c r="E2701" s="1" t="s">
        <v>210</v>
      </c>
      <c r="F2701" s="1" t="s">
        <v>10799</v>
      </c>
      <c r="G2701" s="1" t="s">
        <v>12480</v>
      </c>
      <c r="H2701" s="1" t="s">
        <v>10800</v>
      </c>
      <c r="I2701" s="2">
        <v>33.5</v>
      </c>
      <c r="J2701" s="2">
        <v>0.13</v>
      </c>
      <c r="K2701" s="2">
        <v>-0.1</v>
      </c>
      <c r="L2701" s="2">
        <v>0.23</v>
      </c>
      <c r="M2701" s="4">
        <f t="shared" si="252"/>
        <v>-335</v>
      </c>
      <c r="N2701" s="4">
        <f t="shared" si="253"/>
        <v>145.65217391304347</v>
      </c>
      <c r="O2701" s="5">
        <f t="shared" si="254"/>
        <v>-1.7692307692307692</v>
      </c>
      <c r="P2701" s="5">
        <f t="shared" si="255"/>
        <v>-3.3</v>
      </c>
      <c r="Q2701" s="4">
        <f t="shared" si="256"/>
        <v>1.8934782608695655</v>
      </c>
      <c r="R2701" s="4">
        <f t="shared" si="257"/>
        <v>-0.44137022397891962</v>
      </c>
      <c r="S2701" s="4">
        <v>26.53</v>
      </c>
      <c r="T2701" s="2">
        <v>-0.16</v>
      </c>
      <c r="U2701" s="2">
        <v>39.06</v>
      </c>
      <c r="V2701" s="2">
        <v>24.1</v>
      </c>
      <c r="W2701" s="2" t="s">
        <v>12534</v>
      </c>
      <c r="X2701" s="2">
        <v>-12.51</v>
      </c>
      <c r="Y2701" s="2">
        <v>1.36</v>
      </c>
      <c r="Z2701" s="2">
        <v>0.33</v>
      </c>
    </row>
    <row r="2702" spans="1:26" x14ac:dyDescent="0.25">
      <c r="A2702" s="1" t="s">
        <v>10801</v>
      </c>
      <c r="B2702" s="1" t="s">
        <v>10802</v>
      </c>
      <c r="C2702" s="1" t="s">
        <v>45</v>
      </c>
      <c r="D2702" s="1" t="s">
        <v>38</v>
      </c>
      <c r="E2702" s="1" t="s">
        <v>1244</v>
      </c>
      <c r="F2702" s="1" t="s">
        <v>10803</v>
      </c>
      <c r="G2702" s="1" t="s">
        <v>12480</v>
      </c>
      <c r="H2702" s="1" t="s">
        <v>5050</v>
      </c>
      <c r="I2702" s="2">
        <v>52.98</v>
      </c>
      <c r="J2702" s="2">
        <v>4.92</v>
      </c>
      <c r="K2702" s="2">
        <v>5.9</v>
      </c>
      <c r="L2702" s="2" t="s">
        <v>12497</v>
      </c>
      <c r="M2702" s="4">
        <f t="shared" si="252"/>
        <v>8.9796610169491515</v>
      </c>
      <c r="N2702" s="4">
        <f t="shared" si="253"/>
        <v>6.6224999999999996</v>
      </c>
      <c r="O2702" s="5">
        <f t="shared" si="254"/>
        <v>0.19918699186991873</v>
      </c>
      <c r="P2702" s="5">
        <f t="shared" si="255"/>
        <v>0.35593220338983045</v>
      </c>
      <c r="Q2702" s="4">
        <f t="shared" si="256"/>
        <v>0.45081563472846753</v>
      </c>
      <c r="R2702" s="4">
        <f t="shared" si="257"/>
        <v>0.1860607142857143</v>
      </c>
      <c r="S2702" s="4">
        <v>24.06</v>
      </c>
      <c r="T2702" s="2">
        <v>1.31</v>
      </c>
      <c r="U2702" s="2">
        <v>80.34</v>
      </c>
      <c r="V2702" s="2">
        <v>40.93</v>
      </c>
      <c r="W2702" s="2">
        <v>-2.12</v>
      </c>
      <c r="X2702" s="2">
        <v>-14.62</v>
      </c>
      <c r="Y2702" s="2">
        <v>-22.8</v>
      </c>
      <c r="Z2702" s="2">
        <v>-21.53</v>
      </c>
    </row>
    <row r="2703" spans="1:26" x14ac:dyDescent="0.25">
      <c r="A2703" s="1" t="s">
        <v>10804</v>
      </c>
      <c r="B2703" s="1" t="s">
        <v>10805</v>
      </c>
      <c r="C2703" s="1" t="s">
        <v>45</v>
      </c>
      <c r="D2703" s="1" t="s">
        <v>38</v>
      </c>
      <c r="E2703" s="1" t="s">
        <v>1440</v>
      </c>
      <c r="F2703" s="1" t="s">
        <v>10806</v>
      </c>
      <c r="G2703" s="1" t="s">
        <v>12480</v>
      </c>
      <c r="H2703" s="1" t="s">
        <v>10229</v>
      </c>
      <c r="I2703" s="2">
        <v>92.19</v>
      </c>
      <c r="J2703" s="2">
        <v>6.8</v>
      </c>
      <c r="K2703" s="2">
        <v>7.61</v>
      </c>
      <c r="L2703" s="2">
        <v>8.2899999999999991</v>
      </c>
      <c r="M2703" s="4">
        <f t="shared" si="252"/>
        <v>12.114323258869907</v>
      </c>
      <c r="N2703" s="4">
        <f t="shared" si="253"/>
        <v>11.120627261761159</v>
      </c>
      <c r="O2703" s="5">
        <f t="shared" si="254"/>
        <v>0.11911764705882355</v>
      </c>
      <c r="P2703" s="5">
        <f t="shared" si="255"/>
        <v>8.935611038107738E-2</v>
      </c>
      <c r="Q2703" s="4">
        <f t="shared" si="256"/>
        <v>1.0170049155594489</v>
      </c>
      <c r="R2703" s="4">
        <f t="shared" si="257"/>
        <v>1.2445290215000377</v>
      </c>
      <c r="S2703" s="4">
        <v>3.03</v>
      </c>
      <c r="T2703" s="2">
        <v>0.66</v>
      </c>
      <c r="U2703" s="2">
        <v>105.98</v>
      </c>
      <c r="V2703" s="2">
        <v>61.24</v>
      </c>
      <c r="W2703" s="2">
        <v>-4.3600000000000003</v>
      </c>
      <c r="X2703" s="2">
        <v>-11.88</v>
      </c>
      <c r="Y2703" s="2">
        <v>-4.07</v>
      </c>
      <c r="Z2703" s="2">
        <v>1.82</v>
      </c>
    </row>
    <row r="2704" spans="1:26" x14ac:dyDescent="0.25">
      <c r="A2704" s="1" t="s">
        <v>10807</v>
      </c>
      <c r="B2704" s="1" t="s">
        <v>10808</v>
      </c>
      <c r="C2704" s="1" t="s">
        <v>45</v>
      </c>
      <c r="D2704" s="1" t="s">
        <v>38</v>
      </c>
      <c r="E2704" s="1" t="s">
        <v>1909</v>
      </c>
      <c r="F2704" s="1" t="s">
        <v>10809</v>
      </c>
      <c r="G2704" s="1" t="s">
        <v>12480</v>
      </c>
      <c r="H2704" s="1" t="s">
        <v>10810</v>
      </c>
      <c r="I2704" s="2">
        <v>47.25</v>
      </c>
      <c r="J2704" s="2">
        <v>3.7</v>
      </c>
      <c r="K2704" s="2">
        <v>4.04</v>
      </c>
      <c r="L2704" s="2">
        <v>4.2</v>
      </c>
      <c r="M2704" s="4">
        <f t="shared" si="252"/>
        <v>11.695544554455445</v>
      </c>
      <c r="N2704" s="4">
        <f t="shared" si="253"/>
        <v>11.25</v>
      </c>
      <c r="O2704" s="5">
        <f t="shared" si="254"/>
        <v>9.1891891891891841E-2</v>
      </c>
      <c r="P2704" s="5">
        <f t="shared" si="255"/>
        <v>3.9603960396039639E-2</v>
      </c>
      <c r="Q2704" s="4">
        <f t="shared" si="256"/>
        <v>1.2727504368083873</v>
      </c>
      <c r="R2704" s="4">
        <f t="shared" si="257"/>
        <v>2.8406249999999975</v>
      </c>
      <c r="S2704" s="4">
        <v>1.48</v>
      </c>
      <c r="T2704" s="2">
        <v>0.63</v>
      </c>
      <c r="U2704" s="2">
        <v>52.23</v>
      </c>
      <c r="V2704" s="2">
        <v>35.9</v>
      </c>
      <c r="W2704" s="2">
        <v>-2.2999999999999998</v>
      </c>
      <c r="X2704" s="2">
        <v>-9.41</v>
      </c>
      <c r="Y2704" s="2">
        <v>-5.46</v>
      </c>
      <c r="Z2704" s="2">
        <v>-0.25</v>
      </c>
    </row>
    <row r="2705" spans="1:26" x14ac:dyDescent="0.25">
      <c r="A2705" s="1" t="s">
        <v>10811</v>
      </c>
      <c r="B2705" s="1" t="s">
        <v>10812</v>
      </c>
      <c r="C2705" s="1" t="s">
        <v>31</v>
      </c>
      <c r="D2705" s="1" t="s">
        <v>140</v>
      </c>
      <c r="E2705" s="1" t="s">
        <v>5365</v>
      </c>
      <c r="F2705" s="1" t="s">
        <v>10813</v>
      </c>
      <c r="G2705" s="1" t="s">
        <v>12502</v>
      </c>
      <c r="H2705" s="1" t="s">
        <v>10814</v>
      </c>
      <c r="I2705" s="2">
        <v>5.85</v>
      </c>
      <c r="J2705" s="2"/>
      <c r="K2705" s="2"/>
      <c r="L2705" s="2"/>
      <c r="M2705" s="4" t="e">
        <f t="shared" si="252"/>
        <v>#DIV/0!</v>
      </c>
      <c r="N2705" s="4" t="e">
        <f t="shared" si="253"/>
        <v>#DIV/0!</v>
      </c>
      <c r="O2705" s="5" t="e">
        <f t="shared" si="254"/>
        <v>#DIV/0!</v>
      </c>
      <c r="P2705" s="5" t="e">
        <f t="shared" si="255"/>
        <v>#DIV/0!</v>
      </c>
      <c r="Q2705" s="4" t="e">
        <f t="shared" si="256"/>
        <v>#DIV/0!</v>
      </c>
      <c r="R2705" s="4" t="e">
        <f t="shared" si="257"/>
        <v>#DIV/0!</v>
      </c>
      <c r="S2705" s="4"/>
      <c r="T2705" s="2"/>
      <c r="U2705" s="2">
        <v>6.95</v>
      </c>
      <c r="V2705" s="2">
        <v>5.42</v>
      </c>
      <c r="W2705" s="2">
        <v>0.69</v>
      </c>
      <c r="X2705" s="2">
        <v>6.17</v>
      </c>
      <c r="Y2705" s="2">
        <v>0.43</v>
      </c>
      <c r="Z2705" s="2">
        <v>1.04</v>
      </c>
    </row>
    <row r="2706" spans="1:26" x14ac:dyDescent="0.25">
      <c r="A2706" s="1" t="s">
        <v>10815</v>
      </c>
      <c r="B2706" s="1" t="s">
        <v>10816</v>
      </c>
      <c r="C2706" s="1" t="s">
        <v>31</v>
      </c>
      <c r="D2706" s="1" t="s">
        <v>32</v>
      </c>
      <c r="E2706" s="1" t="s">
        <v>565</v>
      </c>
      <c r="F2706" s="1" t="s">
        <v>10817</v>
      </c>
      <c r="G2706" s="1" t="s">
        <v>12480</v>
      </c>
      <c r="H2706" s="1" t="s">
        <v>10818</v>
      </c>
      <c r="I2706" s="2" t="s">
        <v>12793</v>
      </c>
      <c r="J2706" s="2">
        <v>3.27</v>
      </c>
      <c r="K2706" s="2">
        <v>4.5</v>
      </c>
      <c r="L2706" s="2">
        <v>5.05</v>
      </c>
      <c r="M2706" s="4">
        <f t="shared" si="252"/>
        <v>14.888888888888889</v>
      </c>
      <c r="N2706" s="4">
        <f t="shared" si="253"/>
        <v>13.267326732673268</v>
      </c>
      <c r="O2706" s="5">
        <f t="shared" si="254"/>
        <v>0.37614678899082565</v>
      </c>
      <c r="P2706" s="5">
        <f t="shared" si="255"/>
        <v>0.12222222222222223</v>
      </c>
      <c r="Q2706" s="4">
        <f t="shared" si="256"/>
        <v>0.39582655826558272</v>
      </c>
      <c r="R2706" s="4">
        <f t="shared" si="257"/>
        <v>1.0855085508550855</v>
      </c>
      <c r="S2706" s="4">
        <v>6.59</v>
      </c>
      <c r="T2706" s="2">
        <v>0.3</v>
      </c>
      <c r="U2706" s="2">
        <v>87.33</v>
      </c>
      <c r="V2706" s="2">
        <v>53.99</v>
      </c>
      <c r="W2706" s="2">
        <v>2.21</v>
      </c>
      <c r="X2706" s="2">
        <v>-6.69</v>
      </c>
      <c r="Y2706" s="2">
        <v>-13.16</v>
      </c>
      <c r="Z2706" s="2">
        <v>-12.48</v>
      </c>
    </row>
    <row r="2707" spans="1:26" x14ac:dyDescent="0.25">
      <c r="A2707" s="1" t="s">
        <v>10819</v>
      </c>
      <c r="B2707" s="1" t="s">
        <v>10820</v>
      </c>
      <c r="C2707" s="1" t="s">
        <v>1118</v>
      </c>
      <c r="D2707" s="1" t="s">
        <v>32</v>
      </c>
      <c r="E2707" s="1" t="s">
        <v>311</v>
      </c>
      <c r="F2707" s="1" t="s">
        <v>10821</v>
      </c>
      <c r="G2707" s="1" t="s">
        <v>12480</v>
      </c>
      <c r="H2707" s="1" t="s">
        <v>10822</v>
      </c>
      <c r="I2707" s="2">
        <v>172.84</v>
      </c>
      <c r="J2707" s="2"/>
      <c r="K2707" s="2"/>
      <c r="L2707" s="2"/>
      <c r="M2707" s="4" t="e">
        <f t="shared" si="252"/>
        <v>#DIV/0!</v>
      </c>
      <c r="N2707" s="4" t="e">
        <f t="shared" si="253"/>
        <v>#DIV/0!</v>
      </c>
      <c r="O2707" s="5" t="e">
        <f t="shared" si="254"/>
        <v>#DIV/0!</v>
      </c>
      <c r="P2707" s="5" t="e">
        <f t="shared" si="255"/>
        <v>#DIV/0!</v>
      </c>
      <c r="Q2707" s="4" t="e">
        <f t="shared" si="256"/>
        <v>#DIV/0!</v>
      </c>
      <c r="R2707" s="4" t="e">
        <f t="shared" si="257"/>
        <v>#DIV/0!</v>
      </c>
      <c r="S2707" s="4"/>
      <c r="T2707" s="2"/>
      <c r="U2707" s="2">
        <v>172.84</v>
      </c>
      <c r="V2707" s="2">
        <v>4.1100000000000003</v>
      </c>
      <c r="W2707" s="2" t="s">
        <v>12489</v>
      </c>
      <c r="X2707" s="2" t="s">
        <v>12489</v>
      </c>
      <c r="Y2707" s="2">
        <v>3036.84</v>
      </c>
      <c r="Z2707" s="2">
        <v>3223.85</v>
      </c>
    </row>
    <row r="2708" spans="1:26" x14ac:dyDescent="0.25">
      <c r="A2708" s="1" t="s">
        <v>10823</v>
      </c>
      <c r="B2708" s="1" t="s">
        <v>10824</v>
      </c>
      <c r="C2708" s="1" t="s">
        <v>45</v>
      </c>
      <c r="D2708" s="1" t="s">
        <v>147</v>
      </c>
      <c r="E2708" s="1" t="s">
        <v>148</v>
      </c>
      <c r="F2708" s="1" t="s">
        <v>10825</v>
      </c>
      <c r="G2708" s="1" t="s">
        <v>12480</v>
      </c>
      <c r="H2708" s="1" t="s">
        <v>10826</v>
      </c>
      <c r="I2708" s="2">
        <v>53.74</v>
      </c>
      <c r="J2708" s="2">
        <v>6.52</v>
      </c>
      <c r="K2708" s="2">
        <v>4.1500000000000004</v>
      </c>
      <c r="L2708" s="2">
        <v>4.76</v>
      </c>
      <c r="M2708" s="4">
        <f t="shared" si="252"/>
        <v>12.949397590361444</v>
      </c>
      <c r="N2708" s="4">
        <f t="shared" si="253"/>
        <v>11.289915966386555</v>
      </c>
      <c r="O2708" s="5">
        <f t="shared" si="254"/>
        <v>-0.36349693251533732</v>
      </c>
      <c r="P2708" s="5">
        <f t="shared" si="255"/>
        <v>0.14698795180722879</v>
      </c>
      <c r="Q2708" s="4">
        <f t="shared" si="256"/>
        <v>-0.35624503075593522</v>
      </c>
      <c r="R2708" s="4">
        <f t="shared" si="257"/>
        <v>0.76808444689351218</v>
      </c>
      <c r="S2708" s="4">
        <v>22.42</v>
      </c>
      <c r="T2708" s="2">
        <v>-0.15</v>
      </c>
      <c r="U2708" s="2">
        <v>78.959999999999994</v>
      </c>
      <c r="V2708" s="2">
        <v>50.86</v>
      </c>
      <c r="W2708" s="2">
        <v>4.3899999999999997</v>
      </c>
      <c r="X2708" s="2">
        <v>-8.26</v>
      </c>
      <c r="Y2708" s="2">
        <v>-24.72</v>
      </c>
      <c r="Z2708" s="2">
        <v>-25.27</v>
      </c>
    </row>
    <row r="2709" spans="1:26" x14ac:dyDescent="0.25">
      <c r="A2709" s="1" t="s">
        <v>10828</v>
      </c>
      <c r="B2709" s="1" t="s">
        <v>10829</v>
      </c>
      <c r="C2709" s="1" t="s">
        <v>31</v>
      </c>
      <c r="D2709" s="1" t="s">
        <v>128</v>
      </c>
      <c r="E2709" s="1" t="s">
        <v>556</v>
      </c>
      <c r="F2709" s="1" t="s">
        <v>10830</v>
      </c>
      <c r="G2709" s="1" t="s">
        <v>12480</v>
      </c>
      <c r="H2709" s="1" t="s">
        <v>10831</v>
      </c>
      <c r="I2709" s="2">
        <v>1.3</v>
      </c>
      <c r="J2709" s="2">
        <v>0.09</v>
      </c>
      <c r="K2709" s="2"/>
      <c r="L2709" s="2"/>
      <c r="M2709" s="4" t="e">
        <f t="shared" si="252"/>
        <v>#DIV/0!</v>
      </c>
      <c r="N2709" s="4" t="e">
        <f t="shared" si="253"/>
        <v>#DIV/0!</v>
      </c>
      <c r="O2709" s="5">
        <f t="shared" si="254"/>
        <v>-1</v>
      </c>
      <c r="P2709" s="5" t="e">
        <f t="shared" si="255"/>
        <v>#DIV/0!</v>
      </c>
      <c r="Q2709" s="4" t="e">
        <f t="shared" si="256"/>
        <v>#DIV/0!</v>
      </c>
      <c r="R2709" s="4" t="e">
        <f t="shared" si="257"/>
        <v>#DIV/0!</v>
      </c>
      <c r="S2709" s="4">
        <v>-1.4</v>
      </c>
      <c r="T2709" s="2">
        <v>-0.39</v>
      </c>
      <c r="U2709" s="2">
        <v>1.61</v>
      </c>
      <c r="V2709" s="2">
        <v>1.3</v>
      </c>
      <c r="W2709" s="2" t="s">
        <v>12489</v>
      </c>
      <c r="X2709" s="2" t="s">
        <v>12489</v>
      </c>
      <c r="Y2709" s="2" t="s">
        <v>12489</v>
      </c>
      <c r="Z2709" s="2" t="s">
        <v>12489</v>
      </c>
    </row>
    <row r="2710" spans="1:26" x14ac:dyDescent="0.25">
      <c r="A2710" s="1" t="s">
        <v>10832</v>
      </c>
      <c r="B2710" s="1" t="s">
        <v>10833</v>
      </c>
      <c r="C2710" s="1" t="s">
        <v>16</v>
      </c>
      <c r="D2710" s="1" t="s">
        <v>38</v>
      </c>
      <c r="E2710" s="1" t="s">
        <v>189</v>
      </c>
      <c r="F2710" s="1" t="s">
        <v>10834</v>
      </c>
      <c r="G2710" s="1" t="s">
        <v>12479</v>
      </c>
      <c r="H2710" s="1" t="s">
        <v>10835</v>
      </c>
      <c r="I2710" s="2">
        <v>95.32</v>
      </c>
      <c r="J2710" s="2">
        <v>5.98</v>
      </c>
      <c r="K2710" s="2">
        <v>6.87</v>
      </c>
      <c r="L2710" s="2">
        <v>7.64</v>
      </c>
      <c r="M2710" s="4">
        <f t="shared" si="252"/>
        <v>13.874818049490537</v>
      </c>
      <c r="N2710" s="4">
        <f t="shared" si="253"/>
        <v>12.476439790575915</v>
      </c>
      <c r="O2710" s="5">
        <f t="shared" si="254"/>
        <v>0.1488294314381271</v>
      </c>
      <c r="P2710" s="5">
        <f t="shared" si="255"/>
        <v>0.11208151382823872</v>
      </c>
      <c r="Q2710" s="4">
        <f t="shared" si="256"/>
        <v>0.93226305546015065</v>
      </c>
      <c r="R2710" s="4">
        <f t="shared" si="257"/>
        <v>1.1131576800163188</v>
      </c>
      <c r="S2710" s="4">
        <v>-1.06</v>
      </c>
      <c r="T2710" s="2">
        <v>0.66</v>
      </c>
      <c r="U2710" s="2">
        <v>98.78</v>
      </c>
      <c r="V2710" s="2">
        <v>55.71</v>
      </c>
      <c r="W2710" s="2">
        <v>-2.99</v>
      </c>
      <c r="X2710" s="2">
        <v>-2.94</v>
      </c>
      <c r="Y2710" s="2">
        <v>3.56</v>
      </c>
      <c r="Z2710" s="2">
        <v>1.19</v>
      </c>
    </row>
    <row r="2711" spans="1:26" x14ac:dyDescent="0.25">
      <c r="A2711" s="1" t="s">
        <v>10836</v>
      </c>
      <c r="B2711" s="1" t="s">
        <v>10837</v>
      </c>
      <c r="C2711" s="1" t="s">
        <v>16</v>
      </c>
      <c r="D2711" s="1" t="s">
        <v>32</v>
      </c>
      <c r="E2711" s="1" t="s">
        <v>8147</v>
      </c>
      <c r="F2711" s="1" t="s">
        <v>10838</v>
      </c>
      <c r="G2711" s="1" t="s">
        <v>12480</v>
      </c>
      <c r="H2711" s="1" t="s">
        <v>2300</v>
      </c>
      <c r="I2711" s="2">
        <v>28.54</v>
      </c>
      <c r="J2711" s="2">
        <v>2.58</v>
      </c>
      <c r="K2711" s="2">
        <v>2.61</v>
      </c>
      <c r="L2711" s="2">
        <v>2.76</v>
      </c>
      <c r="M2711" s="4">
        <f t="shared" si="252"/>
        <v>10.934865900383143</v>
      </c>
      <c r="N2711" s="4">
        <f t="shared" si="253"/>
        <v>10.340579710144928</v>
      </c>
      <c r="O2711" s="5">
        <f t="shared" si="254"/>
        <v>1.1627906976744207E-2</v>
      </c>
      <c r="P2711" s="5">
        <f t="shared" si="255"/>
        <v>5.7471264367816133E-2</v>
      </c>
      <c r="Q2711" s="4">
        <f t="shared" si="256"/>
        <v>9.4039846743294859</v>
      </c>
      <c r="R2711" s="4">
        <f t="shared" si="257"/>
        <v>1.7992608695652161</v>
      </c>
      <c r="S2711" s="4">
        <v>-4.97</v>
      </c>
      <c r="T2711" s="2">
        <v>0.52</v>
      </c>
      <c r="U2711" s="2">
        <v>37.880000000000003</v>
      </c>
      <c r="V2711" s="2">
        <v>19.2</v>
      </c>
      <c r="W2711" s="2">
        <v>-6.15</v>
      </c>
      <c r="X2711" s="2">
        <v>0.88</v>
      </c>
      <c r="Y2711" s="2">
        <v>-5.34</v>
      </c>
      <c r="Z2711" s="2">
        <v>-6.24</v>
      </c>
    </row>
    <row r="2712" spans="1:26" x14ac:dyDescent="0.25">
      <c r="A2712" s="1" t="s">
        <v>10839</v>
      </c>
      <c r="B2712" s="1" t="s">
        <v>10840</v>
      </c>
      <c r="C2712" s="1" t="s">
        <v>16</v>
      </c>
      <c r="D2712" s="1" t="s">
        <v>204</v>
      </c>
      <c r="E2712" s="1" t="s">
        <v>534</v>
      </c>
      <c r="F2712" s="1" t="s">
        <v>10841</v>
      </c>
      <c r="G2712" s="1" t="s">
        <v>12485</v>
      </c>
      <c r="H2712" s="1" t="s">
        <v>10842</v>
      </c>
      <c r="I2712" s="2">
        <v>1277.9301</v>
      </c>
      <c r="J2712" s="2">
        <v>37.33</v>
      </c>
      <c r="K2712" s="2">
        <v>39.46</v>
      </c>
      <c r="L2712" s="2">
        <v>46.45</v>
      </c>
      <c r="M2712" s="4">
        <f t="shared" si="252"/>
        <v>32.385456158134822</v>
      </c>
      <c r="N2712" s="4">
        <f t="shared" si="253"/>
        <v>27.511950484391818</v>
      </c>
      <c r="O2712" s="5">
        <f t="shared" si="254"/>
        <v>5.7058665952317345E-2</v>
      </c>
      <c r="P2712" s="5">
        <f t="shared" si="255"/>
        <v>0.17714140902179421</v>
      </c>
      <c r="Q2712" s="4">
        <f t="shared" si="256"/>
        <v>5.6758172694045506</v>
      </c>
      <c r="R2712" s="4">
        <f t="shared" si="257"/>
        <v>1.5531066754135927</v>
      </c>
      <c r="S2712" s="4">
        <v>11.22</v>
      </c>
      <c r="T2712" s="2">
        <v>0.93</v>
      </c>
      <c r="U2712" s="2">
        <v>1620.83</v>
      </c>
      <c r="V2712" s="2">
        <v>1231.75</v>
      </c>
      <c r="W2712" s="2">
        <v>-2.91</v>
      </c>
      <c r="X2712" s="2">
        <v>-1.71</v>
      </c>
      <c r="Y2712" s="2">
        <v>-1.1000000000000001</v>
      </c>
      <c r="Z2712" s="2">
        <v>-3.9</v>
      </c>
    </row>
    <row r="2713" spans="1:26" x14ac:dyDescent="0.25">
      <c r="A2713" s="1" t="s">
        <v>10843</v>
      </c>
      <c r="B2713" s="1" t="s">
        <v>10844</v>
      </c>
      <c r="C2713" s="1" t="s">
        <v>16</v>
      </c>
      <c r="D2713" s="1" t="s">
        <v>354</v>
      </c>
      <c r="E2713" s="1" t="s">
        <v>5096</v>
      </c>
      <c r="F2713" s="1" t="s">
        <v>10845</v>
      </c>
      <c r="G2713" s="1" t="s">
        <v>12480</v>
      </c>
      <c r="H2713" s="1" t="s">
        <v>12573</v>
      </c>
      <c r="I2713" s="2">
        <v>44.86</v>
      </c>
      <c r="J2713" s="2">
        <v>0.39</v>
      </c>
      <c r="K2713" s="2">
        <v>-0.16</v>
      </c>
      <c r="L2713" s="2">
        <v>0.39</v>
      </c>
      <c r="M2713" s="4">
        <f t="shared" si="252"/>
        <v>-280.375</v>
      </c>
      <c r="N2713" s="4">
        <f t="shared" si="253"/>
        <v>115.02564102564102</v>
      </c>
      <c r="O2713" s="5">
        <f t="shared" si="254"/>
        <v>-1.4102564102564101</v>
      </c>
      <c r="P2713" s="5">
        <f t="shared" si="255"/>
        <v>-3.4375</v>
      </c>
      <c r="Q2713" s="4">
        <f t="shared" si="256"/>
        <v>1.9881136363636365</v>
      </c>
      <c r="R2713" s="4">
        <f t="shared" si="257"/>
        <v>-0.33462004662004663</v>
      </c>
      <c r="S2713" s="4">
        <v>-75.260000000000005</v>
      </c>
      <c r="T2713" s="2">
        <v>0.34</v>
      </c>
      <c r="U2713" s="2">
        <v>47.59</v>
      </c>
      <c r="V2713" s="2">
        <v>31.74</v>
      </c>
      <c r="W2713" s="2">
        <v>0.47</v>
      </c>
      <c r="X2713" s="2">
        <v>-2.2200000000000002</v>
      </c>
      <c r="Y2713" s="2">
        <v>18.77</v>
      </c>
      <c r="Z2713" s="2">
        <v>9.41</v>
      </c>
    </row>
    <row r="2714" spans="1:26" x14ac:dyDescent="0.25">
      <c r="A2714" s="1" t="s">
        <v>10846</v>
      </c>
      <c r="B2714" s="1" t="s">
        <v>10847</v>
      </c>
      <c r="C2714" s="1" t="s">
        <v>16</v>
      </c>
      <c r="D2714" s="1" t="s">
        <v>94</v>
      </c>
      <c r="E2714" s="1" t="s">
        <v>403</v>
      </c>
      <c r="F2714" s="1" t="s">
        <v>10848</v>
      </c>
      <c r="G2714" s="1" t="s">
        <v>12480</v>
      </c>
      <c r="H2714" s="1" t="s">
        <v>10849</v>
      </c>
      <c r="I2714" s="2" t="s">
        <v>12794</v>
      </c>
      <c r="J2714" s="2">
        <v>2.95</v>
      </c>
      <c r="K2714" s="2">
        <v>4.04</v>
      </c>
      <c r="L2714" s="2">
        <v>7.34</v>
      </c>
      <c r="M2714" s="4">
        <f t="shared" si="252"/>
        <v>20.049504950495049</v>
      </c>
      <c r="N2714" s="4">
        <f t="shared" si="253"/>
        <v>11.035422343324251</v>
      </c>
      <c r="O2714" s="5">
        <f t="shared" si="254"/>
        <v>0.36949152542372876</v>
      </c>
      <c r="P2714" s="5">
        <f t="shared" si="255"/>
        <v>0.81683168316831689</v>
      </c>
      <c r="Q2714" s="4">
        <f t="shared" si="256"/>
        <v>0.54262421655009541</v>
      </c>
      <c r="R2714" s="4">
        <f t="shared" si="257"/>
        <v>0.13510032202130295</v>
      </c>
      <c r="S2714" s="4">
        <v>0.52</v>
      </c>
      <c r="T2714" s="2">
        <v>0.56999999999999995</v>
      </c>
      <c r="U2714" s="2">
        <v>87.67</v>
      </c>
      <c r="V2714" s="2">
        <v>32.270000000000003</v>
      </c>
      <c r="W2714" s="2">
        <v>1.41</v>
      </c>
      <c r="X2714" s="2">
        <v>19.809999999999999</v>
      </c>
      <c r="Y2714" s="2">
        <v>43.41</v>
      </c>
      <c r="Z2714" s="2">
        <v>60.36</v>
      </c>
    </row>
    <row r="2715" spans="1:26" x14ac:dyDescent="0.25">
      <c r="A2715" s="1" t="s">
        <v>10850</v>
      </c>
      <c r="B2715" s="1" t="s">
        <v>10851</v>
      </c>
      <c r="C2715" s="1" t="s">
        <v>16</v>
      </c>
      <c r="D2715" s="1" t="s">
        <v>204</v>
      </c>
      <c r="E2715" s="1" t="s">
        <v>534</v>
      </c>
      <c r="F2715" s="1" t="s">
        <v>10852</v>
      </c>
      <c r="G2715" s="1" t="s">
        <v>12480</v>
      </c>
      <c r="H2715" s="1" t="s">
        <v>2854</v>
      </c>
      <c r="I2715" s="2">
        <v>654.05999999999995</v>
      </c>
      <c r="J2715" s="2">
        <v>21.99</v>
      </c>
      <c r="K2715" s="2">
        <v>23.85</v>
      </c>
      <c r="L2715" s="2">
        <v>25.8</v>
      </c>
      <c r="M2715" s="4">
        <f t="shared" si="252"/>
        <v>27.423899371069179</v>
      </c>
      <c r="N2715" s="4">
        <f t="shared" si="253"/>
        <v>25.351162790697671</v>
      </c>
      <c r="O2715" s="5">
        <f t="shared" si="254"/>
        <v>8.4583901773533476E-2</v>
      </c>
      <c r="P2715" s="5">
        <f t="shared" si="255"/>
        <v>8.1761006289308158E-2</v>
      </c>
      <c r="Q2715" s="4">
        <f t="shared" si="256"/>
        <v>3.2422126191925318</v>
      </c>
      <c r="R2715" s="4">
        <f t="shared" si="257"/>
        <v>3.10064221824687</v>
      </c>
      <c r="S2715" s="4">
        <v>7.86</v>
      </c>
      <c r="T2715" s="2">
        <v>0.99</v>
      </c>
      <c r="U2715" s="2">
        <v>688.59</v>
      </c>
      <c r="V2715" s="2">
        <v>435.54</v>
      </c>
      <c r="W2715" s="2">
        <v>-5.01</v>
      </c>
      <c r="X2715" s="2">
        <v>-0.35</v>
      </c>
      <c r="Y2715" s="2">
        <v>27.18</v>
      </c>
      <c r="Z2715" s="2">
        <v>28.06</v>
      </c>
    </row>
    <row r="2716" spans="1:26" x14ac:dyDescent="0.25">
      <c r="A2716" s="1" t="s">
        <v>10853</v>
      </c>
      <c r="B2716" s="1" t="s">
        <v>10854</v>
      </c>
      <c r="C2716" s="1" t="s">
        <v>16</v>
      </c>
      <c r="D2716" s="1" t="s">
        <v>94</v>
      </c>
      <c r="E2716" s="1" t="s">
        <v>1055</v>
      </c>
      <c r="F2716" s="1" t="s">
        <v>10855</v>
      </c>
      <c r="G2716" s="1" t="s">
        <v>12480</v>
      </c>
      <c r="H2716" s="1" t="s">
        <v>10856</v>
      </c>
      <c r="I2716" s="2">
        <v>7.16</v>
      </c>
      <c r="J2716" s="2">
        <v>-0.39</v>
      </c>
      <c r="K2716" s="2">
        <v>-0.25</v>
      </c>
      <c r="L2716" s="2">
        <v>-0.05</v>
      </c>
      <c r="M2716" s="4">
        <f t="shared" si="252"/>
        <v>-28.64</v>
      </c>
      <c r="N2716" s="4">
        <f t="shared" si="253"/>
        <v>-143.19999999999999</v>
      </c>
      <c r="O2716" s="5">
        <f t="shared" si="254"/>
        <v>-0.35897435897435903</v>
      </c>
      <c r="P2716" s="5">
        <f t="shared" si="255"/>
        <v>-0.8</v>
      </c>
      <c r="Q2716" s="4">
        <f t="shared" si="256"/>
        <v>0.79782857142857133</v>
      </c>
      <c r="R2716" s="4">
        <f t="shared" si="257"/>
        <v>1.7899999999999998</v>
      </c>
      <c r="S2716" s="4"/>
      <c r="T2716" s="2">
        <v>1.66</v>
      </c>
      <c r="U2716" s="2">
        <v>9.49</v>
      </c>
      <c r="V2716" s="2">
        <v>0.97</v>
      </c>
      <c r="W2716" s="2">
        <v>4.68</v>
      </c>
      <c r="X2716" s="2">
        <v>-6.28</v>
      </c>
      <c r="Y2716" s="2">
        <v>41.5</v>
      </c>
      <c r="Z2716" s="2">
        <v>7.19</v>
      </c>
    </row>
    <row r="2717" spans="1:26" x14ac:dyDescent="0.25">
      <c r="A2717" s="1" t="s">
        <v>10857</v>
      </c>
      <c r="B2717" s="1" t="s">
        <v>10858</v>
      </c>
      <c r="C2717" s="1" t="s">
        <v>45</v>
      </c>
      <c r="D2717" s="1" t="s">
        <v>32</v>
      </c>
      <c r="E2717" s="1" t="s">
        <v>311</v>
      </c>
      <c r="F2717" s="1" t="s">
        <v>10859</v>
      </c>
      <c r="G2717" s="1" t="s">
        <v>12502</v>
      </c>
      <c r="H2717" s="1" t="s">
        <v>10860</v>
      </c>
      <c r="I2717" s="2">
        <v>82.04</v>
      </c>
      <c r="J2717" s="2">
        <v>3.68</v>
      </c>
      <c r="K2717" s="2">
        <v>4.7</v>
      </c>
      <c r="L2717" s="2">
        <v>5.31</v>
      </c>
      <c r="M2717" s="4">
        <f t="shared" si="252"/>
        <v>17.455319148936169</v>
      </c>
      <c r="N2717" s="4">
        <f t="shared" si="253"/>
        <v>15.450094161958571</v>
      </c>
      <c r="O2717" s="5">
        <f t="shared" si="254"/>
        <v>0.27717391304347827</v>
      </c>
      <c r="P2717" s="5">
        <f t="shared" si="255"/>
        <v>0.12978723404255299</v>
      </c>
      <c r="Q2717" s="4">
        <f t="shared" si="256"/>
        <v>0.62976053400083432</v>
      </c>
      <c r="R2717" s="4">
        <f t="shared" si="257"/>
        <v>1.1904170911673018</v>
      </c>
      <c r="S2717" s="4">
        <v>19.66</v>
      </c>
      <c r="T2717" s="2">
        <v>0.94</v>
      </c>
      <c r="U2717" s="2">
        <v>250.66</v>
      </c>
      <c r="V2717" s="2">
        <v>68.81</v>
      </c>
      <c r="W2717" s="2">
        <v>11.16</v>
      </c>
      <c r="X2717" s="2">
        <v>-10.07</v>
      </c>
      <c r="Y2717" s="2">
        <v>-48.46</v>
      </c>
      <c r="Z2717" s="2">
        <v>-49.4</v>
      </c>
    </row>
    <row r="2718" spans="1:26" x14ac:dyDescent="0.25">
      <c r="A2718" s="1" t="s">
        <v>10861</v>
      </c>
      <c r="B2718" s="1" t="s">
        <v>10862</v>
      </c>
      <c r="C2718" s="1" t="s">
        <v>45</v>
      </c>
      <c r="D2718" s="1" t="s">
        <v>18</v>
      </c>
      <c r="E2718" s="1" t="s">
        <v>74</v>
      </c>
      <c r="F2718" s="1" t="s">
        <v>10863</v>
      </c>
      <c r="G2718" s="1" t="s">
        <v>12502</v>
      </c>
      <c r="H2718" s="1" t="s">
        <v>8488</v>
      </c>
      <c r="I2718" s="2">
        <v>54.87</v>
      </c>
      <c r="J2718" s="2">
        <v>1.92</v>
      </c>
      <c r="K2718" s="2">
        <v>1.97</v>
      </c>
      <c r="L2718" s="2">
        <v>2.16</v>
      </c>
      <c r="M2718" s="4">
        <f t="shared" si="252"/>
        <v>27.852791878172589</v>
      </c>
      <c r="N2718" s="4">
        <f t="shared" si="253"/>
        <v>25.402777777777775</v>
      </c>
      <c r="O2718" s="5">
        <f t="shared" si="254"/>
        <v>2.6041666666666741E-2</v>
      </c>
      <c r="P2718" s="5">
        <f t="shared" si="255"/>
        <v>9.6446700507614391E-2</v>
      </c>
      <c r="Q2718" s="4">
        <f t="shared" si="256"/>
        <v>10.695472081218243</v>
      </c>
      <c r="R2718" s="4">
        <f t="shared" si="257"/>
        <v>2.6338669590643224</v>
      </c>
      <c r="S2718" s="4">
        <v>5.23</v>
      </c>
      <c r="T2718" s="2">
        <v>1.48</v>
      </c>
      <c r="U2718" s="2">
        <v>71.38</v>
      </c>
      <c r="V2718" s="2">
        <v>46.66</v>
      </c>
      <c r="W2718" s="2">
        <v>-5.0999999999999996</v>
      </c>
      <c r="X2718" s="2">
        <v>-16.2</v>
      </c>
      <c r="Y2718" s="2">
        <v>-6.51</v>
      </c>
      <c r="Z2718" s="2">
        <v>-6.7</v>
      </c>
    </row>
    <row r="2719" spans="1:26" x14ac:dyDescent="0.25">
      <c r="A2719" s="1" t="s">
        <v>10864</v>
      </c>
      <c r="B2719" s="1" t="s">
        <v>10865</v>
      </c>
      <c r="C2719" s="1" t="s">
        <v>16</v>
      </c>
      <c r="D2719" s="1" t="s">
        <v>88</v>
      </c>
      <c r="E2719" s="1" t="s">
        <v>658</v>
      </c>
      <c r="F2719" s="1" t="s">
        <v>10866</v>
      </c>
      <c r="G2719" s="1" t="s">
        <v>12480</v>
      </c>
      <c r="H2719" s="1" t="s">
        <v>10867</v>
      </c>
      <c r="I2719" s="2">
        <v>50.95</v>
      </c>
      <c r="J2719" s="2">
        <v>2.21</v>
      </c>
      <c r="K2719" s="2">
        <v>2.23</v>
      </c>
      <c r="L2719" s="2">
        <v>2.31</v>
      </c>
      <c r="M2719" s="4">
        <f t="shared" si="252"/>
        <v>22.847533632286996</v>
      </c>
      <c r="N2719" s="4">
        <f t="shared" si="253"/>
        <v>22.056277056277057</v>
      </c>
      <c r="O2719" s="5">
        <f t="shared" si="254"/>
        <v>9.0497737556560764E-3</v>
      </c>
      <c r="P2719" s="5">
        <f t="shared" si="255"/>
        <v>3.5874439461883512E-2</v>
      </c>
      <c r="Q2719" s="4">
        <f t="shared" si="256"/>
        <v>25.246524663677221</v>
      </c>
      <c r="R2719" s="4">
        <f t="shared" si="257"/>
        <v>6.1481872294372124</v>
      </c>
      <c r="S2719" s="4">
        <v>18.809999999999999</v>
      </c>
      <c r="T2719" s="2">
        <v>0.77</v>
      </c>
      <c r="U2719" s="2">
        <v>61.43</v>
      </c>
      <c r="V2719" s="2">
        <v>29.05</v>
      </c>
      <c r="W2719" s="2">
        <v>-10.91</v>
      </c>
      <c r="X2719" s="2">
        <v>-11.93</v>
      </c>
      <c r="Y2719" s="2">
        <v>18.32</v>
      </c>
      <c r="Z2719" s="2">
        <v>6.39</v>
      </c>
    </row>
    <row r="2720" spans="1:26" x14ac:dyDescent="0.25">
      <c r="A2720" s="1" t="s">
        <v>10868</v>
      </c>
      <c r="B2720" s="1" t="s">
        <v>10869</v>
      </c>
      <c r="C2720" s="1" t="s">
        <v>16</v>
      </c>
      <c r="D2720" s="1" t="s">
        <v>32</v>
      </c>
      <c r="E2720" s="1" t="s">
        <v>33</v>
      </c>
      <c r="F2720" s="1" t="s">
        <v>10870</v>
      </c>
      <c r="G2720" s="1" t="s">
        <v>12485</v>
      </c>
      <c r="H2720" s="1" t="s">
        <v>10871</v>
      </c>
      <c r="I2720" s="2">
        <v>206.24</v>
      </c>
      <c r="J2720" s="2">
        <v>8.76</v>
      </c>
      <c r="K2720" s="2">
        <v>10.93</v>
      </c>
      <c r="L2720" s="2">
        <v>12.11</v>
      </c>
      <c r="M2720" s="4">
        <f t="shared" si="252"/>
        <v>18.869167429094237</v>
      </c>
      <c r="N2720" s="4">
        <f t="shared" si="253"/>
        <v>17.030553261767135</v>
      </c>
      <c r="O2720" s="5">
        <f t="shared" si="254"/>
        <v>0.24771689497716887</v>
      </c>
      <c r="P2720" s="5">
        <f t="shared" si="255"/>
        <v>0.10795974382433671</v>
      </c>
      <c r="Q2720" s="4">
        <f t="shared" si="256"/>
        <v>0.76172307225283675</v>
      </c>
      <c r="R2720" s="4">
        <f t="shared" si="257"/>
        <v>1.5774910775518201</v>
      </c>
      <c r="S2720" s="4">
        <v>8.94</v>
      </c>
      <c r="T2720" s="2">
        <v>1.23</v>
      </c>
      <c r="U2720" s="2" t="s">
        <v>12795</v>
      </c>
      <c r="V2720" s="2" t="s">
        <v>12666</v>
      </c>
      <c r="W2720" s="2">
        <v>-2.71</v>
      </c>
      <c r="X2720" s="2">
        <v>-8.93</v>
      </c>
      <c r="Y2720" s="2">
        <v>-10.6</v>
      </c>
      <c r="Z2720" s="2">
        <v>-9.35</v>
      </c>
    </row>
    <row r="2721" spans="1:26" x14ac:dyDescent="0.25">
      <c r="A2721" s="1" t="s">
        <v>10872</v>
      </c>
      <c r="B2721" s="1" t="s">
        <v>10873</v>
      </c>
      <c r="C2721" s="1" t="s">
        <v>31</v>
      </c>
      <c r="D2721" s="1" t="s">
        <v>354</v>
      </c>
      <c r="E2721" s="1" t="s">
        <v>1537</v>
      </c>
      <c r="F2721" s="1" t="s">
        <v>10874</v>
      </c>
      <c r="G2721" s="1" t="s">
        <v>12480</v>
      </c>
      <c r="H2721" s="1" t="s">
        <v>10875</v>
      </c>
      <c r="I2721" s="2">
        <v>4.0999999999999996</v>
      </c>
      <c r="J2721" s="2">
        <v>0.37</v>
      </c>
      <c r="K2721" s="2">
        <v>0.51</v>
      </c>
      <c r="L2721" s="2">
        <v>0.47</v>
      </c>
      <c r="M2721" s="4">
        <f t="shared" si="252"/>
        <v>8.0392156862745097</v>
      </c>
      <c r="N2721" s="4">
        <f t="shared" si="253"/>
        <v>8.7234042553191493</v>
      </c>
      <c r="O2721" s="5">
        <f t="shared" si="254"/>
        <v>0.37837837837837851</v>
      </c>
      <c r="P2721" s="5">
        <f t="shared" si="255"/>
        <v>-7.8431372549019662E-2</v>
      </c>
      <c r="Q2721" s="4">
        <f t="shared" si="256"/>
        <v>0.21246498599439767</v>
      </c>
      <c r="R2721" s="4">
        <f t="shared" si="257"/>
        <v>-1.1122340425531907</v>
      </c>
      <c r="S2721" s="4">
        <v>-11.15</v>
      </c>
      <c r="T2721" s="2">
        <v>0.28000000000000003</v>
      </c>
      <c r="U2721" s="2">
        <v>5.71</v>
      </c>
      <c r="V2721" s="2">
        <v>3.75</v>
      </c>
      <c r="W2721" s="2">
        <v>-4.6500000000000004</v>
      </c>
      <c r="X2721" s="2">
        <v>-3.3</v>
      </c>
      <c r="Y2721" s="2">
        <v>-3.98</v>
      </c>
      <c r="Z2721" s="2">
        <v>1.23</v>
      </c>
    </row>
    <row r="2722" spans="1:26" x14ac:dyDescent="0.25">
      <c r="A2722" s="1" t="s">
        <v>10876</v>
      </c>
      <c r="B2722" s="1" t="s">
        <v>10877</v>
      </c>
      <c r="C2722" s="1" t="s">
        <v>31</v>
      </c>
      <c r="D2722" s="1" t="s">
        <v>354</v>
      </c>
      <c r="E2722" s="1" t="s">
        <v>1537</v>
      </c>
      <c r="F2722" s="1" t="s">
        <v>10878</v>
      </c>
      <c r="G2722" s="1" t="s">
        <v>12480</v>
      </c>
      <c r="H2722" s="1" t="s">
        <v>10879</v>
      </c>
      <c r="I2722" s="2">
        <v>17.64</v>
      </c>
      <c r="J2722" s="2">
        <v>0.79</v>
      </c>
      <c r="K2722" s="2">
        <v>2.12</v>
      </c>
      <c r="L2722" s="2">
        <v>1.03</v>
      </c>
      <c r="M2722" s="4">
        <f t="shared" si="252"/>
        <v>8.3207547169811313</v>
      </c>
      <c r="N2722" s="4">
        <f t="shared" si="253"/>
        <v>17.126213592233011</v>
      </c>
      <c r="O2722" s="5">
        <f t="shared" si="254"/>
        <v>1.6835443037974684</v>
      </c>
      <c r="P2722" s="5">
        <f t="shared" si="255"/>
        <v>-0.51415094339622636</v>
      </c>
      <c r="Q2722" s="4">
        <f t="shared" si="256"/>
        <v>4.9424031777557095E-2</v>
      </c>
      <c r="R2722" s="4">
        <f t="shared" si="257"/>
        <v>-0.33309699830765127</v>
      </c>
      <c r="S2722" s="4">
        <v>-0.74</v>
      </c>
      <c r="T2722" s="2">
        <v>0.36</v>
      </c>
      <c r="U2722" s="2">
        <v>18.77</v>
      </c>
      <c r="V2722" s="2">
        <v>12.68</v>
      </c>
      <c r="W2722" s="2">
        <v>-3.24</v>
      </c>
      <c r="X2722" s="2">
        <v>-3.4</v>
      </c>
      <c r="Y2722" s="2">
        <v>24.05</v>
      </c>
      <c r="Z2722" s="2">
        <v>20.74</v>
      </c>
    </row>
    <row r="2723" spans="1:26" x14ac:dyDescent="0.25">
      <c r="A2723" s="1" t="s">
        <v>10880</v>
      </c>
      <c r="B2723" s="1" t="s">
        <v>10881</v>
      </c>
      <c r="C2723" s="1" t="s">
        <v>45</v>
      </c>
      <c r="D2723" s="1" t="s">
        <v>18</v>
      </c>
      <c r="E2723" s="1" t="s">
        <v>1385</v>
      </c>
      <c r="F2723" s="1" t="s">
        <v>10882</v>
      </c>
      <c r="G2723" s="1" t="s">
        <v>12480</v>
      </c>
      <c r="H2723" s="1" t="s">
        <v>10883</v>
      </c>
      <c r="I2723" s="2">
        <v>52.32</v>
      </c>
      <c r="J2723" s="2">
        <v>-0.61</v>
      </c>
      <c r="K2723" s="2">
        <v>-0.37</v>
      </c>
      <c r="L2723" s="2">
        <v>-0.22</v>
      </c>
      <c r="M2723" s="4">
        <f t="shared" si="252"/>
        <v>-141.40540540540542</v>
      </c>
      <c r="N2723" s="4">
        <f t="shared" si="253"/>
        <v>-237.81818181818181</v>
      </c>
      <c r="O2723" s="5">
        <f t="shared" si="254"/>
        <v>-0.39344262295081966</v>
      </c>
      <c r="P2723" s="5">
        <f t="shared" si="255"/>
        <v>-0.40540540540540537</v>
      </c>
      <c r="Q2723" s="4">
        <f t="shared" si="256"/>
        <v>3.5940540540540544</v>
      </c>
      <c r="R2723" s="4">
        <f t="shared" si="257"/>
        <v>5.8661818181818184</v>
      </c>
      <c r="S2723" s="4">
        <v>83.41</v>
      </c>
      <c r="T2723" s="2">
        <v>5.29</v>
      </c>
      <c r="U2723" s="2">
        <v>103.25</v>
      </c>
      <c r="V2723" s="2">
        <v>37.229999999999997</v>
      </c>
      <c r="W2723" s="2">
        <v>-1.86</v>
      </c>
      <c r="X2723" s="2">
        <v>-8.4</v>
      </c>
      <c r="Y2723" s="2">
        <v>-23.81</v>
      </c>
      <c r="Z2723" s="2">
        <v>-11.4</v>
      </c>
    </row>
    <row r="2724" spans="1:26" x14ac:dyDescent="0.25">
      <c r="A2724" s="1" t="s">
        <v>10884</v>
      </c>
      <c r="B2724" s="1" t="s">
        <v>10885</v>
      </c>
      <c r="C2724" s="1" t="s">
        <v>16</v>
      </c>
      <c r="D2724" s="1" t="s">
        <v>46</v>
      </c>
      <c r="E2724" s="1" t="s">
        <v>770</v>
      </c>
      <c r="F2724" s="1" t="s">
        <v>10886</v>
      </c>
      <c r="G2724" s="1" t="s">
        <v>12480</v>
      </c>
      <c r="H2724" s="1" t="s">
        <v>10887</v>
      </c>
      <c r="I2724" s="2">
        <v>37.090000000000003</v>
      </c>
      <c r="J2724" s="2">
        <v>4.03</v>
      </c>
      <c r="K2724" s="2"/>
      <c r="L2724" s="2"/>
      <c r="M2724" s="4" t="e">
        <f t="shared" si="252"/>
        <v>#DIV/0!</v>
      </c>
      <c r="N2724" s="4" t="e">
        <f t="shared" si="253"/>
        <v>#DIV/0!</v>
      </c>
      <c r="O2724" s="5">
        <f t="shared" si="254"/>
        <v>-1</v>
      </c>
      <c r="P2724" s="5" t="e">
        <f t="shared" si="255"/>
        <v>#DIV/0!</v>
      </c>
      <c r="Q2724" s="4" t="e">
        <f t="shared" si="256"/>
        <v>#DIV/0!</v>
      </c>
      <c r="R2724" s="4" t="e">
        <f t="shared" si="257"/>
        <v>#DIV/0!</v>
      </c>
      <c r="S2724" s="4">
        <v>-0.67</v>
      </c>
      <c r="T2724" s="2">
        <v>-0.27</v>
      </c>
      <c r="U2724" s="2">
        <v>37.090000000000003</v>
      </c>
      <c r="V2724" s="2">
        <v>13.81</v>
      </c>
      <c r="W2724" s="2">
        <v>0.11</v>
      </c>
      <c r="X2724" s="2">
        <v>35.81</v>
      </c>
      <c r="Y2724" s="2">
        <v>60.56</v>
      </c>
      <c r="Z2724" s="2">
        <v>65.430000000000007</v>
      </c>
    </row>
    <row r="2725" spans="1:26" x14ac:dyDescent="0.25">
      <c r="A2725" s="1" t="s">
        <v>10888</v>
      </c>
      <c r="B2725" s="1" t="s">
        <v>10889</v>
      </c>
      <c r="C2725" s="1" t="s">
        <v>45</v>
      </c>
      <c r="D2725" s="1" t="s">
        <v>32</v>
      </c>
      <c r="E2725" s="1" t="s">
        <v>311</v>
      </c>
      <c r="F2725" s="1" t="s">
        <v>10890</v>
      </c>
      <c r="G2725" s="1" t="s">
        <v>12480</v>
      </c>
      <c r="H2725" s="1" t="s">
        <v>10891</v>
      </c>
      <c r="I2725" s="2">
        <v>21.02</v>
      </c>
      <c r="J2725" s="2">
        <v>1.59</v>
      </c>
      <c r="K2725" s="2">
        <v>1.86</v>
      </c>
      <c r="L2725" s="2">
        <v>2.11</v>
      </c>
      <c r="M2725" s="4">
        <f t="shared" si="252"/>
        <v>11.301075268817204</v>
      </c>
      <c r="N2725" s="4">
        <f t="shared" si="253"/>
        <v>9.9620853080568725</v>
      </c>
      <c r="O2725" s="5">
        <f t="shared" si="254"/>
        <v>0.16981132075471694</v>
      </c>
      <c r="P2725" s="5">
        <f t="shared" si="255"/>
        <v>0.13440860215053752</v>
      </c>
      <c r="Q2725" s="4">
        <f t="shared" si="256"/>
        <v>0.66550776583034654</v>
      </c>
      <c r="R2725" s="4">
        <f t="shared" si="257"/>
        <v>0.74117914691943199</v>
      </c>
      <c r="S2725" s="4">
        <v>11.04</v>
      </c>
      <c r="T2725" s="2">
        <v>0.67</v>
      </c>
      <c r="U2725" s="2">
        <v>37.33</v>
      </c>
      <c r="V2725" s="2">
        <v>17.55</v>
      </c>
      <c r="W2725" s="2">
        <v>7.03</v>
      </c>
      <c r="X2725" s="2">
        <v>-3.89</v>
      </c>
      <c r="Y2725" s="2">
        <v>-15.07</v>
      </c>
      <c r="Z2725" s="2">
        <v>-10.67</v>
      </c>
    </row>
    <row r="2726" spans="1:26" x14ac:dyDescent="0.25">
      <c r="A2726" s="1" t="s">
        <v>10892</v>
      </c>
      <c r="B2726" s="1" t="s">
        <v>10893</v>
      </c>
      <c r="C2726" s="1" t="s">
        <v>16</v>
      </c>
      <c r="D2726" s="1" t="s">
        <v>354</v>
      </c>
      <c r="E2726" s="1" t="s">
        <v>6754</v>
      </c>
      <c r="F2726" s="1" t="s">
        <v>10894</v>
      </c>
      <c r="G2726" s="1" t="s">
        <v>12480</v>
      </c>
      <c r="H2726" s="1" t="s">
        <v>10895</v>
      </c>
      <c r="I2726" s="2">
        <v>11.12</v>
      </c>
      <c r="J2726" s="2">
        <v>2.58</v>
      </c>
      <c r="K2726" s="2">
        <v>0.23</v>
      </c>
      <c r="L2726" s="2">
        <v>0.44</v>
      </c>
      <c r="M2726" s="4">
        <f t="shared" si="252"/>
        <v>48.347826086956516</v>
      </c>
      <c r="N2726" s="4">
        <f t="shared" si="253"/>
        <v>25.27272727272727</v>
      </c>
      <c r="O2726" s="5">
        <f t="shared" si="254"/>
        <v>-0.91085271317829453</v>
      </c>
      <c r="P2726" s="5">
        <f t="shared" si="255"/>
        <v>0.9130434782608694</v>
      </c>
      <c r="Q2726" s="4">
        <f t="shared" si="256"/>
        <v>-0.53079740980573542</v>
      </c>
      <c r="R2726" s="4">
        <f t="shared" si="257"/>
        <v>0.27679653679653682</v>
      </c>
      <c r="S2726" s="4">
        <v>-42.14</v>
      </c>
      <c r="T2726" s="2">
        <v>1.26</v>
      </c>
      <c r="U2726" s="2">
        <v>13.63</v>
      </c>
      <c r="V2726" s="2">
        <v>6.52</v>
      </c>
      <c r="W2726" s="2">
        <v>-2.63</v>
      </c>
      <c r="X2726" s="2">
        <v>-11.68</v>
      </c>
      <c r="Y2726" s="2">
        <v>-5.6</v>
      </c>
      <c r="Z2726" s="2">
        <v>-4.22</v>
      </c>
    </row>
    <row r="2727" spans="1:26" x14ac:dyDescent="0.25">
      <c r="A2727" s="1" t="s">
        <v>10896</v>
      </c>
      <c r="B2727" s="1" t="s">
        <v>10897</v>
      </c>
      <c r="C2727" s="1" t="s">
        <v>45</v>
      </c>
      <c r="D2727" s="1" t="s">
        <v>32</v>
      </c>
      <c r="E2727" s="1" t="s">
        <v>1607</v>
      </c>
      <c r="F2727" s="1" t="s">
        <v>10898</v>
      </c>
      <c r="G2727" s="1" t="s">
        <v>12480</v>
      </c>
      <c r="H2727" s="1" t="s">
        <v>10899</v>
      </c>
      <c r="I2727" s="2">
        <v>296.44</v>
      </c>
      <c r="J2727" s="2">
        <v>3.96</v>
      </c>
      <c r="K2727" s="2">
        <v>5.91</v>
      </c>
      <c r="L2727" s="2">
        <v>7.62</v>
      </c>
      <c r="M2727" s="4">
        <f t="shared" si="252"/>
        <v>50.159052453468696</v>
      </c>
      <c r="N2727" s="4">
        <f t="shared" si="253"/>
        <v>38.902887139107612</v>
      </c>
      <c r="O2727" s="5">
        <f t="shared" si="254"/>
        <v>0.49242424242424243</v>
      </c>
      <c r="P2727" s="5">
        <f t="shared" si="255"/>
        <v>0.28934010152284273</v>
      </c>
      <c r="Q2727" s="4">
        <f t="shared" si="256"/>
        <v>1.0186146036704413</v>
      </c>
      <c r="R2727" s="4">
        <f t="shared" si="257"/>
        <v>1.3445383800709119</v>
      </c>
      <c r="S2727" s="4">
        <v>13.13</v>
      </c>
      <c r="T2727" s="2">
        <v>1.76</v>
      </c>
      <c r="U2727" s="2">
        <v>342.82</v>
      </c>
      <c r="V2727" s="2">
        <v>67.959999999999994</v>
      </c>
      <c r="W2727" s="2">
        <v>-9.02</v>
      </c>
      <c r="X2727" s="2">
        <v>-4.38</v>
      </c>
      <c r="Y2727" s="2">
        <v>52.26</v>
      </c>
      <c r="Z2727" s="2">
        <v>53.15</v>
      </c>
    </row>
    <row r="2728" spans="1:26" x14ac:dyDescent="0.25">
      <c r="A2728" s="1" t="s">
        <v>10900</v>
      </c>
      <c r="B2728" s="1" t="s">
        <v>10901</v>
      </c>
      <c r="C2728" s="1" t="s">
        <v>45</v>
      </c>
      <c r="D2728" s="1" t="s">
        <v>18</v>
      </c>
      <c r="E2728" s="1" t="s">
        <v>74</v>
      </c>
      <c r="F2728" s="1" t="s">
        <v>10902</v>
      </c>
      <c r="G2728" s="1" t="s">
        <v>12480</v>
      </c>
      <c r="H2728" s="1" t="s">
        <v>10903</v>
      </c>
      <c r="I2728" s="2">
        <v>44.29</v>
      </c>
      <c r="J2728" s="2">
        <v>-1.1200000000000001</v>
      </c>
      <c r="K2728" s="2">
        <v>-1.19</v>
      </c>
      <c r="L2728" s="2">
        <v>-1.63</v>
      </c>
      <c r="M2728" s="4">
        <f t="shared" si="252"/>
        <v>-37.218487394957982</v>
      </c>
      <c r="N2728" s="4">
        <f t="shared" si="253"/>
        <v>-27.171779141104295</v>
      </c>
      <c r="O2728" s="5">
        <f t="shared" si="254"/>
        <v>6.2499999999999778E-2</v>
      </c>
      <c r="P2728" s="5">
        <f t="shared" si="255"/>
        <v>0.36974789915966388</v>
      </c>
      <c r="Q2728" s="4">
        <f t="shared" si="256"/>
        <v>-5.9549579831932986</v>
      </c>
      <c r="R2728" s="4">
        <f t="shared" si="257"/>
        <v>-0.73487311767986607</v>
      </c>
      <c r="S2728" s="4"/>
      <c r="T2728" s="2">
        <v>-0.31</v>
      </c>
      <c r="U2728" s="2">
        <v>47.09</v>
      </c>
      <c r="V2728" s="2" t="s">
        <v>12487</v>
      </c>
      <c r="W2728" s="2">
        <v>5.38</v>
      </c>
      <c r="X2728" s="2">
        <v>16.61</v>
      </c>
      <c r="Y2728" s="2">
        <v>0.64</v>
      </c>
      <c r="Z2728" s="2">
        <v>9.6300000000000008</v>
      </c>
    </row>
    <row r="2729" spans="1:26" x14ac:dyDescent="0.25">
      <c r="A2729" s="1" t="s">
        <v>10904</v>
      </c>
      <c r="B2729" s="1" t="s">
        <v>10905</v>
      </c>
      <c r="C2729" s="1" t="s">
        <v>16</v>
      </c>
      <c r="D2729" s="1" t="s">
        <v>18</v>
      </c>
      <c r="E2729" s="1" t="s">
        <v>1491</v>
      </c>
      <c r="F2729" s="1" t="s">
        <v>10906</v>
      </c>
      <c r="G2729" s="1" t="s">
        <v>12480</v>
      </c>
      <c r="H2729" s="1" t="s">
        <v>10907</v>
      </c>
      <c r="I2729" s="2">
        <v>31.5</v>
      </c>
      <c r="J2729" s="2">
        <v>2.93</v>
      </c>
      <c r="K2729" s="2">
        <v>2.72</v>
      </c>
      <c r="L2729" s="2">
        <v>3.04</v>
      </c>
      <c r="M2729" s="4">
        <f t="shared" si="252"/>
        <v>11.580882352941176</v>
      </c>
      <c r="N2729" s="4">
        <f t="shared" si="253"/>
        <v>10.361842105263158</v>
      </c>
      <c r="O2729" s="5">
        <f t="shared" si="254"/>
        <v>-7.1672354948805417E-2</v>
      </c>
      <c r="P2729" s="5">
        <f t="shared" si="255"/>
        <v>0.11764705882352944</v>
      </c>
      <c r="Q2729" s="4">
        <f t="shared" si="256"/>
        <v>-1.6158088235294126</v>
      </c>
      <c r="R2729" s="4">
        <f t="shared" si="257"/>
        <v>0.88075657894736814</v>
      </c>
      <c r="S2729" s="4">
        <v>4.32</v>
      </c>
      <c r="T2729" s="2">
        <v>0.72</v>
      </c>
      <c r="U2729" s="2">
        <v>36.25</v>
      </c>
      <c r="V2729" s="2">
        <v>12.82</v>
      </c>
      <c r="W2729" s="2">
        <v>-6.72</v>
      </c>
      <c r="X2729" s="2">
        <v>-8.6199999999999992</v>
      </c>
      <c r="Y2729" s="2">
        <v>4.55</v>
      </c>
      <c r="Z2729" s="2">
        <v>0.93</v>
      </c>
    </row>
    <row r="2730" spans="1:26" x14ac:dyDescent="0.25">
      <c r="A2730" s="1" t="s">
        <v>10908</v>
      </c>
      <c r="B2730" s="1" t="s">
        <v>10909</v>
      </c>
      <c r="C2730" s="1" t="s">
        <v>16</v>
      </c>
      <c r="D2730" s="1" t="s">
        <v>25</v>
      </c>
      <c r="E2730" s="1" t="s">
        <v>1148</v>
      </c>
      <c r="F2730" s="1" t="s">
        <v>10910</v>
      </c>
      <c r="G2730" s="1" t="s">
        <v>12480</v>
      </c>
      <c r="H2730" s="1" t="s">
        <v>10590</v>
      </c>
      <c r="I2730" s="2">
        <v>61.53</v>
      </c>
      <c r="J2730" s="2">
        <v>4.93</v>
      </c>
      <c r="K2730" s="2">
        <v>4.82</v>
      </c>
      <c r="L2730" s="2">
        <v>5.59</v>
      </c>
      <c r="M2730" s="4">
        <f t="shared" si="252"/>
        <v>12.765560165975103</v>
      </c>
      <c r="N2730" s="4">
        <f t="shared" si="253"/>
        <v>11.007155635062611</v>
      </c>
      <c r="O2730" s="5">
        <f t="shared" si="254"/>
        <v>-2.2312373225152005E-2</v>
      </c>
      <c r="P2730" s="5">
        <f t="shared" si="255"/>
        <v>0.15975103734439822</v>
      </c>
      <c r="Q2730" s="4">
        <f t="shared" si="256"/>
        <v>-5.721291965296146</v>
      </c>
      <c r="R2730" s="4">
        <f t="shared" si="257"/>
        <v>0.68901935274028348</v>
      </c>
      <c r="S2730" s="4">
        <v>5.73</v>
      </c>
      <c r="T2730" s="2">
        <v>1.62</v>
      </c>
      <c r="U2730" s="2">
        <v>69.510000000000005</v>
      </c>
      <c r="V2730" s="2">
        <v>32.21</v>
      </c>
      <c r="W2730" s="2">
        <v>-11.4</v>
      </c>
      <c r="X2730" s="2">
        <v>-0.02</v>
      </c>
      <c r="Y2730" s="2">
        <v>17.760000000000002</v>
      </c>
      <c r="Z2730" s="2">
        <v>15.27</v>
      </c>
    </row>
    <row r="2731" spans="1:26" x14ac:dyDescent="0.25">
      <c r="A2731" s="1" t="s">
        <v>10911</v>
      </c>
      <c r="B2731" s="1" t="s">
        <v>10912</v>
      </c>
      <c r="C2731" s="1" t="s">
        <v>31</v>
      </c>
      <c r="D2731" s="1" t="s">
        <v>354</v>
      </c>
      <c r="E2731" s="1" t="s">
        <v>355</v>
      </c>
      <c r="F2731" s="1" t="s">
        <v>10913</v>
      </c>
      <c r="G2731" s="1" t="s">
        <v>12480</v>
      </c>
      <c r="H2731" s="1" t="s">
        <v>12796</v>
      </c>
      <c r="I2731" s="2">
        <v>34.21</v>
      </c>
      <c r="J2731" s="2"/>
      <c r="K2731" s="2"/>
      <c r="L2731" s="2"/>
      <c r="M2731" s="4" t="e">
        <f t="shared" si="252"/>
        <v>#DIV/0!</v>
      </c>
      <c r="N2731" s="4" t="e">
        <f t="shared" si="253"/>
        <v>#DIV/0!</v>
      </c>
      <c r="O2731" s="5" t="e">
        <f t="shared" si="254"/>
        <v>#DIV/0!</v>
      </c>
      <c r="P2731" s="5" t="e">
        <f t="shared" si="255"/>
        <v>#DIV/0!</v>
      </c>
      <c r="Q2731" s="4" t="e">
        <f t="shared" si="256"/>
        <v>#DIV/0!</v>
      </c>
      <c r="R2731" s="4" t="e">
        <f t="shared" si="257"/>
        <v>#DIV/0!</v>
      </c>
      <c r="S2731" s="4">
        <v>15.46</v>
      </c>
      <c r="T2731" s="2">
        <v>0.68</v>
      </c>
      <c r="U2731" s="2">
        <v>36.06</v>
      </c>
      <c r="V2731" s="2">
        <v>24.59</v>
      </c>
      <c r="W2731" s="2">
        <v>-3.85</v>
      </c>
      <c r="X2731" s="2">
        <v>1.03</v>
      </c>
      <c r="Y2731" s="2">
        <v>9.58</v>
      </c>
      <c r="Z2731" s="2">
        <v>7.21</v>
      </c>
    </row>
    <row r="2732" spans="1:26" x14ac:dyDescent="0.25">
      <c r="A2732" s="1" t="s">
        <v>10914</v>
      </c>
      <c r="B2732" s="1" t="s">
        <v>10915</v>
      </c>
      <c r="C2732" s="1" t="s">
        <v>16</v>
      </c>
      <c r="D2732" s="1" t="s">
        <v>38</v>
      </c>
      <c r="E2732" s="1" t="s">
        <v>1739</v>
      </c>
      <c r="F2732" s="1" t="s">
        <v>10916</v>
      </c>
      <c r="G2732" s="1" t="s">
        <v>12480</v>
      </c>
      <c r="H2732" s="1" t="s">
        <v>10917</v>
      </c>
      <c r="I2732" s="2">
        <v>46.75</v>
      </c>
      <c r="J2732" s="2">
        <v>3.95</v>
      </c>
      <c r="K2732" s="2">
        <v>4.46</v>
      </c>
      <c r="L2732" s="2">
        <v>5.04</v>
      </c>
      <c r="M2732" s="4">
        <f t="shared" si="252"/>
        <v>10.482062780269059</v>
      </c>
      <c r="N2732" s="4">
        <f t="shared" si="253"/>
        <v>9.2757936507936503</v>
      </c>
      <c r="O2732" s="5">
        <f t="shared" si="254"/>
        <v>0.12911392405063293</v>
      </c>
      <c r="P2732" s="5">
        <f t="shared" si="255"/>
        <v>0.13004484304932729</v>
      </c>
      <c r="Q2732" s="4">
        <f t="shared" si="256"/>
        <v>0.8118460388639761</v>
      </c>
      <c r="R2732" s="4">
        <f t="shared" si="257"/>
        <v>0.7132765462506846</v>
      </c>
      <c r="S2732" s="4">
        <v>25.5</v>
      </c>
      <c r="T2732" s="2">
        <v>0.87</v>
      </c>
      <c r="U2732" s="2">
        <v>55.81</v>
      </c>
      <c r="V2732" s="2">
        <v>34.79</v>
      </c>
      <c r="W2732" s="2">
        <v>-5.65</v>
      </c>
      <c r="X2732" s="2">
        <v>-14.66</v>
      </c>
      <c r="Y2732" s="2">
        <v>-6.01</v>
      </c>
      <c r="Z2732" s="2" t="s">
        <v>12736</v>
      </c>
    </row>
    <row r="2733" spans="1:26" x14ac:dyDescent="0.25">
      <c r="A2733" s="1" t="s">
        <v>10918</v>
      </c>
      <c r="B2733" s="1" t="s">
        <v>10919</v>
      </c>
      <c r="C2733" s="1" t="s">
        <v>16</v>
      </c>
      <c r="D2733" s="1" t="s">
        <v>38</v>
      </c>
      <c r="E2733" s="1" t="s">
        <v>259</v>
      </c>
      <c r="F2733" s="1" t="s">
        <v>10920</v>
      </c>
      <c r="G2733" s="1" t="s">
        <v>12480</v>
      </c>
      <c r="H2733" s="1" t="s">
        <v>10921</v>
      </c>
      <c r="I2733" s="2">
        <v>45.91</v>
      </c>
      <c r="J2733" s="2"/>
      <c r="K2733" s="2"/>
      <c r="L2733" s="2"/>
      <c r="M2733" s="4" t="e">
        <f t="shared" si="252"/>
        <v>#DIV/0!</v>
      </c>
      <c r="N2733" s="4" t="e">
        <f t="shared" si="253"/>
        <v>#DIV/0!</v>
      </c>
      <c r="O2733" s="5" t="e">
        <f t="shared" si="254"/>
        <v>#DIV/0!</v>
      </c>
      <c r="P2733" s="5" t="e">
        <f t="shared" si="255"/>
        <v>#DIV/0!</v>
      </c>
      <c r="Q2733" s="4" t="e">
        <f t="shared" si="256"/>
        <v>#DIV/0!</v>
      </c>
      <c r="R2733" s="4" t="e">
        <f t="shared" si="257"/>
        <v>#DIV/0!</v>
      </c>
      <c r="S2733" s="4"/>
      <c r="T2733" s="2">
        <v>0.31</v>
      </c>
      <c r="U2733" s="2">
        <v>46.5</v>
      </c>
      <c r="V2733" s="2">
        <v>43.63</v>
      </c>
      <c r="W2733" s="2">
        <v>-0.57999999999999996</v>
      </c>
      <c r="X2733" s="2">
        <v>-0.41</v>
      </c>
      <c r="Y2733" s="2">
        <v>0.56999999999999995</v>
      </c>
      <c r="Z2733" s="2">
        <v>0.44</v>
      </c>
    </row>
    <row r="2734" spans="1:26" x14ac:dyDescent="0.25">
      <c r="A2734" s="1" t="s">
        <v>10922</v>
      </c>
      <c r="B2734" s="1" t="s">
        <v>10923</v>
      </c>
      <c r="C2734" s="1" t="s">
        <v>16</v>
      </c>
      <c r="D2734" s="1" t="s">
        <v>46</v>
      </c>
      <c r="E2734" s="1" t="s">
        <v>1142</v>
      </c>
      <c r="F2734" s="1" t="s">
        <v>10924</v>
      </c>
      <c r="G2734" s="1" t="s">
        <v>12480</v>
      </c>
      <c r="H2734" s="1" t="s">
        <v>10925</v>
      </c>
      <c r="I2734" s="2">
        <v>110.88</v>
      </c>
      <c r="J2734" s="2">
        <v>4.37</v>
      </c>
      <c r="K2734" s="2">
        <v>4.78</v>
      </c>
      <c r="L2734" s="2">
        <v>6.58</v>
      </c>
      <c r="M2734" s="4">
        <f t="shared" si="252"/>
        <v>23.19665271966527</v>
      </c>
      <c r="N2734" s="4">
        <f t="shared" si="253"/>
        <v>16.851063829787233</v>
      </c>
      <c r="O2734" s="5">
        <f t="shared" si="254"/>
        <v>9.3821510297482869E-2</v>
      </c>
      <c r="P2734" s="5">
        <f t="shared" si="255"/>
        <v>0.37656903765690375</v>
      </c>
      <c r="Q2734" s="4">
        <f t="shared" si="256"/>
        <v>2.4724237167057854</v>
      </c>
      <c r="R2734" s="4">
        <f t="shared" si="257"/>
        <v>0.44748936170212766</v>
      </c>
      <c r="S2734" s="4">
        <v>-6.1</v>
      </c>
      <c r="T2734" s="2">
        <v>1.53</v>
      </c>
      <c r="U2734" s="2">
        <v>125.65</v>
      </c>
      <c r="V2734" s="2">
        <v>73.75</v>
      </c>
      <c r="W2734" s="2">
        <v>-6.73</v>
      </c>
      <c r="X2734" s="2">
        <v>-9.35</v>
      </c>
      <c r="Y2734" s="2">
        <v>6.24</v>
      </c>
      <c r="Z2734" s="2">
        <v>7.29</v>
      </c>
    </row>
    <row r="2735" spans="1:26" x14ac:dyDescent="0.25">
      <c r="A2735" s="1" t="s">
        <v>10926</v>
      </c>
      <c r="B2735" s="1" t="s">
        <v>10927</v>
      </c>
      <c r="C2735" s="1" t="s">
        <v>16</v>
      </c>
      <c r="D2735" s="1" t="s">
        <v>38</v>
      </c>
      <c r="E2735" s="1" t="s">
        <v>52</v>
      </c>
      <c r="F2735" s="1" t="s">
        <v>10928</v>
      </c>
      <c r="G2735" s="1" t="s">
        <v>12480</v>
      </c>
      <c r="H2735" s="1" t="s">
        <v>8821</v>
      </c>
      <c r="I2735" s="2">
        <v>58.38</v>
      </c>
      <c r="J2735" s="2">
        <v>1.1399999999999999</v>
      </c>
      <c r="K2735" s="2">
        <v>1.77</v>
      </c>
      <c r="L2735" s="2">
        <v>3.2</v>
      </c>
      <c r="M2735" s="4">
        <f t="shared" si="252"/>
        <v>32.983050847457626</v>
      </c>
      <c r="N2735" s="4">
        <f t="shared" si="253"/>
        <v>18.243749999999999</v>
      </c>
      <c r="O2735" s="5">
        <f t="shared" si="254"/>
        <v>0.55263157894736858</v>
      </c>
      <c r="P2735" s="5">
        <f t="shared" si="255"/>
        <v>0.80790960451977401</v>
      </c>
      <c r="Q2735" s="4">
        <f t="shared" si="256"/>
        <v>0.59683615819209024</v>
      </c>
      <c r="R2735" s="4">
        <f t="shared" si="257"/>
        <v>0.22581424825174826</v>
      </c>
      <c r="S2735" s="4" t="s">
        <v>12870</v>
      </c>
      <c r="T2735" s="2">
        <v>1.5</v>
      </c>
      <c r="U2735" s="2">
        <v>70.73</v>
      </c>
      <c r="V2735" s="2">
        <v>46.72</v>
      </c>
      <c r="W2735" s="2">
        <v>1.81</v>
      </c>
      <c r="X2735" s="2">
        <v>-16.05</v>
      </c>
      <c r="Y2735" s="2">
        <v>-6.23</v>
      </c>
      <c r="Z2735" s="2">
        <v>-6.79</v>
      </c>
    </row>
    <row r="2736" spans="1:26" x14ac:dyDescent="0.25">
      <c r="A2736" s="1" t="s">
        <v>10929</v>
      </c>
      <c r="B2736" s="1" t="s">
        <v>10930</v>
      </c>
      <c r="C2736" s="1" t="s">
        <v>16</v>
      </c>
      <c r="D2736" s="1" t="s">
        <v>88</v>
      </c>
      <c r="E2736" s="1" t="s">
        <v>89</v>
      </c>
      <c r="F2736" s="1" t="s">
        <v>10931</v>
      </c>
      <c r="G2736" s="1" t="s">
        <v>12480</v>
      </c>
      <c r="H2736" s="1" t="s">
        <v>10932</v>
      </c>
      <c r="I2736" s="2">
        <v>38.97</v>
      </c>
      <c r="J2736" s="2">
        <v>1.01</v>
      </c>
      <c r="K2736" s="2">
        <v>1.4</v>
      </c>
      <c r="L2736" s="2">
        <v>1.51</v>
      </c>
      <c r="M2736" s="4">
        <f t="shared" si="252"/>
        <v>27.835714285714285</v>
      </c>
      <c r="N2736" s="4">
        <f t="shared" si="253"/>
        <v>25.807947019867548</v>
      </c>
      <c r="O2736" s="5">
        <f t="shared" si="254"/>
        <v>0.38613861386138604</v>
      </c>
      <c r="P2736" s="5">
        <f t="shared" si="255"/>
        <v>7.8571428571428736E-2</v>
      </c>
      <c r="Q2736" s="4">
        <f t="shared" si="256"/>
        <v>0.72087362637362662</v>
      </c>
      <c r="R2736" s="4">
        <f t="shared" si="257"/>
        <v>3.2846478025285903</v>
      </c>
      <c r="S2736" s="4">
        <v>44.5</v>
      </c>
      <c r="T2736" s="2">
        <v>-0.28000000000000003</v>
      </c>
      <c r="U2736" s="2">
        <v>41.36</v>
      </c>
      <c r="V2736" s="2">
        <v>17.41</v>
      </c>
      <c r="W2736" s="2">
        <v>-5.25</v>
      </c>
      <c r="X2736" s="2">
        <v>9.19</v>
      </c>
      <c r="Y2736" s="2">
        <v>14.65</v>
      </c>
      <c r="Z2736" s="2">
        <v>17.309999999999999</v>
      </c>
    </row>
    <row r="2737" spans="1:26" x14ac:dyDescent="0.25">
      <c r="A2737" s="1" t="s">
        <v>10933</v>
      </c>
      <c r="B2737" s="1" t="s">
        <v>10934</v>
      </c>
      <c r="C2737" s="1" t="s">
        <v>45</v>
      </c>
      <c r="D2737" s="1" t="s">
        <v>38</v>
      </c>
      <c r="E2737" s="1" t="s">
        <v>1449</v>
      </c>
      <c r="F2737" s="1" t="s">
        <v>10935</v>
      </c>
      <c r="G2737" s="1" t="s">
        <v>12485</v>
      </c>
      <c r="H2737" s="1" t="s">
        <v>10936</v>
      </c>
      <c r="I2737" s="2">
        <v>13.87</v>
      </c>
      <c r="J2737" s="2">
        <v>0.32</v>
      </c>
      <c r="K2737" s="2">
        <v>0.33</v>
      </c>
      <c r="L2737" s="2">
        <v>0.36</v>
      </c>
      <c r="M2737" s="4">
        <f t="shared" si="252"/>
        <v>42.030303030303024</v>
      </c>
      <c r="N2737" s="4">
        <f t="shared" si="253"/>
        <v>38.527777777777779</v>
      </c>
      <c r="O2737" s="5">
        <f t="shared" si="254"/>
        <v>3.125E-2</v>
      </c>
      <c r="P2737" s="5">
        <f t="shared" si="255"/>
        <v>9.0909090909090828E-2</v>
      </c>
      <c r="Q2737" s="4">
        <f t="shared" si="256"/>
        <v>13.449696969696967</v>
      </c>
      <c r="R2737" s="4">
        <f t="shared" si="257"/>
        <v>4.238055555555559</v>
      </c>
      <c r="S2737" s="4">
        <v>4.37</v>
      </c>
      <c r="T2737" s="2">
        <v>0.72</v>
      </c>
      <c r="U2737" s="2">
        <v>15.33</v>
      </c>
      <c r="V2737" s="2">
        <v>11.62</v>
      </c>
      <c r="W2737" s="2">
        <v>-3.21</v>
      </c>
      <c r="X2737" s="2">
        <v>-7.35</v>
      </c>
      <c r="Y2737" s="2">
        <v>-0.56999999999999995</v>
      </c>
      <c r="Z2737" s="2">
        <v>3.66</v>
      </c>
    </row>
    <row r="2738" spans="1:26" x14ac:dyDescent="0.25">
      <c r="A2738" s="1" t="s">
        <v>10937</v>
      </c>
      <c r="B2738" s="1" t="s">
        <v>10938</v>
      </c>
      <c r="C2738" s="1" t="s">
        <v>16</v>
      </c>
      <c r="D2738" s="1" t="s">
        <v>18</v>
      </c>
      <c r="E2738" s="1" t="s">
        <v>594</v>
      </c>
      <c r="F2738" s="1" t="s">
        <v>10939</v>
      </c>
      <c r="G2738" s="1" t="s">
        <v>12480</v>
      </c>
      <c r="H2738" s="1" t="s">
        <v>1284</v>
      </c>
      <c r="I2738" s="2">
        <v>113.61</v>
      </c>
      <c r="J2738" s="2">
        <v>6.98</v>
      </c>
      <c r="K2738" s="2">
        <v>6.79</v>
      </c>
      <c r="L2738" s="2">
        <v>9.91</v>
      </c>
      <c r="M2738" s="4">
        <f t="shared" si="252"/>
        <v>16.731958762886599</v>
      </c>
      <c r="N2738" s="4">
        <f t="shared" si="253"/>
        <v>11.464177598385469</v>
      </c>
      <c r="O2738" s="5">
        <f t="shared" si="254"/>
        <v>-2.7220630372492893E-2</v>
      </c>
      <c r="P2738" s="5">
        <f t="shared" si="255"/>
        <v>0.45949926362297489</v>
      </c>
      <c r="Q2738" s="4">
        <f t="shared" si="256"/>
        <v>-6.1467932718393801</v>
      </c>
      <c r="R2738" s="4">
        <f t="shared" si="257"/>
        <v>0.24949283940076072</v>
      </c>
      <c r="S2738" s="4">
        <v>-34.61</v>
      </c>
      <c r="T2738" s="2">
        <v>0.87</v>
      </c>
      <c r="U2738" s="2">
        <v>141.56</v>
      </c>
      <c r="V2738" s="2">
        <v>100.34</v>
      </c>
      <c r="W2738" s="2">
        <v>-7.58</v>
      </c>
      <c r="X2738" s="2">
        <v>6.97</v>
      </c>
      <c r="Y2738" s="2">
        <v>-10.35</v>
      </c>
      <c r="Z2738" s="2">
        <v>-6.91</v>
      </c>
    </row>
    <row r="2739" spans="1:26" x14ac:dyDescent="0.25">
      <c r="A2739" s="1" t="s">
        <v>10940</v>
      </c>
      <c r="B2739" s="1" t="s">
        <v>10941</v>
      </c>
      <c r="C2739" s="1" t="s">
        <v>1118</v>
      </c>
      <c r="D2739" s="1" t="s">
        <v>88</v>
      </c>
      <c r="E2739" s="1" t="s">
        <v>658</v>
      </c>
      <c r="F2739" s="1" t="s">
        <v>10942</v>
      </c>
      <c r="G2739" s="1" t="s">
        <v>12480</v>
      </c>
      <c r="H2739" s="1" t="s">
        <v>10943</v>
      </c>
      <c r="I2739" s="2">
        <v>7.19</v>
      </c>
      <c r="J2739" s="2">
        <v>0.05</v>
      </c>
      <c r="K2739" s="2">
        <v>0.33</v>
      </c>
      <c r="L2739" s="2">
        <v>0.89</v>
      </c>
      <c r="M2739" s="4">
        <f t="shared" si="252"/>
        <v>21.787878787878789</v>
      </c>
      <c r="N2739" s="4">
        <f t="shared" si="253"/>
        <v>8.0786516853932593</v>
      </c>
      <c r="O2739" s="5">
        <f t="shared" si="254"/>
        <v>5.6</v>
      </c>
      <c r="P2739" s="5">
        <f t="shared" si="255"/>
        <v>1.6969696969696968</v>
      </c>
      <c r="Q2739" s="4">
        <f t="shared" si="256"/>
        <v>3.8906926406926411E-2</v>
      </c>
      <c r="R2739" s="4">
        <f t="shared" si="257"/>
        <v>4.7606340288924569E-2</v>
      </c>
      <c r="S2739" s="4">
        <v>10.8</v>
      </c>
      <c r="T2739" s="2">
        <v>1.18</v>
      </c>
      <c r="U2739" s="2">
        <v>8.8800000000000008</v>
      </c>
      <c r="V2739" s="2">
        <v>1.7</v>
      </c>
      <c r="W2739" s="2">
        <v>-17.920000000000002</v>
      </c>
      <c r="X2739" s="2">
        <v>-12.74</v>
      </c>
      <c r="Y2739" s="2">
        <v>32.9</v>
      </c>
      <c r="Z2739" s="2">
        <v>27.03</v>
      </c>
    </row>
    <row r="2740" spans="1:26" x14ac:dyDescent="0.25">
      <c r="A2740" s="1" t="s">
        <v>10944</v>
      </c>
      <c r="B2740" s="1" t="s">
        <v>10945</v>
      </c>
      <c r="C2740" s="1" t="s">
        <v>16</v>
      </c>
      <c r="D2740" s="1" t="s">
        <v>67</v>
      </c>
      <c r="E2740" s="1" t="s">
        <v>1801</v>
      </c>
      <c r="F2740" s="1" t="s">
        <v>10946</v>
      </c>
      <c r="G2740" s="1" t="s">
        <v>12480</v>
      </c>
      <c r="H2740" s="1" t="s">
        <v>7459</v>
      </c>
      <c r="I2740" s="2">
        <v>42.45</v>
      </c>
      <c r="J2740" s="2">
        <v>3.58</v>
      </c>
      <c r="K2740" s="2">
        <v>3.6</v>
      </c>
      <c r="L2740" s="2">
        <v>4.09</v>
      </c>
      <c r="M2740" s="4">
        <f t="shared" si="252"/>
        <v>11.791666666666668</v>
      </c>
      <c r="N2740" s="4">
        <f t="shared" si="253"/>
        <v>10.378973105134476</v>
      </c>
      <c r="O2740" s="5">
        <f t="shared" si="254"/>
        <v>5.5865921787709993E-3</v>
      </c>
      <c r="P2740" s="5">
        <f t="shared" si="255"/>
        <v>0.13611111111111107</v>
      </c>
      <c r="Q2740" s="4">
        <f t="shared" si="256"/>
        <v>21.107083333333147</v>
      </c>
      <c r="R2740" s="4">
        <f t="shared" si="257"/>
        <v>0.76253679956090048</v>
      </c>
      <c r="S2740" s="4">
        <v>10.5</v>
      </c>
      <c r="T2740" s="2">
        <v>1.72</v>
      </c>
      <c r="U2740" s="2">
        <v>88.42</v>
      </c>
      <c r="V2740" s="2">
        <v>41.6</v>
      </c>
      <c r="W2740" s="2">
        <v>-5.94</v>
      </c>
      <c r="X2740" s="2">
        <v>-18.32</v>
      </c>
      <c r="Y2740" s="2">
        <v>-20.309999999999999</v>
      </c>
      <c r="Z2740" s="2">
        <v>-15.64</v>
      </c>
    </row>
    <row r="2741" spans="1:26" x14ac:dyDescent="0.25">
      <c r="A2741" s="1" t="s">
        <v>10947</v>
      </c>
      <c r="B2741" s="1" t="s">
        <v>10948</v>
      </c>
      <c r="C2741" s="1" t="s">
        <v>16</v>
      </c>
      <c r="D2741" s="1" t="s">
        <v>147</v>
      </c>
      <c r="E2741" s="1" t="s">
        <v>1695</v>
      </c>
      <c r="F2741" s="1" t="s">
        <v>10949</v>
      </c>
      <c r="G2741" s="1" t="s">
        <v>12480</v>
      </c>
      <c r="H2741" s="1" t="s">
        <v>10950</v>
      </c>
      <c r="I2741" s="2">
        <v>20.91</v>
      </c>
      <c r="J2741" s="2">
        <v>1.63</v>
      </c>
      <c r="K2741" s="2">
        <v>2.99</v>
      </c>
      <c r="L2741" s="2">
        <v>1.28</v>
      </c>
      <c r="M2741" s="4">
        <f t="shared" si="252"/>
        <v>6.9933110367892972</v>
      </c>
      <c r="N2741" s="4">
        <f t="shared" si="253"/>
        <v>16.3359375</v>
      </c>
      <c r="O2741" s="5">
        <f t="shared" si="254"/>
        <v>0.83435582822085919</v>
      </c>
      <c r="P2741" s="5">
        <f t="shared" si="255"/>
        <v>-0.57190635451505023</v>
      </c>
      <c r="Q2741" s="4">
        <f t="shared" si="256"/>
        <v>8.3816889632106983E-2</v>
      </c>
      <c r="R2741" s="4">
        <f t="shared" si="257"/>
        <v>-0.28564007675438591</v>
      </c>
      <c r="S2741" s="4">
        <v>-12.57</v>
      </c>
      <c r="T2741" s="2">
        <v>0.12</v>
      </c>
      <c r="U2741" s="2">
        <v>21.28</v>
      </c>
      <c r="V2741" s="2">
        <v>15.04</v>
      </c>
      <c r="W2741" s="2">
        <v>0.24</v>
      </c>
      <c r="X2741" s="2">
        <v>0.82</v>
      </c>
      <c r="Y2741" s="2">
        <v>6.79</v>
      </c>
      <c r="Z2741" s="2">
        <v>7.73</v>
      </c>
    </row>
    <row r="2742" spans="1:26" x14ac:dyDescent="0.25">
      <c r="A2742" s="1" t="s">
        <v>10951</v>
      </c>
      <c r="B2742" s="1" t="s">
        <v>10952</v>
      </c>
      <c r="C2742" s="1" t="s">
        <v>31</v>
      </c>
      <c r="D2742" s="1" t="s">
        <v>38</v>
      </c>
      <c r="E2742" s="1" t="s">
        <v>52</v>
      </c>
      <c r="F2742" s="1" t="s">
        <v>10953</v>
      </c>
      <c r="G2742" s="1" t="s">
        <v>12490</v>
      </c>
      <c r="H2742" s="1" t="s">
        <v>10954</v>
      </c>
      <c r="I2742" s="2">
        <v>10.02</v>
      </c>
      <c r="J2742" s="2">
        <v>1.64</v>
      </c>
      <c r="K2742" s="2"/>
      <c r="L2742" s="2"/>
      <c r="M2742" s="4" t="e">
        <f t="shared" si="252"/>
        <v>#DIV/0!</v>
      </c>
      <c r="N2742" s="4" t="e">
        <f t="shared" si="253"/>
        <v>#DIV/0!</v>
      </c>
      <c r="O2742" s="5">
        <f t="shared" si="254"/>
        <v>-1</v>
      </c>
      <c r="P2742" s="5" t="e">
        <f t="shared" si="255"/>
        <v>#DIV/0!</v>
      </c>
      <c r="Q2742" s="4" t="e">
        <f t="shared" si="256"/>
        <v>#DIV/0!</v>
      </c>
      <c r="R2742" s="4" t="e">
        <f t="shared" si="257"/>
        <v>#DIV/0!</v>
      </c>
      <c r="S2742" s="4"/>
      <c r="T2742" s="2">
        <v>0.2</v>
      </c>
      <c r="U2742" s="2">
        <v>15.17</v>
      </c>
      <c r="V2742" s="2">
        <v>9.92</v>
      </c>
      <c r="W2742" s="2">
        <v>-9.32</v>
      </c>
      <c r="X2742" s="2">
        <v>-12.87</v>
      </c>
      <c r="Y2742" s="2">
        <v>-4.66</v>
      </c>
      <c r="Z2742" s="2">
        <v>-7.99</v>
      </c>
    </row>
    <row r="2743" spans="1:26" x14ac:dyDescent="0.25">
      <c r="A2743" s="1" t="s">
        <v>10955</v>
      </c>
      <c r="B2743" s="1" t="s">
        <v>10956</v>
      </c>
      <c r="C2743" s="1" t="s">
        <v>16</v>
      </c>
      <c r="D2743" s="1" t="s">
        <v>94</v>
      </c>
      <c r="E2743" s="1" t="s">
        <v>4079</v>
      </c>
      <c r="F2743" s="1" t="s">
        <v>10957</v>
      </c>
      <c r="G2743" s="1" t="s">
        <v>12480</v>
      </c>
      <c r="H2743" s="1" t="s">
        <v>10958</v>
      </c>
      <c r="I2743" s="2">
        <v>29.21</v>
      </c>
      <c r="J2743" s="2">
        <v>2.44</v>
      </c>
      <c r="K2743" s="2">
        <v>2.2799999999999998</v>
      </c>
      <c r="L2743" s="2">
        <v>2.0299999999999998</v>
      </c>
      <c r="M2743" s="4">
        <f t="shared" si="252"/>
        <v>12.811403508771932</v>
      </c>
      <c r="N2743" s="4">
        <f t="shared" si="253"/>
        <v>14.389162561576356</v>
      </c>
      <c r="O2743" s="5">
        <f t="shared" si="254"/>
        <v>-6.5573770491803351E-2</v>
      </c>
      <c r="P2743" s="5">
        <f t="shared" si="255"/>
        <v>-0.10964912280701755</v>
      </c>
      <c r="Q2743" s="4">
        <f t="shared" si="256"/>
        <v>-1.9537390350877173</v>
      </c>
      <c r="R2743" s="4">
        <f t="shared" si="257"/>
        <v>-1.3122916256157635</v>
      </c>
      <c r="S2743" s="4">
        <v>-22.45</v>
      </c>
      <c r="T2743" s="2">
        <v>0.84</v>
      </c>
      <c r="U2743" s="2">
        <v>33.5</v>
      </c>
      <c r="V2743" s="2">
        <v>20.12</v>
      </c>
      <c r="W2743" s="2">
        <v>-1.72</v>
      </c>
      <c r="X2743" s="2">
        <v>-2.34</v>
      </c>
      <c r="Y2743" s="2">
        <v>-7.83</v>
      </c>
      <c r="Z2743" s="2">
        <v>-6.05</v>
      </c>
    </row>
    <row r="2744" spans="1:26" x14ac:dyDescent="0.25">
      <c r="A2744" s="1" t="s">
        <v>10959</v>
      </c>
      <c r="B2744" s="1" t="s">
        <v>10960</v>
      </c>
      <c r="C2744" s="1" t="s">
        <v>16</v>
      </c>
      <c r="D2744" s="1" t="s">
        <v>67</v>
      </c>
      <c r="E2744" s="1" t="s">
        <v>2094</v>
      </c>
      <c r="F2744" s="1" t="s">
        <v>10961</v>
      </c>
      <c r="G2744" s="1" t="s">
        <v>12493</v>
      </c>
      <c r="H2744" s="1" t="s">
        <v>10962</v>
      </c>
      <c r="I2744" s="2">
        <v>120.14</v>
      </c>
      <c r="J2744" s="2">
        <v>7.57</v>
      </c>
      <c r="K2744" s="2">
        <v>7.96</v>
      </c>
      <c r="L2744" s="2">
        <v>8.5399999999999991</v>
      </c>
      <c r="M2744" s="4">
        <f t="shared" si="252"/>
        <v>15.092964824120603</v>
      </c>
      <c r="N2744" s="4">
        <f t="shared" si="253"/>
        <v>14.067915690866512</v>
      </c>
      <c r="O2744" s="5">
        <f t="shared" si="254"/>
        <v>5.1519154557463587E-2</v>
      </c>
      <c r="P2744" s="5">
        <f t="shared" si="255"/>
        <v>7.2864321608040017E-2</v>
      </c>
      <c r="Q2744" s="4">
        <f t="shared" si="256"/>
        <v>2.9295831722716192</v>
      </c>
      <c r="R2744" s="4">
        <f t="shared" si="257"/>
        <v>1.9307001534361676</v>
      </c>
      <c r="S2744" s="4">
        <v>-1.68</v>
      </c>
      <c r="T2744" s="2">
        <v>1.1200000000000001</v>
      </c>
      <c r="U2744" s="2">
        <v>120.8</v>
      </c>
      <c r="V2744" s="2">
        <v>83.68</v>
      </c>
      <c r="W2744" s="2">
        <v>6.16</v>
      </c>
      <c r="X2744" s="2" t="s">
        <v>12513</v>
      </c>
      <c r="Y2744" s="2">
        <v>23.15</v>
      </c>
      <c r="Z2744" s="2">
        <v>22.91</v>
      </c>
    </row>
    <row r="2745" spans="1:26" x14ac:dyDescent="0.25">
      <c r="A2745" s="1" t="s">
        <v>10963</v>
      </c>
      <c r="B2745" s="1" t="s">
        <v>10964</v>
      </c>
      <c r="C2745" s="1" t="s">
        <v>45</v>
      </c>
      <c r="D2745" s="1" t="s">
        <v>18</v>
      </c>
      <c r="E2745" s="1" t="s">
        <v>74</v>
      </c>
      <c r="F2745" s="1" t="s">
        <v>10965</v>
      </c>
      <c r="G2745" s="1" t="s">
        <v>12480</v>
      </c>
      <c r="H2745" s="1" t="s">
        <v>10966</v>
      </c>
      <c r="I2745" s="2">
        <v>29.19</v>
      </c>
      <c r="J2745" s="2">
        <v>2.77</v>
      </c>
      <c r="K2745" s="2">
        <v>1.4</v>
      </c>
      <c r="L2745" s="2">
        <v>2.54</v>
      </c>
      <c r="M2745" s="4">
        <f t="shared" si="252"/>
        <v>20.85</v>
      </c>
      <c r="N2745" s="4">
        <f t="shared" si="253"/>
        <v>11.492125984251969</v>
      </c>
      <c r="O2745" s="5">
        <f t="shared" si="254"/>
        <v>-0.49458483754512639</v>
      </c>
      <c r="P2745" s="5">
        <f t="shared" si="255"/>
        <v>0.8142857142857145</v>
      </c>
      <c r="Q2745" s="4">
        <f t="shared" si="256"/>
        <v>-0.42156569343065692</v>
      </c>
      <c r="R2745" s="4">
        <f t="shared" si="257"/>
        <v>0.14113137173642765</v>
      </c>
      <c r="S2745" s="4">
        <v>87.32</v>
      </c>
      <c r="T2745" s="2">
        <v>1.87</v>
      </c>
      <c r="U2745" s="2">
        <v>45.51</v>
      </c>
      <c r="V2745" s="2">
        <v>26.39</v>
      </c>
      <c r="W2745" s="2">
        <v>-0.71</v>
      </c>
      <c r="X2745" s="2">
        <v>-1.32</v>
      </c>
      <c r="Y2745" s="2">
        <v>-7.07</v>
      </c>
      <c r="Z2745" s="2">
        <v>-2.08</v>
      </c>
    </row>
    <row r="2746" spans="1:26" x14ac:dyDescent="0.25">
      <c r="A2746" s="1" t="s">
        <v>10967</v>
      </c>
      <c r="B2746" s="1" t="s">
        <v>10968</v>
      </c>
      <c r="C2746" s="1" t="s">
        <v>16</v>
      </c>
      <c r="D2746" s="1" t="s">
        <v>18</v>
      </c>
      <c r="E2746" s="1" t="s">
        <v>199</v>
      </c>
      <c r="F2746" s="1" t="s">
        <v>10969</v>
      </c>
      <c r="G2746" s="1" t="s">
        <v>12480</v>
      </c>
      <c r="H2746" s="1" t="s">
        <v>2581</v>
      </c>
      <c r="I2746" s="2">
        <v>240.59</v>
      </c>
      <c r="J2746" s="2">
        <v>16.78</v>
      </c>
      <c r="K2746" s="2">
        <v>16.899999999999999</v>
      </c>
      <c r="L2746" s="2">
        <v>17.32</v>
      </c>
      <c r="M2746" s="4">
        <f t="shared" si="252"/>
        <v>14.236094674556215</v>
      </c>
      <c r="N2746" s="4">
        <f t="shared" si="253"/>
        <v>13.890877598152425</v>
      </c>
      <c r="O2746" s="5">
        <f t="shared" si="254"/>
        <v>7.1513706793799869E-3</v>
      </c>
      <c r="P2746" s="5">
        <f t="shared" si="255"/>
        <v>2.4852071005917242E-2</v>
      </c>
      <c r="Q2746" s="4">
        <f t="shared" si="256"/>
        <v>19.906805719921742</v>
      </c>
      <c r="R2746" s="4">
        <f t="shared" si="257"/>
        <v>5.5894245573517907</v>
      </c>
      <c r="S2746" s="4">
        <v>3.12</v>
      </c>
      <c r="T2746" s="2">
        <v>1.39</v>
      </c>
      <c r="U2746" s="2">
        <v>244.8</v>
      </c>
      <c r="V2746" s="2">
        <v>110.41</v>
      </c>
      <c r="W2746" s="2">
        <v>2.33</v>
      </c>
      <c r="X2746" s="2">
        <v>24.68</v>
      </c>
      <c r="Y2746" s="2">
        <v>21.93</v>
      </c>
      <c r="Z2746" s="2">
        <v>21.07</v>
      </c>
    </row>
    <row r="2747" spans="1:26" x14ac:dyDescent="0.25">
      <c r="A2747" s="1" t="s">
        <v>10970</v>
      </c>
      <c r="B2747" s="1" t="s">
        <v>10971</v>
      </c>
      <c r="C2747" s="1" t="s">
        <v>16</v>
      </c>
      <c r="D2747" s="1" t="s">
        <v>38</v>
      </c>
      <c r="E2747" s="1" t="s">
        <v>194</v>
      </c>
      <c r="F2747" s="1" t="s">
        <v>10972</v>
      </c>
      <c r="G2747" s="1" t="s">
        <v>12480</v>
      </c>
      <c r="H2747" s="1" t="s">
        <v>1246</v>
      </c>
      <c r="I2747" s="2">
        <v>174.43</v>
      </c>
      <c r="J2747" s="2">
        <v>19.09</v>
      </c>
      <c r="K2747" s="2">
        <v>16.850000000000001</v>
      </c>
      <c r="L2747" s="2">
        <v>17.82</v>
      </c>
      <c r="M2747" s="4">
        <f t="shared" si="252"/>
        <v>10.351928783382789</v>
      </c>
      <c r="N2747" s="4">
        <f t="shared" si="253"/>
        <v>9.7884399551066217</v>
      </c>
      <c r="O2747" s="5">
        <f t="shared" si="254"/>
        <v>-0.11733892090099518</v>
      </c>
      <c r="P2747" s="5">
        <f t="shared" si="255"/>
        <v>5.7566765578634937E-2</v>
      </c>
      <c r="Q2747" s="4">
        <f t="shared" si="256"/>
        <v>-0.88222464497668573</v>
      </c>
      <c r="R2747" s="4">
        <f t="shared" si="257"/>
        <v>1.7003630231293485</v>
      </c>
      <c r="S2747" s="4">
        <v>5.72</v>
      </c>
      <c r="T2747" s="2">
        <v>0.31</v>
      </c>
      <c r="U2747" s="2">
        <v>186.22</v>
      </c>
      <c r="V2747" s="2">
        <v>150.66</v>
      </c>
      <c r="W2747" s="2">
        <v>-3.99</v>
      </c>
      <c r="X2747" s="2">
        <v>1.67</v>
      </c>
      <c r="Y2747" s="2">
        <v>-6.33</v>
      </c>
      <c r="Z2747" s="2">
        <v>-4.5599999999999996</v>
      </c>
    </row>
    <row r="2748" spans="1:26" x14ac:dyDescent="0.25">
      <c r="A2748" s="1" t="s">
        <v>10973</v>
      </c>
      <c r="B2748" s="1" t="s">
        <v>10974</v>
      </c>
      <c r="C2748" s="1" t="s">
        <v>31</v>
      </c>
      <c r="D2748" s="1" t="s">
        <v>32</v>
      </c>
      <c r="E2748" s="1" t="s">
        <v>3580</v>
      </c>
      <c r="F2748" s="1" t="s">
        <v>10975</v>
      </c>
      <c r="G2748" s="1" t="s">
        <v>12480</v>
      </c>
      <c r="H2748" s="1" t="s">
        <v>10976</v>
      </c>
      <c r="I2748" s="2">
        <v>15.39</v>
      </c>
      <c r="J2748" s="2">
        <v>0.3</v>
      </c>
      <c r="K2748" s="2">
        <v>1.1200000000000001</v>
      </c>
      <c r="L2748" s="2">
        <v>1.35</v>
      </c>
      <c r="M2748" s="4">
        <f t="shared" si="252"/>
        <v>13.741071428571427</v>
      </c>
      <c r="N2748" s="4">
        <f t="shared" si="253"/>
        <v>11.4</v>
      </c>
      <c r="O2748" s="5">
        <f t="shared" si="254"/>
        <v>2.7333333333333338</v>
      </c>
      <c r="P2748" s="5">
        <f t="shared" si="255"/>
        <v>0.20535714285714279</v>
      </c>
      <c r="Q2748" s="4">
        <f t="shared" si="256"/>
        <v>5.0272212543553997E-2</v>
      </c>
      <c r="R2748" s="4">
        <f t="shared" si="257"/>
        <v>0.55513043478260893</v>
      </c>
      <c r="S2748" s="4">
        <v>-31.07</v>
      </c>
      <c r="T2748" s="2">
        <v>0.83</v>
      </c>
      <c r="U2748" s="2">
        <v>17.920000000000002</v>
      </c>
      <c r="V2748" s="2">
        <v>10.32</v>
      </c>
      <c r="W2748" s="2">
        <v>-12.16</v>
      </c>
      <c r="X2748" s="2">
        <v>-7.47</v>
      </c>
      <c r="Y2748" s="2">
        <v>16.68</v>
      </c>
      <c r="Z2748" s="2">
        <v>21.28</v>
      </c>
    </row>
    <row r="2749" spans="1:26" x14ac:dyDescent="0.25">
      <c r="A2749" s="1" t="s">
        <v>10977</v>
      </c>
      <c r="B2749" s="1" t="s">
        <v>10978</v>
      </c>
      <c r="C2749" s="1" t="s">
        <v>16</v>
      </c>
      <c r="D2749" s="1" t="s">
        <v>61</v>
      </c>
      <c r="E2749" s="1" t="s">
        <v>3275</v>
      </c>
      <c r="F2749" s="1" t="s">
        <v>10979</v>
      </c>
      <c r="G2749" s="1" t="s">
        <v>12496</v>
      </c>
      <c r="H2749" s="1" t="s">
        <v>10980</v>
      </c>
      <c r="I2749" s="2">
        <v>85.89</v>
      </c>
      <c r="J2749" s="2">
        <v>4.84</v>
      </c>
      <c r="K2749" s="2">
        <v>4.16</v>
      </c>
      <c r="L2749" s="2">
        <v>5.45</v>
      </c>
      <c r="M2749" s="4">
        <f t="shared" si="252"/>
        <v>20.646634615384613</v>
      </c>
      <c r="N2749" s="4">
        <f t="shared" si="253"/>
        <v>15.759633027522936</v>
      </c>
      <c r="O2749" s="5">
        <f t="shared" si="254"/>
        <v>-0.14049586776859502</v>
      </c>
      <c r="P2749" s="5">
        <f t="shared" si="255"/>
        <v>0.31009615384615374</v>
      </c>
      <c r="Q2749" s="4">
        <f t="shared" si="256"/>
        <v>-1.4695545814479638</v>
      </c>
      <c r="R2749" s="4">
        <f t="shared" si="257"/>
        <v>0.5082176232131429</v>
      </c>
      <c r="S2749" s="4">
        <v>-4.62</v>
      </c>
      <c r="T2749" s="2">
        <v>1.43</v>
      </c>
      <c r="U2749" s="2">
        <v>120.34</v>
      </c>
      <c r="V2749" s="2">
        <v>64.83</v>
      </c>
      <c r="W2749" s="2">
        <v>-10.24</v>
      </c>
      <c r="X2749" s="2">
        <v>-28.55</v>
      </c>
      <c r="Y2749" s="2">
        <v>-15.35</v>
      </c>
      <c r="Z2749" s="2">
        <v>-16.34</v>
      </c>
    </row>
    <row r="2750" spans="1:26" x14ac:dyDescent="0.25">
      <c r="A2750" s="1" t="s">
        <v>10981</v>
      </c>
      <c r="B2750" s="1" t="s">
        <v>10982</v>
      </c>
      <c r="C2750" s="1" t="s">
        <v>16</v>
      </c>
      <c r="D2750" s="1" t="s">
        <v>32</v>
      </c>
      <c r="E2750" s="1" t="s">
        <v>1844</v>
      </c>
      <c r="F2750" s="1" t="s">
        <v>10983</v>
      </c>
      <c r="G2750" s="1" t="s">
        <v>12490</v>
      </c>
      <c r="H2750" s="1" t="s">
        <v>10984</v>
      </c>
      <c r="I2750" s="2">
        <v>44.5</v>
      </c>
      <c r="J2750" s="2">
        <v>1.87</v>
      </c>
      <c r="K2750" s="2">
        <v>2.13</v>
      </c>
      <c r="L2750" s="2">
        <v>2.27</v>
      </c>
      <c r="M2750" s="4">
        <f t="shared" si="252"/>
        <v>20.892018779342724</v>
      </c>
      <c r="N2750" s="4">
        <f t="shared" si="253"/>
        <v>19.603524229074889</v>
      </c>
      <c r="O2750" s="5">
        <f t="shared" si="254"/>
        <v>0.1390374331550801</v>
      </c>
      <c r="P2750" s="5">
        <f t="shared" si="255"/>
        <v>6.5727699530516492E-2</v>
      </c>
      <c r="Q2750" s="4">
        <f t="shared" si="256"/>
        <v>1.5026182737450358</v>
      </c>
      <c r="R2750" s="4">
        <f t="shared" si="257"/>
        <v>2.9825361862806767</v>
      </c>
      <c r="S2750" s="4">
        <v>0.72</v>
      </c>
      <c r="T2750" s="2">
        <v>0.71</v>
      </c>
      <c r="U2750" s="2">
        <v>53.55</v>
      </c>
      <c r="V2750" s="2">
        <v>23.6</v>
      </c>
      <c r="W2750" s="2">
        <v>-9.18</v>
      </c>
      <c r="X2750" s="2">
        <v>-12.11</v>
      </c>
      <c r="Y2750" s="2">
        <v>12.57</v>
      </c>
      <c r="Z2750" s="2">
        <v>19.75</v>
      </c>
    </row>
    <row r="2751" spans="1:26" x14ac:dyDescent="0.25">
      <c r="A2751" s="1" t="s">
        <v>10985</v>
      </c>
      <c r="B2751" s="1" t="s">
        <v>10986</v>
      </c>
      <c r="C2751" s="1" t="s">
        <v>16</v>
      </c>
      <c r="D2751" s="1" t="s">
        <v>140</v>
      </c>
      <c r="E2751" s="1" t="s">
        <v>284</v>
      </c>
      <c r="F2751" s="1" t="s">
        <v>10987</v>
      </c>
      <c r="G2751" s="1" t="s">
        <v>12480</v>
      </c>
      <c r="H2751" s="1" t="s">
        <v>10988</v>
      </c>
      <c r="I2751" s="2">
        <v>8.8000000000000007</v>
      </c>
      <c r="J2751" s="2"/>
      <c r="K2751" s="2">
        <v>0.54</v>
      </c>
      <c r="L2751" s="2">
        <v>0.63</v>
      </c>
      <c r="M2751" s="4">
        <f t="shared" si="252"/>
        <v>16.296296296296298</v>
      </c>
      <c r="N2751" s="4">
        <f t="shared" si="253"/>
        <v>13.96825396825397</v>
      </c>
      <c r="O2751" s="5" t="e">
        <f t="shared" si="254"/>
        <v>#DIV/0!</v>
      </c>
      <c r="P2751" s="5">
        <f t="shared" si="255"/>
        <v>0.16666666666666652</v>
      </c>
      <c r="Q2751" s="4" t="e">
        <f t="shared" si="256"/>
        <v>#DIV/0!</v>
      </c>
      <c r="R2751" s="4">
        <f t="shared" si="257"/>
        <v>0.838095238095239</v>
      </c>
      <c r="S2751" s="4">
        <v>4.51</v>
      </c>
      <c r="T2751" s="2"/>
      <c r="U2751" s="2">
        <v>14.49</v>
      </c>
      <c r="V2751" s="2">
        <v>8.8000000000000007</v>
      </c>
      <c r="W2751" s="2">
        <v>-8.52</v>
      </c>
      <c r="X2751" s="2">
        <v>-14.98</v>
      </c>
      <c r="Y2751" s="2">
        <v>-15.06</v>
      </c>
      <c r="Z2751" s="2">
        <v>-12.96</v>
      </c>
    </row>
    <row r="2752" spans="1:26" x14ac:dyDescent="0.25">
      <c r="A2752" s="1" t="s">
        <v>10989</v>
      </c>
      <c r="B2752" s="1" t="s">
        <v>10990</v>
      </c>
      <c r="C2752" s="1" t="s">
        <v>45</v>
      </c>
      <c r="D2752" s="1" t="s">
        <v>32</v>
      </c>
      <c r="E2752" s="1" t="s">
        <v>829</v>
      </c>
      <c r="F2752" s="1" t="s">
        <v>12797</v>
      </c>
      <c r="G2752" s="1" t="s">
        <v>12480</v>
      </c>
      <c r="H2752" s="1" t="s">
        <v>10991</v>
      </c>
      <c r="I2752" s="2">
        <v>70.17</v>
      </c>
      <c r="J2752" s="2">
        <v>3.47</v>
      </c>
      <c r="K2752" s="2">
        <v>3.22</v>
      </c>
      <c r="L2752" s="2">
        <v>4.2</v>
      </c>
      <c r="M2752" s="4">
        <f t="shared" si="252"/>
        <v>21.79192546583851</v>
      </c>
      <c r="N2752" s="4">
        <f t="shared" si="253"/>
        <v>16.707142857142856</v>
      </c>
      <c r="O2752" s="5">
        <f t="shared" si="254"/>
        <v>-7.2046109510086498E-2</v>
      </c>
      <c r="P2752" s="5">
        <f t="shared" si="255"/>
        <v>0.30434782608695654</v>
      </c>
      <c r="Q2752" s="4">
        <f t="shared" si="256"/>
        <v>-3.0247192546583834</v>
      </c>
      <c r="R2752" s="4">
        <f t="shared" si="257"/>
        <v>0.54894897959183664</v>
      </c>
      <c r="S2752" s="4">
        <v>0.26</v>
      </c>
      <c r="T2752" s="2">
        <v>0.9</v>
      </c>
      <c r="U2752" s="2">
        <v>75.150000000000006</v>
      </c>
      <c r="V2752" s="2">
        <v>26.95</v>
      </c>
      <c r="W2752" s="2">
        <v>-6.63</v>
      </c>
      <c r="X2752" s="2">
        <v>2.77</v>
      </c>
      <c r="Y2752" s="2">
        <v>30.82</v>
      </c>
      <c r="Z2752" s="2">
        <v>26.57</v>
      </c>
    </row>
    <row r="2753" spans="1:26" x14ac:dyDescent="0.25">
      <c r="A2753" s="1" t="s">
        <v>10993</v>
      </c>
      <c r="B2753" s="1" t="s">
        <v>10994</v>
      </c>
      <c r="C2753" s="1" t="s">
        <v>45</v>
      </c>
      <c r="D2753" s="1" t="s">
        <v>38</v>
      </c>
      <c r="E2753" s="1" t="s">
        <v>1408</v>
      </c>
      <c r="F2753" s="1" t="s">
        <v>10995</v>
      </c>
      <c r="G2753" s="1" t="s">
        <v>12480</v>
      </c>
      <c r="H2753" s="1" t="s">
        <v>10996</v>
      </c>
      <c r="I2753" s="2">
        <v>7.31</v>
      </c>
      <c r="J2753" s="2">
        <v>0.42</v>
      </c>
      <c r="K2753" s="2">
        <v>0.91</v>
      </c>
      <c r="L2753" s="2"/>
      <c r="M2753" s="4">
        <f t="shared" si="252"/>
        <v>8.0329670329670328</v>
      </c>
      <c r="N2753" s="4" t="e">
        <f t="shared" si="253"/>
        <v>#DIV/0!</v>
      </c>
      <c r="O2753" s="5">
        <f t="shared" si="254"/>
        <v>1.166666666666667</v>
      </c>
      <c r="P2753" s="5">
        <f t="shared" si="255"/>
        <v>-1</v>
      </c>
      <c r="Q2753" s="4">
        <f t="shared" si="256"/>
        <v>6.8854003139717401E-2</v>
      </c>
      <c r="R2753" s="4" t="e">
        <f t="shared" si="257"/>
        <v>#DIV/0!</v>
      </c>
      <c r="S2753" s="4">
        <v>43.68</v>
      </c>
      <c r="T2753" s="2">
        <v>0.43</v>
      </c>
      <c r="U2753" s="2">
        <v>12.99</v>
      </c>
      <c r="V2753" s="2">
        <v>6.64</v>
      </c>
      <c r="W2753" s="2">
        <v>-6.4</v>
      </c>
      <c r="X2753" s="2">
        <v>-14.2</v>
      </c>
      <c r="Y2753" s="2">
        <v>-17.12</v>
      </c>
      <c r="Z2753" s="2">
        <v>-23.54</v>
      </c>
    </row>
    <row r="2754" spans="1:26" x14ac:dyDescent="0.25">
      <c r="A2754" s="1" t="s">
        <v>10997</v>
      </c>
      <c r="B2754" s="1" t="s">
        <v>10998</v>
      </c>
      <c r="C2754" s="1" t="s">
        <v>45</v>
      </c>
      <c r="D2754" s="1" t="s">
        <v>147</v>
      </c>
      <c r="E2754" s="1" t="s">
        <v>1902</v>
      </c>
      <c r="F2754" s="1" t="s">
        <v>10999</v>
      </c>
      <c r="G2754" s="1" t="s">
        <v>12480</v>
      </c>
      <c r="H2754" s="1" t="s">
        <v>11000</v>
      </c>
      <c r="I2754" s="2">
        <v>27.59</v>
      </c>
      <c r="J2754" s="2">
        <v>1.94</v>
      </c>
      <c r="K2754" s="2">
        <v>2.0499999999999998</v>
      </c>
      <c r="L2754" s="2">
        <v>2.2200000000000002</v>
      </c>
      <c r="M2754" s="4">
        <f t="shared" si="252"/>
        <v>13.458536585365854</v>
      </c>
      <c r="N2754" s="4">
        <f t="shared" si="253"/>
        <v>12.427927927927927</v>
      </c>
      <c r="O2754" s="5">
        <f t="shared" si="254"/>
        <v>5.6701030927835072E-2</v>
      </c>
      <c r="P2754" s="5">
        <f t="shared" si="255"/>
        <v>8.2926829268292979E-2</v>
      </c>
      <c r="Q2754" s="4">
        <f t="shared" si="256"/>
        <v>2.373596452328159</v>
      </c>
      <c r="R2754" s="4">
        <f t="shared" si="257"/>
        <v>1.4986618971913037</v>
      </c>
      <c r="S2754" s="4">
        <v>5.41</v>
      </c>
      <c r="T2754" s="2">
        <v>1.87</v>
      </c>
      <c r="U2754" s="2">
        <v>34.869999999999997</v>
      </c>
      <c r="V2754" s="2">
        <v>17.79</v>
      </c>
      <c r="W2754" s="2">
        <v>-9.18</v>
      </c>
      <c r="X2754" s="2">
        <v>-20.88</v>
      </c>
      <c r="Y2754" s="2">
        <v>-2.95</v>
      </c>
      <c r="Z2754" s="2">
        <v>-1.18</v>
      </c>
    </row>
    <row r="2755" spans="1:26" x14ac:dyDescent="0.25">
      <c r="A2755" s="1" t="s">
        <v>11001</v>
      </c>
      <c r="B2755" s="1" t="s">
        <v>11002</v>
      </c>
      <c r="C2755" s="1" t="s">
        <v>16</v>
      </c>
      <c r="D2755" s="1" t="s">
        <v>32</v>
      </c>
      <c r="E2755" s="1" t="s">
        <v>829</v>
      </c>
      <c r="F2755" s="1" t="s">
        <v>11003</v>
      </c>
      <c r="G2755" s="1" t="s">
        <v>12480</v>
      </c>
      <c r="H2755" s="1" t="s">
        <v>11004</v>
      </c>
      <c r="I2755" s="2" t="s">
        <v>12688</v>
      </c>
      <c r="J2755" s="2">
        <v>1.6</v>
      </c>
      <c r="K2755" s="2">
        <v>1.88</v>
      </c>
      <c r="L2755" s="2">
        <v>2.0699999999999998</v>
      </c>
      <c r="M2755" s="4">
        <f t="shared" ref="M2755:M2818" si="258">I2755/K2755</f>
        <v>13.829787234042554</v>
      </c>
      <c r="N2755" s="4">
        <f t="shared" ref="N2755:N2818" si="259">I2755/L2755</f>
        <v>12.560386473429952</v>
      </c>
      <c r="O2755" s="5">
        <f t="shared" ref="O2755:O2818" si="260">K2755/J2755-1</f>
        <v>0.17499999999999982</v>
      </c>
      <c r="P2755" s="5">
        <f t="shared" ref="P2755:P2818" si="261">L2755/K2755-1</f>
        <v>0.10106382978723394</v>
      </c>
      <c r="Q2755" s="4">
        <f t="shared" ref="Q2755:Q2818" si="262">M2755/(O2755*100)</f>
        <v>0.79027355623100393</v>
      </c>
      <c r="R2755" s="4">
        <f t="shared" ref="R2755:R2818" si="263">N2755/(P2755*100)</f>
        <v>1.2428171878972807</v>
      </c>
      <c r="S2755" s="4">
        <v>1.02</v>
      </c>
      <c r="T2755" s="2">
        <v>0.46</v>
      </c>
      <c r="U2755" s="2">
        <v>27.5</v>
      </c>
      <c r="V2755" s="2">
        <v>14.18</v>
      </c>
      <c r="W2755" s="2">
        <v>-1.89</v>
      </c>
      <c r="X2755" s="2">
        <v>2.77</v>
      </c>
      <c r="Y2755" s="2">
        <v>19.87</v>
      </c>
      <c r="Z2755" s="2">
        <v>33.68</v>
      </c>
    </row>
    <row r="2756" spans="1:26" x14ac:dyDescent="0.25">
      <c r="A2756" s="1" t="s">
        <v>11005</v>
      </c>
      <c r="B2756" s="1" t="s">
        <v>11006</v>
      </c>
      <c r="C2756" s="1" t="s">
        <v>31</v>
      </c>
      <c r="D2756" s="1" t="s">
        <v>147</v>
      </c>
      <c r="E2756" s="1" t="s">
        <v>1931</v>
      </c>
      <c r="F2756" s="1" t="s">
        <v>11007</v>
      </c>
      <c r="G2756" s="1" t="s">
        <v>12490</v>
      </c>
      <c r="H2756" s="1" t="s">
        <v>11008</v>
      </c>
      <c r="I2756" s="2">
        <v>10.3</v>
      </c>
      <c r="J2756" s="2">
        <v>-2.58</v>
      </c>
      <c r="K2756" s="2"/>
      <c r="L2756" s="2"/>
      <c r="M2756" s="4" t="e">
        <f t="shared" si="258"/>
        <v>#DIV/0!</v>
      </c>
      <c r="N2756" s="4" t="e">
        <f t="shared" si="259"/>
        <v>#DIV/0!</v>
      </c>
      <c r="O2756" s="5">
        <f t="shared" si="260"/>
        <v>-1</v>
      </c>
      <c r="P2756" s="5" t="e">
        <f t="shared" si="261"/>
        <v>#DIV/0!</v>
      </c>
      <c r="Q2756" s="4" t="e">
        <f t="shared" si="262"/>
        <v>#DIV/0!</v>
      </c>
      <c r="R2756" s="4" t="e">
        <f t="shared" si="263"/>
        <v>#DIV/0!</v>
      </c>
      <c r="S2756" s="4">
        <v>-7.71</v>
      </c>
      <c r="T2756" s="2">
        <v>0.06</v>
      </c>
      <c r="U2756" s="2">
        <v>11.43</v>
      </c>
      <c r="V2756" s="2">
        <v>7.19</v>
      </c>
      <c r="W2756" s="2" t="s">
        <v>12489</v>
      </c>
      <c r="X2756" s="2" t="s">
        <v>12489</v>
      </c>
      <c r="Y2756" s="2">
        <v>25.38</v>
      </c>
      <c r="Z2756" s="2">
        <v>22.6</v>
      </c>
    </row>
    <row r="2757" spans="1:26" x14ac:dyDescent="0.25">
      <c r="A2757" s="1" t="s">
        <v>11009</v>
      </c>
      <c r="B2757" s="1" t="s">
        <v>11010</v>
      </c>
      <c r="C2757" s="1" t="s">
        <v>16</v>
      </c>
      <c r="D2757" s="1" t="s">
        <v>38</v>
      </c>
      <c r="E2757" s="1" t="s">
        <v>259</v>
      </c>
      <c r="F2757" s="1" t="s">
        <v>11011</v>
      </c>
      <c r="G2757" s="1" t="s">
        <v>12480</v>
      </c>
      <c r="H2757" s="1" t="s">
        <v>11012</v>
      </c>
      <c r="I2757" s="2">
        <v>111.61</v>
      </c>
      <c r="J2757" s="2"/>
      <c r="K2757" s="2"/>
      <c r="L2757" s="2"/>
      <c r="M2757" s="4" t="e">
        <f t="shared" si="258"/>
        <v>#DIV/0!</v>
      </c>
      <c r="N2757" s="4" t="e">
        <f t="shared" si="259"/>
        <v>#DIV/0!</v>
      </c>
      <c r="O2757" s="5" t="e">
        <f t="shared" si="260"/>
        <v>#DIV/0!</v>
      </c>
      <c r="P2757" s="5" t="e">
        <f t="shared" si="261"/>
        <v>#DIV/0!</v>
      </c>
      <c r="Q2757" s="4" t="e">
        <f t="shared" si="262"/>
        <v>#DIV/0!</v>
      </c>
      <c r="R2757" s="4" t="e">
        <f t="shared" si="263"/>
        <v>#DIV/0!</v>
      </c>
      <c r="S2757" s="4"/>
      <c r="T2757" s="2">
        <v>0.28000000000000003</v>
      </c>
      <c r="U2757" s="2">
        <v>112.2</v>
      </c>
      <c r="V2757" s="2">
        <v>107.93</v>
      </c>
      <c r="W2757" s="2">
        <v>0.04</v>
      </c>
      <c r="X2757" s="2">
        <v>0.77</v>
      </c>
      <c r="Y2757" s="2">
        <v>1.33</v>
      </c>
      <c r="Z2757" s="2">
        <v>1.55</v>
      </c>
    </row>
    <row r="2758" spans="1:26" x14ac:dyDescent="0.25">
      <c r="A2758" s="1" t="s">
        <v>11013</v>
      </c>
      <c r="B2758" s="1" t="s">
        <v>11014</v>
      </c>
      <c r="C2758" s="1" t="s">
        <v>16</v>
      </c>
      <c r="D2758" s="1" t="s">
        <v>67</v>
      </c>
      <c r="E2758" s="1" t="s">
        <v>2094</v>
      </c>
      <c r="F2758" s="1" t="s">
        <v>11015</v>
      </c>
      <c r="G2758" s="1" t="s">
        <v>12493</v>
      </c>
      <c r="H2758" s="1" t="s">
        <v>11016</v>
      </c>
      <c r="I2758" s="2">
        <v>158.13999999999999</v>
      </c>
      <c r="J2758" s="2">
        <v>4.7300000000000004</v>
      </c>
      <c r="K2758" s="2">
        <v>5.07</v>
      </c>
      <c r="L2758" s="2">
        <v>5.56</v>
      </c>
      <c r="M2758" s="4">
        <f t="shared" si="258"/>
        <v>31.191321499013803</v>
      </c>
      <c r="N2758" s="4">
        <f t="shared" si="259"/>
        <v>28.442446043165468</v>
      </c>
      <c r="O2758" s="5">
        <f t="shared" si="260"/>
        <v>7.1881606765327621E-2</v>
      </c>
      <c r="P2758" s="5">
        <f t="shared" si="261"/>
        <v>9.6646942800788782E-2</v>
      </c>
      <c r="Q2758" s="4">
        <f t="shared" si="262"/>
        <v>4.3392632555981008</v>
      </c>
      <c r="R2758" s="4">
        <f t="shared" si="263"/>
        <v>2.9429224783438608</v>
      </c>
      <c r="S2758" s="4">
        <v>7.12</v>
      </c>
      <c r="T2758" s="2">
        <v>0.73</v>
      </c>
      <c r="U2758" s="2">
        <v>161.72999999999999</v>
      </c>
      <c r="V2758" s="2">
        <v>112.81</v>
      </c>
      <c r="W2758" s="2">
        <v>-1.1299999999999999</v>
      </c>
      <c r="X2758" s="2">
        <v>1.22</v>
      </c>
      <c r="Y2758" s="2">
        <v>0.91</v>
      </c>
      <c r="Z2758" s="2">
        <v>2.95</v>
      </c>
    </row>
    <row r="2759" spans="1:26" x14ac:dyDescent="0.25">
      <c r="A2759" s="1" t="s">
        <v>11018</v>
      </c>
      <c r="B2759" s="1" t="s">
        <v>11019</v>
      </c>
      <c r="C2759" s="1" t="s">
        <v>16</v>
      </c>
      <c r="D2759" s="1" t="s">
        <v>94</v>
      </c>
      <c r="E2759" s="1" t="s">
        <v>1948</v>
      </c>
      <c r="F2759" s="1" t="s">
        <v>11020</v>
      </c>
      <c r="G2759" s="1" t="s">
        <v>12480</v>
      </c>
      <c r="H2759" s="1" t="s">
        <v>11021</v>
      </c>
      <c r="I2759" s="2">
        <v>12.55</v>
      </c>
      <c r="J2759" s="2">
        <v>1.1399999999999999</v>
      </c>
      <c r="K2759" s="2"/>
      <c r="L2759" s="2"/>
      <c r="M2759" s="4" t="e">
        <f t="shared" si="258"/>
        <v>#DIV/0!</v>
      </c>
      <c r="N2759" s="4" t="e">
        <f t="shared" si="259"/>
        <v>#DIV/0!</v>
      </c>
      <c r="O2759" s="5">
        <f t="shared" si="260"/>
        <v>-1</v>
      </c>
      <c r="P2759" s="5" t="e">
        <f t="shared" si="261"/>
        <v>#DIV/0!</v>
      </c>
      <c r="Q2759" s="4" t="e">
        <f t="shared" si="262"/>
        <v>#DIV/0!</v>
      </c>
      <c r="R2759" s="4" t="e">
        <f t="shared" si="263"/>
        <v>#DIV/0!</v>
      </c>
      <c r="S2759" s="4">
        <v>-22.19</v>
      </c>
      <c r="T2759" s="2">
        <v>0.13</v>
      </c>
      <c r="U2759" s="2">
        <v>12.95</v>
      </c>
      <c r="V2759" s="2">
        <v>5.85</v>
      </c>
      <c r="W2759" s="2">
        <v>-2.56</v>
      </c>
      <c r="X2759" s="2">
        <v>18.399999999999999</v>
      </c>
      <c r="Y2759" s="2">
        <v>35.380000000000003</v>
      </c>
      <c r="Z2759" s="2">
        <v>38.979999999999997</v>
      </c>
    </row>
    <row r="2760" spans="1:26" x14ac:dyDescent="0.25">
      <c r="A2760" s="1" t="s">
        <v>11022</v>
      </c>
      <c r="B2760" s="1" t="s">
        <v>11023</v>
      </c>
      <c r="C2760" s="1" t="s">
        <v>31</v>
      </c>
      <c r="D2760" s="1" t="s">
        <v>88</v>
      </c>
      <c r="E2760" s="1" t="s">
        <v>912</v>
      </c>
      <c r="F2760" s="1" t="s">
        <v>11024</v>
      </c>
      <c r="G2760" s="1" t="s">
        <v>12485</v>
      </c>
      <c r="H2760" s="1" t="s">
        <v>11025</v>
      </c>
      <c r="I2760" s="2">
        <v>10.48</v>
      </c>
      <c r="J2760" s="2">
        <v>0.83</v>
      </c>
      <c r="K2760" s="2">
        <v>0.33</v>
      </c>
      <c r="L2760" s="2">
        <v>1.76</v>
      </c>
      <c r="M2760" s="4">
        <f t="shared" si="258"/>
        <v>31.757575757575758</v>
      </c>
      <c r="N2760" s="4">
        <f t="shared" si="259"/>
        <v>5.954545454545455</v>
      </c>
      <c r="O2760" s="5">
        <f t="shared" si="260"/>
        <v>-0.60240963855421681</v>
      </c>
      <c r="P2760" s="5">
        <f t="shared" si="261"/>
        <v>4.333333333333333</v>
      </c>
      <c r="Q2760" s="4">
        <f t="shared" si="262"/>
        <v>-0.52717575757575763</v>
      </c>
      <c r="R2760" s="4">
        <f t="shared" si="263"/>
        <v>1.3741258741258743E-2</v>
      </c>
      <c r="S2760" s="4">
        <v>-4.47</v>
      </c>
      <c r="T2760" s="2" t="s">
        <v>12493</v>
      </c>
      <c r="U2760" s="2">
        <v>16.100000000000001</v>
      </c>
      <c r="V2760" s="2">
        <v>8.7799999999999994</v>
      </c>
      <c r="W2760" s="2">
        <v>-10.5</v>
      </c>
      <c r="X2760" s="2">
        <v>-25.67</v>
      </c>
      <c r="Y2760" s="2">
        <v>-3.59</v>
      </c>
      <c r="Z2760" s="2">
        <v>-2.96</v>
      </c>
    </row>
    <row r="2761" spans="1:26" x14ac:dyDescent="0.25">
      <c r="A2761" s="1" t="s">
        <v>11026</v>
      </c>
      <c r="B2761" s="1" t="s">
        <v>11027</v>
      </c>
      <c r="C2761" s="1" t="s">
        <v>16</v>
      </c>
      <c r="D2761" s="1" t="s">
        <v>32</v>
      </c>
      <c r="E2761" s="1" t="s">
        <v>829</v>
      </c>
      <c r="F2761" s="1" t="s">
        <v>11028</v>
      </c>
      <c r="G2761" s="1" t="s">
        <v>12480</v>
      </c>
      <c r="H2761" s="1" t="s">
        <v>12798</v>
      </c>
      <c r="I2761" s="2">
        <v>6.14</v>
      </c>
      <c r="J2761" s="2">
        <v>0.52</v>
      </c>
      <c r="K2761" s="2">
        <v>0.96</v>
      </c>
      <c r="L2761" s="2"/>
      <c r="M2761" s="4">
        <f t="shared" si="258"/>
        <v>6.395833333333333</v>
      </c>
      <c r="N2761" s="4" t="e">
        <f t="shared" si="259"/>
        <v>#DIV/0!</v>
      </c>
      <c r="O2761" s="5">
        <f t="shared" si="260"/>
        <v>0.84615384615384603</v>
      </c>
      <c r="P2761" s="5">
        <f t="shared" si="261"/>
        <v>-1</v>
      </c>
      <c r="Q2761" s="4">
        <f t="shared" si="262"/>
        <v>7.5587121212121217E-2</v>
      </c>
      <c r="R2761" s="4" t="e">
        <f t="shared" si="263"/>
        <v>#DIV/0!</v>
      </c>
      <c r="S2761" s="4">
        <v>20.62</v>
      </c>
      <c r="T2761" s="2">
        <v>0.96</v>
      </c>
      <c r="U2761" s="2">
        <v>7.58</v>
      </c>
      <c r="V2761" s="2">
        <v>5.43</v>
      </c>
      <c r="W2761" s="2">
        <v>-6.69</v>
      </c>
      <c r="X2761" s="2">
        <v>-8.08</v>
      </c>
      <c r="Y2761" s="2">
        <v>0.66</v>
      </c>
      <c r="Z2761" s="2">
        <v>12.25</v>
      </c>
    </row>
    <row r="2762" spans="1:26" x14ac:dyDescent="0.25">
      <c r="A2762" s="1" t="s">
        <v>11029</v>
      </c>
      <c r="B2762" s="1" t="s">
        <v>11030</v>
      </c>
      <c r="C2762" s="1" t="s">
        <v>16</v>
      </c>
      <c r="D2762" s="1" t="s">
        <v>147</v>
      </c>
      <c r="E2762" s="1" t="s">
        <v>2822</v>
      </c>
      <c r="F2762" s="1" t="s">
        <v>11031</v>
      </c>
      <c r="G2762" s="1" t="s">
        <v>12480</v>
      </c>
      <c r="H2762" s="1" t="s">
        <v>11032</v>
      </c>
      <c r="I2762" s="2">
        <v>204.07</v>
      </c>
      <c r="J2762" s="2">
        <v>2.29</v>
      </c>
      <c r="K2762" s="2">
        <v>4.54</v>
      </c>
      <c r="L2762" s="2">
        <v>6.18</v>
      </c>
      <c r="M2762" s="4">
        <f t="shared" si="258"/>
        <v>44.949339207048453</v>
      </c>
      <c r="N2762" s="4">
        <f t="shared" si="259"/>
        <v>33.021035598705502</v>
      </c>
      <c r="O2762" s="5">
        <f t="shared" si="260"/>
        <v>0.98253275109170302</v>
      </c>
      <c r="P2762" s="5">
        <f t="shared" si="261"/>
        <v>0.36123348017621137</v>
      </c>
      <c r="Q2762" s="4">
        <f t="shared" si="262"/>
        <v>0.45748438570729316</v>
      </c>
      <c r="R2762" s="4">
        <f t="shared" si="263"/>
        <v>0.91411891230562803</v>
      </c>
      <c r="S2762" s="4">
        <v>68.849999999999994</v>
      </c>
      <c r="T2762" s="2">
        <v>0.66</v>
      </c>
      <c r="U2762" s="2">
        <v>224.96</v>
      </c>
      <c r="V2762" s="2">
        <v>138.96</v>
      </c>
      <c r="W2762" s="2">
        <v>-9.2899999999999991</v>
      </c>
      <c r="X2762" s="2">
        <v>-2.54</v>
      </c>
      <c r="Y2762" s="2">
        <v>-1.63</v>
      </c>
      <c r="Z2762" s="2">
        <v>-2.36</v>
      </c>
    </row>
    <row r="2763" spans="1:26" x14ac:dyDescent="0.25">
      <c r="A2763" s="1" t="s">
        <v>11033</v>
      </c>
      <c r="B2763" s="1" t="s">
        <v>11034</v>
      </c>
      <c r="C2763" s="1" t="s">
        <v>31</v>
      </c>
      <c r="D2763" s="1" t="s">
        <v>38</v>
      </c>
      <c r="E2763" s="1" t="s">
        <v>194</v>
      </c>
      <c r="F2763" s="1" t="s">
        <v>11035</v>
      </c>
      <c r="G2763" s="1" t="s">
        <v>12490</v>
      </c>
      <c r="H2763" s="1" t="s">
        <v>12799</v>
      </c>
      <c r="I2763" s="2">
        <v>39.244999999999997</v>
      </c>
      <c r="J2763" s="2">
        <v>3.59</v>
      </c>
      <c r="K2763" s="2">
        <v>4.08</v>
      </c>
      <c r="L2763" s="2">
        <v>3.9</v>
      </c>
      <c r="M2763" s="4">
        <f t="shared" si="258"/>
        <v>9.6188725490196063</v>
      </c>
      <c r="N2763" s="4">
        <f t="shared" si="259"/>
        <v>10.062820512820512</v>
      </c>
      <c r="O2763" s="5">
        <f t="shared" si="260"/>
        <v>0.13649025069637899</v>
      </c>
      <c r="P2763" s="5">
        <f t="shared" si="261"/>
        <v>-4.4117647058823595E-2</v>
      </c>
      <c r="Q2763" s="4">
        <f t="shared" si="262"/>
        <v>0.70472964185674181</v>
      </c>
      <c r="R2763" s="4">
        <f t="shared" si="263"/>
        <v>-2.2809059829059795</v>
      </c>
      <c r="S2763" s="4">
        <v>7.77</v>
      </c>
      <c r="T2763" s="2">
        <v>0.15</v>
      </c>
      <c r="U2763" s="2">
        <v>45.08</v>
      </c>
      <c r="V2763" s="2">
        <v>32.14</v>
      </c>
      <c r="W2763" s="2">
        <v>-2.0099999999999998</v>
      </c>
      <c r="X2763" s="2">
        <v>-1.17</v>
      </c>
      <c r="Y2763" s="2">
        <v>4.0999999999999996</v>
      </c>
      <c r="Z2763" s="2">
        <v>6.12</v>
      </c>
    </row>
    <row r="2764" spans="1:26" x14ac:dyDescent="0.25">
      <c r="A2764" s="1" t="s">
        <v>11036</v>
      </c>
      <c r="B2764" s="1" t="s">
        <v>11037</v>
      </c>
      <c r="C2764" s="1" t="s">
        <v>16</v>
      </c>
      <c r="D2764" s="1" t="s">
        <v>32</v>
      </c>
      <c r="E2764" s="1" t="s">
        <v>1607</v>
      </c>
      <c r="F2764" s="1" t="s">
        <v>11038</v>
      </c>
      <c r="G2764" s="1" t="s">
        <v>12480</v>
      </c>
      <c r="H2764" s="1" t="s">
        <v>11039</v>
      </c>
      <c r="I2764" s="2">
        <v>100.58</v>
      </c>
      <c r="J2764" s="2">
        <v>5.33</v>
      </c>
      <c r="K2764" s="2">
        <v>5.84</v>
      </c>
      <c r="L2764" s="2">
        <v>6.54</v>
      </c>
      <c r="M2764" s="4">
        <f t="shared" si="258"/>
        <v>17.222602739726028</v>
      </c>
      <c r="N2764" s="4">
        <f t="shared" si="259"/>
        <v>15.37920489296636</v>
      </c>
      <c r="O2764" s="5">
        <f t="shared" si="260"/>
        <v>9.5684803001876206E-2</v>
      </c>
      <c r="P2764" s="5">
        <f t="shared" si="261"/>
        <v>0.11986301369863006</v>
      </c>
      <c r="Q2764" s="4">
        <f t="shared" si="262"/>
        <v>1.7999308353478374</v>
      </c>
      <c r="R2764" s="4">
        <f t="shared" si="263"/>
        <v>1.2830650939274799</v>
      </c>
      <c r="S2764" s="4">
        <v>0.19</v>
      </c>
      <c r="T2764" s="2">
        <v>1.18</v>
      </c>
      <c r="U2764" s="2">
        <v>109.99</v>
      </c>
      <c r="V2764" s="2">
        <v>57.34</v>
      </c>
      <c r="W2764" s="2">
        <v>-8.56</v>
      </c>
      <c r="X2764" s="2">
        <v>-7.67</v>
      </c>
      <c r="Y2764" s="2">
        <v>15.6</v>
      </c>
      <c r="Z2764" s="2">
        <v>19.55</v>
      </c>
    </row>
    <row r="2765" spans="1:26" x14ac:dyDescent="0.25">
      <c r="A2765" s="1" t="s">
        <v>11040</v>
      </c>
      <c r="B2765" s="1" t="s">
        <v>11041</v>
      </c>
      <c r="C2765" s="1" t="s">
        <v>31</v>
      </c>
      <c r="D2765" s="1" t="s">
        <v>88</v>
      </c>
      <c r="E2765" s="1" t="s">
        <v>504</v>
      </c>
      <c r="F2765" s="1" t="s">
        <v>11042</v>
      </c>
      <c r="G2765" s="1" t="s">
        <v>12490</v>
      </c>
      <c r="H2765" s="1" t="s">
        <v>8044</v>
      </c>
      <c r="I2765" s="2">
        <v>12.97</v>
      </c>
      <c r="J2765" s="2">
        <v>0.99</v>
      </c>
      <c r="K2765" s="2"/>
      <c r="L2765" s="2"/>
      <c r="M2765" s="4" t="e">
        <f t="shared" si="258"/>
        <v>#DIV/0!</v>
      </c>
      <c r="N2765" s="4" t="e">
        <f t="shared" si="259"/>
        <v>#DIV/0!</v>
      </c>
      <c r="O2765" s="5">
        <f t="shared" si="260"/>
        <v>-1</v>
      </c>
      <c r="P2765" s="5" t="e">
        <f t="shared" si="261"/>
        <v>#DIV/0!</v>
      </c>
      <c r="Q2765" s="4" t="e">
        <f t="shared" si="262"/>
        <v>#DIV/0!</v>
      </c>
      <c r="R2765" s="4" t="e">
        <f t="shared" si="263"/>
        <v>#DIV/0!</v>
      </c>
      <c r="S2765" s="4">
        <v>-4.8899999999999997</v>
      </c>
      <c r="T2765" s="2">
        <v>0.12</v>
      </c>
      <c r="U2765" s="2">
        <v>12.97</v>
      </c>
      <c r="V2765" s="2">
        <v>7.6</v>
      </c>
      <c r="W2765" s="2" t="s">
        <v>12489</v>
      </c>
      <c r="X2765" s="2" t="s">
        <v>12489</v>
      </c>
      <c r="Y2765" s="2" t="s">
        <v>12489</v>
      </c>
      <c r="Z2765" s="2" t="s">
        <v>12489</v>
      </c>
    </row>
    <row r="2766" spans="1:26" x14ac:dyDescent="0.25">
      <c r="A2766" s="1" t="s">
        <v>11043</v>
      </c>
      <c r="B2766" s="1" t="s">
        <v>11044</v>
      </c>
      <c r="C2766" s="1" t="s">
        <v>45</v>
      </c>
      <c r="D2766" s="1" t="s">
        <v>94</v>
      </c>
      <c r="E2766" s="1" t="s">
        <v>95</v>
      </c>
      <c r="F2766" s="1" t="s">
        <v>11045</v>
      </c>
      <c r="G2766" s="1" t="s">
        <v>12480</v>
      </c>
      <c r="H2766" s="1" t="s">
        <v>373</v>
      </c>
      <c r="I2766" s="2">
        <v>335.11</v>
      </c>
      <c r="J2766" s="2">
        <v>6.17</v>
      </c>
      <c r="K2766" s="2">
        <v>22.87</v>
      </c>
      <c r="L2766" s="2">
        <v>28.5</v>
      </c>
      <c r="M2766" s="4">
        <f t="shared" si="258"/>
        <v>14.652820288587669</v>
      </c>
      <c r="N2766" s="4">
        <f t="shared" si="259"/>
        <v>11.758245614035088</v>
      </c>
      <c r="O2766" s="5">
        <f t="shared" si="260"/>
        <v>2.706645056726094</v>
      </c>
      <c r="P2766" s="5">
        <f t="shared" si="261"/>
        <v>0.24617402710975078</v>
      </c>
      <c r="Q2766" s="4">
        <f t="shared" si="262"/>
        <v>5.4136467772805945E-2</v>
      </c>
      <c r="R2766" s="4">
        <f t="shared" si="263"/>
        <v>0.4776395687264342</v>
      </c>
      <c r="S2766" s="4">
        <v>22.03</v>
      </c>
      <c r="T2766" s="2">
        <v>1.94</v>
      </c>
      <c r="U2766" s="2">
        <v>445.84</v>
      </c>
      <c r="V2766" s="2">
        <v>165.75</v>
      </c>
      <c r="W2766" s="2">
        <v>-5.13</v>
      </c>
      <c r="X2766" s="2">
        <v>-5.25</v>
      </c>
      <c r="Y2766" s="2">
        <v>-6.38</v>
      </c>
      <c r="Z2766" s="2">
        <v>-10.6</v>
      </c>
    </row>
    <row r="2767" spans="1:26" x14ac:dyDescent="0.25">
      <c r="A2767" s="1" t="s">
        <v>11046</v>
      </c>
      <c r="B2767" s="1" t="s">
        <v>11047</v>
      </c>
      <c r="C2767" s="1" t="s">
        <v>45</v>
      </c>
      <c r="D2767" s="1" t="s">
        <v>38</v>
      </c>
      <c r="E2767" s="1" t="s">
        <v>259</v>
      </c>
      <c r="F2767" s="1" t="s">
        <v>11048</v>
      </c>
      <c r="G2767" s="1" t="s">
        <v>12480</v>
      </c>
      <c r="H2767" s="1" t="s">
        <v>11049</v>
      </c>
      <c r="I2767" s="2">
        <v>89.23</v>
      </c>
      <c r="J2767" s="2"/>
      <c r="K2767" s="2"/>
      <c r="L2767" s="2"/>
      <c r="M2767" s="4" t="e">
        <f t="shared" si="258"/>
        <v>#DIV/0!</v>
      </c>
      <c r="N2767" s="4" t="e">
        <f t="shared" si="259"/>
        <v>#DIV/0!</v>
      </c>
      <c r="O2767" s="5" t="e">
        <f t="shared" si="260"/>
        <v>#DIV/0!</v>
      </c>
      <c r="P2767" s="5" t="e">
        <f t="shared" si="261"/>
        <v>#DIV/0!</v>
      </c>
      <c r="Q2767" s="4" t="e">
        <f t="shared" si="262"/>
        <v>#DIV/0!</v>
      </c>
      <c r="R2767" s="4" t="e">
        <f t="shared" si="263"/>
        <v>#DIV/0!</v>
      </c>
      <c r="S2767" s="4"/>
      <c r="T2767" s="2">
        <v>0.55000000000000004</v>
      </c>
      <c r="U2767" s="2">
        <v>92.85</v>
      </c>
      <c r="V2767" s="2">
        <v>83.97</v>
      </c>
      <c r="W2767" s="2">
        <v>-0.42</v>
      </c>
      <c r="X2767" s="2">
        <v>1.95</v>
      </c>
      <c r="Y2767" s="2">
        <v>2.09</v>
      </c>
      <c r="Z2767" s="2">
        <v>2.37</v>
      </c>
    </row>
    <row r="2768" spans="1:26" x14ac:dyDescent="0.25">
      <c r="A2768" s="1" t="s">
        <v>11050</v>
      </c>
      <c r="B2768" s="1" t="s">
        <v>11051</v>
      </c>
      <c r="C2768" s="1" t="s">
        <v>31</v>
      </c>
      <c r="D2768" s="1" t="s">
        <v>354</v>
      </c>
      <c r="E2768" s="1" t="s">
        <v>6754</v>
      </c>
      <c r="F2768" s="1" t="s">
        <v>11052</v>
      </c>
      <c r="G2768" s="1" t="s">
        <v>12480</v>
      </c>
      <c r="H2768" s="1" t="s">
        <v>11053</v>
      </c>
      <c r="I2768" s="2">
        <v>10.19</v>
      </c>
      <c r="J2768" s="2">
        <v>0.34</v>
      </c>
      <c r="K2768" s="2">
        <v>0.45</v>
      </c>
      <c r="L2768" s="2">
        <v>0.49</v>
      </c>
      <c r="M2768" s="4">
        <f t="shared" si="258"/>
        <v>22.644444444444442</v>
      </c>
      <c r="N2768" s="4">
        <f t="shared" si="259"/>
        <v>20.795918367346939</v>
      </c>
      <c r="O2768" s="5">
        <f t="shared" si="260"/>
        <v>0.32352941176470584</v>
      </c>
      <c r="P2768" s="5">
        <f t="shared" si="261"/>
        <v>8.8888888888888795E-2</v>
      </c>
      <c r="Q2768" s="4">
        <f t="shared" si="262"/>
        <v>0.69991919191919183</v>
      </c>
      <c r="R2768" s="4">
        <f t="shared" si="263"/>
        <v>2.3395408163265334</v>
      </c>
      <c r="S2768" s="4">
        <v>9.17</v>
      </c>
      <c r="T2768" s="2">
        <v>0.44</v>
      </c>
      <c r="U2768" s="2">
        <v>11.43</v>
      </c>
      <c r="V2768" s="2" t="s">
        <v>12502</v>
      </c>
      <c r="W2768" s="2">
        <v>-5.09</v>
      </c>
      <c r="X2768" s="2">
        <v>-1.1599999999999999</v>
      </c>
      <c r="Y2768" s="2">
        <v>24.57</v>
      </c>
      <c r="Z2768" s="2">
        <v>15.66</v>
      </c>
    </row>
    <row r="2769" spans="1:26" x14ac:dyDescent="0.25">
      <c r="A2769" s="1" t="s">
        <v>11054</v>
      </c>
      <c r="B2769" s="1" t="s">
        <v>11055</v>
      </c>
      <c r="C2769" s="1" t="s">
        <v>45</v>
      </c>
      <c r="D2769" s="1" t="s">
        <v>18</v>
      </c>
      <c r="E2769" s="1" t="s">
        <v>74</v>
      </c>
      <c r="F2769" s="1" t="s">
        <v>11056</v>
      </c>
      <c r="G2769" s="1" t="s">
        <v>12480</v>
      </c>
      <c r="H2769" s="1" t="s">
        <v>11057</v>
      </c>
      <c r="I2769" s="2">
        <v>7.49</v>
      </c>
      <c r="J2769" s="2">
        <v>-0.02</v>
      </c>
      <c r="K2769" s="2">
        <v>0.09</v>
      </c>
      <c r="L2769" s="2">
        <v>0.22</v>
      </c>
      <c r="M2769" s="4">
        <f t="shared" si="258"/>
        <v>83.222222222222229</v>
      </c>
      <c r="N2769" s="4">
        <f t="shared" si="259"/>
        <v>34.045454545454547</v>
      </c>
      <c r="O2769" s="5">
        <f t="shared" si="260"/>
        <v>-5.5</v>
      </c>
      <c r="P2769" s="5">
        <f t="shared" si="261"/>
        <v>1.4444444444444446</v>
      </c>
      <c r="Q2769" s="4">
        <f t="shared" si="262"/>
        <v>-0.15131313131313132</v>
      </c>
      <c r="R2769" s="4">
        <f t="shared" si="263"/>
        <v>0.2356993006993007</v>
      </c>
      <c r="S2769" s="4">
        <v>55.56</v>
      </c>
      <c r="T2769" s="2">
        <v>0.52</v>
      </c>
      <c r="U2769" s="2">
        <v>19.22</v>
      </c>
      <c r="V2769" s="2">
        <v>6.41</v>
      </c>
      <c r="W2769" s="2">
        <v>6.24</v>
      </c>
      <c r="X2769" s="2">
        <v>5.79</v>
      </c>
      <c r="Y2769" s="2">
        <v>-13.21</v>
      </c>
      <c r="Z2769" s="2" t="s">
        <v>12489</v>
      </c>
    </row>
    <row r="2770" spans="1:26" x14ac:dyDescent="0.25">
      <c r="A2770" s="1" t="s">
        <v>11058</v>
      </c>
      <c r="B2770" s="1" t="s">
        <v>11059</v>
      </c>
      <c r="C2770" s="1" t="s">
        <v>16</v>
      </c>
      <c r="D2770" s="1" t="s">
        <v>305</v>
      </c>
      <c r="E2770" s="1" t="s">
        <v>1176</v>
      </c>
      <c r="F2770" s="1" t="s">
        <v>11060</v>
      </c>
      <c r="G2770" s="1" t="s">
        <v>12490</v>
      </c>
      <c r="H2770" s="1" t="s">
        <v>11061</v>
      </c>
      <c r="I2770" s="2">
        <v>219.53</v>
      </c>
      <c r="J2770" s="2">
        <v>23.61</v>
      </c>
      <c r="K2770" s="2">
        <v>17.920000000000002</v>
      </c>
      <c r="L2770" s="2">
        <v>22.89</v>
      </c>
      <c r="M2770" s="4">
        <f t="shared" si="258"/>
        <v>12.250558035714285</v>
      </c>
      <c r="N2770" s="4">
        <f t="shared" si="259"/>
        <v>9.5906509392747932</v>
      </c>
      <c r="O2770" s="5">
        <f t="shared" si="260"/>
        <v>-0.24099957645065639</v>
      </c>
      <c r="P2770" s="5">
        <f t="shared" si="261"/>
        <v>0.27734375</v>
      </c>
      <c r="Q2770" s="4">
        <f t="shared" si="262"/>
        <v>-0.508322803555737</v>
      </c>
      <c r="R2770" s="4">
        <f t="shared" si="263"/>
        <v>0.34580375217666859</v>
      </c>
      <c r="S2770" s="4">
        <v>0.98</v>
      </c>
      <c r="T2770" s="2">
        <v>0.6</v>
      </c>
      <c r="U2770" s="2">
        <v>248.29</v>
      </c>
      <c r="V2770" s="2">
        <v>158.63</v>
      </c>
      <c r="W2770" s="2">
        <v>-9.9</v>
      </c>
      <c r="X2770" s="2">
        <v>-9.43</v>
      </c>
      <c r="Y2770" s="2">
        <v>2.2000000000000002</v>
      </c>
      <c r="Z2770" s="2">
        <v>2.56</v>
      </c>
    </row>
    <row r="2771" spans="1:26" x14ac:dyDescent="0.25">
      <c r="A2771" s="1" t="s">
        <v>11062</v>
      </c>
      <c r="B2771" s="1" t="s">
        <v>11063</v>
      </c>
      <c r="C2771" s="1" t="s">
        <v>45</v>
      </c>
      <c r="D2771" s="1" t="s">
        <v>88</v>
      </c>
      <c r="E2771" s="1" t="s">
        <v>658</v>
      </c>
      <c r="F2771" s="1" t="s">
        <v>7400</v>
      </c>
      <c r="G2771" s="1" t="s">
        <v>12480</v>
      </c>
      <c r="H2771" s="1" t="s">
        <v>11064</v>
      </c>
      <c r="I2771" s="2">
        <v>6.27</v>
      </c>
      <c r="J2771" s="2">
        <v>-0.25</v>
      </c>
      <c r="K2771" s="2">
        <v>-0.25</v>
      </c>
      <c r="L2771" s="2">
        <v>-0.15</v>
      </c>
      <c r="M2771" s="4">
        <f t="shared" si="258"/>
        <v>-25.08</v>
      </c>
      <c r="N2771" s="4">
        <f t="shared" si="259"/>
        <v>-41.8</v>
      </c>
      <c r="O2771" s="5">
        <f t="shared" si="260"/>
        <v>0</v>
      </c>
      <c r="P2771" s="5">
        <f t="shared" si="261"/>
        <v>-0.4</v>
      </c>
      <c r="Q2771" s="4" t="e">
        <f t="shared" si="262"/>
        <v>#DIV/0!</v>
      </c>
      <c r="R2771" s="4">
        <f t="shared" si="263"/>
        <v>1.0449999999999999</v>
      </c>
      <c r="S2771" s="4"/>
      <c r="T2771" s="2">
        <v>1.87</v>
      </c>
      <c r="U2771" s="2">
        <v>10.69</v>
      </c>
      <c r="V2771" s="2">
        <v>1.62</v>
      </c>
      <c r="W2771" s="2">
        <v>-1.72</v>
      </c>
      <c r="X2771" s="2">
        <v>-5.57</v>
      </c>
      <c r="Y2771" s="2">
        <v>-3.24</v>
      </c>
      <c r="Z2771" s="2">
        <v>1.62</v>
      </c>
    </row>
    <row r="2772" spans="1:26" x14ac:dyDescent="0.25">
      <c r="A2772" s="1" t="s">
        <v>11065</v>
      </c>
      <c r="B2772" s="1" t="s">
        <v>11066</v>
      </c>
      <c r="C2772" s="1" t="s">
        <v>45</v>
      </c>
      <c r="D2772" s="1" t="s">
        <v>18</v>
      </c>
      <c r="E2772" s="1" t="s">
        <v>594</v>
      </c>
      <c r="F2772" s="1" t="s">
        <v>11067</v>
      </c>
      <c r="G2772" s="1" t="s">
        <v>12480</v>
      </c>
      <c r="H2772" s="1" t="s">
        <v>6740</v>
      </c>
      <c r="I2772" s="2">
        <v>134.77000000000001</v>
      </c>
      <c r="J2772" s="2">
        <v>2.83</v>
      </c>
      <c r="K2772" s="2">
        <v>2.5499999999999998</v>
      </c>
      <c r="L2772" s="2">
        <v>3.8</v>
      </c>
      <c r="M2772" s="4">
        <f t="shared" si="258"/>
        <v>52.85098039215687</v>
      </c>
      <c r="N2772" s="4">
        <f t="shared" si="259"/>
        <v>35.465789473684218</v>
      </c>
      <c r="O2772" s="5">
        <f t="shared" si="260"/>
        <v>-9.8939929328621945E-2</v>
      </c>
      <c r="P2772" s="5">
        <f t="shared" si="261"/>
        <v>0.49019607843137258</v>
      </c>
      <c r="Q2772" s="4">
        <f t="shared" si="262"/>
        <v>-5.3417240896358535</v>
      </c>
      <c r="R2772" s="4">
        <f t="shared" si="263"/>
        <v>0.72350210526315795</v>
      </c>
      <c r="S2772" s="4">
        <v>37.130000000000003</v>
      </c>
      <c r="T2772" s="2">
        <v>1.98</v>
      </c>
      <c r="U2772" s="2">
        <v>150.41999999999999</v>
      </c>
      <c r="V2772" s="2">
        <v>64.349999999999994</v>
      </c>
      <c r="W2772" s="2">
        <v>-8.32</v>
      </c>
      <c r="X2772" s="2">
        <v>-1.1499999999999999</v>
      </c>
      <c r="Y2772" s="2">
        <v>9.44</v>
      </c>
      <c r="Z2772" s="2">
        <v>10.78</v>
      </c>
    </row>
    <row r="2773" spans="1:26" x14ac:dyDescent="0.25">
      <c r="A2773" s="1" t="s">
        <v>11068</v>
      </c>
      <c r="B2773" s="1" t="s">
        <v>11069</v>
      </c>
      <c r="C2773" s="1" t="s">
        <v>16</v>
      </c>
      <c r="D2773" s="1" t="s">
        <v>61</v>
      </c>
      <c r="E2773" s="1" t="s">
        <v>2394</v>
      </c>
      <c r="F2773" s="1" t="s">
        <v>11070</v>
      </c>
      <c r="G2773" s="1" t="s">
        <v>12480</v>
      </c>
      <c r="H2773" s="1" t="s">
        <v>1975</v>
      </c>
      <c r="I2773" s="2" t="s">
        <v>12719</v>
      </c>
      <c r="J2773" s="2">
        <v>7.77</v>
      </c>
      <c r="K2773" s="2">
        <v>5.0599999999999996</v>
      </c>
      <c r="L2773" s="2">
        <v>6.5</v>
      </c>
      <c r="M2773" s="4">
        <f t="shared" si="258"/>
        <v>12.055335968379447</v>
      </c>
      <c r="N2773" s="4">
        <f t="shared" si="259"/>
        <v>9.384615384615385</v>
      </c>
      <c r="O2773" s="5">
        <f t="shared" si="260"/>
        <v>-0.34877734877734878</v>
      </c>
      <c r="P2773" s="5">
        <f t="shared" si="261"/>
        <v>0.28458498023715428</v>
      </c>
      <c r="Q2773" s="4">
        <f t="shared" si="262"/>
        <v>-0.34564561060630367</v>
      </c>
      <c r="R2773" s="4">
        <f t="shared" si="263"/>
        <v>0.32976495726495714</v>
      </c>
      <c r="S2773" s="4">
        <v>-0.56999999999999995</v>
      </c>
      <c r="T2773" s="2">
        <v>1.58</v>
      </c>
      <c r="U2773" s="2">
        <v>71.900000000000006</v>
      </c>
      <c r="V2773" s="2">
        <v>53.93</v>
      </c>
      <c r="W2773" s="2">
        <v>-5.56</v>
      </c>
      <c r="X2773" s="2">
        <v>-5.59</v>
      </c>
      <c r="Y2773" s="2">
        <v>-1.98</v>
      </c>
      <c r="Z2773" s="2">
        <v>3.62</v>
      </c>
    </row>
    <row r="2774" spans="1:26" x14ac:dyDescent="0.25">
      <c r="A2774" s="1" t="s">
        <v>11071</v>
      </c>
      <c r="B2774" s="1" t="s">
        <v>11072</v>
      </c>
      <c r="C2774" s="1" t="s">
        <v>31</v>
      </c>
      <c r="D2774" s="1" t="s">
        <v>32</v>
      </c>
      <c r="E2774" s="1" t="s">
        <v>215</v>
      </c>
      <c r="F2774" s="1" t="s">
        <v>11073</v>
      </c>
      <c r="G2774" s="1" t="s">
        <v>12480</v>
      </c>
      <c r="H2774" s="1" t="s">
        <v>11074</v>
      </c>
      <c r="I2774" s="2">
        <v>35.450000000000003</v>
      </c>
      <c r="J2774" s="2">
        <v>1.83</v>
      </c>
      <c r="K2774" s="2"/>
      <c r="L2774" s="2"/>
      <c r="M2774" s="4" t="e">
        <f t="shared" si="258"/>
        <v>#DIV/0!</v>
      </c>
      <c r="N2774" s="4" t="e">
        <f t="shared" si="259"/>
        <v>#DIV/0!</v>
      </c>
      <c r="O2774" s="5">
        <f t="shared" si="260"/>
        <v>-1</v>
      </c>
      <c r="P2774" s="5" t="e">
        <f t="shared" si="261"/>
        <v>#DIV/0!</v>
      </c>
      <c r="Q2774" s="4" t="e">
        <f t="shared" si="262"/>
        <v>#DIV/0!</v>
      </c>
      <c r="R2774" s="4" t="e">
        <f t="shared" si="263"/>
        <v>#DIV/0!</v>
      </c>
      <c r="S2774" s="4">
        <v>2.38</v>
      </c>
      <c r="T2774" s="2">
        <v>0.79</v>
      </c>
      <c r="U2774" s="2">
        <v>78.599999999999994</v>
      </c>
      <c r="V2774" s="2">
        <v>32.229999999999997</v>
      </c>
      <c r="W2774" s="2">
        <v>5.76</v>
      </c>
      <c r="X2774" s="2">
        <v>-4.63</v>
      </c>
      <c r="Y2774" s="2">
        <v>-19.670000000000002</v>
      </c>
      <c r="Z2774" s="2">
        <v>-14.02</v>
      </c>
    </row>
    <row r="2775" spans="1:26" x14ac:dyDescent="0.25">
      <c r="A2775" s="1" t="s">
        <v>11075</v>
      </c>
      <c r="B2775" s="1" t="s">
        <v>11076</v>
      </c>
      <c r="C2775" s="1" t="s">
        <v>16</v>
      </c>
      <c r="D2775" s="1" t="s">
        <v>18</v>
      </c>
      <c r="E2775" s="1" t="s">
        <v>594</v>
      </c>
      <c r="F2775" s="1" t="s">
        <v>11077</v>
      </c>
      <c r="G2775" s="1" t="s">
        <v>12480</v>
      </c>
      <c r="H2775" s="1" t="s">
        <v>11078</v>
      </c>
      <c r="I2775" s="2">
        <v>509.97</v>
      </c>
      <c r="J2775" s="2">
        <v>22.87</v>
      </c>
      <c r="K2775" s="2">
        <v>24.66</v>
      </c>
      <c r="L2775" s="2">
        <v>27.01</v>
      </c>
      <c r="M2775" s="4">
        <f t="shared" si="258"/>
        <v>20.680048661800488</v>
      </c>
      <c r="N2775" s="4">
        <f t="shared" si="259"/>
        <v>18.880784894483526</v>
      </c>
      <c r="O2775" s="5">
        <f t="shared" si="260"/>
        <v>7.8268473983384323E-2</v>
      </c>
      <c r="P2775" s="5">
        <f t="shared" si="261"/>
        <v>9.5296025952960273E-2</v>
      </c>
      <c r="Q2775" s="4">
        <f t="shared" si="262"/>
        <v>2.6421939267898171</v>
      </c>
      <c r="R2775" s="4">
        <f t="shared" si="263"/>
        <v>1.9812772574381434</v>
      </c>
      <c r="S2775" s="4">
        <v>3.91</v>
      </c>
      <c r="T2775" s="2">
        <v>0.96</v>
      </c>
      <c r="U2775" s="2">
        <v>639.45000000000005</v>
      </c>
      <c r="V2775" s="2">
        <v>390.26</v>
      </c>
      <c r="W2775" s="2">
        <v>0.27</v>
      </c>
      <c r="X2775" s="2">
        <v>-6.73</v>
      </c>
      <c r="Y2775" s="2">
        <v>-11.45</v>
      </c>
      <c r="Z2775" s="2">
        <v>-11.99</v>
      </c>
    </row>
    <row r="2776" spans="1:26" x14ac:dyDescent="0.25">
      <c r="A2776" s="1" t="s">
        <v>11079</v>
      </c>
      <c r="B2776" s="1" t="s">
        <v>11080</v>
      </c>
      <c r="C2776" s="1" t="s">
        <v>1118</v>
      </c>
      <c r="D2776" s="1" t="s">
        <v>38</v>
      </c>
      <c r="E2776" s="1" t="s">
        <v>1244</v>
      </c>
      <c r="F2776" s="1" t="s">
        <v>11081</v>
      </c>
      <c r="G2776" s="1" t="s">
        <v>12480</v>
      </c>
      <c r="H2776" s="1" t="s">
        <v>6067</v>
      </c>
      <c r="I2776" s="2">
        <v>74.650000000000006</v>
      </c>
      <c r="J2776" s="2">
        <v>6.31</v>
      </c>
      <c r="K2776" s="2">
        <v>7.25</v>
      </c>
      <c r="L2776" s="2">
        <v>7.95</v>
      </c>
      <c r="M2776" s="4">
        <f t="shared" si="258"/>
        <v>10.296551724137931</v>
      </c>
      <c r="N2776" s="4">
        <f t="shared" si="259"/>
        <v>9.3899371069182394</v>
      </c>
      <c r="O2776" s="5">
        <f t="shared" si="260"/>
        <v>0.14896988906497621</v>
      </c>
      <c r="P2776" s="5">
        <f t="shared" si="261"/>
        <v>9.6551724137931005E-2</v>
      </c>
      <c r="Q2776" s="4">
        <f t="shared" si="262"/>
        <v>0.6911834189288335</v>
      </c>
      <c r="R2776" s="4">
        <f t="shared" si="263"/>
        <v>0.9725292003593895</v>
      </c>
      <c r="S2776" s="4">
        <v>32.880000000000003</v>
      </c>
      <c r="T2776" s="2">
        <v>0.78</v>
      </c>
      <c r="U2776" s="2">
        <v>85.31</v>
      </c>
      <c r="V2776" s="2">
        <v>55.65</v>
      </c>
      <c r="W2776" s="2">
        <v>-4.82</v>
      </c>
      <c r="X2776" s="2">
        <v>-12.36</v>
      </c>
      <c r="Y2776" s="2">
        <v>-1.1399999999999999</v>
      </c>
      <c r="Z2776" s="2">
        <v>2.94</v>
      </c>
    </row>
    <row r="2777" spans="1:26" x14ac:dyDescent="0.25">
      <c r="A2777" s="1" t="s">
        <v>11082</v>
      </c>
      <c r="B2777" s="1" t="s">
        <v>11083</v>
      </c>
      <c r="C2777" s="1" t="s">
        <v>31</v>
      </c>
      <c r="D2777" s="1" t="s">
        <v>32</v>
      </c>
      <c r="E2777" s="1" t="s">
        <v>311</v>
      </c>
      <c r="F2777" s="1" t="s">
        <v>11084</v>
      </c>
      <c r="G2777" s="1" t="s">
        <v>12480</v>
      </c>
      <c r="H2777" s="1" t="s">
        <v>11085</v>
      </c>
      <c r="I2777" s="2">
        <v>99.02</v>
      </c>
      <c r="J2777" s="2" t="s">
        <v>12513</v>
      </c>
      <c r="K2777" s="2">
        <v>4.76</v>
      </c>
      <c r="L2777" s="2">
        <v>5.25</v>
      </c>
      <c r="M2777" s="4">
        <f t="shared" si="258"/>
        <v>20.80252100840336</v>
      </c>
      <c r="N2777" s="4">
        <f t="shared" si="259"/>
        <v>18.86095238095238</v>
      </c>
      <c r="O2777" s="5">
        <f t="shared" si="260"/>
        <v>0.18999999999999995</v>
      </c>
      <c r="P2777" s="5">
        <f t="shared" si="261"/>
        <v>0.10294117647058831</v>
      </c>
      <c r="Q2777" s="4">
        <f t="shared" si="262"/>
        <v>1.0948695267580719</v>
      </c>
      <c r="R2777" s="4">
        <f t="shared" si="263"/>
        <v>1.8322068027210869</v>
      </c>
      <c r="S2777" s="4">
        <v>4.4800000000000004</v>
      </c>
      <c r="T2777" s="2">
        <v>0.8</v>
      </c>
      <c r="U2777" s="2">
        <v>106.19</v>
      </c>
      <c r="V2777" s="2">
        <v>69.06</v>
      </c>
      <c r="W2777" s="2">
        <v>9.25</v>
      </c>
      <c r="X2777" s="2">
        <v>13.76</v>
      </c>
      <c r="Y2777" s="2">
        <v>3.95</v>
      </c>
      <c r="Z2777" s="2">
        <v>-1.01</v>
      </c>
    </row>
    <row r="2778" spans="1:26" x14ac:dyDescent="0.25">
      <c r="A2778" s="1" t="s">
        <v>11086</v>
      </c>
      <c r="B2778" s="1" t="s">
        <v>11087</v>
      </c>
      <c r="C2778" s="1" t="s">
        <v>31</v>
      </c>
      <c r="D2778" s="1" t="s">
        <v>25</v>
      </c>
      <c r="E2778" s="1" t="s">
        <v>220</v>
      </c>
      <c r="F2778" s="1" t="s">
        <v>11088</v>
      </c>
      <c r="G2778" s="1" t="s">
        <v>12480</v>
      </c>
      <c r="H2778" s="1" t="s">
        <v>8248</v>
      </c>
      <c r="I2778" s="2">
        <v>147.02000000000001</v>
      </c>
      <c r="J2778" s="2">
        <v>4.34</v>
      </c>
      <c r="K2778" s="2"/>
      <c r="L2778" s="2"/>
      <c r="M2778" s="4" t="e">
        <f t="shared" si="258"/>
        <v>#DIV/0!</v>
      </c>
      <c r="N2778" s="4" t="e">
        <f t="shared" si="259"/>
        <v>#DIV/0!</v>
      </c>
      <c r="O2778" s="5">
        <f t="shared" si="260"/>
        <v>-1</v>
      </c>
      <c r="P2778" s="5" t="e">
        <f t="shared" si="261"/>
        <v>#DIV/0!</v>
      </c>
      <c r="Q2778" s="4" t="e">
        <f t="shared" si="262"/>
        <v>#DIV/0!</v>
      </c>
      <c r="R2778" s="4" t="e">
        <f t="shared" si="263"/>
        <v>#DIV/0!</v>
      </c>
      <c r="S2778" s="4">
        <v>1.61</v>
      </c>
      <c r="T2778" s="2"/>
      <c r="U2778" s="2">
        <v>154.55000000000001</v>
      </c>
      <c r="V2778" s="2">
        <v>112.62</v>
      </c>
      <c r="W2778" s="2">
        <v>-4.87</v>
      </c>
      <c r="X2778" s="2">
        <v>9.23</v>
      </c>
      <c r="Y2778" s="2">
        <v>24.7</v>
      </c>
      <c r="Z2778" s="2">
        <v>20.05</v>
      </c>
    </row>
    <row r="2779" spans="1:26" x14ac:dyDescent="0.25">
      <c r="A2779" s="1" t="s">
        <v>11089</v>
      </c>
      <c r="B2779" s="1" t="s">
        <v>11090</v>
      </c>
      <c r="C2779" s="1" t="s">
        <v>45</v>
      </c>
      <c r="D2779" s="1" t="s">
        <v>32</v>
      </c>
      <c r="E2779" s="1" t="s">
        <v>264</v>
      </c>
      <c r="F2779" s="1" t="s">
        <v>11091</v>
      </c>
      <c r="G2779" s="1" t="s">
        <v>12480</v>
      </c>
      <c r="H2779" s="1" t="s">
        <v>11092</v>
      </c>
      <c r="I2779" s="2">
        <v>217.5</v>
      </c>
      <c r="J2779" s="2">
        <v>9.7200000000000006</v>
      </c>
      <c r="K2779" s="2">
        <v>10.59</v>
      </c>
      <c r="L2779" s="2">
        <v>13.03</v>
      </c>
      <c r="M2779" s="4">
        <f t="shared" si="258"/>
        <v>20.538243626062322</v>
      </c>
      <c r="N2779" s="4">
        <f t="shared" si="259"/>
        <v>16.692248656945512</v>
      </c>
      <c r="O2779" s="5">
        <f t="shared" si="260"/>
        <v>8.9506172839506126E-2</v>
      </c>
      <c r="P2779" s="5">
        <f t="shared" si="261"/>
        <v>0.23040604343720483</v>
      </c>
      <c r="Q2779" s="4">
        <f t="shared" si="262"/>
        <v>2.2946175637393775</v>
      </c>
      <c r="R2779" s="4">
        <f t="shared" si="263"/>
        <v>0.7244709560534961</v>
      </c>
      <c r="S2779" s="4">
        <v>8.49</v>
      </c>
      <c r="T2779" s="2">
        <v>0.43</v>
      </c>
      <c r="U2779" s="2">
        <v>268.54000000000002</v>
      </c>
      <c r="V2779" s="2">
        <v>183.6</v>
      </c>
      <c r="W2779" s="2">
        <v>0.64</v>
      </c>
      <c r="X2779" s="2">
        <v>10.039999999999999</v>
      </c>
      <c r="Y2779" s="2">
        <v>10.88</v>
      </c>
      <c r="Z2779" s="2">
        <v>7.12</v>
      </c>
    </row>
    <row r="2780" spans="1:26" x14ac:dyDescent="0.25">
      <c r="A2780" s="1" t="s">
        <v>11093</v>
      </c>
      <c r="B2780" s="1" t="s">
        <v>11094</v>
      </c>
      <c r="C2780" s="1" t="s">
        <v>16</v>
      </c>
      <c r="D2780" s="1" t="s">
        <v>25</v>
      </c>
      <c r="E2780" s="1" t="s">
        <v>220</v>
      </c>
      <c r="F2780" s="1" t="s">
        <v>11095</v>
      </c>
      <c r="G2780" s="1" t="s">
        <v>12480</v>
      </c>
      <c r="H2780" s="1" t="s">
        <v>11096</v>
      </c>
      <c r="I2780" s="2">
        <v>61.84</v>
      </c>
      <c r="J2780" s="2">
        <v>5.48</v>
      </c>
      <c r="K2780" s="2">
        <v>4.82</v>
      </c>
      <c r="L2780" s="2">
        <v>5.86</v>
      </c>
      <c r="M2780" s="4">
        <f t="shared" si="258"/>
        <v>12.8298755186722</v>
      </c>
      <c r="N2780" s="4">
        <f t="shared" si="259"/>
        <v>10.552901023890785</v>
      </c>
      <c r="O2780" s="5">
        <f t="shared" si="260"/>
        <v>-0.12043795620437958</v>
      </c>
      <c r="P2780" s="5">
        <f t="shared" si="261"/>
        <v>0.21576763485477168</v>
      </c>
      <c r="Q2780" s="4">
        <f t="shared" si="262"/>
        <v>-1.0652684521564189</v>
      </c>
      <c r="R2780" s="4">
        <f t="shared" si="263"/>
        <v>0.48908637437647695</v>
      </c>
      <c r="S2780" s="4">
        <v>-6.47</v>
      </c>
      <c r="T2780" s="2">
        <v>1.07</v>
      </c>
      <c r="U2780" s="2">
        <v>86.53</v>
      </c>
      <c r="V2780" s="2">
        <v>60.91</v>
      </c>
      <c r="W2780" s="2">
        <v>1.53</v>
      </c>
      <c r="X2780" s="2">
        <v>-24.12</v>
      </c>
      <c r="Y2780" s="2">
        <v>-19.04</v>
      </c>
      <c r="Z2780" s="2">
        <v>-16.09</v>
      </c>
    </row>
    <row r="2781" spans="1:26" x14ac:dyDescent="0.25">
      <c r="A2781" s="1" t="s">
        <v>11097</v>
      </c>
      <c r="B2781" s="1" t="s">
        <v>11098</v>
      </c>
      <c r="C2781" s="1" t="s">
        <v>45</v>
      </c>
      <c r="D2781" s="1" t="s">
        <v>18</v>
      </c>
      <c r="E2781" s="1" t="s">
        <v>594</v>
      </c>
      <c r="F2781" s="1" t="s">
        <v>11099</v>
      </c>
      <c r="G2781" s="1" t="s">
        <v>12480</v>
      </c>
      <c r="H2781" s="1" t="s">
        <v>11100</v>
      </c>
      <c r="I2781" s="2">
        <v>20.88</v>
      </c>
      <c r="J2781" s="2">
        <v>-2.58</v>
      </c>
      <c r="K2781" s="2">
        <v>-0.91</v>
      </c>
      <c r="L2781" s="2">
        <v>-0.16</v>
      </c>
      <c r="M2781" s="4">
        <f t="shared" si="258"/>
        <v>-22.945054945054942</v>
      </c>
      <c r="N2781" s="4">
        <f t="shared" si="259"/>
        <v>-130.5</v>
      </c>
      <c r="O2781" s="5">
        <f t="shared" si="260"/>
        <v>-0.6472868217054264</v>
      </c>
      <c r="P2781" s="5">
        <f t="shared" si="261"/>
        <v>-0.82417582417582413</v>
      </c>
      <c r="Q2781" s="4">
        <f t="shared" si="262"/>
        <v>0.35448048957030986</v>
      </c>
      <c r="R2781" s="4">
        <f t="shared" si="263"/>
        <v>1.5834000000000001</v>
      </c>
      <c r="S2781" s="4">
        <v>7.93</v>
      </c>
      <c r="T2781" s="2">
        <v>1.63</v>
      </c>
      <c r="U2781" s="2">
        <v>28.26</v>
      </c>
      <c r="V2781" s="2">
        <v>10.11</v>
      </c>
      <c r="W2781" s="2">
        <v>-17.239999999999998</v>
      </c>
      <c r="X2781" s="2">
        <v>10.53</v>
      </c>
      <c r="Y2781" s="2">
        <v>-5.56</v>
      </c>
      <c r="Z2781" s="2" t="s">
        <v>12736</v>
      </c>
    </row>
    <row r="2782" spans="1:26" x14ac:dyDescent="0.25">
      <c r="A2782" s="1" t="s">
        <v>11101</v>
      </c>
      <c r="B2782" s="1" t="s">
        <v>11102</v>
      </c>
      <c r="C2782" s="1" t="s">
        <v>16</v>
      </c>
      <c r="D2782" s="1" t="s">
        <v>140</v>
      </c>
      <c r="E2782" s="1" t="s">
        <v>499</v>
      </c>
      <c r="F2782" s="1" t="s">
        <v>11103</v>
      </c>
      <c r="G2782" s="1" t="s">
        <v>12480</v>
      </c>
      <c r="H2782" s="1" t="s">
        <v>11104</v>
      </c>
      <c r="I2782" s="2">
        <v>37.200000000000003</v>
      </c>
      <c r="J2782" s="2">
        <v>4.7300000000000004</v>
      </c>
      <c r="K2782" s="2">
        <v>4.18</v>
      </c>
      <c r="L2782" s="2">
        <v>4.63</v>
      </c>
      <c r="M2782" s="4">
        <f t="shared" si="258"/>
        <v>8.8995215311004792</v>
      </c>
      <c r="N2782" s="4">
        <f t="shared" si="259"/>
        <v>8.0345572354211665</v>
      </c>
      <c r="O2782" s="5">
        <f t="shared" si="260"/>
        <v>-0.11627906976744196</v>
      </c>
      <c r="P2782" s="5">
        <f t="shared" si="261"/>
        <v>0.10765550239234445</v>
      </c>
      <c r="Q2782" s="4">
        <f t="shared" si="262"/>
        <v>-0.76535885167464057</v>
      </c>
      <c r="R2782" s="4">
        <f t="shared" si="263"/>
        <v>0.74632109431245541</v>
      </c>
      <c r="S2782" s="4">
        <v>-0.85</v>
      </c>
      <c r="T2782" s="2">
        <v>0.86</v>
      </c>
      <c r="U2782" s="2">
        <v>86.45</v>
      </c>
      <c r="V2782" s="2">
        <v>33.85</v>
      </c>
      <c r="W2782" s="2">
        <v>-1.06</v>
      </c>
      <c r="X2782" s="2">
        <v>-29.68</v>
      </c>
      <c r="Y2782" s="2">
        <v>-38.11</v>
      </c>
      <c r="Z2782" s="2">
        <v>-37.090000000000003</v>
      </c>
    </row>
    <row r="2783" spans="1:26" x14ac:dyDescent="0.25">
      <c r="A2783" s="1" t="s">
        <v>11105</v>
      </c>
      <c r="B2783" s="1" t="s">
        <v>11106</v>
      </c>
      <c r="C2783" s="1" t="s">
        <v>45</v>
      </c>
      <c r="D2783" s="1" t="s">
        <v>18</v>
      </c>
      <c r="E2783" s="1" t="s">
        <v>74</v>
      </c>
      <c r="F2783" s="1" t="s">
        <v>11107</v>
      </c>
      <c r="G2783" s="1" t="s">
        <v>12480</v>
      </c>
      <c r="H2783" s="1" t="s">
        <v>11108</v>
      </c>
      <c r="I2783" s="2">
        <v>16.45</v>
      </c>
      <c r="J2783" s="2">
        <v>-0.87</v>
      </c>
      <c r="K2783" s="2">
        <v>-1.39</v>
      </c>
      <c r="L2783" s="2">
        <v>-1.49</v>
      </c>
      <c r="M2783" s="4">
        <f t="shared" si="258"/>
        <v>-11.83453237410072</v>
      </c>
      <c r="N2783" s="4">
        <f t="shared" si="259"/>
        <v>-11.040268456375838</v>
      </c>
      <c r="O2783" s="5">
        <f t="shared" si="260"/>
        <v>0.59770114942528729</v>
      </c>
      <c r="P2783" s="5">
        <f t="shared" si="261"/>
        <v>7.1942446043165464E-2</v>
      </c>
      <c r="Q2783" s="4">
        <f t="shared" si="262"/>
        <v>-0.19800083010514669</v>
      </c>
      <c r="R2783" s="4">
        <f t="shared" si="263"/>
        <v>-1.5345973154362416</v>
      </c>
      <c r="S2783" s="4">
        <v>48.29</v>
      </c>
      <c r="T2783" s="2">
        <v>1.76</v>
      </c>
      <c r="U2783" s="2">
        <v>16.95</v>
      </c>
      <c r="V2783" s="2">
        <v>1.1000000000000001</v>
      </c>
      <c r="W2783" s="2">
        <v>42.67</v>
      </c>
      <c r="X2783" s="2">
        <v>27.62</v>
      </c>
      <c r="Y2783" s="2">
        <v>80.37</v>
      </c>
      <c r="Z2783" s="2">
        <v>85.67</v>
      </c>
    </row>
    <row r="2784" spans="1:26" x14ac:dyDescent="0.25">
      <c r="A2784" s="1" t="s">
        <v>11109</v>
      </c>
      <c r="B2784" s="1" t="s">
        <v>11110</v>
      </c>
      <c r="C2784" s="1" t="s">
        <v>16</v>
      </c>
      <c r="D2784" s="1" t="s">
        <v>46</v>
      </c>
      <c r="E2784" s="1" t="s">
        <v>770</v>
      </c>
      <c r="F2784" s="1" t="s">
        <v>11111</v>
      </c>
      <c r="G2784" s="1" t="s">
        <v>12480</v>
      </c>
      <c r="H2784" s="1" t="s">
        <v>1399</v>
      </c>
      <c r="I2784" s="2">
        <v>74.38</v>
      </c>
      <c r="J2784" s="2">
        <v>6.96</v>
      </c>
      <c r="K2784" s="2">
        <v>7.3</v>
      </c>
      <c r="L2784" s="2">
        <v>4.6500000000000004</v>
      </c>
      <c r="M2784" s="4">
        <f t="shared" si="258"/>
        <v>10.18904109589041</v>
      </c>
      <c r="N2784" s="4">
        <f t="shared" si="259"/>
        <v>15.995698924731181</v>
      </c>
      <c r="O2784" s="5">
        <f t="shared" si="260"/>
        <v>4.8850574712643757E-2</v>
      </c>
      <c r="P2784" s="5">
        <f t="shared" si="261"/>
        <v>-0.36301369863013688</v>
      </c>
      <c r="Q2784" s="4">
        <f t="shared" si="262"/>
        <v>2.0857566478646219</v>
      </c>
      <c r="R2784" s="4">
        <f t="shared" si="263"/>
        <v>-0.44063623453033074</v>
      </c>
      <c r="S2784" s="4">
        <v>-22.58</v>
      </c>
      <c r="T2784" s="2">
        <v>-0.32</v>
      </c>
      <c r="U2784" s="2">
        <v>78.27</v>
      </c>
      <c r="V2784" s="2">
        <v>34.47</v>
      </c>
      <c r="W2784" s="2">
        <v>-4.8099999999999996</v>
      </c>
      <c r="X2784" s="2">
        <v>11.13</v>
      </c>
      <c r="Y2784" s="2">
        <v>37.54</v>
      </c>
      <c r="Z2784" s="2">
        <v>39.24</v>
      </c>
    </row>
    <row r="2785" spans="1:26" x14ac:dyDescent="0.25">
      <c r="A2785" s="1" t="s">
        <v>11112</v>
      </c>
      <c r="B2785" s="1" t="s">
        <v>11113</v>
      </c>
      <c r="C2785" s="1" t="s">
        <v>16</v>
      </c>
      <c r="D2785" s="1" t="s">
        <v>147</v>
      </c>
      <c r="E2785" s="1" t="s">
        <v>148</v>
      </c>
      <c r="F2785" s="1" t="s">
        <v>11114</v>
      </c>
      <c r="G2785" s="1" t="s">
        <v>12480</v>
      </c>
      <c r="H2785" s="1" t="s">
        <v>9296</v>
      </c>
      <c r="I2785" s="2">
        <v>71.47</v>
      </c>
      <c r="J2785" s="2">
        <v>6.34</v>
      </c>
      <c r="K2785" s="2">
        <v>7.39</v>
      </c>
      <c r="L2785" s="2">
        <v>8.65</v>
      </c>
      <c r="M2785" s="4">
        <f t="shared" si="258"/>
        <v>9.6711772665764553</v>
      </c>
      <c r="N2785" s="4">
        <f t="shared" si="259"/>
        <v>8.2624277456647395</v>
      </c>
      <c r="O2785" s="5">
        <f t="shared" si="260"/>
        <v>0.16561514195583604</v>
      </c>
      <c r="P2785" s="5">
        <f t="shared" si="261"/>
        <v>0.17050067658998658</v>
      </c>
      <c r="Q2785" s="4">
        <f t="shared" si="262"/>
        <v>0.58395489400090184</v>
      </c>
      <c r="R2785" s="4">
        <f t="shared" si="263"/>
        <v>0.4845979447655745</v>
      </c>
      <c r="S2785" s="4">
        <v>4.0599999999999996</v>
      </c>
      <c r="T2785" s="2">
        <v>1.32</v>
      </c>
      <c r="U2785" s="2">
        <v>77.19</v>
      </c>
      <c r="V2785" s="2">
        <v>38.78</v>
      </c>
      <c r="W2785" s="2">
        <v>-2.23</v>
      </c>
      <c r="X2785" s="2">
        <v>-2.14</v>
      </c>
      <c r="Y2785" s="2">
        <v>0.97</v>
      </c>
      <c r="Z2785" s="2">
        <v>1.33</v>
      </c>
    </row>
    <row r="2786" spans="1:26" x14ac:dyDescent="0.25">
      <c r="A2786" s="1" t="s">
        <v>11115</v>
      </c>
      <c r="B2786" s="1" t="s">
        <v>11116</v>
      </c>
      <c r="C2786" s="1" t="s">
        <v>31</v>
      </c>
      <c r="D2786" s="1" t="s">
        <v>32</v>
      </c>
      <c r="E2786" s="1" t="s">
        <v>1607</v>
      </c>
      <c r="F2786" s="1" t="s">
        <v>11117</v>
      </c>
      <c r="G2786" s="1" t="s">
        <v>12490</v>
      </c>
      <c r="H2786" s="1" t="s">
        <v>11118</v>
      </c>
      <c r="I2786" s="2">
        <v>129.97</v>
      </c>
      <c r="J2786" s="2">
        <v>3.88</v>
      </c>
      <c r="K2786" s="2">
        <v>3.6</v>
      </c>
      <c r="L2786" s="2">
        <v>4.1900000000000004</v>
      </c>
      <c r="M2786" s="4">
        <f t="shared" si="258"/>
        <v>36.102777777777774</v>
      </c>
      <c r="N2786" s="4">
        <f t="shared" si="259"/>
        <v>31.019093078758946</v>
      </c>
      <c r="O2786" s="5">
        <f t="shared" si="260"/>
        <v>-7.2164948453608213E-2</v>
      </c>
      <c r="P2786" s="5">
        <f t="shared" si="261"/>
        <v>0.16388888888888897</v>
      </c>
      <c r="Q2786" s="4">
        <f t="shared" si="262"/>
        <v>-5.0028134920634937</v>
      </c>
      <c r="R2786" s="4">
        <f t="shared" si="263"/>
        <v>1.8926904251446128</v>
      </c>
      <c r="S2786" s="4">
        <v>29.54</v>
      </c>
      <c r="T2786" s="2">
        <v>1.87</v>
      </c>
      <c r="U2786" s="2">
        <v>151.12</v>
      </c>
      <c r="V2786" s="2">
        <v>60.66</v>
      </c>
      <c r="W2786" s="2">
        <v>-7.44</v>
      </c>
      <c r="X2786" s="2">
        <v>-2.2799999999999998</v>
      </c>
      <c r="Y2786" s="2">
        <v>30.36</v>
      </c>
      <c r="Z2786" s="2">
        <v>16.989999999999998</v>
      </c>
    </row>
    <row r="2787" spans="1:26" x14ac:dyDescent="0.25">
      <c r="A2787" s="1" t="s">
        <v>11119</v>
      </c>
      <c r="B2787" s="1" t="s">
        <v>11120</v>
      </c>
      <c r="C2787" s="1" t="s">
        <v>31</v>
      </c>
      <c r="D2787" s="1" t="s">
        <v>32</v>
      </c>
      <c r="E2787" s="1" t="s">
        <v>311</v>
      </c>
      <c r="F2787" s="1" t="s">
        <v>11121</v>
      </c>
      <c r="G2787" s="1" t="s">
        <v>12480</v>
      </c>
      <c r="H2787" s="1" t="s">
        <v>11122</v>
      </c>
      <c r="I2787" s="2">
        <v>81.577100000000002</v>
      </c>
      <c r="J2787" s="2">
        <v>0.56999999999999995</v>
      </c>
      <c r="K2787" s="2"/>
      <c r="L2787" s="2"/>
      <c r="M2787" s="4" t="e">
        <f t="shared" si="258"/>
        <v>#DIV/0!</v>
      </c>
      <c r="N2787" s="4" t="e">
        <f t="shared" si="259"/>
        <v>#DIV/0!</v>
      </c>
      <c r="O2787" s="5">
        <f t="shared" si="260"/>
        <v>-1</v>
      </c>
      <c r="P2787" s="5" t="e">
        <f t="shared" si="261"/>
        <v>#DIV/0!</v>
      </c>
      <c r="Q2787" s="4" t="e">
        <f t="shared" si="262"/>
        <v>#DIV/0!</v>
      </c>
      <c r="R2787" s="4" t="e">
        <f t="shared" si="263"/>
        <v>#DIV/0!</v>
      </c>
      <c r="S2787" s="4">
        <v>25.3</v>
      </c>
      <c r="T2787" s="2">
        <v>0.85</v>
      </c>
      <c r="U2787" s="2">
        <v>141.63999999999999</v>
      </c>
      <c r="V2787" s="2">
        <v>61.18</v>
      </c>
      <c r="W2787" s="2">
        <v>19.28</v>
      </c>
      <c r="X2787" s="2">
        <v>20.28</v>
      </c>
      <c r="Y2787" s="2">
        <v>-10.57</v>
      </c>
      <c r="Z2787" s="2">
        <v>-11.8</v>
      </c>
    </row>
    <row r="2788" spans="1:26" x14ac:dyDescent="0.25">
      <c r="A2788" s="1" t="s">
        <v>11123</v>
      </c>
      <c r="B2788" s="1" t="s">
        <v>11124</v>
      </c>
      <c r="C2788" s="1" t="s">
        <v>16</v>
      </c>
      <c r="D2788" s="1" t="s">
        <v>61</v>
      </c>
      <c r="E2788" s="1" t="s">
        <v>2394</v>
      </c>
      <c r="F2788" s="1" t="s">
        <v>11125</v>
      </c>
      <c r="G2788" s="1" t="s">
        <v>12479</v>
      </c>
      <c r="H2788" s="1" t="s">
        <v>11126</v>
      </c>
      <c r="I2788" s="2">
        <v>147.13</v>
      </c>
      <c r="J2788" s="2">
        <v>13.49</v>
      </c>
      <c r="K2788" s="2">
        <v>12.7</v>
      </c>
      <c r="L2788" s="2">
        <v>14.42</v>
      </c>
      <c r="M2788" s="4">
        <f t="shared" si="258"/>
        <v>11.585039370078741</v>
      </c>
      <c r="N2788" s="4">
        <f t="shared" si="259"/>
        <v>10.203190013869625</v>
      </c>
      <c r="O2788" s="5">
        <f t="shared" si="260"/>
        <v>-5.8561897702001597E-2</v>
      </c>
      <c r="P2788" s="5">
        <f t="shared" si="261"/>
        <v>0.13543307086614176</v>
      </c>
      <c r="Q2788" s="4">
        <f t="shared" si="262"/>
        <v>-1.9782554569919228</v>
      </c>
      <c r="R2788" s="4">
        <f t="shared" si="263"/>
        <v>0.75337507660548964</v>
      </c>
      <c r="S2788" s="4">
        <v>1.1100000000000001</v>
      </c>
      <c r="T2788" s="2">
        <v>1.45</v>
      </c>
      <c r="U2788" s="2">
        <v>166.12</v>
      </c>
      <c r="V2788" s="2">
        <v>90.5</v>
      </c>
      <c r="W2788" s="2">
        <v>-4.63</v>
      </c>
      <c r="X2788" s="2">
        <v>-3.37</v>
      </c>
      <c r="Y2788" s="2">
        <v>4.75</v>
      </c>
      <c r="Z2788" s="2">
        <v>8.81</v>
      </c>
    </row>
    <row r="2789" spans="1:26" x14ac:dyDescent="0.25">
      <c r="A2789" s="1" t="s">
        <v>11127</v>
      </c>
      <c r="B2789" s="1" t="s">
        <v>11128</v>
      </c>
      <c r="C2789" s="1" t="s">
        <v>31</v>
      </c>
      <c r="D2789" s="1" t="s">
        <v>88</v>
      </c>
      <c r="E2789" s="1" t="s">
        <v>504</v>
      </c>
      <c r="F2789" s="1" t="s">
        <v>12800</v>
      </c>
      <c r="G2789" s="1" t="s">
        <v>12490</v>
      </c>
      <c r="H2789" s="1" t="s">
        <v>11129</v>
      </c>
      <c r="I2789" s="2" t="s">
        <v>12642</v>
      </c>
      <c r="J2789" s="2">
        <v>1.2</v>
      </c>
      <c r="K2789" s="2"/>
      <c r="L2789" s="2"/>
      <c r="M2789" s="4" t="e">
        <f t="shared" si="258"/>
        <v>#DIV/0!</v>
      </c>
      <c r="N2789" s="4" t="e">
        <f t="shared" si="259"/>
        <v>#DIV/0!</v>
      </c>
      <c r="O2789" s="5">
        <f t="shared" si="260"/>
        <v>-1</v>
      </c>
      <c r="P2789" s="5" t="e">
        <f t="shared" si="261"/>
        <v>#DIV/0!</v>
      </c>
      <c r="Q2789" s="4" t="e">
        <f t="shared" si="262"/>
        <v>#DIV/0!</v>
      </c>
      <c r="R2789" s="4" t="e">
        <f t="shared" si="263"/>
        <v>#DIV/0!</v>
      </c>
      <c r="S2789" s="4">
        <v>0.25</v>
      </c>
      <c r="T2789" s="2">
        <v>0.24</v>
      </c>
      <c r="U2789" s="2" t="s">
        <v>12642</v>
      </c>
      <c r="V2789" s="2">
        <v>13.55</v>
      </c>
      <c r="W2789" s="2" t="s">
        <v>12489</v>
      </c>
      <c r="X2789" s="2">
        <v>6.25</v>
      </c>
      <c r="Y2789" s="2">
        <v>6.25</v>
      </c>
      <c r="Z2789" s="2">
        <v>6.25</v>
      </c>
    </row>
    <row r="2790" spans="1:26" x14ac:dyDescent="0.25">
      <c r="A2790" s="1" t="s">
        <v>11130</v>
      </c>
      <c r="B2790" s="1" t="s">
        <v>11131</v>
      </c>
      <c r="C2790" s="1" t="s">
        <v>16</v>
      </c>
      <c r="D2790" s="1" t="s">
        <v>32</v>
      </c>
      <c r="E2790" s="1" t="s">
        <v>311</v>
      </c>
      <c r="F2790" s="1" t="s">
        <v>11132</v>
      </c>
      <c r="G2790" s="1" t="s">
        <v>12480</v>
      </c>
      <c r="H2790" s="1" t="s">
        <v>12678</v>
      </c>
      <c r="I2790" s="2">
        <v>29.49</v>
      </c>
      <c r="J2790" s="2">
        <v>0.89</v>
      </c>
      <c r="K2790" s="2">
        <v>1.3</v>
      </c>
      <c r="L2790" s="2">
        <v>1.71</v>
      </c>
      <c r="M2790" s="4">
        <f t="shared" si="258"/>
        <v>22.684615384615384</v>
      </c>
      <c r="N2790" s="4">
        <f t="shared" si="259"/>
        <v>17.245614035087719</v>
      </c>
      <c r="O2790" s="5">
        <f t="shared" si="260"/>
        <v>0.4606741573033708</v>
      </c>
      <c r="P2790" s="5">
        <f t="shared" si="261"/>
        <v>0.31538461538461537</v>
      </c>
      <c r="Q2790" s="4">
        <f t="shared" si="262"/>
        <v>0.49242213883677294</v>
      </c>
      <c r="R2790" s="4">
        <f t="shared" si="263"/>
        <v>0.54681215233204972</v>
      </c>
      <c r="S2790" s="4">
        <v>24.05</v>
      </c>
      <c r="T2790" s="2">
        <v>1.95</v>
      </c>
      <c r="U2790" s="2">
        <v>49.3</v>
      </c>
      <c r="V2790" s="2">
        <v>25.07</v>
      </c>
      <c r="W2790" s="2">
        <v>6.96</v>
      </c>
      <c r="X2790" s="2">
        <v>2.93</v>
      </c>
      <c r="Y2790" s="2">
        <v>-15.23</v>
      </c>
      <c r="Z2790" s="2">
        <v>-16.95</v>
      </c>
    </row>
    <row r="2791" spans="1:26" x14ac:dyDescent="0.25">
      <c r="A2791" s="1" t="s">
        <v>11133</v>
      </c>
      <c r="B2791" s="1" t="s">
        <v>11134</v>
      </c>
      <c r="C2791" s="1" t="s">
        <v>45</v>
      </c>
      <c r="D2791" s="1" t="s">
        <v>38</v>
      </c>
      <c r="E2791" s="1" t="s">
        <v>119</v>
      </c>
      <c r="F2791" s="1" t="s">
        <v>11135</v>
      </c>
      <c r="G2791" s="1" t="s">
        <v>12480</v>
      </c>
      <c r="H2791" s="1" t="s">
        <v>10827</v>
      </c>
      <c r="I2791" s="2">
        <v>33.22</v>
      </c>
      <c r="J2791" s="2">
        <v>3.02</v>
      </c>
      <c r="K2791" s="2">
        <v>3.35</v>
      </c>
      <c r="L2791" s="2">
        <v>3.75</v>
      </c>
      <c r="M2791" s="4">
        <f t="shared" si="258"/>
        <v>9.9164179104477608</v>
      </c>
      <c r="N2791" s="4">
        <f t="shared" si="259"/>
        <v>8.8586666666666662</v>
      </c>
      <c r="O2791" s="5">
        <f t="shared" si="260"/>
        <v>0.10927152317880795</v>
      </c>
      <c r="P2791" s="5">
        <f t="shared" si="261"/>
        <v>0.11940298507462677</v>
      </c>
      <c r="Q2791" s="4">
        <f t="shared" si="262"/>
        <v>0.90750248756218899</v>
      </c>
      <c r="R2791" s="4">
        <f t="shared" si="263"/>
        <v>0.74191333333333387</v>
      </c>
      <c r="S2791" s="4">
        <v>9.0399999999999991</v>
      </c>
      <c r="T2791" s="2">
        <v>0.75</v>
      </c>
      <c r="U2791" s="2">
        <v>37.65</v>
      </c>
      <c r="V2791" s="2">
        <v>30.4</v>
      </c>
      <c r="W2791" s="2">
        <v>-3.93</v>
      </c>
      <c r="X2791" s="2">
        <v>-10.19</v>
      </c>
      <c r="Y2791" s="2">
        <v>-6.48</v>
      </c>
      <c r="Z2791" s="2">
        <v>-0.45</v>
      </c>
    </row>
    <row r="2792" spans="1:26" x14ac:dyDescent="0.25">
      <c r="A2792" s="1" t="s">
        <v>11136</v>
      </c>
      <c r="B2792" s="1" t="s">
        <v>11137</v>
      </c>
      <c r="C2792" s="1" t="s">
        <v>16</v>
      </c>
      <c r="D2792" s="1" t="s">
        <v>128</v>
      </c>
      <c r="E2792" s="1" t="s">
        <v>2055</v>
      </c>
      <c r="F2792" s="1" t="s">
        <v>11138</v>
      </c>
      <c r="G2792" s="1" t="s">
        <v>12480</v>
      </c>
      <c r="H2792" s="1" t="s">
        <v>5133</v>
      </c>
      <c r="I2792" s="2">
        <v>92.88</v>
      </c>
      <c r="J2792" s="2">
        <v>3.96</v>
      </c>
      <c r="K2792" s="2">
        <v>4.08</v>
      </c>
      <c r="L2792" s="2"/>
      <c r="M2792" s="4">
        <f t="shared" si="258"/>
        <v>22.764705882352938</v>
      </c>
      <c r="N2792" s="4" t="e">
        <f t="shared" si="259"/>
        <v>#DIV/0!</v>
      </c>
      <c r="O2792" s="5">
        <f t="shared" si="260"/>
        <v>3.0303030303030276E-2</v>
      </c>
      <c r="P2792" s="5">
        <f t="shared" si="261"/>
        <v>-1</v>
      </c>
      <c r="Q2792" s="4">
        <f t="shared" si="262"/>
        <v>7.5123529411764762</v>
      </c>
      <c r="R2792" s="4" t="e">
        <f t="shared" si="263"/>
        <v>#DIV/0!</v>
      </c>
      <c r="S2792" s="4">
        <v>28.39</v>
      </c>
      <c r="T2792" s="2">
        <v>0.85</v>
      </c>
      <c r="U2792" s="2">
        <v>142.97999999999999</v>
      </c>
      <c r="V2792" s="2">
        <v>54.53</v>
      </c>
      <c r="W2792" s="2">
        <v>-14.4</v>
      </c>
      <c r="X2792" s="2">
        <v>-26.64</v>
      </c>
      <c r="Y2792" s="2">
        <v>-15.26</v>
      </c>
      <c r="Z2792" s="2">
        <v>-14.32</v>
      </c>
    </row>
    <row r="2793" spans="1:26" x14ac:dyDescent="0.25">
      <c r="A2793" s="1" t="s">
        <v>11139</v>
      </c>
      <c r="B2793" s="1" t="s">
        <v>11140</v>
      </c>
      <c r="C2793" s="1" t="s">
        <v>16</v>
      </c>
      <c r="D2793" s="1" t="s">
        <v>61</v>
      </c>
      <c r="E2793" s="1" t="s">
        <v>3884</v>
      </c>
      <c r="F2793" s="1" t="s">
        <v>11141</v>
      </c>
      <c r="G2793" s="1" t="s">
        <v>12480</v>
      </c>
      <c r="H2793" s="1" t="s">
        <v>3576</v>
      </c>
      <c r="I2793" s="2">
        <v>72.040000000000006</v>
      </c>
      <c r="J2793" s="2">
        <v>4.29</v>
      </c>
      <c r="K2793" s="2">
        <v>4.72</v>
      </c>
      <c r="L2793" s="2">
        <v>5.3</v>
      </c>
      <c r="M2793" s="4">
        <f t="shared" si="258"/>
        <v>15.262711864406782</v>
      </c>
      <c r="N2793" s="4">
        <f t="shared" si="259"/>
        <v>13.59245283018868</v>
      </c>
      <c r="O2793" s="5">
        <f t="shared" si="260"/>
        <v>0.10023310023310006</v>
      </c>
      <c r="P2793" s="5">
        <f t="shared" si="261"/>
        <v>0.12288135593220351</v>
      </c>
      <c r="Q2793" s="4">
        <f t="shared" si="262"/>
        <v>1.5227217185652373</v>
      </c>
      <c r="R2793" s="4">
        <f t="shared" si="263"/>
        <v>1.1061444372153537</v>
      </c>
      <c r="S2793" s="4">
        <v>28.11</v>
      </c>
      <c r="T2793" s="2">
        <v>2.23</v>
      </c>
      <c r="U2793" s="2">
        <v>89.38</v>
      </c>
      <c r="V2793" s="2">
        <v>19.63</v>
      </c>
      <c r="W2793" s="2">
        <v>-2.08</v>
      </c>
      <c r="X2793" s="2">
        <v>-14.31</v>
      </c>
      <c r="Y2793" s="2">
        <v>6.24</v>
      </c>
      <c r="Z2793" s="2">
        <v>7.49</v>
      </c>
    </row>
    <row r="2794" spans="1:26" x14ac:dyDescent="0.25">
      <c r="A2794" s="1" t="s">
        <v>11142</v>
      </c>
      <c r="B2794" s="1" t="s">
        <v>11143</v>
      </c>
      <c r="C2794" s="1" t="s">
        <v>45</v>
      </c>
      <c r="D2794" s="1" t="s">
        <v>38</v>
      </c>
      <c r="E2794" s="1" t="s">
        <v>101</v>
      </c>
      <c r="F2794" s="1" t="s">
        <v>11144</v>
      </c>
      <c r="G2794" s="1" t="s">
        <v>12480</v>
      </c>
      <c r="H2794" s="1" t="s">
        <v>11145</v>
      </c>
      <c r="I2794" s="2">
        <v>42.7</v>
      </c>
      <c r="J2794" s="2">
        <v>2.41</v>
      </c>
      <c r="K2794" s="2" t="s">
        <v>12490</v>
      </c>
      <c r="L2794" s="2">
        <v>3.81</v>
      </c>
      <c r="M2794" s="4">
        <f t="shared" si="258"/>
        <v>14.233333333333334</v>
      </c>
      <c r="N2794" s="4">
        <f t="shared" si="259"/>
        <v>11.20734908136483</v>
      </c>
      <c r="O2794" s="5">
        <f t="shared" si="260"/>
        <v>0.24481327800829877</v>
      </c>
      <c r="P2794" s="5">
        <f t="shared" si="261"/>
        <v>0.27</v>
      </c>
      <c r="Q2794" s="4">
        <f t="shared" si="262"/>
        <v>0.58139548022598875</v>
      </c>
      <c r="R2794" s="4">
        <f t="shared" si="263"/>
        <v>0.41508700301351226</v>
      </c>
      <c r="S2794" s="4">
        <v>33.43</v>
      </c>
      <c r="T2794" s="2">
        <v>1.55</v>
      </c>
      <c r="U2794" s="2">
        <v>69.66</v>
      </c>
      <c r="V2794" s="2">
        <v>39.68</v>
      </c>
      <c r="W2794" s="2">
        <v>-3.46</v>
      </c>
      <c r="X2794" s="2">
        <v>-22.31</v>
      </c>
      <c r="Y2794" s="2">
        <v>-36.020000000000003</v>
      </c>
      <c r="Z2794" s="2">
        <v>-33.11</v>
      </c>
    </row>
    <row r="2795" spans="1:26" x14ac:dyDescent="0.25">
      <c r="A2795" s="1" t="s">
        <v>11146</v>
      </c>
      <c r="B2795" s="1" t="s">
        <v>11147</v>
      </c>
      <c r="C2795" s="1" t="s">
        <v>16</v>
      </c>
      <c r="D2795" s="1" t="s">
        <v>61</v>
      </c>
      <c r="E2795" s="1" t="s">
        <v>2394</v>
      </c>
      <c r="F2795" s="1" t="s">
        <v>11148</v>
      </c>
      <c r="G2795" s="1" t="s">
        <v>12480</v>
      </c>
      <c r="H2795" s="1" t="s">
        <v>10313</v>
      </c>
      <c r="I2795" s="2">
        <v>46.3</v>
      </c>
      <c r="J2795" s="2">
        <v>2.97</v>
      </c>
      <c r="K2795" s="2">
        <v>2.58</v>
      </c>
      <c r="L2795" s="2"/>
      <c r="M2795" s="4">
        <f t="shared" si="258"/>
        <v>17.945736434108525</v>
      </c>
      <c r="N2795" s="4" t="e">
        <f t="shared" si="259"/>
        <v>#DIV/0!</v>
      </c>
      <c r="O2795" s="5">
        <f t="shared" si="260"/>
        <v>-0.13131313131313138</v>
      </c>
      <c r="P2795" s="5">
        <f t="shared" si="261"/>
        <v>-1</v>
      </c>
      <c r="Q2795" s="4">
        <f t="shared" si="262"/>
        <v>-1.3666368515205716</v>
      </c>
      <c r="R2795" s="4" t="e">
        <f t="shared" si="263"/>
        <v>#DIV/0!</v>
      </c>
      <c r="S2795" s="4">
        <v>-23.15</v>
      </c>
      <c r="T2795" s="2">
        <v>1.34</v>
      </c>
      <c r="U2795" s="2">
        <v>46.44</v>
      </c>
      <c r="V2795" s="2">
        <v>28.96</v>
      </c>
      <c r="W2795" s="2">
        <v>-0.3</v>
      </c>
      <c r="X2795" s="2">
        <v>32.06</v>
      </c>
      <c r="Y2795" s="2">
        <v>37.39</v>
      </c>
      <c r="Z2795" s="2">
        <v>47.12</v>
      </c>
    </row>
    <row r="2796" spans="1:26" x14ac:dyDescent="0.25">
      <c r="A2796" s="1" t="s">
        <v>11149</v>
      </c>
      <c r="B2796" s="1" t="s">
        <v>11150</v>
      </c>
      <c r="C2796" s="1" t="s">
        <v>16</v>
      </c>
      <c r="D2796" s="1" t="s">
        <v>94</v>
      </c>
      <c r="E2796" s="1" t="s">
        <v>95</v>
      </c>
      <c r="F2796" s="1" t="s">
        <v>11151</v>
      </c>
      <c r="G2796" s="1" t="s">
        <v>12480</v>
      </c>
      <c r="H2796" s="1" t="s">
        <v>11152</v>
      </c>
      <c r="I2796" s="2">
        <v>539.79</v>
      </c>
      <c r="J2796" s="2">
        <v>6.97</v>
      </c>
      <c r="K2796" s="2">
        <v>7.83</v>
      </c>
      <c r="L2796" s="2">
        <v>8.82</v>
      </c>
      <c r="M2796" s="4">
        <f t="shared" si="258"/>
        <v>68.938697318007655</v>
      </c>
      <c r="N2796" s="4">
        <f t="shared" si="259"/>
        <v>61.200680272108841</v>
      </c>
      <c r="O2796" s="5">
        <f t="shared" si="260"/>
        <v>0.12338593974175049</v>
      </c>
      <c r="P2796" s="5">
        <f t="shared" si="261"/>
        <v>0.12643678160919536</v>
      </c>
      <c r="Q2796" s="4">
        <f t="shared" si="262"/>
        <v>5.5872409337966609</v>
      </c>
      <c r="R2796" s="4">
        <f t="shared" si="263"/>
        <v>4.8404174397031561</v>
      </c>
      <c r="S2796" s="4">
        <v>13.09</v>
      </c>
      <c r="T2796" s="2">
        <v>0.83</v>
      </c>
      <c r="U2796" s="2">
        <v>539.79</v>
      </c>
      <c r="V2796" s="2">
        <v>273.56</v>
      </c>
      <c r="W2796" s="2">
        <v>1.64</v>
      </c>
      <c r="X2796" s="2">
        <v>44.13</v>
      </c>
      <c r="Y2796" s="2">
        <v>92.87</v>
      </c>
      <c r="Z2796" s="2">
        <v>87.94</v>
      </c>
    </row>
    <row r="2797" spans="1:26" x14ac:dyDescent="0.25">
      <c r="A2797" s="1" t="s">
        <v>11153</v>
      </c>
      <c r="B2797" s="1" t="s">
        <v>11154</v>
      </c>
      <c r="C2797" s="1" t="s">
        <v>16</v>
      </c>
      <c r="D2797" s="1" t="s">
        <v>67</v>
      </c>
      <c r="E2797" s="1" t="s">
        <v>381</v>
      </c>
      <c r="F2797" s="1" t="s">
        <v>11155</v>
      </c>
      <c r="G2797" s="1" t="s">
        <v>12502</v>
      </c>
      <c r="H2797" s="1" t="s">
        <v>11156</v>
      </c>
      <c r="I2797" s="2">
        <v>145.5</v>
      </c>
      <c r="J2797" s="2">
        <v>5.0999999999999996</v>
      </c>
      <c r="K2797" s="2">
        <v>6.46</v>
      </c>
      <c r="L2797" s="2">
        <v>6.88</v>
      </c>
      <c r="M2797" s="4">
        <f t="shared" si="258"/>
        <v>22.523219814241486</v>
      </c>
      <c r="N2797" s="4">
        <f t="shared" si="259"/>
        <v>21.14825581395349</v>
      </c>
      <c r="O2797" s="5">
        <f t="shared" si="260"/>
        <v>0.26666666666666683</v>
      </c>
      <c r="P2797" s="5">
        <f t="shared" si="261"/>
        <v>6.5015479876161075E-2</v>
      </c>
      <c r="Q2797" s="4">
        <f t="shared" si="262"/>
        <v>0.84462074303405521</v>
      </c>
      <c r="R2797" s="4">
        <f t="shared" si="263"/>
        <v>3.2528031561461757</v>
      </c>
      <c r="S2797" s="4">
        <v>5.09</v>
      </c>
      <c r="T2797" s="2">
        <v>1.55</v>
      </c>
      <c r="U2797" s="2">
        <v>160.49</v>
      </c>
      <c r="V2797" s="2">
        <v>60.6</v>
      </c>
      <c r="W2797" s="2">
        <v>-6.98</v>
      </c>
      <c r="X2797" s="2">
        <v>-5.92</v>
      </c>
      <c r="Y2797" s="2">
        <v>17.739999999999998</v>
      </c>
      <c r="Z2797" s="2">
        <v>13.88</v>
      </c>
    </row>
    <row r="2798" spans="1:26" x14ac:dyDescent="0.25">
      <c r="A2798" s="1" t="s">
        <v>11157</v>
      </c>
      <c r="B2798" s="1" t="s">
        <v>11158</v>
      </c>
      <c r="C2798" s="1" t="s">
        <v>16</v>
      </c>
      <c r="D2798" s="1" t="s">
        <v>128</v>
      </c>
      <c r="E2798" s="1" t="s">
        <v>5691</v>
      </c>
      <c r="F2798" s="1" t="s">
        <v>11159</v>
      </c>
      <c r="G2798" s="1" t="s">
        <v>12480</v>
      </c>
      <c r="H2798" s="1" t="s">
        <v>6843</v>
      </c>
      <c r="I2798" s="2">
        <v>42.34</v>
      </c>
      <c r="J2798" s="2">
        <v>1.33</v>
      </c>
      <c r="K2798" s="2"/>
      <c r="L2798" s="2"/>
      <c r="M2798" s="4" t="e">
        <f t="shared" si="258"/>
        <v>#DIV/0!</v>
      </c>
      <c r="N2798" s="4" t="e">
        <f t="shared" si="259"/>
        <v>#DIV/0!</v>
      </c>
      <c r="O2798" s="5">
        <f t="shared" si="260"/>
        <v>-1</v>
      </c>
      <c r="P2798" s="5" t="e">
        <f t="shared" si="261"/>
        <v>#DIV/0!</v>
      </c>
      <c r="Q2798" s="4" t="e">
        <f t="shared" si="262"/>
        <v>#DIV/0!</v>
      </c>
      <c r="R2798" s="4" t="e">
        <f t="shared" si="263"/>
        <v>#DIV/0!</v>
      </c>
      <c r="S2798" s="4">
        <v>1.28</v>
      </c>
      <c r="T2798" s="2">
        <v>0.54</v>
      </c>
      <c r="U2798" s="2">
        <v>42.41</v>
      </c>
      <c r="V2798" s="2">
        <v>28.83</v>
      </c>
      <c r="W2798" s="2">
        <v>1.49</v>
      </c>
      <c r="X2798" s="2">
        <v>12.22</v>
      </c>
      <c r="Y2798" s="2">
        <v>15.28</v>
      </c>
      <c r="Z2798" s="2">
        <v>19.059999999999999</v>
      </c>
    </row>
    <row r="2799" spans="1:26" x14ac:dyDescent="0.25">
      <c r="A2799" s="1" t="s">
        <v>11160</v>
      </c>
      <c r="B2799" s="1" t="s">
        <v>11161</v>
      </c>
      <c r="C2799" s="1" t="s">
        <v>16</v>
      </c>
      <c r="D2799" s="1" t="s">
        <v>61</v>
      </c>
      <c r="E2799" s="1" t="s">
        <v>1534</v>
      </c>
      <c r="F2799" s="1" t="s">
        <v>8102</v>
      </c>
      <c r="G2799" s="1" t="s">
        <v>12480</v>
      </c>
      <c r="H2799" s="1" t="s">
        <v>11162</v>
      </c>
      <c r="I2799" s="2">
        <v>37.33</v>
      </c>
      <c r="J2799" s="2">
        <v>2.09</v>
      </c>
      <c r="K2799" s="2">
        <v>1.64</v>
      </c>
      <c r="L2799" s="2">
        <v>1.84</v>
      </c>
      <c r="M2799" s="4">
        <f t="shared" si="258"/>
        <v>22.762195121951219</v>
      </c>
      <c r="N2799" s="4">
        <f t="shared" si="259"/>
        <v>20.288043478260867</v>
      </c>
      <c r="O2799" s="5">
        <f t="shared" si="260"/>
        <v>-0.21531100478468901</v>
      </c>
      <c r="P2799" s="5">
        <f t="shared" si="261"/>
        <v>0.12195121951219523</v>
      </c>
      <c r="Q2799" s="4">
        <f t="shared" si="262"/>
        <v>-1.0571775067750677</v>
      </c>
      <c r="R2799" s="4">
        <f t="shared" si="263"/>
        <v>1.6636195652173897</v>
      </c>
      <c r="S2799" s="4">
        <v>1.98</v>
      </c>
      <c r="T2799" s="2">
        <v>1.58</v>
      </c>
      <c r="U2799" s="2">
        <v>68.489999999999995</v>
      </c>
      <c r="V2799" s="2">
        <v>30.13</v>
      </c>
      <c r="W2799" s="2">
        <v>-8.24</v>
      </c>
      <c r="X2799" s="2">
        <v>-14.75</v>
      </c>
      <c r="Y2799" s="2">
        <v>7.09</v>
      </c>
      <c r="Z2799" s="2">
        <v>6.41</v>
      </c>
    </row>
    <row r="2800" spans="1:26" x14ac:dyDescent="0.25">
      <c r="A2800" s="1" t="s">
        <v>11163</v>
      </c>
      <c r="B2800" s="1" t="s">
        <v>11164</v>
      </c>
      <c r="C2800" s="1" t="s">
        <v>16</v>
      </c>
      <c r="D2800" s="1" t="s">
        <v>94</v>
      </c>
      <c r="E2800" s="1" t="s">
        <v>4976</v>
      </c>
      <c r="F2800" s="1" t="s">
        <v>11165</v>
      </c>
      <c r="G2800" s="1" t="s">
        <v>12480</v>
      </c>
      <c r="H2800" s="1" t="s">
        <v>7712</v>
      </c>
      <c r="I2800" s="2">
        <v>234.74</v>
      </c>
      <c r="J2800" s="2">
        <v>8.49</v>
      </c>
      <c r="K2800" s="2">
        <v>10.09</v>
      </c>
      <c r="L2800" s="2">
        <v>11.4</v>
      </c>
      <c r="M2800" s="4">
        <f t="shared" si="258"/>
        <v>23.264618434093162</v>
      </c>
      <c r="N2800" s="4">
        <f t="shared" si="259"/>
        <v>20.59122807017544</v>
      </c>
      <c r="O2800" s="5">
        <f t="shared" si="260"/>
        <v>0.18845700824499412</v>
      </c>
      <c r="P2800" s="5">
        <f t="shared" si="261"/>
        <v>0.12983151635282453</v>
      </c>
      <c r="Q2800" s="4">
        <f t="shared" si="262"/>
        <v>1.2344788156590685</v>
      </c>
      <c r="R2800" s="4">
        <f t="shared" si="263"/>
        <v>1.5859961162448111</v>
      </c>
      <c r="S2800" s="4">
        <v>3.95</v>
      </c>
      <c r="T2800" s="2">
        <v>0.84</v>
      </c>
      <c r="U2800" s="2">
        <v>244.04</v>
      </c>
      <c r="V2800" s="2">
        <v>146.30000000000001</v>
      </c>
      <c r="W2800" s="2">
        <v>-2.0299999999999998</v>
      </c>
      <c r="X2800" s="2">
        <v>7.83</v>
      </c>
      <c r="Y2800" s="2">
        <v>28.76</v>
      </c>
      <c r="Z2800" s="2">
        <v>27.23</v>
      </c>
    </row>
    <row r="2801" spans="1:26" x14ac:dyDescent="0.25">
      <c r="A2801" s="1" t="s">
        <v>11166</v>
      </c>
      <c r="B2801" s="1" t="s">
        <v>11167</v>
      </c>
      <c r="C2801" s="1" t="s">
        <v>45</v>
      </c>
      <c r="D2801" s="1" t="s">
        <v>140</v>
      </c>
      <c r="E2801" s="1" t="s">
        <v>141</v>
      </c>
      <c r="F2801" s="1" t="s">
        <v>11168</v>
      </c>
      <c r="G2801" s="1" t="s">
        <v>12480</v>
      </c>
      <c r="H2801" s="1" t="s">
        <v>11169</v>
      </c>
      <c r="I2801" s="2">
        <v>111.52</v>
      </c>
      <c r="J2801" s="2">
        <v>3.92</v>
      </c>
      <c r="K2801" s="2">
        <v>4.4000000000000004</v>
      </c>
      <c r="L2801" s="2">
        <v>5.01</v>
      </c>
      <c r="M2801" s="4">
        <f t="shared" si="258"/>
        <v>25.345454545454544</v>
      </c>
      <c r="N2801" s="4">
        <f t="shared" si="259"/>
        <v>22.25948103792415</v>
      </c>
      <c r="O2801" s="5">
        <f t="shared" si="260"/>
        <v>0.12244897959183687</v>
      </c>
      <c r="P2801" s="5">
        <f t="shared" si="261"/>
        <v>0.13863636363636345</v>
      </c>
      <c r="Q2801" s="4">
        <f t="shared" si="262"/>
        <v>2.0698787878787854</v>
      </c>
      <c r="R2801" s="4">
        <f t="shared" si="263"/>
        <v>1.6056019109322359</v>
      </c>
      <c r="S2801" s="4" t="s">
        <v>12490</v>
      </c>
      <c r="T2801" s="2">
        <v>0.81</v>
      </c>
      <c r="U2801" s="2">
        <v>214.21</v>
      </c>
      <c r="V2801" s="2">
        <v>80.86</v>
      </c>
      <c r="W2801" s="2">
        <v>12.09</v>
      </c>
      <c r="X2801" s="2">
        <v>24.87</v>
      </c>
      <c r="Y2801" s="2">
        <v>-15.39</v>
      </c>
      <c r="Z2801" s="2">
        <v>-15.45</v>
      </c>
    </row>
    <row r="2802" spans="1:26" x14ac:dyDescent="0.25">
      <c r="A2802" s="1" t="s">
        <v>11170</v>
      </c>
      <c r="B2802" s="1" t="s">
        <v>11171</v>
      </c>
      <c r="C2802" s="1" t="s">
        <v>45</v>
      </c>
      <c r="D2802" s="1" t="s">
        <v>38</v>
      </c>
      <c r="E2802" s="1" t="s">
        <v>712</v>
      </c>
      <c r="F2802" s="1" t="s">
        <v>11172</v>
      </c>
      <c r="G2802" s="1" t="s">
        <v>12480</v>
      </c>
      <c r="H2802" s="1" t="s">
        <v>10105</v>
      </c>
      <c r="I2802" s="2">
        <v>14.86</v>
      </c>
      <c r="J2802" s="2">
        <v>2.08</v>
      </c>
      <c r="K2802" s="2">
        <v>2.0499999999999998</v>
      </c>
      <c r="L2802" s="2">
        <v>2.0699999999999998</v>
      </c>
      <c r="M2802" s="4">
        <f t="shared" si="258"/>
        <v>7.2487804878048783</v>
      </c>
      <c r="N2802" s="4">
        <f t="shared" si="259"/>
        <v>7.1787439613526569</v>
      </c>
      <c r="O2802" s="5">
        <f t="shared" si="260"/>
        <v>-1.4423076923077094E-2</v>
      </c>
      <c r="P2802" s="5">
        <f t="shared" si="261"/>
        <v>9.7560975609756184E-3</v>
      </c>
      <c r="Q2802" s="4">
        <f t="shared" si="262"/>
        <v>-5.0258211382113229</v>
      </c>
      <c r="R2802" s="4">
        <f t="shared" si="263"/>
        <v>7.358212560386467</v>
      </c>
      <c r="S2802" s="4">
        <v>23.54</v>
      </c>
      <c r="T2802" s="2">
        <v>0.55000000000000004</v>
      </c>
      <c r="U2802" s="2">
        <v>17.059999999999999</v>
      </c>
      <c r="V2802" s="2">
        <v>13.53</v>
      </c>
      <c r="W2802" s="2">
        <v>-0.34</v>
      </c>
      <c r="X2802" s="2">
        <v>-8.0399999999999991</v>
      </c>
      <c r="Y2802" s="2">
        <v>-1.72</v>
      </c>
      <c r="Z2802" s="2">
        <v>1.43</v>
      </c>
    </row>
    <row r="2803" spans="1:26" x14ac:dyDescent="0.25">
      <c r="A2803" s="1" t="s">
        <v>11173</v>
      </c>
      <c r="B2803" s="1" t="s">
        <v>11174</v>
      </c>
      <c r="C2803" s="1" t="s">
        <v>45</v>
      </c>
      <c r="D2803" s="1" t="s">
        <v>67</v>
      </c>
      <c r="E2803" s="1" t="s">
        <v>833</v>
      </c>
      <c r="F2803" s="1" t="s">
        <v>11175</v>
      </c>
      <c r="G2803" s="1" t="s">
        <v>12480</v>
      </c>
      <c r="H2803" s="1" t="s">
        <v>11176</v>
      </c>
      <c r="I2803" s="2">
        <v>10.61</v>
      </c>
      <c r="J2803" s="2">
        <v>1.27</v>
      </c>
      <c r="K2803" s="2">
        <v>1.57</v>
      </c>
      <c r="L2803" s="2">
        <v>1.95</v>
      </c>
      <c r="M2803" s="4">
        <f t="shared" si="258"/>
        <v>6.7579617834394901</v>
      </c>
      <c r="N2803" s="4">
        <f t="shared" si="259"/>
        <v>5.4410256410256412</v>
      </c>
      <c r="O2803" s="5">
        <f t="shared" si="260"/>
        <v>0.23622047244094491</v>
      </c>
      <c r="P2803" s="5">
        <f t="shared" si="261"/>
        <v>0.2420382165605095</v>
      </c>
      <c r="Q2803" s="4">
        <f t="shared" si="262"/>
        <v>0.28608704883227176</v>
      </c>
      <c r="R2803" s="4">
        <f t="shared" si="263"/>
        <v>0.22480026990553315</v>
      </c>
      <c r="S2803" s="4">
        <v>3.05</v>
      </c>
      <c r="T2803" s="2">
        <v>0.97</v>
      </c>
      <c r="U2803" s="2">
        <v>19.14</v>
      </c>
      <c r="V2803" s="2">
        <v>9.61</v>
      </c>
      <c r="W2803" s="2">
        <v>6.31</v>
      </c>
      <c r="X2803" s="2">
        <v>-17.170000000000002</v>
      </c>
      <c r="Y2803" s="2">
        <v>-28.94</v>
      </c>
      <c r="Z2803" s="2">
        <v>-27.13</v>
      </c>
    </row>
    <row r="2804" spans="1:26" x14ac:dyDescent="0.25">
      <c r="A2804" s="1" t="s">
        <v>11177</v>
      </c>
      <c r="B2804" s="1" t="s">
        <v>11178</v>
      </c>
      <c r="C2804" s="1" t="s">
        <v>45</v>
      </c>
      <c r="D2804" s="1" t="s">
        <v>25</v>
      </c>
      <c r="E2804" s="1" t="s">
        <v>220</v>
      </c>
      <c r="F2804" s="1" t="s">
        <v>11179</v>
      </c>
      <c r="G2804" s="1" t="s">
        <v>12480</v>
      </c>
      <c r="H2804" s="1" t="s">
        <v>11180</v>
      </c>
      <c r="I2804" s="2">
        <v>70.45</v>
      </c>
      <c r="J2804" s="2">
        <v>3.13</v>
      </c>
      <c r="K2804" s="2">
        <v>3.53</v>
      </c>
      <c r="L2804" s="2">
        <v>4.0199999999999996</v>
      </c>
      <c r="M2804" s="4">
        <f t="shared" si="258"/>
        <v>19.957507082152976</v>
      </c>
      <c r="N2804" s="4">
        <f t="shared" si="259"/>
        <v>17.524875621890551</v>
      </c>
      <c r="O2804" s="5">
        <f t="shared" si="260"/>
        <v>0.1277955271565494</v>
      </c>
      <c r="P2804" s="5">
        <f t="shared" si="261"/>
        <v>0.13881019830028318</v>
      </c>
      <c r="Q2804" s="4">
        <f t="shared" si="262"/>
        <v>1.5616749291784717</v>
      </c>
      <c r="R2804" s="4">
        <f t="shared" si="263"/>
        <v>1.2625063458219121</v>
      </c>
      <c r="S2804" s="4">
        <v>-2.61</v>
      </c>
      <c r="T2804" s="2">
        <v>1.57</v>
      </c>
      <c r="U2804" s="2">
        <v>85.24</v>
      </c>
      <c r="V2804" s="2">
        <v>55.12</v>
      </c>
      <c r="W2804" s="2">
        <v>2.98</v>
      </c>
      <c r="X2804" s="2">
        <v>5.26</v>
      </c>
      <c r="Y2804" s="2">
        <v>-12.12</v>
      </c>
      <c r="Z2804" s="2">
        <v>-10.08</v>
      </c>
    </row>
    <row r="2805" spans="1:26" x14ac:dyDescent="0.25">
      <c r="A2805" s="1" t="s">
        <v>11181</v>
      </c>
      <c r="B2805" s="1" t="s">
        <v>11182</v>
      </c>
      <c r="C2805" s="1" t="s">
        <v>45</v>
      </c>
      <c r="D2805" s="1" t="s">
        <v>46</v>
      </c>
      <c r="E2805" s="1" t="s">
        <v>770</v>
      </c>
      <c r="F2805" s="1" t="s">
        <v>11183</v>
      </c>
      <c r="G2805" s="1" t="s">
        <v>12480</v>
      </c>
      <c r="H2805" s="1" t="s">
        <v>12801</v>
      </c>
      <c r="I2805" s="2">
        <v>28.67</v>
      </c>
      <c r="J2805" s="2">
        <v>2.85</v>
      </c>
      <c r="K2805" s="2"/>
      <c r="L2805" s="2"/>
      <c r="M2805" s="4" t="e">
        <f t="shared" si="258"/>
        <v>#DIV/0!</v>
      </c>
      <c r="N2805" s="4" t="e">
        <f t="shared" si="259"/>
        <v>#DIV/0!</v>
      </c>
      <c r="O2805" s="5">
        <f t="shared" si="260"/>
        <v>-1</v>
      </c>
      <c r="P2805" s="5" t="e">
        <f t="shared" si="261"/>
        <v>#DIV/0!</v>
      </c>
      <c r="Q2805" s="4" t="e">
        <f t="shared" si="262"/>
        <v>#DIV/0!</v>
      </c>
      <c r="R2805" s="4" t="e">
        <f t="shared" si="263"/>
        <v>#DIV/0!</v>
      </c>
      <c r="S2805" s="4">
        <v>-14.09</v>
      </c>
      <c r="T2805" s="2">
        <v>-0.01</v>
      </c>
      <c r="U2805" s="2">
        <v>30.94</v>
      </c>
      <c r="V2805" s="2">
        <v>13.97</v>
      </c>
      <c r="W2805" s="2">
        <v>-7.34</v>
      </c>
      <c r="X2805" s="2">
        <v>15.47</v>
      </c>
      <c r="Y2805" s="2">
        <v>40.06</v>
      </c>
      <c r="Z2805" s="2">
        <v>46.42</v>
      </c>
    </row>
    <row r="2806" spans="1:26" x14ac:dyDescent="0.25">
      <c r="A2806" s="1" t="s">
        <v>11184</v>
      </c>
      <c r="B2806" s="1" t="s">
        <v>11185</v>
      </c>
      <c r="C2806" s="1" t="s">
        <v>45</v>
      </c>
      <c r="D2806" s="1" t="s">
        <v>38</v>
      </c>
      <c r="E2806" s="1" t="s">
        <v>119</v>
      </c>
      <c r="F2806" s="1" t="s">
        <v>11186</v>
      </c>
      <c r="G2806" s="1" t="s">
        <v>12480</v>
      </c>
      <c r="H2806" s="1" t="s">
        <v>7677</v>
      </c>
      <c r="I2806" s="2">
        <v>41.78</v>
      </c>
      <c r="J2806" s="2">
        <v>3.7</v>
      </c>
      <c r="K2806" s="2">
        <v>3.8</v>
      </c>
      <c r="L2806" s="2">
        <v>4.08</v>
      </c>
      <c r="M2806" s="4">
        <f t="shared" si="258"/>
        <v>10.994736842105263</v>
      </c>
      <c r="N2806" s="4">
        <f t="shared" si="259"/>
        <v>10.240196078431373</v>
      </c>
      <c r="O2806" s="5">
        <f t="shared" si="260"/>
        <v>2.7027027027026973E-2</v>
      </c>
      <c r="P2806" s="5">
        <f t="shared" si="261"/>
        <v>7.3684210526315796E-2</v>
      </c>
      <c r="Q2806" s="4">
        <f t="shared" si="262"/>
        <v>4.0680526315789551</v>
      </c>
      <c r="R2806" s="4">
        <f t="shared" si="263"/>
        <v>1.3897408963585434</v>
      </c>
      <c r="S2806" s="4">
        <v>18.309999999999999</v>
      </c>
      <c r="T2806" s="2">
        <v>0.68</v>
      </c>
      <c r="U2806" s="2">
        <v>44.82</v>
      </c>
      <c r="V2806" s="2">
        <v>30.79</v>
      </c>
      <c r="W2806" s="2">
        <v>-3.78</v>
      </c>
      <c r="X2806" s="2">
        <v>-5.94</v>
      </c>
      <c r="Y2806" s="2">
        <v>2.4500000000000002</v>
      </c>
      <c r="Z2806" s="2">
        <v>7.27</v>
      </c>
    </row>
    <row r="2807" spans="1:26" x14ac:dyDescent="0.25">
      <c r="A2807" s="1" t="s">
        <v>11187</v>
      </c>
      <c r="B2807" s="1" t="s">
        <v>11188</v>
      </c>
      <c r="C2807" s="1" t="s">
        <v>31</v>
      </c>
      <c r="D2807" s="1" t="s">
        <v>94</v>
      </c>
      <c r="E2807" s="1" t="s">
        <v>409</v>
      </c>
      <c r="F2807" s="1" t="s">
        <v>11189</v>
      </c>
      <c r="G2807" s="1" t="s">
        <v>12480</v>
      </c>
      <c r="H2807" s="1" t="s">
        <v>11190</v>
      </c>
      <c r="I2807" s="2">
        <v>46.81</v>
      </c>
      <c r="J2807" s="2">
        <v>2.2999999999999998</v>
      </c>
      <c r="K2807" s="2">
        <v>2.41</v>
      </c>
      <c r="L2807" s="2">
        <v>2.77</v>
      </c>
      <c r="M2807" s="4">
        <f t="shared" si="258"/>
        <v>19.42323651452282</v>
      </c>
      <c r="N2807" s="4">
        <f t="shared" si="259"/>
        <v>16.898916967509027</v>
      </c>
      <c r="O2807" s="5">
        <f t="shared" si="260"/>
        <v>4.7826086956521907E-2</v>
      </c>
      <c r="P2807" s="5">
        <f t="shared" si="261"/>
        <v>0.14937759336099576</v>
      </c>
      <c r="Q2807" s="4">
        <f t="shared" si="262"/>
        <v>4.0612221803093025</v>
      </c>
      <c r="R2807" s="4">
        <f t="shared" si="263"/>
        <v>1.1312886081026883</v>
      </c>
      <c r="S2807" s="4">
        <v>6.92</v>
      </c>
      <c r="T2807" s="2">
        <v>-0.31</v>
      </c>
      <c r="U2807" s="2">
        <v>49.34</v>
      </c>
      <c r="V2807" s="2">
        <v>39.979999999999997</v>
      </c>
      <c r="W2807" s="2">
        <v>-0.34</v>
      </c>
      <c r="X2807" s="2">
        <v>2.74</v>
      </c>
      <c r="Y2807" s="2">
        <v>2.88</v>
      </c>
      <c r="Z2807" s="2">
        <v>4.09</v>
      </c>
    </row>
    <row r="2808" spans="1:26" x14ac:dyDescent="0.25">
      <c r="A2808" s="1" t="s">
        <v>11191</v>
      </c>
      <c r="B2808" s="1" t="s">
        <v>11192</v>
      </c>
      <c r="C2808" s="1" t="s">
        <v>16</v>
      </c>
      <c r="D2808" s="1" t="s">
        <v>46</v>
      </c>
      <c r="E2808" s="1" t="s">
        <v>391</v>
      </c>
      <c r="F2808" s="1" t="s">
        <v>11193</v>
      </c>
      <c r="G2808" s="1" t="s">
        <v>12480</v>
      </c>
      <c r="H2808" s="1" t="s">
        <v>11194</v>
      </c>
      <c r="I2808" s="2">
        <v>31.81</v>
      </c>
      <c r="J2808" s="2">
        <v>3.14</v>
      </c>
      <c r="K2808" s="2">
        <v>1.98</v>
      </c>
      <c r="L2808" s="2"/>
      <c r="M2808" s="4">
        <f t="shared" si="258"/>
        <v>16.065656565656564</v>
      </c>
      <c r="N2808" s="4" t="e">
        <f t="shared" si="259"/>
        <v>#DIV/0!</v>
      </c>
      <c r="O2808" s="5">
        <f t="shared" si="260"/>
        <v>-0.36942675159235672</v>
      </c>
      <c r="P2808" s="5">
        <f t="shared" si="261"/>
        <v>-1</v>
      </c>
      <c r="Q2808" s="4">
        <f t="shared" si="262"/>
        <v>-0.43488070358760006</v>
      </c>
      <c r="R2808" s="4" t="e">
        <f t="shared" si="263"/>
        <v>#DIV/0!</v>
      </c>
      <c r="S2808" s="4">
        <v>-29.95</v>
      </c>
      <c r="T2808" s="2">
        <v>1.42</v>
      </c>
      <c r="U2808" s="2">
        <v>35.17</v>
      </c>
      <c r="V2808" s="2">
        <v>23.3</v>
      </c>
      <c r="W2808" s="2">
        <v>-8.06</v>
      </c>
      <c r="X2808" s="2">
        <v>4.12</v>
      </c>
      <c r="Y2808" s="2">
        <v>12.32</v>
      </c>
      <c r="Z2808" s="2">
        <v>20.309999999999999</v>
      </c>
    </row>
    <row r="2809" spans="1:26" x14ac:dyDescent="0.25">
      <c r="A2809" s="1" t="s">
        <v>11195</v>
      </c>
      <c r="B2809" s="1" t="s">
        <v>11196</v>
      </c>
      <c r="C2809" s="1" t="s">
        <v>16</v>
      </c>
      <c r="D2809" s="1" t="s">
        <v>38</v>
      </c>
      <c r="E2809" s="1" t="s">
        <v>510</v>
      </c>
      <c r="F2809" s="1" t="s">
        <v>11197</v>
      </c>
      <c r="G2809" s="1" t="s">
        <v>12480</v>
      </c>
      <c r="H2809" s="1" t="s">
        <v>11198</v>
      </c>
      <c r="I2809" s="2">
        <v>62.69</v>
      </c>
      <c r="J2809" s="2">
        <v>2.77</v>
      </c>
      <c r="K2809" s="2">
        <v>2.79</v>
      </c>
      <c r="L2809" s="2">
        <v>2.96</v>
      </c>
      <c r="M2809" s="4">
        <f t="shared" si="258"/>
        <v>22.46953405017921</v>
      </c>
      <c r="N2809" s="4">
        <f t="shared" si="259"/>
        <v>21.179054054054053</v>
      </c>
      <c r="O2809" s="5">
        <f t="shared" si="260"/>
        <v>7.2202166064982976E-3</v>
      </c>
      <c r="P2809" s="5">
        <f t="shared" si="261"/>
        <v>6.0931899641577081E-2</v>
      </c>
      <c r="Q2809" s="4">
        <f t="shared" si="262"/>
        <v>31.120304659497762</v>
      </c>
      <c r="R2809" s="4">
        <f t="shared" si="263"/>
        <v>3.4758565182829875</v>
      </c>
      <c r="S2809" s="4">
        <v>24.51</v>
      </c>
      <c r="T2809" s="2">
        <v>1.1200000000000001</v>
      </c>
      <c r="U2809" s="2">
        <v>68.400000000000006</v>
      </c>
      <c r="V2809" s="2">
        <v>51.18</v>
      </c>
      <c r="W2809" s="2">
        <v>-5.56</v>
      </c>
      <c r="X2809" s="2">
        <v>-4.99</v>
      </c>
      <c r="Y2809" s="2">
        <v>3.45</v>
      </c>
      <c r="Z2809" s="2">
        <v>6.78</v>
      </c>
    </row>
    <row r="2810" spans="1:26" x14ac:dyDescent="0.25">
      <c r="A2810" s="1" t="s">
        <v>11199</v>
      </c>
      <c r="B2810" s="1" t="s">
        <v>11200</v>
      </c>
      <c r="C2810" s="1" t="s">
        <v>45</v>
      </c>
      <c r="D2810" s="1" t="s">
        <v>38</v>
      </c>
      <c r="E2810" s="1" t="s">
        <v>101</v>
      </c>
      <c r="F2810" s="1" t="s">
        <v>11201</v>
      </c>
      <c r="G2810" s="1" t="s">
        <v>12480</v>
      </c>
      <c r="H2810" s="1" t="s">
        <v>10627</v>
      </c>
      <c r="I2810" s="2">
        <v>90.55</v>
      </c>
      <c r="J2810" s="2">
        <v>9.7200000000000006</v>
      </c>
      <c r="K2810" s="2">
        <v>10.039999999999999</v>
      </c>
      <c r="L2810" s="2">
        <v>10.07</v>
      </c>
      <c r="M2810" s="4">
        <f t="shared" si="258"/>
        <v>9.0189243027888448</v>
      </c>
      <c r="N2810" s="4">
        <f t="shared" si="259"/>
        <v>8.9920556107249254</v>
      </c>
      <c r="O2810" s="5">
        <f t="shared" si="260"/>
        <v>3.2921810699588328E-2</v>
      </c>
      <c r="P2810" s="5">
        <f t="shared" si="261"/>
        <v>2.9880478087651596E-3</v>
      </c>
      <c r="Q2810" s="4">
        <f t="shared" si="262"/>
        <v>2.7394982569721242</v>
      </c>
      <c r="R2810" s="4">
        <f t="shared" si="263"/>
        <v>30.093412777223875</v>
      </c>
      <c r="S2810" s="4">
        <v>3.12</v>
      </c>
      <c r="T2810" s="2">
        <v>1.54</v>
      </c>
      <c r="U2810" s="2">
        <v>111.52</v>
      </c>
      <c r="V2810" s="2">
        <v>80.27</v>
      </c>
      <c r="W2810" s="2">
        <v>-4.5999999999999996</v>
      </c>
      <c r="X2810" s="2">
        <v>-5.49</v>
      </c>
      <c r="Y2810" s="2">
        <v>-12.61</v>
      </c>
      <c r="Z2810" s="2">
        <v>-11.56</v>
      </c>
    </row>
    <row r="2811" spans="1:26" x14ac:dyDescent="0.25">
      <c r="A2811" s="1" t="s">
        <v>11203</v>
      </c>
      <c r="B2811" s="1" t="s">
        <v>11204</v>
      </c>
      <c r="C2811" s="1" t="s">
        <v>16</v>
      </c>
      <c r="D2811" s="1" t="s">
        <v>88</v>
      </c>
      <c r="E2811" s="1" t="s">
        <v>504</v>
      </c>
      <c r="F2811" s="1" t="s">
        <v>11205</v>
      </c>
      <c r="G2811" s="1" t="s">
        <v>12480</v>
      </c>
      <c r="H2811" s="1" t="s">
        <v>11206</v>
      </c>
      <c r="I2811" s="2">
        <v>6.86</v>
      </c>
      <c r="J2811" s="2">
        <v>-1.5</v>
      </c>
      <c r="K2811" s="2">
        <v>-1.07</v>
      </c>
      <c r="L2811" s="2">
        <v>-0.08</v>
      </c>
      <c r="M2811" s="4">
        <f t="shared" si="258"/>
        <v>-6.4112149532710276</v>
      </c>
      <c r="N2811" s="4">
        <f t="shared" si="259"/>
        <v>-85.75</v>
      </c>
      <c r="O2811" s="5">
        <f t="shared" si="260"/>
        <v>-0.28666666666666663</v>
      </c>
      <c r="P2811" s="5">
        <f t="shared" si="261"/>
        <v>-0.92523364485981308</v>
      </c>
      <c r="Q2811" s="4">
        <f t="shared" si="262"/>
        <v>0.22364703325364052</v>
      </c>
      <c r="R2811" s="4">
        <f t="shared" si="263"/>
        <v>0.92679292929292934</v>
      </c>
      <c r="S2811" s="4">
        <v>-5.73</v>
      </c>
      <c r="T2811" s="2">
        <v>1.1100000000000001</v>
      </c>
      <c r="U2811" s="2">
        <v>8.41</v>
      </c>
      <c r="V2811" s="2">
        <v>2.88</v>
      </c>
      <c r="W2811" s="2">
        <v>-7.17</v>
      </c>
      <c r="X2811" s="2">
        <v>-8.2899999999999991</v>
      </c>
      <c r="Y2811" s="2">
        <v>54.85</v>
      </c>
      <c r="Z2811" s="2">
        <v>64.510000000000005</v>
      </c>
    </row>
    <row r="2812" spans="1:26" x14ac:dyDescent="0.25">
      <c r="A2812" s="1" t="s">
        <v>11207</v>
      </c>
      <c r="B2812" s="1" t="s">
        <v>11208</v>
      </c>
      <c r="C2812" s="1" t="s">
        <v>16</v>
      </c>
      <c r="D2812" s="1" t="s">
        <v>94</v>
      </c>
      <c r="E2812" s="1" t="s">
        <v>95</v>
      </c>
      <c r="F2812" s="1" t="s">
        <v>11209</v>
      </c>
      <c r="G2812" s="1" t="s">
        <v>12480</v>
      </c>
      <c r="H2812" s="1" t="s">
        <v>11210</v>
      </c>
      <c r="I2812" s="2">
        <v>63.35</v>
      </c>
      <c r="J2812" s="2">
        <v>2.5099999999999998</v>
      </c>
      <c r="K2812" s="2">
        <v>2.81</v>
      </c>
      <c r="L2812" s="2">
        <v>2.9</v>
      </c>
      <c r="M2812" s="4">
        <f t="shared" si="258"/>
        <v>22.544483985765126</v>
      </c>
      <c r="N2812" s="4">
        <f t="shared" si="259"/>
        <v>21.844827586206897</v>
      </c>
      <c r="O2812" s="5">
        <f t="shared" si="260"/>
        <v>0.11952191235059773</v>
      </c>
      <c r="P2812" s="5">
        <f t="shared" si="261"/>
        <v>3.2028469750889688E-2</v>
      </c>
      <c r="Q2812" s="4">
        <f t="shared" si="262"/>
        <v>1.8862218268090138</v>
      </c>
      <c r="R2812" s="4">
        <f t="shared" si="263"/>
        <v>6.8204406130268183</v>
      </c>
      <c r="S2812" s="4">
        <v>8.51</v>
      </c>
      <c r="T2812" s="2">
        <v>0.72</v>
      </c>
      <c r="U2812" s="2">
        <v>65.09</v>
      </c>
      <c r="V2812" s="2">
        <v>44.48</v>
      </c>
      <c r="W2812" s="2">
        <v>-2.67</v>
      </c>
      <c r="X2812" s="2">
        <v>5.09</v>
      </c>
      <c r="Y2812" s="2">
        <v>15.73</v>
      </c>
      <c r="Z2812" s="2">
        <v>15.16</v>
      </c>
    </row>
    <row r="2813" spans="1:26" x14ac:dyDescent="0.25">
      <c r="A2813" s="1" t="s">
        <v>11211</v>
      </c>
      <c r="B2813" s="1" t="s">
        <v>11212</v>
      </c>
      <c r="C2813" s="1" t="s">
        <v>45</v>
      </c>
      <c r="D2813" s="1" t="s">
        <v>25</v>
      </c>
      <c r="E2813" s="1" t="s">
        <v>2467</v>
      </c>
      <c r="F2813" s="1" t="s">
        <v>11213</v>
      </c>
      <c r="G2813" s="1" t="s">
        <v>12480</v>
      </c>
      <c r="H2813" s="1" t="s">
        <v>9586</v>
      </c>
      <c r="I2813" s="2">
        <v>36.75</v>
      </c>
      <c r="J2813" s="2">
        <v>2.09</v>
      </c>
      <c r="K2813" s="2">
        <v>1.59</v>
      </c>
      <c r="L2813" s="2"/>
      <c r="M2813" s="4">
        <f t="shared" si="258"/>
        <v>23.113207547169811</v>
      </c>
      <c r="N2813" s="4" t="e">
        <f t="shared" si="259"/>
        <v>#DIV/0!</v>
      </c>
      <c r="O2813" s="5">
        <f t="shared" si="260"/>
        <v>-0.23923444976076547</v>
      </c>
      <c r="P2813" s="5">
        <f t="shared" si="261"/>
        <v>-1</v>
      </c>
      <c r="Q2813" s="4">
        <f t="shared" si="262"/>
        <v>-0.96613207547169844</v>
      </c>
      <c r="R2813" s="4" t="e">
        <f t="shared" si="263"/>
        <v>#DIV/0!</v>
      </c>
      <c r="S2813" s="4">
        <v>12.66</v>
      </c>
      <c r="T2813" s="2">
        <v>0.55000000000000004</v>
      </c>
      <c r="U2813" s="2">
        <v>40.020000000000003</v>
      </c>
      <c r="V2813" s="2">
        <v>19.899999999999999</v>
      </c>
      <c r="W2813" s="2">
        <v>-3.14</v>
      </c>
      <c r="X2813" s="2">
        <v>2.08</v>
      </c>
      <c r="Y2813" s="2">
        <v>7.24</v>
      </c>
      <c r="Z2813" s="2">
        <v>3.67</v>
      </c>
    </row>
    <row r="2814" spans="1:26" x14ac:dyDescent="0.25">
      <c r="A2814" s="1" t="s">
        <v>11214</v>
      </c>
      <c r="B2814" s="1" t="s">
        <v>11215</v>
      </c>
      <c r="C2814" s="1" t="s">
        <v>16</v>
      </c>
      <c r="D2814" s="1" t="s">
        <v>140</v>
      </c>
      <c r="E2814" s="1" t="s">
        <v>4364</v>
      </c>
      <c r="F2814" s="1" t="s">
        <v>11216</v>
      </c>
      <c r="G2814" s="1" t="s">
        <v>12480</v>
      </c>
      <c r="H2814" s="1" t="s">
        <v>6396</v>
      </c>
      <c r="I2814" s="2">
        <v>76.05</v>
      </c>
      <c r="J2814" s="2">
        <v>4.3</v>
      </c>
      <c r="K2814" s="2">
        <v>4.79</v>
      </c>
      <c r="L2814" s="2">
        <v>5.58</v>
      </c>
      <c r="M2814" s="4">
        <f t="shared" si="258"/>
        <v>15.876826722338205</v>
      </c>
      <c r="N2814" s="4">
        <f t="shared" si="259"/>
        <v>13.629032258064516</v>
      </c>
      <c r="O2814" s="5">
        <f t="shared" si="260"/>
        <v>0.11395348837209318</v>
      </c>
      <c r="P2814" s="5">
        <f t="shared" si="261"/>
        <v>0.16492693110647183</v>
      </c>
      <c r="Q2814" s="4">
        <f t="shared" si="262"/>
        <v>1.3932725491031466</v>
      </c>
      <c r="R2814" s="4">
        <f t="shared" si="263"/>
        <v>0.82636790526745607</v>
      </c>
      <c r="S2814" s="4">
        <v>9.3800000000000008</v>
      </c>
      <c r="T2814" s="2">
        <v>1.7</v>
      </c>
      <c r="U2814" s="2">
        <v>99.22</v>
      </c>
      <c r="V2814" s="2">
        <v>67.58</v>
      </c>
      <c r="W2814" s="2">
        <v>-2.89</v>
      </c>
      <c r="X2814" s="2">
        <v>1.47</v>
      </c>
      <c r="Y2814" s="2">
        <v>-9.06</v>
      </c>
      <c r="Z2814" s="2">
        <v>-11.31</v>
      </c>
    </row>
    <row r="2815" spans="1:26" x14ac:dyDescent="0.25">
      <c r="A2815" s="1" t="s">
        <v>11217</v>
      </c>
      <c r="B2815" s="1" t="s">
        <v>11218</v>
      </c>
      <c r="C2815" s="1" t="s">
        <v>31</v>
      </c>
      <c r="D2815" s="1" t="s">
        <v>18</v>
      </c>
      <c r="E2815" s="1" t="s">
        <v>19</v>
      </c>
      <c r="F2815" s="1" t="s">
        <v>11219</v>
      </c>
      <c r="G2815" s="1" t="s">
        <v>12490</v>
      </c>
      <c r="H2815" s="1" t="s">
        <v>11220</v>
      </c>
      <c r="I2815" s="2">
        <v>13.09</v>
      </c>
      <c r="J2815" s="2">
        <v>0.52</v>
      </c>
      <c r="K2815" s="2"/>
      <c r="L2815" s="2"/>
      <c r="M2815" s="4" t="e">
        <f t="shared" si="258"/>
        <v>#DIV/0!</v>
      </c>
      <c r="N2815" s="4" t="e">
        <f t="shared" si="259"/>
        <v>#DIV/0!</v>
      </c>
      <c r="O2815" s="5">
        <f t="shared" si="260"/>
        <v>-1</v>
      </c>
      <c r="P2815" s="5" t="e">
        <f t="shared" si="261"/>
        <v>#DIV/0!</v>
      </c>
      <c r="Q2815" s="4" t="e">
        <f t="shared" si="262"/>
        <v>#DIV/0!</v>
      </c>
      <c r="R2815" s="4" t="e">
        <f t="shared" si="263"/>
        <v>#DIV/0!</v>
      </c>
      <c r="S2815" s="4">
        <v>6.56</v>
      </c>
      <c r="T2815" s="2">
        <v>0.74</v>
      </c>
      <c r="U2815" s="2">
        <v>19.72</v>
      </c>
      <c r="V2815" s="2">
        <v>12.39</v>
      </c>
      <c r="W2815" s="2">
        <v>1.75</v>
      </c>
      <c r="X2815" s="2">
        <v>-1.95</v>
      </c>
      <c r="Y2815" s="2">
        <v>-11.07</v>
      </c>
      <c r="Z2815" s="2">
        <v>-9.7200000000000006</v>
      </c>
    </row>
    <row r="2816" spans="1:26" x14ac:dyDescent="0.25">
      <c r="A2816" s="1" t="s">
        <v>11221</v>
      </c>
      <c r="B2816" s="1" t="s">
        <v>11222</v>
      </c>
      <c r="C2816" s="1" t="s">
        <v>45</v>
      </c>
      <c r="D2816" s="1" t="s">
        <v>38</v>
      </c>
      <c r="E2816" s="1" t="s">
        <v>420</v>
      </c>
      <c r="F2816" s="1" t="s">
        <v>11223</v>
      </c>
      <c r="G2816" s="1" t="s">
        <v>12480</v>
      </c>
      <c r="H2816" s="1" t="s">
        <v>11224</v>
      </c>
      <c r="I2816" s="2">
        <v>26.47</v>
      </c>
      <c r="J2816" s="2">
        <v>0.45</v>
      </c>
      <c r="K2816" s="2">
        <v>0.49</v>
      </c>
      <c r="L2816" s="2">
        <v>0.73</v>
      </c>
      <c r="M2816" s="4">
        <f t="shared" si="258"/>
        <v>54.020408163265301</v>
      </c>
      <c r="N2816" s="4">
        <f t="shared" si="259"/>
        <v>36.260273972602739</v>
      </c>
      <c r="O2816" s="5">
        <f t="shared" si="260"/>
        <v>8.8888888888888795E-2</v>
      </c>
      <c r="P2816" s="5">
        <f t="shared" si="261"/>
        <v>0.48979591836734704</v>
      </c>
      <c r="Q2816" s="4">
        <f t="shared" si="262"/>
        <v>6.0772959183673532</v>
      </c>
      <c r="R2816" s="4">
        <f t="shared" si="263"/>
        <v>0.74031392694063913</v>
      </c>
      <c r="S2816" s="4">
        <v>11.95</v>
      </c>
      <c r="T2816" s="2">
        <v>1.62</v>
      </c>
      <c r="U2816" s="2">
        <v>56.45</v>
      </c>
      <c r="V2816" s="2">
        <v>25.85</v>
      </c>
      <c r="W2816" s="2">
        <v>-0.9</v>
      </c>
      <c r="X2816" s="2">
        <v>-19.18</v>
      </c>
      <c r="Y2816" s="2">
        <v>-27.95</v>
      </c>
      <c r="Z2816" s="2">
        <v>-29.17</v>
      </c>
    </row>
    <row r="2817" spans="1:26" x14ac:dyDescent="0.25">
      <c r="A2817" s="1" t="s">
        <v>11225</v>
      </c>
      <c r="B2817" s="1" t="s">
        <v>11226</v>
      </c>
      <c r="C2817" s="1" t="s">
        <v>16</v>
      </c>
      <c r="D2817" s="1" t="s">
        <v>38</v>
      </c>
      <c r="E2817" s="1" t="s">
        <v>194</v>
      </c>
      <c r="F2817" s="1" t="s">
        <v>11227</v>
      </c>
      <c r="G2817" s="1" t="s">
        <v>12480</v>
      </c>
      <c r="H2817" s="1" t="s">
        <v>11228</v>
      </c>
      <c r="I2817" s="2">
        <v>303.19</v>
      </c>
      <c r="J2817" s="2">
        <v>27.59</v>
      </c>
      <c r="K2817" s="2">
        <v>27.07</v>
      </c>
      <c r="L2817" s="2">
        <v>28.03</v>
      </c>
      <c r="M2817" s="4">
        <f t="shared" si="258"/>
        <v>11.200221647580348</v>
      </c>
      <c r="N2817" s="4">
        <f t="shared" si="259"/>
        <v>10.816625044595076</v>
      </c>
      <c r="O2817" s="5">
        <f t="shared" si="260"/>
        <v>-1.8847408481333816E-2</v>
      </c>
      <c r="P2817" s="5">
        <f t="shared" si="261"/>
        <v>3.5463612855559656E-2</v>
      </c>
      <c r="Q2817" s="4">
        <f t="shared" si="262"/>
        <v>-5.942579139552727</v>
      </c>
      <c r="R2817" s="4">
        <f t="shared" si="263"/>
        <v>3.0500629162207162</v>
      </c>
      <c r="S2817" s="4">
        <v>5.18</v>
      </c>
      <c r="T2817" s="2">
        <v>0.49</v>
      </c>
      <c r="U2817" s="2">
        <v>312.02999999999997</v>
      </c>
      <c r="V2817" s="2">
        <v>233.83</v>
      </c>
      <c r="W2817" s="2">
        <v>-2.41</v>
      </c>
      <c r="X2817" s="2">
        <v>3.54</v>
      </c>
      <c r="Y2817" s="2">
        <v>4.34</v>
      </c>
      <c r="Z2817" s="2">
        <v>4.53</v>
      </c>
    </row>
    <row r="2818" spans="1:26" x14ac:dyDescent="0.25">
      <c r="A2818" s="1" t="s">
        <v>11229</v>
      </c>
      <c r="B2818" s="1" t="s">
        <v>11230</v>
      </c>
      <c r="C2818" s="1" t="s">
        <v>45</v>
      </c>
      <c r="D2818" s="1" t="s">
        <v>18</v>
      </c>
      <c r="E2818" s="1" t="s">
        <v>74</v>
      </c>
      <c r="F2818" s="1" t="s">
        <v>11231</v>
      </c>
      <c r="G2818" s="1" t="s">
        <v>12480</v>
      </c>
      <c r="H2818" s="1" t="s">
        <v>9645</v>
      </c>
      <c r="I2818" s="2">
        <v>11.7</v>
      </c>
      <c r="J2818" s="2">
        <v>-0.47</v>
      </c>
      <c r="K2818" s="2">
        <v>-0.53</v>
      </c>
      <c r="L2818" s="2">
        <v>-0.64</v>
      </c>
      <c r="M2818" s="4">
        <f t="shared" si="258"/>
        <v>-22.075471698113205</v>
      </c>
      <c r="N2818" s="4">
        <f t="shared" si="259"/>
        <v>-18.28125</v>
      </c>
      <c r="O2818" s="5">
        <f t="shared" si="260"/>
        <v>0.12765957446808529</v>
      </c>
      <c r="P2818" s="5">
        <f t="shared" si="261"/>
        <v>0.20754716981132071</v>
      </c>
      <c r="Q2818" s="4">
        <f t="shared" si="262"/>
        <v>-1.7292452830188654</v>
      </c>
      <c r="R2818" s="4">
        <f t="shared" si="263"/>
        <v>-0.88082386363636389</v>
      </c>
      <c r="S2818" s="4"/>
      <c r="T2818" s="2">
        <v>0.94</v>
      </c>
      <c r="U2818" s="2">
        <v>14.17</v>
      </c>
      <c r="V2818" s="2">
        <v>4.29</v>
      </c>
      <c r="W2818" s="2">
        <v>-6.92</v>
      </c>
      <c r="X2818" s="2">
        <v>5.41</v>
      </c>
      <c r="Y2818" s="2">
        <v>-7.22</v>
      </c>
      <c r="Z2818" s="2">
        <v>-6.55</v>
      </c>
    </row>
    <row r="2819" spans="1:26" x14ac:dyDescent="0.25">
      <c r="A2819" s="1" t="s">
        <v>11232</v>
      </c>
      <c r="B2819" s="1" t="s">
        <v>11233</v>
      </c>
      <c r="C2819" s="1" t="s">
        <v>31</v>
      </c>
      <c r="D2819" s="1" t="s">
        <v>88</v>
      </c>
      <c r="E2819" s="1" t="s">
        <v>1113</v>
      </c>
      <c r="F2819" s="1" t="s">
        <v>11234</v>
      </c>
      <c r="G2819" s="1" t="s">
        <v>12490</v>
      </c>
      <c r="H2819" s="1" t="s">
        <v>11235</v>
      </c>
      <c r="I2819" s="2">
        <v>14.8825</v>
      </c>
      <c r="J2819" s="2">
        <v>0.64</v>
      </c>
      <c r="K2819" s="2">
        <v>0.71</v>
      </c>
      <c r="L2819" s="2"/>
      <c r="M2819" s="4">
        <f t="shared" ref="M2819:M2882" si="264">I2819/K2819</f>
        <v>20.961267605633804</v>
      </c>
      <c r="N2819" s="4" t="e">
        <f t="shared" ref="N2819:N2882" si="265">I2819/L2819</f>
        <v>#DIV/0!</v>
      </c>
      <c r="O2819" s="5">
        <f t="shared" ref="O2819:O2882" si="266">K2819/J2819-1</f>
        <v>0.109375</v>
      </c>
      <c r="P2819" s="5">
        <f t="shared" ref="P2819:P2882" si="267">L2819/K2819-1</f>
        <v>-1</v>
      </c>
      <c r="Q2819" s="4">
        <f t="shared" ref="Q2819:Q2882" si="268">M2819/(O2819*100)</f>
        <v>1.9164587525150907</v>
      </c>
      <c r="R2819" s="4" t="e">
        <f t="shared" ref="R2819:R2882" si="269">N2819/(P2819*100)</f>
        <v>#DIV/0!</v>
      </c>
      <c r="S2819" s="4">
        <v>-1.4</v>
      </c>
      <c r="T2819" s="2">
        <v>0.4</v>
      </c>
      <c r="U2819" s="2">
        <v>17.489999999999998</v>
      </c>
      <c r="V2819" s="2">
        <v>11.93</v>
      </c>
      <c r="W2819" s="2">
        <v>-11.41</v>
      </c>
      <c r="X2819" s="2">
        <v>-9.91</v>
      </c>
      <c r="Y2819" s="2">
        <v>10.65</v>
      </c>
      <c r="Z2819" s="2">
        <v>14.75</v>
      </c>
    </row>
    <row r="2820" spans="1:26" x14ac:dyDescent="0.25">
      <c r="A2820" s="1" t="s">
        <v>11236</v>
      </c>
      <c r="B2820" s="1" t="s">
        <v>11237</v>
      </c>
      <c r="C2820" s="1" t="s">
        <v>16</v>
      </c>
      <c r="D2820" s="1" t="s">
        <v>25</v>
      </c>
      <c r="E2820" s="1" t="s">
        <v>11239</v>
      </c>
      <c r="F2820" s="1" t="s">
        <v>11238</v>
      </c>
      <c r="G2820" s="1" t="s">
        <v>12480</v>
      </c>
      <c r="H2820" s="1" t="s">
        <v>11240</v>
      </c>
      <c r="I2820" s="2">
        <v>53.22</v>
      </c>
      <c r="J2820" s="2">
        <v>3.66</v>
      </c>
      <c r="K2820" s="2">
        <v>3.45</v>
      </c>
      <c r="L2820" s="2">
        <v>3.68</v>
      </c>
      <c r="M2820" s="4">
        <f t="shared" si="264"/>
        <v>15.426086956521738</v>
      </c>
      <c r="N2820" s="4">
        <f t="shared" si="265"/>
        <v>14.461956521739129</v>
      </c>
      <c r="O2820" s="5">
        <f t="shared" si="266"/>
        <v>-5.7377049180327822E-2</v>
      </c>
      <c r="P2820" s="5">
        <f t="shared" si="267"/>
        <v>6.6666666666666652E-2</v>
      </c>
      <c r="Q2820" s="4">
        <f t="shared" si="268"/>
        <v>-2.6885465838509335</v>
      </c>
      <c r="R2820" s="4">
        <f t="shared" si="269"/>
        <v>2.1692934782608697</v>
      </c>
      <c r="S2820" s="4">
        <v>-4.33</v>
      </c>
      <c r="T2820" s="2">
        <v>0.87</v>
      </c>
      <c r="U2820" s="2">
        <v>54.59</v>
      </c>
      <c r="V2820" s="2">
        <v>30.71</v>
      </c>
      <c r="W2820" s="2">
        <v>-2.5099999999999998</v>
      </c>
      <c r="X2820" s="2">
        <v>12.02</v>
      </c>
      <c r="Y2820" s="2">
        <v>31.96</v>
      </c>
      <c r="Z2820" s="2">
        <v>38.409999999999997</v>
      </c>
    </row>
    <row r="2821" spans="1:26" x14ac:dyDescent="0.25">
      <c r="A2821" s="1" t="s">
        <v>11241</v>
      </c>
      <c r="B2821" s="1" t="s">
        <v>11242</v>
      </c>
      <c r="C2821" s="1" t="s">
        <v>31</v>
      </c>
      <c r="D2821" s="1" t="s">
        <v>67</v>
      </c>
      <c r="E2821" s="1" t="s">
        <v>3111</v>
      </c>
      <c r="F2821" s="1" t="s">
        <v>11243</v>
      </c>
      <c r="G2821" s="1" t="s">
        <v>12487</v>
      </c>
      <c r="H2821" s="1" t="s">
        <v>11244</v>
      </c>
      <c r="I2821" s="2">
        <v>18.940000000000001</v>
      </c>
      <c r="J2821" s="2">
        <v>1.1000000000000001</v>
      </c>
      <c r="K2821" s="2">
        <v>1.25</v>
      </c>
      <c r="L2821" s="2">
        <v>1.49</v>
      </c>
      <c r="M2821" s="4">
        <f t="shared" si="264"/>
        <v>15.152000000000001</v>
      </c>
      <c r="N2821" s="4">
        <f t="shared" si="265"/>
        <v>12.711409395973154</v>
      </c>
      <c r="O2821" s="5">
        <f t="shared" si="266"/>
        <v>0.13636363636363624</v>
      </c>
      <c r="P2821" s="5">
        <f t="shared" si="267"/>
        <v>0.19199999999999995</v>
      </c>
      <c r="Q2821" s="4">
        <f t="shared" si="268"/>
        <v>1.1111466666666678</v>
      </c>
      <c r="R2821" s="4">
        <f t="shared" si="269"/>
        <v>0.66205257270693529</v>
      </c>
      <c r="S2821" s="4">
        <v>5.05</v>
      </c>
      <c r="T2821" s="2">
        <v>0.9</v>
      </c>
      <c r="U2821" s="2">
        <v>20.46</v>
      </c>
      <c r="V2821" s="2">
        <v>12.31</v>
      </c>
      <c r="W2821" s="2">
        <v>-1.2</v>
      </c>
      <c r="X2821" s="2">
        <v>1.88</v>
      </c>
      <c r="Y2821" s="2">
        <v>6.46</v>
      </c>
      <c r="Z2821" s="2">
        <v>5.28</v>
      </c>
    </row>
    <row r="2822" spans="1:26" x14ac:dyDescent="0.25">
      <c r="A2822" s="1" t="s">
        <v>11245</v>
      </c>
      <c r="B2822" s="1" t="s">
        <v>11246</v>
      </c>
      <c r="C2822" s="1" t="s">
        <v>45</v>
      </c>
      <c r="D2822" s="1" t="s">
        <v>67</v>
      </c>
      <c r="E2822" s="1" t="s">
        <v>882</v>
      </c>
      <c r="F2822" s="1" t="s">
        <v>11247</v>
      </c>
      <c r="G2822" s="1" t="s">
        <v>12480</v>
      </c>
      <c r="H2822" s="1" t="s">
        <v>11248</v>
      </c>
      <c r="I2822" s="2">
        <v>50.67</v>
      </c>
      <c r="J2822" s="2">
        <v>2.06</v>
      </c>
      <c r="K2822" s="2">
        <v>2.1800000000000002</v>
      </c>
      <c r="L2822" s="2">
        <v>2.41</v>
      </c>
      <c r="M2822" s="4">
        <f t="shared" si="264"/>
        <v>23.243119266055047</v>
      </c>
      <c r="N2822" s="4">
        <f t="shared" si="265"/>
        <v>21.024896265560166</v>
      </c>
      <c r="O2822" s="5">
        <f t="shared" si="266"/>
        <v>5.8252427184465994E-2</v>
      </c>
      <c r="P2822" s="5">
        <f t="shared" si="267"/>
        <v>0.10550458715596323</v>
      </c>
      <c r="Q2822" s="4">
        <f t="shared" si="268"/>
        <v>3.9900688073394512</v>
      </c>
      <c r="R2822" s="4">
        <f t="shared" si="269"/>
        <v>1.9927945156052693</v>
      </c>
      <c r="S2822" s="4">
        <v>4.3099999999999996</v>
      </c>
      <c r="T2822" s="2">
        <v>0.72</v>
      </c>
      <c r="U2822" s="2">
        <v>62.65</v>
      </c>
      <c r="V2822" s="2">
        <v>47.86</v>
      </c>
      <c r="W2822" s="2">
        <v>-3.08</v>
      </c>
      <c r="X2822" s="2">
        <v>-5.78</v>
      </c>
      <c r="Y2822" s="2">
        <v>-4.2699999999999996</v>
      </c>
      <c r="Z2822" s="2">
        <v>1.32</v>
      </c>
    </row>
    <row r="2823" spans="1:26" x14ac:dyDescent="0.25">
      <c r="A2823" s="1" t="s">
        <v>11249</v>
      </c>
      <c r="B2823" s="1" t="s">
        <v>11250</v>
      </c>
      <c r="C2823" s="1" t="s">
        <v>45</v>
      </c>
      <c r="D2823" s="1" t="s">
        <v>32</v>
      </c>
      <c r="E2823" s="1" t="s">
        <v>57</v>
      </c>
      <c r="F2823" s="1" t="s">
        <v>11251</v>
      </c>
      <c r="G2823" s="1" t="s">
        <v>12480</v>
      </c>
      <c r="H2823" s="1" t="s">
        <v>11252</v>
      </c>
      <c r="I2823" s="2">
        <v>115.46</v>
      </c>
      <c r="J2823" s="2">
        <v>2.29</v>
      </c>
      <c r="K2823" s="2">
        <v>3.13</v>
      </c>
      <c r="L2823" s="2">
        <v>5.4</v>
      </c>
      <c r="M2823" s="4">
        <f t="shared" si="264"/>
        <v>36.888178913738017</v>
      </c>
      <c r="N2823" s="4">
        <f t="shared" si="265"/>
        <v>21.38148148148148</v>
      </c>
      <c r="O2823" s="5">
        <f t="shared" si="266"/>
        <v>0.36681222707423577</v>
      </c>
      <c r="P2823" s="5">
        <f t="shared" si="267"/>
        <v>0.72523961661341874</v>
      </c>
      <c r="Q2823" s="4">
        <f t="shared" si="268"/>
        <v>1.0056420203864294</v>
      </c>
      <c r="R2823" s="4">
        <f t="shared" si="269"/>
        <v>0.29481954641866526</v>
      </c>
      <c r="S2823" s="4">
        <v>9.0500000000000007</v>
      </c>
      <c r="T2823" s="2">
        <v>0.91</v>
      </c>
      <c r="U2823" s="2">
        <v>147.53</v>
      </c>
      <c r="V2823" s="2">
        <v>29.65</v>
      </c>
      <c r="W2823" s="2">
        <v>-16.690000000000001</v>
      </c>
      <c r="X2823" s="2">
        <v>-21.74</v>
      </c>
      <c r="Y2823" s="2">
        <v>-2.36</v>
      </c>
      <c r="Z2823" s="2">
        <v>-1.67</v>
      </c>
    </row>
    <row r="2824" spans="1:26" x14ac:dyDescent="0.25">
      <c r="A2824" s="1" t="s">
        <v>11253</v>
      </c>
      <c r="B2824" s="1" t="s">
        <v>11254</v>
      </c>
      <c r="C2824" s="1" t="s">
        <v>31</v>
      </c>
      <c r="D2824" s="1" t="s">
        <v>128</v>
      </c>
      <c r="E2824" s="1" t="s">
        <v>129</v>
      </c>
      <c r="F2824" s="1" t="s">
        <v>11255</v>
      </c>
      <c r="G2824" s="1" t="s">
        <v>12480</v>
      </c>
      <c r="H2824" s="1" t="s">
        <v>11256</v>
      </c>
      <c r="I2824" s="2">
        <v>31.837499999999999</v>
      </c>
      <c r="J2824" s="2">
        <v>2.2200000000000002</v>
      </c>
      <c r="K2824" s="2"/>
      <c r="L2824" s="2"/>
      <c r="M2824" s="4" t="e">
        <f t="shared" si="264"/>
        <v>#DIV/0!</v>
      </c>
      <c r="N2824" s="4" t="e">
        <f t="shared" si="265"/>
        <v>#DIV/0!</v>
      </c>
      <c r="O2824" s="5">
        <f t="shared" si="266"/>
        <v>-1</v>
      </c>
      <c r="P2824" s="5" t="e">
        <f t="shared" si="267"/>
        <v>#DIV/0!</v>
      </c>
      <c r="Q2824" s="4" t="e">
        <f t="shared" si="268"/>
        <v>#DIV/0!</v>
      </c>
      <c r="R2824" s="4" t="e">
        <f t="shared" si="269"/>
        <v>#DIV/0!</v>
      </c>
      <c r="S2824" s="4">
        <v>-6.89</v>
      </c>
      <c r="T2824" s="2">
        <v>-0.19</v>
      </c>
      <c r="U2824" s="2">
        <v>38.200000000000003</v>
      </c>
      <c r="V2824" s="2">
        <v>29.8</v>
      </c>
      <c r="W2824" s="2">
        <v>-6.44</v>
      </c>
      <c r="X2824" s="2">
        <v>-1.63</v>
      </c>
      <c r="Y2824" s="2">
        <v>-8.66</v>
      </c>
      <c r="Z2824" s="2">
        <v>-0.04</v>
      </c>
    </row>
    <row r="2825" spans="1:26" x14ac:dyDescent="0.25">
      <c r="A2825" s="1" t="s">
        <v>11257</v>
      </c>
      <c r="B2825" s="1" t="s">
        <v>11258</v>
      </c>
      <c r="C2825" s="1" t="s">
        <v>45</v>
      </c>
      <c r="D2825" s="1" t="s">
        <v>18</v>
      </c>
      <c r="E2825" s="1" t="s">
        <v>1491</v>
      </c>
      <c r="F2825" s="1" t="s">
        <v>11259</v>
      </c>
      <c r="G2825" s="1" t="s">
        <v>12480</v>
      </c>
      <c r="H2825" s="1" t="s">
        <v>11260</v>
      </c>
      <c r="I2825" s="2">
        <v>4.59</v>
      </c>
      <c r="J2825" s="2">
        <v>-0.35</v>
      </c>
      <c r="K2825" s="2">
        <v>-0.42</v>
      </c>
      <c r="L2825" s="2">
        <v>-0.44</v>
      </c>
      <c r="M2825" s="4">
        <f t="shared" si="264"/>
        <v>-10.928571428571429</v>
      </c>
      <c r="N2825" s="4">
        <f t="shared" si="265"/>
        <v>-10.431818181818182</v>
      </c>
      <c r="O2825" s="5">
        <f t="shared" si="266"/>
        <v>0.19999999999999996</v>
      </c>
      <c r="P2825" s="5">
        <f t="shared" si="267"/>
        <v>4.7619047619047672E-2</v>
      </c>
      <c r="Q2825" s="4">
        <f t="shared" si="268"/>
        <v>-0.54642857142857149</v>
      </c>
      <c r="R2825" s="4">
        <f t="shared" si="269"/>
        <v>-2.1906818181818157</v>
      </c>
      <c r="S2825" s="4">
        <v>-46.07</v>
      </c>
      <c r="T2825" s="2">
        <v>1.02</v>
      </c>
      <c r="U2825" s="2">
        <v>5.91</v>
      </c>
      <c r="V2825" s="2">
        <v>1.1299999999999999</v>
      </c>
      <c r="W2825" s="2">
        <v>1.32</v>
      </c>
      <c r="X2825" s="2">
        <v>-0.43</v>
      </c>
      <c r="Y2825" s="2">
        <v>-20.309999999999999</v>
      </c>
      <c r="Z2825" s="2">
        <v>-16.55</v>
      </c>
    </row>
    <row r="2826" spans="1:26" x14ac:dyDescent="0.25">
      <c r="A2826" s="1" t="s">
        <v>11261</v>
      </c>
      <c r="B2826" s="1" t="s">
        <v>11262</v>
      </c>
      <c r="C2826" s="1" t="s">
        <v>31</v>
      </c>
      <c r="D2826" s="1" t="s">
        <v>67</v>
      </c>
      <c r="E2826" s="1" t="s">
        <v>381</v>
      </c>
      <c r="F2826" s="1" t="s">
        <v>11263</v>
      </c>
      <c r="G2826" s="1" t="s">
        <v>12480</v>
      </c>
      <c r="H2826" s="1" t="s">
        <v>11264</v>
      </c>
      <c r="I2826" s="2">
        <v>0.68869999999999998</v>
      </c>
      <c r="J2826" s="2">
        <v>0.08</v>
      </c>
      <c r="K2826" s="2"/>
      <c r="L2826" s="2"/>
      <c r="M2826" s="4" t="e">
        <f t="shared" si="264"/>
        <v>#DIV/0!</v>
      </c>
      <c r="N2826" s="4" t="e">
        <f t="shared" si="265"/>
        <v>#DIV/0!</v>
      </c>
      <c r="O2826" s="5">
        <f t="shared" si="266"/>
        <v>-1</v>
      </c>
      <c r="P2826" s="5" t="e">
        <f t="shared" si="267"/>
        <v>#DIV/0!</v>
      </c>
      <c r="Q2826" s="4" t="e">
        <f t="shared" si="268"/>
        <v>#DIV/0!</v>
      </c>
      <c r="R2826" s="4" t="e">
        <f t="shared" si="269"/>
        <v>#DIV/0!</v>
      </c>
      <c r="S2826" s="4">
        <v>17.579999999999998</v>
      </c>
      <c r="T2826" s="2">
        <v>0.12</v>
      </c>
      <c r="U2826" s="2">
        <v>0.86</v>
      </c>
      <c r="V2826" s="2">
        <v>0.5</v>
      </c>
      <c r="W2826" s="2">
        <v>-9.44</v>
      </c>
      <c r="X2826" s="2">
        <v>-7.57</v>
      </c>
      <c r="Y2826" s="2">
        <v>-13.05</v>
      </c>
      <c r="Z2826" s="2">
        <v>-7.57</v>
      </c>
    </row>
    <row r="2827" spans="1:26" x14ac:dyDescent="0.25">
      <c r="A2827" s="1" t="s">
        <v>11265</v>
      </c>
      <c r="B2827" s="1" t="s">
        <v>11266</v>
      </c>
      <c r="C2827" s="1" t="s">
        <v>45</v>
      </c>
      <c r="D2827" s="1" t="s">
        <v>305</v>
      </c>
      <c r="E2827" s="1" t="s">
        <v>349</v>
      </c>
      <c r="F2827" s="1" t="s">
        <v>11267</v>
      </c>
      <c r="G2827" s="1" t="s">
        <v>12480</v>
      </c>
      <c r="H2827" s="1" t="s">
        <v>11268</v>
      </c>
      <c r="I2827" s="2">
        <v>398.68</v>
      </c>
      <c r="J2827" s="2">
        <v>1.66</v>
      </c>
      <c r="K2827" s="2">
        <v>2.08</v>
      </c>
      <c r="L2827" s="2">
        <v>2.77</v>
      </c>
      <c r="M2827" s="4">
        <f t="shared" si="264"/>
        <v>191.67307692307693</v>
      </c>
      <c r="N2827" s="4">
        <f t="shared" si="265"/>
        <v>143.92779783393502</v>
      </c>
      <c r="O2827" s="5">
        <f t="shared" si="266"/>
        <v>0.25301204819277112</v>
      </c>
      <c r="P2827" s="5">
        <f t="shared" si="267"/>
        <v>0.33173076923076916</v>
      </c>
      <c r="Q2827" s="4">
        <f t="shared" si="268"/>
        <v>7.5756501831501826</v>
      </c>
      <c r="R2827" s="4">
        <f t="shared" si="269"/>
        <v>4.338693036153404</v>
      </c>
      <c r="S2827" s="4">
        <v>-2.93</v>
      </c>
      <c r="T2827" s="2">
        <v>1.89</v>
      </c>
      <c r="U2827" s="2">
        <v>489.88</v>
      </c>
      <c r="V2827" s="2">
        <v>221.86</v>
      </c>
      <c r="W2827" s="2">
        <v>-1.1499999999999999</v>
      </c>
      <c r="X2827" s="2">
        <v>-4.47</v>
      </c>
      <c r="Y2827" s="2">
        <v>-16.12</v>
      </c>
      <c r="Z2827" s="2">
        <v>-11.35</v>
      </c>
    </row>
    <row r="2828" spans="1:26" x14ac:dyDescent="0.25">
      <c r="A2828" s="1" t="s">
        <v>11269</v>
      </c>
      <c r="B2828" s="1" t="s">
        <v>11270</v>
      </c>
      <c r="C2828" s="1" t="s">
        <v>16</v>
      </c>
      <c r="D2828" s="1" t="s">
        <v>38</v>
      </c>
      <c r="E2828" s="1" t="s">
        <v>712</v>
      </c>
      <c r="F2828" s="1" t="s">
        <v>11271</v>
      </c>
      <c r="G2828" s="1" t="s">
        <v>12480</v>
      </c>
      <c r="H2828" s="1" t="s">
        <v>11126</v>
      </c>
      <c r="I2828" s="2">
        <v>18.39</v>
      </c>
      <c r="J2828" s="2">
        <v>2.23</v>
      </c>
      <c r="K2828" s="2">
        <v>1.97</v>
      </c>
      <c r="L2828" s="2">
        <v>1.97</v>
      </c>
      <c r="M2828" s="4">
        <f t="shared" si="264"/>
        <v>9.3350253807106611</v>
      </c>
      <c r="N2828" s="4">
        <f t="shared" si="265"/>
        <v>9.3350253807106611</v>
      </c>
      <c r="O2828" s="5">
        <f t="shared" si="266"/>
        <v>-0.11659192825112108</v>
      </c>
      <c r="P2828" s="5">
        <f t="shared" si="267"/>
        <v>0</v>
      </c>
      <c r="Q2828" s="4">
        <f t="shared" si="268"/>
        <v>-0.80065794611479901</v>
      </c>
      <c r="R2828" s="4" t="e">
        <f t="shared" si="269"/>
        <v>#DIV/0!</v>
      </c>
      <c r="S2828" s="4">
        <v>-6.94</v>
      </c>
      <c r="T2828" s="2">
        <v>0.73</v>
      </c>
      <c r="U2828" s="2">
        <v>25.1</v>
      </c>
      <c r="V2828" s="2">
        <v>17.32</v>
      </c>
      <c r="W2828" s="2">
        <v>4.25</v>
      </c>
      <c r="X2828" s="2">
        <v>-7.82</v>
      </c>
      <c r="Y2828" s="2">
        <v>-15.91</v>
      </c>
      <c r="Z2828" s="2">
        <v>-15.33</v>
      </c>
    </row>
    <row r="2829" spans="1:26" x14ac:dyDescent="0.25">
      <c r="A2829" s="1" t="s">
        <v>11272</v>
      </c>
      <c r="B2829" s="1" t="s">
        <v>11273</v>
      </c>
      <c r="C2829" s="1" t="s">
        <v>16</v>
      </c>
      <c r="D2829" s="1" t="s">
        <v>32</v>
      </c>
      <c r="E2829" s="1" t="s">
        <v>11275</v>
      </c>
      <c r="F2829" s="1" t="s">
        <v>11274</v>
      </c>
      <c r="G2829" s="1" t="s">
        <v>12480</v>
      </c>
      <c r="H2829" s="1" t="s">
        <v>12802</v>
      </c>
      <c r="I2829" s="2">
        <v>348.7</v>
      </c>
      <c r="J2829" s="2">
        <v>10.65</v>
      </c>
      <c r="K2829" s="2">
        <v>14.14</v>
      </c>
      <c r="L2829" s="2">
        <v>17.579999999999998</v>
      </c>
      <c r="M2829" s="4">
        <f t="shared" si="264"/>
        <v>24.660537482319658</v>
      </c>
      <c r="N2829" s="4">
        <f t="shared" si="265"/>
        <v>19.835039817974973</v>
      </c>
      <c r="O2829" s="5">
        <f t="shared" si="266"/>
        <v>0.32769953051643186</v>
      </c>
      <c r="P2829" s="5">
        <f t="shared" si="267"/>
        <v>0.24328147100424302</v>
      </c>
      <c r="Q2829" s="4">
        <f t="shared" si="268"/>
        <v>0.75253502632293534</v>
      </c>
      <c r="R2829" s="4">
        <f t="shared" si="269"/>
        <v>0.81531239251792564</v>
      </c>
      <c r="S2829" s="4">
        <v>35.9</v>
      </c>
      <c r="T2829" s="2">
        <v>1.29</v>
      </c>
      <c r="U2829" s="2">
        <v>387.73</v>
      </c>
      <c r="V2829" s="2">
        <v>141.37</v>
      </c>
      <c r="W2829" s="2">
        <v>-5.53</v>
      </c>
      <c r="X2829" s="2">
        <v>-1.89</v>
      </c>
      <c r="Y2829" s="2">
        <v>21.19</v>
      </c>
      <c r="Z2829" s="2">
        <v>14.74</v>
      </c>
    </row>
    <row r="2830" spans="1:26" x14ac:dyDescent="0.25">
      <c r="A2830" s="1" t="s">
        <v>11276</v>
      </c>
      <c r="B2830" s="1" t="s">
        <v>11277</v>
      </c>
      <c r="C2830" s="1" t="s">
        <v>16</v>
      </c>
      <c r="D2830" s="1" t="s">
        <v>128</v>
      </c>
      <c r="E2830" s="1" t="s">
        <v>5662</v>
      </c>
      <c r="F2830" s="1" t="s">
        <v>12803</v>
      </c>
      <c r="G2830" s="1" t="s">
        <v>12485</v>
      </c>
      <c r="H2830" s="1" t="s">
        <v>11278</v>
      </c>
      <c r="I2830" s="2">
        <v>61.33</v>
      </c>
      <c r="J2830" s="2">
        <v>4.12</v>
      </c>
      <c r="K2830" s="2">
        <v>3.88</v>
      </c>
      <c r="L2830" s="2">
        <v>4.55</v>
      </c>
      <c r="M2830" s="4">
        <f t="shared" si="264"/>
        <v>15.806701030927835</v>
      </c>
      <c r="N2830" s="4">
        <f t="shared" si="265"/>
        <v>13.479120879120879</v>
      </c>
      <c r="O2830" s="5">
        <f t="shared" si="266"/>
        <v>-5.8252427184466105E-2</v>
      </c>
      <c r="P2830" s="5">
        <f t="shared" si="267"/>
        <v>0.17268041237113407</v>
      </c>
      <c r="Q2830" s="4">
        <f t="shared" si="268"/>
        <v>-2.7134836769759412</v>
      </c>
      <c r="R2830" s="4">
        <f t="shared" si="269"/>
        <v>0.78058192553714911</v>
      </c>
      <c r="S2830" s="4">
        <v>2.12</v>
      </c>
      <c r="T2830" s="2">
        <v>0.47</v>
      </c>
      <c r="U2830" s="2">
        <v>65.75</v>
      </c>
      <c r="V2830" s="2">
        <v>50.72</v>
      </c>
      <c r="W2830" s="2">
        <v>-4.7699999999999996</v>
      </c>
      <c r="X2830" s="2">
        <v>-6.22</v>
      </c>
      <c r="Y2830" s="2">
        <v>3.02</v>
      </c>
      <c r="Z2830" s="2">
        <v>4.62</v>
      </c>
    </row>
    <row r="2831" spans="1:26" x14ac:dyDescent="0.25">
      <c r="A2831" s="1" t="s">
        <v>11279</v>
      </c>
      <c r="B2831" s="1" t="s">
        <v>11280</v>
      </c>
      <c r="C2831" s="1" t="s">
        <v>31</v>
      </c>
      <c r="D2831" s="1" t="s">
        <v>128</v>
      </c>
      <c r="E2831" s="1" t="s">
        <v>129</v>
      </c>
      <c r="F2831" s="1" t="s">
        <v>11281</v>
      </c>
      <c r="G2831" s="1" t="s">
        <v>12502</v>
      </c>
      <c r="H2831" s="1" t="s">
        <v>11282</v>
      </c>
      <c r="I2831" s="2">
        <v>2.9</v>
      </c>
      <c r="J2831" s="2"/>
      <c r="K2831" s="2"/>
      <c r="L2831" s="2"/>
      <c r="M2831" s="4" t="e">
        <f t="shared" si="264"/>
        <v>#DIV/0!</v>
      </c>
      <c r="N2831" s="4" t="e">
        <f t="shared" si="265"/>
        <v>#DIV/0!</v>
      </c>
      <c r="O2831" s="5" t="e">
        <f t="shared" si="266"/>
        <v>#DIV/0!</v>
      </c>
      <c r="P2831" s="5" t="e">
        <f t="shared" si="267"/>
        <v>#DIV/0!</v>
      </c>
      <c r="Q2831" s="4" t="e">
        <f t="shared" si="268"/>
        <v>#DIV/0!</v>
      </c>
      <c r="R2831" s="4" t="e">
        <f t="shared" si="269"/>
        <v>#DIV/0!</v>
      </c>
      <c r="S2831" s="4"/>
      <c r="T2831" s="2"/>
      <c r="U2831" s="2">
        <v>5.36</v>
      </c>
      <c r="V2831" s="2">
        <v>2.9</v>
      </c>
      <c r="W2831" s="2">
        <v>-8.81</v>
      </c>
      <c r="X2831" s="2">
        <v>-20.55</v>
      </c>
      <c r="Y2831" s="2">
        <v>-19.89</v>
      </c>
      <c r="Z2831" s="2">
        <v>-16.11</v>
      </c>
    </row>
    <row r="2832" spans="1:26" x14ac:dyDescent="0.25">
      <c r="A2832" s="1" t="s">
        <v>11283</v>
      </c>
      <c r="B2832" s="1" t="s">
        <v>11284</v>
      </c>
      <c r="C2832" s="1" t="s">
        <v>31</v>
      </c>
      <c r="D2832" s="1" t="s">
        <v>32</v>
      </c>
      <c r="E2832" s="1" t="s">
        <v>248</v>
      </c>
      <c r="F2832" s="1" t="s">
        <v>11285</v>
      </c>
      <c r="G2832" s="1" t="s">
        <v>12480</v>
      </c>
      <c r="H2832" s="1" t="s">
        <v>11286</v>
      </c>
      <c r="I2832" s="2">
        <v>13.69</v>
      </c>
      <c r="J2832" s="2">
        <v>0.99</v>
      </c>
      <c r="K2832" s="2"/>
      <c r="L2832" s="2"/>
      <c r="M2832" s="4" t="e">
        <f t="shared" si="264"/>
        <v>#DIV/0!</v>
      </c>
      <c r="N2832" s="4" t="e">
        <f t="shared" si="265"/>
        <v>#DIV/0!</v>
      </c>
      <c r="O2832" s="5">
        <f t="shared" si="266"/>
        <v>-1</v>
      </c>
      <c r="P2832" s="5" t="e">
        <f t="shared" si="267"/>
        <v>#DIV/0!</v>
      </c>
      <c r="Q2832" s="4" t="e">
        <f t="shared" si="268"/>
        <v>#DIV/0!</v>
      </c>
      <c r="R2832" s="4" t="e">
        <f t="shared" si="269"/>
        <v>#DIV/0!</v>
      </c>
      <c r="S2832" s="4">
        <v>24.21</v>
      </c>
      <c r="T2832" s="2">
        <v>-0.27</v>
      </c>
      <c r="U2832" s="2">
        <v>16.54</v>
      </c>
      <c r="V2832" s="2">
        <v>12.56</v>
      </c>
      <c r="W2832" s="2">
        <v>0.66</v>
      </c>
      <c r="X2832" s="2">
        <v>-1.3</v>
      </c>
      <c r="Y2832" s="2">
        <v>-3.32</v>
      </c>
      <c r="Z2832" s="2">
        <v>4.42</v>
      </c>
    </row>
    <row r="2833" spans="1:26" x14ac:dyDescent="0.25">
      <c r="A2833" s="1" t="s">
        <v>11287</v>
      </c>
      <c r="B2833" s="1" t="s">
        <v>11288</v>
      </c>
      <c r="C2833" s="1" t="s">
        <v>16</v>
      </c>
      <c r="D2833" s="1" t="s">
        <v>140</v>
      </c>
      <c r="E2833" s="1" t="s">
        <v>284</v>
      </c>
      <c r="F2833" s="1" t="s">
        <v>11289</v>
      </c>
      <c r="G2833" s="1" t="s">
        <v>12480</v>
      </c>
      <c r="H2833" s="1" t="s">
        <v>11290</v>
      </c>
      <c r="I2833" s="2">
        <v>427.52</v>
      </c>
      <c r="J2833" s="2">
        <v>13.06</v>
      </c>
      <c r="K2833" s="2">
        <v>14.74</v>
      </c>
      <c r="L2833" s="2">
        <v>16.7</v>
      </c>
      <c r="M2833" s="4">
        <f t="shared" si="264"/>
        <v>29.004070556309362</v>
      </c>
      <c r="N2833" s="4">
        <f t="shared" si="265"/>
        <v>25.6</v>
      </c>
      <c r="O2833" s="5">
        <f t="shared" si="266"/>
        <v>0.12863705972434913</v>
      </c>
      <c r="P2833" s="5">
        <f t="shared" si="267"/>
        <v>0.1329715061058343</v>
      </c>
      <c r="Q2833" s="4">
        <f t="shared" si="268"/>
        <v>2.2547211991988112</v>
      </c>
      <c r="R2833" s="4">
        <f t="shared" si="269"/>
        <v>1.925224489795921</v>
      </c>
      <c r="S2833" s="4">
        <v>7.48</v>
      </c>
      <c r="T2833" s="2">
        <v>1.19</v>
      </c>
      <c r="U2833" s="2">
        <v>472.54</v>
      </c>
      <c r="V2833" s="2">
        <v>315.20999999999998</v>
      </c>
      <c r="W2833" s="2">
        <v>-8.2899999999999991</v>
      </c>
      <c r="X2833" s="2">
        <v>-7.02</v>
      </c>
      <c r="Y2833" s="2">
        <v>8.27</v>
      </c>
      <c r="Z2833" s="2">
        <v>9.85</v>
      </c>
    </row>
    <row r="2834" spans="1:26" x14ac:dyDescent="0.25">
      <c r="A2834" s="1" t="s">
        <v>11291</v>
      </c>
      <c r="B2834" s="1" t="s">
        <v>11292</v>
      </c>
      <c r="C2834" s="1" t="s">
        <v>16</v>
      </c>
      <c r="D2834" s="1" t="s">
        <v>61</v>
      </c>
      <c r="E2834" s="1" t="s">
        <v>170</v>
      </c>
      <c r="F2834" s="1" t="s">
        <v>11293</v>
      </c>
      <c r="G2834" s="1" t="s">
        <v>12480</v>
      </c>
      <c r="H2834" s="1" t="s">
        <v>11294</v>
      </c>
      <c r="I2834" s="2">
        <v>15.99</v>
      </c>
      <c r="J2834" s="2">
        <v>0.95</v>
      </c>
      <c r="K2834" s="2">
        <v>1.17</v>
      </c>
      <c r="L2834" s="2">
        <v>1.26</v>
      </c>
      <c r="M2834" s="4">
        <f t="shared" si="264"/>
        <v>13.666666666666668</v>
      </c>
      <c r="N2834" s="4">
        <f t="shared" si="265"/>
        <v>12.69047619047619</v>
      </c>
      <c r="O2834" s="5">
        <f t="shared" si="266"/>
        <v>0.23157894736842111</v>
      </c>
      <c r="P2834" s="5">
        <f t="shared" si="267"/>
        <v>7.6923076923077094E-2</v>
      </c>
      <c r="Q2834" s="4">
        <f t="shared" si="268"/>
        <v>0.59015151515151509</v>
      </c>
      <c r="R2834" s="4">
        <f t="shared" si="269"/>
        <v>1.649761904761901</v>
      </c>
      <c r="S2834" s="4">
        <v>2.69</v>
      </c>
      <c r="T2834" s="2"/>
      <c r="U2834" s="2">
        <v>19.18</v>
      </c>
      <c r="V2834" s="2">
        <v>10.96</v>
      </c>
      <c r="W2834" s="2">
        <v>-8.52</v>
      </c>
      <c r="X2834" s="2">
        <v>-15.44</v>
      </c>
      <c r="Y2834" s="2">
        <v>-5.38</v>
      </c>
      <c r="Z2834" s="2">
        <v>-2.97</v>
      </c>
    </row>
    <row r="2835" spans="1:26" x14ac:dyDescent="0.25">
      <c r="A2835" s="1" t="s">
        <v>11295</v>
      </c>
      <c r="B2835" s="1" t="s">
        <v>11296</v>
      </c>
      <c r="C2835" s="1" t="s">
        <v>45</v>
      </c>
      <c r="D2835" s="1" t="s">
        <v>32</v>
      </c>
      <c r="E2835" s="1" t="s">
        <v>311</v>
      </c>
      <c r="F2835" s="1" t="s">
        <v>11297</v>
      </c>
      <c r="G2835" s="1" t="s">
        <v>12493</v>
      </c>
      <c r="H2835" s="1" t="s">
        <v>11298</v>
      </c>
      <c r="I2835" s="2">
        <v>80.67</v>
      </c>
      <c r="J2835" s="2">
        <v>0.4</v>
      </c>
      <c r="K2835" s="2">
        <v>1.1000000000000001</v>
      </c>
      <c r="L2835" s="2">
        <v>1.44</v>
      </c>
      <c r="M2835" s="4">
        <f t="shared" si="264"/>
        <v>73.336363636363629</v>
      </c>
      <c r="N2835" s="4">
        <f t="shared" si="265"/>
        <v>56.020833333333336</v>
      </c>
      <c r="O2835" s="5">
        <f t="shared" si="266"/>
        <v>1.75</v>
      </c>
      <c r="P2835" s="5">
        <f t="shared" si="267"/>
        <v>0.30909090909090886</v>
      </c>
      <c r="Q2835" s="4">
        <f t="shared" si="268"/>
        <v>0.41906493506493503</v>
      </c>
      <c r="R2835" s="4">
        <f t="shared" si="269"/>
        <v>1.8124387254901975</v>
      </c>
      <c r="S2835" s="4">
        <v>25.64</v>
      </c>
      <c r="T2835" s="2">
        <v>-0.72</v>
      </c>
      <c r="U2835" s="2">
        <v>129.37</v>
      </c>
      <c r="V2835" s="2">
        <v>60.74</v>
      </c>
      <c r="W2835" s="2">
        <v>8.02</v>
      </c>
      <c r="X2835" s="2">
        <v>28.09</v>
      </c>
      <c r="Y2835" s="2">
        <v>-21.76</v>
      </c>
      <c r="Z2835" s="2">
        <v>-24.25</v>
      </c>
    </row>
    <row r="2836" spans="1:26" x14ac:dyDescent="0.25">
      <c r="A2836" s="1" t="s">
        <v>11299</v>
      </c>
      <c r="B2836" s="1" t="s">
        <v>11300</v>
      </c>
      <c r="C2836" s="1" t="s">
        <v>16</v>
      </c>
      <c r="D2836" s="1" t="s">
        <v>147</v>
      </c>
      <c r="E2836" s="1" t="s">
        <v>7480</v>
      </c>
      <c r="F2836" s="1" t="s">
        <v>12804</v>
      </c>
      <c r="G2836" s="1" t="s">
        <v>12479</v>
      </c>
      <c r="H2836" s="1" t="s">
        <v>11301</v>
      </c>
      <c r="I2836" s="2">
        <v>99.77</v>
      </c>
      <c r="J2836" s="2">
        <v>4.2</v>
      </c>
      <c r="K2836" s="2">
        <v>4.62</v>
      </c>
      <c r="L2836" s="2" t="s">
        <v>12508</v>
      </c>
      <c r="M2836" s="4">
        <f t="shared" si="264"/>
        <v>21.595238095238095</v>
      </c>
      <c r="N2836" s="4">
        <f t="shared" si="265"/>
        <v>19.954000000000001</v>
      </c>
      <c r="O2836" s="5">
        <f t="shared" si="266"/>
        <v>0.10000000000000009</v>
      </c>
      <c r="P2836" s="5">
        <f t="shared" si="267"/>
        <v>8.2251082251082241E-2</v>
      </c>
      <c r="Q2836" s="4">
        <f t="shared" si="268"/>
        <v>2.1595238095238076</v>
      </c>
      <c r="R2836" s="4">
        <f t="shared" si="269"/>
        <v>2.4259863157894741</v>
      </c>
      <c r="S2836" s="4">
        <v>-1.6</v>
      </c>
      <c r="T2836" s="2">
        <v>0.8</v>
      </c>
      <c r="U2836" s="2">
        <v>101.76</v>
      </c>
      <c r="V2836" s="2">
        <v>63.51</v>
      </c>
      <c r="W2836" s="2">
        <v>-0.52</v>
      </c>
      <c r="X2836" s="2">
        <v>1.5</v>
      </c>
      <c r="Y2836" s="2">
        <v>35.78</v>
      </c>
      <c r="Z2836" s="2">
        <v>26.74</v>
      </c>
    </row>
    <row r="2837" spans="1:26" x14ac:dyDescent="0.25">
      <c r="A2837" s="1" t="s">
        <v>11302</v>
      </c>
      <c r="B2837" s="1" t="s">
        <v>11303</v>
      </c>
      <c r="C2837" s="1" t="s">
        <v>45</v>
      </c>
      <c r="D2837" s="1" t="s">
        <v>32</v>
      </c>
      <c r="E2837" s="1" t="s">
        <v>565</v>
      </c>
      <c r="F2837" s="1" t="s">
        <v>11304</v>
      </c>
      <c r="G2837" s="1" t="s">
        <v>12480</v>
      </c>
      <c r="H2837" s="1" t="s">
        <v>11305</v>
      </c>
      <c r="I2837" s="2">
        <v>28.56</v>
      </c>
      <c r="J2837" s="2">
        <v>1.77</v>
      </c>
      <c r="K2837" s="2">
        <v>2.08</v>
      </c>
      <c r="L2837" s="2">
        <v>2.37</v>
      </c>
      <c r="M2837" s="4">
        <f t="shared" si="264"/>
        <v>13.73076923076923</v>
      </c>
      <c r="N2837" s="4">
        <f t="shared" si="265"/>
        <v>12.050632911392404</v>
      </c>
      <c r="O2837" s="5">
        <f t="shared" si="266"/>
        <v>0.17514124293785316</v>
      </c>
      <c r="P2837" s="5">
        <f t="shared" si="267"/>
        <v>0.13942307692307687</v>
      </c>
      <c r="Q2837" s="4">
        <f t="shared" si="268"/>
        <v>0.78398263027295256</v>
      </c>
      <c r="R2837" s="4">
        <f t="shared" si="269"/>
        <v>0.86432125709297281</v>
      </c>
      <c r="S2837" s="4">
        <v>18.47</v>
      </c>
      <c r="T2837" s="2">
        <v>1.1299999999999999</v>
      </c>
      <c r="U2837" s="2">
        <v>89.76</v>
      </c>
      <c r="V2837" s="2">
        <v>23.82</v>
      </c>
      <c r="W2837" s="2">
        <v>17.43</v>
      </c>
      <c r="X2837" s="2">
        <v>5.62</v>
      </c>
      <c r="Y2837" s="2">
        <v>-21.08</v>
      </c>
      <c r="Z2837" s="2">
        <v>-24.76</v>
      </c>
    </row>
    <row r="2838" spans="1:26" x14ac:dyDescent="0.25">
      <c r="A2838" s="1" t="s">
        <v>11306</v>
      </c>
      <c r="B2838" s="1" t="s">
        <v>11307</v>
      </c>
      <c r="C2838" s="1" t="s">
        <v>31</v>
      </c>
      <c r="D2838" s="1" t="s">
        <v>32</v>
      </c>
      <c r="E2838" s="1" t="s">
        <v>33</v>
      </c>
      <c r="F2838" s="1" t="s">
        <v>11308</v>
      </c>
      <c r="G2838" s="1" t="s">
        <v>12490</v>
      </c>
      <c r="H2838" s="1" t="s">
        <v>11309</v>
      </c>
      <c r="I2838" s="2">
        <v>13.85</v>
      </c>
      <c r="J2838" s="2">
        <v>0.57999999999999996</v>
      </c>
      <c r="K2838" s="2">
        <v>0.71</v>
      </c>
      <c r="L2838" s="2">
        <v>0.83</v>
      </c>
      <c r="M2838" s="4">
        <f t="shared" si="264"/>
        <v>19.507042253521128</v>
      </c>
      <c r="N2838" s="4">
        <f t="shared" si="265"/>
        <v>16.686746987951807</v>
      </c>
      <c r="O2838" s="5">
        <f t="shared" si="266"/>
        <v>0.22413793103448287</v>
      </c>
      <c r="P2838" s="5">
        <f t="shared" si="267"/>
        <v>0.16901408450704225</v>
      </c>
      <c r="Q2838" s="4">
        <f t="shared" si="268"/>
        <v>0.8703141928494037</v>
      </c>
      <c r="R2838" s="4">
        <f t="shared" si="269"/>
        <v>0.98729919678714861</v>
      </c>
      <c r="S2838" s="4">
        <v>-0.65</v>
      </c>
      <c r="T2838" s="2">
        <v>0.76</v>
      </c>
      <c r="U2838" s="2">
        <v>18.18</v>
      </c>
      <c r="V2838" s="2">
        <v>8.48</v>
      </c>
      <c r="W2838" s="2">
        <v>-6.25</v>
      </c>
      <c r="X2838" s="2">
        <v>-6.82</v>
      </c>
      <c r="Y2838" s="2">
        <v>-4.42</v>
      </c>
      <c r="Z2838" s="2">
        <v>-1.77</v>
      </c>
    </row>
    <row r="2839" spans="1:26" x14ac:dyDescent="0.25">
      <c r="A2839" s="1" t="s">
        <v>11310</v>
      </c>
      <c r="B2839" s="1" t="s">
        <v>11311</v>
      </c>
      <c r="C2839" s="1" t="s">
        <v>16</v>
      </c>
      <c r="D2839" s="1" t="s">
        <v>94</v>
      </c>
      <c r="E2839" s="1" t="s">
        <v>3284</v>
      </c>
      <c r="F2839" s="1" t="s">
        <v>11312</v>
      </c>
      <c r="G2839" s="1" t="s">
        <v>12480</v>
      </c>
      <c r="H2839" s="1" t="s">
        <v>11313</v>
      </c>
      <c r="I2839" s="2">
        <v>80.290000000000006</v>
      </c>
      <c r="J2839" s="2">
        <v>6.89</v>
      </c>
      <c r="K2839" s="2">
        <v>6.6</v>
      </c>
      <c r="L2839" s="2">
        <v>7.18</v>
      </c>
      <c r="M2839" s="4">
        <f t="shared" si="264"/>
        <v>12.165151515151516</v>
      </c>
      <c r="N2839" s="4">
        <f t="shared" si="265"/>
        <v>11.182451253481895</v>
      </c>
      <c r="O2839" s="5">
        <f t="shared" si="266"/>
        <v>-4.2089985486211901E-2</v>
      </c>
      <c r="P2839" s="5">
        <f t="shared" si="267"/>
        <v>8.787878787878789E-2</v>
      </c>
      <c r="Q2839" s="4">
        <f t="shared" si="268"/>
        <v>-2.8902722048066876</v>
      </c>
      <c r="R2839" s="4">
        <f t="shared" si="269"/>
        <v>1.2724858322927672</v>
      </c>
      <c r="S2839" s="4">
        <v>-6.22</v>
      </c>
      <c r="T2839" s="2">
        <v>0.19</v>
      </c>
      <c r="U2839" s="2">
        <v>81.069999999999993</v>
      </c>
      <c r="V2839" s="2">
        <v>53.37</v>
      </c>
      <c r="W2839" s="2">
        <v>-0.96</v>
      </c>
      <c r="X2839" s="2">
        <v>7.47</v>
      </c>
      <c r="Y2839" s="2">
        <v>23.03</v>
      </c>
      <c r="Z2839" s="2">
        <v>22.73</v>
      </c>
    </row>
    <row r="2840" spans="1:26" x14ac:dyDescent="0.25">
      <c r="A2840" s="1" t="s">
        <v>11314</v>
      </c>
      <c r="B2840" s="1" t="s">
        <v>11315</v>
      </c>
      <c r="C2840" s="1" t="s">
        <v>45</v>
      </c>
      <c r="D2840" s="1" t="s">
        <v>61</v>
      </c>
      <c r="E2840" s="1" t="s">
        <v>237</v>
      </c>
      <c r="F2840" s="1" t="s">
        <v>11316</v>
      </c>
      <c r="G2840" s="1" t="s">
        <v>12485</v>
      </c>
      <c r="H2840" s="1" t="s">
        <v>11317</v>
      </c>
      <c r="I2840" s="2">
        <v>35.14</v>
      </c>
      <c r="J2840" s="2">
        <v>1.56</v>
      </c>
      <c r="K2840" s="2">
        <v>1.5</v>
      </c>
      <c r="L2840" s="2">
        <v>1.74</v>
      </c>
      <c r="M2840" s="4">
        <f t="shared" si="264"/>
        <v>23.426666666666666</v>
      </c>
      <c r="N2840" s="4">
        <f t="shared" si="265"/>
        <v>20.195402298850574</v>
      </c>
      <c r="O2840" s="5">
        <f t="shared" si="266"/>
        <v>-3.8461538461538547E-2</v>
      </c>
      <c r="P2840" s="5">
        <f t="shared" si="267"/>
        <v>0.15999999999999992</v>
      </c>
      <c r="Q2840" s="4">
        <f t="shared" si="268"/>
        <v>-6.0909333333333198</v>
      </c>
      <c r="R2840" s="4">
        <f t="shared" si="269"/>
        <v>1.2622126436781615</v>
      </c>
      <c r="S2840" s="4">
        <v>4.6900000000000004</v>
      </c>
      <c r="T2840" s="2">
        <v>0.9</v>
      </c>
      <c r="U2840" s="2">
        <v>42.61</v>
      </c>
      <c r="V2840" s="2">
        <v>28.01</v>
      </c>
      <c r="W2840" s="2">
        <v>-2.44</v>
      </c>
      <c r="X2840" s="2">
        <v>-16.510000000000002</v>
      </c>
      <c r="Y2840" s="2">
        <v>2.0299999999999998</v>
      </c>
      <c r="Z2840" s="2">
        <v>4.7699999999999996</v>
      </c>
    </row>
    <row r="2841" spans="1:26" x14ac:dyDescent="0.25">
      <c r="A2841" s="1" t="s">
        <v>11318</v>
      </c>
      <c r="B2841" s="1" t="s">
        <v>11319</v>
      </c>
      <c r="C2841" s="1" t="s">
        <v>16</v>
      </c>
      <c r="D2841" s="1" t="s">
        <v>94</v>
      </c>
      <c r="E2841" s="1" t="s">
        <v>1042</v>
      </c>
      <c r="F2841" s="1" t="s">
        <v>11320</v>
      </c>
      <c r="G2841" s="1" t="s">
        <v>12480</v>
      </c>
      <c r="H2841" s="1" t="s">
        <v>11321</v>
      </c>
      <c r="I2841" s="2">
        <v>8.33</v>
      </c>
      <c r="J2841" s="2">
        <v>0.26</v>
      </c>
      <c r="K2841" s="2">
        <v>0.23</v>
      </c>
      <c r="L2841" s="2">
        <v>0.4</v>
      </c>
      <c r="M2841" s="4">
        <f t="shared" si="264"/>
        <v>36.217391304347828</v>
      </c>
      <c r="N2841" s="4">
        <f t="shared" si="265"/>
        <v>20.824999999999999</v>
      </c>
      <c r="O2841" s="5">
        <f t="shared" si="266"/>
        <v>-0.11538461538461542</v>
      </c>
      <c r="P2841" s="5">
        <f t="shared" si="267"/>
        <v>0.73913043478260865</v>
      </c>
      <c r="Q2841" s="4">
        <f t="shared" si="268"/>
        <v>-3.138840579710144</v>
      </c>
      <c r="R2841" s="4">
        <f t="shared" si="269"/>
        <v>0.28175</v>
      </c>
      <c r="S2841" s="4">
        <v>5.31</v>
      </c>
      <c r="T2841" s="2">
        <v>1.2</v>
      </c>
      <c r="U2841" s="2">
        <v>12.32</v>
      </c>
      <c r="V2841" s="2">
        <v>2.13</v>
      </c>
      <c r="W2841" s="2">
        <v>-6.61</v>
      </c>
      <c r="X2841" s="2">
        <v>-29.35</v>
      </c>
      <c r="Y2841" s="2">
        <v>-4.6900000000000004</v>
      </c>
      <c r="Z2841" s="2">
        <v>-11.1</v>
      </c>
    </row>
    <row r="2842" spans="1:26" x14ac:dyDescent="0.25">
      <c r="A2842" s="1" t="s">
        <v>11322</v>
      </c>
      <c r="B2842" s="1" t="s">
        <v>11323</v>
      </c>
      <c r="C2842" s="1" t="s">
        <v>45</v>
      </c>
      <c r="D2842" s="1" t="s">
        <v>32</v>
      </c>
      <c r="E2842" s="1" t="s">
        <v>33</v>
      </c>
      <c r="F2842" s="1" t="s">
        <v>11324</v>
      </c>
      <c r="G2842" s="1" t="s">
        <v>12480</v>
      </c>
      <c r="H2842" s="1" t="s">
        <v>11325</v>
      </c>
      <c r="I2842" s="2">
        <v>96.8</v>
      </c>
      <c r="J2842" s="2">
        <v>2.46</v>
      </c>
      <c r="K2842" s="2">
        <v>3.24</v>
      </c>
      <c r="L2842" s="2">
        <v>4.6399999999999997</v>
      </c>
      <c r="M2842" s="4">
        <f t="shared" si="264"/>
        <v>29.876543209876541</v>
      </c>
      <c r="N2842" s="4">
        <f t="shared" si="265"/>
        <v>20.862068965517242</v>
      </c>
      <c r="O2842" s="5">
        <f t="shared" si="266"/>
        <v>0.31707317073170738</v>
      </c>
      <c r="P2842" s="5">
        <f t="shared" si="267"/>
        <v>0.43209876543209846</v>
      </c>
      <c r="Q2842" s="4">
        <f t="shared" si="268"/>
        <v>0.94226020892687534</v>
      </c>
      <c r="R2842" s="4">
        <f t="shared" si="269"/>
        <v>0.48280788177339939</v>
      </c>
      <c r="S2842" s="4">
        <v>18.98</v>
      </c>
      <c r="T2842" s="2">
        <v>1.74</v>
      </c>
      <c r="U2842" s="2" t="s">
        <v>12805</v>
      </c>
      <c r="V2842" s="2">
        <v>17.57</v>
      </c>
      <c r="W2842" s="2">
        <v>-14.34</v>
      </c>
      <c r="X2842" s="2">
        <v>-1.2</v>
      </c>
      <c r="Y2842" s="2">
        <v>34.35</v>
      </c>
      <c r="Z2842" s="2">
        <v>40.29</v>
      </c>
    </row>
    <row r="2843" spans="1:26" x14ac:dyDescent="0.25">
      <c r="A2843" s="1" t="s">
        <v>11326</v>
      </c>
      <c r="B2843" s="1" t="s">
        <v>11327</v>
      </c>
      <c r="C2843" s="1" t="s">
        <v>31</v>
      </c>
      <c r="D2843" s="1" t="s">
        <v>25</v>
      </c>
      <c r="E2843" s="1" t="s">
        <v>743</v>
      </c>
      <c r="F2843" s="1" t="s">
        <v>11328</v>
      </c>
      <c r="G2843" s="1" t="s">
        <v>12480</v>
      </c>
      <c r="H2843" s="1" t="s">
        <v>9378</v>
      </c>
      <c r="I2843" s="2">
        <v>73.61</v>
      </c>
      <c r="J2843" s="2">
        <v>3.27</v>
      </c>
      <c r="K2843" s="2">
        <v>3.58</v>
      </c>
      <c r="L2843" s="2">
        <v>4.5</v>
      </c>
      <c r="M2843" s="4">
        <f t="shared" si="264"/>
        <v>20.561452513966479</v>
      </c>
      <c r="N2843" s="4">
        <f t="shared" si="265"/>
        <v>16.357777777777777</v>
      </c>
      <c r="O2843" s="5">
        <f t="shared" si="266"/>
        <v>9.4801223241590238E-2</v>
      </c>
      <c r="P2843" s="5">
        <f t="shared" si="267"/>
        <v>0.25698324022346375</v>
      </c>
      <c r="Q2843" s="4">
        <f t="shared" si="268"/>
        <v>2.1689016038925928</v>
      </c>
      <c r="R2843" s="4">
        <f t="shared" si="269"/>
        <v>0.63653091787439586</v>
      </c>
      <c r="S2843" s="4">
        <v>4.3600000000000003</v>
      </c>
      <c r="T2843" s="2">
        <v>1.5</v>
      </c>
      <c r="U2843" s="2">
        <v>81.099999999999994</v>
      </c>
      <c r="V2843" s="2">
        <v>44.92</v>
      </c>
      <c r="W2843" s="2">
        <v>-8.39</v>
      </c>
      <c r="X2843" s="2">
        <v>0.9</v>
      </c>
      <c r="Y2843" s="2">
        <v>25.23</v>
      </c>
      <c r="Z2843" s="2">
        <v>27.84</v>
      </c>
    </row>
    <row r="2844" spans="1:26" x14ac:dyDescent="0.25">
      <c r="A2844" s="1" t="s">
        <v>11329</v>
      </c>
      <c r="B2844" s="1" t="s">
        <v>11330</v>
      </c>
      <c r="C2844" s="1" t="s">
        <v>45</v>
      </c>
      <c r="D2844" s="1" t="s">
        <v>147</v>
      </c>
      <c r="E2844" s="1" t="s">
        <v>2000</v>
      </c>
      <c r="F2844" s="1" t="s">
        <v>11331</v>
      </c>
      <c r="G2844" s="1" t="s">
        <v>12490</v>
      </c>
      <c r="H2844" s="1" t="s">
        <v>11332</v>
      </c>
      <c r="I2844" s="2">
        <v>214.63</v>
      </c>
      <c r="J2844" s="2">
        <v>2.0499999999999998</v>
      </c>
      <c r="K2844" s="2">
        <v>3.86</v>
      </c>
      <c r="L2844" s="2">
        <v>8.11</v>
      </c>
      <c r="M2844" s="4">
        <f t="shared" si="264"/>
        <v>55.603626943005182</v>
      </c>
      <c r="N2844" s="4">
        <f t="shared" si="265"/>
        <v>26.464858199753394</v>
      </c>
      <c r="O2844" s="5">
        <f t="shared" si="266"/>
        <v>0.8829268292682928</v>
      </c>
      <c r="P2844" s="5">
        <f t="shared" si="267"/>
        <v>1.1010362694300517</v>
      </c>
      <c r="Q2844" s="4">
        <f t="shared" si="268"/>
        <v>0.62976483554232376</v>
      </c>
      <c r="R2844" s="4">
        <f t="shared" si="269"/>
        <v>0.2403631827083485</v>
      </c>
      <c r="S2844" s="4">
        <v>5.31</v>
      </c>
      <c r="T2844" s="2">
        <v>0.94</v>
      </c>
      <c r="U2844" s="2">
        <v>262.29000000000002</v>
      </c>
      <c r="V2844" s="2">
        <v>190.36</v>
      </c>
      <c r="W2844" s="2">
        <v>0.35</v>
      </c>
      <c r="X2844" s="2">
        <v>4.68</v>
      </c>
      <c r="Y2844" s="2">
        <v>-12.24</v>
      </c>
      <c r="Z2844" s="2">
        <v>-16.170000000000002</v>
      </c>
    </row>
    <row r="2845" spans="1:26" x14ac:dyDescent="0.25">
      <c r="A2845" s="1" t="s">
        <v>11334</v>
      </c>
      <c r="B2845" s="1" t="s">
        <v>11335</v>
      </c>
      <c r="C2845" s="1" t="s">
        <v>16</v>
      </c>
      <c r="D2845" s="1" t="s">
        <v>354</v>
      </c>
      <c r="E2845" s="1" t="s">
        <v>1537</v>
      </c>
      <c r="F2845" s="1" t="s">
        <v>11336</v>
      </c>
      <c r="G2845" s="1" t="s">
        <v>12480</v>
      </c>
      <c r="H2845" s="1" t="s">
        <v>11337</v>
      </c>
      <c r="I2845" s="2">
        <v>13.67</v>
      </c>
      <c r="J2845" s="2">
        <v>0.66</v>
      </c>
      <c r="K2845" s="2">
        <v>0.75</v>
      </c>
      <c r="L2845" s="2">
        <v>0.8</v>
      </c>
      <c r="M2845" s="4">
        <f t="shared" si="264"/>
        <v>18.226666666666667</v>
      </c>
      <c r="N2845" s="4">
        <f t="shared" si="265"/>
        <v>17.087499999999999</v>
      </c>
      <c r="O2845" s="5">
        <f t="shared" si="266"/>
        <v>0.13636363636363624</v>
      </c>
      <c r="P2845" s="5">
        <f t="shared" si="267"/>
        <v>6.6666666666666652E-2</v>
      </c>
      <c r="Q2845" s="4">
        <f t="shared" si="268"/>
        <v>1.3366222222222235</v>
      </c>
      <c r="R2845" s="4">
        <f t="shared" si="269"/>
        <v>2.5631250000000003</v>
      </c>
      <c r="S2845" s="4">
        <v>-1.1399999999999999</v>
      </c>
      <c r="T2845" s="2">
        <v>0.68</v>
      </c>
      <c r="U2845" s="2">
        <v>16.63</v>
      </c>
      <c r="V2845" s="2">
        <v>12.61</v>
      </c>
      <c r="W2845" s="2">
        <v>1.64</v>
      </c>
      <c r="X2845" s="2">
        <v>-3.94</v>
      </c>
      <c r="Y2845" s="2">
        <v>6.96</v>
      </c>
      <c r="Z2845" s="2">
        <v>3.8</v>
      </c>
    </row>
    <row r="2846" spans="1:26" x14ac:dyDescent="0.25">
      <c r="A2846" s="1" t="s">
        <v>11338</v>
      </c>
      <c r="B2846" s="1" t="s">
        <v>11339</v>
      </c>
      <c r="C2846" s="1" t="s">
        <v>16</v>
      </c>
      <c r="D2846" s="1" t="s">
        <v>32</v>
      </c>
      <c r="E2846" s="1" t="s">
        <v>311</v>
      </c>
      <c r="F2846" s="1" t="s">
        <v>11340</v>
      </c>
      <c r="G2846" s="1" t="s">
        <v>12480</v>
      </c>
      <c r="H2846" s="1" t="s">
        <v>11341</v>
      </c>
      <c r="I2846" s="2">
        <v>2.4700000000000002</v>
      </c>
      <c r="J2846" s="2">
        <v>0.13</v>
      </c>
      <c r="K2846" s="2">
        <v>0.14000000000000001</v>
      </c>
      <c r="L2846" s="2">
        <v>0.16</v>
      </c>
      <c r="M2846" s="4">
        <f t="shared" si="264"/>
        <v>17.642857142857142</v>
      </c>
      <c r="N2846" s="4">
        <f t="shared" si="265"/>
        <v>15.437500000000002</v>
      </c>
      <c r="O2846" s="5">
        <f t="shared" si="266"/>
        <v>7.6923076923077094E-2</v>
      </c>
      <c r="P2846" s="5">
        <f t="shared" si="267"/>
        <v>0.14285714285714279</v>
      </c>
      <c r="Q2846" s="4">
        <f t="shared" si="268"/>
        <v>2.2935714285714233</v>
      </c>
      <c r="R2846" s="4">
        <f t="shared" si="269"/>
        <v>1.0806250000000006</v>
      </c>
      <c r="S2846" s="4">
        <v>7.76</v>
      </c>
      <c r="T2846" s="2">
        <v>0.41</v>
      </c>
      <c r="U2846" s="2">
        <v>4.03</v>
      </c>
      <c r="V2846" s="2">
        <v>1.89</v>
      </c>
      <c r="W2846" s="2">
        <v>-0.8</v>
      </c>
      <c r="X2846" s="2">
        <v>13.82</v>
      </c>
      <c r="Y2846" s="2">
        <v>13.82</v>
      </c>
      <c r="Z2846" s="2">
        <v>17.059999999999999</v>
      </c>
    </row>
    <row r="2847" spans="1:26" x14ac:dyDescent="0.25">
      <c r="A2847" s="1" t="s">
        <v>11342</v>
      </c>
      <c r="B2847" s="1" t="s">
        <v>11343</v>
      </c>
      <c r="C2847" s="1" t="s">
        <v>31</v>
      </c>
      <c r="D2847" s="1" t="s">
        <v>147</v>
      </c>
      <c r="E2847" s="1" t="s">
        <v>2590</v>
      </c>
      <c r="F2847" s="1" t="s">
        <v>11344</v>
      </c>
      <c r="G2847" s="1" t="s">
        <v>12480</v>
      </c>
      <c r="H2847" s="1" t="s">
        <v>11345</v>
      </c>
      <c r="I2847" s="2">
        <v>9.75</v>
      </c>
      <c r="J2847" s="2"/>
      <c r="K2847" s="2"/>
      <c r="L2847" s="2"/>
      <c r="M2847" s="4" t="e">
        <f t="shared" si="264"/>
        <v>#DIV/0!</v>
      </c>
      <c r="N2847" s="4" t="e">
        <f t="shared" si="265"/>
        <v>#DIV/0!</v>
      </c>
      <c r="O2847" s="5" t="e">
        <f t="shared" si="266"/>
        <v>#DIV/0!</v>
      </c>
      <c r="P2847" s="5" t="e">
        <f t="shared" si="267"/>
        <v>#DIV/0!</v>
      </c>
      <c r="Q2847" s="4" t="e">
        <f t="shared" si="268"/>
        <v>#DIV/0!</v>
      </c>
      <c r="R2847" s="4" t="e">
        <f t="shared" si="269"/>
        <v>#DIV/0!</v>
      </c>
      <c r="S2847" s="4"/>
      <c r="T2847" s="2">
        <v>0.88</v>
      </c>
      <c r="U2847" s="2">
        <v>10.24</v>
      </c>
      <c r="V2847" s="2">
        <v>6.09</v>
      </c>
      <c r="W2847" s="2" t="s">
        <v>12489</v>
      </c>
      <c r="X2847" s="2" t="s">
        <v>12489</v>
      </c>
      <c r="Y2847" s="2">
        <v>5.52</v>
      </c>
      <c r="Z2847" s="2" t="s">
        <v>12489</v>
      </c>
    </row>
    <row r="2848" spans="1:26" x14ac:dyDescent="0.25">
      <c r="A2848" s="1" t="s">
        <v>11346</v>
      </c>
      <c r="B2848" s="1" t="s">
        <v>11347</v>
      </c>
      <c r="C2848" s="1" t="s">
        <v>45</v>
      </c>
      <c r="D2848" s="1" t="s">
        <v>18</v>
      </c>
      <c r="E2848" s="1" t="s">
        <v>74</v>
      </c>
      <c r="F2848" s="1" t="s">
        <v>11348</v>
      </c>
      <c r="G2848" s="1" t="s">
        <v>12480</v>
      </c>
      <c r="H2848" s="1" t="s">
        <v>11349</v>
      </c>
      <c r="I2848" s="2">
        <v>28.98</v>
      </c>
      <c r="J2848" s="2">
        <v>-0.28999999999999998</v>
      </c>
      <c r="K2848" s="2">
        <v>0.02</v>
      </c>
      <c r="L2848" s="2">
        <v>1.54</v>
      </c>
      <c r="M2848" s="4">
        <f t="shared" si="264"/>
        <v>1449</v>
      </c>
      <c r="N2848" s="4">
        <f t="shared" si="265"/>
        <v>18.818181818181817</v>
      </c>
      <c r="O2848" s="5">
        <f t="shared" si="266"/>
        <v>-1.0689655172413792</v>
      </c>
      <c r="P2848" s="5">
        <f t="shared" si="267"/>
        <v>76</v>
      </c>
      <c r="Q2848" s="4">
        <f t="shared" si="268"/>
        <v>-13.555161290322582</v>
      </c>
      <c r="R2848" s="4">
        <f t="shared" si="269"/>
        <v>2.4760765550239233E-3</v>
      </c>
      <c r="S2848" s="4">
        <v>110.45</v>
      </c>
      <c r="T2848" s="2">
        <v>0.81</v>
      </c>
      <c r="U2848" s="2">
        <v>40.28</v>
      </c>
      <c r="V2848" s="2">
        <v>13.49</v>
      </c>
      <c r="W2848" s="2">
        <v>-1.86</v>
      </c>
      <c r="X2848" s="2">
        <v>-3.62</v>
      </c>
      <c r="Y2848" s="2">
        <v>-16.63</v>
      </c>
      <c r="Z2848" s="2">
        <v>-24.16</v>
      </c>
    </row>
    <row r="2849" spans="1:26" x14ac:dyDescent="0.25">
      <c r="A2849" s="1" t="s">
        <v>11350</v>
      </c>
      <c r="B2849" s="1" t="s">
        <v>11351</v>
      </c>
      <c r="C2849" s="1" t="s">
        <v>45</v>
      </c>
      <c r="D2849" s="1" t="s">
        <v>38</v>
      </c>
      <c r="E2849" s="1" t="s">
        <v>1408</v>
      </c>
      <c r="F2849" s="1" t="s">
        <v>11352</v>
      </c>
      <c r="G2849" s="1" t="s">
        <v>12480</v>
      </c>
      <c r="H2849" s="1" t="s">
        <v>11353</v>
      </c>
      <c r="I2849" s="2">
        <v>126.57</v>
      </c>
      <c r="J2849" s="2">
        <v>3.47</v>
      </c>
      <c r="K2849" s="2">
        <v>3.92</v>
      </c>
      <c r="L2849" s="2">
        <v>4.41</v>
      </c>
      <c r="M2849" s="4">
        <f t="shared" si="264"/>
        <v>32.288265306122447</v>
      </c>
      <c r="N2849" s="4">
        <f t="shared" si="265"/>
        <v>28.700680272108841</v>
      </c>
      <c r="O2849" s="5">
        <f t="shared" si="266"/>
        <v>0.12968299711815545</v>
      </c>
      <c r="P2849" s="5">
        <f t="shared" si="267"/>
        <v>0.125</v>
      </c>
      <c r="Q2849" s="4">
        <f t="shared" si="268"/>
        <v>2.4897840136054454</v>
      </c>
      <c r="R2849" s="4">
        <f t="shared" si="269"/>
        <v>2.2960544217687073</v>
      </c>
      <c r="S2849" s="4">
        <v>18.920000000000002</v>
      </c>
      <c r="T2849" s="2">
        <v>0.77</v>
      </c>
      <c r="U2849" s="2">
        <v>149.02000000000001</v>
      </c>
      <c r="V2849" s="2">
        <v>99.48</v>
      </c>
      <c r="W2849" s="2">
        <v>2.91</v>
      </c>
      <c r="X2849" s="2">
        <v>9.43</v>
      </c>
      <c r="Y2849" s="2">
        <v>21.47</v>
      </c>
      <c r="Z2849" s="2">
        <v>17.7</v>
      </c>
    </row>
    <row r="2850" spans="1:26" x14ac:dyDescent="0.25">
      <c r="A2850" s="1" t="s">
        <v>11354</v>
      </c>
      <c r="B2850" s="1" t="s">
        <v>11354</v>
      </c>
      <c r="C2850" s="1" t="s">
        <v>45</v>
      </c>
      <c r="D2850" s="1" t="s">
        <v>38</v>
      </c>
      <c r="E2850" s="1" t="s">
        <v>254</v>
      </c>
      <c r="F2850" s="1" t="s">
        <v>12806</v>
      </c>
      <c r="G2850" s="1" t="s">
        <v>12480</v>
      </c>
      <c r="H2850" s="1" t="s">
        <v>11355</v>
      </c>
      <c r="I2850" s="2" t="s">
        <v>12779</v>
      </c>
      <c r="J2850" s="2">
        <v>0.88</v>
      </c>
      <c r="K2850" s="2">
        <v>0.93</v>
      </c>
      <c r="L2850" s="2">
        <v>1.06</v>
      </c>
      <c r="M2850" s="4">
        <f t="shared" si="264"/>
        <v>21.50537634408602</v>
      </c>
      <c r="N2850" s="4">
        <f t="shared" si="265"/>
        <v>18.867924528301884</v>
      </c>
      <c r="O2850" s="5">
        <f t="shared" si="266"/>
        <v>5.6818181818181879E-2</v>
      </c>
      <c r="P2850" s="5">
        <f t="shared" si="267"/>
        <v>0.13978494623655924</v>
      </c>
      <c r="Q2850" s="4">
        <f t="shared" si="268"/>
        <v>3.7849462365591355</v>
      </c>
      <c r="R2850" s="4">
        <f t="shared" si="269"/>
        <v>1.3497822931785186</v>
      </c>
      <c r="S2850" s="4">
        <v>21.26</v>
      </c>
      <c r="T2850" s="2">
        <v>0.35</v>
      </c>
      <c r="U2850" s="2">
        <v>36.04</v>
      </c>
      <c r="V2850" s="2">
        <v>17.04</v>
      </c>
      <c r="W2850" s="2">
        <v>-3.75</v>
      </c>
      <c r="X2850" s="2">
        <v>-16.489999999999998</v>
      </c>
      <c r="Y2850" s="2">
        <v>-29.83</v>
      </c>
      <c r="Z2850" s="2">
        <v>-30.48</v>
      </c>
    </row>
    <row r="2851" spans="1:26" x14ac:dyDescent="0.25">
      <c r="A2851" s="1" t="s">
        <v>11356</v>
      </c>
      <c r="B2851" s="1" t="s">
        <v>11357</v>
      </c>
      <c r="C2851" s="1" t="s">
        <v>16</v>
      </c>
      <c r="D2851" s="1" t="s">
        <v>32</v>
      </c>
      <c r="E2851" s="1" t="s">
        <v>311</v>
      </c>
      <c r="F2851" s="1" t="s">
        <v>11358</v>
      </c>
      <c r="G2851" s="1" t="s">
        <v>12480</v>
      </c>
      <c r="H2851" s="1" t="s">
        <v>11359</v>
      </c>
      <c r="I2851" s="2">
        <v>126.66</v>
      </c>
      <c r="J2851" s="2">
        <v>4.8899999999999997</v>
      </c>
      <c r="K2851" s="2">
        <v>5.38</v>
      </c>
      <c r="L2851" s="2">
        <v>6.37</v>
      </c>
      <c r="M2851" s="4">
        <f t="shared" si="264"/>
        <v>23.542750929368029</v>
      </c>
      <c r="N2851" s="4">
        <f t="shared" si="265"/>
        <v>19.883830455259027</v>
      </c>
      <c r="O2851" s="5">
        <f t="shared" si="266"/>
        <v>0.10020449897750505</v>
      </c>
      <c r="P2851" s="5">
        <f t="shared" si="267"/>
        <v>0.18401486988847582</v>
      </c>
      <c r="Q2851" s="4">
        <f t="shared" si="268"/>
        <v>2.3494704498899943</v>
      </c>
      <c r="R2851" s="4">
        <f t="shared" si="269"/>
        <v>1.0805556348413494</v>
      </c>
      <c r="S2851" s="4">
        <v>13.66</v>
      </c>
      <c r="T2851" s="2">
        <v>1.3</v>
      </c>
      <c r="U2851" s="2">
        <v>144.13999999999999</v>
      </c>
      <c r="V2851" s="2">
        <v>81.34</v>
      </c>
      <c r="W2851" s="2">
        <v>2.2999999999999998</v>
      </c>
      <c r="X2851" s="2">
        <v>8.27</v>
      </c>
      <c r="Y2851" s="2">
        <v>-5.45</v>
      </c>
      <c r="Z2851" s="2">
        <v>-10.95</v>
      </c>
    </row>
    <row r="2852" spans="1:26" x14ac:dyDescent="0.25">
      <c r="A2852" s="1" t="s">
        <v>11360</v>
      </c>
      <c r="B2852" s="1" t="s">
        <v>11361</v>
      </c>
      <c r="C2852" s="1" t="s">
        <v>31</v>
      </c>
      <c r="D2852" s="1" t="s">
        <v>61</v>
      </c>
      <c r="E2852" s="1" t="s">
        <v>2394</v>
      </c>
      <c r="F2852" s="1" t="s">
        <v>11362</v>
      </c>
      <c r="G2852" s="1" t="s">
        <v>12480</v>
      </c>
      <c r="H2852" s="1" t="s">
        <v>11363</v>
      </c>
      <c r="I2852" s="2">
        <v>13.04</v>
      </c>
      <c r="J2852" s="2">
        <v>1.23</v>
      </c>
      <c r="K2852" s="2">
        <v>1.04</v>
      </c>
      <c r="L2852" s="2">
        <v>1.1399999999999999</v>
      </c>
      <c r="M2852" s="4">
        <f t="shared" si="264"/>
        <v>12.538461538461537</v>
      </c>
      <c r="N2852" s="4">
        <f t="shared" si="265"/>
        <v>11.43859649122807</v>
      </c>
      <c r="O2852" s="5">
        <f t="shared" si="266"/>
        <v>-0.15447154471544711</v>
      </c>
      <c r="P2852" s="5">
        <f t="shared" si="267"/>
        <v>9.6153846153846034E-2</v>
      </c>
      <c r="Q2852" s="4">
        <f t="shared" si="268"/>
        <v>-0.81170040485829975</v>
      </c>
      <c r="R2852" s="4">
        <f t="shared" si="269"/>
        <v>1.1896140350877209</v>
      </c>
      <c r="S2852" s="4"/>
      <c r="T2852" s="2">
        <v>1.21</v>
      </c>
      <c r="U2852" s="2">
        <v>17.239999999999998</v>
      </c>
      <c r="V2852" s="2">
        <v>12.47</v>
      </c>
      <c r="W2852" s="2">
        <v>-11.4</v>
      </c>
      <c r="X2852" s="2">
        <v>-10.69</v>
      </c>
      <c r="Y2852" s="2">
        <v>-3.62</v>
      </c>
      <c r="Z2852" s="2">
        <v>-9.44</v>
      </c>
    </row>
    <row r="2853" spans="1:26" x14ac:dyDescent="0.25">
      <c r="A2853" s="1" t="s">
        <v>11364</v>
      </c>
      <c r="B2853" s="1" t="s">
        <v>11365</v>
      </c>
      <c r="C2853" s="1" t="s">
        <v>45</v>
      </c>
      <c r="D2853" s="1" t="s">
        <v>18</v>
      </c>
      <c r="E2853" s="1" t="s">
        <v>74</v>
      </c>
      <c r="F2853" s="1" t="s">
        <v>11366</v>
      </c>
      <c r="G2853" s="1" t="s">
        <v>12485</v>
      </c>
      <c r="H2853" s="1" t="s">
        <v>11367</v>
      </c>
      <c r="I2853" s="2">
        <v>48.33</v>
      </c>
      <c r="J2853" s="2">
        <v>-2.12</v>
      </c>
      <c r="K2853" s="2">
        <v>-1.85</v>
      </c>
      <c r="L2853" s="2">
        <v>-1.51</v>
      </c>
      <c r="M2853" s="4">
        <f t="shared" si="264"/>
        <v>-26.124324324324323</v>
      </c>
      <c r="N2853" s="4">
        <f t="shared" si="265"/>
        <v>-32.006622516556291</v>
      </c>
      <c r="O2853" s="5">
        <f t="shared" si="266"/>
        <v>-0.12735849056603776</v>
      </c>
      <c r="P2853" s="5">
        <f t="shared" si="267"/>
        <v>-0.18378378378378379</v>
      </c>
      <c r="Q2853" s="4">
        <f t="shared" si="268"/>
        <v>2.0512432432432428</v>
      </c>
      <c r="R2853" s="4">
        <f t="shared" si="269"/>
        <v>1.7415368134008569</v>
      </c>
      <c r="S2853" s="4">
        <v>20.32</v>
      </c>
      <c r="T2853" s="2">
        <v>2.23</v>
      </c>
      <c r="U2853" s="2">
        <v>54.92</v>
      </c>
      <c r="V2853" s="2">
        <v>24.16</v>
      </c>
      <c r="W2853" s="2">
        <v>5.32</v>
      </c>
      <c r="X2853" s="2">
        <v>1.81</v>
      </c>
      <c r="Y2853" s="2">
        <v>55.55</v>
      </c>
      <c r="Z2853" s="2">
        <v>52.36</v>
      </c>
    </row>
    <row r="2854" spans="1:26" x14ac:dyDescent="0.25">
      <c r="A2854" s="1" t="s">
        <v>11368</v>
      </c>
      <c r="B2854" s="1" t="s">
        <v>11369</v>
      </c>
      <c r="C2854" s="1" t="s">
        <v>16</v>
      </c>
      <c r="D2854" s="1" t="s">
        <v>88</v>
      </c>
      <c r="E2854" s="1" t="s">
        <v>912</v>
      </c>
      <c r="F2854" s="1" t="s">
        <v>11370</v>
      </c>
      <c r="G2854" s="1" t="s">
        <v>12480</v>
      </c>
      <c r="H2854" s="1" t="s">
        <v>11371</v>
      </c>
      <c r="I2854" s="2">
        <v>39.549999999999997</v>
      </c>
      <c r="J2854" s="2">
        <v>2.17</v>
      </c>
      <c r="K2854" s="2">
        <v>6.28</v>
      </c>
      <c r="L2854" s="2">
        <v>7.8</v>
      </c>
      <c r="M2854" s="4">
        <f t="shared" si="264"/>
        <v>6.2977707006369421</v>
      </c>
      <c r="N2854" s="4">
        <f t="shared" si="265"/>
        <v>5.0705128205128203</v>
      </c>
      <c r="O2854" s="5">
        <f t="shared" si="266"/>
        <v>1.8940092165898621</v>
      </c>
      <c r="P2854" s="5">
        <f t="shared" si="267"/>
        <v>0.2420382165605095</v>
      </c>
      <c r="Q2854" s="4">
        <f t="shared" si="268"/>
        <v>3.3251003455917666E-2</v>
      </c>
      <c r="R2854" s="4">
        <f t="shared" si="269"/>
        <v>0.20949224021592447</v>
      </c>
      <c r="S2854" s="4">
        <v>-11.56</v>
      </c>
      <c r="T2854" s="2">
        <v>1.32</v>
      </c>
      <c r="U2854" s="2">
        <v>45.25</v>
      </c>
      <c r="V2854" s="2">
        <v>24.63</v>
      </c>
      <c r="W2854" s="2">
        <v>-8.8699999999999992</v>
      </c>
      <c r="X2854" s="2">
        <v>-10.01</v>
      </c>
      <c r="Y2854" s="2">
        <v>3.48</v>
      </c>
      <c r="Z2854" s="2">
        <v>3.56</v>
      </c>
    </row>
    <row r="2855" spans="1:26" x14ac:dyDescent="0.25">
      <c r="A2855" s="1" t="s">
        <v>11372</v>
      </c>
      <c r="B2855" s="1" t="s">
        <v>11373</v>
      </c>
      <c r="C2855" s="1" t="s">
        <v>45</v>
      </c>
      <c r="D2855" s="1" t="s">
        <v>18</v>
      </c>
      <c r="E2855" s="1" t="s">
        <v>1385</v>
      </c>
      <c r="F2855" s="1" t="s">
        <v>11374</v>
      </c>
      <c r="G2855" s="1" t="s">
        <v>12480</v>
      </c>
      <c r="H2855" s="1" t="s">
        <v>11375</v>
      </c>
      <c r="I2855" s="2">
        <v>20.91</v>
      </c>
      <c r="J2855" s="2">
        <v>-0.35</v>
      </c>
      <c r="K2855" s="2">
        <v>-0.74</v>
      </c>
      <c r="L2855" s="2">
        <v>-0.51</v>
      </c>
      <c r="M2855" s="4">
        <f t="shared" si="264"/>
        <v>-28.256756756756758</v>
      </c>
      <c r="N2855" s="4">
        <f t="shared" si="265"/>
        <v>-41</v>
      </c>
      <c r="O2855" s="5">
        <f t="shared" si="266"/>
        <v>1.1142857142857143</v>
      </c>
      <c r="P2855" s="5">
        <f t="shared" si="267"/>
        <v>-0.31081081081081074</v>
      </c>
      <c r="Q2855" s="4">
        <f t="shared" si="268"/>
        <v>-0.25358627858627858</v>
      </c>
      <c r="R2855" s="4">
        <f t="shared" si="269"/>
        <v>1.3191304347826089</v>
      </c>
      <c r="S2855" s="4">
        <v>5.25</v>
      </c>
      <c r="T2855" s="2">
        <v>2.2000000000000002</v>
      </c>
      <c r="U2855" s="2">
        <v>23.19</v>
      </c>
      <c r="V2855" s="2">
        <v>7.14</v>
      </c>
      <c r="W2855" s="2">
        <v>-9.64</v>
      </c>
      <c r="X2855" s="2">
        <v>12.78</v>
      </c>
      <c r="Y2855" s="2">
        <v>32.68</v>
      </c>
      <c r="Z2855" s="2">
        <v>28.2</v>
      </c>
    </row>
    <row r="2856" spans="1:26" x14ac:dyDescent="0.25">
      <c r="A2856" s="1" t="s">
        <v>11376</v>
      </c>
      <c r="B2856" s="1" t="s">
        <v>11377</v>
      </c>
      <c r="C2856" s="1" t="s">
        <v>45</v>
      </c>
      <c r="D2856" s="1" t="s">
        <v>32</v>
      </c>
      <c r="E2856" s="1" t="s">
        <v>3580</v>
      </c>
      <c r="F2856" s="1" t="s">
        <v>11378</v>
      </c>
      <c r="G2856" s="1" t="s">
        <v>12480</v>
      </c>
      <c r="H2856" s="1" t="s">
        <v>11379</v>
      </c>
      <c r="I2856" s="2">
        <v>196.2</v>
      </c>
      <c r="J2856" s="2">
        <v>5.45</v>
      </c>
      <c r="K2856" s="2">
        <v>6.38</v>
      </c>
      <c r="L2856" s="2">
        <v>7.62</v>
      </c>
      <c r="M2856" s="4">
        <f t="shared" si="264"/>
        <v>30.752351097178682</v>
      </c>
      <c r="N2856" s="4">
        <f t="shared" si="265"/>
        <v>25.748031496062989</v>
      </c>
      <c r="O2856" s="5">
        <f t="shared" si="266"/>
        <v>0.17064220183486234</v>
      </c>
      <c r="P2856" s="5">
        <f t="shared" si="267"/>
        <v>0.19435736677116</v>
      </c>
      <c r="Q2856" s="4">
        <f t="shared" si="268"/>
        <v>1.8021539083830522</v>
      </c>
      <c r="R2856" s="4">
        <f t="shared" si="269"/>
        <v>1.324777749555498</v>
      </c>
      <c r="S2856" s="4">
        <v>13.05</v>
      </c>
      <c r="T2856" s="2">
        <v>1.01</v>
      </c>
      <c r="U2856" s="2">
        <v>226.56</v>
      </c>
      <c r="V2856" s="2">
        <v>145.61000000000001</v>
      </c>
      <c r="W2856" s="2">
        <v>-6.49</v>
      </c>
      <c r="X2856" s="2">
        <v>-10.32</v>
      </c>
      <c r="Y2856" s="2">
        <v>10.24</v>
      </c>
      <c r="Z2856" s="2">
        <v>13.09</v>
      </c>
    </row>
    <row r="2857" spans="1:26" x14ac:dyDescent="0.25">
      <c r="A2857" s="1" t="s">
        <v>11380</v>
      </c>
      <c r="B2857" s="1" t="s">
        <v>11381</v>
      </c>
      <c r="C2857" s="1" t="s">
        <v>16</v>
      </c>
      <c r="D2857" s="1" t="s">
        <v>94</v>
      </c>
      <c r="E2857" s="1" t="s">
        <v>95</v>
      </c>
      <c r="F2857" s="1" t="s">
        <v>11382</v>
      </c>
      <c r="G2857" s="1" t="s">
        <v>12480</v>
      </c>
      <c r="H2857" s="1" t="s">
        <v>7760</v>
      </c>
      <c r="I2857" s="2">
        <v>58.82</v>
      </c>
      <c r="J2857" s="2">
        <v>2.33</v>
      </c>
      <c r="K2857" s="2">
        <v>3.09</v>
      </c>
      <c r="L2857" s="2">
        <v>3.44</v>
      </c>
      <c r="M2857" s="4">
        <f t="shared" si="264"/>
        <v>19.03559870550162</v>
      </c>
      <c r="N2857" s="4">
        <f t="shared" si="265"/>
        <v>17.098837209302324</v>
      </c>
      <c r="O2857" s="5">
        <f t="shared" si="266"/>
        <v>0.32618025751072954</v>
      </c>
      <c r="P2857" s="5">
        <f t="shared" si="267"/>
        <v>0.11326860841423958</v>
      </c>
      <c r="Q2857" s="4">
        <f t="shared" si="268"/>
        <v>0.58359138136603661</v>
      </c>
      <c r="R2857" s="4">
        <f t="shared" si="269"/>
        <v>1.5095830564784039</v>
      </c>
      <c r="S2857" s="4" t="s">
        <v>12871</v>
      </c>
      <c r="T2857" s="2">
        <v>0.17</v>
      </c>
      <c r="U2857" s="2">
        <v>59.44</v>
      </c>
      <c r="V2857" s="2">
        <v>47.78</v>
      </c>
      <c r="W2857" s="2">
        <v>-0.64</v>
      </c>
      <c r="X2857" s="2">
        <v>-0.27</v>
      </c>
      <c r="Y2857" s="2">
        <v>-0.1</v>
      </c>
      <c r="Z2857" s="2">
        <v>-0.1</v>
      </c>
    </row>
    <row r="2858" spans="1:26" x14ac:dyDescent="0.25">
      <c r="A2858" s="1" t="s">
        <v>11383</v>
      </c>
      <c r="B2858" s="1" t="s">
        <v>11384</v>
      </c>
      <c r="C2858" s="1" t="s">
        <v>45</v>
      </c>
      <c r="D2858" s="1" t="s">
        <v>67</v>
      </c>
      <c r="E2858" s="1" t="s">
        <v>1037</v>
      </c>
      <c r="F2858" s="1" t="s">
        <v>11385</v>
      </c>
      <c r="G2858" s="1" t="s">
        <v>12480</v>
      </c>
      <c r="H2858" s="1" t="s">
        <v>2725</v>
      </c>
      <c r="I2858" s="2">
        <v>172.5</v>
      </c>
      <c r="J2858" s="2">
        <v>6.1</v>
      </c>
      <c r="K2858" s="2">
        <v>6.35</v>
      </c>
      <c r="L2858" s="2">
        <v>7.81</v>
      </c>
      <c r="M2858" s="4">
        <f t="shared" si="264"/>
        <v>27.165354330708663</v>
      </c>
      <c r="N2858" s="4">
        <f t="shared" si="265"/>
        <v>22.087067861715749</v>
      </c>
      <c r="O2858" s="5">
        <f t="shared" si="266"/>
        <v>4.0983606557376984E-2</v>
      </c>
      <c r="P2858" s="5">
        <f t="shared" si="267"/>
        <v>0.22992125984251977</v>
      </c>
      <c r="Q2858" s="4">
        <f t="shared" si="268"/>
        <v>6.628346456692924</v>
      </c>
      <c r="R2858" s="4">
        <f t="shared" si="269"/>
        <v>0.96063617069791063</v>
      </c>
      <c r="S2858" s="4">
        <v>9.39</v>
      </c>
      <c r="T2858" s="2">
        <v>0.86</v>
      </c>
      <c r="U2858" s="2">
        <v>199.8</v>
      </c>
      <c r="V2858" s="2">
        <v>153.22</v>
      </c>
      <c r="W2858" s="2">
        <v>-4.2699999999999996</v>
      </c>
      <c r="X2858" s="2">
        <v>-8.08</v>
      </c>
      <c r="Y2858" s="2">
        <v>1.64</v>
      </c>
      <c r="Z2858" s="2">
        <v>3.92</v>
      </c>
    </row>
    <row r="2859" spans="1:26" x14ac:dyDescent="0.25">
      <c r="A2859" s="1" t="s">
        <v>11386</v>
      </c>
      <c r="B2859" s="1" t="s">
        <v>11387</v>
      </c>
      <c r="C2859" s="1" t="s">
        <v>16</v>
      </c>
      <c r="D2859" s="1" t="s">
        <v>204</v>
      </c>
      <c r="E2859" s="1" t="s">
        <v>205</v>
      </c>
      <c r="F2859" s="1" t="s">
        <v>11388</v>
      </c>
      <c r="G2859" s="1" t="s">
        <v>12480</v>
      </c>
      <c r="H2859" s="1" t="s">
        <v>11389</v>
      </c>
      <c r="I2859" s="2">
        <v>94.14</v>
      </c>
      <c r="J2859" s="2">
        <v>6.1</v>
      </c>
      <c r="K2859" s="2">
        <v>6.55</v>
      </c>
      <c r="L2859" s="2">
        <v>7.34</v>
      </c>
      <c r="M2859" s="4">
        <f t="shared" si="264"/>
        <v>14.372519083969467</v>
      </c>
      <c r="N2859" s="4">
        <f t="shared" si="265"/>
        <v>12.825613079019075</v>
      </c>
      <c r="O2859" s="5">
        <f t="shared" si="266"/>
        <v>7.3770491803278659E-2</v>
      </c>
      <c r="P2859" s="5">
        <f t="shared" si="267"/>
        <v>0.12061068702290068</v>
      </c>
      <c r="Q2859" s="4">
        <f t="shared" si="268"/>
        <v>1.9482748091603062</v>
      </c>
      <c r="R2859" s="4">
        <f t="shared" si="269"/>
        <v>1.0633894388300633</v>
      </c>
      <c r="S2859" s="4">
        <v>8.01</v>
      </c>
      <c r="T2859" s="2">
        <v>0.95</v>
      </c>
      <c r="U2859" s="2">
        <v>100.77</v>
      </c>
      <c r="V2859" s="2">
        <v>60.72</v>
      </c>
      <c r="W2859" s="2">
        <v>-6.5</v>
      </c>
      <c r="X2859" s="2">
        <v>-1.39</v>
      </c>
      <c r="Y2859" s="2">
        <v>7.05</v>
      </c>
      <c r="Z2859" s="2" t="s">
        <v>12497</v>
      </c>
    </row>
    <row r="2860" spans="1:26" x14ac:dyDescent="0.25">
      <c r="A2860" s="1" t="s">
        <v>11390</v>
      </c>
      <c r="B2860" s="1" t="s">
        <v>11391</v>
      </c>
      <c r="C2860" s="1" t="s">
        <v>16</v>
      </c>
      <c r="D2860" s="1" t="s">
        <v>38</v>
      </c>
      <c r="E2860" s="1" t="s">
        <v>259</v>
      </c>
      <c r="F2860" s="1" t="s">
        <v>11392</v>
      </c>
      <c r="G2860" s="1" t="s">
        <v>12480</v>
      </c>
      <c r="H2860" s="1" t="s">
        <v>11393</v>
      </c>
      <c r="I2860" s="2">
        <v>32.24</v>
      </c>
      <c r="J2860" s="2"/>
      <c r="K2860" s="2"/>
      <c r="L2860" s="2"/>
      <c r="M2860" s="4" t="e">
        <f t="shared" si="264"/>
        <v>#DIV/0!</v>
      </c>
      <c r="N2860" s="4" t="e">
        <f t="shared" si="265"/>
        <v>#DIV/0!</v>
      </c>
      <c r="O2860" s="5" t="e">
        <f t="shared" si="266"/>
        <v>#DIV/0!</v>
      </c>
      <c r="P2860" s="5" t="e">
        <f t="shared" si="267"/>
        <v>#DIV/0!</v>
      </c>
      <c r="Q2860" s="4" t="e">
        <f t="shared" si="268"/>
        <v>#DIV/0!</v>
      </c>
      <c r="R2860" s="4" t="e">
        <f t="shared" si="269"/>
        <v>#DIV/0!</v>
      </c>
      <c r="S2860" s="4"/>
      <c r="T2860" s="2">
        <v>0.84</v>
      </c>
      <c r="U2860" s="2">
        <v>34.979999999999997</v>
      </c>
      <c r="V2860" s="2">
        <v>27.37</v>
      </c>
      <c r="W2860" s="2">
        <v>-2.92</v>
      </c>
      <c r="X2860" s="2">
        <v>-3.59</v>
      </c>
      <c r="Y2860" s="2">
        <v>-0.22</v>
      </c>
      <c r="Z2860" s="2">
        <v>-1.29</v>
      </c>
    </row>
    <row r="2861" spans="1:26" x14ac:dyDescent="0.25">
      <c r="A2861" s="1" t="s">
        <v>11394</v>
      </c>
      <c r="B2861" s="1" t="s">
        <v>11395</v>
      </c>
      <c r="C2861" s="1" t="s">
        <v>16</v>
      </c>
      <c r="D2861" s="1" t="s">
        <v>32</v>
      </c>
      <c r="E2861" s="1" t="s">
        <v>3521</v>
      </c>
      <c r="F2861" s="1" t="s">
        <v>11396</v>
      </c>
      <c r="G2861" s="1" t="s">
        <v>12480</v>
      </c>
      <c r="H2861" s="1" t="s">
        <v>4601</v>
      </c>
      <c r="I2861" s="2">
        <v>367.35</v>
      </c>
      <c r="J2861" s="2">
        <v>11.31</v>
      </c>
      <c r="K2861" s="2">
        <v>12.52</v>
      </c>
      <c r="L2861" s="2">
        <v>14.29</v>
      </c>
      <c r="M2861" s="4">
        <f t="shared" si="264"/>
        <v>29.341054313099043</v>
      </c>
      <c r="N2861" s="4">
        <f t="shared" si="265"/>
        <v>25.706787963610921</v>
      </c>
      <c r="O2861" s="5">
        <f t="shared" si="266"/>
        <v>0.1069849690539344</v>
      </c>
      <c r="P2861" s="5">
        <f t="shared" si="267"/>
        <v>0.14137380191693283</v>
      </c>
      <c r="Q2861" s="4">
        <f t="shared" si="268"/>
        <v>2.7425398700921546</v>
      </c>
      <c r="R2861" s="4">
        <f t="shared" si="269"/>
        <v>1.8183558491774516</v>
      </c>
      <c r="S2861" s="4">
        <v>9.1</v>
      </c>
      <c r="T2861" s="2">
        <v>0.9</v>
      </c>
      <c r="U2861" s="2">
        <v>611.76</v>
      </c>
      <c r="V2861" s="2">
        <v>287.04000000000002</v>
      </c>
      <c r="W2861" s="2">
        <v>3.59</v>
      </c>
      <c r="X2861" s="2">
        <v>3.41</v>
      </c>
      <c r="Y2861" s="2">
        <v>-17.82</v>
      </c>
      <c r="Z2861" s="2">
        <v>-19.079999999999998</v>
      </c>
    </row>
    <row r="2862" spans="1:26" x14ac:dyDescent="0.25">
      <c r="A2862" s="1" t="s">
        <v>11397</v>
      </c>
      <c r="B2862" s="1" t="s">
        <v>11398</v>
      </c>
      <c r="C2862" s="1" t="s">
        <v>45</v>
      </c>
      <c r="D2862" s="1" t="s">
        <v>18</v>
      </c>
      <c r="E2862" s="1" t="s">
        <v>74</v>
      </c>
      <c r="F2862" s="1" t="s">
        <v>11399</v>
      </c>
      <c r="G2862" s="1" t="s">
        <v>12480</v>
      </c>
      <c r="H2862" s="1" t="s">
        <v>4622</v>
      </c>
      <c r="I2862" s="2">
        <v>33.75</v>
      </c>
      <c r="J2862" s="2">
        <v>-2.0099999999999998</v>
      </c>
      <c r="K2862" s="2">
        <v>-2.38</v>
      </c>
      <c r="L2862" s="2">
        <v>-2.58</v>
      </c>
      <c r="M2862" s="4">
        <f t="shared" si="264"/>
        <v>-14.180672268907564</v>
      </c>
      <c r="N2862" s="4">
        <f t="shared" si="265"/>
        <v>-13.081395348837209</v>
      </c>
      <c r="O2862" s="5">
        <f t="shared" si="266"/>
        <v>0.18407960199004991</v>
      </c>
      <c r="P2862" s="5">
        <f t="shared" si="267"/>
        <v>8.4033613445378297E-2</v>
      </c>
      <c r="Q2862" s="4">
        <f t="shared" si="268"/>
        <v>-0.77035543947308605</v>
      </c>
      <c r="R2862" s="4">
        <f t="shared" si="269"/>
        <v>-1.5566860465116252</v>
      </c>
      <c r="S2862" s="4"/>
      <c r="T2862" s="2">
        <v>1.06</v>
      </c>
      <c r="U2862" s="2">
        <v>35.270000000000003</v>
      </c>
      <c r="V2862" s="2">
        <v>7.06</v>
      </c>
      <c r="W2862" s="2">
        <v>3.78</v>
      </c>
      <c r="X2862" s="2">
        <v>10.66</v>
      </c>
      <c r="Y2862" s="2">
        <v>52.58</v>
      </c>
      <c r="Z2862" s="2">
        <v>28.38</v>
      </c>
    </row>
    <row r="2863" spans="1:26" x14ac:dyDescent="0.25">
      <c r="A2863" s="1" t="s">
        <v>11400</v>
      </c>
      <c r="B2863" s="1" t="s">
        <v>11401</v>
      </c>
      <c r="C2863" s="1" t="s">
        <v>16</v>
      </c>
      <c r="D2863" s="1" t="s">
        <v>32</v>
      </c>
      <c r="E2863" s="1" t="s">
        <v>311</v>
      </c>
      <c r="F2863" s="1" t="s">
        <v>11402</v>
      </c>
      <c r="G2863" s="1" t="s">
        <v>12480</v>
      </c>
      <c r="H2863" s="1" t="s">
        <v>11403</v>
      </c>
      <c r="I2863" s="2">
        <v>21.25</v>
      </c>
      <c r="J2863" s="2">
        <v>0.86</v>
      </c>
      <c r="K2863" s="2">
        <v>0.93</v>
      </c>
      <c r="L2863" s="2">
        <v>1.18</v>
      </c>
      <c r="M2863" s="4">
        <f t="shared" si="264"/>
        <v>22.849462365591396</v>
      </c>
      <c r="N2863" s="4">
        <f t="shared" si="265"/>
        <v>18.008474576271187</v>
      </c>
      <c r="O2863" s="5">
        <f t="shared" si="266"/>
        <v>8.1395348837209447E-2</v>
      </c>
      <c r="P2863" s="5">
        <f t="shared" si="267"/>
        <v>0.26881720430107503</v>
      </c>
      <c r="Q2863" s="4">
        <f t="shared" si="268"/>
        <v>2.8072196620583667</v>
      </c>
      <c r="R2863" s="4">
        <f t="shared" si="269"/>
        <v>0.6699152542372887</v>
      </c>
      <c r="S2863" s="4">
        <v>2.0099999999999998</v>
      </c>
      <c r="T2863" s="2">
        <v>2.14</v>
      </c>
      <c r="U2863" s="2">
        <v>49.47</v>
      </c>
      <c r="V2863" s="2">
        <v>16.75</v>
      </c>
      <c r="W2863" s="2">
        <v>12.61</v>
      </c>
      <c r="X2863" s="2">
        <v>-22.81</v>
      </c>
      <c r="Y2863" s="2">
        <v>-53.01</v>
      </c>
      <c r="Z2863" s="2">
        <v>-51.89</v>
      </c>
    </row>
    <row r="2864" spans="1:26" x14ac:dyDescent="0.25">
      <c r="A2864" s="1" t="s">
        <v>11404</v>
      </c>
      <c r="B2864" s="1" t="s">
        <v>11405</v>
      </c>
      <c r="C2864" s="1" t="s">
        <v>16</v>
      </c>
      <c r="D2864" s="1" t="s">
        <v>147</v>
      </c>
      <c r="E2864" s="1" t="s">
        <v>1931</v>
      </c>
      <c r="F2864" s="1" t="s">
        <v>11406</v>
      </c>
      <c r="G2864" s="1" t="s">
        <v>12490</v>
      </c>
      <c r="H2864" s="1" t="s">
        <v>11407</v>
      </c>
      <c r="I2864" s="2">
        <v>6.26</v>
      </c>
      <c r="J2864" s="2">
        <v>0.31</v>
      </c>
      <c r="K2864" s="2"/>
      <c r="L2864" s="2"/>
      <c r="M2864" s="4" t="e">
        <f t="shared" si="264"/>
        <v>#DIV/0!</v>
      </c>
      <c r="N2864" s="4" t="e">
        <f t="shared" si="265"/>
        <v>#DIV/0!</v>
      </c>
      <c r="O2864" s="5">
        <f t="shared" si="266"/>
        <v>-1</v>
      </c>
      <c r="P2864" s="5" t="e">
        <f t="shared" si="267"/>
        <v>#DIV/0!</v>
      </c>
      <c r="Q2864" s="4" t="e">
        <f t="shared" si="268"/>
        <v>#DIV/0!</v>
      </c>
      <c r="R2864" s="4" t="e">
        <f t="shared" si="269"/>
        <v>#DIV/0!</v>
      </c>
      <c r="S2864" s="4">
        <v>-9.43</v>
      </c>
      <c r="T2864" s="2">
        <v>1.68</v>
      </c>
      <c r="U2864" s="2">
        <v>7.88</v>
      </c>
      <c r="V2864" s="2">
        <v>3.96</v>
      </c>
      <c r="W2864" s="2">
        <v>-11.46</v>
      </c>
      <c r="X2864" s="2">
        <v>-18.28</v>
      </c>
      <c r="Y2864" s="2">
        <v>51.94</v>
      </c>
      <c r="Z2864" s="2">
        <v>30.42</v>
      </c>
    </row>
    <row r="2865" spans="1:26" x14ac:dyDescent="0.25">
      <c r="A2865" s="1" t="s">
        <v>11404</v>
      </c>
      <c r="B2865" s="1" t="s">
        <v>11408</v>
      </c>
      <c r="C2865" s="1" t="s">
        <v>16</v>
      </c>
      <c r="D2865" s="1" t="s">
        <v>147</v>
      </c>
      <c r="E2865" s="1" t="s">
        <v>1931</v>
      </c>
      <c r="F2865" s="1" t="s">
        <v>11409</v>
      </c>
      <c r="G2865" s="1" t="s">
        <v>12490</v>
      </c>
      <c r="H2865" s="1" t="s">
        <v>11407</v>
      </c>
      <c r="I2865" s="2">
        <v>6.48</v>
      </c>
      <c r="J2865" s="2">
        <v>0.31</v>
      </c>
      <c r="K2865" s="2">
        <v>0.1</v>
      </c>
      <c r="L2865" s="2">
        <v>0.22</v>
      </c>
      <c r="M2865" s="4">
        <f t="shared" si="264"/>
        <v>64.8</v>
      </c>
      <c r="N2865" s="4">
        <f t="shared" si="265"/>
        <v>29.454545454545457</v>
      </c>
      <c r="O2865" s="5">
        <f t="shared" si="266"/>
        <v>-0.67741935483870963</v>
      </c>
      <c r="P2865" s="5">
        <f t="shared" si="267"/>
        <v>1.1999999999999997</v>
      </c>
      <c r="Q2865" s="4">
        <f t="shared" si="268"/>
        <v>-0.95657142857142863</v>
      </c>
      <c r="R2865" s="4">
        <f t="shared" si="269"/>
        <v>0.24545454545454554</v>
      </c>
      <c r="S2865" s="4">
        <v>-9.43</v>
      </c>
      <c r="T2865" s="2">
        <v>1.76</v>
      </c>
      <c r="U2865" s="2">
        <v>8.14</v>
      </c>
      <c r="V2865" s="2">
        <v>4.17</v>
      </c>
      <c r="W2865" s="2">
        <v>-10.37</v>
      </c>
      <c r="X2865" s="2">
        <v>-17.559999999999999</v>
      </c>
      <c r="Y2865" s="2">
        <v>50.7</v>
      </c>
      <c r="Z2865" s="2">
        <v>30.38</v>
      </c>
    </row>
    <row r="2866" spans="1:26" x14ac:dyDescent="0.25">
      <c r="A2866" s="1" t="s">
        <v>11410</v>
      </c>
      <c r="B2866" s="1" t="s">
        <v>11411</v>
      </c>
      <c r="C2866" s="1" t="s">
        <v>45</v>
      </c>
      <c r="D2866" s="1" t="s">
        <v>46</v>
      </c>
      <c r="E2866" s="1" t="s">
        <v>47</v>
      </c>
      <c r="F2866" s="1" t="s">
        <v>11412</v>
      </c>
      <c r="G2866" s="1" t="s">
        <v>12480</v>
      </c>
      <c r="H2866" s="1" t="s">
        <v>11413</v>
      </c>
      <c r="I2866" s="2">
        <v>94.52</v>
      </c>
      <c r="J2866" s="2">
        <v>10.62</v>
      </c>
      <c r="K2866" s="2">
        <v>13.4</v>
      </c>
      <c r="L2866" s="2">
        <v>14.83</v>
      </c>
      <c r="M2866" s="4">
        <f t="shared" si="264"/>
        <v>7.053731343283582</v>
      </c>
      <c r="N2866" s="4">
        <f t="shared" si="265"/>
        <v>6.3735670937289273</v>
      </c>
      <c r="O2866" s="5">
        <f t="shared" si="266"/>
        <v>0.26177024482109235</v>
      </c>
      <c r="P2866" s="5">
        <f t="shared" si="267"/>
        <v>0.10671641791044784</v>
      </c>
      <c r="Q2866" s="4">
        <f t="shared" si="268"/>
        <v>0.2694626865671641</v>
      </c>
      <c r="R2866" s="4">
        <f t="shared" si="269"/>
        <v>0.59724335004173112</v>
      </c>
      <c r="S2866" s="4">
        <v>3.52</v>
      </c>
      <c r="T2866" s="2">
        <v>1.25</v>
      </c>
      <c r="U2866" s="2">
        <v>117.53</v>
      </c>
      <c r="V2866" s="2">
        <v>56.15</v>
      </c>
      <c r="W2866" s="2">
        <v>-8.42</v>
      </c>
      <c r="X2866" s="2">
        <v>-18.66</v>
      </c>
      <c r="Y2866" s="2">
        <v>-12.24</v>
      </c>
      <c r="Z2866" s="2">
        <v>-15.47</v>
      </c>
    </row>
    <row r="2867" spans="1:26" x14ac:dyDescent="0.25">
      <c r="A2867" s="1" t="s">
        <v>11414</v>
      </c>
      <c r="B2867" s="1" t="s">
        <v>11415</v>
      </c>
      <c r="C2867" s="1" t="s">
        <v>1118</v>
      </c>
      <c r="D2867" s="1" t="s">
        <v>88</v>
      </c>
      <c r="E2867" s="1" t="s">
        <v>2402</v>
      </c>
      <c r="F2867" s="1" t="s">
        <v>11416</v>
      </c>
      <c r="G2867" s="1" t="s">
        <v>12480</v>
      </c>
      <c r="H2867" s="1" t="s">
        <v>11417</v>
      </c>
      <c r="I2867" s="2">
        <v>9.6</v>
      </c>
      <c r="J2867" s="2">
        <v>-0.02</v>
      </c>
      <c r="K2867" s="2">
        <v>0.19</v>
      </c>
      <c r="L2867" s="2">
        <v>0.39</v>
      </c>
      <c r="M2867" s="4">
        <f t="shared" si="264"/>
        <v>50.526315789473685</v>
      </c>
      <c r="N2867" s="4">
        <f t="shared" si="265"/>
        <v>24.615384615384613</v>
      </c>
      <c r="O2867" s="5">
        <f t="shared" si="266"/>
        <v>-10.5</v>
      </c>
      <c r="P2867" s="5">
        <f t="shared" si="267"/>
        <v>1.0526315789473686</v>
      </c>
      <c r="Q2867" s="4">
        <f t="shared" si="268"/>
        <v>-4.8120300751879702E-2</v>
      </c>
      <c r="R2867" s="4">
        <f t="shared" si="269"/>
        <v>0.23384615384615379</v>
      </c>
      <c r="S2867" s="4">
        <v>71.84</v>
      </c>
      <c r="T2867" s="2">
        <v>-0.01</v>
      </c>
      <c r="U2867" s="2">
        <v>17.47</v>
      </c>
      <c r="V2867" s="2">
        <v>1.3</v>
      </c>
      <c r="W2867" s="2">
        <v>-9.86</v>
      </c>
      <c r="X2867" s="2">
        <v>16.649999999999999</v>
      </c>
      <c r="Y2867" s="2">
        <v>92.77</v>
      </c>
      <c r="Z2867" s="2">
        <v>91.24</v>
      </c>
    </row>
    <row r="2868" spans="1:26" x14ac:dyDescent="0.25">
      <c r="A2868" s="1" t="s">
        <v>11418</v>
      </c>
      <c r="B2868" s="1" t="s">
        <v>11419</v>
      </c>
      <c r="C2868" s="1" t="s">
        <v>16</v>
      </c>
      <c r="D2868" s="1" t="s">
        <v>88</v>
      </c>
      <c r="E2868" s="1" t="s">
        <v>2299</v>
      </c>
      <c r="F2868" s="1" t="s">
        <v>11420</v>
      </c>
      <c r="G2868" s="1" t="s">
        <v>12480</v>
      </c>
      <c r="H2868" s="1" t="s">
        <v>12667</v>
      </c>
      <c r="I2868" s="2">
        <v>116.65</v>
      </c>
      <c r="J2868" s="2">
        <v>9.33</v>
      </c>
      <c r="K2868" s="2"/>
      <c r="L2868" s="2"/>
      <c r="M2868" s="4" t="e">
        <f t="shared" si="264"/>
        <v>#DIV/0!</v>
      </c>
      <c r="N2868" s="4" t="e">
        <f t="shared" si="265"/>
        <v>#DIV/0!</v>
      </c>
      <c r="O2868" s="5">
        <f t="shared" si="266"/>
        <v>-1</v>
      </c>
      <c r="P2868" s="5" t="e">
        <f t="shared" si="267"/>
        <v>#DIV/0!</v>
      </c>
      <c r="Q2868" s="4" t="e">
        <f t="shared" si="268"/>
        <v>#DIV/0!</v>
      </c>
      <c r="R2868" s="4" t="e">
        <f t="shared" si="269"/>
        <v>#DIV/0!</v>
      </c>
      <c r="S2868" s="4">
        <v>15.36</v>
      </c>
      <c r="T2868" s="2">
        <v>0.6</v>
      </c>
      <c r="U2868" s="2">
        <v>126.75</v>
      </c>
      <c r="V2868" s="2">
        <v>65.319999999999993</v>
      </c>
      <c r="W2868" s="2">
        <v>10.16</v>
      </c>
      <c r="X2868" s="2">
        <v>7.66</v>
      </c>
      <c r="Y2868" s="2">
        <v>22.07</v>
      </c>
      <c r="Z2868" s="2">
        <v>13.81</v>
      </c>
    </row>
    <row r="2869" spans="1:26" x14ac:dyDescent="0.25">
      <c r="A2869" s="1" t="s">
        <v>11421</v>
      </c>
      <c r="B2869" s="1" t="s">
        <v>11422</v>
      </c>
      <c r="C2869" s="1" t="s">
        <v>16</v>
      </c>
      <c r="D2869" s="1" t="s">
        <v>32</v>
      </c>
      <c r="E2869" s="1" t="s">
        <v>565</v>
      </c>
      <c r="F2869" s="1" t="s">
        <v>11423</v>
      </c>
      <c r="G2869" s="1" t="s">
        <v>12480</v>
      </c>
      <c r="H2869" s="1" t="s">
        <v>11424</v>
      </c>
      <c r="I2869" s="2">
        <v>73.84</v>
      </c>
      <c r="J2869" s="2">
        <v>5.3</v>
      </c>
      <c r="K2869" s="2">
        <v>3.34</v>
      </c>
      <c r="L2869" s="2">
        <v>4.22</v>
      </c>
      <c r="M2869" s="4">
        <f t="shared" si="264"/>
        <v>22.107784431137727</v>
      </c>
      <c r="N2869" s="4">
        <f t="shared" si="265"/>
        <v>17.497630331753555</v>
      </c>
      <c r="O2869" s="5">
        <f t="shared" si="266"/>
        <v>-0.36981132075471701</v>
      </c>
      <c r="P2869" s="5">
        <f t="shared" si="267"/>
        <v>0.26347305389221565</v>
      </c>
      <c r="Q2869" s="4">
        <f t="shared" si="268"/>
        <v>-0.59781253818892832</v>
      </c>
      <c r="R2869" s="4">
        <f t="shared" si="269"/>
        <v>0.66411460577337345</v>
      </c>
      <c r="S2869" s="4">
        <v>18.28</v>
      </c>
      <c r="T2869" s="2">
        <v>1.22</v>
      </c>
      <c r="U2869" s="2">
        <v>100.1</v>
      </c>
      <c r="V2869" s="2">
        <v>64.62</v>
      </c>
      <c r="W2869" s="2">
        <v>-2.78</v>
      </c>
      <c r="X2869" s="2">
        <v>-0.09</v>
      </c>
      <c r="Y2869" s="2">
        <v>-9.8000000000000007</v>
      </c>
      <c r="Z2869" s="2">
        <v>-9.6300000000000008</v>
      </c>
    </row>
    <row r="2870" spans="1:26" x14ac:dyDescent="0.25">
      <c r="A2870" s="1" t="s">
        <v>11425</v>
      </c>
      <c r="B2870" s="1" t="s">
        <v>11425</v>
      </c>
      <c r="C2870" s="1" t="s">
        <v>16</v>
      </c>
      <c r="D2870" s="1" t="s">
        <v>38</v>
      </c>
      <c r="E2870" s="1" t="s">
        <v>189</v>
      </c>
      <c r="F2870" s="1" t="s">
        <v>11426</v>
      </c>
      <c r="G2870" s="1" t="s">
        <v>12480</v>
      </c>
      <c r="H2870" s="1" t="s">
        <v>11427</v>
      </c>
      <c r="I2870" s="2">
        <v>38.630000000000003</v>
      </c>
      <c r="J2870" s="2">
        <v>2.36</v>
      </c>
      <c r="K2870" s="2">
        <v>3.2</v>
      </c>
      <c r="L2870" s="2">
        <v>4.07</v>
      </c>
      <c r="M2870" s="4">
        <f t="shared" si="264"/>
        <v>12.071875</v>
      </c>
      <c r="N2870" s="4">
        <f t="shared" si="265"/>
        <v>9.4914004914004906</v>
      </c>
      <c r="O2870" s="5">
        <f t="shared" si="266"/>
        <v>0.35593220338983067</v>
      </c>
      <c r="P2870" s="5">
        <f t="shared" si="267"/>
        <v>0.27187500000000009</v>
      </c>
      <c r="Q2870" s="4">
        <f t="shared" si="268"/>
        <v>0.33916220238095224</v>
      </c>
      <c r="R2870" s="4">
        <f t="shared" si="269"/>
        <v>0.34910898359174208</v>
      </c>
      <c r="S2870" s="4">
        <v>-9.98</v>
      </c>
      <c r="T2870" s="2">
        <v>1.1399999999999999</v>
      </c>
      <c r="U2870" s="2">
        <v>49.25</v>
      </c>
      <c r="V2870" s="2">
        <v>26.12</v>
      </c>
      <c r="W2870" s="2">
        <v>-5.5</v>
      </c>
      <c r="X2870" s="2">
        <v>-13.05</v>
      </c>
      <c r="Y2870" s="2">
        <v>-9.51</v>
      </c>
      <c r="Z2870" s="2">
        <v>-16.579999999999998</v>
      </c>
    </row>
    <row r="2871" spans="1:26" x14ac:dyDescent="0.25">
      <c r="A2871" s="1" t="s">
        <v>11428</v>
      </c>
      <c r="B2871" s="1" t="s">
        <v>11429</v>
      </c>
      <c r="C2871" s="1" t="s">
        <v>45</v>
      </c>
      <c r="D2871" s="1" t="s">
        <v>38</v>
      </c>
      <c r="E2871" s="1" t="s">
        <v>119</v>
      </c>
      <c r="F2871" s="1" t="s">
        <v>11430</v>
      </c>
      <c r="G2871" s="1" t="s">
        <v>12480</v>
      </c>
      <c r="H2871" s="1" t="s">
        <v>6391</v>
      </c>
      <c r="I2871" s="2">
        <v>39.93</v>
      </c>
      <c r="J2871" s="2">
        <v>3.27</v>
      </c>
      <c r="K2871" s="2">
        <v>3.54</v>
      </c>
      <c r="L2871" s="2">
        <v>3.78</v>
      </c>
      <c r="M2871" s="4">
        <f t="shared" si="264"/>
        <v>11.279661016949152</v>
      </c>
      <c r="N2871" s="4">
        <f t="shared" si="265"/>
        <v>10.563492063492063</v>
      </c>
      <c r="O2871" s="5">
        <f t="shared" si="266"/>
        <v>8.256880733944949E-2</v>
      </c>
      <c r="P2871" s="5">
        <f t="shared" si="267"/>
        <v>6.7796610169491567E-2</v>
      </c>
      <c r="Q2871" s="4">
        <f t="shared" si="268"/>
        <v>1.3660922787193981</v>
      </c>
      <c r="R2871" s="4">
        <f t="shared" si="269"/>
        <v>1.5581150793650784</v>
      </c>
      <c r="S2871" s="4">
        <v>12.01</v>
      </c>
      <c r="T2871" s="2">
        <v>0.76</v>
      </c>
      <c r="U2871" s="2">
        <v>45.52</v>
      </c>
      <c r="V2871" s="2">
        <v>31.5</v>
      </c>
      <c r="W2871" s="2">
        <v>-4.57</v>
      </c>
      <c r="X2871" s="2">
        <v>-11.39</v>
      </c>
      <c r="Y2871" s="2">
        <v>0.68</v>
      </c>
      <c r="Z2871" s="2">
        <v>3.98</v>
      </c>
    </row>
    <row r="2872" spans="1:26" x14ac:dyDescent="0.25">
      <c r="A2872" s="1" t="s">
        <v>11431</v>
      </c>
      <c r="B2872" s="1" t="s">
        <v>11432</v>
      </c>
      <c r="C2872" s="1" t="s">
        <v>16</v>
      </c>
      <c r="D2872" s="1" t="s">
        <v>38</v>
      </c>
      <c r="E2872" s="1" t="s">
        <v>119</v>
      </c>
      <c r="F2872" s="1" t="s">
        <v>11433</v>
      </c>
      <c r="G2872" s="1" t="s">
        <v>12480</v>
      </c>
      <c r="H2872" s="1" t="s">
        <v>4021</v>
      </c>
      <c r="I2872" s="2">
        <v>30.59</v>
      </c>
      <c r="J2872" s="2">
        <v>2.71</v>
      </c>
      <c r="K2872" s="2">
        <v>3.08</v>
      </c>
      <c r="L2872" s="2">
        <v>3.23</v>
      </c>
      <c r="M2872" s="4">
        <f t="shared" si="264"/>
        <v>9.9318181818181817</v>
      </c>
      <c r="N2872" s="4">
        <f t="shared" si="265"/>
        <v>9.4705882352941178</v>
      </c>
      <c r="O2872" s="5">
        <f t="shared" si="266"/>
        <v>0.13653136531365329</v>
      </c>
      <c r="P2872" s="5">
        <f t="shared" si="267"/>
        <v>4.870129870129869E-2</v>
      </c>
      <c r="Q2872" s="4">
        <f t="shared" si="268"/>
        <v>0.72743857493857411</v>
      </c>
      <c r="R2872" s="4">
        <f t="shared" si="269"/>
        <v>1.9446274509803927</v>
      </c>
      <c r="S2872" s="4">
        <v>2.2999999999999998</v>
      </c>
      <c r="T2872" s="2">
        <v>0.84</v>
      </c>
      <c r="U2872" s="2">
        <v>36.51</v>
      </c>
      <c r="V2872" s="2">
        <v>23.6</v>
      </c>
      <c r="W2872" s="2">
        <v>-5.91</v>
      </c>
      <c r="X2872" s="2">
        <v>-14.77</v>
      </c>
      <c r="Y2872" s="2">
        <v>-5.24</v>
      </c>
      <c r="Z2872" s="2">
        <v>-2.02</v>
      </c>
    </row>
    <row r="2873" spans="1:26" x14ac:dyDescent="0.25">
      <c r="A2873" s="1" t="s">
        <v>11434</v>
      </c>
      <c r="B2873" s="1" t="s">
        <v>11435</v>
      </c>
      <c r="C2873" s="1" t="s">
        <v>45</v>
      </c>
      <c r="D2873" s="1" t="s">
        <v>32</v>
      </c>
      <c r="E2873" s="1" t="s">
        <v>226</v>
      </c>
      <c r="F2873" s="1" t="s">
        <v>11436</v>
      </c>
      <c r="G2873" s="1" t="s">
        <v>12480</v>
      </c>
      <c r="H2873" s="1" t="s">
        <v>469</v>
      </c>
      <c r="I2873" s="2">
        <v>52.9</v>
      </c>
      <c r="J2873" s="2">
        <v>1.05</v>
      </c>
      <c r="K2873" s="2">
        <v>1.9</v>
      </c>
      <c r="L2873" s="2">
        <v>4.2</v>
      </c>
      <c r="M2873" s="4">
        <f t="shared" si="264"/>
        <v>27.842105263157894</v>
      </c>
      <c r="N2873" s="4">
        <f t="shared" si="265"/>
        <v>12.595238095238095</v>
      </c>
      <c r="O2873" s="5">
        <f t="shared" si="266"/>
        <v>0.80952380952380931</v>
      </c>
      <c r="P2873" s="5">
        <f t="shared" si="267"/>
        <v>1.2105263157894739</v>
      </c>
      <c r="Q2873" s="4">
        <f t="shared" si="268"/>
        <v>0.34393188854489171</v>
      </c>
      <c r="R2873" s="4">
        <f t="shared" si="269"/>
        <v>0.10404761904761903</v>
      </c>
      <c r="S2873" s="4">
        <v>-2.08</v>
      </c>
      <c r="T2873" s="2">
        <v>1.93</v>
      </c>
      <c r="U2873" s="2">
        <v>71.959999999999994</v>
      </c>
      <c r="V2873" s="2">
        <v>17.84</v>
      </c>
      <c r="W2873" s="2">
        <v>-16.32</v>
      </c>
      <c r="X2873" s="2">
        <v>4.17</v>
      </c>
      <c r="Y2873" s="2">
        <v>106.32</v>
      </c>
      <c r="Z2873" s="2">
        <v>108.84</v>
      </c>
    </row>
    <row r="2874" spans="1:26" x14ac:dyDescent="0.25">
      <c r="A2874" s="1" t="s">
        <v>11437</v>
      </c>
      <c r="B2874" s="1" t="s">
        <v>11438</v>
      </c>
      <c r="C2874" s="1" t="s">
        <v>31</v>
      </c>
      <c r="D2874" s="1" t="s">
        <v>32</v>
      </c>
      <c r="E2874" s="1" t="s">
        <v>565</v>
      </c>
      <c r="F2874" s="1" t="s">
        <v>11439</v>
      </c>
      <c r="G2874" s="1" t="s">
        <v>12480</v>
      </c>
      <c r="H2874" s="1" t="s">
        <v>12807</v>
      </c>
      <c r="I2874" s="2">
        <v>27.3355</v>
      </c>
      <c r="J2874" s="2">
        <v>-0.3</v>
      </c>
      <c r="K2874" s="2"/>
      <c r="L2874" s="2"/>
      <c r="M2874" s="4" t="e">
        <f t="shared" si="264"/>
        <v>#DIV/0!</v>
      </c>
      <c r="N2874" s="4" t="e">
        <f t="shared" si="265"/>
        <v>#DIV/0!</v>
      </c>
      <c r="O2874" s="5">
        <f t="shared" si="266"/>
        <v>-1</v>
      </c>
      <c r="P2874" s="5" t="e">
        <f t="shared" si="267"/>
        <v>#DIV/0!</v>
      </c>
      <c r="Q2874" s="4" t="e">
        <f t="shared" si="268"/>
        <v>#DIV/0!</v>
      </c>
      <c r="R2874" s="4" t="e">
        <f t="shared" si="269"/>
        <v>#DIV/0!</v>
      </c>
      <c r="S2874" s="4">
        <v>1.87</v>
      </c>
      <c r="T2874" s="2">
        <v>0.13</v>
      </c>
      <c r="U2874" s="2">
        <v>27.34</v>
      </c>
      <c r="V2874" s="2">
        <v>16.399999999999999</v>
      </c>
      <c r="W2874" s="2" t="s">
        <v>12489</v>
      </c>
      <c r="X2874" s="2" t="s">
        <v>12489</v>
      </c>
      <c r="Y2874" s="2" t="s">
        <v>12489</v>
      </c>
      <c r="Z2874" s="2" t="s">
        <v>12489</v>
      </c>
    </row>
    <row r="2875" spans="1:26" x14ac:dyDescent="0.25">
      <c r="A2875" s="1" t="s">
        <v>11440</v>
      </c>
      <c r="B2875" s="1" t="s">
        <v>11441</v>
      </c>
      <c r="C2875" s="1" t="s">
        <v>16</v>
      </c>
      <c r="D2875" s="1" t="s">
        <v>38</v>
      </c>
      <c r="E2875" s="1" t="s">
        <v>765</v>
      </c>
      <c r="F2875" s="1" t="s">
        <v>11442</v>
      </c>
      <c r="G2875" s="1" t="s">
        <v>12480</v>
      </c>
      <c r="H2875" s="1" t="s">
        <v>11443</v>
      </c>
      <c r="I2875" s="2">
        <v>37.21</v>
      </c>
      <c r="J2875" s="2">
        <v>2.54</v>
      </c>
      <c r="K2875" s="2">
        <v>2.54</v>
      </c>
      <c r="L2875" s="2">
        <v>2.62</v>
      </c>
      <c r="M2875" s="4">
        <f t="shared" si="264"/>
        <v>14.649606299212598</v>
      </c>
      <c r="N2875" s="4">
        <f t="shared" si="265"/>
        <v>14.202290076335878</v>
      </c>
      <c r="O2875" s="5">
        <f t="shared" si="266"/>
        <v>0</v>
      </c>
      <c r="P2875" s="5">
        <f t="shared" si="267"/>
        <v>3.1496062992125928E-2</v>
      </c>
      <c r="Q2875" s="4" t="e">
        <f t="shared" si="268"/>
        <v>#DIV/0!</v>
      </c>
      <c r="R2875" s="4">
        <f t="shared" si="269"/>
        <v>4.5092270992366492</v>
      </c>
      <c r="S2875" s="4">
        <v>2.42</v>
      </c>
      <c r="T2875" s="2">
        <v>0.71</v>
      </c>
      <c r="U2875" s="2">
        <v>45.36</v>
      </c>
      <c r="V2875" s="2">
        <v>33.56</v>
      </c>
      <c r="W2875" s="2">
        <v>-0.64</v>
      </c>
      <c r="X2875" s="2">
        <v>-1.43</v>
      </c>
      <c r="Y2875" s="2">
        <v>3.97</v>
      </c>
      <c r="Z2875" s="2">
        <v>1.44</v>
      </c>
    </row>
    <row r="2876" spans="1:26" x14ac:dyDescent="0.25">
      <c r="A2876" s="1" t="s">
        <v>11444</v>
      </c>
      <c r="B2876" s="1" t="s">
        <v>11445</v>
      </c>
      <c r="C2876" s="1" t="s">
        <v>16</v>
      </c>
      <c r="D2876" s="1" t="s">
        <v>38</v>
      </c>
      <c r="E2876" s="1" t="s">
        <v>83</v>
      </c>
      <c r="F2876" s="1" t="s">
        <v>11446</v>
      </c>
      <c r="G2876" s="1" t="s">
        <v>12480</v>
      </c>
      <c r="H2876" s="1" t="s">
        <v>11447</v>
      </c>
      <c r="I2876" s="2">
        <v>20.32</v>
      </c>
      <c r="J2876" s="2">
        <v>1.43</v>
      </c>
      <c r="K2876" s="2">
        <v>1.49</v>
      </c>
      <c r="L2876" s="2">
        <v>1.59</v>
      </c>
      <c r="M2876" s="4">
        <f t="shared" si="264"/>
        <v>13.63758389261745</v>
      </c>
      <c r="N2876" s="4">
        <f t="shared" si="265"/>
        <v>12.779874213836477</v>
      </c>
      <c r="O2876" s="5">
        <f t="shared" si="266"/>
        <v>4.1958041958042092E-2</v>
      </c>
      <c r="P2876" s="5">
        <f t="shared" si="267"/>
        <v>6.7114093959731669E-2</v>
      </c>
      <c r="Q2876" s="4">
        <f t="shared" si="268"/>
        <v>3.2502908277404816</v>
      </c>
      <c r="R2876" s="4">
        <f t="shared" si="269"/>
        <v>1.9042012578616314</v>
      </c>
      <c r="S2876" s="4">
        <v>6.06</v>
      </c>
      <c r="T2876" s="2">
        <v>1.02</v>
      </c>
      <c r="U2876" s="2">
        <v>21.29</v>
      </c>
      <c r="V2876" s="2">
        <v>16.3</v>
      </c>
      <c r="W2876" s="2">
        <v>-3.51</v>
      </c>
      <c r="X2876" s="2">
        <v>-2.59</v>
      </c>
      <c r="Y2876" s="2">
        <v>3.3</v>
      </c>
      <c r="Z2876" s="2">
        <v>5.89</v>
      </c>
    </row>
    <row r="2877" spans="1:26" x14ac:dyDescent="0.25">
      <c r="A2877" s="1" t="s">
        <v>11448</v>
      </c>
      <c r="B2877" s="1" t="s">
        <v>11449</v>
      </c>
      <c r="C2877" s="1" t="s">
        <v>1118</v>
      </c>
      <c r="D2877" s="1" t="s">
        <v>88</v>
      </c>
      <c r="E2877" s="1" t="s">
        <v>658</v>
      </c>
      <c r="F2877" s="1" t="s">
        <v>11450</v>
      </c>
      <c r="G2877" s="1" t="s">
        <v>12496</v>
      </c>
      <c r="H2877" s="1" t="s">
        <v>11451</v>
      </c>
      <c r="I2877" s="2">
        <v>13.56</v>
      </c>
      <c r="J2877" s="2">
        <v>-0.17</v>
      </c>
      <c r="K2877" s="2">
        <v>-0.11</v>
      </c>
      <c r="L2877" s="2" t="s">
        <v>12489</v>
      </c>
      <c r="M2877" s="4">
        <f t="shared" si="264"/>
        <v>-123.27272727272728</v>
      </c>
      <c r="N2877" s="4" t="e">
        <f t="shared" si="265"/>
        <v>#DIV/0!</v>
      </c>
      <c r="O2877" s="5">
        <f t="shared" si="266"/>
        <v>-0.35294117647058831</v>
      </c>
      <c r="P2877" s="5">
        <f t="shared" si="267"/>
        <v>-1</v>
      </c>
      <c r="Q2877" s="4">
        <f t="shared" si="268"/>
        <v>3.4927272727272718</v>
      </c>
      <c r="R2877" s="4" t="e">
        <f t="shared" si="269"/>
        <v>#DIV/0!</v>
      </c>
      <c r="S2877" s="4">
        <v>29737.95</v>
      </c>
      <c r="T2877" s="2">
        <v>1.21</v>
      </c>
      <c r="U2877" s="2">
        <v>20.14</v>
      </c>
      <c r="V2877" s="2" t="s">
        <v>12513</v>
      </c>
      <c r="W2877" s="2">
        <v>-13.41</v>
      </c>
      <c r="X2877" s="2">
        <v>-20.7</v>
      </c>
      <c r="Y2877" s="2">
        <v>9.27</v>
      </c>
      <c r="Z2877" s="2">
        <v>16.100000000000001</v>
      </c>
    </row>
    <row r="2878" spans="1:26" x14ac:dyDescent="0.25">
      <c r="A2878" s="1" t="s">
        <v>11452</v>
      </c>
      <c r="B2878" s="1" t="s">
        <v>11453</v>
      </c>
      <c r="C2878" s="1" t="s">
        <v>45</v>
      </c>
      <c r="D2878" s="1" t="s">
        <v>61</v>
      </c>
      <c r="E2878" s="1" t="s">
        <v>1534</v>
      </c>
      <c r="F2878" s="1" t="s">
        <v>11454</v>
      </c>
      <c r="G2878" s="1" t="s">
        <v>12480</v>
      </c>
      <c r="H2878" s="1" t="s">
        <v>5264</v>
      </c>
      <c r="I2878" s="2">
        <v>93.36</v>
      </c>
      <c r="J2878" s="2" t="s">
        <v>12508</v>
      </c>
      <c r="K2878" s="2">
        <v>5.56</v>
      </c>
      <c r="L2878" s="2">
        <v>5.95</v>
      </c>
      <c r="M2878" s="4">
        <f t="shared" si="264"/>
        <v>16.791366906474821</v>
      </c>
      <c r="N2878" s="4">
        <f t="shared" si="265"/>
        <v>15.690756302521008</v>
      </c>
      <c r="O2878" s="5">
        <f t="shared" si="266"/>
        <v>0.11199999999999988</v>
      </c>
      <c r="P2878" s="5">
        <f t="shared" si="267"/>
        <v>7.0143884892086339E-2</v>
      </c>
      <c r="Q2878" s="4">
        <f t="shared" si="268"/>
        <v>1.4992291880781106</v>
      </c>
      <c r="R2878" s="4">
        <f t="shared" si="269"/>
        <v>2.2369385908209436</v>
      </c>
      <c r="S2878" s="4">
        <v>-4.99</v>
      </c>
      <c r="T2878" s="2">
        <v>1.48</v>
      </c>
      <c r="U2878" s="2">
        <v>115.62</v>
      </c>
      <c r="V2878" s="2">
        <v>87.77</v>
      </c>
      <c r="W2878" s="2">
        <v>-7.84</v>
      </c>
      <c r="X2878" s="2">
        <v>-18.25</v>
      </c>
      <c r="Y2878" s="2">
        <v>1.02</v>
      </c>
      <c r="Z2878" s="2">
        <v>2.54</v>
      </c>
    </row>
    <row r="2879" spans="1:26" x14ac:dyDescent="0.25">
      <c r="A2879" s="1" t="s">
        <v>11455</v>
      </c>
      <c r="B2879" s="1" t="s">
        <v>11456</v>
      </c>
      <c r="C2879" s="1" t="s">
        <v>45</v>
      </c>
      <c r="D2879" s="1" t="s">
        <v>18</v>
      </c>
      <c r="E2879" s="1" t="s">
        <v>594</v>
      </c>
      <c r="F2879" s="1" t="s">
        <v>11457</v>
      </c>
      <c r="G2879" s="1" t="s">
        <v>12480</v>
      </c>
      <c r="H2879" s="1" t="s">
        <v>12600</v>
      </c>
      <c r="I2879" s="2" t="s">
        <v>12808</v>
      </c>
      <c r="J2879" s="2">
        <v>9.76</v>
      </c>
      <c r="K2879" s="2">
        <v>10.199999999999999</v>
      </c>
      <c r="L2879" s="2">
        <v>11.38</v>
      </c>
      <c r="M2879" s="4">
        <f t="shared" si="264"/>
        <v>21.078431372549019</v>
      </c>
      <c r="N2879" s="4">
        <f t="shared" si="265"/>
        <v>18.892794376098418</v>
      </c>
      <c r="O2879" s="5">
        <f t="shared" si="266"/>
        <v>4.5081967213114638E-2</v>
      </c>
      <c r="P2879" s="5">
        <f t="shared" si="267"/>
        <v>0.11568627450980418</v>
      </c>
      <c r="Q2879" s="4">
        <f t="shared" si="268"/>
        <v>4.6755793226381579</v>
      </c>
      <c r="R2879" s="4">
        <f t="shared" si="269"/>
        <v>1.6331059545440969</v>
      </c>
      <c r="S2879" s="4">
        <v>19.5</v>
      </c>
      <c r="T2879" s="2">
        <v>1.1299999999999999</v>
      </c>
      <c r="U2879" s="2">
        <v>267.56</v>
      </c>
      <c r="V2879" s="2">
        <v>185.28</v>
      </c>
      <c r="W2879" s="2">
        <v>5.24</v>
      </c>
      <c r="X2879" s="2">
        <v>-18.989999999999998</v>
      </c>
      <c r="Y2879" s="2">
        <v>-1.29</v>
      </c>
      <c r="Z2879" s="2">
        <v>-3.17</v>
      </c>
    </row>
    <row r="2880" spans="1:26" x14ac:dyDescent="0.25">
      <c r="A2880" s="1" t="s">
        <v>11458</v>
      </c>
      <c r="B2880" s="1" t="s">
        <v>11458</v>
      </c>
      <c r="C2880" s="1" t="s">
        <v>16</v>
      </c>
      <c r="D2880" s="1" t="s">
        <v>354</v>
      </c>
      <c r="E2880" s="1" t="s">
        <v>1213</v>
      </c>
      <c r="F2880" s="1" t="s">
        <v>11459</v>
      </c>
      <c r="G2880" s="1" t="s">
        <v>12485</v>
      </c>
      <c r="H2880" s="1" t="s">
        <v>11460</v>
      </c>
      <c r="I2880" s="2">
        <v>36.729999999999997</v>
      </c>
      <c r="J2880" s="2">
        <v>3.32</v>
      </c>
      <c r="K2880" s="2">
        <v>3.11</v>
      </c>
      <c r="L2880" s="2">
        <v>3.31</v>
      </c>
      <c r="M2880" s="4">
        <f t="shared" si="264"/>
        <v>11.810289389067524</v>
      </c>
      <c r="N2880" s="4">
        <f t="shared" si="265"/>
        <v>11.09667673716012</v>
      </c>
      <c r="O2880" s="5">
        <f t="shared" si="266"/>
        <v>-6.325301204819278E-2</v>
      </c>
      <c r="P2880" s="5">
        <f t="shared" si="267"/>
        <v>6.4308681672025747E-2</v>
      </c>
      <c r="Q2880" s="4">
        <f t="shared" si="268"/>
        <v>-1.8671505129382941</v>
      </c>
      <c r="R2880" s="4">
        <f t="shared" si="269"/>
        <v>1.7255332326283981</v>
      </c>
      <c r="S2880" s="4">
        <v>1.07</v>
      </c>
      <c r="T2880" s="2">
        <v>1.08</v>
      </c>
      <c r="U2880" s="2">
        <v>40.630000000000003</v>
      </c>
      <c r="V2880" s="2">
        <v>30.18</v>
      </c>
      <c r="W2880" s="2">
        <v>-2.21</v>
      </c>
      <c r="X2880" s="2">
        <v>-1.63</v>
      </c>
      <c r="Y2880" s="2">
        <v>-3.82</v>
      </c>
      <c r="Z2880" s="2">
        <v>-1.87</v>
      </c>
    </row>
    <row r="2881" spans="1:26" x14ac:dyDescent="0.25">
      <c r="A2881" s="1" t="s">
        <v>11461</v>
      </c>
      <c r="B2881" s="1" t="s">
        <v>11462</v>
      </c>
      <c r="C2881" s="1" t="s">
        <v>16</v>
      </c>
      <c r="D2881" s="1" t="s">
        <v>94</v>
      </c>
      <c r="E2881" s="1" t="s">
        <v>4079</v>
      </c>
      <c r="F2881" s="1" t="s">
        <v>11463</v>
      </c>
      <c r="G2881" s="1" t="s">
        <v>12480</v>
      </c>
      <c r="H2881" s="1" t="s">
        <v>11464</v>
      </c>
      <c r="I2881" s="2">
        <v>5.16</v>
      </c>
      <c r="J2881" s="2">
        <v>0.28999999999999998</v>
      </c>
      <c r="K2881" s="2">
        <v>0.4</v>
      </c>
      <c r="L2881" s="2">
        <v>0.49</v>
      </c>
      <c r="M2881" s="4">
        <f t="shared" si="264"/>
        <v>12.9</v>
      </c>
      <c r="N2881" s="4">
        <f t="shared" si="265"/>
        <v>10.530612244897959</v>
      </c>
      <c r="O2881" s="5">
        <f t="shared" si="266"/>
        <v>0.3793103448275863</v>
      </c>
      <c r="P2881" s="5">
        <f t="shared" si="267"/>
        <v>0.22499999999999987</v>
      </c>
      <c r="Q2881" s="4">
        <f t="shared" si="268"/>
        <v>0.340090909090909</v>
      </c>
      <c r="R2881" s="4">
        <f t="shared" si="269"/>
        <v>0.46802721088435406</v>
      </c>
      <c r="S2881" s="4">
        <v>3.05</v>
      </c>
      <c r="T2881" s="2">
        <v>0.85</v>
      </c>
      <c r="U2881" s="2">
        <v>5.36</v>
      </c>
      <c r="V2881" s="2">
        <v>2.68</v>
      </c>
      <c r="W2881" s="2">
        <v>3.82</v>
      </c>
      <c r="X2881" s="2" t="s">
        <v>12489</v>
      </c>
      <c r="Y2881" s="2" t="s">
        <v>12674</v>
      </c>
      <c r="Z2881" s="2">
        <v>36.869999999999997</v>
      </c>
    </row>
    <row r="2882" spans="1:26" x14ac:dyDescent="0.25">
      <c r="A2882" s="1" t="s">
        <v>11465</v>
      </c>
      <c r="B2882" s="1" t="s">
        <v>11466</v>
      </c>
      <c r="C2882" s="1" t="s">
        <v>16</v>
      </c>
      <c r="D2882" s="1" t="s">
        <v>18</v>
      </c>
      <c r="E2882" s="1" t="s">
        <v>199</v>
      </c>
      <c r="F2882" s="1" t="s">
        <v>11467</v>
      </c>
      <c r="G2882" s="1" t="s">
        <v>12480</v>
      </c>
      <c r="H2882" s="1" t="s">
        <v>11468</v>
      </c>
      <c r="I2882" s="2">
        <v>190.53</v>
      </c>
      <c r="J2882" s="2">
        <v>21.74</v>
      </c>
      <c r="K2882" s="2">
        <v>23.33</v>
      </c>
      <c r="L2882" s="2">
        <v>25.57</v>
      </c>
      <c r="M2882" s="4">
        <f t="shared" si="264"/>
        <v>8.1667381054436348</v>
      </c>
      <c r="N2882" s="4">
        <f t="shared" si="265"/>
        <v>7.4513101290574895</v>
      </c>
      <c r="O2882" s="5">
        <f t="shared" si="266"/>
        <v>7.3137074517019229E-2</v>
      </c>
      <c r="P2882" s="5">
        <f t="shared" si="267"/>
        <v>9.601371624517796E-2</v>
      </c>
      <c r="Q2882" s="4">
        <f t="shared" si="268"/>
        <v>1.1166345057380178</v>
      </c>
      <c r="R2882" s="4">
        <f t="shared" si="269"/>
        <v>0.77606725585228165</v>
      </c>
      <c r="S2882" s="4">
        <v>9.7100000000000009</v>
      </c>
      <c r="T2882" s="2">
        <v>1.26</v>
      </c>
      <c r="U2882" s="2">
        <v>244.18</v>
      </c>
      <c r="V2882" s="2">
        <v>154.94999999999999</v>
      </c>
      <c r="W2882" s="2">
        <v>-7.7</v>
      </c>
      <c r="X2882" s="2">
        <v>-10.52</v>
      </c>
      <c r="Y2882" s="2">
        <v>-14.89</v>
      </c>
      <c r="Z2882" s="2">
        <v>-12.61</v>
      </c>
    </row>
    <row r="2883" spans="1:26" x14ac:dyDescent="0.25">
      <c r="A2883" s="1" t="s">
        <v>11469</v>
      </c>
      <c r="B2883" s="1" t="s">
        <v>11470</v>
      </c>
      <c r="C2883" s="1" t="s">
        <v>16</v>
      </c>
      <c r="D2883" s="1" t="s">
        <v>32</v>
      </c>
      <c r="E2883" s="1" t="s">
        <v>1159</v>
      </c>
      <c r="F2883" s="1" t="s">
        <v>11471</v>
      </c>
      <c r="G2883" s="1" t="s">
        <v>12502</v>
      </c>
      <c r="H2883" s="1" t="s">
        <v>4744</v>
      </c>
      <c r="I2883" s="2">
        <v>752.49</v>
      </c>
      <c r="J2883" s="2">
        <v>10.96</v>
      </c>
      <c r="K2883" s="2">
        <v>14.15</v>
      </c>
      <c r="L2883" s="2">
        <v>15.29</v>
      </c>
      <c r="M2883" s="4">
        <f t="shared" ref="M2883:M2946" si="270">I2883/K2883</f>
        <v>53.179505300353355</v>
      </c>
      <c r="N2883" s="4">
        <f t="shared" ref="N2883:N2946" si="271">I2883/L2883</f>
        <v>49.214519293655989</v>
      </c>
      <c r="O2883" s="5">
        <f t="shared" ref="O2883:O2946" si="272">K2883/J2883-1</f>
        <v>0.29105839416058377</v>
      </c>
      <c r="P2883" s="5">
        <f t="shared" ref="P2883:P2946" si="273">L2883/K2883-1</f>
        <v>8.0565371024734933E-2</v>
      </c>
      <c r="Q2883" s="4">
        <f t="shared" ref="Q2883:Q2946" si="274">M2883/(O2883*100)</f>
        <v>1.8271077683130819</v>
      </c>
      <c r="R2883" s="4">
        <f t="shared" ref="R2883:R2946" si="275">N2883/(P2883*100)</f>
        <v>6.1086442807476553</v>
      </c>
      <c r="S2883" s="4">
        <v>33.450000000000003</v>
      </c>
      <c r="T2883" s="2">
        <v>1.33</v>
      </c>
      <c r="U2883" s="2">
        <v>798.47</v>
      </c>
      <c r="V2883" s="2">
        <v>273.45</v>
      </c>
      <c r="W2883" s="2">
        <v>-5.76</v>
      </c>
      <c r="X2883" s="2">
        <v>5.63</v>
      </c>
      <c r="Y2883" s="2">
        <v>35.549999999999997</v>
      </c>
      <c r="Z2883" s="2">
        <v>35.99</v>
      </c>
    </row>
    <row r="2884" spans="1:26" x14ac:dyDescent="0.25">
      <c r="A2884" s="1" t="s">
        <v>11472</v>
      </c>
      <c r="B2884" s="1" t="s">
        <v>11473</v>
      </c>
      <c r="C2884" s="1" t="s">
        <v>16</v>
      </c>
      <c r="D2884" s="1" t="s">
        <v>128</v>
      </c>
      <c r="E2884" s="1" t="s">
        <v>210</v>
      </c>
      <c r="F2884" s="1" t="s">
        <v>11474</v>
      </c>
      <c r="G2884" s="1" t="s">
        <v>12480</v>
      </c>
      <c r="H2884" s="1" t="s">
        <v>12809</v>
      </c>
      <c r="I2884" s="2">
        <v>66.36</v>
      </c>
      <c r="J2884" s="2">
        <v>3.48</v>
      </c>
      <c r="K2884" s="2">
        <v>3.67</v>
      </c>
      <c r="L2884" s="2">
        <v>3.91</v>
      </c>
      <c r="M2884" s="4">
        <f t="shared" si="270"/>
        <v>18.081743869209809</v>
      </c>
      <c r="N2884" s="4">
        <f t="shared" si="271"/>
        <v>16.971867007672632</v>
      </c>
      <c r="O2884" s="5">
        <f t="shared" si="272"/>
        <v>5.4597701149425193E-2</v>
      </c>
      <c r="P2884" s="5">
        <f t="shared" si="273"/>
        <v>6.5395095367847489E-2</v>
      </c>
      <c r="Q2884" s="4">
        <f t="shared" si="274"/>
        <v>3.3118141402552759</v>
      </c>
      <c r="R2884" s="4">
        <f t="shared" si="275"/>
        <v>2.5952813299232704</v>
      </c>
      <c r="S2884" s="4">
        <v>-13.12</v>
      </c>
      <c r="T2884" s="2">
        <v>0.36</v>
      </c>
      <c r="U2884" s="2">
        <v>74.59</v>
      </c>
      <c r="V2884" s="2">
        <v>62.21</v>
      </c>
      <c r="W2884" s="2">
        <v>-7.16</v>
      </c>
      <c r="X2884" s="2">
        <v>-7.01</v>
      </c>
      <c r="Y2884" s="2">
        <v>2.0299999999999998</v>
      </c>
      <c r="Z2884" s="2">
        <v>1.47</v>
      </c>
    </row>
    <row r="2885" spans="1:26" x14ac:dyDescent="0.25">
      <c r="A2885" s="1" t="s">
        <v>11475</v>
      </c>
      <c r="B2885" s="1" t="s">
        <v>11476</v>
      </c>
      <c r="C2885" s="1" t="s">
        <v>16</v>
      </c>
      <c r="D2885" s="1" t="s">
        <v>140</v>
      </c>
      <c r="E2885" s="1" t="s">
        <v>141</v>
      </c>
      <c r="F2885" s="1" t="s">
        <v>11477</v>
      </c>
      <c r="G2885" s="1" t="s">
        <v>12480</v>
      </c>
      <c r="H2885" s="1" t="s">
        <v>8747</v>
      </c>
      <c r="I2885" s="2">
        <v>82.49</v>
      </c>
      <c r="J2885" s="2">
        <v>1.99</v>
      </c>
      <c r="K2885" s="2">
        <v>2.16</v>
      </c>
      <c r="L2885" s="2">
        <v>2.4900000000000002</v>
      </c>
      <c r="M2885" s="4">
        <f t="shared" si="270"/>
        <v>38.18981481481481</v>
      </c>
      <c r="N2885" s="4">
        <f t="shared" si="271"/>
        <v>33.128514056224894</v>
      </c>
      <c r="O2885" s="5">
        <f t="shared" si="272"/>
        <v>8.5427135678391997E-2</v>
      </c>
      <c r="P2885" s="5">
        <f t="shared" si="273"/>
        <v>0.1527777777777779</v>
      </c>
      <c r="Q2885" s="4">
        <f t="shared" si="274"/>
        <v>4.4704547930283196</v>
      </c>
      <c r="R2885" s="4">
        <f t="shared" si="275"/>
        <v>2.1684118291347185</v>
      </c>
      <c r="S2885" s="4">
        <v>6.38</v>
      </c>
      <c r="T2885" s="2">
        <v>0.87</v>
      </c>
      <c r="U2885" s="2">
        <v>91.21</v>
      </c>
      <c r="V2885" s="2">
        <v>50.34</v>
      </c>
      <c r="W2885" s="2">
        <v>-1.42</v>
      </c>
      <c r="X2885" s="2">
        <v>14.25</v>
      </c>
      <c r="Y2885" s="2">
        <v>6.53</v>
      </c>
      <c r="Z2885" s="2">
        <v>4.5999999999999996</v>
      </c>
    </row>
    <row r="2886" spans="1:26" x14ac:dyDescent="0.25">
      <c r="A2886" s="1" t="s">
        <v>11478</v>
      </c>
      <c r="B2886" s="1" t="s">
        <v>11479</v>
      </c>
      <c r="C2886" s="1" t="s">
        <v>45</v>
      </c>
      <c r="D2886" s="1" t="s">
        <v>67</v>
      </c>
      <c r="E2886" s="1" t="s">
        <v>882</v>
      </c>
      <c r="F2886" s="1" t="s">
        <v>11480</v>
      </c>
      <c r="G2886" s="1" t="s">
        <v>12493</v>
      </c>
      <c r="H2886" s="1" t="s">
        <v>11481</v>
      </c>
      <c r="I2886" s="2">
        <v>642.22</v>
      </c>
      <c r="J2886" s="2">
        <v>25.34</v>
      </c>
      <c r="K2886" s="2">
        <v>28.45</v>
      </c>
      <c r="L2886" s="2">
        <v>31.75</v>
      </c>
      <c r="M2886" s="4">
        <f t="shared" si="270"/>
        <v>22.573637961335677</v>
      </c>
      <c r="N2886" s="4">
        <f t="shared" si="271"/>
        <v>20.227401574803149</v>
      </c>
      <c r="O2886" s="5">
        <f t="shared" si="272"/>
        <v>0.12273086029992109</v>
      </c>
      <c r="P2886" s="5">
        <f t="shared" si="273"/>
        <v>0.1159929701230229</v>
      </c>
      <c r="Q2886" s="4">
        <f t="shared" si="274"/>
        <v>1.8392796975570613</v>
      </c>
      <c r="R2886" s="4">
        <f t="shared" si="275"/>
        <v>1.7438471963731796</v>
      </c>
      <c r="S2886" s="4">
        <v>0.79</v>
      </c>
      <c r="T2886" s="2">
        <v>0.82</v>
      </c>
      <c r="U2886" s="2">
        <v>706.82</v>
      </c>
      <c r="V2886" s="2">
        <v>314.47000000000003</v>
      </c>
      <c r="W2886" s="2">
        <v>-5.14</v>
      </c>
      <c r="X2886" s="2">
        <v>-7.76</v>
      </c>
      <c r="Y2886" s="2">
        <v>8.6300000000000008</v>
      </c>
      <c r="Z2886" s="2">
        <v>6.15</v>
      </c>
    </row>
    <row r="2887" spans="1:26" x14ac:dyDescent="0.25">
      <c r="A2887" s="1" t="s">
        <v>11482</v>
      </c>
      <c r="B2887" s="1" t="s">
        <v>11483</v>
      </c>
      <c r="C2887" s="1" t="s">
        <v>45</v>
      </c>
      <c r="D2887" s="1" t="s">
        <v>38</v>
      </c>
      <c r="E2887" s="1" t="s">
        <v>1093</v>
      </c>
      <c r="F2887" s="1" t="s">
        <v>11484</v>
      </c>
      <c r="G2887" s="1" t="s">
        <v>12480</v>
      </c>
      <c r="H2887" s="1" t="s">
        <v>8752</v>
      </c>
      <c r="I2887" s="2">
        <v>113.96</v>
      </c>
      <c r="J2887" s="2">
        <v>11.35</v>
      </c>
      <c r="K2887" s="2">
        <v>12.02</v>
      </c>
      <c r="L2887" s="2">
        <v>13.14</v>
      </c>
      <c r="M2887" s="4">
        <f t="shared" si="270"/>
        <v>9.4808652246256244</v>
      </c>
      <c r="N2887" s="4">
        <f t="shared" si="271"/>
        <v>8.6727549467275491</v>
      </c>
      <c r="O2887" s="5">
        <f t="shared" si="272"/>
        <v>5.9030837004405257E-2</v>
      </c>
      <c r="P2887" s="5">
        <f t="shared" si="273"/>
        <v>9.3178036605657377E-2</v>
      </c>
      <c r="Q2887" s="4">
        <f t="shared" si="274"/>
        <v>1.6060868701418043</v>
      </c>
      <c r="R2887" s="4">
        <f t="shared" si="275"/>
        <v>0.93077245053272317</v>
      </c>
      <c r="S2887" s="4">
        <v>48.06</v>
      </c>
      <c r="T2887" s="2">
        <v>0.78</v>
      </c>
      <c r="U2887" s="2">
        <v>134.32</v>
      </c>
      <c r="V2887" s="2">
        <v>86.4</v>
      </c>
      <c r="W2887" s="2">
        <v>-3.14</v>
      </c>
      <c r="X2887" s="2">
        <v>-15.14</v>
      </c>
      <c r="Y2887" s="2">
        <v>-4.32</v>
      </c>
      <c r="Z2887" s="2">
        <v>-0.94</v>
      </c>
    </row>
    <row r="2888" spans="1:26" x14ac:dyDescent="0.25">
      <c r="A2888" s="1" t="s">
        <v>11485</v>
      </c>
      <c r="B2888" s="1" t="s">
        <v>11486</v>
      </c>
      <c r="C2888" s="1" t="s">
        <v>16</v>
      </c>
      <c r="D2888" s="1" t="s">
        <v>32</v>
      </c>
      <c r="E2888" s="1" t="s">
        <v>57</v>
      </c>
      <c r="F2888" s="1" t="s">
        <v>11487</v>
      </c>
      <c r="G2888" s="1" t="s">
        <v>12480</v>
      </c>
      <c r="H2888" s="1" t="s">
        <v>11488</v>
      </c>
      <c r="I2888" s="2">
        <v>9.73</v>
      </c>
      <c r="J2888" s="2">
        <v>0.53</v>
      </c>
      <c r="K2888" s="2">
        <v>0.52</v>
      </c>
      <c r="L2888" s="2">
        <v>0.75</v>
      </c>
      <c r="M2888" s="4">
        <f t="shared" si="270"/>
        <v>18.711538461538463</v>
      </c>
      <c r="N2888" s="4">
        <f t="shared" si="271"/>
        <v>12.973333333333334</v>
      </c>
      <c r="O2888" s="5">
        <f t="shared" si="272"/>
        <v>-1.8867924528301883E-2</v>
      </c>
      <c r="P2888" s="5">
        <f t="shared" si="273"/>
        <v>0.44230769230769229</v>
      </c>
      <c r="Q2888" s="4">
        <f t="shared" si="274"/>
        <v>-9.9171153846153874</v>
      </c>
      <c r="R2888" s="4">
        <f t="shared" si="275"/>
        <v>0.29331014492753626</v>
      </c>
      <c r="S2888" s="4">
        <v>6.74</v>
      </c>
      <c r="T2888" s="2">
        <v>1.08</v>
      </c>
      <c r="U2888" s="2">
        <v>12.48</v>
      </c>
      <c r="V2888" s="2">
        <v>6.12</v>
      </c>
      <c r="W2888" s="2">
        <v>-7.42</v>
      </c>
      <c r="X2888" s="2">
        <v>-3.18</v>
      </c>
      <c r="Y2888" s="2">
        <v>24.11</v>
      </c>
      <c r="Z2888" s="2">
        <v>23.79</v>
      </c>
    </row>
    <row r="2889" spans="1:26" x14ac:dyDescent="0.25">
      <c r="A2889" s="1" t="s">
        <v>11489</v>
      </c>
      <c r="B2889" s="1" t="s">
        <v>11490</v>
      </c>
      <c r="C2889" s="1" t="s">
        <v>16</v>
      </c>
      <c r="D2889" s="1" t="s">
        <v>38</v>
      </c>
      <c r="E2889" s="1" t="s">
        <v>765</v>
      </c>
      <c r="F2889" s="1" t="s">
        <v>11491</v>
      </c>
      <c r="G2889" s="1" t="s">
        <v>12480</v>
      </c>
      <c r="H2889" s="1" t="s">
        <v>11492</v>
      </c>
      <c r="I2889" s="2">
        <v>14.92</v>
      </c>
      <c r="J2889" s="2">
        <v>0.95</v>
      </c>
      <c r="K2889" s="2">
        <v>0.99</v>
      </c>
      <c r="L2889" s="2">
        <v>1.07</v>
      </c>
      <c r="M2889" s="4">
        <f t="shared" si="270"/>
        <v>15.070707070707071</v>
      </c>
      <c r="N2889" s="4">
        <f t="shared" si="271"/>
        <v>13.943925233644858</v>
      </c>
      <c r="O2889" s="5">
        <f t="shared" si="272"/>
        <v>4.2105263157894868E-2</v>
      </c>
      <c r="P2889" s="5">
        <f t="shared" si="273"/>
        <v>8.0808080808080884E-2</v>
      </c>
      <c r="Q2889" s="4">
        <f t="shared" si="274"/>
        <v>3.5792929292929183</v>
      </c>
      <c r="R2889" s="4">
        <f t="shared" si="275"/>
        <v>1.7255607476635495</v>
      </c>
      <c r="S2889" s="4">
        <v>8.81</v>
      </c>
      <c r="T2889" s="2">
        <v>1.07</v>
      </c>
      <c r="U2889" s="2">
        <v>18.82</v>
      </c>
      <c r="V2889" s="2">
        <v>14.12</v>
      </c>
      <c r="W2889" s="2">
        <v>-1.78</v>
      </c>
      <c r="X2889" s="2">
        <v>-5.75</v>
      </c>
      <c r="Y2889" s="2">
        <v>-6.52</v>
      </c>
      <c r="Z2889" s="2">
        <v>-6.22</v>
      </c>
    </row>
    <row r="2890" spans="1:26" x14ac:dyDescent="0.25">
      <c r="A2890" s="1" t="s">
        <v>11493</v>
      </c>
      <c r="B2890" s="1" t="s">
        <v>11494</v>
      </c>
      <c r="C2890" s="1" t="s">
        <v>31</v>
      </c>
      <c r="D2890" s="1" t="s">
        <v>88</v>
      </c>
      <c r="E2890" s="1" t="s">
        <v>658</v>
      </c>
      <c r="F2890" s="1" t="s">
        <v>11495</v>
      </c>
      <c r="G2890" s="1" t="s">
        <v>12480</v>
      </c>
      <c r="H2890" s="1" t="s">
        <v>11496</v>
      </c>
      <c r="I2890" s="2">
        <v>4.8600000000000003</v>
      </c>
      <c r="J2890" s="2">
        <v>0.45</v>
      </c>
      <c r="K2890" s="2"/>
      <c r="L2890" s="2"/>
      <c r="M2890" s="4" t="e">
        <f t="shared" si="270"/>
        <v>#DIV/0!</v>
      </c>
      <c r="N2890" s="4" t="e">
        <f t="shared" si="271"/>
        <v>#DIV/0!</v>
      </c>
      <c r="O2890" s="5">
        <f t="shared" si="272"/>
        <v>-1</v>
      </c>
      <c r="P2890" s="5" t="e">
        <f t="shared" si="273"/>
        <v>#DIV/0!</v>
      </c>
      <c r="Q2890" s="4" t="e">
        <f t="shared" si="274"/>
        <v>#DIV/0!</v>
      </c>
      <c r="R2890" s="4" t="e">
        <f t="shared" si="275"/>
        <v>#DIV/0!</v>
      </c>
      <c r="S2890" s="4"/>
      <c r="T2890" s="2"/>
      <c r="U2890" s="2">
        <v>6.35</v>
      </c>
      <c r="V2890" s="2">
        <v>3.64</v>
      </c>
      <c r="W2890" s="2">
        <v>-6.93</v>
      </c>
      <c r="X2890" s="2">
        <v>-17.73</v>
      </c>
      <c r="Y2890" s="2">
        <v>1.24</v>
      </c>
      <c r="Z2890" s="2">
        <v>-6.76</v>
      </c>
    </row>
    <row r="2891" spans="1:26" x14ac:dyDescent="0.25">
      <c r="A2891" s="1" t="s">
        <v>11497</v>
      </c>
      <c r="B2891" s="1" t="s">
        <v>11498</v>
      </c>
      <c r="C2891" s="1" t="s">
        <v>31</v>
      </c>
      <c r="D2891" s="1" t="s">
        <v>38</v>
      </c>
      <c r="E2891" s="1" t="s">
        <v>189</v>
      </c>
      <c r="F2891" s="1" t="s">
        <v>11499</v>
      </c>
      <c r="G2891" s="1" t="s">
        <v>12480</v>
      </c>
      <c r="H2891" s="1" t="s">
        <v>11500</v>
      </c>
      <c r="I2891" s="2">
        <v>38.54</v>
      </c>
      <c r="J2891" s="2">
        <v>3.91</v>
      </c>
      <c r="K2891" s="2">
        <v>4.24</v>
      </c>
      <c r="L2891" s="2">
        <v>4.79</v>
      </c>
      <c r="M2891" s="4">
        <f t="shared" si="270"/>
        <v>9.0896226415094326</v>
      </c>
      <c r="N2891" s="4">
        <f t="shared" si="271"/>
        <v>8.0459290187891437</v>
      </c>
      <c r="O2891" s="5">
        <f t="shared" si="272"/>
        <v>8.4398976982097196E-2</v>
      </c>
      <c r="P2891" s="5">
        <f t="shared" si="273"/>
        <v>0.12971698113207553</v>
      </c>
      <c r="Q2891" s="4">
        <f t="shared" si="274"/>
        <v>1.0769825614636932</v>
      </c>
      <c r="R2891" s="4">
        <f t="shared" si="275"/>
        <v>0.62026798253938109</v>
      </c>
      <c r="S2891" s="4">
        <v>-14.59</v>
      </c>
      <c r="T2891" s="2">
        <v>0.93</v>
      </c>
      <c r="U2891" s="2">
        <v>46.67</v>
      </c>
      <c r="V2891" s="2">
        <v>22.97</v>
      </c>
      <c r="W2891" s="2">
        <v>-6.41</v>
      </c>
      <c r="X2891" s="2">
        <v>-17.420000000000002</v>
      </c>
      <c r="Y2891" s="2">
        <v>-4.72</v>
      </c>
      <c r="Z2891" s="2">
        <v>-7.07</v>
      </c>
    </row>
    <row r="2892" spans="1:26" x14ac:dyDescent="0.25">
      <c r="A2892" s="1" t="s">
        <v>11501</v>
      </c>
      <c r="B2892" s="1" t="s">
        <v>11502</v>
      </c>
      <c r="C2892" s="1" t="s">
        <v>16</v>
      </c>
      <c r="D2892" s="1" t="s">
        <v>25</v>
      </c>
      <c r="E2892" s="1" t="s">
        <v>11504</v>
      </c>
      <c r="F2892" s="1" t="s">
        <v>11503</v>
      </c>
      <c r="G2892" s="1" t="s">
        <v>12497</v>
      </c>
      <c r="H2892" s="1" t="s">
        <v>12770</v>
      </c>
      <c r="I2892" s="2">
        <v>262.64</v>
      </c>
      <c r="J2892" s="2">
        <v>8.26</v>
      </c>
      <c r="K2892" s="2">
        <v>7.03</v>
      </c>
      <c r="L2892" s="2">
        <v>8.0500000000000007</v>
      </c>
      <c r="M2892" s="4">
        <f t="shared" si="270"/>
        <v>37.359886201991465</v>
      </c>
      <c r="N2892" s="4">
        <f t="shared" si="271"/>
        <v>32.626086956521732</v>
      </c>
      <c r="O2892" s="5">
        <f t="shared" si="272"/>
        <v>-0.14891041162227603</v>
      </c>
      <c r="P2892" s="5">
        <f t="shared" si="273"/>
        <v>0.14509246088193462</v>
      </c>
      <c r="Q2892" s="4">
        <f t="shared" si="274"/>
        <v>-2.5088834148654429</v>
      </c>
      <c r="R2892" s="4">
        <f t="shared" si="275"/>
        <v>2.2486410912190951</v>
      </c>
      <c r="S2892" s="4">
        <v>0.2</v>
      </c>
      <c r="T2892" s="2">
        <v>0.69</v>
      </c>
      <c r="U2892" s="2">
        <v>262.76</v>
      </c>
      <c r="V2892" s="2">
        <v>150.02000000000001</v>
      </c>
      <c r="W2892" s="2">
        <v>13.47</v>
      </c>
      <c r="X2892" s="2">
        <v>31.42</v>
      </c>
      <c r="Y2892" s="2">
        <v>47.87</v>
      </c>
      <c r="Z2892" s="2">
        <v>36.15</v>
      </c>
    </row>
    <row r="2893" spans="1:26" x14ac:dyDescent="0.25">
      <c r="A2893" s="1" t="s">
        <v>11505</v>
      </c>
      <c r="B2893" s="1" t="s">
        <v>11506</v>
      </c>
      <c r="C2893" s="1" t="s">
        <v>16</v>
      </c>
      <c r="D2893" s="1" t="s">
        <v>128</v>
      </c>
      <c r="E2893" s="1" t="s">
        <v>556</v>
      </c>
      <c r="F2893" s="1" t="s">
        <v>11507</v>
      </c>
      <c r="G2893" s="1" t="s">
        <v>12496</v>
      </c>
      <c r="H2893" s="1" t="s">
        <v>11508</v>
      </c>
      <c r="I2893" s="2">
        <v>38.840000000000003</v>
      </c>
      <c r="J2893" s="2">
        <v>0.71</v>
      </c>
      <c r="K2893" s="2">
        <v>2.11</v>
      </c>
      <c r="L2893" s="2">
        <v>2.76</v>
      </c>
      <c r="M2893" s="4">
        <f t="shared" si="270"/>
        <v>18.407582938388629</v>
      </c>
      <c r="N2893" s="4">
        <f t="shared" si="271"/>
        <v>14.072463768115945</v>
      </c>
      <c r="O2893" s="5">
        <f t="shared" si="272"/>
        <v>1.971830985915493</v>
      </c>
      <c r="P2893" s="5">
        <f t="shared" si="273"/>
        <v>0.30805687203791465</v>
      </c>
      <c r="Q2893" s="4">
        <f t="shared" si="274"/>
        <v>9.3352742044685175E-2</v>
      </c>
      <c r="R2893" s="4">
        <f t="shared" si="275"/>
        <v>0.45681382385730229</v>
      </c>
      <c r="S2893" s="4">
        <v>2.6</v>
      </c>
      <c r="T2893" s="2" t="s">
        <v>12493</v>
      </c>
      <c r="U2893" s="2">
        <v>43.04</v>
      </c>
      <c r="V2893" s="2">
        <v>21.3</v>
      </c>
      <c r="W2893" s="2">
        <v>0.56999999999999995</v>
      </c>
      <c r="X2893" s="2">
        <v>-1.6</v>
      </c>
      <c r="Y2893" s="2">
        <v>19.66</v>
      </c>
      <c r="Z2893" s="2">
        <v>15.35</v>
      </c>
    </row>
    <row r="2894" spans="1:26" x14ac:dyDescent="0.25">
      <c r="A2894" s="1" t="s">
        <v>11509</v>
      </c>
      <c r="B2894" s="1" t="s">
        <v>11510</v>
      </c>
      <c r="C2894" s="1" t="s">
        <v>16</v>
      </c>
      <c r="D2894" s="1" t="s">
        <v>18</v>
      </c>
      <c r="E2894" s="1" t="s">
        <v>2606</v>
      </c>
      <c r="F2894" s="1" t="s">
        <v>11511</v>
      </c>
      <c r="G2894" s="1" t="s">
        <v>12480</v>
      </c>
      <c r="H2894" s="1" t="s">
        <v>11512</v>
      </c>
      <c r="I2894" s="2">
        <v>285.17</v>
      </c>
      <c r="J2894" s="2">
        <v>16.350000000000001</v>
      </c>
      <c r="K2894" s="2">
        <v>17.7</v>
      </c>
      <c r="L2894" s="2">
        <v>19.829999999999998</v>
      </c>
      <c r="M2894" s="4">
        <f t="shared" si="270"/>
        <v>16.111299435028251</v>
      </c>
      <c r="N2894" s="4">
        <f t="shared" si="271"/>
        <v>14.380736258194657</v>
      </c>
      <c r="O2894" s="5">
        <f t="shared" si="272"/>
        <v>8.256880733944949E-2</v>
      </c>
      <c r="P2894" s="5">
        <f t="shared" si="273"/>
        <v>0.12033898305084745</v>
      </c>
      <c r="Q2894" s="4">
        <f t="shared" si="274"/>
        <v>1.9512573760200891</v>
      </c>
      <c r="R2894" s="4">
        <f t="shared" si="275"/>
        <v>1.1950189284978661</v>
      </c>
      <c r="S2894" s="4">
        <v>11.81</v>
      </c>
      <c r="T2894" s="2">
        <v>0.41</v>
      </c>
      <c r="U2894" s="2">
        <v>599.47</v>
      </c>
      <c r="V2894" s="2">
        <v>237.77</v>
      </c>
      <c r="W2894" s="2">
        <v>-3.31</v>
      </c>
      <c r="X2894" s="2">
        <v>3.43</v>
      </c>
      <c r="Y2894" s="2">
        <v>-16.399999999999999</v>
      </c>
      <c r="Z2894" s="2">
        <v>-13.61</v>
      </c>
    </row>
    <row r="2895" spans="1:26" x14ac:dyDescent="0.25">
      <c r="A2895" s="1" t="s">
        <v>11513</v>
      </c>
      <c r="B2895" s="1" t="s">
        <v>11514</v>
      </c>
      <c r="C2895" s="1" t="s">
        <v>31</v>
      </c>
      <c r="D2895" s="1" t="s">
        <v>147</v>
      </c>
      <c r="E2895" s="1" t="s">
        <v>1084</v>
      </c>
      <c r="F2895" s="1" t="s">
        <v>11515</v>
      </c>
      <c r="G2895" s="1" t="s">
        <v>12480</v>
      </c>
      <c r="H2895" s="1" t="s">
        <v>11516</v>
      </c>
      <c r="I2895" s="2">
        <v>2.97</v>
      </c>
      <c r="J2895" s="2">
        <v>0.12</v>
      </c>
      <c r="K2895" s="2">
        <v>7.0000000000000007E-2</v>
      </c>
      <c r="L2895" s="2">
        <v>7.0000000000000007E-2</v>
      </c>
      <c r="M2895" s="4">
        <f t="shared" si="270"/>
        <v>42.428571428571431</v>
      </c>
      <c r="N2895" s="4">
        <f t="shared" si="271"/>
        <v>42.428571428571431</v>
      </c>
      <c r="O2895" s="5">
        <f t="shared" si="272"/>
        <v>-0.41666666666666663</v>
      </c>
      <c r="P2895" s="5">
        <f t="shared" si="273"/>
        <v>0</v>
      </c>
      <c r="Q2895" s="4">
        <f t="shared" si="274"/>
        <v>-1.0182857142857145</v>
      </c>
      <c r="R2895" s="4" t="e">
        <f t="shared" si="275"/>
        <v>#DIV/0!</v>
      </c>
      <c r="S2895" s="4">
        <v>-3.34</v>
      </c>
      <c r="T2895" s="2">
        <v>0.22</v>
      </c>
      <c r="U2895" s="2">
        <v>4.8</v>
      </c>
      <c r="V2895" s="2">
        <v>2.78</v>
      </c>
      <c r="W2895" s="2" t="s">
        <v>12522</v>
      </c>
      <c r="X2895" s="2">
        <v>-2.2999999999999998</v>
      </c>
      <c r="Y2895" s="2">
        <v>3.48</v>
      </c>
      <c r="Z2895" s="2">
        <v>5.69</v>
      </c>
    </row>
    <row r="2896" spans="1:26" x14ac:dyDescent="0.25">
      <c r="A2896" s="1" t="s">
        <v>11517</v>
      </c>
      <c r="B2896" s="1" t="s">
        <v>11518</v>
      </c>
      <c r="C2896" s="1" t="s">
        <v>45</v>
      </c>
      <c r="D2896" s="1" t="s">
        <v>32</v>
      </c>
      <c r="E2896" s="1" t="s">
        <v>264</v>
      </c>
      <c r="F2896" s="1" t="s">
        <v>11519</v>
      </c>
      <c r="G2896" s="1" t="s">
        <v>12480</v>
      </c>
      <c r="H2896" s="1" t="s">
        <v>11520</v>
      </c>
      <c r="I2896" s="2">
        <v>8.24</v>
      </c>
      <c r="J2896" s="2">
        <v>4.87</v>
      </c>
      <c r="K2896" s="2">
        <v>-1.49</v>
      </c>
      <c r="L2896" s="2">
        <v>-0.45</v>
      </c>
      <c r="M2896" s="4">
        <f t="shared" si="270"/>
        <v>-5.5302013422818792</v>
      </c>
      <c r="N2896" s="4">
        <f t="shared" si="271"/>
        <v>-18.31111111111111</v>
      </c>
      <c r="O2896" s="5">
        <f t="shared" si="272"/>
        <v>-1.3059548254620124</v>
      </c>
      <c r="P2896" s="5">
        <f t="shared" si="273"/>
        <v>-0.69798657718120805</v>
      </c>
      <c r="Q2896" s="4">
        <f t="shared" si="274"/>
        <v>4.2346038580051495E-2</v>
      </c>
      <c r="R2896" s="4">
        <f t="shared" si="275"/>
        <v>0.26234188034188033</v>
      </c>
      <c r="S2896" s="4">
        <v>91.49</v>
      </c>
      <c r="T2896" s="2">
        <v>1.5</v>
      </c>
      <c r="U2896" s="2">
        <v>9.6199999999999992</v>
      </c>
      <c r="V2896" s="2">
        <v>5.36</v>
      </c>
      <c r="W2896" s="2">
        <v>5.24</v>
      </c>
      <c r="X2896" s="2">
        <v>2.11</v>
      </c>
      <c r="Y2896" s="2">
        <v>9.8699999999999992</v>
      </c>
      <c r="Z2896" s="2">
        <v>17.55</v>
      </c>
    </row>
    <row r="2897" spans="1:26" x14ac:dyDescent="0.25">
      <c r="A2897" s="1" t="s">
        <v>11521</v>
      </c>
      <c r="B2897" s="1" t="s">
        <v>11522</v>
      </c>
      <c r="C2897" s="1" t="s">
        <v>16</v>
      </c>
      <c r="D2897" s="1" t="s">
        <v>38</v>
      </c>
      <c r="E2897" s="1" t="s">
        <v>420</v>
      </c>
      <c r="F2897" s="1" t="s">
        <v>11523</v>
      </c>
      <c r="G2897" s="1" t="s">
        <v>12480</v>
      </c>
      <c r="H2897" s="1" t="s">
        <v>11524</v>
      </c>
      <c r="I2897" s="2">
        <v>72.94</v>
      </c>
      <c r="J2897" s="2">
        <v>8.1300000000000008</v>
      </c>
      <c r="K2897" s="2">
        <v>8.82</v>
      </c>
      <c r="L2897" s="2">
        <v>9.81</v>
      </c>
      <c r="M2897" s="4">
        <f t="shared" si="270"/>
        <v>8.2698412698412689</v>
      </c>
      <c r="N2897" s="4">
        <f t="shared" si="271"/>
        <v>7.4352701325178385</v>
      </c>
      <c r="O2897" s="5">
        <f t="shared" si="272"/>
        <v>8.4870848708487046E-2</v>
      </c>
      <c r="P2897" s="5">
        <f t="shared" si="273"/>
        <v>0.11224489795918369</v>
      </c>
      <c r="Q2897" s="4">
        <f t="shared" si="274"/>
        <v>0.97440303657694993</v>
      </c>
      <c r="R2897" s="4">
        <f t="shared" si="275"/>
        <v>0.66241497544249817</v>
      </c>
      <c r="S2897" s="4">
        <v>1.46</v>
      </c>
      <c r="T2897" s="2">
        <v>0.2</v>
      </c>
      <c r="U2897" s="2">
        <v>83.34</v>
      </c>
      <c r="V2897" s="2">
        <v>68.55</v>
      </c>
      <c r="W2897" s="2">
        <v>1.1499999999999999</v>
      </c>
      <c r="X2897" s="2">
        <v>1.73</v>
      </c>
      <c r="Y2897" s="2">
        <v>-5.41</v>
      </c>
      <c r="Z2897" s="2">
        <v>-5.88</v>
      </c>
    </row>
    <row r="2898" spans="1:26" x14ac:dyDescent="0.25">
      <c r="A2898" s="1" t="s">
        <v>11525</v>
      </c>
      <c r="B2898" s="1" t="s">
        <v>11526</v>
      </c>
      <c r="C2898" s="1" t="s">
        <v>16</v>
      </c>
      <c r="D2898" s="1" t="s">
        <v>46</v>
      </c>
      <c r="E2898" s="1" t="s">
        <v>683</v>
      </c>
      <c r="F2898" s="1" t="s">
        <v>11527</v>
      </c>
      <c r="G2898" s="1" t="s">
        <v>12480</v>
      </c>
      <c r="H2898" s="1" t="s">
        <v>11528</v>
      </c>
      <c r="I2898" s="2">
        <v>253.61</v>
      </c>
      <c r="J2898" s="2">
        <v>11.66</v>
      </c>
      <c r="K2898" s="2">
        <v>12.46</v>
      </c>
      <c r="L2898" s="2">
        <v>13.4</v>
      </c>
      <c r="M2898" s="4">
        <f t="shared" si="270"/>
        <v>20.353932584269664</v>
      </c>
      <c r="N2898" s="4">
        <f t="shared" si="271"/>
        <v>18.926119402985076</v>
      </c>
      <c r="O2898" s="5">
        <f t="shared" si="272"/>
        <v>6.8610634648370583E-2</v>
      </c>
      <c r="P2898" s="5">
        <f t="shared" si="273"/>
        <v>7.5441412520064199E-2</v>
      </c>
      <c r="Q2898" s="4">
        <f t="shared" si="274"/>
        <v>2.9665856741573</v>
      </c>
      <c r="R2898" s="4">
        <f t="shared" si="275"/>
        <v>2.5087175293744051</v>
      </c>
      <c r="S2898" s="4">
        <v>1.07</v>
      </c>
      <c r="T2898" s="2">
        <v>0.95</v>
      </c>
      <c r="U2898" s="2">
        <v>266.97000000000003</v>
      </c>
      <c r="V2898" s="2">
        <v>208.27</v>
      </c>
      <c r="W2898" s="2" t="s">
        <v>12736</v>
      </c>
      <c r="X2898" s="2">
        <v>-0.28999999999999998</v>
      </c>
      <c r="Y2898" s="2">
        <v>5.46</v>
      </c>
      <c r="Z2898" s="2">
        <v>9.64</v>
      </c>
    </row>
    <row r="2899" spans="1:26" x14ac:dyDescent="0.25">
      <c r="A2899" s="1" t="s">
        <v>11529</v>
      </c>
      <c r="B2899" s="1" t="s">
        <v>11530</v>
      </c>
      <c r="C2899" s="1" t="s">
        <v>31</v>
      </c>
      <c r="D2899" s="1" t="s">
        <v>38</v>
      </c>
      <c r="E2899" s="1" t="s">
        <v>189</v>
      </c>
      <c r="F2899" s="1" t="s">
        <v>11531</v>
      </c>
      <c r="G2899" s="1" t="s">
        <v>12480</v>
      </c>
      <c r="H2899" s="1" t="s">
        <v>11532</v>
      </c>
      <c r="I2899" s="2">
        <v>56.04</v>
      </c>
      <c r="J2899" s="2">
        <v>4.21</v>
      </c>
      <c r="K2899" s="2">
        <v>5.24</v>
      </c>
      <c r="L2899" s="2">
        <v>5.76</v>
      </c>
      <c r="M2899" s="4">
        <f t="shared" si="270"/>
        <v>10.694656488549617</v>
      </c>
      <c r="N2899" s="4">
        <f t="shared" si="271"/>
        <v>9.7291666666666661</v>
      </c>
      <c r="O2899" s="5">
        <f t="shared" si="272"/>
        <v>0.24465558194774362</v>
      </c>
      <c r="P2899" s="5">
        <f t="shared" si="273"/>
        <v>9.9236641221373878E-2</v>
      </c>
      <c r="Q2899" s="4">
        <f t="shared" si="274"/>
        <v>0.43713110501741614</v>
      </c>
      <c r="R2899" s="4">
        <f t="shared" si="275"/>
        <v>0.98040064102564251</v>
      </c>
      <c r="S2899" s="4">
        <v>-7.8</v>
      </c>
      <c r="T2899" s="2">
        <v>0.59</v>
      </c>
      <c r="U2899" s="2">
        <v>62.13</v>
      </c>
      <c r="V2899" s="2">
        <v>47.03</v>
      </c>
      <c r="W2899" s="2">
        <v>-1.6</v>
      </c>
      <c r="X2899" s="2">
        <v>-8.4499999999999993</v>
      </c>
      <c r="Y2899" s="2">
        <v>3.95</v>
      </c>
      <c r="Z2899" s="2">
        <v>2.94</v>
      </c>
    </row>
    <row r="2900" spans="1:26" x14ac:dyDescent="0.25">
      <c r="A2900" s="1" t="s">
        <v>11533</v>
      </c>
      <c r="B2900" s="1" t="s">
        <v>11534</v>
      </c>
      <c r="C2900" s="1" t="s">
        <v>45</v>
      </c>
      <c r="D2900" s="1" t="s">
        <v>38</v>
      </c>
      <c r="E2900" s="1" t="s">
        <v>7401</v>
      </c>
      <c r="F2900" s="1" t="s">
        <v>11535</v>
      </c>
      <c r="G2900" s="1" t="s">
        <v>12480</v>
      </c>
      <c r="H2900" s="1" t="s">
        <v>4585</v>
      </c>
      <c r="I2900" s="2">
        <v>19.079999999999998</v>
      </c>
      <c r="J2900" s="2">
        <v>4.13</v>
      </c>
      <c r="K2900" s="2">
        <v>4.1500000000000004</v>
      </c>
      <c r="L2900" s="2">
        <v>4.5</v>
      </c>
      <c r="M2900" s="4">
        <f t="shared" si="270"/>
        <v>4.597590361445782</v>
      </c>
      <c r="N2900" s="4">
        <f t="shared" si="271"/>
        <v>4.2399999999999993</v>
      </c>
      <c r="O2900" s="5">
        <f t="shared" si="272"/>
        <v>4.8426150121065881E-3</v>
      </c>
      <c r="P2900" s="5">
        <f t="shared" si="273"/>
        <v>8.43373493975903E-2</v>
      </c>
      <c r="Q2900" s="4">
        <f t="shared" si="274"/>
        <v>9.4940240963854414</v>
      </c>
      <c r="R2900" s="4">
        <f t="shared" si="275"/>
        <v>0.50274285714285738</v>
      </c>
      <c r="S2900" s="4" t="s">
        <v>12872</v>
      </c>
      <c r="T2900" s="2">
        <v>1.81</v>
      </c>
      <c r="U2900" s="2">
        <v>27.35</v>
      </c>
      <c r="V2900" s="2">
        <v>16.100000000000001</v>
      </c>
      <c r="W2900" s="2">
        <v>-8.6199999999999992</v>
      </c>
      <c r="X2900" s="2">
        <v>-7.83</v>
      </c>
      <c r="Y2900" s="2">
        <v>5.65</v>
      </c>
      <c r="Z2900" s="2">
        <v>8.66</v>
      </c>
    </row>
    <row r="2901" spans="1:26" x14ac:dyDescent="0.25">
      <c r="A2901" s="1" t="s">
        <v>11536</v>
      </c>
      <c r="B2901" s="1" t="s">
        <v>11537</v>
      </c>
      <c r="C2901" s="1" t="s">
        <v>16</v>
      </c>
      <c r="D2901" s="1" t="s">
        <v>46</v>
      </c>
      <c r="E2901" s="1" t="s">
        <v>4484</v>
      </c>
      <c r="F2901" s="1" t="s">
        <v>11538</v>
      </c>
      <c r="G2901" s="1" t="s">
        <v>12480</v>
      </c>
      <c r="H2901" s="1" t="s">
        <v>11539</v>
      </c>
      <c r="I2901" s="2">
        <v>99.94</v>
      </c>
      <c r="J2901" s="2">
        <v>7.16</v>
      </c>
      <c r="K2901" s="2">
        <v>7.09</v>
      </c>
      <c r="L2901" s="2">
        <v>7.87</v>
      </c>
      <c r="M2901" s="4">
        <f t="shared" si="270"/>
        <v>14.095909732016926</v>
      </c>
      <c r="N2901" s="4">
        <f t="shared" si="271"/>
        <v>12.698856416772554</v>
      </c>
      <c r="O2901" s="5">
        <f t="shared" si="272"/>
        <v>-9.7765363128492488E-3</v>
      </c>
      <c r="P2901" s="5">
        <f t="shared" si="273"/>
        <v>0.11001410437235548</v>
      </c>
      <c r="Q2901" s="4">
        <f t="shared" si="274"/>
        <v>-14.4181019544629</v>
      </c>
      <c r="R2901" s="4">
        <f t="shared" si="275"/>
        <v>1.1542934871143251</v>
      </c>
      <c r="S2901" s="4">
        <v>-2.65</v>
      </c>
      <c r="T2901" s="2">
        <v>1.08</v>
      </c>
      <c r="U2901" s="2">
        <v>121.62</v>
      </c>
      <c r="V2901" s="2">
        <v>82.58</v>
      </c>
      <c r="W2901" s="2">
        <v>-12.66</v>
      </c>
      <c r="X2901" s="2">
        <v>-15.25</v>
      </c>
      <c r="Y2901" s="2">
        <v>-0.13</v>
      </c>
      <c r="Z2901" s="2">
        <v>0.76</v>
      </c>
    </row>
    <row r="2902" spans="1:26" x14ac:dyDescent="0.25">
      <c r="A2902" s="1" t="s">
        <v>11540</v>
      </c>
      <c r="B2902" s="1" t="s">
        <v>11541</v>
      </c>
      <c r="C2902" s="1" t="s">
        <v>45</v>
      </c>
      <c r="D2902" s="1" t="s">
        <v>38</v>
      </c>
      <c r="E2902" s="1" t="s">
        <v>52</v>
      </c>
      <c r="F2902" s="1" t="s">
        <v>11542</v>
      </c>
      <c r="G2902" s="1" t="s">
        <v>12480</v>
      </c>
      <c r="H2902" s="1" t="s">
        <v>1235</v>
      </c>
      <c r="I2902" s="2">
        <v>27.92</v>
      </c>
      <c r="J2902" s="2">
        <v>1.74</v>
      </c>
      <c r="K2902" s="2">
        <v>2.37</v>
      </c>
      <c r="L2902" s="2">
        <v>3.29</v>
      </c>
      <c r="M2902" s="4">
        <f t="shared" si="270"/>
        <v>11.780590717299578</v>
      </c>
      <c r="N2902" s="4">
        <f t="shared" si="271"/>
        <v>8.486322188449849</v>
      </c>
      <c r="O2902" s="5">
        <f t="shared" si="272"/>
        <v>0.36206896551724155</v>
      </c>
      <c r="P2902" s="5">
        <f t="shared" si="273"/>
        <v>0.38818565400843874</v>
      </c>
      <c r="Q2902" s="4">
        <f t="shared" si="274"/>
        <v>0.32536869600160723</v>
      </c>
      <c r="R2902" s="4">
        <f t="shared" si="275"/>
        <v>0.21861503898506682</v>
      </c>
      <c r="S2902" s="4">
        <v>63.99</v>
      </c>
      <c r="T2902" s="2">
        <v>2.44</v>
      </c>
      <c r="U2902" s="2">
        <v>84.13</v>
      </c>
      <c r="V2902" s="2">
        <v>27.23</v>
      </c>
      <c r="W2902" s="2">
        <v>-1.27</v>
      </c>
      <c r="X2902" s="2">
        <v>-28.13</v>
      </c>
      <c r="Y2902" s="2">
        <v>-39.369999999999997</v>
      </c>
      <c r="Z2902" s="2">
        <v>-36.15</v>
      </c>
    </row>
    <row r="2903" spans="1:26" x14ac:dyDescent="0.25">
      <c r="A2903" s="1" t="s">
        <v>11543</v>
      </c>
      <c r="B2903" s="1" t="s">
        <v>11544</v>
      </c>
      <c r="C2903" s="1" t="s">
        <v>45</v>
      </c>
      <c r="D2903" s="1" t="s">
        <v>32</v>
      </c>
      <c r="E2903" s="1" t="s">
        <v>565</v>
      </c>
      <c r="F2903" s="1" t="s">
        <v>11545</v>
      </c>
      <c r="G2903" s="1" t="s">
        <v>12480</v>
      </c>
      <c r="H2903" s="1" t="s">
        <v>11546</v>
      </c>
      <c r="I2903" s="2">
        <v>13.33</v>
      </c>
      <c r="J2903" s="2">
        <v>0.84</v>
      </c>
      <c r="K2903" s="2">
        <v>1.4</v>
      </c>
      <c r="L2903" s="2">
        <v>1.65</v>
      </c>
      <c r="M2903" s="4">
        <f t="shared" si="270"/>
        <v>9.5214285714285722</v>
      </c>
      <c r="N2903" s="4">
        <f t="shared" si="271"/>
        <v>8.07878787878788</v>
      </c>
      <c r="O2903" s="5">
        <f t="shared" si="272"/>
        <v>0.66666666666666652</v>
      </c>
      <c r="P2903" s="5">
        <f t="shared" si="273"/>
        <v>0.1785714285714286</v>
      </c>
      <c r="Q2903" s="4">
        <f t="shared" si="274"/>
        <v>0.1428214285714286</v>
      </c>
      <c r="R2903" s="4">
        <f t="shared" si="275"/>
        <v>0.45241212121212115</v>
      </c>
      <c r="S2903" s="4">
        <v>2.4</v>
      </c>
      <c r="T2903" s="2">
        <v>1.07</v>
      </c>
      <c r="U2903" s="2">
        <v>22.11</v>
      </c>
      <c r="V2903" s="2">
        <v>11.75</v>
      </c>
      <c r="W2903" s="2">
        <v>1.6</v>
      </c>
      <c r="X2903" s="2">
        <v>-29.06</v>
      </c>
      <c r="Y2903" s="2">
        <v>-37.65</v>
      </c>
      <c r="Z2903" s="2">
        <v>-32.75</v>
      </c>
    </row>
    <row r="2904" spans="1:26" x14ac:dyDescent="0.25">
      <c r="A2904" s="1" t="s">
        <v>11547</v>
      </c>
      <c r="B2904" s="1" t="s">
        <v>11548</v>
      </c>
      <c r="C2904" s="1" t="s">
        <v>45</v>
      </c>
      <c r="D2904" s="1" t="s">
        <v>67</v>
      </c>
      <c r="E2904" s="1" t="s">
        <v>381</v>
      </c>
      <c r="F2904" s="1" t="s">
        <v>11549</v>
      </c>
      <c r="G2904" s="1" t="s">
        <v>12493</v>
      </c>
      <c r="H2904" s="1" t="s">
        <v>11550</v>
      </c>
      <c r="I2904" s="2">
        <v>64.48</v>
      </c>
      <c r="J2904" s="2">
        <v>5.44</v>
      </c>
      <c r="K2904" s="2">
        <v>5.83</v>
      </c>
      <c r="L2904" s="2">
        <v>6.42</v>
      </c>
      <c r="M2904" s="4">
        <f t="shared" si="270"/>
        <v>11.060034305317325</v>
      </c>
      <c r="N2904" s="4">
        <f t="shared" si="271"/>
        <v>10.043613707165109</v>
      </c>
      <c r="O2904" s="5">
        <f t="shared" si="272"/>
        <v>7.1691176470588092E-2</v>
      </c>
      <c r="P2904" s="5">
        <f t="shared" si="273"/>
        <v>0.10120068610634636</v>
      </c>
      <c r="Q2904" s="4">
        <f t="shared" si="274"/>
        <v>1.5427329902801634</v>
      </c>
      <c r="R2904" s="4">
        <f t="shared" si="275"/>
        <v>0.99244521886055348</v>
      </c>
      <c r="S2904" s="4">
        <v>11.07</v>
      </c>
      <c r="T2904" s="2">
        <v>1.22</v>
      </c>
      <c r="U2904" s="2">
        <v>82.7</v>
      </c>
      <c r="V2904" s="2">
        <v>43.24</v>
      </c>
      <c r="W2904" s="2">
        <v>-1.84</v>
      </c>
      <c r="X2904" s="2">
        <v>-9.41</v>
      </c>
      <c r="Y2904" s="2">
        <v>-22.03</v>
      </c>
      <c r="Z2904" s="2">
        <v>-14.32</v>
      </c>
    </row>
    <row r="2905" spans="1:26" x14ac:dyDescent="0.25">
      <c r="A2905" s="1" t="s">
        <v>11551</v>
      </c>
      <c r="B2905" s="1" t="s">
        <v>11552</v>
      </c>
      <c r="C2905" s="1" t="s">
        <v>16</v>
      </c>
      <c r="D2905" s="1" t="s">
        <v>61</v>
      </c>
      <c r="E2905" s="1" t="s">
        <v>170</v>
      </c>
      <c r="F2905" s="1" t="s">
        <v>11553</v>
      </c>
      <c r="G2905" s="1" t="s">
        <v>12480</v>
      </c>
      <c r="H2905" s="1" t="s">
        <v>12641</v>
      </c>
      <c r="I2905" s="2">
        <v>820.68</v>
      </c>
      <c r="J2905" s="2">
        <v>42.06</v>
      </c>
      <c r="K2905" s="2">
        <v>46.61</v>
      </c>
      <c r="L2905" s="2">
        <v>52.51</v>
      </c>
      <c r="M2905" s="4">
        <f t="shared" si="270"/>
        <v>17.607380390474145</v>
      </c>
      <c r="N2905" s="4">
        <f t="shared" si="271"/>
        <v>15.629023043229861</v>
      </c>
      <c r="O2905" s="5">
        <f t="shared" si="272"/>
        <v>0.10817879220161664</v>
      </c>
      <c r="P2905" s="5">
        <f t="shared" si="273"/>
        <v>0.12658227848101267</v>
      </c>
      <c r="Q2905" s="4">
        <f t="shared" si="274"/>
        <v>1.6276185037875674</v>
      </c>
      <c r="R2905" s="4">
        <f t="shared" si="275"/>
        <v>1.234692820415159</v>
      </c>
      <c r="S2905" s="4">
        <v>4.91</v>
      </c>
      <c r="T2905" s="2">
        <v>1.66</v>
      </c>
      <c r="U2905" s="2" t="s">
        <v>12810</v>
      </c>
      <c r="V2905" s="2">
        <v>551.94000000000005</v>
      </c>
      <c r="W2905" s="2">
        <v>0.01</v>
      </c>
      <c r="X2905" s="2">
        <v>-6.37</v>
      </c>
      <c r="Y2905" s="2">
        <v>1.26</v>
      </c>
      <c r="Z2905" s="2">
        <v>1.4</v>
      </c>
    </row>
    <row r="2906" spans="1:26" x14ac:dyDescent="0.25">
      <c r="A2906" s="1" t="s">
        <v>11554</v>
      </c>
      <c r="B2906" s="1" t="s">
        <v>11555</v>
      </c>
      <c r="C2906" s="1" t="s">
        <v>16</v>
      </c>
      <c r="D2906" s="1" t="s">
        <v>38</v>
      </c>
      <c r="E2906" s="1" t="s">
        <v>259</v>
      </c>
      <c r="F2906" s="1" t="s">
        <v>11556</v>
      </c>
      <c r="G2906" s="1" t="s">
        <v>12480</v>
      </c>
      <c r="H2906" s="1" t="s">
        <v>11557</v>
      </c>
      <c r="I2906" s="2">
        <v>5.83</v>
      </c>
      <c r="J2906" s="2"/>
      <c r="K2906" s="2"/>
      <c r="L2906" s="2"/>
      <c r="M2906" s="4" t="e">
        <f t="shared" si="270"/>
        <v>#DIV/0!</v>
      </c>
      <c r="N2906" s="4" t="e">
        <f t="shared" si="271"/>
        <v>#DIV/0!</v>
      </c>
      <c r="O2906" s="5" t="e">
        <f t="shared" si="272"/>
        <v>#DIV/0!</v>
      </c>
      <c r="P2906" s="5" t="e">
        <f t="shared" si="273"/>
        <v>#DIV/0!</v>
      </c>
      <c r="Q2906" s="4" t="e">
        <f t="shared" si="274"/>
        <v>#DIV/0!</v>
      </c>
      <c r="R2906" s="4" t="e">
        <f t="shared" si="275"/>
        <v>#DIV/0!</v>
      </c>
      <c r="S2906" s="4"/>
      <c r="T2906" s="2">
        <v>1.06</v>
      </c>
      <c r="U2906" s="2">
        <v>6.94</v>
      </c>
      <c r="V2906" s="2">
        <v>5.83</v>
      </c>
      <c r="W2906" s="2">
        <v>-2.5099999999999998</v>
      </c>
      <c r="X2906" s="2">
        <v>-3.64</v>
      </c>
      <c r="Y2906" s="2">
        <v>-6.27</v>
      </c>
      <c r="Z2906" s="2">
        <v>-7.17</v>
      </c>
    </row>
    <row r="2907" spans="1:26" x14ac:dyDescent="0.25">
      <c r="A2907" s="1" t="s">
        <v>11558</v>
      </c>
      <c r="B2907" s="1" t="s">
        <v>11559</v>
      </c>
      <c r="C2907" s="1" t="s">
        <v>16</v>
      </c>
      <c r="D2907" s="1" t="s">
        <v>94</v>
      </c>
      <c r="E2907" s="1" t="s">
        <v>6131</v>
      </c>
      <c r="F2907" s="1" t="s">
        <v>11560</v>
      </c>
      <c r="G2907" s="1" t="s">
        <v>12480</v>
      </c>
      <c r="H2907" s="1" t="s">
        <v>6233</v>
      </c>
      <c r="I2907" s="2">
        <v>27.48</v>
      </c>
      <c r="J2907" s="2">
        <v>1.01</v>
      </c>
      <c r="K2907" s="2">
        <v>1.32</v>
      </c>
      <c r="L2907" s="2">
        <v>1.64</v>
      </c>
      <c r="M2907" s="4">
        <f t="shared" si="270"/>
        <v>20.818181818181817</v>
      </c>
      <c r="N2907" s="4">
        <f t="shared" si="271"/>
        <v>16.756097560975611</v>
      </c>
      <c r="O2907" s="5">
        <f t="shared" si="272"/>
        <v>0.30693069306930698</v>
      </c>
      <c r="P2907" s="5">
        <f t="shared" si="273"/>
        <v>0.24242424242424221</v>
      </c>
      <c r="Q2907" s="4">
        <f t="shared" si="274"/>
        <v>0.67826979472140747</v>
      </c>
      <c r="R2907" s="4">
        <f t="shared" si="275"/>
        <v>0.69118902439024454</v>
      </c>
      <c r="S2907" s="4">
        <v>5.01</v>
      </c>
      <c r="T2907" s="2">
        <v>0.22</v>
      </c>
      <c r="U2907" s="2">
        <v>27.81</v>
      </c>
      <c r="V2907" s="2">
        <v>21.99</v>
      </c>
      <c r="W2907" s="2">
        <v>-0.97</v>
      </c>
      <c r="X2907" s="2">
        <v>2.84</v>
      </c>
      <c r="Y2907" s="2">
        <v>15.03</v>
      </c>
      <c r="Z2907" s="2">
        <v>19.48</v>
      </c>
    </row>
    <row r="2908" spans="1:26" x14ac:dyDescent="0.25">
      <c r="A2908" s="1" t="s">
        <v>11561</v>
      </c>
      <c r="B2908" s="1" t="s">
        <v>11562</v>
      </c>
      <c r="C2908" s="1" t="s">
        <v>45</v>
      </c>
      <c r="D2908" s="1" t="s">
        <v>88</v>
      </c>
      <c r="E2908" s="1" t="s">
        <v>658</v>
      </c>
      <c r="F2908" s="1" t="s">
        <v>11563</v>
      </c>
      <c r="G2908" s="1" t="s">
        <v>12480</v>
      </c>
      <c r="H2908" s="1" t="s">
        <v>1404</v>
      </c>
      <c r="I2908" s="2">
        <v>18.71</v>
      </c>
      <c r="J2908" s="2"/>
      <c r="K2908" s="2">
        <v>-0.24</v>
      </c>
      <c r="L2908" s="2">
        <v>-0.66</v>
      </c>
      <c r="M2908" s="4">
        <f t="shared" si="270"/>
        <v>-77.958333333333343</v>
      </c>
      <c r="N2908" s="4">
        <f t="shared" si="271"/>
        <v>-28.348484848484848</v>
      </c>
      <c r="O2908" s="5" t="e">
        <f t="shared" si="272"/>
        <v>#DIV/0!</v>
      </c>
      <c r="P2908" s="5">
        <f t="shared" si="273"/>
        <v>1.7500000000000004</v>
      </c>
      <c r="Q2908" s="4" t="e">
        <f t="shared" si="274"/>
        <v>#DIV/0!</v>
      </c>
      <c r="R2908" s="4">
        <f t="shared" si="275"/>
        <v>-0.16199134199134194</v>
      </c>
      <c r="S2908" s="4"/>
      <c r="T2908" s="2">
        <v>1.05</v>
      </c>
      <c r="U2908" s="2">
        <v>38.68</v>
      </c>
      <c r="V2908" s="2">
        <v>5.75</v>
      </c>
      <c r="W2908" s="2">
        <v>-10.35</v>
      </c>
      <c r="X2908" s="2">
        <v>-20.18</v>
      </c>
      <c r="Y2908" s="2">
        <v>25.82</v>
      </c>
      <c r="Z2908" s="2">
        <v>57.23</v>
      </c>
    </row>
    <row r="2909" spans="1:26" x14ac:dyDescent="0.25">
      <c r="A2909" s="1" t="s">
        <v>11564</v>
      </c>
      <c r="B2909" s="1" t="s">
        <v>11565</v>
      </c>
      <c r="C2909" s="1" t="s">
        <v>1118</v>
      </c>
      <c r="D2909" s="1" t="s">
        <v>88</v>
      </c>
      <c r="E2909" s="1" t="s">
        <v>658</v>
      </c>
      <c r="F2909" s="1" t="s">
        <v>11566</v>
      </c>
      <c r="G2909" s="1" t="s">
        <v>12480</v>
      </c>
      <c r="H2909" s="1" t="s">
        <v>6282</v>
      </c>
      <c r="I2909" s="2">
        <v>8.17</v>
      </c>
      <c r="J2909" s="2">
        <v>-0.33</v>
      </c>
      <c r="K2909" s="2">
        <v>0.54</v>
      </c>
      <c r="L2909" s="2">
        <v>1.01</v>
      </c>
      <c r="M2909" s="4">
        <f t="shared" si="270"/>
        <v>15.129629629629628</v>
      </c>
      <c r="N2909" s="4">
        <f t="shared" si="271"/>
        <v>8.0891089108910883</v>
      </c>
      <c r="O2909" s="5">
        <f t="shared" si="272"/>
        <v>-2.6363636363636367</v>
      </c>
      <c r="P2909" s="5">
        <f t="shared" si="273"/>
        <v>0.87037037037037024</v>
      </c>
      <c r="Q2909" s="4">
        <f t="shared" si="274"/>
        <v>-5.7388250319284788E-2</v>
      </c>
      <c r="R2909" s="4">
        <f t="shared" si="275"/>
        <v>9.2938698125131669E-2</v>
      </c>
      <c r="S2909" s="4">
        <v>11.86</v>
      </c>
      <c r="T2909" s="2">
        <v>0.53</v>
      </c>
      <c r="U2909" s="2">
        <v>10.029999999999999</v>
      </c>
      <c r="V2909" s="2">
        <v>1.04</v>
      </c>
      <c r="W2909" s="2">
        <v>-18.54</v>
      </c>
      <c r="X2909" s="2">
        <v>2.13</v>
      </c>
      <c r="Y2909" s="2">
        <v>40.86</v>
      </c>
      <c r="Z2909" s="2">
        <v>59.88</v>
      </c>
    </row>
    <row r="2910" spans="1:26" x14ac:dyDescent="0.25">
      <c r="A2910" s="1" t="s">
        <v>11567</v>
      </c>
      <c r="B2910" s="1" t="s">
        <v>11568</v>
      </c>
      <c r="C2910" s="1" t="s">
        <v>16</v>
      </c>
      <c r="D2910" s="1" t="s">
        <v>38</v>
      </c>
      <c r="E2910" s="1" t="s">
        <v>1739</v>
      </c>
      <c r="F2910" s="1" t="s">
        <v>11569</v>
      </c>
      <c r="G2910" s="1" t="s">
        <v>12480</v>
      </c>
      <c r="H2910" s="1" t="s">
        <v>11570</v>
      </c>
      <c r="I2910" s="2">
        <v>52.13</v>
      </c>
      <c r="J2910" s="2">
        <v>4.62</v>
      </c>
      <c r="K2910" s="2">
        <v>5.03</v>
      </c>
      <c r="L2910" s="2">
        <v>5.6</v>
      </c>
      <c r="M2910" s="4">
        <f t="shared" si="270"/>
        <v>10.363817097415508</v>
      </c>
      <c r="N2910" s="4">
        <f t="shared" si="271"/>
        <v>9.3089285714285719</v>
      </c>
      <c r="O2910" s="5">
        <f t="shared" si="272"/>
        <v>8.8744588744588793E-2</v>
      </c>
      <c r="P2910" s="5">
        <f t="shared" si="273"/>
        <v>0.1133200795228626</v>
      </c>
      <c r="Q2910" s="4">
        <f t="shared" si="274"/>
        <v>1.1678252436599907</v>
      </c>
      <c r="R2910" s="4">
        <f t="shared" si="275"/>
        <v>0.82147211779448781</v>
      </c>
      <c r="S2910" s="4">
        <v>0.35</v>
      </c>
      <c r="T2910" s="2">
        <v>1.04</v>
      </c>
      <c r="U2910" s="2">
        <v>60.69</v>
      </c>
      <c r="V2910" s="2">
        <v>36.4</v>
      </c>
      <c r="W2910" s="2">
        <v>-4.58</v>
      </c>
      <c r="X2910" s="2">
        <v>-13.62</v>
      </c>
      <c r="Y2910" s="2">
        <v>-2.94</v>
      </c>
      <c r="Z2910" s="2">
        <v>-2.31</v>
      </c>
    </row>
    <row r="2911" spans="1:26" x14ac:dyDescent="0.25">
      <c r="A2911" s="1" t="s">
        <v>11571</v>
      </c>
      <c r="B2911" s="1" t="s">
        <v>11572</v>
      </c>
      <c r="C2911" s="1" t="s">
        <v>16</v>
      </c>
      <c r="D2911" s="1" t="s">
        <v>128</v>
      </c>
      <c r="E2911" s="1" t="s">
        <v>556</v>
      </c>
      <c r="F2911" s="1" t="s">
        <v>11573</v>
      </c>
      <c r="G2911" s="1" t="s">
        <v>12480</v>
      </c>
      <c r="H2911" s="1" t="s">
        <v>11574</v>
      </c>
      <c r="I2911" s="2">
        <v>90.73</v>
      </c>
      <c r="J2911" s="2">
        <v>3.98</v>
      </c>
      <c r="K2911" s="2">
        <v>4.8</v>
      </c>
      <c r="L2911" s="2">
        <v>5.53</v>
      </c>
      <c r="M2911" s="4">
        <f t="shared" si="270"/>
        <v>18.902083333333334</v>
      </c>
      <c r="N2911" s="4">
        <f t="shared" si="271"/>
        <v>16.406871609403254</v>
      </c>
      <c r="O2911" s="5">
        <f t="shared" si="272"/>
        <v>0.20603015075376874</v>
      </c>
      <c r="P2911" s="5">
        <f t="shared" si="273"/>
        <v>0.15208333333333335</v>
      </c>
      <c r="Q2911" s="4">
        <f t="shared" si="274"/>
        <v>0.91744258130081346</v>
      </c>
      <c r="R2911" s="4">
        <f t="shared" si="275"/>
        <v>1.0788079962347343</v>
      </c>
      <c r="S2911" s="4">
        <v>4.08</v>
      </c>
      <c r="T2911" s="2">
        <v>0.98</v>
      </c>
      <c r="U2911" s="2">
        <v>101.98</v>
      </c>
      <c r="V2911" s="2">
        <v>60.47</v>
      </c>
      <c r="W2911" s="2">
        <v>-4.91</v>
      </c>
      <c r="X2911" s="2">
        <v>0.68</v>
      </c>
      <c r="Y2911" s="2">
        <v>19.07</v>
      </c>
      <c r="Z2911" s="2">
        <v>20.46</v>
      </c>
    </row>
    <row r="2912" spans="1:26" x14ac:dyDescent="0.25">
      <c r="A2912" s="1" t="s">
        <v>11575</v>
      </c>
      <c r="B2912" s="1" t="s">
        <v>11576</v>
      </c>
      <c r="C2912" s="1" t="s">
        <v>45</v>
      </c>
      <c r="D2912" s="1" t="s">
        <v>61</v>
      </c>
      <c r="E2912" s="1" t="s">
        <v>2186</v>
      </c>
      <c r="F2912" s="1" t="s">
        <v>11577</v>
      </c>
      <c r="G2912" s="1" t="s">
        <v>12480</v>
      </c>
      <c r="H2912" s="1" t="s">
        <v>6900</v>
      </c>
      <c r="I2912" s="2">
        <v>118.97</v>
      </c>
      <c r="J2912" s="2">
        <v>4.67</v>
      </c>
      <c r="K2912" s="2"/>
      <c r="L2912" s="2"/>
      <c r="M2912" s="4" t="e">
        <f t="shared" si="270"/>
        <v>#DIV/0!</v>
      </c>
      <c r="N2912" s="4" t="e">
        <f t="shared" si="271"/>
        <v>#DIV/0!</v>
      </c>
      <c r="O2912" s="5">
        <f t="shared" si="272"/>
        <v>-1</v>
      </c>
      <c r="P2912" s="5" t="e">
        <f t="shared" si="273"/>
        <v>#DIV/0!</v>
      </c>
      <c r="Q2912" s="4" t="e">
        <f t="shared" si="274"/>
        <v>#DIV/0!</v>
      </c>
      <c r="R2912" s="4" t="e">
        <f t="shared" si="275"/>
        <v>#DIV/0!</v>
      </c>
      <c r="S2912" s="4">
        <v>17.309999999999999</v>
      </c>
      <c r="T2912" s="2">
        <v>0.98</v>
      </c>
      <c r="U2912" s="2">
        <v>135.38999999999999</v>
      </c>
      <c r="V2912" s="2">
        <v>85.17</v>
      </c>
      <c r="W2912" s="2">
        <v>-5.19</v>
      </c>
      <c r="X2912" s="2">
        <v>10.39</v>
      </c>
      <c r="Y2912" s="2">
        <v>-4.9000000000000004</v>
      </c>
      <c r="Z2912" s="2">
        <v>-0.64</v>
      </c>
    </row>
    <row r="2913" spans="1:26" x14ac:dyDescent="0.25">
      <c r="A2913" s="1" t="s">
        <v>11578</v>
      </c>
      <c r="B2913" s="1" t="s">
        <v>11579</v>
      </c>
      <c r="C2913" s="1" t="s">
        <v>16</v>
      </c>
      <c r="D2913" s="1" t="s">
        <v>38</v>
      </c>
      <c r="E2913" s="1" t="s">
        <v>259</v>
      </c>
      <c r="F2913" s="1" t="s">
        <v>11580</v>
      </c>
      <c r="G2913" s="1" t="s">
        <v>12480</v>
      </c>
      <c r="H2913" s="1" t="s">
        <v>12625</v>
      </c>
      <c r="I2913" s="2">
        <v>104.33</v>
      </c>
      <c r="J2913" s="2"/>
      <c r="K2913" s="2"/>
      <c r="L2913" s="2"/>
      <c r="M2913" s="4" t="e">
        <f t="shared" si="270"/>
        <v>#DIV/0!</v>
      </c>
      <c r="N2913" s="4" t="e">
        <f t="shared" si="271"/>
        <v>#DIV/0!</v>
      </c>
      <c r="O2913" s="5" t="e">
        <f t="shared" si="272"/>
        <v>#DIV/0!</v>
      </c>
      <c r="P2913" s="5" t="e">
        <f t="shared" si="273"/>
        <v>#DIV/0!</v>
      </c>
      <c r="Q2913" s="4" t="e">
        <f t="shared" si="274"/>
        <v>#DIV/0!</v>
      </c>
      <c r="R2913" s="4" t="e">
        <f t="shared" si="275"/>
        <v>#DIV/0!</v>
      </c>
      <c r="S2913" s="4"/>
      <c r="T2913" s="2">
        <v>0.2</v>
      </c>
      <c r="U2913" s="2">
        <v>108.77</v>
      </c>
      <c r="V2913" s="2">
        <v>62.37</v>
      </c>
      <c r="W2913" s="2">
        <v>19.66</v>
      </c>
      <c r="X2913" s="2">
        <v>33.72</v>
      </c>
      <c r="Y2913" s="2">
        <v>53.67</v>
      </c>
      <c r="Z2913" s="2">
        <v>50.85</v>
      </c>
    </row>
    <row r="2914" spans="1:26" x14ac:dyDescent="0.25">
      <c r="A2914" s="1" t="s">
        <v>11581</v>
      </c>
      <c r="B2914" s="1" t="s">
        <v>11582</v>
      </c>
      <c r="C2914" s="1" t="s">
        <v>16</v>
      </c>
      <c r="D2914" s="1" t="s">
        <v>18</v>
      </c>
      <c r="E2914" s="1" t="s">
        <v>336</v>
      </c>
      <c r="F2914" s="1" t="s">
        <v>11583</v>
      </c>
      <c r="G2914" s="1" t="s">
        <v>12480</v>
      </c>
      <c r="H2914" s="1" t="s">
        <v>12547</v>
      </c>
      <c r="I2914" s="2">
        <v>80.569999999999993</v>
      </c>
      <c r="J2914" s="2">
        <v>2.63</v>
      </c>
      <c r="K2914" s="2">
        <v>3.01</v>
      </c>
      <c r="L2914" s="2">
        <v>3.51</v>
      </c>
      <c r="M2914" s="4">
        <f t="shared" si="270"/>
        <v>26.767441860465116</v>
      </c>
      <c r="N2914" s="4">
        <f t="shared" si="271"/>
        <v>22.954415954415953</v>
      </c>
      <c r="O2914" s="5">
        <f t="shared" si="272"/>
        <v>0.14448669201520903</v>
      </c>
      <c r="P2914" s="5">
        <f t="shared" si="273"/>
        <v>0.16611295681063121</v>
      </c>
      <c r="Q2914" s="4">
        <f t="shared" si="274"/>
        <v>1.8525887392900868</v>
      </c>
      <c r="R2914" s="4">
        <f t="shared" si="275"/>
        <v>1.3818558404558408</v>
      </c>
      <c r="S2914" s="4">
        <v>16.329999999999998</v>
      </c>
      <c r="T2914" s="2">
        <v>1.3</v>
      </c>
      <c r="U2914" s="2">
        <v>93.16</v>
      </c>
      <c r="V2914" s="2">
        <v>65.08</v>
      </c>
      <c r="W2914" s="2">
        <v>-2.96</v>
      </c>
      <c r="X2914" s="2">
        <v>-4.63</v>
      </c>
      <c r="Y2914" s="2">
        <v>-0.71</v>
      </c>
      <c r="Z2914" s="2">
        <v>3.18</v>
      </c>
    </row>
    <row r="2915" spans="1:26" x14ac:dyDescent="0.25">
      <c r="A2915" s="1" t="s">
        <v>11584</v>
      </c>
      <c r="B2915" s="1" t="s">
        <v>11585</v>
      </c>
      <c r="C2915" s="1" t="s">
        <v>31</v>
      </c>
      <c r="D2915" s="1" t="s">
        <v>38</v>
      </c>
      <c r="E2915" s="1" t="s">
        <v>1806</v>
      </c>
      <c r="F2915" s="1" t="s">
        <v>11586</v>
      </c>
      <c r="G2915" s="1" t="s">
        <v>12480</v>
      </c>
      <c r="H2915" s="1" t="s">
        <v>11587</v>
      </c>
      <c r="I2915" s="2">
        <v>6.42</v>
      </c>
      <c r="J2915" s="2">
        <v>0.63</v>
      </c>
      <c r="K2915" s="2"/>
      <c r="L2915" s="2"/>
      <c r="M2915" s="4" t="e">
        <f t="shared" si="270"/>
        <v>#DIV/0!</v>
      </c>
      <c r="N2915" s="4" t="e">
        <f t="shared" si="271"/>
        <v>#DIV/0!</v>
      </c>
      <c r="O2915" s="5">
        <f t="shared" si="272"/>
        <v>-1</v>
      </c>
      <c r="P2915" s="5" t="e">
        <f t="shared" si="273"/>
        <v>#DIV/0!</v>
      </c>
      <c r="Q2915" s="4" t="e">
        <f t="shared" si="274"/>
        <v>#DIV/0!</v>
      </c>
      <c r="R2915" s="4" t="e">
        <f t="shared" si="275"/>
        <v>#DIV/0!</v>
      </c>
      <c r="S2915" s="4">
        <v>14.72</v>
      </c>
      <c r="T2915" s="2">
        <v>0.61</v>
      </c>
      <c r="U2915" s="2">
        <v>11.9</v>
      </c>
      <c r="V2915" s="2">
        <v>6.42</v>
      </c>
      <c r="W2915" s="2">
        <v>-6.96</v>
      </c>
      <c r="X2915" s="2">
        <v>-22.46</v>
      </c>
      <c r="Y2915" s="2">
        <v>-8.15</v>
      </c>
      <c r="Z2915" s="2">
        <v>-15.97</v>
      </c>
    </row>
    <row r="2916" spans="1:26" x14ac:dyDescent="0.25">
      <c r="A2916" s="1" t="s">
        <v>11588</v>
      </c>
      <c r="B2916" s="1" t="s">
        <v>11589</v>
      </c>
      <c r="C2916" s="1" t="s">
        <v>45</v>
      </c>
      <c r="D2916" s="1" t="s">
        <v>18</v>
      </c>
      <c r="E2916" s="1" t="s">
        <v>780</v>
      </c>
      <c r="F2916" s="1" t="s">
        <v>11590</v>
      </c>
      <c r="G2916" s="1" t="s">
        <v>12480</v>
      </c>
      <c r="H2916" s="1" t="s">
        <v>3145</v>
      </c>
      <c r="I2916" s="2">
        <v>529.16999999999996</v>
      </c>
      <c r="J2916" s="2">
        <v>27.86</v>
      </c>
      <c r="K2916" s="2">
        <v>27.38</v>
      </c>
      <c r="L2916" s="2">
        <v>32.26</v>
      </c>
      <c r="M2916" s="4">
        <f t="shared" si="270"/>
        <v>19.326880934989042</v>
      </c>
      <c r="N2916" s="4">
        <f t="shared" si="271"/>
        <v>16.40328580285183</v>
      </c>
      <c r="O2916" s="5">
        <f t="shared" si="272"/>
        <v>-1.7229002153625328E-2</v>
      </c>
      <c r="P2916" s="5">
        <f t="shared" si="273"/>
        <v>0.17823228634039445</v>
      </c>
      <c r="Q2916" s="4">
        <f t="shared" si="274"/>
        <v>-11.217643809349852</v>
      </c>
      <c r="R2916" s="4">
        <f t="shared" si="275"/>
        <v>0.92033189606984245</v>
      </c>
      <c r="S2916" s="4">
        <v>10.61</v>
      </c>
      <c r="T2916" s="2">
        <v>0.84</v>
      </c>
      <c r="U2916" s="2">
        <v>535.1</v>
      </c>
      <c r="V2916" s="2">
        <v>274.7</v>
      </c>
      <c r="W2916" s="2">
        <v>2.99</v>
      </c>
      <c r="X2916" s="2">
        <v>11.85</v>
      </c>
      <c r="Y2916" s="2">
        <v>5.77</v>
      </c>
      <c r="Z2916" s="2">
        <v>8.6</v>
      </c>
    </row>
    <row r="2917" spans="1:26" x14ac:dyDescent="0.25">
      <c r="A2917" s="1" t="s">
        <v>11591</v>
      </c>
      <c r="B2917" s="1" t="s">
        <v>11592</v>
      </c>
      <c r="C2917" s="1" t="s">
        <v>16</v>
      </c>
      <c r="D2917" s="1" t="s">
        <v>147</v>
      </c>
      <c r="E2917" s="1" t="s">
        <v>435</v>
      </c>
      <c r="F2917" s="1" t="s">
        <v>11593</v>
      </c>
      <c r="G2917" s="1" t="s">
        <v>12485</v>
      </c>
      <c r="H2917" s="1" t="s">
        <v>8618</v>
      </c>
      <c r="I2917" s="2">
        <v>35.17</v>
      </c>
      <c r="J2917" s="2">
        <v>1.1299999999999999</v>
      </c>
      <c r="K2917" s="2">
        <v>0.77</v>
      </c>
      <c r="L2917" s="2">
        <v>0.87</v>
      </c>
      <c r="M2917" s="4">
        <f t="shared" si="270"/>
        <v>45.675324675324674</v>
      </c>
      <c r="N2917" s="4">
        <f t="shared" si="271"/>
        <v>40.425287356321839</v>
      </c>
      <c r="O2917" s="5">
        <f t="shared" si="272"/>
        <v>-0.31858407079646012</v>
      </c>
      <c r="P2917" s="5">
        <f t="shared" si="273"/>
        <v>0.12987012987012991</v>
      </c>
      <c r="Q2917" s="4">
        <f t="shared" si="274"/>
        <v>-1.4336976911976915</v>
      </c>
      <c r="R2917" s="4">
        <f t="shared" si="275"/>
        <v>3.1127471264367803</v>
      </c>
      <c r="S2917" s="4">
        <v>14.05</v>
      </c>
      <c r="T2917" s="2">
        <v>1.31</v>
      </c>
      <c r="U2917" s="2">
        <v>37.5</v>
      </c>
      <c r="V2917" s="2">
        <v>21.77</v>
      </c>
      <c r="W2917" s="2">
        <v>-5.96</v>
      </c>
      <c r="X2917" s="2">
        <v>33.729999999999997</v>
      </c>
      <c r="Y2917" s="2">
        <v>34.96</v>
      </c>
      <c r="Z2917" s="2">
        <v>34.6</v>
      </c>
    </row>
    <row r="2918" spans="1:26" x14ac:dyDescent="0.25">
      <c r="A2918" s="1" t="s">
        <v>11594</v>
      </c>
      <c r="B2918" s="1" t="s">
        <v>11595</v>
      </c>
      <c r="C2918" s="1" t="s">
        <v>16</v>
      </c>
      <c r="D2918" s="1" t="s">
        <v>128</v>
      </c>
      <c r="E2918" s="1" t="s">
        <v>556</v>
      </c>
      <c r="F2918" s="1" t="s">
        <v>11596</v>
      </c>
      <c r="G2918" s="1" t="s">
        <v>12480</v>
      </c>
      <c r="H2918" s="1" t="s">
        <v>11597</v>
      </c>
      <c r="I2918" s="2">
        <v>8.2100000000000009</v>
      </c>
      <c r="J2918" s="2">
        <v>0.82</v>
      </c>
      <c r="K2918" s="2">
        <v>0.77</v>
      </c>
      <c r="L2918" s="2">
        <v>0.83</v>
      </c>
      <c r="M2918" s="4">
        <f t="shared" si="270"/>
        <v>10.662337662337663</v>
      </c>
      <c r="N2918" s="4">
        <f t="shared" si="271"/>
        <v>9.8915662650602432</v>
      </c>
      <c r="O2918" s="5">
        <f t="shared" si="272"/>
        <v>-6.0975609756097504E-2</v>
      </c>
      <c r="P2918" s="5">
        <f t="shared" si="273"/>
        <v>7.7922077922077948E-2</v>
      </c>
      <c r="Q2918" s="4">
        <f t="shared" si="274"/>
        <v>-1.7486233766233783</v>
      </c>
      <c r="R2918" s="4">
        <f t="shared" si="275"/>
        <v>1.2694176706827307</v>
      </c>
      <c r="S2918" s="4">
        <v>2.09</v>
      </c>
      <c r="T2918" s="2">
        <v>0.93</v>
      </c>
      <c r="U2918" s="2">
        <v>14.49</v>
      </c>
      <c r="V2918" s="2">
        <v>8.2100000000000009</v>
      </c>
      <c r="W2918" s="2">
        <v>-8.8800000000000008</v>
      </c>
      <c r="X2918" s="2">
        <v>-25.02</v>
      </c>
      <c r="Y2918" s="2">
        <v>-21.29</v>
      </c>
      <c r="Z2918" s="2">
        <v>-20.91</v>
      </c>
    </row>
    <row r="2919" spans="1:26" x14ac:dyDescent="0.25">
      <c r="A2919" s="1" t="s">
        <v>11598</v>
      </c>
      <c r="B2919" s="1" t="s">
        <v>11599</v>
      </c>
      <c r="C2919" s="1" t="s">
        <v>31</v>
      </c>
      <c r="D2919" s="1" t="s">
        <v>354</v>
      </c>
      <c r="E2919" s="1" t="s">
        <v>355</v>
      </c>
      <c r="F2919" s="1" t="s">
        <v>11600</v>
      </c>
      <c r="G2919" s="1" t="s">
        <v>12490</v>
      </c>
      <c r="H2919" s="1" t="s">
        <v>11601</v>
      </c>
      <c r="I2919" s="2">
        <v>35.53</v>
      </c>
      <c r="J2919" s="2">
        <v>1.24</v>
      </c>
      <c r="K2919" s="2">
        <v>2.73</v>
      </c>
      <c r="L2919" s="2">
        <v>3.1</v>
      </c>
      <c r="M2919" s="4">
        <f t="shared" si="270"/>
        <v>13.014652014652015</v>
      </c>
      <c r="N2919" s="4">
        <f t="shared" si="271"/>
        <v>11.461290322580645</v>
      </c>
      <c r="O2919" s="5">
        <f t="shared" si="272"/>
        <v>1.2016129032258065</v>
      </c>
      <c r="P2919" s="5">
        <f t="shared" si="273"/>
        <v>0.13553113553113549</v>
      </c>
      <c r="Q2919" s="4">
        <f t="shared" si="274"/>
        <v>0.10830985569240602</v>
      </c>
      <c r="R2919" s="4">
        <f t="shared" si="275"/>
        <v>0.84565736704446404</v>
      </c>
      <c r="S2919" s="4">
        <v>10.23</v>
      </c>
      <c r="T2919" s="2">
        <v>0.78</v>
      </c>
      <c r="U2919" s="2">
        <v>37.53</v>
      </c>
      <c r="V2919" s="2">
        <v>24.27</v>
      </c>
      <c r="W2919" s="2">
        <v>-4.76</v>
      </c>
      <c r="X2919" s="2">
        <v>3.54</v>
      </c>
      <c r="Y2919" s="2">
        <v>12.79</v>
      </c>
      <c r="Z2919" s="2">
        <v>10.41</v>
      </c>
    </row>
    <row r="2920" spans="1:26" x14ac:dyDescent="0.25">
      <c r="A2920" s="1" t="s">
        <v>11602</v>
      </c>
      <c r="B2920" s="1" t="s">
        <v>11603</v>
      </c>
      <c r="C2920" s="1" t="s">
        <v>1118</v>
      </c>
      <c r="D2920" s="1" t="s">
        <v>88</v>
      </c>
      <c r="E2920" s="1" t="s">
        <v>2402</v>
      </c>
      <c r="F2920" s="1" t="s">
        <v>11604</v>
      </c>
      <c r="G2920" s="1" t="s">
        <v>12480</v>
      </c>
      <c r="H2920" s="1" t="s">
        <v>11605</v>
      </c>
      <c r="I2920" s="2">
        <v>19.87</v>
      </c>
      <c r="J2920" s="2">
        <v>-0.38</v>
      </c>
      <c r="K2920" s="2">
        <v>-0.06</v>
      </c>
      <c r="L2920" s="2">
        <v>0.13</v>
      </c>
      <c r="M2920" s="4">
        <f t="shared" si="270"/>
        <v>-331.16666666666669</v>
      </c>
      <c r="N2920" s="4">
        <f t="shared" si="271"/>
        <v>152.84615384615384</v>
      </c>
      <c r="O2920" s="5">
        <f t="shared" si="272"/>
        <v>-0.84210526315789469</v>
      </c>
      <c r="P2920" s="5">
        <f t="shared" si="273"/>
        <v>-3.166666666666667</v>
      </c>
      <c r="Q2920" s="4">
        <f t="shared" si="274"/>
        <v>3.9326041666666671</v>
      </c>
      <c r="R2920" s="4">
        <f t="shared" si="275"/>
        <v>-0.48267206477732788</v>
      </c>
      <c r="S2920" s="4">
        <v>-15.61</v>
      </c>
      <c r="T2920" s="2">
        <v>1.42</v>
      </c>
      <c r="U2920" s="2">
        <v>27.72</v>
      </c>
      <c r="V2920" s="2">
        <v>3.44</v>
      </c>
      <c r="W2920" s="2">
        <v>-14.98</v>
      </c>
      <c r="X2920" s="2">
        <v>-13.98</v>
      </c>
      <c r="Y2920" s="2">
        <v>41.73</v>
      </c>
      <c r="Z2920" s="2">
        <v>36.659999999999997</v>
      </c>
    </row>
    <row r="2921" spans="1:26" x14ac:dyDescent="0.25">
      <c r="A2921" s="1" t="s">
        <v>11606</v>
      </c>
      <c r="B2921" s="1" t="s">
        <v>11607</v>
      </c>
      <c r="C2921" s="1" t="s">
        <v>16</v>
      </c>
      <c r="D2921" s="1" t="s">
        <v>128</v>
      </c>
      <c r="E2921" s="1" t="s">
        <v>2055</v>
      </c>
      <c r="F2921" s="1" t="s">
        <v>11608</v>
      </c>
      <c r="G2921" s="1" t="s">
        <v>12490</v>
      </c>
      <c r="H2921" s="1" t="s">
        <v>11609</v>
      </c>
      <c r="I2921" s="2">
        <v>52.55</v>
      </c>
      <c r="J2921" s="2">
        <v>4.63</v>
      </c>
      <c r="K2921" s="2">
        <v>4.17</v>
      </c>
      <c r="L2921" s="2">
        <v>4.4000000000000004</v>
      </c>
      <c r="M2921" s="4">
        <f t="shared" si="270"/>
        <v>12.601918465227817</v>
      </c>
      <c r="N2921" s="4">
        <f t="shared" si="271"/>
        <v>11.943181818181817</v>
      </c>
      <c r="O2921" s="5">
        <f t="shared" si="272"/>
        <v>-9.9352051835853161E-2</v>
      </c>
      <c r="P2921" s="5">
        <f t="shared" si="273"/>
        <v>5.5155875299760293E-2</v>
      </c>
      <c r="Q2921" s="4">
        <f t="shared" si="274"/>
        <v>-1.2684104890001038</v>
      </c>
      <c r="R2921" s="4">
        <f t="shared" si="275"/>
        <v>2.1653507905138296</v>
      </c>
      <c r="S2921" s="4">
        <v>7.23</v>
      </c>
      <c r="T2921" s="2">
        <v>0.66</v>
      </c>
      <c r="U2921" s="2">
        <v>65.39</v>
      </c>
      <c r="V2921" s="2">
        <v>50.32</v>
      </c>
      <c r="W2921" s="2">
        <v>-1.7</v>
      </c>
      <c r="X2921" s="2">
        <v>1.8</v>
      </c>
      <c r="Y2921" s="2">
        <v>-3.93</v>
      </c>
      <c r="Z2921" s="2">
        <v>-0.38</v>
      </c>
    </row>
    <row r="2922" spans="1:26" x14ac:dyDescent="0.25">
      <c r="A2922" s="1" t="s">
        <v>11610</v>
      </c>
      <c r="B2922" s="1" t="s">
        <v>11611</v>
      </c>
      <c r="C2922" s="1" t="s">
        <v>16</v>
      </c>
      <c r="D2922" s="1" t="s">
        <v>38</v>
      </c>
      <c r="E2922" s="1" t="s">
        <v>473</v>
      </c>
      <c r="F2922" s="1" t="s">
        <v>11612</v>
      </c>
      <c r="G2922" s="1" t="s">
        <v>12480</v>
      </c>
      <c r="H2922" s="1" t="s">
        <v>11613</v>
      </c>
      <c r="I2922" s="2">
        <v>3.89</v>
      </c>
      <c r="J2922" s="2" t="s">
        <v>12489</v>
      </c>
      <c r="K2922" s="2">
        <v>0.4</v>
      </c>
      <c r="L2922" s="2">
        <v>0.54</v>
      </c>
      <c r="M2922" s="4">
        <f t="shared" si="270"/>
        <v>9.7249999999999996</v>
      </c>
      <c r="N2922" s="4">
        <f t="shared" si="271"/>
        <v>7.2037037037037033</v>
      </c>
      <c r="O2922" s="5" t="e">
        <f t="shared" si="272"/>
        <v>#DIV/0!</v>
      </c>
      <c r="P2922" s="5">
        <f t="shared" si="273"/>
        <v>0.35000000000000009</v>
      </c>
      <c r="Q2922" s="4" t="e">
        <f t="shared" si="274"/>
        <v>#DIV/0!</v>
      </c>
      <c r="R2922" s="4">
        <f t="shared" si="275"/>
        <v>0.20582010582010576</v>
      </c>
      <c r="S2922" s="4">
        <v>46.07</v>
      </c>
      <c r="T2922" s="2">
        <v>1.9</v>
      </c>
      <c r="U2922" s="2">
        <v>6.91</v>
      </c>
      <c r="V2922" s="2">
        <v>3.86</v>
      </c>
      <c r="W2922" s="2">
        <v>-10.16</v>
      </c>
      <c r="X2922" s="2">
        <v>-15.98</v>
      </c>
      <c r="Y2922" s="2">
        <v>-26.19</v>
      </c>
      <c r="Z2922" s="2">
        <v>-11.19</v>
      </c>
    </row>
    <row r="2923" spans="1:26" x14ac:dyDescent="0.25">
      <c r="A2923" s="1" t="s">
        <v>11614</v>
      </c>
      <c r="B2923" s="1" t="s">
        <v>11615</v>
      </c>
      <c r="C2923" s="1" t="s">
        <v>16</v>
      </c>
      <c r="D2923" s="1" t="s">
        <v>140</v>
      </c>
      <c r="E2923" s="1" t="s">
        <v>1555</v>
      </c>
      <c r="F2923" s="1" t="s">
        <v>11616</v>
      </c>
      <c r="G2923" s="1" t="s">
        <v>12485</v>
      </c>
      <c r="H2923" s="1" t="s">
        <v>11617</v>
      </c>
      <c r="I2923" s="2">
        <v>315.97000000000003</v>
      </c>
      <c r="J2923" s="2">
        <v>11.47</v>
      </c>
      <c r="K2923" s="2">
        <v>12.84</v>
      </c>
      <c r="L2923" s="2">
        <v>14.55</v>
      </c>
      <c r="M2923" s="4">
        <f t="shared" si="270"/>
        <v>24.608255451713397</v>
      </c>
      <c r="N2923" s="4">
        <f t="shared" si="271"/>
        <v>21.716151202749142</v>
      </c>
      <c r="O2923" s="5">
        <f t="shared" si="272"/>
        <v>0.119442022667829</v>
      </c>
      <c r="P2923" s="5">
        <f t="shared" si="273"/>
        <v>0.1331775700934581</v>
      </c>
      <c r="Q2923" s="4">
        <f t="shared" si="274"/>
        <v>2.0602678104463723</v>
      </c>
      <c r="R2923" s="4">
        <f t="shared" si="275"/>
        <v>1.6306162657502845</v>
      </c>
      <c r="S2923" s="4">
        <v>11.34</v>
      </c>
      <c r="T2923" s="2">
        <v>0.78</v>
      </c>
      <c r="U2923" s="2">
        <v>373.31</v>
      </c>
      <c r="V2923" s="2">
        <v>306.52</v>
      </c>
      <c r="W2923" s="2">
        <v>-1.42</v>
      </c>
      <c r="X2923" s="2">
        <v>-2.95</v>
      </c>
      <c r="Y2923" s="2">
        <v>-8.91</v>
      </c>
      <c r="Z2923" s="2">
        <v>-9.91</v>
      </c>
    </row>
    <row r="2924" spans="1:26" x14ac:dyDescent="0.25">
      <c r="A2924" s="1" t="s">
        <v>11618</v>
      </c>
      <c r="B2924" s="1" t="s">
        <v>11619</v>
      </c>
      <c r="C2924" s="1" t="s">
        <v>16</v>
      </c>
      <c r="D2924" s="1" t="s">
        <v>147</v>
      </c>
      <c r="E2924" s="1" t="s">
        <v>148</v>
      </c>
      <c r="F2924" s="1" t="s">
        <v>11620</v>
      </c>
      <c r="G2924" s="1" t="s">
        <v>12480</v>
      </c>
      <c r="H2924" s="1" t="s">
        <v>3736</v>
      </c>
      <c r="I2924" s="2">
        <v>68.72</v>
      </c>
      <c r="J2924" s="2">
        <v>7.16</v>
      </c>
      <c r="K2924" s="2">
        <v>6.68</v>
      </c>
      <c r="L2924" s="2">
        <v>7.39</v>
      </c>
      <c r="M2924" s="4">
        <f t="shared" si="270"/>
        <v>10.287425149700599</v>
      </c>
      <c r="N2924" s="4">
        <f t="shared" si="271"/>
        <v>9.2990527740189446</v>
      </c>
      <c r="O2924" s="5">
        <f t="shared" si="272"/>
        <v>-6.7039106145251437E-2</v>
      </c>
      <c r="P2924" s="5">
        <f t="shared" si="273"/>
        <v>0.10628742514970058</v>
      </c>
      <c r="Q2924" s="4">
        <f t="shared" si="274"/>
        <v>-1.5345409181636718</v>
      </c>
      <c r="R2924" s="4">
        <f t="shared" si="275"/>
        <v>0.87489679620347283</v>
      </c>
      <c r="S2924" s="4">
        <v>1.31</v>
      </c>
      <c r="T2924" s="2">
        <v>1.24</v>
      </c>
      <c r="U2924" s="2">
        <v>84.85</v>
      </c>
      <c r="V2924" s="2">
        <v>45.49</v>
      </c>
      <c r="W2924" s="2" t="s">
        <v>12487</v>
      </c>
      <c r="X2924" s="2">
        <v>25.29</v>
      </c>
      <c r="Y2924" s="2">
        <v>18.75</v>
      </c>
      <c r="Z2924" s="2">
        <v>19.12</v>
      </c>
    </row>
    <row r="2925" spans="1:26" x14ac:dyDescent="0.25">
      <c r="A2925" s="1" t="s">
        <v>11621</v>
      </c>
      <c r="B2925" s="1" t="s">
        <v>11622</v>
      </c>
      <c r="C2925" s="1" t="s">
        <v>31</v>
      </c>
      <c r="D2925" s="1" t="s">
        <v>25</v>
      </c>
      <c r="E2925" s="1" t="s">
        <v>220</v>
      </c>
      <c r="F2925" s="1" t="s">
        <v>12811</v>
      </c>
      <c r="G2925" s="1" t="s">
        <v>12480</v>
      </c>
      <c r="H2925" s="1" t="s">
        <v>12812</v>
      </c>
      <c r="I2925" s="2">
        <v>66.180000000000007</v>
      </c>
      <c r="J2925" s="2"/>
      <c r="K2925" s="2"/>
      <c r="L2925" s="2"/>
      <c r="M2925" s="4" t="e">
        <f t="shared" si="270"/>
        <v>#DIV/0!</v>
      </c>
      <c r="N2925" s="4" t="e">
        <f t="shared" si="271"/>
        <v>#DIV/0!</v>
      </c>
      <c r="O2925" s="5" t="e">
        <f t="shared" si="272"/>
        <v>#DIV/0!</v>
      </c>
      <c r="P2925" s="5" t="e">
        <f t="shared" si="273"/>
        <v>#DIV/0!</v>
      </c>
      <c r="Q2925" s="4" t="e">
        <f t="shared" si="274"/>
        <v>#DIV/0!</v>
      </c>
      <c r="R2925" s="4" t="e">
        <f t="shared" si="275"/>
        <v>#DIV/0!</v>
      </c>
      <c r="S2925" s="4"/>
      <c r="T2925" s="2"/>
      <c r="U2925" s="2">
        <v>70.86</v>
      </c>
      <c r="V2925" s="2">
        <v>32.29</v>
      </c>
      <c r="W2925" s="2">
        <v>-4.0199999999999996</v>
      </c>
      <c r="X2925" s="2">
        <v>1.74</v>
      </c>
      <c r="Y2925" s="2">
        <v>35.28</v>
      </c>
      <c r="Z2925" s="2">
        <v>36.229999999999997</v>
      </c>
    </row>
    <row r="2926" spans="1:26" x14ac:dyDescent="0.25">
      <c r="A2926" s="1" t="s">
        <v>11623</v>
      </c>
      <c r="B2926" s="1" t="s">
        <v>11624</v>
      </c>
      <c r="C2926" s="1" t="s">
        <v>16</v>
      </c>
      <c r="D2926" s="1" t="s">
        <v>94</v>
      </c>
      <c r="E2926" s="1" t="s">
        <v>1925</v>
      </c>
      <c r="F2926" s="1" t="s">
        <v>11625</v>
      </c>
      <c r="G2926" s="1" t="s">
        <v>12480</v>
      </c>
      <c r="H2926" s="1" t="s">
        <v>4397</v>
      </c>
      <c r="I2926" s="2">
        <v>90.81</v>
      </c>
      <c r="J2926" s="2">
        <v>4.5199999999999996</v>
      </c>
      <c r="K2926" s="2">
        <v>3.59</v>
      </c>
      <c r="L2926" s="2">
        <v>6.27</v>
      </c>
      <c r="M2926" s="4">
        <f t="shared" si="270"/>
        <v>25.295264623955433</v>
      </c>
      <c r="N2926" s="4">
        <f t="shared" si="271"/>
        <v>14.483253588516748</v>
      </c>
      <c r="O2926" s="5">
        <f t="shared" si="272"/>
        <v>-0.20575221238938046</v>
      </c>
      <c r="P2926" s="5">
        <f t="shared" si="273"/>
        <v>0.74651810584958223</v>
      </c>
      <c r="Q2926" s="4">
        <f t="shared" si="274"/>
        <v>-1.2294042591427807</v>
      </c>
      <c r="R2926" s="4">
        <f t="shared" si="275"/>
        <v>0.19401074769692209</v>
      </c>
      <c r="S2926" s="4">
        <v>0.27</v>
      </c>
      <c r="T2926" s="2">
        <v>1.07</v>
      </c>
      <c r="U2926" s="2">
        <v>95.96</v>
      </c>
      <c r="V2926" s="2">
        <v>28.94</v>
      </c>
      <c r="W2926" s="2">
        <v>-1.93</v>
      </c>
      <c r="X2926" s="2">
        <v>8.34</v>
      </c>
      <c r="Y2926" s="2">
        <v>68.45</v>
      </c>
      <c r="Z2926" s="2">
        <v>80.180000000000007</v>
      </c>
    </row>
    <row r="2927" spans="1:26" x14ac:dyDescent="0.25">
      <c r="A2927" s="1" t="s">
        <v>11626</v>
      </c>
      <c r="B2927" s="1" t="s">
        <v>11627</v>
      </c>
      <c r="C2927" s="1" t="s">
        <v>45</v>
      </c>
      <c r="D2927" s="1" t="s">
        <v>305</v>
      </c>
      <c r="E2927" s="1" t="s">
        <v>306</v>
      </c>
      <c r="F2927" s="1" t="s">
        <v>11628</v>
      </c>
      <c r="G2927" s="1" t="s">
        <v>12480</v>
      </c>
      <c r="H2927" s="1" t="s">
        <v>11629</v>
      </c>
      <c r="I2927" s="2">
        <v>91.82</v>
      </c>
      <c r="J2927" s="2">
        <v>7.75</v>
      </c>
      <c r="K2927" s="2">
        <v>8.73</v>
      </c>
      <c r="L2927" s="2">
        <v>9.5399999999999991</v>
      </c>
      <c r="M2927" s="4">
        <f t="shared" si="270"/>
        <v>10.51775486827033</v>
      </c>
      <c r="N2927" s="4">
        <f t="shared" si="271"/>
        <v>9.6247379454926634</v>
      </c>
      <c r="O2927" s="5">
        <f t="shared" si="272"/>
        <v>0.12645161290322582</v>
      </c>
      <c r="P2927" s="5">
        <f t="shared" si="273"/>
        <v>9.2783505154639068E-2</v>
      </c>
      <c r="Q2927" s="4">
        <f t="shared" si="274"/>
        <v>0.83176122682750053</v>
      </c>
      <c r="R2927" s="4">
        <f t="shared" si="275"/>
        <v>1.0373328674586551</v>
      </c>
      <c r="S2927" s="4">
        <v>-2.5299999999999998</v>
      </c>
      <c r="T2927" s="2">
        <v>1.1499999999999999</v>
      </c>
      <c r="U2927" s="2">
        <v>128.76</v>
      </c>
      <c r="V2927" s="2">
        <v>67.040000000000006</v>
      </c>
      <c r="W2927" s="2">
        <v>-3.8</v>
      </c>
      <c r="X2927" s="2">
        <v>-7.31</v>
      </c>
      <c r="Y2927" s="2">
        <v>-10.55</v>
      </c>
      <c r="Z2927" s="2">
        <v>-3.45</v>
      </c>
    </row>
    <row r="2928" spans="1:26" x14ac:dyDescent="0.25">
      <c r="A2928" s="1" t="s">
        <v>11630</v>
      </c>
      <c r="B2928" s="1" t="s">
        <v>11631</v>
      </c>
      <c r="C2928" s="1" t="s">
        <v>45</v>
      </c>
      <c r="D2928" s="1" t="s">
        <v>18</v>
      </c>
      <c r="E2928" s="1" t="s">
        <v>74</v>
      </c>
      <c r="F2928" s="1" t="s">
        <v>11632</v>
      </c>
      <c r="G2928" s="1" t="s">
        <v>12480</v>
      </c>
      <c r="H2928" s="1" t="s">
        <v>590</v>
      </c>
      <c r="I2928" s="2">
        <v>34.119999999999997</v>
      </c>
      <c r="J2928" s="2">
        <v>0.32</v>
      </c>
      <c r="K2928" s="2">
        <v>0.45</v>
      </c>
      <c r="L2928" s="2">
        <v>0.76</v>
      </c>
      <c r="M2928" s="4">
        <f t="shared" si="270"/>
        <v>75.822222222222209</v>
      </c>
      <c r="N2928" s="4">
        <f t="shared" si="271"/>
        <v>44.89473684210526</v>
      </c>
      <c r="O2928" s="5">
        <f t="shared" si="272"/>
        <v>0.40625</v>
      </c>
      <c r="P2928" s="5">
        <f t="shared" si="273"/>
        <v>0.68888888888888888</v>
      </c>
      <c r="Q2928" s="4">
        <f t="shared" si="274"/>
        <v>1.866393162393162</v>
      </c>
      <c r="R2928" s="4">
        <f t="shared" si="275"/>
        <v>0.65169779286926999</v>
      </c>
      <c r="S2928" s="4">
        <v>16.45</v>
      </c>
      <c r="T2928" s="2">
        <v>1.22</v>
      </c>
      <c r="U2928" s="2">
        <v>49.56</v>
      </c>
      <c r="V2928" s="2">
        <v>29.84</v>
      </c>
      <c r="W2928" s="2">
        <v>-3.51</v>
      </c>
      <c r="X2928" s="2">
        <v>-3.72</v>
      </c>
      <c r="Y2928" s="2">
        <v>-6.49</v>
      </c>
      <c r="Z2928" s="2">
        <v>-5.25</v>
      </c>
    </row>
    <row r="2929" spans="1:26" x14ac:dyDescent="0.25">
      <c r="A2929" s="1" t="s">
        <v>11633</v>
      </c>
      <c r="B2929" s="1" t="s">
        <v>11634</v>
      </c>
      <c r="C2929" s="1" t="s">
        <v>31</v>
      </c>
      <c r="D2929" s="1" t="s">
        <v>61</v>
      </c>
      <c r="E2929" s="1" t="s">
        <v>3884</v>
      </c>
      <c r="F2929" s="1" t="s">
        <v>11635</v>
      </c>
      <c r="G2929" s="1" t="s">
        <v>12480</v>
      </c>
      <c r="H2929" s="1" t="s">
        <v>11636</v>
      </c>
      <c r="I2929" s="2">
        <v>37.75</v>
      </c>
      <c r="J2929" s="2">
        <v>2.67</v>
      </c>
      <c r="K2929" s="2">
        <v>2.68</v>
      </c>
      <c r="L2929" s="2">
        <v>2.95</v>
      </c>
      <c r="M2929" s="4">
        <f t="shared" si="270"/>
        <v>14.085820895522387</v>
      </c>
      <c r="N2929" s="4">
        <f t="shared" si="271"/>
        <v>12.796610169491524</v>
      </c>
      <c r="O2929" s="5">
        <f t="shared" si="272"/>
        <v>3.7453183520599342E-3</v>
      </c>
      <c r="P2929" s="5">
        <f t="shared" si="273"/>
        <v>0.10074626865671643</v>
      </c>
      <c r="Q2929" s="4">
        <f t="shared" si="274"/>
        <v>37.609141791044678</v>
      </c>
      <c r="R2929" s="4">
        <f t="shared" si="275"/>
        <v>1.2701820464532325</v>
      </c>
      <c r="S2929" s="4">
        <v>8.7200000000000006</v>
      </c>
      <c r="T2929" s="2">
        <v>0.61</v>
      </c>
      <c r="U2929" s="2">
        <v>42.03</v>
      </c>
      <c r="V2929" s="2">
        <v>29.45</v>
      </c>
      <c r="W2929" s="2">
        <v>-6.91</v>
      </c>
      <c r="X2929" s="2">
        <v>-4.8600000000000003</v>
      </c>
      <c r="Y2929" s="2">
        <v>7.06</v>
      </c>
      <c r="Z2929" s="2">
        <v>7.24</v>
      </c>
    </row>
    <row r="2930" spans="1:26" x14ac:dyDescent="0.25">
      <c r="A2930" s="1" t="s">
        <v>11637</v>
      </c>
      <c r="B2930" s="1" t="s">
        <v>11638</v>
      </c>
      <c r="C2930" s="1" t="s">
        <v>45</v>
      </c>
      <c r="D2930" s="1" t="s">
        <v>38</v>
      </c>
      <c r="E2930" s="1" t="s">
        <v>101</v>
      </c>
      <c r="F2930" s="1" t="s">
        <v>11639</v>
      </c>
      <c r="G2930" s="1" t="s">
        <v>12480</v>
      </c>
      <c r="H2930" s="1" t="s">
        <v>11640</v>
      </c>
      <c r="I2930" s="2">
        <v>68.569999999999993</v>
      </c>
      <c r="J2930" s="2">
        <v>6.38</v>
      </c>
      <c r="K2930" s="2">
        <v>6.87</v>
      </c>
      <c r="L2930" s="2">
        <v>7.53</v>
      </c>
      <c r="M2930" s="4">
        <f t="shared" si="270"/>
        <v>9.9810771470160109</v>
      </c>
      <c r="N2930" s="4">
        <f t="shared" si="271"/>
        <v>9.106241699867196</v>
      </c>
      <c r="O2930" s="5">
        <f t="shared" si="272"/>
        <v>7.6802507836990719E-2</v>
      </c>
      <c r="P2930" s="5">
        <f t="shared" si="273"/>
        <v>9.606986899563319E-2</v>
      </c>
      <c r="Q2930" s="4">
        <f t="shared" si="274"/>
        <v>1.2995769836318785</v>
      </c>
      <c r="R2930" s="4">
        <f t="shared" si="275"/>
        <v>0.9478769769407217</v>
      </c>
      <c r="S2930" s="4">
        <v>46.19</v>
      </c>
      <c r="T2930" s="2">
        <v>1.04</v>
      </c>
      <c r="U2930" s="2">
        <v>77.27</v>
      </c>
      <c r="V2930" s="2">
        <v>51.28</v>
      </c>
      <c r="W2930" s="2">
        <v>-0.62</v>
      </c>
      <c r="X2930" s="2">
        <v>-7.65</v>
      </c>
      <c r="Y2930" s="2">
        <v>6.66</v>
      </c>
      <c r="Z2930" s="2">
        <v>8.69</v>
      </c>
    </row>
    <row r="2931" spans="1:26" x14ac:dyDescent="0.25">
      <c r="A2931" s="1" t="s">
        <v>11641</v>
      </c>
      <c r="B2931" s="1" t="s">
        <v>11642</v>
      </c>
      <c r="C2931" s="1" t="s">
        <v>45</v>
      </c>
      <c r="D2931" s="1" t="s">
        <v>18</v>
      </c>
      <c r="E2931" s="1" t="s">
        <v>594</v>
      </c>
      <c r="F2931" s="1" t="s">
        <v>11643</v>
      </c>
      <c r="G2931" s="1" t="s">
        <v>12480</v>
      </c>
      <c r="H2931" s="1" t="s">
        <v>11644</v>
      </c>
      <c r="I2931" s="2">
        <v>33.369999999999997</v>
      </c>
      <c r="J2931" s="2">
        <v>1.78</v>
      </c>
      <c r="K2931" s="2">
        <v>1.66</v>
      </c>
      <c r="L2931" s="2">
        <v>1.84</v>
      </c>
      <c r="M2931" s="4">
        <f t="shared" si="270"/>
        <v>20.102409638554217</v>
      </c>
      <c r="N2931" s="4">
        <f t="shared" si="271"/>
        <v>18.135869565217391</v>
      </c>
      <c r="O2931" s="5">
        <f t="shared" si="272"/>
        <v>-6.7415730337078705E-2</v>
      </c>
      <c r="P2931" s="5">
        <f t="shared" si="273"/>
        <v>0.10843373493975905</v>
      </c>
      <c r="Q2931" s="4">
        <f t="shared" si="274"/>
        <v>-2.9818574297188731</v>
      </c>
      <c r="R2931" s="4">
        <f t="shared" si="275"/>
        <v>1.6725301932367147</v>
      </c>
      <c r="S2931" s="4">
        <v>16.010000000000002</v>
      </c>
      <c r="T2931" s="2">
        <v>1.91</v>
      </c>
      <c r="U2931" s="2">
        <v>49.38</v>
      </c>
      <c r="V2931" s="2">
        <v>23.03</v>
      </c>
      <c r="W2931" s="2">
        <v>-7.33</v>
      </c>
      <c r="X2931" s="2">
        <v>-9.15</v>
      </c>
      <c r="Y2931" s="2">
        <v>-23.34</v>
      </c>
      <c r="Z2931" s="2">
        <v>-20.74</v>
      </c>
    </row>
    <row r="2932" spans="1:26" x14ac:dyDescent="0.25">
      <c r="A2932" s="1" t="s">
        <v>11645</v>
      </c>
      <c r="B2932" s="1" t="s">
        <v>11646</v>
      </c>
      <c r="C2932" s="1" t="s">
        <v>45</v>
      </c>
      <c r="D2932" s="1" t="s">
        <v>32</v>
      </c>
      <c r="E2932" s="1" t="s">
        <v>226</v>
      </c>
      <c r="F2932" s="1" t="s">
        <v>11647</v>
      </c>
      <c r="G2932" s="1" t="s">
        <v>12480</v>
      </c>
      <c r="H2932" s="1" t="s">
        <v>11648</v>
      </c>
      <c r="I2932" s="2">
        <v>30.79</v>
      </c>
      <c r="J2932" s="2">
        <v>1.33</v>
      </c>
      <c r="K2932" s="2">
        <v>1.68</v>
      </c>
      <c r="L2932" s="2">
        <v>1.8</v>
      </c>
      <c r="M2932" s="4">
        <f t="shared" si="270"/>
        <v>18.327380952380953</v>
      </c>
      <c r="N2932" s="4">
        <f t="shared" si="271"/>
        <v>17.105555555555554</v>
      </c>
      <c r="O2932" s="5">
        <f t="shared" si="272"/>
        <v>0.26315789473684204</v>
      </c>
      <c r="P2932" s="5">
        <f t="shared" si="273"/>
        <v>7.1428571428571397E-2</v>
      </c>
      <c r="Q2932" s="4">
        <f t="shared" si="274"/>
        <v>0.69644047619047633</v>
      </c>
      <c r="R2932" s="4">
        <f t="shared" si="275"/>
        <v>2.3947777777777786</v>
      </c>
      <c r="S2932" s="4">
        <v>-7.39</v>
      </c>
      <c r="T2932" s="2">
        <v>1.17</v>
      </c>
      <c r="U2932" s="2">
        <v>34.35</v>
      </c>
      <c r="V2932" s="2">
        <v>17.350000000000001</v>
      </c>
      <c r="W2932" s="2">
        <v>-5.78</v>
      </c>
      <c r="X2932" s="2">
        <v>0.92</v>
      </c>
      <c r="Y2932" s="2">
        <v>0.1</v>
      </c>
      <c r="Z2932" s="2">
        <v>7.73</v>
      </c>
    </row>
    <row r="2933" spans="1:26" x14ac:dyDescent="0.25">
      <c r="A2933" s="1" t="s">
        <v>11649</v>
      </c>
      <c r="B2933" s="1" t="s">
        <v>11650</v>
      </c>
      <c r="C2933" s="1" t="s">
        <v>16</v>
      </c>
      <c r="D2933" s="1" t="s">
        <v>18</v>
      </c>
      <c r="E2933" s="1" t="s">
        <v>1385</v>
      </c>
      <c r="F2933" s="1" t="s">
        <v>11651</v>
      </c>
      <c r="G2933" s="1" t="s">
        <v>12493</v>
      </c>
      <c r="H2933" s="1" t="s">
        <v>11652</v>
      </c>
      <c r="I2933" s="2">
        <v>195.57</v>
      </c>
      <c r="J2933" s="2">
        <v>8.1</v>
      </c>
      <c r="K2933" s="2">
        <v>8.51</v>
      </c>
      <c r="L2933" s="2">
        <v>9.36</v>
      </c>
      <c r="M2933" s="4">
        <f t="shared" si="270"/>
        <v>22.981198589894241</v>
      </c>
      <c r="N2933" s="4">
        <f t="shared" si="271"/>
        <v>20.89423076923077</v>
      </c>
      <c r="O2933" s="5">
        <f t="shared" si="272"/>
        <v>5.0617283950617376E-2</v>
      </c>
      <c r="P2933" s="5">
        <f t="shared" si="273"/>
        <v>9.9882491186839006E-2</v>
      </c>
      <c r="Q2933" s="4">
        <f t="shared" si="274"/>
        <v>4.5401880141010489</v>
      </c>
      <c r="R2933" s="4">
        <f t="shared" si="275"/>
        <v>2.0918812217194573</v>
      </c>
      <c r="S2933" s="4">
        <v>16.34</v>
      </c>
      <c r="T2933" s="2">
        <v>1.0900000000000001</v>
      </c>
      <c r="U2933" s="2">
        <v>306.22000000000003</v>
      </c>
      <c r="V2933" s="2">
        <v>171.99</v>
      </c>
      <c r="W2933" s="2">
        <v>7.78</v>
      </c>
      <c r="X2933" s="2">
        <v>5.94</v>
      </c>
      <c r="Y2933" s="2">
        <v>-11.15</v>
      </c>
      <c r="Z2933" s="2">
        <v>-12.39</v>
      </c>
    </row>
    <row r="2934" spans="1:26" x14ac:dyDescent="0.25">
      <c r="A2934" s="1" t="s">
        <v>11653</v>
      </c>
      <c r="B2934" s="1" t="s">
        <v>11653</v>
      </c>
      <c r="C2934" s="1" t="s">
        <v>45</v>
      </c>
      <c r="D2934" s="1" t="s">
        <v>354</v>
      </c>
      <c r="E2934" s="1" t="s">
        <v>1537</v>
      </c>
      <c r="F2934" s="1" t="s">
        <v>11654</v>
      </c>
      <c r="G2934" s="1" t="s">
        <v>12480</v>
      </c>
      <c r="H2934" s="1" t="s">
        <v>12813</v>
      </c>
      <c r="I2934" s="2">
        <v>53.05</v>
      </c>
      <c r="J2934" s="2">
        <v>5.73</v>
      </c>
      <c r="K2934" s="2">
        <v>7.18</v>
      </c>
      <c r="L2934" s="2">
        <v>7.51</v>
      </c>
      <c r="M2934" s="4">
        <f t="shared" si="270"/>
        <v>7.3885793871866294</v>
      </c>
      <c r="N2934" s="4">
        <f t="shared" si="271"/>
        <v>7.0639147802929427</v>
      </c>
      <c r="O2934" s="5">
        <f t="shared" si="272"/>
        <v>0.25305410122164029</v>
      </c>
      <c r="P2934" s="5">
        <f t="shared" si="273"/>
        <v>4.5961002785515293E-2</v>
      </c>
      <c r="Q2934" s="4">
        <f t="shared" si="274"/>
        <v>0.29197627509365115</v>
      </c>
      <c r="R2934" s="4">
        <f t="shared" si="275"/>
        <v>1.536936609772829</v>
      </c>
      <c r="S2934" s="4">
        <v>8.27</v>
      </c>
      <c r="T2934" s="2">
        <v>1.59</v>
      </c>
      <c r="U2934" s="2">
        <v>62.72</v>
      </c>
      <c r="V2934" s="2" t="s">
        <v>12787</v>
      </c>
      <c r="W2934" s="2">
        <v>-5.34</v>
      </c>
      <c r="X2934" s="2">
        <v>-1.03</v>
      </c>
      <c r="Y2934" s="2">
        <v>1.36</v>
      </c>
      <c r="Z2934" s="2">
        <v>0.91</v>
      </c>
    </row>
    <row r="2935" spans="1:26" x14ac:dyDescent="0.25">
      <c r="A2935" s="1" t="s">
        <v>11655</v>
      </c>
      <c r="B2935" s="1" t="s">
        <v>11656</v>
      </c>
      <c r="C2935" s="1" t="s">
        <v>45</v>
      </c>
      <c r="D2935" s="1" t="s">
        <v>18</v>
      </c>
      <c r="E2935" s="1" t="s">
        <v>74</v>
      </c>
      <c r="F2935" s="1" t="s">
        <v>11657</v>
      </c>
      <c r="G2935" s="1" t="s">
        <v>12480</v>
      </c>
      <c r="H2935" s="1" t="s">
        <v>11658</v>
      </c>
      <c r="I2935" s="2">
        <v>38.97</v>
      </c>
      <c r="J2935" s="2">
        <v>-4.66</v>
      </c>
      <c r="K2935" s="2">
        <v>-5.33</v>
      </c>
      <c r="L2935" s="2">
        <v>-3.23</v>
      </c>
      <c r="M2935" s="4">
        <f t="shared" si="270"/>
        <v>-7.311444652908067</v>
      </c>
      <c r="N2935" s="4">
        <f t="shared" si="271"/>
        <v>-12.065015479876161</v>
      </c>
      <c r="O2935" s="5">
        <f t="shared" si="272"/>
        <v>0.14377682403433467</v>
      </c>
      <c r="P2935" s="5">
        <f t="shared" si="273"/>
        <v>-0.39399624765478425</v>
      </c>
      <c r="Q2935" s="4">
        <f t="shared" si="274"/>
        <v>-0.5085273445156957</v>
      </c>
      <c r="R2935" s="4">
        <f t="shared" si="275"/>
        <v>0.30622158337019018</v>
      </c>
      <c r="S2935" s="4"/>
      <c r="T2935" s="2">
        <v>1.17</v>
      </c>
      <c r="U2935" s="2">
        <v>55.67</v>
      </c>
      <c r="V2935" s="2">
        <v>18.86</v>
      </c>
      <c r="W2935" s="2">
        <v>-3.59</v>
      </c>
      <c r="X2935" s="2">
        <v>-11.13</v>
      </c>
      <c r="Y2935" s="2">
        <v>-20.81</v>
      </c>
      <c r="Z2935" s="2">
        <v>-23.05</v>
      </c>
    </row>
    <row r="2936" spans="1:26" x14ac:dyDescent="0.25">
      <c r="A2936" s="1" t="s">
        <v>11659</v>
      </c>
      <c r="B2936" s="1" t="s">
        <v>11660</v>
      </c>
      <c r="C2936" s="1" t="s">
        <v>45</v>
      </c>
      <c r="D2936" s="1" t="s">
        <v>32</v>
      </c>
      <c r="E2936" s="1" t="s">
        <v>311</v>
      </c>
      <c r="F2936" s="1" t="s">
        <v>11661</v>
      </c>
      <c r="G2936" s="1" t="s">
        <v>12480</v>
      </c>
      <c r="H2936" s="1" t="s">
        <v>11662</v>
      </c>
      <c r="I2936" s="2">
        <v>14.94</v>
      </c>
      <c r="J2936" s="2">
        <v>0.64</v>
      </c>
      <c r="K2936" s="2">
        <v>0.72</v>
      </c>
      <c r="L2936" s="2">
        <v>0.87</v>
      </c>
      <c r="M2936" s="4">
        <f t="shared" si="270"/>
        <v>20.75</v>
      </c>
      <c r="N2936" s="4">
        <f t="shared" si="271"/>
        <v>17.172413793103448</v>
      </c>
      <c r="O2936" s="5">
        <f t="shared" si="272"/>
        <v>0.125</v>
      </c>
      <c r="P2936" s="5">
        <f t="shared" si="273"/>
        <v>0.20833333333333348</v>
      </c>
      <c r="Q2936" s="4">
        <f t="shared" si="274"/>
        <v>1.66</v>
      </c>
      <c r="R2936" s="4">
        <f t="shared" si="275"/>
        <v>0.82427586206896486</v>
      </c>
      <c r="S2936" s="4">
        <v>12.25</v>
      </c>
      <c r="T2936" s="2">
        <v>0.63</v>
      </c>
      <c r="U2936" s="2">
        <v>41.87</v>
      </c>
      <c r="V2936" s="2">
        <v>12.03</v>
      </c>
      <c r="W2936" s="2">
        <v>3.75</v>
      </c>
      <c r="X2936" s="2">
        <v>-2.1</v>
      </c>
      <c r="Y2936" s="2">
        <v>-23.23</v>
      </c>
      <c r="Z2936" s="2">
        <v>-25.19</v>
      </c>
    </row>
    <row r="2937" spans="1:26" x14ac:dyDescent="0.25">
      <c r="A2937" s="1" t="s">
        <v>11663</v>
      </c>
      <c r="B2937" s="1" t="s">
        <v>11664</v>
      </c>
      <c r="C2937" s="1" t="s">
        <v>16</v>
      </c>
      <c r="D2937" s="1" t="s">
        <v>94</v>
      </c>
      <c r="E2937" s="1" t="s">
        <v>1542</v>
      </c>
      <c r="F2937" s="1" t="s">
        <v>11665</v>
      </c>
      <c r="G2937" s="1" t="s">
        <v>12480</v>
      </c>
      <c r="H2937" s="1" t="s">
        <v>11666</v>
      </c>
      <c r="I2937" s="2">
        <v>11.41</v>
      </c>
      <c r="J2937" s="2">
        <v>-0.38</v>
      </c>
      <c r="K2937" s="2">
        <v>0.64</v>
      </c>
      <c r="L2937" s="2">
        <v>0.66</v>
      </c>
      <c r="M2937" s="4">
        <f t="shared" si="270"/>
        <v>17.828125</v>
      </c>
      <c r="N2937" s="4">
        <f t="shared" si="271"/>
        <v>17.287878787878789</v>
      </c>
      <c r="O2937" s="5">
        <f t="shared" si="272"/>
        <v>-2.6842105263157894</v>
      </c>
      <c r="P2937" s="5">
        <f t="shared" si="273"/>
        <v>3.125E-2</v>
      </c>
      <c r="Q2937" s="4">
        <f t="shared" si="274"/>
        <v>-6.6418504901960787E-2</v>
      </c>
      <c r="R2937" s="4">
        <f t="shared" si="275"/>
        <v>5.5321212121212122</v>
      </c>
      <c r="S2937" s="4">
        <v>-9.9</v>
      </c>
      <c r="T2937" s="2">
        <v>0.61</v>
      </c>
      <c r="U2937" s="2">
        <v>11.55</v>
      </c>
      <c r="V2937" s="2">
        <v>5.43</v>
      </c>
      <c r="W2937" s="2">
        <v>0.44</v>
      </c>
      <c r="X2937" s="2">
        <v>9.7100000000000009</v>
      </c>
      <c r="Y2937" s="2">
        <v>35.35</v>
      </c>
      <c r="Z2937" s="2">
        <v>36.81</v>
      </c>
    </row>
    <row r="2938" spans="1:26" x14ac:dyDescent="0.25">
      <c r="A2938" s="1" t="s">
        <v>11667</v>
      </c>
      <c r="B2938" s="1" t="s">
        <v>11668</v>
      </c>
      <c r="C2938" s="1" t="s">
        <v>16</v>
      </c>
      <c r="D2938" s="1" t="s">
        <v>147</v>
      </c>
      <c r="E2938" s="1" t="s">
        <v>1931</v>
      </c>
      <c r="F2938" s="1" t="s">
        <v>11669</v>
      </c>
      <c r="G2938" s="1" t="s">
        <v>12490</v>
      </c>
      <c r="H2938" s="1" t="s">
        <v>11670</v>
      </c>
      <c r="I2938" s="2">
        <v>17.27</v>
      </c>
      <c r="J2938" s="2">
        <v>0.74</v>
      </c>
      <c r="K2938" s="2">
        <v>0.84</v>
      </c>
      <c r="L2938" s="2">
        <v>1.0900000000000001</v>
      </c>
      <c r="M2938" s="4">
        <f t="shared" si="270"/>
        <v>20.55952380952381</v>
      </c>
      <c r="N2938" s="4">
        <f t="shared" si="271"/>
        <v>15.844036697247704</v>
      </c>
      <c r="O2938" s="5">
        <f t="shared" si="272"/>
        <v>0.13513513513513509</v>
      </c>
      <c r="P2938" s="5">
        <f t="shared" si="273"/>
        <v>0.29761904761904767</v>
      </c>
      <c r="Q2938" s="4">
        <f t="shared" si="274"/>
        <v>1.5214047619047626</v>
      </c>
      <c r="R2938" s="4">
        <f t="shared" si="275"/>
        <v>0.53235963302752276</v>
      </c>
      <c r="S2938" s="4">
        <v>-9.09</v>
      </c>
      <c r="T2938" s="2">
        <v>1.64</v>
      </c>
      <c r="U2938" s="2">
        <v>21.23</v>
      </c>
      <c r="V2938" s="2">
        <v>9.74</v>
      </c>
      <c r="W2938" s="2">
        <v>-8.77</v>
      </c>
      <c r="X2938" s="2">
        <v>-18.149999999999999</v>
      </c>
      <c r="Y2938" s="2">
        <v>-10.38</v>
      </c>
      <c r="Z2938" s="2">
        <v>-4.4800000000000004</v>
      </c>
    </row>
    <row r="2939" spans="1:26" x14ac:dyDescent="0.25">
      <c r="A2939" s="1" t="s">
        <v>11671</v>
      </c>
      <c r="B2939" s="1" t="s">
        <v>11672</v>
      </c>
      <c r="C2939" s="1" t="s">
        <v>16</v>
      </c>
      <c r="D2939" s="1" t="s">
        <v>38</v>
      </c>
      <c r="E2939" s="1" t="s">
        <v>259</v>
      </c>
      <c r="F2939" s="1" t="s">
        <v>11673</v>
      </c>
      <c r="G2939" s="1" t="s">
        <v>12480</v>
      </c>
      <c r="H2939" s="1" t="s">
        <v>9493</v>
      </c>
      <c r="I2939" s="2">
        <v>122.83</v>
      </c>
      <c r="J2939" s="2"/>
      <c r="K2939" s="2"/>
      <c r="L2939" s="2"/>
      <c r="M2939" s="4" t="e">
        <f t="shared" si="270"/>
        <v>#DIV/0!</v>
      </c>
      <c r="N2939" s="4" t="e">
        <f t="shared" si="271"/>
        <v>#DIV/0!</v>
      </c>
      <c r="O2939" s="5" t="e">
        <f t="shared" si="272"/>
        <v>#DIV/0!</v>
      </c>
      <c r="P2939" s="5" t="e">
        <f t="shared" si="273"/>
        <v>#DIV/0!</v>
      </c>
      <c r="Q2939" s="4" t="e">
        <f t="shared" si="274"/>
        <v>#DIV/0!</v>
      </c>
      <c r="R2939" s="4" t="e">
        <f t="shared" si="275"/>
        <v>#DIV/0!</v>
      </c>
      <c r="S2939" s="4"/>
      <c r="T2939" s="2">
        <v>0.97</v>
      </c>
      <c r="U2939" s="2">
        <v>137.66999999999999</v>
      </c>
      <c r="V2939" s="2">
        <v>104.87</v>
      </c>
      <c r="W2939" s="2">
        <v>-2.2599999999999998</v>
      </c>
      <c r="X2939" s="2">
        <v>-7.22</v>
      </c>
      <c r="Y2939" s="2">
        <v>-8.64</v>
      </c>
      <c r="Z2939" s="2">
        <v>-7.99</v>
      </c>
    </row>
    <row r="2940" spans="1:26" x14ac:dyDescent="0.25">
      <c r="A2940" s="1" t="s">
        <v>11674</v>
      </c>
      <c r="B2940" s="1" t="s">
        <v>11675</v>
      </c>
      <c r="C2940" s="1" t="s">
        <v>45</v>
      </c>
      <c r="D2940" s="1" t="s">
        <v>305</v>
      </c>
      <c r="E2940" s="1" t="s">
        <v>349</v>
      </c>
      <c r="F2940" s="1" t="s">
        <v>11676</v>
      </c>
      <c r="G2940" s="1" t="s">
        <v>12480</v>
      </c>
      <c r="H2940" s="1" t="s">
        <v>11677</v>
      </c>
      <c r="I2940" s="2">
        <v>3.16</v>
      </c>
      <c r="J2940" s="2">
        <v>-1.36</v>
      </c>
      <c r="K2940" s="2">
        <v>-0.98</v>
      </c>
      <c r="L2940" s="2"/>
      <c r="M2940" s="4">
        <f t="shared" si="270"/>
        <v>-3.2244897959183674</v>
      </c>
      <c r="N2940" s="4" t="e">
        <f t="shared" si="271"/>
        <v>#DIV/0!</v>
      </c>
      <c r="O2940" s="5">
        <f t="shared" si="272"/>
        <v>-0.27941176470588247</v>
      </c>
      <c r="P2940" s="5">
        <f t="shared" si="273"/>
        <v>-1</v>
      </c>
      <c r="Q2940" s="4">
        <f t="shared" si="274"/>
        <v>0.11540279269602574</v>
      </c>
      <c r="R2940" s="4" t="e">
        <f t="shared" si="275"/>
        <v>#DIV/0!</v>
      </c>
      <c r="S2940" s="4">
        <v>50.97</v>
      </c>
      <c r="T2940" s="2">
        <v>0.87</v>
      </c>
      <c r="U2940" s="2">
        <v>3.75</v>
      </c>
      <c r="V2940" s="2">
        <v>2.68</v>
      </c>
      <c r="W2940" s="2">
        <v>-1.86</v>
      </c>
      <c r="X2940" s="2">
        <v>-5.95</v>
      </c>
      <c r="Y2940" s="2">
        <v>-8.93</v>
      </c>
      <c r="Z2940" s="2">
        <v>-5.39</v>
      </c>
    </row>
    <row r="2941" spans="1:26" x14ac:dyDescent="0.25">
      <c r="A2941" s="1" t="s">
        <v>11678</v>
      </c>
      <c r="B2941" s="1" t="s">
        <v>11679</v>
      </c>
      <c r="C2941" s="1" t="s">
        <v>16</v>
      </c>
      <c r="D2941" s="1" t="s">
        <v>94</v>
      </c>
      <c r="E2941" s="1" t="s">
        <v>894</v>
      </c>
      <c r="F2941" s="1" t="s">
        <v>11680</v>
      </c>
      <c r="G2941" s="1" t="s">
        <v>12480</v>
      </c>
      <c r="H2941" s="1" t="s">
        <v>11681</v>
      </c>
      <c r="I2941" s="2">
        <v>11.51</v>
      </c>
      <c r="J2941" s="2">
        <v>0.86</v>
      </c>
      <c r="K2941" s="2">
        <v>0.79</v>
      </c>
      <c r="L2941" s="2">
        <v>7.0000000000000007E-2</v>
      </c>
      <c r="M2941" s="4">
        <f t="shared" si="270"/>
        <v>14.569620253164556</v>
      </c>
      <c r="N2941" s="4">
        <f t="shared" si="271"/>
        <v>164.42857142857142</v>
      </c>
      <c r="O2941" s="5">
        <f t="shared" si="272"/>
        <v>-8.1395348837209225E-2</v>
      </c>
      <c r="P2941" s="5">
        <f t="shared" si="273"/>
        <v>-0.91139240506329111</v>
      </c>
      <c r="Q2941" s="4">
        <f t="shared" si="274"/>
        <v>-1.7899819168173614</v>
      </c>
      <c r="R2941" s="4">
        <f t="shared" si="275"/>
        <v>-1.8041468253968251</v>
      </c>
      <c r="S2941" s="4">
        <v>176.93</v>
      </c>
      <c r="T2941" s="2">
        <v>5.7</v>
      </c>
      <c r="U2941" s="2">
        <v>19.010000000000002</v>
      </c>
      <c r="V2941" s="2">
        <v>5.92</v>
      </c>
      <c r="W2941" s="2">
        <v>1.1399999999999999</v>
      </c>
      <c r="X2941" s="2">
        <v>13.18</v>
      </c>
      <c r="Y2941" s="2">
        <v>94.1</v>
      </c>
      <c r="Z2941" s="2">
        <v>68.77</v>
      </c>
    </row>
    <row r="2942" spans="1:26" x14ac:dyDescent="0.25">
      <c r="A2942" s="1" t="s">
        <v>11682</v>
      </c>
      <c r="B2942" s="1" t="s">
        <v>11683</v>
      </c>
      <c r="C2942" s="1" t="s">
        <v>16</v>
      </c>
      <c r="D2942" s="1" t="s">
        <v>46</v>
      </c>
      <c r="E2942" s="1" t="s">
        <v>1142</v>
      </c>
      <c r="F2942" s="1" t="s">
        <v>11684</v>
      </c>
      <c r="G2942" s="1" t="s">
        <v>12480</v>
      </c>
      <c r="H2942" s="1" t="s">
        <v>11685</v>
      </c>
      <c r="I2942" s="2" t="s">
        <v>12517</v>
      </c>
      <c r="J2942" s="2">
        <v>-0.96</v>
      </c>
      <c r="K2942" s="2">
        <v>0.05</v>
      </c>
      <c r="L2942" s="2">
        <v>0.62</v>
      </c>
      <c r="M2942" s="4">
        <f t="shared" si="270"/>
        <v>380</v>
      </c>
      <c r="N2942" s="4">
        <f t="shared" si="271"/>
        <v>30.64516129032258</v>
      </c>
      <c r="O2942" s="5">
        <f t="shared" si="272"/>
        <v>-1.0520833333333333</v>
      </c>
      <c r="P2942" s="5">
        <f t="shared" si="273"/>
        <v>11.399999999999999</v>
      </c>
      <c r="Q2942" s="4">
        <f t="shared" si="274"/>
        <v>-3.611881188118812</v>
      </c>
      <c r="R2942" s="4">
        <f t="shared" si="275"/>
        <v>2.6881720430107531E-2</v>
      </c>
      <c r="S2942" s="4"/>
      <c r="T2942" s="2"/>
      <c r="U2942" s="2">
        <v>53.93</v>
      </c>
      <c r="V2942" s="2">
        <v>15.78</v>
      </c>
      <c r="W2942" s="2">
        <v>4.68</v>
      </c>
      <c r="X2942" s="2">
        <v>-6.4</v>
      </c>
      <c r="Y2942" s="2">
        <v>-35.18</v>
      </c>
      <c r="Z2942" s="2">
        <v>-34.51</v>
      </c>
    </row>
    <row r="2943" spans="1:26" x14ac:dyDescent="0.25">
      <c r="A2943" s="1" t="s">
        <v>11686</v>
      </c>
      <c r="B2943" s="1" t="s">
        <v>11687</v>
      </c>
      <c r="C2943" s="1" t="s">
        <v>31</v>
      </c>
      <c r="D2943" s="1" t="s">
        <v>46</v>
      </c>
      <c r="E2943" s="1" t="s">
        <v>47</v>
      </c>
      <c r="F2943" s="1" t="s">
        <v>11688</v>
      </c>
      <c r="G2943" s="1" t="s">
        <v>12480</v>
      </c>
      <c r="H2943" s="1" t="s">
        <v>11689</v>
      </c>
      <c r="I2943" s="2">
        <v>12.74</v>
      </c>
      <c r="J2943" s="2">
        <v>0.62</v>
      </c>
      <c r="K2943" s="2"/>
      <c r="L2943" s="2"/>
      <c r="M2943" s="4" t="e">
        <f t="shared" si="270"/>
        <v>#DIV/0!</v>
      </c>
      <c r="N2943" s="4" t="e">
        <f t="shared" si="271"/>
        <v>#DIV/0!</v>
      </c>
      <c r="O2943" s="5">
        <f t="shared" si="272"/>
        <v>-1</v>
      </c>
      <c r="P2943" s="5" t="e">
        <f t="shared" si="273"/>
        <v>#DIV/0!</v>
      </c>
      <c r="Q2943" s="4" t="e">
        <f t="shared" si="274"/>
        <v>#DIV/0!</v>
      </c>
      <c r="R2943" s="4" t="e">
        <f t="shared" si="275"/>
        <v>#DIV/0!</v>
      </c>
      <c r="S2943" s="4">
        <v>12.09</v>
      </c>
      <c r="T2943" s="2">
        <v>-0.19</v>
      </c>
      <c r="U2943" s="2">
        <v>16.8</v>
      </c>
      <c r="V2943" s="2">
        <v>11.95</v>
      </c>
      <c r="W2943" s="2" t="s">
        <v>12489</v>
      </c>
      <c r="X2943" s="2" t="s">
        <v>12489</v>
      </c>
      <c r="Y2943" s="2" t="s">
        <v>12489</v>
      </c>
      <c r="Z2943" s="2" t="s">
        <v>12489</v>
      </c>
    </row>
    <row r="2944" spans="1:26" x14ac:dyDescent="0.25">
      <c r="A2944" s="1" t="s">
        <v>11690</v>
      </c>
      <c r="B2944" s="1" t="s">
        <v>11691</v>
      </c>
      <c r="C2944" s="1" t="s">
        <v>45</v>
      </c>
      <c r="D2944" s="1" t="s">
        <v>32</v>
      </c>
      <c r="E2944" s="1" t="s">
        <v>1572</v>
      </c>
      <c r="F2944" s="1" t="s">
        <v>11692</v>
      </c>
      <c r="G2944" s="1" t="s">
        <v>12502</v>
      </c>
      <c r="H2944" s="1" t="s">
        <v>1350</v>
      </c>
      <c r="I2944" s="2">
        <v>29.24</v>
      </c>
      <c r="J2944" s="2">
        <v>0.47</v>
      </c>
      <c r="K2944" s="2">
        <v>0.8</v>
      </c>
      <c r="L2944" s="2">
        <v>0.95</v>
      </c>
      <c r="M2944" s="4">
        <f t="shared" si="270"/>
        <v>36.549999999999997</v>
      </c>
      <c r="N2944" s="4">
        <f t="shared" si="271"/>
        <v>30.778947368421054</v>
      </c>
      <c r="O2944" s="5">
        <f t="shared" si="272"/>
        <v>0.70212765957446832</v>
      </c>
      <c r="P2944" s="5">
        <f t="shared" si="273"/>
        <v>0.18749999999999978</v>
      </c>
      <c r="Q2944" s="4">
        <f t="shared" si="274"/>
        <v>0.52056060606060583</v>
      </c>
      <c r="R2944" s="4">
        <f t="shared" si="275"/>
        <v>1.6415438596491247</v>
      </c>
      <c r="S2944" s="4">
        <v>8.39</v>
      </c>
      <c r="T2944" s="2">
        <v>0.92</v>
      </c>
      <c r="U2944" s="2">
        <v>35.35</v>
      </c>
      <c r="V2944" s="2">
        <v>8.99</v>
      </c>
      <c r="W2944" s="2">
        <v>-17.28</v>
      </c>
      <c r="X2944" s="2">
        <v>5.87</v>
      </c>
      <c r="Y2944" s="2">
        <v>63.53</v>
      </c>
      <c r="Z2944" s="2">
        <v>64.08</v>
      </c>
    </row>
    <row r="2945" spans="1:26" x14ac:dyDescent="0.25">
      <c r="A2945" s="1" t="s">
        <v>11693</v>
      </c>
      <c r="B2945" s="1" t="s">
        <v>11694</v>
      </c>
      <c r="C2945" s="1" t="s">
        <v>16</v>
      </c>
      <c r="D2945" s="1" t="s">
        <v>38</v>
      </c>
      <c r="E2945" s="1" t="s">
        <v>510</v>
      </c>
      <c r="F2945" s="1" t="s">
        <v>11695</v>
      </c>
      <c r="G2945" s="1" t="s">
        <v>12480</v>
      </c>
      <c r="H2945" s="1" t="s">
        <v>11696</v>
      </c>
      <c r="I2945" s="2">
        <v>29.5</v>
      </c>
      <c r="J2945" s="2">
        <v>2.38</v>
      </c>
      <c r="K2945" s="2">
        <v>2.44</v>
      </c>
      <c r="L2945" s="2">
        <v>2.54</v>
      </c>
      <c r="M2945" s="4">
        <f t="shared" si="270"/>
        <v>12.090163934426229</v>
      </c>
      <c r="N2945" s="4">
        <f t="shared" si="271"/>
        <v>11.614173228346457</v>
      </c>
      <c r="O2945" s="5">
        <f t="shared" si="272"/>
        <v>2.5210084033613578E-2</v>
      </c>
      <c r="P2945" s="5">
        <f t="shared" si="273"/>
        <v>4.0983606557376984E-2</v>
      </c>
      <c r="Q2945" s="4">
        <f t="shared" si="274"/>
        <v>4.7957650273223793</v>
      </c>
      <c r="R2945" s="4">
        <f t="shared" si="275"/>
        <v>2.8338582677165403</v>
      </c>
      <c r="S2945" s="4">
        <v>4.08</v>
      </c>
      <c r="T2945" s="2">
        <v>0.67</v>
      </c>
      <c r="U2945" s="2">
        <v>33.93</v>
      </c>
      <c r="V2945" s="2">
        <v>27.56</v>
      </c>
      <c r="W2945" s="2">
        <v>-2.83</v>
      </c>
      <c r="X2945" s="2">
        <v>1.51</v>
      </c>
      <c r="Y2945" s="2">
        <v>3.15</v>
      </c>
      <c r="Z2945" s="2">
        <v>4.91</v>
      </c>
    </row>
    <row r="2946" spans="1:26" x14ac:dyDescent="0.25">
      <c r="A2946" s="1" t="s">
        <v>11697</v>
      </c>
      <c r="B2946" s="1" t="s">
        <v>11698</v>
      </c>
      <c r="C2946" s="1" t="s">
        <v>45</v>
      </c>
      <c r="D2946" s="1" t="s">
        <v>32</v>
      </c>
      <c r="E2946" s="1" t="s">
        <v>33</v>
      </c>
      <c r="F2946" s="1" t="s">
        <v>11699</v>
      </c>
      <c r="G2946" s="1" t="s">
        <v>12480</v>
      </c>
      <c r="H2946" s="1" t="s">
        <v>11700</v>
      </c>
      <c r="I2946" s="2">
        <v>170.03</v>
      </c>
      <c r="J2946" s="2">
        <v>2.61</v>
      </c>
      <c r="K2946" s="2">
        <v>2.0099999999999998</v>
      </c>
      <c r="L2946" s="2">
        <v>3.66</v>
      </c>
      <c r="M2946" s="4">
        <f t="shared" si="270"/>
        <v>84.592039800995039</v>
      </c>
      <c r="N2946" s="4">
        <f t="shared" si="271"/>
        <v>46.456284153005463</v>
      </c>
      <c r="O2946" s="5">
        <f t="shared" si="272"/>
        <v>-0.22988505747126442</v>
      </c>
      <c r="P2946" s="5">
        <f t="shared" si="273"/>
        <v>0.82089552238806007</v>
      </c>
      <c r="Q2946" s="4">
        <f t="shared" si="274"/>
        <v>-3.6797537313432831</v>
      </c>
      <c r="R2946" s="4">
        <f t="shared" si="275"/>
        <v>0.56592200695479355</v>
      </c>
      <c r="S2946" s="4">
        <v>26.08</v>
      </c>
      <c r="T2946" s="2">
        <v>1.84</v>
      </c>
      <c r="U2946" s="2">
        <v>209.19</v>
      </c>
      <c r="V2946" s="2">
        <v>39.409999999999997</v>
      </c>
      <c r="W2946" s="2">
        <v>-18.72</v>
      </c>
      <c r="X2946" s="2">
        <v>6.91</v>
      </c>
      <c r="Y2946" s="2">
        <v>77.87</v>
      </c>
      <c r="Z2946" s="2">
        <v>55.14</v>
      </c>
    </row>
    <row r="2947" spans="1:26" x14ac:dyDescent="0.25">
      <c r="A2947" s="1" t="s">
        <v>11701</v>
      </c>
      <c r="B2947" s="1" t="s">
        <v>11702</v>
      </c>
      <c r="C2947" s="1" t="s">
        <v>16</v>
      </c>
      <c r="D2947" s="1" t="s">
        <v>147</v>
      </c>
      <c r="E2947" s="1" t="s">
        <v>148</v>
      </c>
      <c r="F2947" s="1" t="s">
        <v>11703</v>
      </c>
      <c r="G2947" s="1" t="s">
        <v>12480</v>
      </c>
      <c r="H2947" s="1" t="s">
        <v>11704</v>
      </c>
      <c r="I2947" s="2">
        <v>72.61</v>
      </c>
      <c r="J2947" s="2">
        <v>2.61</v>
      </c>
      <c r="K2947" s="2">
        <v>3.32</v>
      </c>
      <c r="L2947" s="2">
        <v>4.1100000000000003</v>
      </c>
      <c r="M2947" s="4">
        <f t="shared" ref="M2947:M3010" si="276">I2947/K2947</f>
        <v>21.870481927710845</v>
      </c>
      <c r="N2947" s="4">
        <f t="shared" ref="N2947:N3010" si="277">I2947/L2947</f>
        <v>17.666666666666664</v>
      </c>
      <c r="O2947" s="5">
        <f t="shared" ref="O2947:O3010" si="278">K2947/J2947-1</f>
        <v>0.27203065134099624</v>
      </c>
      <c r="P2947" s="5">
        <f t="shared" ref="P2947:P3010" si="279">L2947/K2947-1</f>
        <v>0.23795180722891573</v>
      </c>
      <c r="Q2947" s="4">
        <f t="shared" ref="Q2947:Q3010" si="280">M2947/(O2947*100)</f>
        <v>0.80397123706091955</v>
      </c>
      <c r="R2947" s="4">
        <f t="shared" ref="R2947:R3010" si="281">N2947/(P2947*100)</f>
        <v>0.742447257383966</v>
      </c>
      <c r="S2947" s="4">
        <v>21.89</v>
      </c>
      <c r="T2947" s="2">
        <v>1.96</v>
      </c>
      <c r="U2947" s="2">
        <v>79.709999999999994</v>
      </c>
      <c r="V2947" s="2">
        <v>34.14</v>
      </c>
      <c r="W2947" s="2">
        <v>-1.93</v>
      </c>
      <c r="X2947" s="2">
        <v>-5.76</v>
      </c>
      <c r="Y2947" s="2">
        <v>2.37</v>
      </c>
      <c r="Z2947" s="2">
        <v>1.68</v>
      </c>
    </row>
    <row r="2948" spans="1:26" x14ac:dyDescent="0.25">
      <c r="A2948" s="1" t="s">
        <v>11705</v>
      </c>
      <c r="B2948" s="1" t="s">
        <v>11706</v>
      </c>
      <c r="C2948" s="1" t="s">
        <v>16</v>
      </c>
      <c r="D2948" s="1" t="s">
        <v>32</v>
      </c>
      <c r="E2948" s="1" t="s">
        <v>4957</v>
      </c>
      <c r="F2948" s="1" t="s">
        <v>11707</v>
      </c>
      <c r="G2948" s="1" t="s">
        <v>12480</v>
      </c>
      <c r="H2948" s="1" t="s">
        <v>11708</v>
      </c>
      <c r="I2948" s="2">
        <v>16.27</v>
      </c>
      <c r="J2948" s="2">
        <v>2.44</v>
      </c>
      <c r="K2948" s="2">
        <v>2.63</v>
      </c>
      <c r="L2948" s="2">
        <v>2.8</v>
      </c>
      <c r="M2948" s="4">
        <f t="shared" si="276"/>
        <v>6.1863117870722437</v>
      </c>
      <c r="N2948" s="4">
        <f t="shared" si="277"/>
        <v>5.8107142857142859</v>
      </c>
      <c r="O2948" s="5">
        <f t="shared" si="278"/>
        <v>7.7868852459016313E-2</v>
      </c>
      <c r="P2948" s="5">
        <f t="shared" si="279"/>
        <v>6.4638783269961975E-2</v>
      </c>
      <c r="Q2948" s="4">
        <f t="shared" si="280"/>
        <v>0.79445267160296262</v>
      </c>
      <c r="R2948" s="4">
        <f t="shared" si="281"/>
        <v>0.89895168067226894</v>
      </c>
      <c r="S2948" s="4">
        <v>1.97</v>
      </c>
      <c r="T2948" s="2">
        <v>0.67</v>
      </c>
      <c r="U2948" s="2">
        <v>20.68</v>
      </c>
      <c r="V2948" s="2">
        <v>12.29</v>
      </c>
      <c r="W2948" s="2">
        <v>-3.1</v>
      </c>
      <c r="X2948" s="2">
        <v>-9.26</v>
      </c>
      <c r="Y2948" s="2">
        <v>-16.649999999999999</v>
      </c>
      <c r="Z2948" s="2">
        <v>-8.0299999999999994</v>
      </c>
    </row>
    <row r="2949" spans="1:26" x14ac:dyDescent="0.25">
      <c r="A2949" s="1" t="s">
        <v>11709</v>
      </c>
      <c r="B2949" s="1" t="s">
        <v>11710</v>
      </c>
      <c r="C2949" s="1" t="s">
        <v>45</v>
      </c>
      <c r="D2949" s="1" t="s">
        <v>18</v>
      </c>
      <c r="E2949" s="1" t="s">
        <v>74</v>
      </c>
      <c r="F2949" s="1" t="s">
        <v>11711</v>
      </c>
      <c r="G2949" s="1" t="s">
        <v>12480</v>
      </c>
      <c r="H2949" s="1" t="s">
        <v>11712</v>
      </c>
      <c r="I2949" s="2">
        <v>9.8000000000000007</v>
      </c>
      <c r="J2949" s="2">
        <v>-3.16</v>
      </c>
      <c r="K2949" s="2">
        <v>-1.97</v>
      </c>
      <c r="L2949" s="2">
        <v>-2.2200000000000002</v>
      </c>
      <c r="M2949" s="4">
        <f t="shared" si="276"/>
        <v>-4.9746192893401018</v>
      </c>
      <c r="N2949" s="4">
        <f t="shared" si="277"/>
        <v>-4.4144144144144146</v>
      </c>
      <c r="O2949" s="5">
        <f t="shared" si="278"/>
        <v>-0.37658227848101267</v>
      </c>
      <c r="P2949" s="5">
        <f t="shared" si="279"/>
        <v>0.12690355329949243</v>
      </c>
      <c r="Q2949" s="4">
        <f t="shared" si="280"/>
        <v>0.13209913406987159</v>
      </c>
      <c r="R2949" s="4">
        <f t="shared" si="281"/>
        <v>-0.34785585585585577</v>
      </c>
      <c r="S2949" s="4">
        <v>-7.61</v>
      </c>
      <c r="T2949" s="2">
        <v>1.65</v>
      </c>
      <c r="U2949" s="2" t="s">
        <v>12479</v>
      </c>
      <c r="V2949" s="2">
        <v>4.28</v>
      </c>
      <c r="W2949" s="2">
        <v>4.93</v>
      </c>
      <c r="X2949" s="2">
        <v>34.619999999999997</v>
      </c>
      <c r="Y2949" s="2">
        <v>45.83</v>
      </c>
      <c r="Z2949" s="2">
        <v>62.52</v>
      </c>
    </row>
    <row r="2950" spans="1:26" x14ac:dyDescent="0.25">
      <c r="A2950" s="1" t="s">
        <v>11713</v>
      </c>
      <c r="B2950" s="1" t="s">
        <v>11714</v>
      </c>
      <c r="C2950" s="1" t="s">
        <v>31</v>
      </c>
      <c r="D2950" s="1" t="s">
        <v>140</v>
      </c>
      <c r="E2950" s="1" t="s">
        <v>284</v>
      </c>
      <c r="F2950" s="1" t="s">
        <v>11715</v>
      </c>
      <c r="G2950" s="1" t="s">
        <v>12480</v>
      </c>
      <c r="H2950" s="1" t="s">
        <v>12543</v>
      </c>
      <c r="I2950" s="2" t="s">
        <v>12815</v>
      </c>
      <c r="J2950" s="2">
        <v>9.4499999999999993</v>
      </c>
      <c r="K2950" s="2"/>
      <c r="L2950" s="2"/>
      <c r="M2950" s="4" t="e">
        <f t="shared" si="276"/>
        <v>#DIV/0!</v>
      </c>
      <c r="N2950" s="4" t="e">
        <f t="shared" si="277"/>
        <v>#DIV/0!</v>
      </c>
      <c r="O2950" s="5">
        <f t="shared" si="278"/>
        <v>-1</v>
      </c>
      <c r="P2950" s="5" t="e">
        <f t="shared" si="279"/>
        <v>#DIV/0!</v>
      </c>
      <c r="Q2950" s="4" t="e">
        <f t="shared" si="280"/>
        <v>#DIV/0!</v>
      </c>
      <c r="R2950" s="4" t="e">
        <f t="shared" si="281"/>
        <v>#DIV/0!</v>
      </c>
      <c r="S2950" s="4">
        <v>-11.61</v>
      </c>
      <c r="T2950" s="2">
        <v>0.35</v>
      </c>
      <c r="U2950" s="2" t="s">
        <v>12814</v>
      </c>
      <c r="V2950" s="2">
        <v>52.5</v>
      </c>
      <c r="W2950" s="2">
        <v>-0.7</v>
      </c>
      <c r="X2950" s="2">
        <v>1.42</v>
      </c>
      <c r="Y2950" s="2">
        <v>31.19</v>
      </c>
      <c r="Z2950" s="2">
        <v>31.19</v>
      </c>
    </row>
    <row r="2951" spans="1:26" x14ac:dyDescent="0.25">
      <c r="A2951" s="1" t="s">
        <v>11716</v>
      </c>
      <c r="B2951" s="1" t="s">
        <v>11717</v>
      </c>
      <c r="C2951" s="1" t="s">
        <v>16</v>
      </c>
      <c r="D2951" s="1" t="s">
        <v>38</v>
      </c>
      <c r="E2951" s="1" t="s">
        <v>52</v>
      </c>
      <c r="F2951" s="1" t="s">
        <v>11718</v>
      </c>
      <c r="G2951" s="1" t="s">
        <v>12480</v>
      </c>
      <c r="H2951" s="1" t="s">
        <v>11719</v>
      </c>
      <c r="I2951" s="2">
        <v>41.94</v>
      </c>
      <c r="J2951" s="2">
        <v>5.73</v>
      </c>
      <c r="K2951" s="2">
        <v>4.68</v>
      </c>
      <c r="L2951" s="2">
        <v>4.83</v>
      </c>
      <c r="M2951" s="4">
        <f t="shared" si="276"/>
        <v>8.9615384615384617</v>
      </c>
      <c r="N2951" s="4">
        <f t="shared" si="277"/>
        <v>8.683229813664596</v>
      </c>
      <c r="O2951" s="5">
        <f t="shared" si="278"/>
        <v>-0.18324607329842946</v>
      </c>
      <c r="P2951" s="5">
        <f t="shared" si="279"/>
        <v>3.2051282051282159E-2</v>
      </c>
      <c r="Q2951" s="4">
        <f t="shared" si="280"/>
        <v>-0.48904395604395573</v>
      </c>
      <c r="R2951" s="4">
        <f t="shared" si="281"/>
        <v>2.7091677018633447</v>
      </c>
      <c r="S2951" s="4">
        <v>26.25</v>
      </c>
      <c r="T2951" s="2">
        <v>0.61</v>
      </c>
      <c r="U2951" s="2">
        <v>45.12</v>
      </c>
      <c r="V2951" s="2">
        <v>32.380000000000003</v>
      </c>
      <c r="W2951" s="2">
        <v>-1.85</v>
      </c>
      <c r="X2951" s="2">
        <v>6.83</v>
      </c>
      <c r="Y2951" s="2">
        <v>25.64</v>
      </c>
      <c r="Z2951" s="2">
        <v>25.87</v>
      </c>
    </row>
    <row r="2952" spans="1:26" x14ac:dyDescent="0.25">
      <c r="A2952" s="1" t="s">
        <v>11720</v>
      </c>
      <c r="B2952" s="1" t="s">
        <v>11721</v>
      </c>
      <c r="C2952" s="1" t="s">
        <v>45</v>
      </c>
      <c r="D2952" s="1" t="s">
        <v>32</v>
      </c>
      <c r="E2952" s="1" t="s">
        <v>4787</v>
      </c>
      <c r="F2952" s="1" t="s">
        <v>11722</v>
      </c>
      <c r="G2952" s="1" t="s">
        <v>12480</v>
      </c>
      <c r="H2952" s="1" t="s">
        <v>11723</v>
      </c>
      <c r="I2952" s="2">
        <v>17.75</v>
      </c>
      <c r="J2952" s="2">
        <v>0.77</v>
      </c>
      <c r="K2952" s="2">
        <v>0.94</v>
      </c>
      <c r="L2952" s="2">
        <v>0.9</v>
      </c>
      <c r="M2952" s="4">
        <f t="shared" si="276"/>
        <v>18.882978723404257</v>
      </c>
      <c r="N2952" s="4">
        <f t="shared" si="277"/>
        <v>19.722222222222221</v>
      </c>
      <c r="O2952" s="5">
        <f t="shared" si="278"/>
        <v>0.22077922077922074</v>
      </c>
      <c r="P2952" s="5">
        <f t="shared" si="279"/>
        <v>-4.2553191489361653E-2</v>
      </c>
      <c r="Q2952" s="4">
        <f t="shared" si="280"/>
        <v>0.85528785982478117</v>
      </c>
      <c r="R2952" s="4">
        <f t="shared" si="281"/>
        <v>-4.6347222222222282</v>
      </c>
      <c r="S2952" s="4">
        <v>-54.07</v>
      </c>
      <c r="T2952" s="2">
        <v>2.4300000000000002</v>
      </c>
      <c r="U2952" s="2">
        <v>20.55</v>
      </c>
      <c r="V2952" s="2">
        <v>3.02</v>
      </c>
      <c r="W2952" s="2">
        <v>-0.56000000000000005</v>
      </c>
      <c r="X2952" s="2">
        <v>-8.65</v>
      </c>
      <c r="Y2952" s="2">
        <v>-6.73</v>
      </c>
      <c r="Z2952" s="2">
        <v>-2.1</v>
      </c>
    </row>
    <row r="2953" spans="1:26" x14ac:dyDescent="0.25">
      <c r="A2953" s="1" t="s">
        <v>11724</v>
      </c>
      <c r="B2953" s="1" t="s">
        <v>11725</v>
      </c>
      <c r="C2953" s="1" t="s">
        <v>11727</v>
      </c>
      <c r="D2953" s="1" t="s">
        <v>24</v>
      </c>
      <c r="E2953" s="1" t="s">
        <v>94</v>
      </c>
      <c r="F2953" s="1" t="s">
        <v>11726</v>
      </c>
      <c r="G2953" s="1" t="s">
        <v>1948</v>
      </c>
      <c r="H2953" s="1" t="s">
        <v>12480</v>
      </c>
      <c r="I2953" s="2">
        <v>33.700000000000003</v>
      </c>
      <c r="J2953" s="2" t="s">
        <v>12481</v>
      </c>
      <c r="K2953" s="2">
        <v>3.31</v>
      </c>
      <c r="L2953" s="2">
        <v>6.34</v>
      </c>
      <c r="M2953" s="4">
        <f t="shared" si="276"/>
        <v>10.181268882175226</v>
      </c>
      <c r="N2953" s="4">
        <f t="shared" si="277"/>
        <v>5.3154574132492121</v>
      </c>
      <c r="O2953" s="5">
        <f t="shared" si="278"/>
        <v>-0.99998365528956312</v>
      </c>
      <c r="P2953" s="5">
        <f t="shared" si="279"/>
        <v>0.91540785498489408</v>
      </c>
      <c r="Q2953" s="4">
        <f t="shared" si="280"/>
        <v>-0.10181435294786952</v>
      </c>
      <c r="R2953" s="4">
        <f t="shared" si="281"/>
        <v>5.8066547979719121E-2</v>
      </c>
      <c r="S2953" s="4">
        <v>8.1300000000000008</v>
      </c>
      <c r="T2953" s="2">
        <v>60.25</v>
      </c>
      <c r="U2953" s="2">
        <v>104.26</v>
      </c>
      <c r="V2953" s="2">
        <v>62.59</v>
      </c>
      <c r="W2953" s="2">
        <v>0.84</v>
      </c>
      <c r="X2953" s="2">
        <v>2.31</v>
      </c>
      <c r="Y2953" s="2">
        <v>8.36</v>
      </c>
      <c r="Z2953" s="2">
        <v>22.28</v>
      </c>
    </row>
    <row r="2954" spans="1:26" x14ac:dyDescent="0.25">
      <c r="A2954" s="1" t="s">
        <v>11728</v>
      </c>
      <c r="B2954" s="1" t="s">
        <v>11729</v>
      </c>
      <c r="C2954" s="1" t="s">
        <v>16</v>
      </c>
      <c r="D2954" s="1" t="s">
        <v>354</v>
      </c>
      <c r="E2954" s="1" t="s">
        <v>1537</v>
      </c>
      <c r="F2954" s="1" t="s">
        <v>11730</v>
      </c>
      <c r="G2954" s="1" t="s">
        <v>12480</v>
      </c>
      <c r="H2954" s="1" t="s">
        <v>11731</v>
      </c>
      <c r="I2954" s="2">
        <v>16.09</v>
      </c>
      <c r="J2954" s="2">
        <v>0.68</v>
      </c>
      <c r="K2954" s="2">
        <v>0.89</v>
      </c>
      <c r="L2954" s="2">
        <v>0.93</v>
      </c>
      <c r="M2954" s="4">
        <f t="shared" si="276"/>
        <v>18.078651685393258</v>
      </c>
      <c r="N2954" s="4">
        <f t="shared" si="277"/>
        <v>17.301075268817204</v>
      </c>
      <c r="O2954" s="5">
        <f t="shared" si="278"/>
        <v>0.30882352941176472</v>
      </c>
      <c r="P2954" s="5">
        <f t="shared" si="279"/>
        <v>4.4943820224719211E-2</v>
      </c>
      <c r="Q2954" s="4">
        <f t="shared" si="280"/>
        <v>0.58540395933654354</v>
      </c>
      <c r="R2954" s="4">
        <f t="shared" si="281"/>
        <v>3.8494892473118183</v>
      </c>
      <c r="S2954" s="4">
        <v>3.04</v>
      </c>
      <c r="T2954" s="2">
        <v>0.68</v>
      </c>
      <c r="U2954" s="2">
        <v>16.91</v>
      </c>
      <c r="V2954" s="2">
        <v>8.2799999999999994</v>
      </c>
      <c r="W2954" s="2">
        <v>-1.47</v>
      </c>
      <c r="X2954" s="2">
        <v>5.23</v>
      </c>
      <c r="Y2954" s="2">
        <v>28.62</v>
      </c>
      <c r="Z2954" s="2">
        <v>35.67</v>
      </c>
    </row>
    <row r="2955" spans="1:26" x14ac:dyDescent="0.25">
      <c r="A2955" s="1" t="s">
        <v>11732</v>
      </c>
      <c r="B2955" s="1" t="s">
        <v>11733</v>
      </c>
      <c r="C2955" s="1" t="s">
        <v>45</v>
      </c>
      <c r="D2955" s="1" t="s">
        <v>18</v>
      </c>
      <c r="E2955" s="1" t="s">
        <v>74</v>
      </c>
      <c r="F2955" s="1" t="s">
        <v>11734</v>
      </c>
      <c r="G2955" s="1" t="s">
        <v>12480</v>
      </c>
      <c r="H2955" s="1" t="s">
        <v>11735</v>
      </c>
      <c r="I2955" s="2">
        <v>33.61</v>
      </c>
      <c r="J2955" s="2">
        <v>-3.19</v>
      </c>
      <c r="K2955" s="2">
        <v>-4.09</v>
      </c>
      <c r="L2955" s="2">
        <v>-4.5199999999999996</v>
      </c>
      <c r="M2955" s="4">
        <f t="shared" si="276"/>
        <v>-8.21760391198044</v>
      </c>
      <c r="N2955" s="4">
        <f t="shared" si="277"/>
        <v>-7.4358407079646023</v>
      </c>
      <c r="O2955" s="5">
        <f t="shared" si="278"/>
        <v>0.28213166144200619</v>
      </c>
      <c r="P2955" s="5">
        <f t="shared" si="279"/>
        <v>0.10513447432762835</v>
      </c>
      <c r="Q2955" s="4">
        <f t="shared" si="280"/>
        <v>-0.2912684053246401</v>
      </c>
      <c r="R2955" s="4">
        <f t="shared" si="281"/>
        <v>-0.70726949989709831</v>
      </c>
      <c r="S2955" s="4"/>
      <c r="T2955" s="2">
        <v>0.75</v>
      </c>
      <c r="U2955" s="2">
        <v>42.09</v>
      </c>
      <c r="V2955" s="2">
        <v>19.98</v>
      </c>
      <c r="W2955" s="2">
        <v>0.81</v>
      </c>
      <c r="X2955" s="2">
        <v>14.71</v>
      </c>
      <c r="Y2955" s="2">
        <v>-7.03</v>
      </c>
      <c r="Z2955" s="2">
        <v>-4.46</v>
      </c>
    </row>
    <row r="2956" spans="1:26" x14ac:dyDescent="0.25">
      <c r="A2956" s="1" t="s">
        <v>11736</v>
      </c>
      <c r="B2956" s="1" t="s">
        <v>11737</v>
      </c>
      <c r="C2956" s="1" t="s">
        <v>31</v>
      </c>
      <c r="D2956" s="1" t="s">
        <v>305</v>
      </c>
      <c r="E2956" s="1" t="s">
        <v>306</v>
      </c>
      <c r="F2956" s="1" t="s">
        <v>11738</v>
      </c>
      <c r="G2956" s="1" t="s">
        <v>12480</v>
      </c>
      <c r="H2956" s="1" t="s">
        <v>11739</v>
      </c>
      <c r="I2956" s="2">
        <v>6.02</v>
      </c>
      <c r="J2956" s="2">
        <v>0.46</v>
      </c>
      <c r="K2956" s="2">
        <v>0.55000000000000004</v>
      </c>
      <c r="L2956" s="2">
        <v>0.66</v>
      </c>
      <c r="M2956" s="4">
        <f t="shared" si="276"/>
        <v>10.945454545454544</v>
      </c>
      <c r="N2956" s="4">
        <f t="shared" si="277"/>
        <v>9.1212121212121193</v>
      </c>
      <c r="O2956" s="5">
        <f t="shared" si="278"/>
        <v>0.19565217391304346</v>
      </c>
      <c r="P2956" s="5">
        <f t="shared" si="279"/>
        <v>0.19999999999999996</v>
      </c>
      <c r="Q2956" s="4">
        <f t="shared" si="280"/>
        <v>0.5594343434343434</v>
      </c>
      <c r="R2956" s="4">
        <f t="shared" si="281"/>
        <v>0.45606060606060606</v>
      </c>
      <c r="S2956" s="4">
        <v>1.66</v>
      </c>
      <c r="T2956" s="2">
        <v>1.1499999999999999</v>
      </c>
      <c r="U2956" s="2">
        <v>7.98</v>
      </c>
      <c r="V2956" s="2">
        <v>3.82</v>
      </c>
      <c r="W2956" s="2">
        <v>-11.73</v>
      </c>
      <c r="X2956" s="2">
        <v>-20.58</v>
      </c>
      <c r="Y2956" s="2">
        <v>-9.1999999999999993</v>
      </c>
      <c r="Z2956" s="2">
        <v>-11.73</v>
      </c>
    </row>
    <row r="2957" spans="1:26" x14ac:dyDescent="0.25">
      <c r="A2957" s="1" t="s">
        <v>11740</v>
      </c>
      <c r="B2957" s="1" t="s">
        <v>11741</v>
      </c>
      <c r="C2957" s="1" t="s">
        <v>31</v>
      </c>
      <c r="D2957" s="1" t="s">
        <v>305</v>
      </c>
      <c r="E2957" s="1" t="s">
        <v>1176</v>
      </c>
      <c r="F2957" s="1" t="s">
        <v>11742</v>
      </c>
      <c r="G2957" s="1" t="s">
        <v>12480</v>
      </c>
      <c r="H2957" s="1" t="s">
        <v>11743</v>
      </c>
      <c r="I2957" s="2">
        <v>103.27</v>
      </c>
      <c r="J2957" s="2">
        <v>23.12</v>
      </c>
      <c r="K2957" s="2">
        <v>2.5499999999999998</v>
      </c>
      <c r="L2957" s="2"/>
      <c r="M2957" s="4">
        <f t="shared" si="276"/>
        <v>40.498039215686276</v>
      </c>
      <c r="N2957" s="4" t="e">
        <f t="shared" si="277"/>
        <v>#DIV/0!</v>
      </c>
      <c r="O2957" s="5">
        <f t="shared" si="278"/>
        <v>-0.88970588235294124</v>
      </c>
      <c r="P2957" s="5">
        <f t="shared" si="279"/>
        <v>-1</v>
      </c>
      <c r="Q2957" s="4">
        <f t="shared" si="280"/>
        <v>-0.45518457300275478</v>
      </c>
      <c r="R2957" s="4" t="e">
        <f t="shared" si="281"/>
        <v>#DIV/0!</v>
      </c>
      <c r="S2957" s="4">
        <v>0.74</v>
      </c>
      <c r="T2957" s="2">
        <v>1.1200000000000001</v>
      </c>
      <c r="U2957" s="2">
        <v>126.4</v>
      </c>
      <c r="V2957" s="2">
        <v>95.18</v>
      </c>
      <c r="W2957" s="2">
        <v>-7.32</v>
      </c>
      <c r="X2957" s="2">
        <v>-14.12</v>
      </c>
      <c r="Y2957" s="2">
        <v>-17.850000000000001</v>
      </c>
      <c r="Z2957" s="2">
        <v>-14.44</v>
      </c>
    </row>
    <row r="2958" spans="1:26" x14ac:dyDescent="0.25">
      <c r="A2958" s="1" t="s">
        <v>11744</v>
      </c>
      <c r="B2958" s="1" t="s">
        <v>11745</v>
      </c>
      <c r="C2958" s="1" t="s">
        <v>16</v>
      </c>
      <c r="D2958" s="1" t="s">
        <v>94</v>
      </c>
      <c r="E2958" s="1" t="s">
        <v>3284</v>
      </c>
      <c r="F2958" s="1" t="s">
        <v>11746</v>
      </c>
      <c r="G2958" s="1" t="s">
        <v>12480</v>
      </c>
      <c r="H2958" s="1" t="s">
        <v>11747</v>
      </c>
      <c r="I2958" s="2">
        <v>215.95</v>
      </c>
      <c r="J2958" s="2">
        <v>10.61</v>
      </c>
      <c r="K2958" s="2">
        <v>12.65</v>
      </c>
      <c r="L2958" s="2">
        <v>13.14</v>
      </c>
      <c r="M2958" s="4">
        <f t="shared" si="276"/>
        <v>17.071146245059285</v>
      </c>
      <c r="N2958" s="4">
        <f t="shared" si="277"/>
        <v>16.434550989345507</v>
      </c>
      <c r="O2958" s="5">
        <f t="shared" si="278"/>
        <v>0.19227144203581537</v>
      </c>
      <c r="P2958" s="5">
        <f t="shared" si="279"/>
        <v>3.8735177865612647E-2</v>
      </c>
      <c r="Q2958" s="4">
        <f t="shared" si="280"/>
        <v>0.88786696892195549</v>
      </c>
      <c r="R2958" s="4">
        <f t="shared" si="281"/>
        <v>4.2427973472494012</v>
      </c>
      <c r="S2958" s="4">
        <v>-5.54</v>
      </c>
      <c r="T2958" s="2">
        <v>0.7</v>
      </c>
      <c r="U2958" s="2">
        <v>228.03</v>
      </c>
      <c r="V2958" s="2">
        <v>104.69</v>
      </c>
      <c r="W2958" s="2">
        <v>0.48</v>
      </c>
      <c r="X2958" s="2">
        <v>7.24</v>
      </c>
      <c r="Y2958" s="2">
        <v>28.62</v>
      </c>
      <c r="Z2958" s="2">
        <v>32.659999999999997</v>
      </c>
    </row>
    <row r="2959" spans="1:26" x14ac:dyDescent="0.25">
      <c r="A2959" s="1" t="s">
        <v>11748</v>
      </c>
      <c r="B2959" s="1" t="s">
        <v>11749</v>
      </c>
      <c r="C2959" s="1" t="s">
        <v>31</v>
      </c>
      <c r="D2959" s="1" t="s">
        <v>94</v>
      </c>
      <c r="E2959" s="1" t="s">
        <v>11751</v>
      </c>
      <c r="F2959" s="1" t="s">
        <v>11750</v>
      </c>
      <c r="G2959" s="1" t="s">
        <v>12480</v>
      </c>
      <c r="H2959" s="1" t="s">
        <v>11752</v>
      </c>
      <c r="I2959" s="2">
        <v>4.5999999999999996</v>
      </c>
      <c r="J2959" s="2">
        <v>0.32</v>
      </c>
      <c r="K2959" s="2"/>
      <c r="L2959" s="2"/>
      <c r="M2959" s="4" t="e">
        <f t="shared" si="276"/>
        <v>#DIV/0!</v>
      </c>
      <c r="N2959" s="4" t="e">
        <f t="shared" si="277"/>
        <v>#DIV/0!</v>
      </c>
      <c r="O2959" s="5">
        <f t="shared" si="278"/>
        <v>-1</v>
      </c>
      <c r="P2959" s="5" t="e">
        <f t="shared" si="279"/>
        <v>#DIV/0!</v>
      </c>
      <c r="Q2959" s="4" t="e">
        <f t="shared" si="280"/>
        <v>#DIV/0!</v>
      </c>
      <c r="R2959" s="4" t="e">
        <f t="shared" si="281"/>
        <v>#DIV/0!</v>
      </c>
      <c r="S2959" s="4">
        <v>-1.31</v>
      </c>
      <c r="T2959" s="2">
        <v>0.27</v>
      </c>
      <c r="U2959" s="2">
        <v>4.91</v>
      </c>
      <c r="V2959" s="2">
        <v>3.11</v>
      </c>
      <c r="W2959" s="2">
        <v>-2.95</v>
      </c>
      <c r="X2959" s="2">
        <v>2.4500000000000002</v>
      </c>
      <c r="Y2959" s="2">
        <v>21.97</v>
      </c>
      <c r="Z2959" s="2">
        <v>23.66</v>
      </c>
    </row>
    <row r="2960" spans="1:26" x14ac:dyDescent="0.25">
      <c r="A2960" s="1" t="s">
        <v>11753</v>
      </c>
      <c r="B2960" s="1" t="s">
        <v>11754</v>
      </c>
      <c r="C2960" s="1" t="s">
        <v>31</v>
      </c>
      <c r="D2960" s="1" t="s">
        <v>88</v>
      </c>
      <c r="E2960" s="1" t="s">
        <v>3116</v>
      </c>
      <c r="F2960" s="1" t="s">
        <v>11755</v>
      </c>
      <c r="G2960" s="1" t="s">
        <v>12490</v>
      </c>
      <c r="H2960" s="1" t="s">
        <v>11756</v>
      </c>
      <c r="I2960" s="2">
        <v>9.23</v>
      </c>
      <c r="J2960" s="2">
        <v>0.19</v>
      </c>
      <c r="K2960" s="2">
        <v>0.55000000000000004</v>
      </c>
      <c r="L2960" s="2">
        <v>0.89</v>
      </c>
      <c r="M2960" s="4">
        <f t="shared" si="276"/>
        <v>16.781818181818181</v>
      </c>
      <c r="N2960" s="4">
        <f t="shared" si="277"/>
        <v>10.370786516853933</v>
      </c>
      <c r="O2960" s="5">
        <f t="shared" si="278"/>
        <v>1.8947368421052633</v>
      </c>
      <c r="P2960" s="5">
        <f t="shared" si="279"/>
        <v>0.61818181818181817</v>
      </c>
      <c r="Q2960" s="4">
        <f t="shared" si="280"/>
        <v>8.8570707070707064E-2</v>
      </c>
      <c r="R2960" s="4">
        <f t="shared" si="281"/>
        <v>0.1677627230667548</v>
      </c>
      <c r="S2960" s="4">
        <v>-6.65</v>
      </c>
      <c r="T2960" s="2">
        <v>1.27</v>
      </c>
      <c r="U2960" s="2">
        <v>11.65</v>
      </c>
      <c r="V2960" s="2">
        <v>3.81</v>
      </c>
      <c r="W2960" s="2">
        <v>-13.01</v>
      </c>
      <c r="X2960" s="2">
        <v>-7.7</v>
      </c>
      <c r="Y2960" s="2">
        <v>2.96</v>
      </c>
      <c r="Z2960" s="2">
        <v>8.52</v>
      </c>
    </row>
    <row r="2961" spans="1:26" x14ac:dyDescent="0.25">
      <c r="A2961" s="1" t="s">
        <v>11757</v>
      </c>
      <c r="B2961" s="1" t="s">
        <v>11758</v>
      </c>
      <c r="C2961" s="1" t="s">
        <v>16</v>
      </c>
      <c r="D2961" s="1" t="s">
        <v>140</v>
      </c>
      <c r="E2961" s="1" t="s">
        <v>2558</v>
      </c>
      <c r="F2961" s="1" t="s">
        <v>11759</v>
      </c>
      <c r="G2961" s="1" t="s">
        <v>12480</v>
      </c>
      <c r="H2961" s="1" t="s">
        <v>11760</v>
      </c>
      <c r="I2961" s="2">
        <v>94.06</v>
      </c>
      <c r="J2961" s="2">
        <v>3.91</v>
      </c>
      <c r="K2961" s="2">
        <v>4.22</v>
      </c>
      <c r="L2961" s="2">
        <v>4.5599999999999996</v>
      </c>
      <c r="M2961" s="4">
        <f t="shared" si="276"/>
        <v>22.289099526066352</v>
      </c>
      <c r="N2961" s="4">
        <f t="shared" si="277"/>
        <v>20.627192982456144</v>
      </c>
      <c r="O2961" s="5">
        <f t="shared" si="278"/>
        <v>7.9283887468030612E-2</v>
      </c>
      <c r="P2961" s="5">
        <f t="shared" si="279"/>
        <v>8.0568720379146974E-2</v>
      </c>
      <c r="Q2961" s="4">
        <f t="shared" si="280"/>
        <v>2.8113025531264362</v>
      </c>
      <c r="R2961" s="4">
        <f t="shared" si="281"/>
        <v>2.5601986584107315</v>
      </c>
      <c r="S2961" s="4">
        <v>5.97</v>
      </c>
      <c r="T2961" s="2">
        <v>0.89</v>
      </c>
      <c r="U2961" s="2">
        <v>109.75</v>
      </c>
      <c r="V2961" s="2">
        <v>85.32</v>
      </c>
      <c r="W2961" s="2">
        <v>-3.25</v>
      </c>
      <c r="X2961" s="2">
        <v>1.48</v>
      </c>
      <c r="Y2961" s="2">
        <v>-6.2</v>
      </c>
      <c r="Z2961" s="2">
        <v>-5.73</v>
      </c>
    </row>
    <row r="2962" spans="1:26" x14ac:dyDescent="0.25">
      <c r="A2962" s="1" t="s">
        <v>11761</v>
      </c>
      <c r="B2962" s="1" t="s">
        <v>11762</v>
      </c>
      <c r="C2962" s="1" t="s">
        <v>31</v>
      </c>
      <c r="D2962" s="1" t="s">
        <v>305</v>
      </c>
      <c r="E2962" s="1" t="s">
        <v>306</v>
      </c>
      <c r="F2962" s="1" t="s">
        <v>11763</v>
      </c>
      <c r="G2962" s="1" t="s">
        <v>12480</v>
      </c>
      <c r="H2962" s="1" t="s">
        <v>11764</v>
      </c>
      <c r="I2962" s="2">
        <v>35.65</v>
      </c>
      <c r="J2962" s="2">
        <v>1.73</v>
      </c>
      <c r="K2962" s="2">
        <v>2.4300000000000002</v>
      </c>
      <c r="L2962" s="2">
        <v>2.76</v>
      </c>
      <c r="M2962" s="4">
        <f t="shared" si="276"/>
        <v>14.670781893004113</v>
      </c>
      <c r="N2962" s="4">
        <f t="shared" si="277"/>
        <v>12.916666666666668</v>
      </c>
      <c r="O2962" s="5">
        <f t="shared" si="278"/>
        <v>0.40462427745664753</v>
      </c>
      <c r="P2962" s="5">
        <f t="shared" si="279"/>
        <v>0.13580246913580241</v>
      </c>
      <c r="Q2962" s="4">
        <f t="shared" si="280"/>
        <v>0.36257789535567297</v>
      </c>
      <c r="R2962" s="4">
        <f t="shared" si="281"/>
        <v>0.95113636363636422</v>
      </c>
      <c r="S2962" s="4">
        <v>-1.72</v>
      </c>
      <c r="T2962" s="2">
        <v>1.1299999999999999</v>
      </c>
      <c r="U2962" s="2">
        <v>39.26</v>
      </c>
      <c r="V2962" s="2">
        <v>22.95</v>
      </c>
      <c r="W2962" s="2">
        <v>-5.24</v>
      </c>
      <c r="X2962" s="2">
        <v>-7.35</v>
      </c>
      <c r="Y2962" s="2">
        <v>12.21</v>
      </c>
      <c r="Z2962" s="2">
        <v>11.62</v>
      </c>
    </row>
    <row r="2963" spans="1:26" x14ac:dyDescent="0.25">
      <c r="A2963" s="1" t="s">
        <v>11765</v>
      </c>
      <c r="B2963" s="1" t="s">
        <v>11766</v>
      </c>
      <c r="C2963" s="1" t="s">
        <v>45</v>
      </c>
      <c r="D2963" s="1" t="s">
        <v>38</v>
      </c>
      <c r="E2963" s="1" t="s">
        <v>1244</v>
      </c>
      <c r="F2963" s="1" t="s">
        <v>11767</v>
      </c>
      <c r="G2963" s="1" t="s">
        <v>12480</v>
      </c>
      <c r="H2963" s="1" t="s">
        <v>11768</v>
      </c>
      <c r="I2963" s="2">
        <v>11.97</v>
      </c>
      <c r="J2963" s="2">
        <v>0.99</v>
      </c>
      <c r="K2963" s="2">
        <v>1.25</v>
      </c>
      <c r="L2963" s="2">
        <v>1.45</v>
      </c>
      <c r="M2963" s="4">
        <f t="shared" si="276"/>
        <v>9.5760000000000005</v>
      </c>
      <c r="N2963" s="4">
        <f t="shared" si="277"/>
        <v>8.2551724137931046</v>
      </c>
      <c r="O2963" s="5">
        <f t="shared" si="278"/>
        <v>0.26262626262626254</v>
      </c>
      <c r="P2963" s="5">
        <f t="shared" si="279"/>
        <v>0.15999999999999992</v>
      </c>
      <c r="Q2963" s="4">
        <f t="shared" si="280"/>
        <v>0.36462461538461549</v>
      </c>
      <c r="R2963" s="4">
        <f t="shared" si="281"/>
        <v>0.51594827586206926</v>
      </c>
      <c r="S2963" s="4">
        <v>-2.44</v>
      </c>
      <c r="T2963" s="2">
        <v>1.07</v>
      </c>
      <c r="U2963" s="2">
        <v>13.71</v>
      </c>
      <c r="V2963" s="2">
        <v>7.87</v>
      </c>
      <c r="W2963" s="2">
        <v>-6.56</v>
      </c>
      <c r="X2963" s="2">
        <v>-12.63</v>
      </c>
      <c r="Y2963" s="2">
        <v>0.5</v>
      </c>
      <c r="Z2963" s="2">
        <v>2.48</v>
      </c>
    </row>
    <row r="2964" spans="1:26" x14ac:dyDescent="0.25">
      <c r="A2964" s="1" t="s">
        <v>11769</v>
      </c>
      <c r="B2964" s="1" t="s">
        <v>11770</v>
      </c>
      <c r="C2964" s="1" t="s">
        <v>16</v>
      </c>
      <c r="D2964" s="1" t="s">
        <v>61</v>
      </c>
      <c r="E2964" s="1" t="s">
        <v>2186</v>
      </c>
      <c r="F2964" s="1" t="s">
        <v>11771</v>
      </c>
      <c r="G2964" s="1" t="s">
        <v>12480</v>
      </c>
      <c r="H2964" s="1" t="s">
        <v>11772</v>
      </c>
      <c r="I2964" s="2">
        <v>274.33</v>
      </c>
      <c r="J2964" s="2" t="s">
        <v>12497</v>
      </c>
      <c r="K2964" s="2">
        <v>8.85</v>
      </c>
      <c r="L2964" s="2">
        <v>10.71</v>
      </c>
      <c r="M2964" s="4">
        <f t="shared" si="276"/>
        <v>30.99774011299435</v>
      </c>
      <c r="N2964" s="4">
        <f t="shared" si="277"/>
        <v>25.614379084967318</v>
      </c>
      <c r="O2964" s="5">
        <f t="shared" si="278"/>
        <v>0.10624999999999996</v>
      </c>
      <c r="P2964" s="5">
        <f t="shared" si="279"/>
        <v>0.21016949152542397</v>
      </c>
      <c r="Q2964" s="4">
        <f t="shared" si="280"/>
        <v>2.9174343635759397</v>
      </c>
      <c r="R2964" s="4">
        <f t="shared" si="281"/>
        <v>1.2187486822686049</v>
      </c>
      <c r="S2964" s="4">
        <v>7.06</v>
      </c>
      <c r="T2964" s="2">
        <v>1.05</v>
      </c>
      <c r="U2964" s="2">
        <v>330.37</v>
      </c>
      <c r="V2964" s="2">
        <v>220.9</v>
      </c>
      <c r="W2964" s="2">
        <v>-10.41</v>
      </c>
      <c r="X2964" s="2">
        <v>-16.190000000000001</v>
      </c>
      <c r="Y2964" s="2">
        <v>-7.53</v>
      </c>
      <c r="Z2964" s="2">
        <v>-3.82</v>
      </c>
    </row>
    <row r="2965" spans="1:26" x14ac:dyDescent="0.25">
      <c r="A2965" s="1" t="s">
        <v>11773</v>
      </c>
      <c r="B2965" s="1" t="s">
        <v>11774</v>
      </c>
      <c r="C2965" s="1" t="s">
        <v>16</v>
      </c>
      <c r="D2965" s="1" t="s">
        <v>25</v>
      </c>
      <c r="E2965" s="1" t="s">
        <v>11239</v>
      </c>
      <c r="F2965" s="1" t="s">
        <v>11775</v>
      </c>
      <c r="G2965" s="1" t="s">
        <v>12480</v>
      </c>
      <c r="H2965" s="1" t="s">
        <v>1231</v>
      </c>
      <c r="I2965" s="2">
        <v>430.04</v>
      </c>
      <c r="J2965" s="2">
        <v>19.09</v>
      </c>
      <c r="K2965" s="2">
        <v>21.94</v>
      </c>
      <c r="L2965" s="2">
        <v>24.16</v>
      </c>
      <c r="M2965" s="4">
        <f t="shared" si="276"/>
        <v>19.600729261622607</v>
      </c>
      <c r="N2965" s="4">
        <f t="shared" si="277"/>
        <v>17.799668874172188</v>
      </c>
      <c r="O2965" s="5">
        <f t="shared" si="278"/>
        <v>0.14929282346778416</v>
      </c>
      <c r="P2965" s="5">
        <f t="shared" si="279"/>
        <v>0.1011850501367364</v>
      </c>
      <c r="Q2965" s="4">
        <f t="shared" si="280"/>
        <v>1.3129049880855286</v>
      </c>
      <c r="R2965" s="4">
        <f t="shared" si="281"/>
        <v>1.7591204283753981</v>
      </c>
      <c r="S2965" s="4">
        <v>0.71</v>
      </c>
      <c r="T2965" s="2">
        <v>1.19</v>
      </c>
      <c r="U2965" s="2">
        <v>477.85</v>
      </c>
      <c r="V2965" s="2">
        <v>263.86</v>
      </c>
      <c r="W2965" s="2">
        <v>-6.29</v>
      </c>
      <c r="X2965" s="2">
        <v>-9.4</v>
      </c>
      <c r="Y2965" s="2">
        <v>4.3899999999999997</v>
      </c>
      <c r="Z2965" s="2">
        <v>6.89</v>
      </c>
    </row>
    <row r="2966" spans="1:26" x14ac:dyDescent="0.25">
      <c r="A2966" s="1" t="s">
        <v>11776</v>
      </c>
      <c r="B2966" s="1" t="s">
        <v>11777</v>
      </c>
      <c r="C2966" s="1" t="s">
        <v>45</v>
      </c>
      <c r="D2966" s="1" t="s">
        <v>32</v>
      </c>
      <c r="E2966" s="1" t="s">
        <v>311</v>
      </c>
      <c r="F2966" s="1" t="s">
        <v>11778</v>
      </c>
      <c r="G2966" s="1" t="s">
        <v>12480</v>
      </c>
      <c r="H2966" s="1" t="s">
        <v>11779</v>
      </c>
      <c r="I2966" s="2">
        <v>9.7899999999999991</v>
      </c>
      <c r="J2966" s="2">
        <v>0.02</v>
      </c>
      <c r="K2966" s="2">
        <v>0.24</v>
      </c>
      <c r="L2966" s="2">
        <v>0.48</v>
      </c>
      <c r="M2966" s="4">
        <f t="shared" si="276"/>
        <v>40.791666666666664</v>
      </c>
      <c r="N2966" s="4">
        <f t="shared" si="277"/>
        <v>20.395833333333332</v>
      </c>
      <c r="O2966" s="5">
        <f t="shared" si="278"/>
        <v>11</v>
      </c>
      <c r="P2966" s="5">
        <f t="shared" si="279"/>
        <v>1</v>
      </c>
      <c r="Q2966" s="4">
        <f t="shared" si="280"/>
        <v>3.7083333333333329E-2</v>
      </c>
      <c r="R2966" s="4">
        <f t="shared" si="281"/>
        <v>0.20395833333333332</v>
      </c>
      <c r="S2966" s="4" t="s">
        <v>12873</v>
      </c>
      <c r="T2966" s="2">
        <v>0.01</v>
      </c>
      <c r="U2966" s="2">
        <v>14.03</v>
      </c>
      <c r="V2966" s="2">
        <v>4.74</v>
      </c>
      <c r="W2966" s="2">
        <v>-6.32</v>
      </c>
      <c r="X2966" s="2">
        <v>-17.38</v>
      </c>
      <c r="Y2966" s="2">
        <v>9.8800000000000008</v>
      </c>
      <c r="Z2966" s="2">
        <v>15.72</v>
      </c>
    </row>
    <row r="2967" spans="1:26" x14ac:dyDescent="0.25">
      <c r="A2967" s="1" t="s">
        <v>11780</v>
      </c>
      <c r="B2967" s="1" t="s">
        <v>11781</v>
      </c>
      <c r="C2967" s="1" t="s">
        <v>16</v>
      </c>
      <c r="D2967" s="1" t="s">
        <v>38</v>
      </c>
      <c r="E2967" s="1" t="s">
        <v>510</v>
      </c>
      <c r="F2967" s="1" t="s">
        <v>11782</v>
      </c>
      <c r="G2967" s="1" t="s">
        <v>12480</v>
      </c>
      <c r="H2967" s="1" t="s">
        <v>11783</v>
      </c>
      <c r="I2967" s="2">
        <v>26.99</v>
      </c>
      <c r="J2967" s="2">
        <v>2.3199999999999998</v>
      </c>
      <c r="K2967" s="2">
        <v>2.38</v>
      </c>
      <c r="L2967" s="2">
        <v>2.66</v>
      </c>
      <c r="M2967" s="4">
        <f t="shared" si="276"/>
        <v>11.340336134453782</v>
      </c>
      <c r="N2967" s="4">
        <f t="shared" si="277"/>
        <v>10.146616541353382</v>
      </c>
      <c r="O2967" s="5">
        <f t="shared" si="278"/>
        <v>2.5862068965517349E-2</v>
      </c>
      <c r="P2967" s="5">
        <f t="shared" si="279"/>
        <v>0.11764705882352944</v>
      </c>
      <c r="Q2967" s="4">
        <f t="shared" si="280"/>
        <v>4.384929971988778</v>
      </c>
      <c r="R2967" s="4">
        <f t="shared" si="281"/>
        <v>0.86246240601503721</v>
      </c>
      <c r="S2967" s="4">
        <v>1.27</v>
      </c>
      <c r="T2967" s="2">
        <v>1.53</v>
      </c>
      <c r="U2967" s="2">
        <v>42.97</v>
      </c>
      <c r="V2967" s="2">
        <v>26.94</v>
      </c>
      <c r="W2967" s="2">
        <v>-1.42</v>
      </c>
      <c r="X2967" s="2">
        <v>-12.91</v>
      </c>
      <c r="Y2967" s="2">
        <v>-22.42</v>
      </c>
      <c r="Z2967" s="2">
        <v>-18.899999999999999</v>
      </c>
    </row>
    <row r="2968" spans="1:26" x14ac:dyDescent="0.25">
      <c r="A2968" s="1" t="s">
        <v>11784</v>
      </c>
      <c r="B2968" s="1" t="s">
        <v>11785</v>
      </c>
      <c r="C2968" s="1" t="s">
        <v>45</v>
      </c>
      <c r="D2968" s="1" t="s">
        <v>94</v>
      </c>
      <c r="E2968" s="1" t="s">
        <v>894</v>
      </c>
      <c r="F2968" s="1" t="s">
        <v>11786</v>
      </c>
      <c r="G2968" s="1" t="s">
        <v>12480</v>
      </c>
      <c r="H2968" s="1" t="s">
        <v>11787</v>
      </c>
      <c r="I2968" s="2">
        <v>44.14</v>
      </c>
      <c r="J2968" s="2">
        <v>1.41</v>
      </c>
      <c r="K2968" s="2">
        <v>1.23</v>
      </c>
      <c r="L2968" s="2">
        <v>1.68</v>
      </c>
      <c r="M2968" s="4">
        <f t="shared" si="276"/>
        <v>35.886178861788622</v>
      </c>
      <c r="N2968" s="4">
        <f t="shared" si="277"/>
        <v>26.273809523809526</v>
      </c>
      <c r="O2968" s="5">
        <f t="shared" si="278"/>
        <v>-0.12765957446808507</v>
      </c>
      <c r="P2968" s="5">
        <f t="shared" si="279"/>
        <v>0.36585365853658525</v>
      </c>
      <c r="Q2968" s="4">
        <f t="shared" si="280"/>
        <v>-2.8110840108401094</v>
      </c>
      <c r="R2968" s="4">
        <f t="shared" si="281"/>
        <v>0.71815079365079393</v>
      </c>
      <c r="S2968" s="4">
        <v>62.14</v>
      </c>
      <c r="T2968" s="2">
        <v>0.48</v>
      </c>
      <c r="U2968" s="2">
        <v>47.59</v>
      </c>
      <c r="V2968" s="2">
        <v>35.840000000000003</v>
      </c>
      <c r="W2968" s="2">
        <v>-7.25</v>
      </c>
      <c r="X2968" s="2">
        <v>1.35</v>
      </c>
      <c r="Y2968" s="2">
        <v>11.94</v>
      </c>
      <c r="Z2968" s="2">
        <v>14.26</v>
      </c>
    </row>
    <row r="2969" spans="1:26" x14ac:dyDescent="0.25">
      <c r="A2969" s="1" t="s">
        <v>11788</v>
      </c>
      <c r="B2969" s="1" t="s">
        <v>11789</v>
      </c>
      <c r="C2969" s="1" t="s">
        <v>16</v>
      </c>
      <c r="D2969" s="1" t="s">
        <v>38</v>
      </c>
      <c r="E2969" s="1" t="s">
        <v>259</v>
      </c>
      <c r="F2969" s="1" t="s">
        <v>11790</v>
      </c>
      <c r="G2969" s="1" t="s">
        <v>12480</v>
      </c>
      <c r="H2969" s="1" t="s">
        <v>11791</v>
      </c>
      <c r="I2969" s="2">
        <v>93.76</v>
      </c>
      <c r="J2969" s="2"/>
      <c r="K2969" s="2"/>
      <c r="L2969" s="2"/>
      <c r="M2969" s="4" t="e">
        <f t="shared" si="276"/>
        <v>#DIV/0!</v>
      </c>
      <c r="N2969" s="4" t="e">
        <f t="shared" si="277"/>
        <v>#DIV/0!</v>
      </c>
      <c r="O2969" s="5" t="e">
        <f t="shared" si="278"/>
        <v>#DIV/0!</v>
      </c>
      <c r="P2969" s="5" t="e">
        <f t="shared" si="279"/>
        <v>#DIV/0!</v>
      </c>
      <c r="Q2969" s="4" t="e">
        <f t="shared" si="280"/>
        <v>#DIV/0!</v>
      </c>
      <c r="R2969" s="4" t="e">
        <f t="shared" si="281"/>
        <v>#DIV/0!</v>
      </c>
      <c r="S2969" s="4"/>
      <c r="T2969" s="2">
        <v>1.02</v>
      </c>
      <c r="U2969" s="2">
        <v>95.93</v>
      </c>
      <c r="V2969" s="2">
        <v>79.790000000000006</v>
      </c>
      <c r="W2969" s="2">
        <v>-2.2599999999999998</v>
      </c>
      <c r="X2969" s="2">
        <v>1.21</v>
      </c>
      <c r="Y2969" s="2">
        <v>4.49</v>
      </c>
      <c r="Z2969" s="2">
        <v>5.96</v>
      </c>
    </row>
    <row r="2970" spans="1:26" x14ac:dyDescent="0.25">
      <c r="A2970" s="1" t="s">
        <v>11792</v>
      </c>
      <c r="B2970" s="1" t="s">
        <v>11793</v>
      </c>
      <c r="C2970" s="1" t="s">
        <v>16</v>
      </c>
      <c r="D2970" s="1" t="s">
        <v>140</v>
      </c>
      <c r="E2970" s="1" t="s">
        <v>284</v>
      </c>
      <c r="F2970" s="1" t="s">
        <v>11794</v>
      </c>
      <c r="G2970" s="1" t="s">
        <v>12480</v>
      </c>
      <c r="H2970" s="1" t="s">
        <v>11795</v>
      </c>
      <c r="I2970" s="2">
        <v>38.6</v>
      </c>
      <c r="J2970" s="2">
        <v>3.2</v>
      </c>
      <c r="K2970" s="2">
        <v>3.41</v>
      </c>
      <c r="L2970" s="2">
        <v>3.71</v>
      </c>
      <c r="M2970" s="4">
        <f t="shared" si="276"/>
        <v>11.319648093841643</v>
      </c>
      <c r="N2970" s="4">
        <f t="shared" si="277"/>
        <v>10.404312668463612</v>
      </c>
      <c r="O2970" s="5">
        <f t="shared" si="278"/>
        <v>6.5625000000000044E-2</v>
      </c>
      <c r="P2970" s="5">
        <f t="shared" si="279"/>
        <v>8.7976539589442737E-2</v>
      </c>
      <c r="Q2970" s="4">
        <f t="shared" si="280"/>
        <v>1.7248987571568206</v>
      </c>
      <c r="R2970" s="4">
        <f t="shared" si="281"/>
        <v>1.1826235399820317</v>
      </c>
      <c r="S2970" s="4">
        <v>3.24</v>
      </c>
      <c r="T2970" s="2">
        <v>1.27</v>
      </c>
      <c r="U2970" s="2">
        <v>43.71</v>
      </c>
      <c r="V2970" s="2">
        <v>28.04</v>
      </c>
      <c r="W2970" s="2">
        <v>-6.11</v>
      </c>
      <c r="X2970" s="2">
        <v>-9.35</v>
      </c>
      <c r="Y2970" s="2">
        <v>3.51</v>
      </c>
      <c r="Z2970" s="2">
        <v>3.82</v>
      </c>
    </row>
    <row r="2971" spans="1:26" x14ac:dyDescent="0.25">
      <c r="A2971" s="1" t="s">
        <v>11796</v>
      </c>
      <c r="B2971" s="1" t="s">
        <v>11797</v>
      </c>
      <c r="C2971" s="1" t="s">
        <v>45</v>
      </c>
      <c r="D2971" s="1" t="s">
        <v>32</v>
      </c>
      <c r="E2971" s="1" t="s">
        <v>829</v>
      </c>
      <c r="F2971" s="1" t="s">
        <v>11798</v>
      </c>
      <c r="G2971" s="1" t="s">
        <v>12490</v>
      </c>
      <c r="H2971" s="1" t="s">
        <v>11799</v>
      </c>
      <c r="I2971" s="2">
        <v>14.48</v>
      </c>
      <c r="J2971" s="2">
        <v>0.83</v>
      </c>
      <c r="K2971" s="2">
        <v>0.95</v>
      </c>
      <c r="L2971" s="2">
        <v>1.1399999999999999</v>
      </c>
      <c r="M2971" s="4">
        <f t="shared" si="276"/>
        <v>15.242105263157896</v>
      </c>
      <c r="N2971" s="4">
        <f t="shared" si="277"/>
        <v>12.701754385964914</v>
      </c>
      <c r="O2971" s="5">
        <f t="shared" si="278"/>
        <v>0.14457831325301207</v>
      </c>
      <c r="P2971" s="5">
        <f t="shared" si="279"/>
        <v>0.19999999999999996</v>
      </c>
      <c r="Q2971" s="4">
        <f t="shared" si="280"/>
        <v>1.0542456140350875</v>
      </c>
      <c r="R2971" s="4">
        <f t="shared" si="281"/>
        <v>0.63508771929824581</v>
      </c>
      <c r="S2971" s="4">
        <v>-1.1499999999999999</v>
      </c>
      <c r="T2971" s="2">
        <v>0.48</v>
      </c>
      <c r="U2971" s="2">
        <v>15.86</v>
      </c>
      <c r="V2971" s="2">
        <v>8.19</v>
      </c>
      <c r="W2971" s="2">
        <v>-4.6100000000000003</v>
      </c>
      <c r="X2971" s="2">
        <v>-6.46</v>
      </c>
      <c r="Y2971" s="2">
        <v>14.02</v>
      </c>
      <c r="Z2971" s="2">
        <v>9.61</v>
      </c>
    </row>
    <row r="2972" spans="1:26" x14ac:dyDescent="0.25">
      <c r="A2972" s="1" t="s">
        <v>11800</v>
      </c>
      <c r="B2972" s="1" t="s">
        <v>11801</v>
      </c>
      <c r="C2972" s="1" t="s">
        <v>31</v>
      </c>
      <c r="D2972" s="1" t="s">
        <v>38</v>
      </c>
      <c r="E2972" s="1" t="s">
        <v>1806</v>
      </c>
      <c r="F2972" s="1" t="s">
        <v>11802</v>
      </c>
      <c r="G2972" s="1" t="s">
        <v>12480</v>
      </c>
      <c r="H2972" s="1" t="s">
        <v>11803</v>
      </c>
      <c r="I2972" s="2">
        <v>14.65</v>
      </c>
      <c r="J2972" s="2">
        <v>-0.61</v>
      </c>
      <c r="K2972" s="2">
        <v>1.1200000000000001</v>
      </c>
      <c r="L2972" s="2"/>
      <c r="M2972" s="4">
        <f t="shared" si="276"/>
        <v>13.080357142857142</v>
      </c>
      <c r="N2972" s="4" t="e">
        <f t="shared" si="277"/>
        <v>#DIV/0!</v>
      </c>
      <c r="O2972" s="5">
        <f t="shared" si="278"/>
        <v>-2.8360655737704921</v>
      </c>
      <c r="P2972" s="5">
        <f t="shared" si="279"/>
        <v>-1</v>
      </c>
      <c r="Q2972" s="4">
        <f t="shared" si="280"/>
        <v>-4.6121490503715931E-2</v>
      </c>
      <c r="R2972" s="4" t="e">
        <f t="shared" si="281"/>
        <v>#DIV/0!</v>
      </c>
      <c r="S2972" s="4">
        <v>4.37</v>
      </c>
      <c r="T2972" s="2">
        <v>1.22</v>
      </c>
      <c r="U2972" s="2">
        <v>17.760000000000002</v>
      </c>
      <c r="V2972" s="2">
        <v>12.99</v>
      </c>
      <c r="W2972" s="2">
        <v>-9.51</v>
      </c>
      <c r="X2972" s="2">
        <v>-0.75</v>
      </c>
      <c r="Y2972" s="2">
        <v>5.4</v>
      </c>
      <c r="Z2972" s="2">
        <v>2.2999999999999998</v>
      </c>
    </row>
    <row r="2973" spans="1:26" x14ac:dyDescent="0.25">
      <c r="A2973" s="1" t="s">
        <v>11804</v>
      </c>
      <c r="B2973" s="1" t="s">
        <v>11805</v>
      </c>
      <c r="C2973" s="1" t="s">
        <v>31</v>
      </c>
      <c r="D2973" s="1" t="s">
        <v>94</v>
      </c>
      <c r="E2973" s="1" t="s">
        <v>1925</v>
      </c>
      <c r="F2973" s="1" t="s">
        <v>11806</v>
      </c>
      <c r="G2973" s="1" t="s">
        <v>12480</v>
      </c>
      <c r="H2973" s="1" t="s">
        <v>11807</v>
      </c>
      <c r="I2973" s="2">
        <v>52.6</v>
      </c>
      <c r="J2973" s="2">
        <v>4.03</v>
      </c>
      <c r="K2973" s="2"/>
      <c r="L2973" s="2"/>
      <c r="M2973" s="4" t="e">
        <f t="shared" si="276"/>
        <v>#DIV/0!</v>
      </c>
      <c r="N2973" s="4" t="e">
        <f t="shared" si="277"/>
        <v>#DIV/0!</v>
      </c>
      <c r="O2973" s="5">
        <f t="shared" si="278"/>
        <v>-1</v>
      </c>
      <c r="P2973" s="5" t="e">
        <f t="shared" si="279"/>
        <v>#DIV/0!</v>
      </c>
      <c r="Q2973" s="4" t="e">
        <f t="shared" si="280"/>
        <v>#DIV/0!</v>
      </c>
      <c r="R2973" s="4" t="e">
        <f t="shared" si="281"/>
        <v>#DIV/0!</v>
      </c>
      <c r="S2973" s="4">
        <v>3.19</v>
      </c>
      <c r="T2973" s="2">
        <v>0.69</v>
      </c>
      <c r="U2973" s="2" t="s">
        <v>12677</v>
      </c>
      <c r="V2973" s="2">
        <v>39.56</v>
      </c>
      <c r="W2973" s="2">
        <v>-3.47</v>
      </c>
      <c r="X2973" s="2">
        <v>6.43</v>
      </c>
      <c r="Y2973" s="2">
        <v>16.29</v>
      </c>
      <c r="Z2973" s="2">
        <v>16.29</v>
      </c>
    </row>
    <row r="2974" spans="1:26" x14ac:dyDescent="0.25">
      <c r="A2974" s="1" t="s">
        <v>11808</v>
      </c>
      <c r="B2974" s="1" t="s">
        <v>11809</v>
      </c>
      <c r="C2974" s="1" t="s">
        <v>16</v>
      </c>
      <c r="D2974" s="1" t="s">
        <v>38</v>
      </c>
      <c r="E2974" s="1" t="s">
        <v>39</v>
      </c>
      <c r="F2974" s="1" t="s">
        <v>11810</v>
      </c>
      <c r="G2974" s="1" t="s">
        <v>12480</v>
      </c>
      <c r="H2974" s="1" t="s">
        <v>11811</v>
      </c>
      <c r="I2974" s="2">
        <v>68.05</v>
      </c>
      <c r="J2974" s="2">
        <v>8.85</v>
      </c>
      <c r="K2974" s="2">
        <v>9.81</v>
      </c>
      <c r="L2974" s="2">
        <v>11.48</v>
      </c>
      <c r="M2974" s="4">
        <f t="shared" si="276"/>
        <v>6.9367991845056061</v>
      </c>
      <c r="N2974" s="4">
        <f t="shared" si="277"/>
        <v>5.9277003484320554</v>
      </c>
      <c r="O2974" s="5">
        <f t="shared" si="278"/>
        <v>0.10847457627118651</v>
      </c>
      <c r="P2974" s="5">
        <f t="shared" si="279"/>
        <v>0.17023445463812426</v>
      </c>
      <c r="Q2974" s="4">
        <f t="shared" si="280"/>
        <v>0.63948617482161019</v>
      </c>
      <c r="R2974" s="4">
        <f t="shared" si="281"/>
        <v>0.3482080264557994</v>
      </c>
      <c r="S2974" s="4">
        <v>1.73</v>
      </c>
      <c r="T2974" s="2">
        <v>0.9</v>
      </c>
      <c r="U2974" s="2">
        <v>79.010000000000005</v>
      </c>
      <c r="V2974" s="2">
        <v>54.27</v>
      </c>
      <c r="W2974" s="2">
        <v>-0.01</v>
      </c>
      <c r="X2974" s="2">
        <v>-10.92</v>
      </c>
      <c r="Y2974" s="2">
        <v>-9.3000000000000007</v>
      </c>
      <c r="Z2974" s="2">
        <v>-8.65</v>
      </c>
    </row>
    <row r="2975" spans="1:26" x14ac:dyDescent="0.25">
      <c r="A2975" s="1" t="s">
        <v>11812</v>
      </c>
      <c r="B2975" s="1" t="s">
        <v>11813</v>
      </c>
      <c r="C2975" s="1" t="s">
        <v>16</v>
      </c>
      <c r="D2975" s="1" t="s">
        <v>204</v>
      </c>
      <c r="E2975" s="1" t="s">
        <v>534</v>
      </c>
      <c r="F2975" s="1" t="s">
        <v>11814</v>
      </c>
      <c r="G2975" s="1" t="s">
        <v>12480</v>
      </c>
      <c r="H2975" s="1" t="s">
        <v>11815</v>
      </c>
      <c r="I2975" s="2">
        <v>26.64</v>
      </c>
      <c r="J2975" s="2">
        <v>-2.0499999999999998</v>
      </c>
      <c r="K2975" s="2" t="s">
        <v>12609</v>
      </c>
      <c r="L2975" s="2">
        <v>-0.61</v>
      </c>
      <c r="M2975" s="4">
        <f t="shared" si="276"/>
        <v>-26.64</v>
      </c>
      <c r="N2975" s="4">
        <f t="shared" si="277"/>
        <v>-43.672131147540988</v>
      </c>
      <c r="O2975" s="5">
        <f t="shared" si="278"/>
        <v>-0.51219512195121952</v>
      </c>
      <c r="P2975" s="5">
        <f t="shared" si="279"/>
        <v>-0.39</v>
      </c>
      <c r="Q2975" s="4">
        <f t="shared" si="280"/>
        <v>0.52011428571428575</v>
      </c>
      <c r="R2975" s="4">
        <f t="shared" si="281"/>
        <v>1.119798234552333</v>
      </c>
      <c r="S2975" s="4">
        <v>15.42</v>
      </c>
      <c r="T2975" s="2"/>
      <c r="U2975" s="2">
        <v>56.48</v>
      </c>
      <c r="V2975" s="2">
        <v>17.989999999999998</v>
      </c>
      <c r="W2975" s="2">
        <v>-5.23</v>
      </c>
      <c r="X2975" s="2">
        <v>-8.3000000000000007</v>
      </c>
      <c r="Y2975" s="2">
        <v>7.77</v>
      </c>
      <c r="Z2975" s="2">
        <v>1.91</v>
      </c>
    </row>
    <row r="2976" spans="1:26" x14ac:dyDescent="0.25">
      <c r="A2976" s="1" t="s">
        <v>11816</v>
      </c>
      <c r="B2976" s="1" t="s">
        <v>11817</v>
      </c>
      <c r="C2976" s="1" t="s">
        <v>45</v>
      </c>
      <c r="D2976" s="1" t="s">
        <v>18</v>
      </c>
      <c r="E2976" s="1" t="s">
        <v>74</v>
      </c>
      <c r="F2976" s="1" t="s">
        <v>11818</v>
      </c>
      <c r="G2976" s="1" t="s">
        <v>12480</v>
      </c>
      <c r="H2976" s="1" t="s">
        <v>2730</v>
      </c>
      <c r="I2976" s="2">
        <v>29.65</v>
      </c>
      <c r="J2976" s="2">
        <v>-3.32</v>
      </c>
      <c r="K2976" s="2">
        <v>-3.56</v>
      </c>
      <c r="L2976" s="2">
        <v>-1.56</v>
      </c>
      <c r="M2976" s="4">
        <f t="shared" si="276"/>
        <v>-8.3286516853932575</v>
      </c>
      <c r="N2976" s="4">
        <f t="shared" si="277"/>
        <v>-19.006410256410255</v>
      </c>
      <c r="O2976" s="5">
        <f t="shared" si="278"/>
        <v>7.2289156626506035E-2</v>
      </c>
      <c r="P2976" s="5">
        <f t="shared" si="279"/>
        <v>-0.5617977528089888</v>
      </c>
      <c r="Q2976" s="4">
        <f t="shared" si="280"/>
        <v>-1.1521301498127339</v>
      </c>
      <c r="R2976" s="4">
        <f t="shared" si="281"/>
        <v>0.33831410256410255</v>
      </c>
      <c r="S2976" s="4">
        <v>23359.93</v>
      </c>
      <c r="T2976" s="2" t="s">
        <v>12493</v>
      </c>
      <c r="U2976" s="2">
        <v>33.78</v>
      </c>
      <c r="V2976" s="2">
        <v>11.02</v>
      </c>
      <c r="W2976" s="2">
        <v>-1.98</v>
      </c>
      <c r="X2976" s="2">
        <v>0.17</v>
      </c>
      <c r="Y2976" s="2">
        <v>-10.23</v>
      </c>
      <c r="Z2976" s="2">
        <v>-4.72</v>
      </c>
    </row>
    <row r="2977" spans="1:26" x14ac:dyDescent="0.25">
      <c r="A2977" s="1" t="s">
        <v>11819</v>
      </c>
      <c r="B2977" s="1" t="s">
        <v>11820</v>
      </c>
      <c r="C2977" s="1" t="s">
        <v>16</v>
      </c>
      <c r="D2977" s="1" t="s">
        <v>38</v>
      </c>
      <c r="E2977" s="1" t="s">
        <v>765</v>
      </c>
      <c r="F2977" s="1" t="s">
        <v>11821</v>
      </c>
      <c r="G2977" s="1" t="s">
        <v>12480</v>
      </c>
      <c r="H2977" s="1" t="s">
        <v>11822</v>
      </c>
      <c r="I2977" s="2">
        <v>18.850000000000001</v>
      </c>
      <c r="J2977" s="2">
        <v>0.72</v>
      </c>
      <c r="K2977" s="2">
        <v>0.74</v>
      </c>
      <c r="L2977" s="2">
        <v>0.8</v>
      </c>
      <c r="M2977" s="4">
        <f t="shared" si="276"/>
        <v>25.472972972972975</v>
      </c>
      <c r="N2977" s="4">
        <f t="shared" si="277"/>
        <v>23.5625</v>
      </c>
      <c r="O2977" s="5">
        <f t="shared" si="278"/>
        <v>2.7777777777777901E-2</v>
      </c>
      <c r="P2977" s="5">
        <f t="shared" si="279"/>
        <v>8.1081081081081141E-2</v>
      </c>
      <c r="Q2977" s="4">
        <f t="shared" si="280"/>
        <v>9.1702702702702297</v>
      </c>
      <c r="R2977" s="4">
        <f t="shared" si="281"/>
        <v>2.9060416666666646</v>
      </c>
      <c r="S2977" s="4">
        <v>6.4</v>
      </c>
      <c r="T2977" s="2">
        <v>1.21</v>
      </c>
      <c r="U2977" s="2">
        <v>18.87</v>
      </c>
      <c r="V2977" s="2">
        <v>13.74</v>
      </c>
      <c r="W2977" s="2" t="s">
        <v>12489</v>
      </c>
      <c r="X2977" s="2">
        <v>13.55</v>
      </c>
      <c r="Y2977" s="2">
        <v>27.11</v>
      </c>
      <c r="Z2977" s="2">
        <v>26.68</v>
      </c>
    </row>
    <row r="2978" spans="1:26" x14ac:dyDescent="0.25">
      <c r="A2978" s="1" t="s">
        <v>11823</v>
      </c>
      <c r="B2978" s="1" t="s">
        <v>11824</v>
      </c>
      <c r="C2978" s="1" t="s">
        <v>45</v>
      </c>
      <c r="D2978" s="1" t="s">
        <v>32</v>
      </c>
      <c r="E2978" s="1" t="s">
        <v>2571</v>
      </c>
      <c r="F2978" s="1" t="s">
        <v>11825</v>
      </c>
      <c r="G2978" s="1" t="s">
        <v>12480</v>
      </c>
      <c r="H2978" s="1" t="s">
        <v>6324</v>
      </c>
      <c r="I2978" s="2">
        <v>24.34</v>
      </c>
      <c r="J2978" s="2">
        <v>0.18</v>
      </c>
      <c r="K2978" s="2">
        <v>0.08</v>
      </c>
      <c r="L2978" s="2">
        <v>0.49</v>
      </c>
      <c r="M2978" s="4">
        <f t="shared" si="276"/>
        <v>304.25</v>
      </c>
      <c r="N2978" s="4">
        <f t="shared" si="277"/>
        <v>49.673469387755105</v>
      </c>
      <c r="O2978" s="5">
        <f t="shared" si="278"/>
        <v>-0.55555555555555558</v>
      </c>
      <c r="P2978" s="5">
        <f t="shared" si="279"/>
        <v>5.125</v>
      </c>
      <c r="Q2978" s="4">
        <f t="shared" si="280"/>
        <v>-5.4764999999999997</v>
      </c>
      <c r="R2978" s="4">
        <f t="shared" si="281"/>
        <v>9.6923842707814845E-2</v>
      </c>
      <c r="S2978" s="4">
        <v>13.17</v>
      </c>
      <c r="T2978" s="2">
        <v>0.61</v>
      </c>
      <c r="U2978" s="2">
        <v>63.31</v>
      </c>
      <c r="V2978" s="2">
        <v>21.08</v>
      </c>
      <c r="W2978" s="2">
        <v>5.46</v>
      </c>
      <c r="X2978" s="2">
        <v>-4.96</v>
      </c>
      <c r="Y2978" s="2">
        <v>-26.24</v>
      </c>
      <c r="Z2978" s="2">
        <v>-25.79</v>
      </c>
    </row>
    <row r="2979" spans="1:26" x14ac:dyDescent="0.25">
      <c r="A2979" s="1" t="s">
        <v>11826</v>
      </c>
      <c r="B2979" s="1" t="s">
        <v>11827</v>
      </c>
      <c r="C2979" s="1" t="s">
        <v>45</v>
      </c>
      <c r="D2979" s="1" t="s">
        <v>32</v>
      </c>
      <c r="E2979" s="1" t="s">
        <v>311</v>
      </c>
      <c r="F2979" s="1" t="s">
        <v>11828</v>
      </c>
      <c r="G2979" s="1" t="s">
        <v>12480</v>
      </c>
      <c r="H2979" s="1" t="s">
        <v>1181</v>
      </c>
      <c r="I2979" s="2">
        <v>16.25</v>
      </c>
      <c r="J2979" s="2">
        <v>1.32</v>
      </c>
      <c r="K2979" s="2">
        <v>1.35</v>
      </c>
      <c r="L2979" s="2">
        <v>1.51</v>
      </c>
      <c r="M2979" s="4">
        <f t="shared" si="276"/>
        <v>12.037037037037036</v>
      </c>
      <c r="N2979" s="4">
        <f t="shared" si="277"/>
        <v>10.76158940397351</v>
      </c>
      <c r="O2979" s="5">
        <f t="shared" si="278"/>
        <v>2.2727272727272707E-2</v>
      </c>
      <c r="P2979" s="5">
        <f t="shared" si="279"/>
        <v>0.11851851851851847</v>
      </c>
      <c r="Q2979" s="4">
        <f t="shared" si="280"/>
        <v>5.2962962962963003</v>
      </c>
      <c r="R2979" s="4">
        <f t="shared" si="281"/>
        <v>0.90800910596026518</v>
      </c>
      <c r="S2979" s="4">
        <v>11.36</v>
      </c>
      <c r="T2979" s="2">
        <v>0.6</v>
      </c>
      <c r="U2979" s="2">
        <v>25.65</v>
      </c>
      <c r="V2979" s="2">
        <v>16.18</v>
      </c>
      <c r="W2979" s="2">
        <v>-2.69</v>
      </c>
      <c r="X2979" s="2">
        <v>-12.4</v>
      </c>
      <c r="Y2979" s="2">
        <v>-24.77</v>
      </c>
      <c r="Z2979" s="2">
        <v>-27.49</v>
      </c>
    </row>
    <row r="2980" spans="1:26" x14ac:dyDescent="0.25">
      <c r="A2980" s="1" t="s">
        <v>11829</v>
      </c>
      <c r="B2980" s="1" t="s">
        <v>11830</v>
      </c>
      <c r="C2980" s="1" t="s">
        <v>45</v>
      </c>
      <c r="D2980" s="1" t="s">
        <v>140</v>
      </c>
      <c r="E2980" s="1" t="s">
        <v>4364</v>
      </c>
      <c r="F2980" s="1" t="s">
        <v>11831</v>
      </c>
      <c r="G2980" s="1" t="s">
        <v>12480</v>
      </c>
      <c r="H2980" s="1" t="s">
        <v>11832</v>
      </c>
      <c r="I2980" s="2">
        <v>210.28</v>
      </c>
      <c r="J2980" s="2">
        <v>7.16</v>
      </c>
      <c r="K2980" s="2">
        <v>7.62</v>
      </c>
      <c r="L2980" s="2">
        <v>8.6300000000000008</v>
      </c>
      <c r="M2980" s="4">
        <f t="shared" si="276"/>
        <v>27.595800524934383</v>
      </c>
      <c r="N2980" s="4">
        <f t="shared" si="277"/>
        <v>24.366164542294321</v>
      </c>
      <c r="O2980" s="5">
        <f t="shared" si="278"/>
        <v>6.4245810055865826E-2</v>
      </c>
      <c r="P2980" s="5">
        <f t="shared" si="279"/>
        <v>0.13254593175853024</v>
      </c>
      <c r="Q2980" s="4">
        <f t="shared" si="280"/>
        <v>4.2953463425767495</v>
      </c>
      <c r="R2980" s="4">
        <f t="shared" si="281"/>
        <v>1.8383185525968577</v>
      </c>
      <c r="S2980" s="4">
        <v>6.63</v>
      </c>
      <c r="T2980" s="2">
        <v>0.81</v>
      </c>
      <c r="U2980" s="2">
        <v>321.33</v>
      </c>
      <c r="V2980" s="2">
        <v>169.47</v>
      </c>
      <c r="W2980" s="2">
        <v>-2.1</v>
      </c>
      <c r="X2980" s="2" t="s">
        <v>12518</v>
      </c>
      <c r="Y2980" s="2">
        <v>-3.64</v>
      </c>
      <c r="Z2980" s="2">
        <v>-5.99</v>
      </c>
    </row>
    <row r="2981" spans="1:26" x14ac:dyDescent="0.25">
      <c r="A2981" s="1" t="s">
        <v>11833</v>
      </c>
      <c r="B2981" s="1" t="s">
        <v>11834</v>
      </c>
      <c r="C2981" s="1" t="s">
        <v>45</v>
      </c>
      <c r="D2981" s="1" t="s">
        <v>32</v>
      </c>
      <c r="E2981" s="1" t="s">
        <v>3521</v>
      </c>
      <c r="F2981" s="1" t="s">
        <v>11835</v>
      </c>
      <c r="G2981" s="1" t="s">
        <v>12480</v>
      </c>
      <c r="H2981" s="1" t="s">
        <v>11836</v>
      </c>
      <c r="I2981" s="2">
        <v>242.38</v>
      </c>
      <c r="J2981" s="2">
        <v>8.81</v>
      </c>
      <c r="K2981" s="2">
        <v>9.68</v>
      </c>
      <c r="L2981" s="2">
        <v>10.61</v>
      </c>
      <c r="M2981" s="4">
        <f t="shared" si="276"/>
        <v>25.039256198347108</v>
      </c>
      <c r="N2981" s="4">
        <f t="shared" si="277"/>
        <v>22.844486333647502</v>
      </c>
      <c r="O2981" s="5">
        <f t="shared" si="278"/>
        <v>9.8751418842224714E-2</v>
      </c>
      <c r="P2981" s="5">
        <f t="shared" si="279"/>
        <v>9.6074380165289242E-2</v>
      </c>
      <c r="Q2981" s="4">
        <f t="shared" si="280"/>
        <v>2.5355844495107824</v>
      </c>
      <c r="R2981" s="4">
        <f t="shared" si="281"/>
        <v>2.3777916958033103</v>
      </c>
      <c r="S2981" s="4">
        <v>6.37</v>
      </c>
      <c r="T2981" s="2">
        <v>0.76</v>
      </c>
      <c r="U2981" s="2">
        <v>305.98</v>
      </c>
      <c r="V2981" s="2">
        <v>211.49</v>
      </c>
      <c r="W2981" s="2">
        <v>6.28</v>
      </c>
      <c r="X2981" s="2">
        <v>10.24</v>
      </c>
      <c r="Y2981" s="2">
        <v>0.21</v>
      </c>
      <c r="Z2981" s="2">
        <v>-0.23</v>
      </c>
    </row>
    <row r="2982" spans="1:26" x14ac:dyDescent="0.25">
      <c r="A2982" s="1" t="s">
        <v>11837</v>
      </c>
      <c r="B2982" s="1" t="s">
        <v>11838</v>
      </c>
      <c r="C2982" s="1" t="s">
        <v>16</v>
      </c>
      <c r="D2982" s="1" t="s">
        <v>32</v>
      </c>
      <c r="E2982" s="1" t="s">
        <v>248</v>
      </c>
      <c r="F2982" s="1" t="s">
        <v>11839</v>
      </c>
      <c r="G2982" s="1" t="s">
        <v>12480</v>
      </c>
      <c r="H2982" s="1" t="s">
        <v>11840</v>
      </c>
      <c r="I2982" s="2">
        <v>264.35000000000002</v>
      </c>
      <c r="J2982" s="2">
        <v>4.2</v>
      </c>
      <c r="K2982" s="2">
        <v>6.15</v>
      </c>
      <c r="L2982" s="2">
        <v>8.1</v>
      </c>
      <c r="M2982" s="4">
        <f t="shared" si="276"/>
        <v>42.983739837398375</v>
      </c>
      <c r="N2982" s="4">
        <f t="shared" si="277"/>
        <v>32.635802469135804</v>
      </c>
      <c r="O2982" s="5">
        <f t="shared" si="278"/>
        <v>0.46428571428571441</v>
      </c>
      <c r="P2982" s="5">
        <f t="shared" si="279"/>
        <v>0.31707317073170715</v>
      </c>
      <c r="Q2982" s="4">
        <f t="shared" si="280"/>
        <v>0.92580362726704157</v>
      </c>
      <c r="R2982" s="4">
        <f t="shared" si="281"/>
        <v>1.0292830009496683</v>
      </c>
      <c r="S2982" s="4">
        <v>27.69</v>
      </c>
      <c r="T2982" s="2">
        <v>2.02</v>
      </c>
      <c r="U2982" s="2">
        <v>264.35000000000002</v>
      </c>
      <c r="V2982" s="2">
        <v>59.41</v>
      </c>
      <c r="W2982" s="2">
        <v>2.56</v>
      </c>
      <c r="X2982" s="2">
        <v>30.87</v>
      </c>
      <c r="Y2982" s="2">
        <v>63.44</v>
      </c>
      <c r="Z2982" s="2">
        <v>63.17</v>
      </c>
    </row>
    <row r="2983" spans="1:26" x14ac:dyDescent="0.25">
      <c r="A2983" s="1" t="s">
        <v>11841</v>
      </c>
      <c r="B2983" s="1" t="s">
        <v>11842</v>
      </c>
      <c r="C2983" s="1" t="s">
        <v>45</v>
      </c>
      <c r="D2983" s="1" t="s">
        <v>18</v>
      </c>
      <c r="E2983" s="1" t="s">
        <v>74</v>
      </c>
      <c r="F2983" s="1" t="s">
        <v>11843</v>
      </c>
      <c r="G2983" s="1" t="s">
        <v>12480</v>
      </c>
      <c r="H2983" s="1" t="s">
        <v>11844</v>
      </c>
      <c r="I2983" s="2">
        <v>460.87</v>
      </c>
      <c r="J2983" s="2">
        <v>18.399999999999999</v>
      </c>
      <c r="K2983" s="2">
        <v>19.14</v>
      </c>
      <c r="L2983" s="2">
        <v>21.13</v>
      </c>
      <c r="M2983" s="4">
        <f t="shared" si="276"/>
        <v>24.078892371995821</v>
      </c>
      <c r="N2983" s="4">
        <f t="shared" si="277"/>
        <v>21.811168954093706</v>
      </c>
      <c r="O2983" s="5">
        <f t="shared" si="278"/>
        <v>4.0217391304347982E-2</v>
      </c>
      <c r="P2983" s="5">
        <f t="shared" si="279"/>
        <v>0.10397074190177635</v>
      </c>
      <c r="Q2983" s="4">
        <f t="shared" si="280"/>
        <v>5.987184049252992</v>
      </c>
      <c r="R2983" s="4">
        <f t="shared" si="281"/>
        <v>2.0978179587002694</v>
      </c>
      <c r="S2983" s="4">
        <v>8.9</v>
      </c>
      <c r="T2983" s="2">
        <v>0.31</v>
      </c>
      <c r="U2983" s="2">
        <v>513.76</v>
      </c>
      <c r="V2983" s="2">
        <v>366.54</v>
      </c>
      <c r="W2983" s="2">
        <v>-5.18</v>
      </c>
      <c r="X2983" s="2">
        <v>-2.12</v>
      </c>
      <c r="Y2983" s="2">
        <v>1.1299999999999999</v>
      </c>
      <c r="Z2983" s="2">
        <v>1.66</v>
      </c>
    </row>
    <row r="2984" spans="1:26" x14ac:dyDescent="0.25">
      <c r="A2984" s="1" t="s">
        <v>11845</v>
      </c>
      <c r="B2984" s="1" t="s">
        <v>11846</v>
      </c>
      <c r="C2984" s="1" t="s">
        <v>45</v>
      </c>
      <c r="D2984" s="1" t="s">
        <v>32</v>
      </c>
      <c r="E2984" s="1" t="s">
        <v>1159</v>
      </c>
      <c r="F2984" s="1" t="s">
        <v>11847</v>
      </c>
      <c r="G2984" s="1" t="s">
        <v>12490</v>
      </c>
      <c r="H2984" s="1" t="s">
        <v>11848</v>
      </c>
      <c r="I2984" s="2">
        <v>45.98</v>
      </c>
      <c r="J2984" s="2">
        <v>0.16</v>
      </c>
      <c r="K2984" s="2">
        <v>1.31</v>
      </c>
      <c r="L2984" s="2">
        <v>0.53</v>
      </c>
      <c r="M2984" s="4">
        <f t="shared" si="276"/>
        <v>35.099236641221367</v>
      </c>
      <c r="N2984" s="4">
        <f t="shared" si="277"/>
        <v>86.754716981132063</v>
      </c>
      <c r="O2984" s="5">
        <f t="shared" si="278"/>
        <v>7.1875</v>
      </c>
      <c r="P2984" s="5">
        <f t="shared" si="279"/>
        <v>-0.59541984732824427</v>
      </c>
      <c r="Q2984" s="4">
        <f t="shared" si="280"/>
        <v>4.8833720544307992E-2</v>
      </c>
      <c r="R2984" s="4">
        <f t="shared" si="281"/>
        <v>-1.4570343492985001</v>
      </c>
      <c r="S2984" s="4">
        <v>5.5</v>
      </c>
      <c r="T2984" s="2">
        <v>1.44</v>
      </c>
      <c r="U2984" s="2">
        <v>48.85</v>
      </c>
      <c r="V2984" s="2">
        <v>7.7</v>
      </c>
      <c r="W2984" s="2">
        <v>-2.67</v>
      </c>
      <c r="X2984" s="2">
        <v>-0.65</v>
      </c>
      <c r="Y2984" s="2">
        <v>30.03</v>
      </c>
      <c r="Z2984" s="2">
        <v>33.43</v>
      </c>
    </row>
    <row r="2985" spans="1:26" x14ac:dyDescent="0.25">
      <c r="A2985" s="1" t="s">
        <v>11849</v>
      </c>
      <c r="B2985" s="1" t="s">
        <v>11850</v>
      </c>
      <c r="C2985" s="1" t="s">
        <v>16</v>
      </c>
      <c r="D2985" s="1" t="s">
        <v>67</v>
      </c>
      <c r="E2985" s="1" t="s">
        <v>381</v>
      </c>
      <c r="F2985" s="1" t="s">
        <v>11851</v>
      </c>
      <c r="G2985" s="1" t="s">
        <v>12493</v>
      </c>
      <c r="H2985" s="1" t="s">
        <v>11202</v>
      </c>
      <c r="I2985" s="2">
        <v>48.12</v>
      </c>
      <c r="J2985" s="2" t="s">
        <v>12490</v>
      </c>
      <c r="K2985" s="2">
        <v>3.21</v>
      </c>
      <c r="L2985" s="2">
        <v>3.82</v>
      </c>
      <c r="M2985" s="4">
        <f t="shared" si="276"/>
        <v>14.990654205607475</v>
      </c>
      <c r="N2985" s="4">
        <f t="shared" si="277"/>
        <v>12.596858638743456</v>
      </c>
      <c r="O2985" s="5">
        <f t="shared" si="278"/>
        <v>7.0000000000000062E-2</v>
      </c>
      <c r="P2985" s="5">
        <f t="shared" si="279"/>
        <v>0.19003115264797499</v>
      </c>
      <c r="Q2985" s="4">
        <f t="shared" si="280"/>
        <v>2.1415220293724944</v>
      </c>
      <c r="R2985" s="4">
        <f t="shared" si="281"/>
        <v>0.66288387262895909</v>
      </c>
      <c r="S2985" s="4">
        <v>5.2</v>
      </c>
      <c r="T2985" s="2">
        <v>2.19</v>
      </c>
      <c r="U2985" s="2">
        <v>65.900000000000006</v>
      </c>
      <c r="V2985" s="2">
        <v>14.87</v>
      </c>
      <c r="W2985" s="2">
        <v>-21.35</v>
      </c>
      <c r="X2985" s="2">
        <v>-22.14</v>
      </c>
      <c r="Y2985" s="2">
        <v>-12.13</v>
      </c>
      <c r="Z2985" s="2">
        <v>-11.17</v>
      </c>
    </row>
    <row r="2986" spans="1:26" x14ac:dyDescent="0.25">
      <c r="A2986" s="1" t="s">
        <v>11852</v>
      </c>
      <c r="B2986" s="1" t="s">
        <v>11853</v>
      </c>
      <c r="C2986" s="1" t="s">
        <v>45</v>
      </c>
      <c r="D2986" s="1" t="s">
        <v>61</v>
      </c>
      <c r="E2986" s="1" t="s">
        <v>237</v>
      </c>
      <c r="F2986" s="1" t="s">
        <v>11854</v>
      </c>
      <c r="G2986" s="1" t="s">
        <v>12480</v>
      </c>
      <c r="H2986" s="1" t="s">
        <v>4773</v>
      </c>
      <c r="I2986" s="2">
        <v>217.74</v>
      </c>
      <c r="J2986" s="2">
        <v>3.92</v>
      </c>
      <c r="K2986" s="2">
        <v>4.6399999999999997</v>
      </c>
      <c r="L2986" s="2">
        <v>5.76</v>
      </c>
      <c r="M2986" s="4">
        <f t="shared" si="276"/>
        <v>46.926724137931039</v>
      </c>
      <c r="N2986" s="4">
        <f t="shared" si="277"/>
        <v>37.802083333333336</v>
      </c>
      <c r="O2986" s="5">
        <f t="shared" si="278"/>
        <v>0.18367346938775508</v>
      </c>
      <c r="P2986" s="5">
        <f t="shared" si="279"/>
        <v>0.24137931034482762</v>
      </c>
      <c r="Q2986" s="4">
        <f t="shared" si="280"/>
        <v>2.5548994252873567</v>
      </c>
      <c r="R2986" s="4">
        <f t="shared" si="281"/>
        <v>1.5660863095238093</v>
      </c>
      <c r="S2986" s="4">
        <v>2.98</v>
      </c>
      <c r="T2986" s="2">
        <v>1.34</v>
      </c>
      <c r="U2986" s="2">
        <v>227.78</v>
      </c>
      <c r="V2986" s="2">
        <v>103.15</v>
      </c>
      <c r="W2986" s="2">
        <v>-1.9</v>
      </c>
      <c r="X2986" s="2">
        <v>6.24</v>
      </c>
      <c r="Y2986" s="2">
        <v>28.55</v>
      </c>
      <c r="Z2986" s="2">
        <v>26.03</v>
      </c>
    </row>
    <row r="2987" spans="1:26" x14ac:dyDescent="0.25">
      <c r="A2987" s="1" t="s">
        <v>11855</v>
      </c>
      <c r="B2987" s="1" t="s">
        <v>11856</v>
      </c>
      <c r="C2987" s="1" t="s">
        <v>16</v>
      </c>
      <c r="D2987" s="1" t="s">
        <v>32</v>
      </c>
      <c r="E2987" s="1" t="s">
        <v>11858</v>
      </c>
      <c r="F2987" s="1" t="s">
        <v>11857</v>
      </c>
      <c r="G2987" s="1" t="s">
        <v>12480</v>
      </c>
      <c r="H2987" s="1" t="s">
        <v>11859</v>
      </c>
      <c r="I2987" s="2">
        <v>16.79</v>
      </c>
      <c r="J2987" s="2">
        <v>-0.05</v>
      </c>
      <c r="K2987" s="2">
        <v>0.51</v>
      </c>
      <c r="L2987" s="2">
        <v>1.01</v>
      </c>
      <c r="M2987" s="4">
        <f t="shared" si="276"/>
        <v>32.921568627450981</v>
      </c>
      <c r="N2987" s="4">
        <f t="shared" si="277"/>
        <v>16.623762376237622</v>
      </c>
      <c r="O2987" s="5">
        <f t="shared" si="278"/>
        <v>-11.2</v>
      </c>
      <c r="P2987" s="5">
        <f t="shared" si="279"/>
        <v>0.98039215686274517</v>
      </c>
      <c r="Q2987" s="4">
        <f t="shared" si="280"/>
        <v>-2.9394257703081232E-2</v>
      </c>
      <c r="R2987" s="4">
        <f t="shared" si="281"/>
        <v>0.16956237623762374</v>
      </c>
      <c r="S2987" s="4">
        <v>4.4800000000000004</v>
      </c>
      <c r="T2987" s="2">
        <v>1.1399999999999999</v>
      </c>
      <c r="U2987" s="2">
        <v>20.74</v>
      </c>
      <c r="V2987" s="2">
        <v>10.57</v>
      </c>
      <c r="W2987" s="2">
        <v>-12.32</v>
      </c>
      <c r="X2987" s="2">
        <v>-13.81</v>
      </c>
      <c r="Y2987" s="2">
        <v>10.82</v>
      </c>
      <c r="Z2987" s="2">
        <v>15.87</v>
      </c>
    </row>
    <row r="2988" spans="1:26" x14ac:dyDescent="0.25">
      <c r="A2988" s="1" t="s">
        <v>11860</v>
      </c>
      <c r="B2988" s="1" t="s">
        <v>11861</v>
      </c>
      <c r="C2988" s="1" t="s">
        <v>45</v>
      </c>
      <c r="D2988" s="1" t="s">
        <v>147</v>
      </c>
      <c r="E2988" s="1" t="s">
        <v>1460</v>
      </c>
      <c r="F2988" s="1" t="s">
        <v>11862</v>
      </c>
      <c r="G2988" s="1" t="s">
        <v>12480</v>
      </c>
      <c r="H2988" s="1" t="s">
        <v>11863</v>
      </c>
      <c r="I2988" s="2">
        <v>36.54</v>
      </c>
      <c r="J2988" s="2"/>
      <c r="K2988" s="2">
        <v>3.7</v>
      </c>
      <c r="L2988" s="2">
        <v>2.96</v>
      </c>
      <c r="M2988" s="4">
        <f t="shared" si="276"/>
        <v>9.8756756756756747</v>
      </c>
      <c r="N2988" s="4">
        <f t="shared" si="277"/>
        <v>12.344594594594595</v>
      </c>
      <c r="O2988" s="5" t="e">
        <f t="shared" si="278"/>
        <v>#DIV/0!</v>
      </c>
      <c r="P2988" s="5">
        <f t="shared" si="279"/>
        <v>-0.20000000000000007</v>
      </c>
      <c r="Q2988" s="4" t="e">
        <f t="shared" si="280"/>
        <v>#DIV/0!</v>
      </c>
      <c r="R2988" s="4">
        <f t="shared" si="281"/>
        <v>-0.61722972972972956</v>
      </c>
      <c r="S2988" s="4"/>
      <c r="T2988" s="2"/>
      <c r="U2988" s="2">
        <v>36.770000000000003</v>
      </c>
      <c r="V2988" s="2">
        <v>27.42</v>
      </c>
      <c r="W2988" s="2">
        <v>11.61</v>
      </c>
      <c r="X2988" s="2">
        <v>27.45</v>
      </c>
      <c r="Y2988" s="2"/>
      <c r="Z2988" s="2"/>
    </row>
    <row r="2989" spans="1:26" x14ac:dyDescent="0.25">
      <c r="A2989" s="1" t="s">
        <v>11864</v>
      </c>
      <c r="B2989" s="1" t="s">
        <v>11865</v>
      </c>
      <c r="C2989" s="1" t="s">
        <v>16</v>
      </c>
      <c r="D2989" s="1" t="s">
        <v>354</v>
      </c>
      <c r="E2989" s="1" t="s">
        <v>355</v>
      </c>
      <c r="F2989" s="1" t="s">
        <v>11866</v>
      </c>
      <c r="G2989" s="1" t="s">
        <v>12480</v>
      </c>
      <c r="H2989" s="1" t="s">
        <v>11867</v>
      </c>
      <c r="I2989" s="2">
        <v>163.62</v>
      </c>
      <c r="J2989" s="2">
        <v>5.26</v>
      </c>
      <c r="K2989" s="2">
        <v>8.77</v>
      </c>
      <c r="L2989" s="2">
        <v>10.9</v>
      </c>
      <c r="M2989" s="4">
        <f t="shared" si="276"/>
        <v>18.656784492588372</v>
      </c>
      <c r="N2989" s="4">
        <f t="shared" si="277"/>
        <v>15.011009174311926</v>
      </c>
      <c r="O2989" s="5">
        <f t="shared" si="278"/>
        <v>0.66730038022813676</v>
      </c>
      <c r="P2989" s="5">
        <f t="shared" si="279"/>
        <v>0.24287343215507429</v>
      </c>
      <c r="Q2989" s="4">
        <f t="shared" si="280"/>
        <v>0.27958600122796257</v>
      </c>
      <c r="R2989" s="4">
        <f t="shared" si="281"/>
        <v>0.61805892234138737</v>
      </c>
      <c r="S2989" s="4">
        <v>2.98</v>
      </c>
      <c r="T2989" s="2">
        <v>1.42</v>
      </c>
      <c r="U2989" s="2">
        <v>217.92</v>
      </c>
      <c r="V2989" s="2">
        <v>98.07</v>
      </c>
      <c r="W2989" s="2">
        <v>-1.43</v>
      </c>
      <c r="X2989" s="2">
        <v>6.96</v>
      </c>
      <c r="Y2989" s="2">
        <v>-2.75</v>
      </c>
      <c r="Z2989" s="2">
        <v>1.42</v>
      </c>
    </row>
    <row r="2990" spans="1:26" x14ac:dyDescent="0.25">
      <c r="A2990" s="1" t="s">
        <v>11868</v>
      </c>
      <c r="B2990" s="1" t="s">
        <v>11869</v>
      </c>
      <c r="C2990" s="1" t="s">
        <v>16</v>
      </c>
      <c r="D2990" s="1" t="s">
        <v>25</v>
      </c>
      <c r="E2990" s="1" t="s">
        <v>11504</v>
      </c>
      <c r="F2990" s="1" t="s">
        <v>11870</v>
      </c>
      <c r="G2990" s="1" t="s">
        <v>12485</v>
      </c>
      <c r="H2990" s="1" t="s">
        <v>7896</v>
      </c>
      <c r="I2990" s="2">
        <v>8.06</v>
      </c>
      <c r="J2990" s="2">
        <v>0.25</v>
      </c>
      <c r="K2990" s="2">
        <v>0.43</v>
      </c>
      <c r="L2990" s="2">
        <v>0.55000000000000004</v>
      </c>
      <c r="M2990" s="4">
        <f t="shared" si="276"/>
        <v>18.744186046511629</v>
      </c>
      <c r="N2990" s="4">
        <f t="shared" si="277"/>
        <v>14.654545454545454</v>
      </c>
      <c r="O2990" s="5">
        <f t="shared" si="278"/>
        <v>0.72</v>
      </c>
      <c r="P2990" s="5">
        <f t="shared" si="279"/>
        <v>0.27906976744186052</v>
      </c>
      <c r="Q2990" s="4">
        <f t="shared" si="280"/>
        <v>0.26033591731266154</v>
      </c>
      <c r="R2990" s="4">
        <f t="shared" si="281"/>
        <v>0.52512121212121199</v>
      </c>
      <c r="S2990" s="4">
        <v>-2.5299999999999998</v>
      </c>
      <c r="T2990" s="2">
        <v>0.49</v>
      </c>
      <c r="U2990" s="2">
        <v>11.41</v>
      </c>
      <c r="V2990" s="2">
        <v>4.0599999999999996</v>
      </c>
      <c r="W2990" s="2">
        <v>2.54</v>
      </c>
      <c r="X2990" s="2">
        <v>10.11</v>
      </c>
      <c r="Y2990" s="2">
        <v>6.61</v>
      </c>
      <c r="Z2990" s="2">
        <v>20.84</v>
      </c>
    </row>
    <row r="2991" spans="1:26" x14ac:dyDescent="0.25">
      <c r="A2991" s="1" t="s">
        <v>11871</v>
      </c>
      <c r="B2991" s="1" t="s">
        <v>11872</v>
      </c>
      <c r="C2991" s="1" t="s">
        <v>16</v>
      </c>
      <c r="D2991" s="1" t="s">
        <v>38</v>
      </c>
      <c r="E2991" s="1" t="s">
        <v>259</v>
      </c>
      <c r="F2991" s="1" t="s">
        <v>11873</v>
      </c>
      <c r="G2991" s="1" t="s">
        <v>12480</v>
      </c>
      <c r="H2991" s="1" t="s">
        <v>11874</v>
      </c>
      <c r="I2991" s="2">
        <v>334.28</v>
      </c>
      <c r="J2991" s="2"/>
      <c r="K2991" s="2"/>
      <c r="L2991" s="2"/>
      <c r="M2991" s="4" t="e">
        <f t="shared" si="276"/>
        <v>#DIV/0!</v>
      </c>
      <c r="N2991" s="4" t="e">
        <f t="shared" si="277"/>
        <v>#DIV/0!</v>
      </c>
      <c r="O2991" s="5" t="e">
        <f t="shared" si="278"/>
        <v>#DIV/0!</v>
      </c>
      <c r="P2991" s="5" t="e">
        <f t="shared" si="279"/>
        <v>#DIV/0!</v>
      </c>
      <c r="Q2991" s="4" t="e">
        <f t="shared" si="280"/>
        <v>#DIV/0!</v>
      </c>
      <c r="R2991" s="4" t="e">
        <f t="shared" si="281"/>
        <v>#DIV/0!</v>
      </c>
      <c r="S2991" s="4"/>
      <c r="T2991" s="2">
        <v>1.01</v>
      </c>
      <c r="U2991" s="2">
        <v>343.27</v>
      </c>
      <c r="V2991" s="2">
        <v>243.75</v>
      </c>
      <c r="W2991" s="2">
        <v>-1.43</v>
      </c>
      <c r="X2991" s="2">
        <v>-2.44</v>
      </c>
      <c r="Y2991" s="2">
        <v>-0.31</v>
      </c>
      <c r="Z2991" s="2">
        <v>-0.3</v>
      </c>
    </row>
    <row r="2992" spans="1:26" x14ac:dyDescent="0.25">
      <c r="A2992" s="1" t="s">
        <v>11875</v>
      </c>
      <c r="B2992" s="1" t="s">
        <v>11876</v>
      </c>
      <c r="C2992" s="1" t="s">
        <v>11878</v>
      </c>
      <c r="D2992" s="1" t="s">
        <v>24</v>
      </c>
      <c r="E2992" s="1" t="s">
        <v>38</v>
      </c>
      <c r="F2992" s="1" t="s">
        <v>11877</v>
      </c>
      <c r="G2992" s="1" t="s">
        <v>1806</v>
      </c>
      <c r="H2992" s="1" t="s">
        <v>12480</v>
      </c>
      <c r="I2992" s="2">
        <v>21.81</v>
      </c>
      <c r="J2992" s="2" t="s">
        <v>12481</v>
      </c>
      <c r="K2992" s="2">
        <v>2.83</v>
      </c>
      <c r="L2992" s="2" t="s">
        <v>12487</v>
      </c>
      <c r="M2992" s="4">
        <f t="shared" si="276"/>
        <v>7.7067137809187276</v>
      </c>
      <c r="N2992" s="4">
        <f t="shared" si="277"/>
        <v>10.904999999999999</v>
      </c>
      <c r="O2992" s="5">
        <f t="shared" si="278"/>
        <v>-0.99998602551947535</v>
      </c>
      <c r="P2992" s="5">
        <f t="shared" si="279"/>
        <v>-0.29328621908127206</v>
      </c>
      <c r="Q2992" s="4">
        <f t="shared" si="280"/>
        <v>-7.7068214797454029E-2</v>
      </c>
      <c r="R2992" s="4">
        <f t="shared" si="281"/>
        <v>-0.37182108433734939</v>
      </c>
      <c r="S2992" s="4"/>
      <c r="T2992" s="2">
        <v>32.82</v>
      </c>
      <c r="U2992" s="2">
        <v>84.6</v>
      </c>
      <c r="V2992" s="2">
        <v>36.82</v>
      </c>
      <c r="W2992" s="2">
        <v>0.56999999999999995</v>
      </c>
      <c r="X2992" s="2">
        <v>-6.15</v>
      </c>
      <c r="Y2992" s="2">
        <v>-1.65</v>
      </c>
      <c r="Z2992" s="2">
        <v>4.99</v>
      </c>
    </row>
    <row r="2993" spans="1:26" x14ac:dyDescent="0.25">
      <c r="A2993" s="1" t="s">
        <v>11879</v>
      </c>
      <c r="B2993" s="1" t="s">
        <v>11880</v>
      </c>
      <c r="C2993" s="1" t="s">
        <v>16</v>
      </c>
      <c r="D2993" s="1" t="s">
        <v>46</v>
      </c>
      <c r="E2993" s="1" t="s">
        <v>47</v>
      </c>
      <c r="F2993" s="1" t="s">
        <v>11881</v>
      </c>
      <c r="G2993" s="1" t="s">
        <v>12480</v>
      </c>
      <c r="H2993" s="1" t="s">
        <v>5092</v>
      </c>
      <c r="I2993" s="2">
        <v>45.83</v>
      </c>
      <c r="J2993" s="2">
        <v>4.32</v>
      </c>
      <c r="K2993" s="2">
        <v>4.6500000000000004</v>
      </c>
      <c r="L2993" s="2">
        <v>5.54</v>
      </c>
      <c r="M2993" s="4">
        <f t="shared" si="276"/>
        <v>9.8559139784946233</v>
      </c>
      <c r="N2993" s="4">
        <f t="shared" si="277"/>
        <v>8.2725631768953072</v>
      </c>
      <c r="O2993" s="5">
        <f t="shared" si="278"/>
        <v>7.638888888888884E-2</v>
      </c>
      <c r="P2993" s="5">
        <f t="shared" si="279"/>
        <v>0.1913978494623656</v>
      </c>
      <c r="Q2993" s="4">
        <f t="shared" si="280"/>
        <v>1.2902287390029332</v>
      </c>
      <c r="R2993" s="4">
        <f t="shared" si="281"/>
        <v>0.43221818845576604</v>
      </c>
      <c r="S2993" s="4">
        <v>5.3</v>
      </c>
      <c r="T2993" s="2">
        <v>1.35</v>
      </c>
      <c r="U2993" s="2" t="s">
        <v>12529</v>
      </c>
      <c r="V2993" s="2">
        <v>25.74</v>
      </c>
      <c r="W2993" s="2">
        <v>-2.41</v>
      </c>
      <c r="X2993" s="2">
        <v>1.84</v>
      </c>
      <c r="Y2993" s="2">
        <v>21.86</v>
      </c>
      <c r="Z2993" s="2">
        <v>25.15</v>
      </c>
    </row>
    <row r="2994" spans="1:26" x14ac:dyDescent="0.25">
      <c r="A2994" s="1" t="s">
        <v>11882</v>
      </c>
      <c r="B2994" s="1" t="s">
        <v>11883</v>
      </c>
      <c r="C2994" s="1" t="s">
        <v>16</v>
      </c>
      <c r="D2994" s="1" t="s">
        <v>38</v>
      </c>
      <c r="E2994" s="1" t="s">
        <v>510</v>
      </c>
      <c r="F2994" s="1" t="s">
        <v>11884</v>
      </c>
      <c r="G2994" s="1" t="s">
        <v>12480</v>
      </c>
      <c r="H2994" s="1" t="s">
        <v>11885</v>
      </c>
      <c r="I2994" s="2">
        <v>86.21</v>
      </c>
      <c r="J2994" s="2">
        <v>3.48</v>
      </c>
      <c r="K2994" s="2">
        <v>3.82</v>
      </c>
      <c r="L2994" s="2">
        <v>4.13</v>
      </c>
      <c r="M2994" s="4">
        <f t="shared" si="276"/>
        <v>22.56806282722513</v>
      </c>
      <c r="N2994" s="4">
        <f t="shared" si="277"/>
        <v>20.874092009685228</v>
      </c>
      <c r="O2994" s="5">
        <f t="shared" si="278"/>
        <v>9.7701149425287293E-2</v>
      </c>
      <c r="P2994" s="5">
        <f t="shared" si="279"/>
        <v>8.1151832460732987E-2</v>
      </c>
      <c r="Q2994" s="4">
        <f t="shared" si="280"/>
        <v>2.3099076070218678</v>
      </c>
      <c r="R2994" s="4">
        <f t="shared" si="281"/>
        <v>2.5722268218386311</v>
      </c>
      <c r="S2994" s="4">
        <v>18.47</v>
      </c>
      <c r="T2994" s="2">
        <v>0.73</v>
      </c>
      <c r="U2994" s="2">
        <v>86.89</v>
      </c>
      <c r="V2994" s="2">
        <v>62.45</v>
      </c>
      <c r="W2994" s="2">
        <v>-0.52</v>
      </c>
      <c r="X2994" s="2">
        <v>4.18</v>
      </c>
      <c r="Y2994" s="2">
        <v>9.5299999999999994</v>
      </c>
      <c r="Z2994" s="2">
        <v>11.41</v>
      </c>
    </row>
    <row r="2995" spans="1:26" x14ac:dyDescent="0.25">
      <c r="A2995" s="1" t="s">
        <v>11886</v>
      </c>
      <c r="B2995" s="1" t="s">
        <v>11887</v>
      </c>
      <c r="C2995" s="1" t="s">
        <v>45</v>
      </c>
      <c r="D2995" s="1" t="s">
        <v>18</v>
      </c>
      <c r="E2995" s="1" t="s">
        <v>624</v>
      </c>
      <c r="F2995" s="1" t="s">
        <v>11888</v>
      </c>
      <c r="G2995" s="1" t="s">
        <v>12480</v>
      </c>
      <c r="H2995" s="1" t="s">
        <v>11889</v>
      </c>
      <c r="I2995" s="2">
        <v>14.22</v>
      </c>
      <c r="J2995" s="2">
        <v>2.35</v>
      </c>
      <c r="K2995" s="2">
        <v>2.46</v>
      </c>
      <c r="L2995" s="2">
        <v>2.58</v>
      </c>
      <c r="M2995" s="4">
        <f t="shared" si="276"/>
        <v>5.7804878048780495</v>
      </c>
      <c r="N2995" s="4">
        <f t="shared" si="277"/>
        <v>5.5116279069767442</v>
      </c>
      <c r="O2995" s="5">
        <f t="shared" si="278"/>
        <v>4.6808510638297829E-2</v>
      </c>
      <c r="P2995" s="5">
        <f t="shared" si="279"/>
        <v>4.8780487804878092E-2</v>
      </c>
      <c r="Q2995" s="4">
        <f t="shared" si="280"/>
        <v>1.2349223946784935</v>
      </c>
      <c r="R2995" s="4">
        <f t="shared" si="281"/>
        <v>1.1298837209302315</v>
      </c>
      <c r="S2995" s="4">
        <v>-2.98</v>
      </c>
      <c r="T2995" s="2">
        <v>0.78</v>
      </c>
      <c r="U2995" s="2">
        <v>16.13</v>
      </c>
      <c r="V2995" s="2">
        <v>7.26</v>
      </c>
      <c r="W2995" s="2">
        <v>-9.43</v>
      </c>
      <c r="X2995" s="2">
        <v>-8.61</v>
      </c>
      <c r="Y2995" s="2">
        <v>21.95</v>
      </c>
      <c r="Z2995" s="2">
        <v>14.22</v>
      </c>
    </row>
    <row r="2996" spans="1:26" x14ac:dyDescent="0.25">
      <c r="A2996" s="1" t="s">
        <v>11890</v>
      </c>
      <c r="B2996" s="1" t="s">
        <v>11891</v>
      </c>
      <c r="C2996" s="1" t="s">
        <v>16</v>
      </c>
      <c r="D2996" s="1" t="s">
        <v>94</v>
      </c>
      <c r="E2996" s="1" t="s">
        <v>3284</v>
      </c>
      <c r="F2996" s="1" t="s">
        <v>11892</v>
      </c>
      <c r="G2996" s="1" t="s">
        <v>12485</v>
      </c>
      <c r="H2996" s="1" t="s">
        <v>11893</v>
      </c>
      <c r="I2996" s="2">
        <v>34.81</v>
      </c>
      <c r="J2996" s="2">
        <v>1.59</v>
      </c>
      <c r="K2996" s="2">
        <v>1.7</v>
      </c>
      <c r="L2996" s="2">
        <v>2.02</v>
      </c>
      <c r="M2996" s="4">
        <f t="shared" si="276"/>
        <v>20.476470588235298</v>
      </c>
      <c r="N2996" s="4">
        <f t="shared" si="277"/>
        <v>17.232673267326735</v>
      </c>
      <c r="O2996" s="5">
        <f t="shared" si="278"/>
        <v>6.9182389937106903E-2</v>
      </c>
      <c r="P2996" s="5">
        <f t="shared" si="279"/>
        <v>0.18823529411764706</v>
      </c>
      <c r="Q2996" s="4">
        <f t="shared" si="280"/>
        <v>2.9597807486631029</v>
      </c>
      <c r="R2996" s="4">
        <f t="shared" si="281"/>
        <v>0.91548576732673281</v>
      </c>
      <c r="S2996" s="4">
        <v>5.64</v>
      </c>
      <c r="T2996" s="2">
        <v>1.1599999999999999</v>
      </c>
      <c r="U2996" s="2">
        <v>40.67</v>
      </c>
      <c r="V2996" s="2">
        <v>28.87</v>
      </c>
      <c r="W2996" s="2">
        <v>-9.11</v>
      </c>
      <c r="X2996" s="2">
        <v>-5.89</v>
      </c>
      <c r="Y2996" s="2">
        <v>12.11</v>
      </c>
      <c r="Z2996" s="2">
        <v>19.79</v>
      </c>
    </row>
    <row r="2997" spans="1:26" x14ac:dyDescent="0.25">
      <c r="A2997" s="1" t="s">
        <v>11894</v>
      </c>
      <c r="B2997" s="1" t="s">
        <v>11895</v>
      </c>
      <c r="C2997" s="1" t="s">
        <v>16</v>
      </c>
      <c r="D2997" s="1" t="s">
        <v>140</v>
      </c>
      <c r="E2997" s="1" t="s">
        <v>284</v>
      </c>
      <c r="F2997" s="1" t="s">
        <v>11896</v>
      </c>
      <c r="G2997" s="1" t="s">
        <v>12480</v>
      </c>
      <c r="H2997" s="1" t="s">
        <v>4097</v>
      </c>
      <c r="I2997" s="2">
        <v>73.06</v>
      </c>
      <c r="J2997" s="2">
        <v>5.24</v>
      </c>
      <c r="K2997" s="2">
        <v>5.86</v>
      </c>
      <c r="L2997" s="2">
        <v>6.69</v>
      </c>
      <c r="M2997" s="4">
        <f t="shared" si="276"/>
        <v>12.467576791808874</v>
      </c>
      <c r="N2997" s="4">
        <f t="shared" si="277"/>
        <v>10.920777279521674</v>
      </c>
      <c r="O2997" s="5">
        <f t="shared" si="278"/>
        <v>0.11832061068702293</v>
      </c>
      <c r="P2997" s="5">
        <f t="shared" si="279"/>
        <v>0.14163822525597269</v>
      </c>
      <c r="Q2997" s="4">
        <f t="shared" si="280"/>
        <v>1.0537113288561046</v>
      </c>
      <c r="R2997" s="4">
        <f t="shared" si="281"/>
        <v>0.77103319106020507</v>
      </c>
      <c r="S2997" s="4" t="s">
        <v>12874</v>
      </c>
      <c r="T2997" s="2">
        <v>0.12</v>
      </c>
      <c r="U2997" s="2">
        <v>73.930000000000007</v>
      </c>
      <c r="V2997" s="2">
        <v>43.76</v>
      </c>
      <c r="W2997" s="2">
        <v>2.94</v>
      </c>
      <c r="X2997" s="2">
        <v>5.81</v>
      </c>
      <c r="Y2997" s="2">
        <v>31.95</v>
      </c>
      <c r="Z2997" s="2">
        <v>33.93</v>
      </c>
    </row>
    <row r="2998" spans="1:26" x14ac:dyDescent="0.25">
      <c r="A2998" s="1" t="s">
        <v>11897</v>
      </c>
      <c r="B2998" s="1" t="s">
        <v>11898</v>
      </c>
      <c r="C2998" s="1" t="s">
        <v>31</v>
      </c>
      <c r="D2998" s="1" t="s">
        <v>305</v>
      </c>
      <c r="E2998" s="1" t="s">
        <v>1176</v>
      </c>
      <c r="F2998" s="1" t="s">
        <v>11899</v>
      </c>
      <c r="G2998" s="1" t="s">
        <v>12480</v>
      </c>
      <c r="H2998" s="1" t="s">
        <v>11900</v>
      </c>
      <c r="I2998" s="2">
        <v>10.53</v>
      </c>
      <c r="J2998" s="2">
        <v>2.3199999999999998</v>
      </c>
      <c r="K2998" s="2">
        <v>2.36</v>
      </c>
      <c r="L2998" s="2">
        <v>2.46</v>
      </c>
      <c r="M2998" s="4">
        <f t="shared" si="276"/>
        <v>4.4618644067796609</v>
      </c>
      <c r="N2998" s="4">
        <f t="shared" si="277"/>
        <v>4.2804878048780486</v>
      </c>
      <c r="O2998" s="5">
        <f t="shared" si="278"/>
        <v>1.7241379310344751E-2</v>
      </c>
      <c r="P2998" s="5">
        <f t="shared" si="279"/>
        <v>4.2372881355932313E-2</v>
      </c>
      <c r="Q2998" s="4">
        <f t="shared" si="280"/>
        <v>2.5878813559322147</v>
      </c>
      <c r="R2998" s="4">
        <f t="shared" si="281"/>
        <v>1.0101951219512169</v>
      </c>
      <c r="S2998" s="4">
        <v>0.74</v>
      </c>
      <c r="T2998" s="2">
        <v>1.1399999999999999</v>
      </c>
      <c r="U2998" s="2">
        <v>12.8</v>
      </c>
      <c r="V2998" s="2">
        <v>9.36</v>
      </c>
      <c r="W2998" s="2">
        <v>-7.06</v>
      </c>
      <c r="X2998" s="2">
        <v>-12.87</v>
      </c>
      <c r="Y2998" s="2">
        <v>-17.41</v>
      </c>
      <c r="Z2998" s="2">
        <v>-13.62</v>
      </c>
    </row>
    <row r="2999" spans="1:26" x14ac:dyDescent="0.25">
      <c r="A2999" s="1" t="s">
        <v>11901</v>
      </c>
      <c r="B2999" s="1" t="s">
        <v>11902</v>
      </c>
      <c r="C2999" s="1" t="s">
        <v>31</v>
      </c>
      <c r="D2999" s="1" t="s">
        <v>25</v>
      </c>
      <c r="E2999" s="1" t="s">
        <v>106</v>
      </c>
      <c r="F2999" s="1" t="s">
        <v>11903</v>
      </c>
      <c r="G2999" s="1" t="s">
        <v>12480</v>
      </c>
      <c r="H2999" s="1" t="s">
        <v>11904</v>
      </c>
      <c r="I2999" s="2">
        <v>8.1199999999999992</v>
      </c>
      <c r="J2999" s="2">
        <v>0.3</v>
      </c>
      <c r="K2999" s="2">
        <v>0.43</v>
      </c>
      <c r="L2999" s="2">
        <v>0.52</v>
      </c>
      <c r="M2999" s="4">
        <f t="shared" si="276"/>
        <v>18.883720930232556</v>
      </c>
      <c r="N2999" s="4">
        <f t="shared" si="277"/>
        <v>15.615384615384613</v>
      </c>
      <c r="O2999" s="5">
        <f t="shared" si="278"/>
        <v>0.43333333333333335</v>
      </c>
      <c r="P2999" s="5">
        <f t="shared" si="279"/>
        <v>0.2093023255813955</v>
      </c>
      <c r="Q2999" s="4">
        <f t="shared" si="280"/>
        <v>0.43577817531305896</v>
      </c>
      <c r="R2999" s="4">
        <f t="shared" si="281"/>
        <v>0.74606837606837539</v>
      </c>
      <c r="S2999" s="4">
        <v>13.75</v>
      </c>
      <c r="T2999" s="2">
        <v>1.2</v>
      </c>
      <c r="U2999" s="2">
        <v>10.3</v>
      </c>
      <c r="V2999" s="2">
        <v>4.01</v>
      </c>
      <c r="W2999" s="2">
        <v>-2.87</v>
      </c>
      <c r="X2999" s="2">
        <v>-6.99</v>
      </c>
      <c r="Y2999" s="2">
        <v>-8.9700000000000006</v>
      </c>
      <c r="Z2999" s="2">
        <v>-9.4600000000000009</v>
      </c>
    </row>
    <row r="3000" spans="1:26" x14ac:dyDescent="0.25">
      <c r="A3000" s="1" t="s">
        <v>11905</v>
      </c>
      <c r="B3000" s="1" t="s">
        <v>11906</v>
      </c>
      <c r="C3000" s="1" t="s">
        <v>16</v>
      </c>
      <c r="D3000" s="1" t="s">
        <v>38</v>
      </c>
      <c r="E3000" s="1" t="s">
        <v>259</v>
      </c>
      <c r="F3000" s="1" t="s">
        <v>11907</v>
      </c>
      <c r="G3000" s="1" t="s">
        <v>12480</v>
      </c>
      <c r="H3000" s="1" t="s">
        <v>11908</v>
      </c>
      <c r="I3000" s="2">
        <v>55.13</v>
      </c>
      <c r="J3000" s="2"/>
      <c r="K3000" s="2"/>
      <c r="L3000" s="2"/>
      <c r="M3000" s="4" t="e">
        <f t="shared" si="276"/>
        <v>#DIV/0!</v>
      </c>
      <c r="N3000" s="4" t="e">
        <f t="shared" si="277"/>
        <v>#DIV/0!</v>
      </c>
      <c r="O3000" s="5" t="e">
        <f t="shared" si="278"/>
        <v>#DIV/0!</v>
      </c>
      <c r="P3000" s="5" t="e">
        <f t="shared" si="279"/>
        <v>#DIV/0!</v>
      </c>
      <c r="Q3000" s="4" t="e">
        <f t="shared" si="280"/>
        <v>#DIV/0!</v>
      </c>
      <c r="R3000" s="4" t="e">
        <f t="shared" si="281"/>
        <v>#DIV/0!</v>
      </c>
      <c r="S3000" s="4"/>
      <c r="T3000" s="2">
        <v>0.53</v>
      </c>
      <c r="U3000" s="2">
        <v>59.01</v>
      </c>
      <c r="V3000" s="2">
        <v>39.89</v>
      </c>
      <c r="W3000" s="2">
        <v>-3.69</v>
      </c>
      <c r="X3000" s="2">
        <v>-4.54</v>
      </c>
      <c r="Y3000" s="2">
        <v>2.5099999999999998</v>
      </c>
      <c r="Z3000" s="2">
        <v>2.5499999999999998</v>
      </c>
    </row>
    <row r="3001" spans="1:26" x14ac:dyDescent="0.25">
      <c r="A3001" s="1" t="s">
        <v>11909</v>
      </c>
      <c r="B3001" s="1" t="s">
        <v>11910</v>
      </c>
      <c r="C3001" s="1" t="s">
        <v>16</v>
      </c>
      <c r="D3001" s="1" t="s">
        <v>32</v>
      </c>
      <c r="E3001" s="1" t="s">
        <v>490</v>
      </c>
      <c r="F3001" s="1" t="s">
        <v>11911</v>
      </c>
      <c r="G3001" s="1" t="s">
        <v>12480</v>
      </c>
      <c r="H3001" s="1" t="s">
        <v>11912</v>
      </c>
      <c r="I3001" s="2">
        <v>7.35</v>
      </c>
      <c r="J3001" s="2">
        <v>0.9</v>
      </c>
      <c r="K3001" s="2">
        <v>0.94</v>
      </c>
      <c r="L3001" s="2">
        <v>0.82</v>
      </c>
      <c r="M3001" s="4">
        <f t="shared" si="276"/>
        <v>7.8191489361702127</v>
      </c>
      <c r="N3001" s="4">
        <f t="shared" si="277"/>
        <v>8.963414634146341</v>
      </c>
      <c r="O3001" s="5">
        <f t="shared" si="278"/>
        <v>4.4444444444444287E-2</v>
      </c>
      <c r="P3001" s="5">
        <f t="shared" si="279"/>
        <v>-0.12765957446808507</v>
      </c>
      <c r="Q3001" s="4">
        <f t="shared" si="280"/>
        <v>1.7593085106383042</v>
      </c>
      <c r="R3001" s="4">
        <f t="shared" si="281"/>
        <v>-0.70213414634146354</v>
      </c>
      <c r="S3001" s="4">
        <v>-4.92</v>
      </c>
      <c r="T3001" s="2">
        <v>1.48</v>
      </c>
      <c r="U3001" s="2">
        <v>14.63</v>
      </c>
      <c r="V3001" s="2">
        <v>7.35</v>
      </c>
      <c r="W3001" s="2">
        <v>-3.29</v>
      </c>
      <c r="X3001" s="2">
        <v>-25.08</v>
      </c>
      <c r="Y3001" s="2">
        <v>-25.23</v>
      </c>
      <c r="Z3001" s="2">
        <v>-27.94</v>
      </c>
    </row>
    <row r="3002" spans="1:26" x14ac:dyDescent="0.25">
      <c r="A3002" s="1" t="s">
        <v>11913</v>
      </c>
      <c r="B3002" s="1" t="s">
        <v>11914</v>
      </c>
      <c r="C3002" s="1" t="s">
        <v>16</v>
      </c>
      <c r="D3002" s="1" t="s">
        <v>32</v>
      </c>
      <c r="E3002" s="1" t="s">
        <v>264</v>
      </c>
      <c r="F3002" s="1" t="s">
        <v>11915</v>
      </c>
      <c r="G3002" s="1" t="s">
        <v>12480</v>
      </c>
      <c r="H3002" s="1" t="s">
        <v>11916</v>
      </c>
      <c r="I3002" s="2">
        <v>50.45</v>
      </c>
      <c r="J3002" s="2">
        <v>4.71</v>
      </c>
      <c r="K3002" s="2">
        <v>4.91</v>
      </c>
      <c r="L3002" s="2">
        <v>5.25</v>
      </c>
      <c r="M3002" s="4">
        <f t="shared" si="276"/>
        <v>10.274949083503055</v>
      </c>
      <c r="N3002" s="4">
        <f t="shared" si="277"/>
        <v>9.6095238095238109</v>
      </c>
      <c r="O3002" s="5">
        <f t="shared" si="278"/>
        <v>4.2462845010615702E-2</v>
      </c>
      <c r="P3002" s="5">
        <f t="shared" si="279"/>
        <v>6.9246435845213838E-2</v>
      </c>
      <c r="Q3002" s="4">
        <f t="shared" si="280"/>
        <v>2.4197505091649698</v>
      </c>
      <c r="R3002" s="4">
        <f t="shared" si="281"/>
        <v>1.387728291316527</v>
      </c>
      <c r="S3002" s="4">
        <v>2.52</v>
      </c>
      <c r="T3002" s="2">
        <v>0.31</v>
      </c>
      <c r="U3002" s="2">
        <v>51.2</v>
      </c>
      <c r="V3002" s="2">
        <v>38.4</v>
      </c>
      <c r="W3002" s="2">
        <v>0.94</v>
      </c>
      <c r="X3002" s="2">
        <v>7.29</v>
      </c>
      <c r="Y3002" s="2">
        <v>23.65</v>
      </c>
      <c r="Z3002" s="2">
        <v>23.86</v>
      </c>
    </row>
    <row r="3003" spans="1:26" x14ac:dyDescent="0.25">
      <c r="A3003" s="1" t="s">
        <v>11917</v>
      </c>
      <c r="B3003" s="1" t="s">
        <v>11918</v>
      </c>
      <c r="C3003" s="1" t="s">
        <v>1118</v>
      </c>
      <c r="D3003" s="1" t="s">
        <v>88</v>
      </c>
      <c r="E3003" s="1" t="s">
        <v>440</v>
      </c>
      <c r="F3003" s="1" t="s">
        <v>11919</v>
      </c>
      <c r="G3003" s="1" t="s">
        <v>12513</v>
      </c>
      <c r="H3003" s="1" t="s">
        <v>11920</v>
      </c>
      <c r="I3003" s="2">
        <v>3.99</v>
      </c>
      <c r="J3003" s="2">
        <v>-0.05</v>
      </c>
      <c r="K3003" s="2">
        <v>-0.02</v>
      </c>
      <c r="L3003" s="2">
        <v>-0.04</v>
      </c>
      <c r="M3003" s="4">
        <f t="shared" si="276"/>
        <v>-199.5</v>
      </c>
      <c r="N3003" s="4">
        <f t="shared" si="277"/>
        <v>-99.75</v>
      </c>
      <c r="O3003" s="5">
        <f t="shared" si="278"/>
        <v>-0.60000000000000009</v>
      </c>
      <c r="P3003" s="5">
        <f t="shared" si="279"/>
        <v>1</v>
      </c>
      <c r="Q3003" s="4">
        <f t="shared" si="280"/>
        <v>3.3249999999999997</v>
      </c>
      <c r="R3003" s="4">
        <f t="shared" si="281"/>
        <v>-0.99750000000000005</v>
      </c>
      <c r="S3003" s="4"/>
      <c r="T3003" s="2">
        <v>0.96</v>
      </c>
      <c r="U3003" s="2">
        <v>6.86</v>
      </c>
      <c r="V3003" s="2">
        <v>1.71</v>
      </c>
      <c r="W3003" s="2">
        <v>-9.32</v>
      </c>
      <c r="X3003" s="2">
        <v>-2.21</v>
      </c>
      <c r="Y3003" s="2">
        <v>-22.52</v>
      </c>
      <c r="Z3003" s="2">
        <v>-27.06</v>
      </c>
    </row>
    <row r="3004" spans="1:26" x14ac:dyDescent="0.25">
      <c r="A3004" s="1" t="s">
        <v>11921</v>
      </c>
      <c r="B3004" s="1" t="s">
        <v>11922</v>
      </c>
      <c r="C3004" s="1" t="s">
        <v>16</v>
      </c>
      <c r="D3004" s="1" t="s">
        <v>67</v>
      </c>
      <c r="E3004" s="1" t="s">
        <v>833</v>
      </c>
      <c r="F3004" s="1" t="s">
        <v>11923</v>
      </c>
      <c r="G3004" s="1" t="s">
        <v>12480</v>
      </c>
      <c r="H3004" s="1" t="s">
        <v>11924</v>
      </c>
      <c r="I3004" s="2">
        <v>75.72</v>
      </c>
      <c r="J3004" s="2">
        <v>2.6</v>
      </c>
      <c r="K3004" s="2">
        <v>2.92</v>
      </c>
      <c r="L3004" s="2">
        <v>3.82</v>
      </c>
      <c r="M3004" s="4">
        <f t="shared" si="276"/>
        <v>25.93150684931507</v>
      </c>
      <c r="N3004" s="4">
        <f t="shared" si="277"/>
        <v>19.821989528795811</v>
      </c>
      <c r="O3004" s="5">
        <f t="shared" si="278"/>
        <v>0.12307692307692308</v>
      </c>
      <c r="P3004" s="5">
        <f t="shared" si="279"/>
        <v>0.30821917808219168</v>
      </c>
      <c r="Q3004" s="4">
        <f t="shared" si="280"/>
        <v>2.1069349315068493</v>
      </c>
      <c r="R3004" s="4">
        <f t="shared" si="281"/>
        <v>0.64311343804537535</v>
      </c>
      <c r="S3004" s="4">
        <v>5.1100000000000003</v>
      </c>
      <c r="T3004" s="2">
        <v>3.4</v>
      </c>
      <c r="U3004" s="2">
        <v>119.05</v>
      </c>
      <c r="V3004" s="2">
        <v>24.14</v>
      </c>
      <c r="W3004" s="2">
        <v>2.64</v>
      </c>
      <c r="X3004" s="2">
        <v>-18.399999999999999</v>
      </c>
      <c r="Y3004" s="2">
        <v>-23.19</v>
      </c>
      <c r="Z3004" s="2">
        <v>-24.59</v>
      </c>
    </row>
    <row r="3005" spans="1:26" x14ac:dyDescent="0.25">
      <c r="A3005" s="1" t="s">
        <v>11925</v>
      </c>
      <c r="B3005" s="1" t="s">
        <v>11926</v>
      </c>
      <c r="C3005" s="1" t="s">
        <v>16</v>
      </c>
      <c r="D3005" s="1" t="s">
        <v>46</v>
      </c>
      <c r="E3005" s="1" t="s">
        <v>391</v>
      </c>
      <c r="F3005" s="1" t="s">
        <v>11927</v>
      </c>
      <c r="G3005" s="1" t="s">
        <v>12480</v>
      </c>
      <c r="H3005" s="1" t="s">
        <v>11928</v>
      </c>
      <c r="I3005" s="2" t="s">
        <v>12816</v>
      </c>
      <c r="J3005" s="2">
        <v>8.9700000000000006</v>
      </c>
      <c r="K3005" s="2">
        <v>10.31</v>
      </c>
      <c r="L3005" s="2">
        <v>11.57</v>
      </c>
      <c r="M3005" s="4">
        <f t="shared" si="276"/>
        <v>23.957322987390882</v>
      </c>
      <c r="N3005" s="4">
        <f t="shared" si="277"/>
        <v>21.348314606741571</v>
      </c>
      <c r="O3005" s="5">
        <f t="shared" si="278"/>
        <v>0.149386845039019</v>
      </c>
      <c r="P3005" s="5">
        <f t="shared" si="279"/>
        <v>0.12221144519883609</v>
      </c>
      <c r="Q3005" s="4">
        <f t="shared" si="280"/>
        <v>1.6037103522156428</v>
      </c>
      <c r="R3005" s="4">
        <f t="shared" si="281"/>
        <v>1.7468343142500444</v>
      </c>
      <c r="S3005" s="4">
        <v>7.51</v>
      </c>
      <c r="T3005" s="2">
        <v>0.99</v>
      </c>
      <c r="U3005" s="2">
        <v>264.77999999999997</v>
      </c>
      <c r="V3005" s="2">
        <v>160.22</v>
      </c>
      <c r="W3005" s="2">
        <v>-6.32</v>
      </c>
      <c r="X3005" s="2">
        <v>0.92</v>
      </c>
      <c r="Y3005" s="2">
        <v>14.68</v>
      </c>
      <c r="Z3005" s="2">
        <v>15.72</v>
      </c>
    </row>
    <row r="3006" spans="1:26" x14ac:dyDescent="0.25">
      <c r="A3006" s="1" t="s">
        <v>11929</v>
      </c>
      <c r="B3006" s="1" t="s">
        <v>11930</v>
      </c>
      <c r="C3006" s="1" t="s">
        <v>45</v>
      </c>
      <c r="D3006" s="1" t="s">
        <v>38</v>
      </c>
      <c r="E3006" s="1" t="s">
        <v>1909</v>
      </c>
      <c r="F3006" s="1" t="s">
        <v>11931</v>
      </c>
      <c r="G3006" s="1" t="s">
        <v>12480</v>
      </c>
      <c r="H3006" s="1" t="s">
        <v>1456</v>
      </c>
      <c r="I3006" s="2">
        <v>49.98</v>
      </c>
      <c r="J3006" s="2">
        <v>4.5199999999999996</v>
      </c>
      <c r="K3006" s="2"/>
      <c r="L3006" s="2"/>
      <c r="M3006" s="4" t="e">
        <f t="shared" si="276"/>
        <v>#DIV/0!</v>
      </c>
      <c r="N3006" s="4" t="e">
        <f t="shared" si="277"/>
        <v>#DIV/0!</v>
      </c>
      <c r="O3006" s="5">
        <f t="shared" si="278"/>
        <v>-1</v>
      </c>
      <c r="P3006" s="5" t="e">
        <f t="shared" si="279"/>
        <v>#DIV/0!</v>
      </c>
      <c r="Q3006" s="4" t="e">
        <f t="shared" si="280"/>
        <v>#DIV/0!</v>
      </c>
      <c r="R3006" s="4" t="e">
        <f t="shared" si="281"/>
        <v>#DIV/0!</v>
      </c>
      <c r="S3006" s="4">
        <v>-12.66</v>
      </c>
      <c r="T3006" s="2">
        <v>0.61</v>
      </c>
      <c r="U3006" s="2">
        <v>53.08</v>
      </c>
      <c r="V3006" s="2">
        <v>43.72</v>
      </c>
      <c r="W3006" s="2">
        <v>-2.2000000000000002</v>
      </c>
      <c r="X3006" s="2">
        <v>-3.94</v>
      </c>
      <c r="Y3006" s="2">
        <v>1.42</v>
      </c>
      <c r="Z3006" s="2">
        <v>4.5</v>
      </c>
    </row>
    <row r="3007" spans="1:26" x14ac:dyDescent="0.25">
      <c r="A3007" s="1" t="s">
        <v>11932</v>
      </c>
      <c r="B3007" s="1" t="s">
        <v>11933</v>
      </c>
      <c r="C3007" s="1" t="s">
        <v>31</v>
      </c>
      <c r="D3007" s="1" t="s">
        <v>147</v>
      </c>
      <c r="E3007" s="1" t="s">
        <v>1931</v>
      </c>
      <c r="F3007" s="1" t="s">
        <v>11934</v>
      </c>
      <c r="G3007" s="1" t="s">
        <v>12490</v>
      </c>
      <c r="H3007" s="1" t="s">
        <v>12520</v>
      </c>
      <c r="I3007" s="2">
        <v>136.72</v>
      </c>
      <c r="J3007" s="2">
        <v>4.24</v>
      </c>
      <c r="K3007" s="2"/>
      <c r="L3007" s="2"/>
      <c r="M3007" s="4" t="e">
        <f t="shared" si="276"/>
        <v>#DIV/0!</v>
      </c>
      <c r="N3007" s="4" t="e">
        <f t="shared" si="277"/>
        <v>#DIV/0!</v>
      </c>
      <c r="O3007" s="5">
        <f t="shared" si="278"/>
        <v>-1</v>
      </c>
      <c r="P3007" s="5" t="e">
        <f t="shared" si="279"/>
        <v>#DIV/0!</v>
      </c>
      <c r="Q3007" s="4" t="e">
        <f t="shared" si="280"/>
        <v>#DIV/0!</v>
      </c>
      <c r="R3007" s="4" t="e">
        <f t="shared" si="281"/>
        <v>#DIV/0!</v>
      </c>
      <c r="S3007" s="4">
        <v>-11.94</v>
      </c>
      <c r="T3007" s="2">
        <v>-0.02</v>
      </c>
      <c r="U3007" s="2">
        <v>203.51</v>
      </c>
      <c r="V3007" s="2">
        <v>131.36000000000001</v>
      </c>
      <c r="W3007" s="2">
        <v>-4.3600000000000003</v>
      </c>
      <c r="X3007" s="2">
        <v>-7.23</v>
      </c>
      <c r="Y3007" s="2">
        <v>-8.41</v>
      </c>
      <c r="Z3007" s="2">
        <v>-2.39</v>
      </c>
    </row>
    <row r="3008" spans="1:26" x14ac:dyDescent="0.25">
      <c r="A3008" s="1" t="s">
        <v>11935</v>
      </c>
      <c r="B3008" s="1" t="s">
        <v>11936</v>
      </c>
      <c r="C3008" s="1" t="s">
        <v>45</v>
      </c>
      <c r="D3008" s="1" t="s">
        <v>38</v>
      </c>
      <c r="E3008" s="1" t="s">
        <v>1909</v>
      </c>
      <c r="F3008" s="1" t="s">
        <v>11937</v>
      </c>
      <c r="G3008" s="1" t="s">
        <v>12485</v>
      </c>
      <c r="H3008" s="1" t="s">
        <v>7925</v>
      </c>
      <c r="I3008" s="2">
        <v>30.84</v>
      </c>
      <c r="J3008" s="2">
        <v>2.72</v>
      </c>
      <c r="K3008" s="2">
        <v>3.09</v>
      </c>
      <c r="L3008" s="2">
        <v>3.22</v>
      </c>
      <c r="M3008" s="4">
        <f t="shared" si="276"/>
        <v>9.9805825242718456</v>
      </c>
      <c r="N3008" s="4">
        <f t="shared" si="277"/>
        <v>9.5776397515527947</v>
      </c>
      <c r="O3008" s="5">
        <f t="shared" si="278"/>
        <v>0.13602941176470584</v>
      </c>
      <c r="P3008" s="5">
        <f t="shared" si="279"/>
        <v>4.2071197411003292E-2</v>
      </c>
      <c r="Q3008" s="4">
        <f t="shared" si="280"/>
        <v>0.73370768827079536</v>
      </c>
      <c r="R3008" s="4">
        <f t="shared" si="281"/>
        <v>2.2765312947921612</v>
      </c>
      <c r="S3008" s="4">
        <v>-1.52</v>
      </c>
      <c r="T3008" s="2">
        <v>0.85</v>
      </c>
      <c r="U3008" s="2">
        <v>33.729999999999997</v>
      </c>
      <c r="V3008" s="2">
        <v>24.48</v>
      </c>
      <c r="W3008" s="2">
        <v>-2.68</v>
      </c>
      <c r="X3008" s="2">
        <v>-7.72</v>
      </c>
      <c r="Y3008" s="2">
        <v>-6.94</v>
      </c>
      <c r="Z3008" s="2">
        <v>-3.72</v>
      </c>
    </row>
    <row r="3009" spans="1:26" x14ac:dyDescent="0.25">
      <c r="A3009" s="1" t="s">
        <v>11938</v>
      </c>
      <c r="B3009" s="1" t="s">
        <v>11939</v>
      </c>
      <c r="C3009" s="1" t="s">
        <v>16</v>
      </c>
      <c r="D3009" s="1" t="s">
        <v>38</v>
      </c>
      <c r="E3009" s="1" t="s">
        <v>1909</v>
      </c>
      <c r="F3009" s="1" t="s">
        <v>11940</v>
      </c>
      <c r="G3009" s="1" t="s">
        <v>12480</v>
      </c>
      <c r="H3009" s="1" t="s">
        <v>11941</v>
      </c>
      <c r="I3009" s="2">
        <v>73.39</v>
      </c>
      <c r="J3009" s="2">
        <v>8.73</v>
      </c>
      <c r="K3009" s="2">
        <v>10.18</v>
      </c>
      <c r="L3009" s="2">
        <v>11.77</v>
      </c>
      <c r="M3009" s="4">
        <f t="shared" si="276"/>
        <v>7.2092337917485265</v>
      </c>
      <c r="N3009" s="4">
        <f t="shared" si="277"/>
        <v>6.2353440951571795</v>
      </c>
      <c r="O3009" s="5">
        <f t="shared" si="278"/>
        <v>0.16609392898052677</v>
      </c>
      <c r="P3009" s="5">
        <f t="shared" si="279"/>
        <v>0.15618860510805499</v>
      </c>
      <c r="Q3009" s="4">
        <f t="shared" si="280"/>
        <v>0.43404559311699792</v>
      </c>
      <c r="R3009" s="4">
        <f t="shared" si="281"/>
        <v>0.39921888609245343</v>
      </c>
      <c r="S3009" s="4">
        <v>5.64</v>
      </c>
      <c r="T3009" s="2">
        <v>1.34</v>
      </c>
      <c r="U3009" s="2">
        <v>96.08</v>
      </c>
      <c r="V3009" s="2" t="s">
        <v>12719</v>
      </c>
      <c r="W3009" s="2">
        <v>-9.8800000000000008</v>
      </c>
      <c r="X3009" s="2">
        <v>-23.62</v>
      </c>
      <c r="Y3009" s="2">
        <v>-14.84</v>
      </c>
      <c r="Z3009" s="2">
        <v>-12.7</v>
      </c>
    </row>
    <row r="3010" spans="1:26" x14ac:dyDescent="0.25">
      <c r="A3010" s="1" t="s">
        <v>11942</v>
      </c>
      <c r="B3010" s="1" t="s">
        <v>11943</v>
      </c>
      <c r="C3010" s="1" t="s">
        <v>16</v>
      </c>
      <c r="D3010" s="1" t="s">
        <v>18</v>
      </c>
      <c r="E3010" s="1" t="s">
        <v>594</v>
      </c>
      <c r="F3010" s="1" t="s">
        <v>11944</v>
      </c>
      <c r="G3010" s="1" t="s">
        <v>12480</v>
      </c>
      <c r="H3010" s="1" t="s">
        <v>11945</v>
      </c>
      <c r="I3010" s="2">
        <v>305.67</v>
      </c>
      <c r="J3010" s="2">
        <v>13.13</v>
      </c>
      <c r="K3010" s="2">
        <v>14.4</v>
      </c>
      <c r="L3010" s="2">
        <v>16.28</v>
      </c>
      <c r="M3010" s="4">
        <f t="shared" si="276"/>
        <v>21.227083333333333</v>
      </c>
      <c r="N3010" s="4">
        <f t="shared" si="277"/>
        <v>18.775798525798525</v>
      </c>
      <c r="O3010" s="5">
        <f t="shared" si="278"/>
        <v>9.6725057121096691E-2</v>
      </c>
      <c r="P3010" s="5">
        <f t="shared" si="279"/>
        <v>0.13055555555555554</v>
      </c>
      <c r="Q3010" s="4">
        <f t="shared" si="280"/>
        <v>2.1945795603674552</v>
      </c>
      <c r="R3010" s="4">
        <f t="shared" si="281"/>
        <v>1.4381462700611638</v>
      </c>
      <c r="S3010" s="4">
        <v>6.99</v>
      </c>
      <c r="T3010" s="2">
        <v>1.2</v>
      </c>
      <c r="U3010" s="2">
        <v>412.54</v>
      </c>
      <c r="V3010" s="2">
        <v>277.72000000000003</v>
      </c>
      <c r="W3010" s="2">
        <v>-0.51</v>
      </c>
      <c r="X3010" s="2">
        <v>-6.85</v>
      </c>
      <c r="Y3010" s="2">
        <v>-20.69</v>
      </c>
      <c r="Z3010" s="2">
        <v>-19.53</v>
      </c>
    </row>
    <row r="3011" spans="1:26" x14ac:dyDescent="0.25">
      <c r="A3011" s="1" t="s">
        <v>11946</v>
      </c>
      <c r="B3011" s="1" t="s">
        <v>11947</v>
      </c>
      <c r="C3011" s="1" t="s">
        <v>45</v>
      </c>
      <c r="D3011" s="1" t="s">
        <v>32</v>
      </c>
      <c r="E3011" s="1" t="s">
        <v>311</v>
      </c>
      <c r="F3011" s="1" t="s">
        <v>11948</v>
      </c>
      <c r="G3011" s="1" t="s">
        <v>12480</v>
      </c>
      <c r="H3011" s="1" t="s">
        <v>11949</v>
      </c>
      <c r="I3011" s="2">
        <v>25.88</v>
      </c>
      <c r="J3011" s="2">
        <v>1.42</v>
      </c>
      <c r="K3011" s="2">
        <v>1.64</v>
      </c>
      <c r="L3011" s="2">
        <v>1.81</v>
      </c>
      <c r="M3011" s="4">
        <f t="shared" ref="M3011:M3074" si="282">I3011/K3011</f>
        <v>15.780487804878049</v>
      </c>
      <c r="N3011" s="4">
        <f t="shared" ref="N3011:N3074" si="283">I3011/L3011</f>
        <v>14.298342541436464</v>
      </c>
      <c r="O3011" s="5">
        <f t="shared" ref="O3011:O3074" si="284">K3011/J3011-1</f>
        <v>0.15492957746478875</v>
      </c>
      <c r="P3011" s="5">
        <f t="shared" ref="P3011:P3074" si="285">L3011/K3011-1</f>
        <v>0.10365853658536595</v>
      </c>
      <c r="Q3011" s="4">
        <f t="shared" ref="Q3011:Q3074" si="286">M3011/(O3011*100)</f>
        <v>1.0185587583148557</v>
      </c>
      <c r="R3011" s="4">
        <f t="shared" ref="R3011:R3074" si="287">N3011/(P3011*100)</f>
        <v>1.3793695157621049</v>
      </c>
      <c r="S3011" s="4">
        <v>16.5</v>
      </c>
      <c r="T3011" s="2">
        <v>0.8</v>
      </c>
      <c r="U3011" s="2">
        <v>41.16</v>
      </c>
      <c r="V3011" s="2">
        <v>21.74</v>
      </c>
      <c r="W3011" s="2">
        <v>-1.41</v>
      </c>
      <c r="X3011" s="2">
        <v>10.27</v>
      </c>
      <c r="Y3011" s="2">
        <v>-20.52</v>
      </c>
      <c r="Z3011" s="2">
        <v>-20.98</v>
      </c>
    </row>
    <row r="3012" spans="1:26" x14ac:dyDescent="0.25">
      <c r="A3012" s="1" t="s">
        <v>11950</v>
      </c>
      <c r="B3012" s="1" t="s">
        <v>11951</v>
      </c>
      <c r="C3012" s="1" t="s">
        <v>45</v>
      </c>
      <c r="D3012" s="1" t="s">
        <v>32</v>
      </c>
      <c r="E3012" s="1" t="s">
        <v>4989</v>
      </c>
      <c r="F3012" s="1" t="s">
        <v>11952</v>
      </c>
      <c r="G3012" s="1" t="s">
        <v>12480</v>
      </c>
      <c r="H3012" s="1" t="s">
        <v>7631</v>
      </c>
      <c r="I3012" s="2">
        <v>9.64</v>
      </c>
      <c r="J3012" s="2">
        <v>1.82</v>
      </c>
      <c r="K3012" s="2">
        <v>1.68</v>
      </c>
      <c r="L3012" s="2">
        <v>1.6</v>
      </c>
      <c r="M3012" s="4">
        <f t="shared" si="282"/>
        <v>5.738095238095239</v>
      </c>
      <c r="N3012" s="4">
        <f t="shared" si="283"/>
        <v>6.0250000000000004</v>
      </c>
      <c r="O3012" s="5">
        <f t="shared" si="284"/>
        <v>-7.6923076923076983E-2</v>
      </c>
      <c r="P3012" s="5">
        <f t="shared" si="285"/>
        <v>-4.7619047619047561E-2</v>
      </c>
      <c r="Q3012" s="4">
        <f t="shared" si="286"/>
        <v>-0.74595238095238048</v>
      </c>
      <c r="R3012" s="4">
        <f t="shared" si="287"/>
        <v>-1.2652500000000018</v>
      </c>
      <c r="S3012" s="4">
        <v>-0.28999999999999998</v>
      </c>
      <c r="T3012" s="2">
        <v>0.13</v>
      </c>
      <c r="U3012" s="2">
        <v>12.83</v>
      </c>
      <c r="V3012" s="2">
        <v>7.34</v>
      </c>
      <c r="W3012" s="2">
        <v>-2.13</v>
      </c>
      <c r="X3012" s="2">
        <v>-5.3</v>
      </c>
      <c r="Y3012" s="2">
        <v>-5.12</v>
      </c>
      <c r="Z3012" s="2">
        <v>-5.68</v>
      </c>
    </row>
    <row r="3013" spans="1:26" x14ac:dyDescent="0.25">
      <c r="A3013" s="1" t="s">
        <v>11953</v>
      </c>
      <c r="B3013" s="1" t="s">
        <v>11954</v>
      </c>
      <c r="C3013" s="1" t="s">
        <v>45</v>
      </c>
      <c r="D3013" s="1" t="s">
        <v>147</v>
      </c>
      <c r="E3013" s="1" t="s">
        <v>1695</v>
      </c>
      <c r="F3013" s="1" t="s">
        <v>11955</v>
      </c>
      <c r="G3013" s="1" t="s">
        <v>12480</v>
      </c>
      <c r="H3013" s="1" t="s">
        <v>11956</v>
      </c>
      <c r="I3013" s="2">
        <v>27.75</v>
      </c>
      <c r="J3013" s="2">
        <v>0.28999999999999998</v>
      </c>
      <c r="K3013" s="2">
        <v>0.04</v>
      </c>
      <c r="L3013" s="2">
        <v>-0.08</v>
      </c>
      <c r="M3013" s="4">
        <f t="shared" si="282"/>
        <v>693.75</v>
      </c>
      <c r="N3013" s="4">
        <f t="shared" si="283"/>
        <v>-346.875</v>
      </c>
      <c r="O3013" s="5">
        <f t="shared" si="284"/>
        <v>-0.86206896551724133</v>
      </c>
      <c r="P3013" s="5">
        <f t="shared" si="285"/>
        <v>-3</v>
      </c>
      <c r="Q3013" s="4">
        <f t="shared" si="286"/>
        <v>-8.0475000000000012</v>
      </c>
      <c r="R3013" s="4">
        <f t="shared" si="287"/>
        <v>1.15625</v>
      </c>
      <c r="S3013" s="4">
        <v>-5.15</v>
      </c>
      <c r="T3013" s="2">
        <v>1.6</v>
      </c>
      <c r="U3013" s="2">
        <v>29.98</v>
      </c>
      <c r="V3013" s="2">
        <v>7.69</v>
      </c>
      <c r="W3013" s="2">
        <v>-2.63</v>
      </c>
      <c r="X3013" s="2">
        <v>1.98</v>
      </c>
      <c r="Y3013" s="2">
        <v>-6.6</v>
      </c>
      <c r="Z3013" s="2">
        <v>-3.71</v>
      </c>
    </row>
    <row r="3014" spans="1:26" x14ac:dyDescent="0.25">
      <c r="A3014" s="1" t="s">
        <v>11957</v>
      </c>
      <c r="B3014" s="1" t="s">
        <v>11958</v>
      </c>
      <c r="C3014" s="1" t="s">
        <v>16</v>
      </c>
      <c r="D3014" s="1" t="s">
        <v>38</v>
      </c>
      <c r="E3014" s="1" t="s">
        <v>1806</v>
      </c>
      <c r="F3014" s="1" t="s">
        <v>11959</v>
      </c>
      <c r="G3014" s="1" t="s">
        <v>12480</v>
      </c>
      <c r="H3014" s="1" t="s">
        <v>11960</v>
      </c>
      <c r="I3014" s="2">
        <v>25.19</v>
      </c>
      <c r="J3014" s="2"/>
      <c r="K3014" s="2">
        <v>0.17</v>
      </c>
      <c r="L3014" s="2">
        <v>0.46</v>
      </c>
      <c r="M3014" s="4">
        <f t="shared" si="282"/>
        <v>148.1764705882353</v>
      </c>
      <c r="N3014" s="4">
        <f t="shared" si="283"/>
        <v>54.760869565217391</v>
      </c>
      <c r="O3014" s="5" t="e">
        <f t="shared" si="284"/>
        <v>#DIV/0!</v>
      </c>
      <c r="P3014" s="5">
        <f t="shared" si="285"/>
        <v>1.7058823529411762</v>
      </c>
      <c r="Q3014" s="4" t="e">
        <f t="shared" si="286"/>
        <v>#DIV/0!</v>
      </c>
      <c r="R3014" s="4">
        <f t="shared" si="287"/>
        <v>0.32101199400299857</v>
      </c>
      <c r="S3014" s="4"/>
      <c r="T3014" s="2"/>
      <c r="U3014" s="2">
        <v>27.07</v>
      </c>
      <c r="V3014" s="2">
        <v>18.760000000000002</v>
      </c>
      <c r="W3014" s="2">
        <v>-6.63</v>
      </c>
      <c r="X3014" s="2">
        <v>5.97</v>
      </c>
      <c r="Y3014" s="2">
        <v>21.69</v>
      </c>
      <c r="Z3014" s="2">
        <v>25.89</v>
      </c>
    </row>
    <row r="3015" spans="1:26" x14ac:dyDescent="0.25">
      <c r="A3015" s="1" t="s">
        <v>11961</v>
      </c>
      <c r="B3015" s="1" t="s">
        <v>11962</v>
      </c>
      <c r="C3015" s="1" t="s">
        <v>16</v>
      </c>
      <c r="D3015" s="1" t="s">
        <v>38</v>
      </c>
      <c r="E3015" s="1" t="s">
        <v>1244</v>
      </c>
      <c r="F3015" s="1" t="s">
        <v>11963</v>
      </c>
      <c r="G3015" s="1" t="s">
        <v>12480</v>
      </c>
      <c r="H3015" s="1" t="s">
        <v>11964</v>
      </c>
      <c r="I3015" s="2">
        <v>68.61</v>
      </c>
      <c r="J3015" s="2">
        <v>5.94</v>
      </c>
      <c r="K3015" s="2">
        <v>6.66</v>
      </c>
      <c r="L3015" s="2">
        <v>7.43</v>
      </c>
      <c r="M3015" s="4">
        <f t="shared" si="282"/>
        <v>10.301801801801801</v>
      </c>
      <c r="N3015" s="4">
        <f t="shared" si="283"/>
        <v>9.2341857335127866</v>
      </c>
      <c r="O3015" s="5">
        <f t="shared" si="284"/>
        <v>0.1212121212121211</v>
      </c>
      <c r="P3015" s="5">
        <f t="shared" si="285"/>
        <v>0.11561561561561562</v>
      </c>
      <c r="Q3015" s="4">
        <f t="shared" si="286"/>
        <v>0.84989864864864939</v>
      </c>
      <c r="R3015" s="4">
        <f t="shared" si="287"/>
        <v>0.79869710370383329</v>
      </c>
      <c r="S3015" s="4">
        <v>5.83</v>
      </c>
      <c r="T3015" s="2">
        <v>1.03</v>
      </c>
      <c r="U3015" s="2">
        <v>73.83</v>
      </c>
      <c r="V3015" s="2">
        <v>41.76</v>
      </c>
      <c r="W3015" s="2">
        <v>-3.91</v>
      </c>
      <c r="X3015" s="2">
        <v>-6.28</v>
      </c>
      <c r="Y3015" s="2">
        <v>6.99</v>
      </c>
      <c r="Z3015" s="2">
        <v>9.01</v>
      </c>
    </row>
    <row r="3016" spans="1:26" x14ac:dyDescent="0.25">
      <c r="A3016" s="1" t="s">
        <v>11965</v>
      </c>
      <c r="B3016" s="1" t="s">
        <v>11966</v>
      </c>
      <c r="C3016" s="1" t="s">
        <v>45</v>
      </c>
      <c r="D3016" s="1" t="s">
        <v>32</v>
      </c>
      <c r="E3016" s="1" t="s">
        <v>4989</v>
      </c>
      <c r="F3016" s="1" t="s">
        <v>11967</v>
      </c>
      <c r="G3016" s="1" t="s">
        <v>12480</v>
      </c>
      <c r="H3016" s="1" t="s">
        <v>11968</v>
      </c>
      <c r="I3016" s="2">
        <v>9.67</v>
      </c>
      <c r="J3016" s="2">
        <v>0.15</v>
      </c>
      <c r="K3016" s="2">
        <v>0.44</v>
      </c>
      <c r="L3016" s="2">
        <v>1.18</v>
      </c>
      <c r="M3016" s="4">
        <f t="shared" si="282"/>
        <v>21.977272727272727</v>
      </c>
      <c r="N3016" s="4">
        <f t="shared" si="283"/>
        <v>8.1949152542372889</v>
      </c>
      <c r="O3016" s="5">
        <f t="shared" si="284"/>
        <v>1.9333333333333336</v>
      </c>
      <c r="P3016" s="5">
        <f t="shared" si="285"/>
        <v>1.6818181818181817</v>
      </c>
      <c r="Q3016" s="4">
        <f t="shared" si="286"/>
        <v>0.11367554858934167</v>
      </c>
      <c r="R3016" s="4">
        <f t="shared" si="287"/>
        <v>4.8726523133302807E-2</v>
      </c>
      <c r="S3016" s="4">
        <v>2.54</v>
      </c>
      <c r="T3016" s="2">
        <v>1.94</v>
      </c>
      <c r="U3016" s="2">
        <v>21.31</v>
      </c>
      <c r="V3016" s="2">
        <v>7.02</v>
      </c>
      <c r="W3016" s="2">
        <v>-14.95</v>
      </c>
      <c r="X3016" s="2">
        <v>-15.1</v>
      </c>
      <c r="Y3016" s="2">
        <v>-22.7</v>
      </c>
      <c r="Z3016" s="2">
        <v>-25.79</v>
      </c>
    </row>
    <row r="3017" spans="1:26" x14ac:dyDescent="0.25">
      <c r="A3017" s="1" t="s">
        <v>11969</v>
      </c>
      <c r="B3017" s="1" t="s">
        <v>11970</v>
      </c>
      <c r="C3017" s="1" t="s">
        <v>16</v>
      </c>
      <c r="D3017" s="1" t="s">
        <v>32</v>
      </c>
      <c r="E3017" s="1" t="s">
        <v>1060</v>
      </c>
      <c r="F3017" s="1" t="s">
        <v>11971</v>
      </c>
      <c r="G3017" s="1" t="s">
        <v>12480</v>
      </c>
      <c r="H3017" s="1" t="s">
        <v>11972</v>
      </c>
      <c r="I3017" s="2">
        <v>267.89</v>
      </c>
      <c r="J3017" s="2">
        <v>12.91</v>
      </c>
      <c r="K3017" s="2">
        <v>15.55</v>
      </c>
      <c r="L3017" s="2">
        <v>17.87</v>
      </c>
      <c r="M3017" s="4">
        <f t="shared" si="282"/>
        <v>17.227652733118969</v>
      </c>
      <c r="N3017" s="4">
        <f t="shared" si="283"/>
        <v>14.991046446558476</v>
      </c>
      <c r="O3017" s="5">
        <f t="shared" si="284"/>
        <v>0.20449264136328438</v>
      </c>
      <c r="P3017" s="5">
        <f t="shared" si="285"/>
        <v>0.14919614147909965</v>
      </c>
      <c r="Q3017" s="4">
        <f t="shared" si="286"/>
        <v>0.84245832115365826</v>
      </c>
      <c r="R3017" s="4">
        <f t="shared" si="287"/>
        <v>1.0047878113964843</v>
      </c>
      <c r="S3017" s="4">
        <v>7.76</v>
      </c>
      <c r="T3017" s="2">
        <v>1.45</v>
      </c>
      <c r="U3017" s="2">
        <v>315.27</v>
      </c>
      <c r="V3017" s="2">
        <v>132.86000000000001</v>
      </c>
      <c r="W3017" s="2">
        <v>-9.4499999999999993</v>
      </c>
      <c r="X3017" s="2">
        <v>-11.2</v>
      </c>
      <c r="Y3017" s="2">
        <v>3.5</v>
      </c>
      <c r="Z3017" s="2">
        <v>9.5</v>
      </c>
    </row>
    <row r="3018" spans="1:26" x14ac:dyDescent="0.25">
      <c r="A3018" s="1" t="s">
        <v>11973</v>
      </c>
      <c r="B3018" s="1" t="s">
        <v>11974</v>
      </c>
      <c r="C3018" s="1" t="s">
        <v>16</v>
      </c>
      <c r="D3018" s="1" t="s">
        <v>140</v>
      </c>
      <c r="E3018" s="1" t="s">
        <v>2558</v>
      </c>
      <c r="F3018" s="1" t="s">
        <v>11975</v>
      </c>
      <c r="G3018" s="1" t="s">
        <v>12480</v>
      </c>
      <c r="H3018" s="1" t="s">
        <v>11976</v>
      </c>
      <c r="I3018" s="2">
        <v>171.73</v>
      </c>
      <c r="J3018" s="2">
        <v>5.15</v>
      </c>
      <c r="K3018" s="2">
        <v>5.51</v>
      </c>
      <c r="L3018" s="2">
        <v>6.26</v>
      </c>
      <c r="M3018" s="4">
        <f t="shared" si="282"/>
        <v>31.166969147005442</v>
      </c>
      <c r="N3018" s="4">
        <f t="shared" si="283"/>
        <v>27.432907348242811</v>
      </c>
      <c r="O3018" s="5">
        <f t="shared" si="284"/>
        <v>6.9902912621359059E-2</v>
      </c>
      <c r="P3018" s="5">
        <f t="shared" si="285"/>
        <v>0.13611615245009068</v>
      </c>
      <c r="Q3018" s="4">
        <f t="shared" si="286"/>
        <v>4.4586080863077333</v>
      </c>
      <c r="R3018" s="4">
        <f t="shared" si="287"/>
        <v>2.0154042598509063</v>
      </c>
      <c r="S3018" s="4">
        <v>6.14</v>
      </c>
      <c r="T3018" s="2">
        <v>0.62</v>
      </c>
      <c r="U3018" s="2">
        <v>199.95</v>
      </c>
      <c r="V3018" s="2">
        <v>157.58000000000001</v>
      </c>
      <c r="W3018" s="2">
        <v>-0.83</v>
      </c>
      <c r="X3018" s="2">
        <v>-7.0000000000000007E-2</v>
      </c>
      <c r="Y3018" s="2">
        <v>-2.69</v>
      </c>
      <c r="Z3018" s="2">
        <v>-2.0699999999999998</v>
      </c>
    </row>
    <row r="3019" spans="1:26" x14ac:dyDescent="0.25">
      <c r="A3019" s="1" t="s">
        <v>11977</v>
      </c>
      <c r="B3019" s="1" t="s">
        <v>11978</v>
      </c>
      <c r="C3019" s="1" t="s">
        <v>16</v>
      </c>
      <c r="D3019" s="1" t="s">
        <v>38</v>
      </c>
      <c r="E3019" s="1" t="s">
        <v>473</v>
      </c>
      <c r="F3019" s="1" t="s">
        <v>11979</v>
      </c>
      <c r="G3019" s="1" t="s">
        <v>12480</v>
      </c>
      <c r="H3019" s="1" t="s">
        <v>7089</v>
      </c>
      <c r="I3019" s="2">
        <v>49.92</v>
      </c>
      <c r="J3019" s="2">
        <v>3.5</v>
      </c>
      <c r="K3019" s="2"/>
      <c r="L3019" s="2"/>
      <c r="M3019" s="4" t="e">
        <f t="shared" si="282"/>
        <v>#DIV/0!</v>
      </c>
      <c r="N3019" s="4" t="e">
        <f t="shared" si="283"/>
        <v>#DIV/0!</v>
      </c>
      <c r="O3019" s="5">
        <f t="shared" si="284"/>
        <v>-1</v>
      </c>
      <c r="P3019" s="5" t="e">
        <f t="shared" si="285"/>
        <v>#DIV/0!</v>
      </c>
      <c r="Q3019" s="4" t="e">
        <f t="shared" si="286"/>
        <v>#DIV/0!</v>
      </c>
      <c r="R3019" s="4" t="e">
        <f t="shared" si="287"/>
        <v>#DIV/0!</v>
      </c>
      <c r="S3019" s="4">
        <v>8.99</v>
      </c>
      <c r="T3019" s="2">
        <v>1.57</v>
      </c>
      <c r="U3019" s="2">
        <v>87.97</v>
      </c>
      <c r="V3019" s="2">
        <v>46.01</v>
      </c>
      <c r="W3019" s="2">
        <v>4.79</v>
      </c>
      <c r="X3019" s="2">
        <v>-20.5</v>
      </c>
      <c r="Y3019" s="2">
        <v>-19.899999999999999</v>
      </c>
      <c r="Z3019" s="2">
        <v>-17.010000000000002</v>
      </c>
    </row>
    <row r="3020" spans="1:26" x14ac:dyDescent="0.25">
      <c r="A3020" s="1" t="s">
        <v>11980</v>
      </c>
      <c r="B3020" s="1" t="s">
        <v>11981</v>
      </c>
      <c r="C3020" s="1" t="s">
        <v>45</v>
      </c>
      <c r="D3020" s="1" t="s">
        <v>32</v>
      </c>
      <c r="E3020" s="1" t="s">
        <v>311</v>
      </c>
      <c r="F3020" s="1" t="s">
        <v>11982</v>
      </c>
      <c r="G3020" s="1" t="s">
        <v>12493</v>
      </c>
      <c r="H3020" s="1" t="s">
        <v>12817</v>
      </c>
      <c r="I3020" s="2">
        <v>148.13999999999999</v>
      </c>
      <c r="J3020" s="2">
        <v>9.23</v>
      </c>
      <c r="K3020" s="2">
        <v>10.54</v>
      </c>
      <c r="L3020" s="2">
        <v>12.32</v>
      </c>
      <c r="M3020" s="4">
        <f t="shared" si="282"/>
        <v>14.055028462998102</v>
      </c>
      <c r="N3020" s="4">
        <f t="shared" si="283"/>
        <v>12.024350649350648</v>
      </c>
      <c r="O3020" s="5">
        <f t="shared" si="284"/>
        <v>0.14192849404117003</v>
      </c>
      <c r="P3020" s="5">
        <f t="shared" si="285"/>
        <v>0.1688804554079697</v>
      </c>
      <c r="Q3020" s="4">
        <f t="shared" si="286"/>
        <v>0.99028941002650805</v>
      </c>
      <c r="R3020" s="4">
        <f t="shared" si="287"/>
        <v>0.71200368451772911</v>
      </c>
      <c r="S3020" s="4">
        <v>13.09</v>
      </c>
      <c r="T3020" s="2">
        <v>1.1599999999999999</v>
      </c>
      <c r="U3020" s="2">
        <v>274.70999999999998</v>
      </c>
      <c r="V3020" s="2">
        <v>129.21</v>
      </c>
      <c r="W3020" s="2">
        <v>10.54</v>
      </c>
      <c r="X3020" s="2">
        <v>-4.1500000000000004</v>
      </c>
      <c r="Y3020" s="2">
        <v>-31.07</v>
      </c>
      <c r="Z3020" s="2">
        <v>-31.03</v>
      </c>
    </row>
    <row r="3021" spans="1:26" x14ac:dyDescent="0.25">
      <c r="A3021" s="1" t="s">
        <v>11983</v>
      </c>
      <c r="B3021" s="1" t="s">
        <v>11984</v>
      </c>
      <c r="C3021" s="1" t="s">
        <v>45</v>
      </c>
      <c r="D3021" s="1" t="s">
        <v>32</v>
      </c>
      <c r="E3021" s="1" t="s">
        <v>8147</v>
      </c>
      <c r="F3021" s="1" t="s">
        <v>11985</v>
      </c>
      <c r="G3021" s="1" t="s">
        <v>12502</v>
      </c>
      <c r="H3021" s="1" t="s">
        <v>11986</v>
      </c>
      <c r="I3021" s="2">
        <v>262.06</v>
      </c>
      <c r="J3021" s="2">
        <v>4.93</v>
      </c>
      <c r="K3021" s="2">
        <v>8.9600000000000009</v>
      </c>
      <c r="L3021" s="2">
        <v>14.55</v>
      </c>
      <c r="M3021" s="4">
        <f t="shared" si="282"/>
        <v>29.247767857142854</v>
      </c>
      <c r="N3021" s="4">
        <f t="shared" si="283"/>
        <v>18.010996563573883</v>
      </c>
      <c r="O3021" s="5">
        <f t="shared" si="284"/>
        <v>0.81744421906693732</v>
      </c>
      <c r="P3021" s="5">
        <f t="shared" si="285"/>
        <v>0.6238839285714286</v>
      </c>
      <c r="Q3021" s="4">
        <f t="shared" si="286"/>
        <v>0.35779527428216934</v>
      </c>
      <c r="R3021" s="4">
        <f t="shared" si="287"/>
        <v>0.28869146549127367</v>
      </c>
      <c r="S3021" s="4">
        <v>-26.79</v>
      </c>
      <c r="T3021" s="2">
        <v>1.76</v>
      </c>
      <c r="U3021" s="2">
        <v>296.56</v>
      </c>
      <c r="V3021" s="2">
        <v>30.54</v>
      </c>
      <c r="W3021" s="2">
        <v>-2.97</v>
      </c>
      <c r="X3021" s="2">
        <v>-8.3699999999999992</v>
      </c>
      <c r="Y3021" s="2">
        <v>52.33</v>
      </c>
      <c r="Z3021" s="2">
        <v>52.12</v>
      </c>
    </row>
    <row r="3022" spans="1:26" x14ac:dyDescent="0.25">
      <c r="A3022" s="1" t="s">
        <v>11987</v>
      </c>
      <c r="B3022" s="1" t="s">
        <v>11988</v>
      </c>
      <c r="C3022" s="1" t="s">
        <v>45</v>
      </c>
      <c r="D3022" s="1" t="s">
        <v>128</v>
      </c>
      <c r="E3022" s="1" t="s">
        <v>210</v>
      </c>
      <c r="F3022" s="1" t="s">
        <v>11989</v>
      </c>
      <c r="G3022" s="1" t="s">
        <v>12497</v>
      </c>
      <c r="H3022" s="1" t="s">
        <v>2121</v>
      </c>
      <c r="I3022" s="2">
        <v>230.2</v>
      </c>
      <c r="J3022" s="2">
        <v>5.82</v>
      </c>
      <c r="K3022" s="2">
        <v>6.04</v>
      </c>
      <c r="L3022" s="2">
        <v>6.52</v>
      </c>
      <c r="M3022" s="4">
        <f t="shared" si="282"/>
        <v>38.11258278145695</v>
      </c>
      <c r="N3022" s="4">
        <f t="shared" si="283"/>
        <v>35.306748466257666</v>
      </c>
      <c r="O3022" s="5">
        <f t="shared" si="284"/>
        <v>3.7800687285223233E-2</v>
      </c>
      <c r="P3022" s="5">
        <f t="shared" si="285"/>
        <v>7.9470198675496651E-2</v>
      </c>
      <c r="Q3022" s="4">
        <f t="shared" si="286"/>
        <v>10.082510535821829</v>
      </c>
      <c r="R3022" s="4">
        <f t="shared" si="287"/>
        <v>4.4427658486707582</v>
      </c>
      <c r="S3022" s="4">
        <v>4.9800000000000004</v>
      </c>
      <c r="T3022" s="2">
        <v>0.17</v>
      </c>
      <c r="U3022" s="2">
        <v>252.96</v>
      </c>
      <c r="V3022" s="2">
        <v>187.52</v>
      </c>
      <c r="W3022" s="2">
        <v>-4.1500000000000004</v>
      </c>
      <c r="X3022" s="2">
        <v>-2.98</v>
      </c>
      <c r="Y3022" s="2">
        <v>11.55</v>
      </c>
      <c r="Z3022" s="2">
        <v>16.91</v>
      </c>
    </row>
    <row r="3023" spans="1:26" x14ac:dyDescent="0.25">
      <c r="A3023" s="1" t="s">
        <v>11990</v>
      </c>
      <c r="B3023" s="1" t="s">
        <v>11991</v>
      </c>
      <c r="C3023" s="1" t="s">
        <v>16</v>
      </c>
      <c r="D3023" s="1" t="s">
        <v>94</v>
      </c>
      <c r="E3023" s="1" t="s">
        <v>95</v>
      </c>
      <c r="F3023" s="1" t="s">
        <v>11992</v>
      </c>
      <c r="G3023" s="1" t="s">
        <v>12480</v>
      </c>
      <c r="H3023" s="1" t="s">
        <v>11993</v>
      </c>
      <c r="I3023" s="2">
        <v>21.86</v>
      </c>
      <c r="J3023" s="2">
        <v>1.42</v>
      </c>
      <c r="K3023" s="2"/>
      <c r="L3023" s="2"/>
      <c r="M3023" s="4" t="e">
        <f t="shared" si="282"/>
        <v>#DIV/0!</v>
      </c>
      <c r="N3023" s="4" t="e">
        <f t="shared" si="283"/>
        <v>#DIV/0!</v>
      </c>
      <c r="O3023" s="5">
        <f t="shared" si="284"/>
        <v>-1</v>
      </c>
      <c r="P3023" s="5" t="e">
        <f t="shared" si="285"/>
        <v>#DIV/0!</v>
      </c>
      <c r="Q3023" s="4" t="e">
        <f t="shared" si="286"/>
        <v>#DIV/0!</v>
      </c>
      <c r="R3023" s="4" t="e">
        <f t="shared" si="287"/>
        <v>#DIV/0!</v>
      </c>
      <c r="S3023" s="4">
        <v>-1.48</v>
      </c>
      <c r="T3023" s="2">
        <v>0.38</v>
      </c>
      <c r="U3023" s="2">
        <v>22.34</v>
      </c>
      <c r="V3023" s="2">
        <v>11.5</v>
      </c>
      <c r="W3023" s="2">
        <v>2.1</v>
      </c>
      <c r="X3023" s="2">
        <v>18.03</v>
      </c>
      <c r="Y3023" s="2">
        <v>35.86</v>
      </c>
      <c r="Z3023" s="2">
        <v>40.22</v>
      </c>
    </row>
    <row r="3024" spans="1:26" x14ac:dyDescent="0.25">
      <c r="A3024" s="1" t="s">
        <v>11994</v>
      </c>
      <c r="B3024" s="1" t="s">
        <v>11995</v>
      </c>
      <c r="C3024" s="1" t="s">
        <v>16</v>
      </c>
      <c r="D3024" s="1" t="s">
        <v>354</v>
      </c>
      <c r="E3024" s="1" t="s">
        <v>355</v>
      </c>
      <c r="F3024" s="1" t="s">
        <v>11996</v>
      </c>
      <c r="G3024" s="1" t="s">
        <v>12480</v>
      </c>
      <c r="H3024" s="1" t="s">
        <v>11997</v>
      </c>
      <c r="I3024" s="2">
        <v>115.59</v>
      </c>
      <c r="J3024" s="2">
        <v>5.27</v>
      </c>
      <c r="K3024" s="2">
        <v>5.6</v>
      </c>
      <c r="L3024" s="2">
        <v>6.02</v>
      </c>
      <c r="M3024" s="4">
        <f t="shared" si="282"/>
        <v>20.641071428571429</v>
      </c>
      <c r="N3024" s="4">
        <f t="shared" si="283"/>
        <v>19.200996677740864</v>
      </c>
      <c r="O3024" s="5">
        <f t="shared" si="284"/>
        <v>6.2618595825427059E-2</v>
      </c>
      <c r="P3024" s="5">
        <f t="shared" si="285"/>
        <v>7.4999999999999956E-2</v>
      </c>
      <c r="Q3024" s="4">
        <f t="shared" si="286"/>
        <v>3.2963165584415526</v>
      </c>
      <c r="R3024" s="4">
        <f t="shared" si="287"/>
        <v>2.5601328903654501</v>
      </c>
      <c r="S3024" s="4">
        <v>13.96</v>
      </c>
      <c r="T3024" s="2">
        <v>0.57999999999999996</v>
      </c>
      <c r="U3024" s="2">
        <v>117.55</v>
      </c>
      <c r="V3024" s="2">
        <v>102.24</v>
      </c>
      <c r="W3024" s="2">
        <v>-0.88</v>
      </c>
      <c r="X3024" s="2">
        <v>3.84</v>
      </c>
      <c r="Y3024" s="2">
        <v>9.81</v>
      </c>
      <c r="Z3024" s="2">
        <v>9.61</v>
      </c>
    </row>
    <row r="3025" spans="1:26" x14ac:dyDescent="0.25">
      <c r="A3025" s="1" t="s">
        <v>11998</v>
      </c>
      <c r="B3025" s="1" t="s">
        <v>11999</v>
      </c>
      <c r="C3025" s="1" t="s">
        <v>16</v>
      </c>
      <c r="D3025" s="1" t="s">
        <v>38</v>
      </c>
      <c r="E3025" s="1" t="s">
        <v>510</v>
      </c>
      <c r="F3025" s="1" t="s">
        <v>12000</v>
      </c>
      <c r="G3025" s="1" t="s">
        <v>12480</v>
      </c>
      <c r="H3025" s="1" t="s">
        <v>12001</v>
      </c>
      <c r="I3025" s="2">
        <v>207.68</v>
      </c>
      <c r="J3025" s="2">
        <v>5.29</v>
      </c>
      <c r="K3025" s="2">
        <v>6.12</v>
      </c>
      <c r="L3025" s="2">
        <v>6.98</v>
      </c>
      <c r="M3025" s="4">
        <f t="shared" si="282"/>
        <v>33.934640522875817</v>
      </c>
      <c r="N3025" s="4">
        <f t="shared" si="283"/>
        <v>29.753581661891118</v>
      </c>
      <c r="O3025" s="5">
        <f t="shared" si="284"/>
        <v>0.15689981096408312</v>
      </c>
      <c r="P3025" s="5">
        <f t="shared" si="285"/>
        <v>0.14052287581699341</v>
      </c>
      <c r="Q3025" s="4">
        <f t="shared" si="286"/>
        <v>2.1628222694700376</v>
      </c>
      <c r="R3025" s="4">
        <f t="shared" si="287"/>
        <v>2.1173479043113224</v>
      </c>
      <c r="S3025" s="4">
        <v>35.630000000000003</v>
      </c>
      <c r="T3025" s="2">
        <v>0.82</v>
      </c>
      <c r="U3025" s="2">
        <v>215.48</v>
      </c>
      <c r="V3025" s="2">
        <v>136.49</v>
      </c>
      <c r="W3025" s="2">
        <v>-1.18</v>
      </c>
      <c r="X3025" s="2">
        <v>5.29</v>
      </c>
      <c r="Y3025" s="2">
        <v>9.0399999999999991</v>
      </c>
      <c r="Z3025" s="2">
        <v>11.89</v>
      </c>
    </row>
    <row r="3026" spans="1:26" x14ac:dyDescent="0.25">
      <c r="A3026" s="1" t="s">
        <v>12002</v>
      </c>
      <c r="B3026" s="1" t="s">
        <v>12003</v>
      </c>
      <c r="C3026" s="1" t="s">
        <v>45</v>
      </c>
      <c r="D3026" s="1" t="s">
        <v>67</v>
      </c>
      <c r="E3026" s="1" t="s">
        <v>1037</v>
      </c>
      <c r="F3026" s="1" t="s">
        <v>12004</v>
      </c>
      <c r="G3026" s="1" t="s">
        <v>12480</v>
      </c>
      <c r="H3026" s="1" t="s">
        <v>11333</v>
      </c>
      <c r="I3026" s="2">
        <v>7.27</v>
      </c>
      <c r="J3026" s="2">
        <v>0.88</v>
      </c>
      <c r="K3026" s="2">
        <v>0.62</v>
      </c>
      <c r="L3026" s="2">
        <v>0.65</v>
      </c>
      <c r="M3026" s="4">
        <f t="shared" si="282"/>
        <v>11.725806451612902</v>
      </c>
      <c r="N3026" s="4">
        <f t="shared" si="283"/>
        <v>11.184615384615384</v>
      </c>
      <c r="O3026" s="5">
        <f t="shared" si="284"/>
        <v>-0.29545454545454541</v>
      </c>
      <c r="P3026" s="5">
        <f t="shared" si="285"/>
        <v>4.8387096774193505E-2</v>
      </c>
      <c r="Q3026" s="4">
        <f t="shared" si="286"/>
        <v>-0.39687344913151368</v>
      </c>
      <c r="R3026" s="4">
        <f t="shared" si="287"/>
        <v>2.3114871794871812</v>
      </c>
      <c r="S3026" s="4">
        <v>-3.1</v>
      </c>
      <c r="T3026" s="2">
        <v>0.38</v>
      </c>
      <c r="U3026" s="2">
        <v>15.58</v>
      </c>
      <c r="V3026" s="2" t="s">
        <v>12496</v>
      </c>
      <c r="W3026" s="2">
        <v>-2.2799999999999998</v>
      </c>
      <c r="X3026" s="2">
        <v>-6.91</v>
      </c>
      <c r="Y3026" s="2">
        <v>-11.67</v>
      </c>
      <c r="Z3026" s="2">
        <v>-12.73</v>
      </c>
    </row>
    <row r="3027" spans="1:26" x14ac:dyDescent="0.25">
      <c r="A3027" s="1" t="s">
        <v>12005</v>
      </c>
      <c r="B3027" s="1" t="s">
        <v>12006</v>
      </c>
      <c r="C3027" s="1" t="s">
        <v>45</v>
      </c>
      <c r="D3027" s="1" t="s">
        <v>46</v>
      </c>
      <c r="E3027" s="1" t="s">
        <v>977</v>
      </c>
      <c r="F3027" s="1" t="s">
        <v>12007</v>
      </c>
      <c r="G3027" s="1" t="s">
        <v>12480</v>
      </c>
      <c r="H3027" s="1" t="s">
        <v>12008</v>
      </c>
      <c r="I3027" s="2">
        <v>31.22</v>
      </c>
      <c r="J3027" s="2">
        <v>-0.02</v>
      </c>
      <c r="K3027" s="2">
        <v>0.85</v>
      </c>
      <c r="L3027" s="2">
        <v>1.86</v>
      </c>
      <c r="M3027" s="4">
        <f t="shared" si="282"/>
        <v>36.72941176470588</v>
      </c>
      <c r="N3027" s="4">
        <f t="shared" si="283"/>
        <v>16.78494623655914</v>
      </c>
      <c r="O3027" s="5">
        <f t="shared" si="284"/>
        <v>-43.5</v>
      </c>
      <c r="P3027" s="5">
        <f t="shared" si="285"/>
        <v>1.1882352941176473</v>
      </c>
      <c r="Q3027" s="4">
        <f t="shared" si="286"/>
        <v>-8.4435429344151443E-3</v>
      </c>
      <c r="R3027" s="4">
        <f t="shared" si="287"/>
        <v>0.14125944852549768</v>
      </c>
      <c r="S3027" s="4">
        <v>-1.84</v>
      </c>
      <c r="T3027" s="2">
        <v>1.06</v>
      </c>
      <c r="U3027" s="2">
        <v>37.869999999999997</v>
      </c>
      <c r="V3027" s="2">
        <v>23.15</v>
      </c>
      <c r="W3027" s="2">
        <v>-9.77</v>
      </c>
      <c r="X3027" s="2">
        <v>-12.23</v>
      </c>
      <c r="Y3027" s="2">
        <v>1.76</v>
      </c>
      <c r="Z3027" s="2">
        <v>4.03</v>
      </c>
    </row>
    <row r="3028" spans="1:26" x14ac:dyDescent="0.25">
      <c r="A3028" s="1" t="s">
        <v>12009</v>
      </c>
      <c r="B3028" s="1" t="s">
        <v>12010</v>
      </c>
      <c r="C3028" s="1" t="s">
        <v>16</v>
      </c>
      <c r="D3028" s="1" t="s">
        <v>94</v>
      </c>
      <c r="E3028" s="1" t="s">
        <v>4976</v>
      </c>
      <c r="F3028" s="1" t="s">
        <v>12011</v>
      </c>
      <c r="G3028" s="1" t="s">
        <v>12480</v>
      </c>
      <c r="H3028" s="1" t="s">
        <v>12012</v>
      </c>
      <c r="I3028" s="2">
        <v>41.33</v>
      </c>
      <c r="J3028" s="2">
        <v>2.98</v>
      </c>
      <c r="K3028" s="2">
        <v>3.37</v>
      </c>
      <c r="L3028" s="2">
        <v>3.6</v>
      </c>
      <c r="M3028" s="4">
        <f t="shared" si="282"/>
        <v>12.264094955489613</v>
      </c>
      <c r="N3028" s="4">
        <f t="shared" si="283"/>
        <v>11.480555555555554</v>
      </c>
      <c r="O3028" s="5">
        <f t="shared" si="284"/>
        <v>0.13087248322147649</v>
      </c>
      <c r="P3028" s="5">
        <f t="shared" si="285"/>
        <v>6.8249258160237414E-2</v>
      </c>
      <c r="Q3028" s="4">
        <f t="shared" si="286"/>
        <v>0.93710264018869371</v>
      </c>
      <c r="R3028" s="4">
        <f t="shared" si="287"/>
        <v>1.6821509661835741</v>
      </c>
      <c r="S3028" s="4">
        <v>6.61</v>
      </c>
      <c r="T3028" s="2">
        <v>0.76</v>
      </c>
      <c r="U3028" s="2">
        <v>43.9</v>
      </c>
      <c r="V3028" s="2">
        <v>34.99</v>
      </c>
      <c r="W3028" s="2">
        <v>-1.81</v>
      </c>
      <c r="X3028" s="2">
        <v>0.1</v>
      </c>
      <c r="Y3028" s="2">
        <v>4.58</v>
      </c>
      <c r="Z3028" s="2">
        <v>4.63</v>
      </c>
    </row>
    <row r="3029" spans="1:26" x14ac:dyDescent="0.25">
      <c r="A3029" s="1" t="s">
        <v>12013</v>
      </c>
      <c r="B3029" s="1" t="s">
        <v>12013</v>
      </c>
      <c r="C3029" s="1" t="s">
        <v>16</v>
      </c>
      <c r="D3029" s="1" t="s">
        <v>140</v>
      </c>
      <c r="E3029" s="1" t="s">
        <v>1555</v>
      </c>
      <c r="F3029" s="1" t="s">
        <v>12014</v>
      </c>
      <c r="G3029" s="1" t="s">
        <v>12480</v>
      </c>
      <c r="H3029" s="1" t="s">
        <v>3736</v>
      </c>
      <c r="I3029" s="2">
        <v>161.97999999999999</v>
      </c>
      <c r="J3029" s="2">
        <v>16.100000000000001</v>
      </c>
      <c r="K3029" s="2">
        <v>17.52</v>
      </c>
      <c r="L3029" s="2">
        <v>19.29</v>
      </c>
      <c r="M3029" s="4">
        <f t="shared" si="282"/>
        <v>9.2454337899543368</v>
      </c>
      <c r="N3029" s="4">
        <f t="shared" si="283"/>
        <v>8.3970969414204255</v>
      </c>
      <c r="O3029" s="5">
        <f t="shared" si="284"/>
        <v>8.8198757763975122E-2</v>
      </c>
      <c r="P3029" s="5">
        <f t="shared" si="285"/>
        <v>0.10102739726027399</v>
      </c>
      <c r="Q3029" s="4">
        <f t="shared" si="286"/>
        <v>1.0482498874525694</v>
      </c>
      <c r="R3029" s="4">
        <f t="shared" si="287"/>
        <v>0.83117027352364881</v>
      </c>
      <c r="S3029" s="4">
        <v>1.24</v>
      </c>
      <c r="T3029" s="2">
        <v>0.97</v>
      </c>
      <c r="U3029" s="2">
        <v>176.26</v>
      </c>
      <c r="V3029" s="2">
        <v>113.47</v>
      </c>
      <c r="W3029" s="2">
        <v>2.52</v>
      </c>
      <c r="X3029" s="2">
        <v>-0.28000000000000003</v>
      </c>
      <c r="Y3029" s="2">
        <v>7.24</v>
      </c>
      <c r="Z3029" s="2">
        <v>8.73</v>
      </c>
    </row>
    <row r="3030" spans="1:26" x14ac:dyDescent="0.25">
      <c r="A3030" s="1" t="s">
        <v>12015</v>
      </c>
      <c r="B3030" s="1" t="s">
        <v>12016</v>
      </c>
      <c r="C3030" s="1" t="s">
        <v>16</v>
      </c>
      <c r="D3030" s="1" t="s">
        <v>38</v>
      </c>
      <c r="E3030" s="1" t="s">
        <v>189</v>
      </c>
      <c r="F3030" s="1" t="s">
        <v>12017</v>
      </c>
      <c r="G3030" s="1" t="s">
        <v>12480</v>
      </c>
      <c r="H3030" s="1" t="s">
        <v>12018</v>
      </c>
      <c r="I3030" s="2">
        <v>68.290000000000006</v>
      </c>
      <c r="J3030" s="2">
        <v>8.5500000000000007</v>
      </c>
      <c r="K3030" s="2">
        <v>9.99</v>
      </c>
      <c r="L3030" s="2"/>
      <c r="M3030" s="4">
        <f t="shared" si="282"/>
        <v>6.8358358358358364</v>
      </c>
      <c r="N3030" s="4" t="e">
        <f t="shared" si="283"/>
        <v>#DIV/0!</v>
      </c>
      <c r="O3030" s="5">
        <f t="shared" si="284"/>
        <v>0.1684210526315788</v>
      </c>
      <c r="P3030" s="5">
        <f t="shared" si="285"/>
        <v>-1</v>
      </c>
      <c r="Q3030" s="4">
        <f t="shared" si="286"/>
        <v>0.40587775275275317</v>
      </c>
      <c r="R3030" s="4" t="e">
        <f t="shared" si="287"/>
        <v>#DIV/0!</v>
      </c>
      <c r="S3030" s="4">
        <v>-14.56</v>
      </c>
      <c r="T3030" s="2">
        <v>1.1000000000000001</v>
      </c>
      <c r="U3030" s="2">
        <v>84.47</v>
      </c>
      <c r="V3030" s="2">
        <v>30.46</v>
      </c>
      <c r="W3030" s="2">
        <v>-7.6</v>
      </c>
      <c r="X3030" s="2">
        <v>-5.62</v>
      </c>
      <c r="Y3030" s="2">
        <v>21.3</v>
      </c>
      <c r="Z3030" s="2">
        <v>16.16</v>
      </c>
    </row>
    <row r="3031" spans="1:26" x14ac:dyDescent="0.25">
      <c r="A3031" s="1" t="s">
        <v>12019</v>
      </c>
      <c r="B3031" s="1" t="s">
        <v>12020</v>
      </c>
      <c r="C3031" s="1" t="s">
        <v>16</v>
      </c>
      <c r="D3031" s="1" t="s">
        <v>38</v>
      </c>
      <c r="E3031" s="1" t="s">
        <v>1408</v>
      </c>
      <c r="F3031" s="1" t="s">
        <v>12021</v>
      </c>
      <c r="G3031" s="1" t="s">
        <v>12480</v>
      </c>
      <c r="H3031" s="1" t="s">
        <v>12022</v>
      </c>
      <c r="I3031" s="2">
        <v>78.83</v>
      </c>
      <c r="J3031" s="2">
        <v>6.28</v>
      </c>
      <c r="K3031" s="2">
        <v>6.92</v>
      </c>
      <c r="L3031" s="2">
        <v>7.81</v>
      </c>
      <c r="M3031" s="4">
        <f t="shared" si="282"/>
        <v>11.391618497109826</v>
      </c>
      <c r="N3031" s="4">
        <f t="shared" si="283"/>
        <v>10.093469910371319</v>
      </c>
      <c r="O3031" s="5">
        <f t="shared" si="284"/>
        <v>0.10191082802547768</v>
      </c>
      <c r="P3031" s="5">
        <f t="shared" si="285"/>
        <v>0.12861271676300579</v>
      </c>
      <c r="Q3031" s="4">
        <f t="shared" si="286"/>
        <v>1.1178025650289021</v>
      </c>
      <c r="R3031" s="4">
        <f t="shared" si="287"/>
        <v>0.78479563797493845</v>
      </c>
      <c r="S3031" s="4">
        <v>-1.49</v>
      </c>
      <c r="T3031" s="2">
        <v>1.08</v>
      </c>
      <c r="U3031" s="2">
        <v>96.39</v>
      </c>
      <c r="V3031" s="2">
        <v>60.98</v>
      </c>
      <c r="W3031" s="2">
        <v>-4.54</v>
      </c>
      <c r="X3031" s="2">
        <v>-16.68</v>
      </c>
      <c r="Y3031" s="2">
        <v>-15.15</v>
      </c>
      <c r="Z3031" s="2">
        <v>-15.42</v>
      </c>
    </row>
    <row r="3032" spans="1:26" x14ac:dyDescent="0.25">
      <c r="A3032" s="1" t="s">
        <v>12023</v>
      </c>
      <c r="B3032" s="1" t="s">
        <v>12024</v>
      </c>
      <c r="C3032" s="1" t="s">
        <v>16</v>
      </c>
      <c r="D3032" s="1" t="s">
        <v>61</v>
      </c>
      <c r="E3032" s="1" t="s">
        <v>1534</v>
      </c>
      <c r="F3032" s="1" t="s">
        <v>12025</v>
      </c>
      <c r="G3032" s="1" t="s">
        <v>12480</v>
      </c>
      <c r="H3032" s="1" t="s">
        <v>12026</v>
      </c>
      <c r="I3032" s="2">
        <v>64.87</v>
      </c>
      <c r="J3032" s="2">
        <v>-4.87</v>
      </c>
      <c r="K3032" s="2">
        <v>-1.33</v>
      </c>
      <c r="L3032" s="2">
        <v>3.7</v>
      </c>
      <c r="M3032" s="4">
        <f t="shared" si="282"/>
        <v>-48.774436090225564</v>
      </c>
      <c r="N3032" s="4">
        <f t="shared" si="283"/>
        <v>17.532432432432433</v>
      </c>
      <c r="O3032" s="5">
        <f t="shared" si="284"/>
        <v>-0.7268993839835729</v>
      </c>
      <c r="P3032" s="5">
        <f t="shared" si="285"/>
        <v>-3.7819548872180451</v>
      </c>
      <c r="Q3032" s="4">
        <f t="shared" si="286"/>
        <v>0.67099294847287716</v>
      </c>
      <c r="R3032" s="4">
        <f t="shared" si="287"/>
        <v>-4.635812154102413E-2</v>
      </c>
      <c r="S3032" s="4">
        <v>-11.53</v>
      </c>
      <c r="T3032" s="2">
        <v>1.1200000000000001</v>
      </c>
      <c r="U3032" s="2">
        <v>78.77</v>
      </c>
      <c r="V3032" s="2">
        <v>57.91</v>
      </c>
      <c r="W3032" s="2">
        <v>-2.16</v>
      </c>
      <c r="X3032" s="2">
        <v>-13.5</v>
      </c>
      <c r="Y3032" s="2">
        <v>7.7</v>
      </c>
      <c r="Z3032" s="2">
        <v>6.15</v>
      </c>
    </row>
    <row r="3033" spans="1:26" x14ac:dyDescent="0.25">
      <c r="A3033" s="1" t="s">
        <v>12027</v>
      </c>
      <c r="B3033" s="1" t="s">
        <v>12028</v>
      </c>
      <c r="C3033" s="1" t="s">
        <v>45</v>
      </c>
      <c r="D3033" s="1" t="s">
        <v>94</v>
      </c>
      <c r="E3033" s="1" t="s">
        <v>1042</v>
      </c>
      <c r="F3033" s="1" t="s">
        <v>12029</v>
      </c>
      <c r="G3033" s="1" t="s">
        <v>12480</v>
      </c>
      <c r="H3033" s="1" t="s">
        <v>1080</v>
      </c>
      <c r="I3033" s="2">
        <v>90.95</v>
      </c>
      <c r="J3033" s="2">
        <v>5.93</v>
      </c>
      <c r="K3033" s="2">
        <v>5.84</v>
      </c>
      <c r="L3033" s="2">
        <v>6.89</v>
      </c>
      <c r="M3033" s="4">
        <f t="shared" si="282"/>
        <v>15.573630136986303</v>
      </c>
      <c r="N3033" s="4">
        <f t="shared" si="283"/>
        <v>13.200290275761976</v>
      </c>
      <c r="O3033" s="5">
        <f t="shared" si="284"/>
        <v>-1.5177065767284947E-2</v>
      </c>
      <c r="P3033" s="5">
        <f t="shared" si="285"/>
        <v>0.1797945205479452</v>
      </c>
      <c r="Q3033" s="4">
        <f t="shared" si="286"/>
        <v>-10.26129185692545</v>
      </c>
      <c r="R3033" s="4">
        <f t="shared" si="287"/>
        <v>0.73418757343285657</v>
      </c>
      <c r="S3033" s="4">
        <v>-10.79</v>
      </c>
      <c r="T3033" s="2">
        <v>0.78</v>
      </c>
      <c r="U3033" s="2">
        <v>106.86</v>
      </c>
      <c r="V3033" s="2">
        <v>39.17</v>
      </c>
      <c r="W3033" s="2">
        <v>-11.98</v>
      </c>
      <c r="X3033" s="2">
        <v>-12.76</v>
      </c>
      <c r="Y3033" s="2">
        <v>15.14</v>
      </c>
      <c r="Z3033" s="2">
        <v>16.22</v>
      </c>
    </row>
    <row r="3034" spans="1:26" x14ac:dyDescent="0.25">
      <c r="A3034" s="1" t="s">
        <v>12030</v>
      </c>
      <c r="B3034" s="1" t="s">
        <v>12031</v>
      </c>
      <c r="C3034" s="1" t="s">
        <v>45</v>
      </c>
      <c r="D3034" s="1" t="s">
        <v>18</v>
      </c>
      <c r="E3034" s="1" t="s">
        <v>624</v>
      </c>
      <c r="F3034" s="1" t="s">
        <v>12032</v>
      </c>
      <c r="G3034" s="1" t="s">
        <v>12480</v>
      </c>
      <c r="H3034" s="1" t="s">
        <v>1363</v>
      </c>
      <c r="I3034" s="2">
        <v>94.51</v>
      </c>
      <c r="J3034" s="2">
        <v>1.4</v>
      </c>
      <c r="K3034" s="2">
        <v>0.75</v>
      </c>
      <c r="L3034" s="2">
        <v>1.7</v>
      </c>
      <c r="M3034" s="4">
        <f t="shared" si="282"/>
        <v>126.01333333333334</v>
      </c>
      <c r="N3034" s="4">
        <f t="shared" si="283"/>
        <v>55.59411764705883</v>
      </c>
      <c r="O3034" s="5">
        <f t="shared" si="284"/>
        <v>-0.4642857142857143</v>
      </c>
      <c r="P3034" s="5">
        <f t="shared" si="285"/>
        <v>1.2666666666666666</v>
      </c>
      <c r="Q3034" s="4">
        <f t="shared" si="286"/>
        <v>-2.7141333333333333</v>
      </c>
      <c r="R3034" s="4">
        <f t="shared" si="287"/>
        <v>0.43890092879256976</v>
      </c>
      <c r="S3034" s="4">
        <v>39.97</v>
      </c>
      <c r="T3034" s="2">
        <v>2.0299999999999998</v>
      </c>
      <c r="U3034" s="2">
        <v>167.51</v>
      </c>
      <c r="V3034" s="2">
        <v>56.36</v>
      </c>
      <c r="W3034" s="2">
        <v>27.37</v>
      </c>
      <c r="X3034" s="2">
        <v>3.58</v>
      </c>
      <c r="Y3034" s="2">
        <v>-37.25</v>
      </c>
      <c r="Z3034" s="2">
        <v>-27.33</v>
      </c>
    </row>
    <row r="3035" spans="1:26" x14ac:dyDescent="0.25">
      <c r="A3035" s="1" t="s">
        <v>12033</v>
      </c>
      <c r="B3035" s="1" t="s">
        <v>12034</v>
      </c>
      <c r="C3035" s="1" t="s">
        <v>16</v>
      </c>
      <c r="D3035" s="1" t="s">
        <v>147</v>
      </c>
      <c r="E3035" s="1" t="s">
        <v>180</v>
      </c>
      <c r="F3035" s="1" t="s">
        <v>12035</v>
      </c>
      <c r="G3035" s="1" t="s">
        <v>12480</v>
      </c>
      <c r="H3035" s="1" t="s">
        <v>10992</v>
      </c>
      <c r="I3035" s="2">
        <v>76.239999999999995</v>
      </c>
      <c r="J3035" s="2">
        <v>4.58</v>
      </c>
      <c r="K3035" s="2">
        <v>4.8600000000000003</v>
      </c>
      <c r="L3035" s="2">
        <v>5.51</v>
      </c>
      <c r="M3035" s="4">
        <f t="shared" si="282"/>
        <v>15.687242798353907</v>
      </c>
      <c r="N3035" s="4">
        <f t="shared" si="283"/>
        <v>13.836660617059891</v>
      </c>
      <c r="O3035" s="5">
        <f t="shared" si="284"/>
        <v>6.1135371179039444E-2</v>
      </c>
      <c r="P3035" s="5">
        <f t="shared" si="285"/>
        <v>0.13374485596707797</v>
      </c>
      <c r="Q3035" s="4">
        <f t="shared" si="286"/>
        <v>2.5659847148735975</v>
      </c>
      <c r="R3035" s="4">
        <f t="shared" si="287"/>
        <v>1.0345564707524797</v>
      </c>
      <c r="S3035" s="4">
        <v>1.49</v>
      </c>
      <c r="T3035" s="2">
        <v>0.72</v>
      </c>
      <c r="U3035" s="2">
        <v>100.41</v>
      </c>
      <c r="V3035" s="2">
        <v>69.31</v>
      </c>
      <c r="W3035" s="2">
        <v>-5.29</v>
      </c>
      <c r="X3035" s="2">
        <v>-2.36</v>
      </c>
      <c r="Y3035" s="2">
        <v>-1.66</v>
      </c>
      <c r="Z3035" s="2">
        <v>0.9</v>
      </c>
    </row>
    <row r="3036" spans="1:26" x14ac:dyDescent="0.25">
      <c r="A3036" s="1" t="s">
        <v>12036</v>
      </c>
      <c r="B3036" s="1" t="s">
        <v>12037</v>
      </c>
      <c r="C3036" s="1" t="s">
        <v>16</v>
      </c>
      <c r="D3036" s="1" t="s">
        <v>94</v>
      </c>
      <c r="E3036" s="1" t="s">
        <v>403</v>
      </c>
      <c r="F3036" s="1" t="s">
        <v>12038</v>
      </c>
      <c r="G3036" s="1" t="s">
        <v>12480</v>
      </c>
      <c r="H3036" s="1" t="s">
        <v>12039</v>
      </c>
      <c r="I3036" s="2">
        <v>51.7</v>
      </c>
      <c r="J3036" s="2">
        <v>2.69</v>
      </c>
      <c r="K3036" s="2">
        <v>2.74</v>
      </c>
      <c r="L3036" s="2">
        <v>3.34</v>
      </c>
      <c r="M3036" s="4">
        <f t="shared" si="282"/>
        <v>18.868613138686133</v>
      </c>
      <c r="N3036" s="4">
        <f t="shared" si="283"/>
        <v>15.479041916167667</v>
      </c>
      <c r="O3036" s="5">
        <f t="shared" si="284"/>
        <v>1.858736059479571E-2</v>
      </c>
      <c r="P3036" s="5">
        <f t="shared" si="285"/>
        <v>0.21897810218978098</v>
      </c>
      <c r="Q3036" s="4">
        <f t="shared" si="286"/>
        <v>10.151313868613046</v>
      </c>
      <c r="R3036" s="4">
        <f t="shared" si="287"/>
        <v>0.70687624750499023</v>
      </c>
      <c r="S3036" s="4">
        <v>-4.49</v>
      </c>
      <c r="T3036" s="2">
        <v>1.25</v>
      </c>
      <c r="U3036" s="2">
        <v>58.76</v>
      </c>
      <c r="V3036" s="2">
        <v>33.4</v>
      </c>
      <c r="W3036" s="2">
        <v>-2.54</v>
      </c>
      <c r="X3036" s="2">
        <v>-10.79</v>
      </c>
      <c r="Y3036" s="2">
        <v>13.35</v>
      </c>
      <c r="Z3036" s="2">
        <v>13.18</v>
      </c>
    </row>
    <row r="3037" spans="1:26" x14ac:dyDescent="0.25">
      <c r="A3037" s="1" t="s">
        <v>12040</v>
      </c>
      <c r="B3037" s="1" t="s">
        <v>12041</v>
      </c>
      <c r="C3037" s="1" t="s">
        <v>16</v>
      </c>
      <c r="D3037" s="1" t="s">
        <v>147</v>
      </c>
      <c r="E3037" s="1" t="s">
        <v>4050</v>
      </c>
      <c r="F3037" s="1" t="s">
        <v>12042</v>
      </c>
      <c r="G3037" s="1" t="s">
        <v>12480</v>
      </c>
      <c r="H3037" s="1" t="s">
        <v>4515</v>
      </c>
      <c r="I3037" s="2">
        <v>58.74</v>
      </c>
      <c r="J3037" s="2">
        <v>6.23</v>
      </c>
      <c r="K3037" s="2">
        <v>5.63</v>
      </c>
      <c r="L3037" s="2">
        <v>6.86</v>
      </c>
      <c r="M3037" s="4">
        <f t="shared" si="282"/>
        <v>10.433392539964476</v>
      </c>
      <c r="N3037" s="4">
        <f t="shared" si="283"/>
        <v>8.5626822157434397</v>
      </c>
      <c r="O3037" s="5">
        <f t="shared" si="284"/>
        <v>-9.6308186195826706E-2</v>
      </c>
      <c r="P3037" s="5">
        <f t="shared" si="285"/>
        <v>0.21847246891651873</v>
      </c>
      <c r="Q3037" s="4">
        <f t="shared" si="286"/>
        <v>-1.0833339253996441</v>
      </c>
      <c r="R3037" s="4">
        <f t="shared" si="287"/>
        <v>0.39193415345232158</v>
      </c>
      <c r="S3037" s="4">
        <v>-6.52</v>
      </c>
      <c r="T3037" s="2">
        <v>1.27</v>
      </c>
      <c r="U3037" s="2">
        <v>110.59</v>
      </c>
      <c r="V3037" s="2">
        <v>58.74</v>
      </c>
      <c r="W3037" s="2">
        <v>-8.3000000000000007</v>
      </c>
      <c r="X3037" s="2">
        <v>-33.14</v>
      </c>
      <c r="Y3037" s="2">
        <v>-23.97</v>
      </c>
      <c r="Z3037" s="2">
        <v>-18.579999999999998</v>
      </c>
    </row>
    <row r="3038" spans="1:26" x14ac:dyDescent="0.25">
      <c r="A3038" s="1" t="s">
        <v>12043</v>
      </c>
      <c r="B3038" s="1" t="s">
        <v>12044</v>
      </c>
      <c r="C3038" s="1" t="s">
        <v>31</v>
      </c>
      <c r="D3038" s="1" t="s">
        <v>18</v>
      </c>
      <c r="E3038" s="1" t="s">
        <v>19</v>
      </c>
      <c r="F3038" s="1" t="s">
        <v>12045</v>
      </c>
      <c r="G3038" s="1" t="s">
        <v>12480</v>
      </c>
      <c r="H3038" s="1" t="s">
        <v>12046</v>
      </c>
      <c r="I3038" s="2">
        <v>13.835000000000001</v>
      </c>
      <c r="J3038" s="2">
        <v>0.89</v>
      </c>
      <c r="K3038" s="2"/>
      <c r="L3038" s="2"/>
      <c r="M3038" s="4" t="e">
        <f t="shared" si="282"/>
        <v>#DIV/0!</v>
      </c>
      <c r="N3038" s="4" t="e">
        <f t="shared" si="283"/>
        <v>#DIV/0!</v>
      </c>
      <c r="O3038" s="5">
        <f t="shared" si="284"/>
        <v>-1</v>
      </c>
      <c r="P3038" s="5" t="e">
        <f t="shared" si="285"/>
        <v>#DIV/0!</v>
      </c>
      <c r="Q3038" s="4" t="e">
        <f t="shared" si="286"/>
        <v>#DIV/0!</v>
      </c>
      <c r="R3038" s="4" t="e">
        <f t="shared" si="287"/>
        <v>#DIV/0!</v>
      </c>
      <c r="S3038" s="4">
        <v>6.96</v>
      </c>
      <c r="T3038" s="2">
        <v>1.1399999999999999</v>
      </c>
      <c r="U3038" s="2">
        <v>21.93</v>
      </c>
      <c r="V3038" s="2">
        <v>13.84</v>
      </c>
      <c r="W3038" s="2" t="s">
        <v>12489</v>
      </c>
      <c r="X3038" s="2">
        <v>-9.2799999999999994</v>
      </c>
      <c r="Y3038" s="2">
        <v>-15.95</v>
      </c>
      <c r="Z3038" s="2">
        <v>-15.59</v>
      </c>
    </row>
    <row r="3039" spans="1:26" x14ac:dyDescent="0.25">
      <c r="A3039" s="1" t="s">
        <v>12047</v>
      </c>
      <c r="B3039" s="1" t="s">
        <v>12048</v>
      </c>
      <c r="C3039" s="1" t="s">
        <v>45</v>
      </c>
      <c r="D3039" s="1" t="s">
        <v>67</v>
      </c>
      <c r="E3039" s="1" t="s">
        <v>882</v>
      </c>
      <c r="F3039" s="1" t="s">
        <v>12049</v>
      </c>
      <c r="G3039" s="1" t="s">
        <v>12480</v>
      </c>
      <c r="H3039" s="1" t="s">
        <v>12630</v>
      </c>
      <c r="I3039" s="2">
        <v>440.19</v>
      </c>
      <c r="J3039" s="2">
        <v>11.3</v>
      </c>
      <c r="K3039" s="2"/>
      <c r="L3039" s="2"/>
      <c r="M3039" s="4" t="e">
        <f t="shared" si="282"/>
        <v>#DIV/0!</v>
      </c>
      <c r="N3039" s="4" t="e">
        <f t="shared" si="283"/>
        <v>#DIV/0!</v>
      </c>
      <c r="O3039" s="5">
        <f t="shared" si="284"/>
        <v>-1</v>
      </c>
      <c r="P3039" s="5" t="e">
        <f t="shared" si="285"/>
        <v>#DIV/0!</v>
      </c>
      <c r="Q3039" s="4" t="e">
        <f t="shared" si="286"/>
        <v>#DIV/0!</v>
      </c>
      <c r="R3039" s="4" t="e">
        <f t="shared" si="287"/>
        <v>#DIV/0!</v>
      </c>
      <c r="S3039" s="4">
        <v>5.86</v>
      </c>
      <c r="T3039" s="2">
        <v>0.68</v>
      </c>
      <c r="U3039" s="2">
        <v>517.89</v>
      </c>
      <c r="V3039" s="2">
        <v>304.11</v>
      </c>
      <c r="W3039" s="2">
        <v>-6.83</v>
      </c>
      <c r="X3039" s="2">
        <v>-2.9</v>
      </c>
      <c r="Y3039" s="2">
        <v>2.08</v>
      </c>
      <c r="Z3039" s="2">
        <v>8.6999999999999993</v>
      </c>
    </row>
    <row r="3040" spans="1:26" x14ac:dyDescent="0.25">
      <c r="A3040" s="1" t="s">
        <v>12050</v>
      </c>
      <c r="B3040" s="1" t="s">
        <v>12051</v>
      </c>
      <c r="C3040" s="1" t="s">
        <v>45</v>
      </c>
      <c r="D3040" s="1" t="s">
        <v>67</v>
      </c>
      <c r="E3040" s="1" t="s">
        <v>1037</v>
      </c>
      <c r="F3040" s="1" t="s">
        <v>12052</v>
      </c>
      <c r="G3040" s="1" t="s">
        <v>12480</v>
      </c>
      <c r="H3040" s="1" t="s">
        <v>4093</v>
      </c>
      <c r="I3040" s="2">
        <v>224.28</v>
      </c>
      <c r="J3040" s="2">
        <v>4.08</v>
      </c>
      <c r="K3040" s="2">
        <v>4.6900000000000004</v>
      </c>
      <c r="L3040" s="2">
        <v>5.92</v>
      </c>
      <c r="M3040" s="4">
        <f t="shared" si="282"/>
        <v>47.820895522388057</v>
      </c>
      <c r="N3040" s="4">
        <f t="shared" si="283"/>
        <v>37.885135135135137</v>
      </c>
      <c r="O3040" s="5">
        <f t="shared" si="284"/>
        <v>0.14950980392156876</v>
      </c>
      <c r="P3040" s="5">
        <f t="shared" si="285"/>
        <v>0.26226012793176956</v>
      </c>
      <c r="Q3040" s="4">
        <f t="shared" si="286"/>
        <v>3.1985123562515265</v>
      </c>
      <c r="R3040" s="4">
        <f t="shared" si="287"/>
        <v>1.444563282794991</v>
      </c>
      <c r="S3040" s="4">
        <v>11.35</v>
      </c>
      <c r="T3040" s="2">
        <v>1.82</v>
      </c>
      <c r="U3040" s="2">
        <v>381.46</v>
      </c>
      <c r="V3040" s="2" t="s">
        <v>12777</v>
      </c>
      <c r="W3040" s="2">
        <v>-6.63</v>
      </c>
      <c r="X3040" s="2">
        <v>-20.399999999999999</v>
      </c>
      <c r="Y3040" s="2">
        <v>-6.43</v>
      </c>
      <c r="Z3040" s="2">
        <v>-5.96</v>
      </c>
    </row>
    <row r="3041" spans="1:26" x14ac:dyDescent="0.25">
      <c r="A3041" s="1" t="s">
        <v>12053</v>
      </c>
      <c r="B3041" s="1" t="s">
        <v>12054</v>
      </c>
      <c r="C3041" s="1" t="s">
        <v>16</v>
      </c>
      <c r="D3041" s="1" t="s">
        <v>32</v>
      </c>
      <c r="E3041" s="1" t="s">
        <v>248</v>
      </c>
      <c r="F3041" s="1" t="s">
        <v>12055</v>
      </c>
      <c r="G3041" s="1" t="s">
        <v>12490</v>
      </c>
      <c r="H3041" s="1" t="s">
        <v>12056</v>
      </c>
      <c r="I3041" s="2">
        <v>2.31</v>
      </c>
      <c r="J3041" s="2">
        <v>0.14000000000000001</v>
      </c>
      <c r="K3041" s="2">
        <v>0.14000000000000001</v>
      </c>
      <c r="L3041" s="2">
        <v>0.14000000000000001</v>
      </c>
      <c r="M3041" s="4">
        <f t="shared" si="282"/>
        <v>16.5</v>
      </c>
      <c r="N3041" s="4">
        <f t="shared" si="283"/>
        <v>16.5</v>
      </c>
      <c r="O3041" s="5">
        <f t="shared" si="284"/>
        <v>0</v>
      </c>
      <c r="P3041" s="5">
        <f t="shared" si="285"/>
        <v>0</v>
      </c>
      <c r="Q3041" s="4" t="e">
        <f t="shared" si="286"/>
        <v>#DIV/0!</v>
      </c>
      <c r="R3041" s="4" t="e">
        <f t="shared" si="287"/>
        <v>#DIV/0!</v>
      </c>
      <c r="S3041" s="4">
        <v>-3.18</v>
      </c>
      <c r="T3041" s="2">
        <v>1.07</v>
      </c>
      <c r="U3041" s="2">
        <v>3.28</v>
      </c>
      <c r="V3041" s="2">
        <v>2.14</v>
      </c>
      <c r="W3041" s="2">
        <v>6.94</v>
      </c>
      <c r="X3041" s="2">
        <v>-5.33</v>
      </c>
      <c r="Y3041" s="2">
        <v>-18.09</v>
      </c>
      <c r="Z3041" s="2">
        <v>-18.66</v>
      </c>
    </row>
    <row r="3042" spans="1:26" x14ac:dyDescent="0.25">
      <c r="A3042" s="1" t="s">
        <v>12057</v>
      </c>
      <c r="B3042" s="1" t="s">
        <v>12058</v>
      </c>
      <c r="C3042" s="1" t="s">
        <v>45</v>
      </c>
      <c r="D3042" s="1" t="s">
        <v>32</v>
      </c>
      <c r="E3042" s="1" t="s">
        <v>248</v>
      </c>
      <c r="F3042" s="1" t="s">
        <v>12059</v>
      </c>
      <c r="G3042" s="1" t="s">
        <v>12480</v>
      </c>
      <c r="H3042" s="1" t="s">
        <v>2490</v>
      </c>
      <c r="I3042" s="2" t="s">
        <v>12645</v>
      </c>
      <c r="J3042" s="2">
        <v>7.32</v>
      </c>
      <c r="K3042" s="2">
        <v>6.55</v>
      </c>
      <c r="L3042" s="2">
        <v>7.84</v>
      </c>
      <c r="M3042" s="4">
        <f t="shared" si="282"/>
        <v>14.045801526717558</v>
      </c>
      <c r="N3042" s="4">
        <f t="shared" si="283"/>
        <v>11.73469387755102</v>
      </c>
      <c r="O3042" s="5">
        <f t="shared" si="284"/>
        <v>-0.10519125683060115</v>
      </c>
      <c r="P3042" s="5">
        <f t="shared" si="285"/>
        <v>0.19694656488549622</v>
      </c>
      <c r="Q3042" s="4">
        <f t="shared" si="286"/>
        <v>-1.3352632100723696</v>
      </c>
      <c r="R3042" s="4">
        <f t="shared" si="287"/>
        <v>0.59583135579813307</v>
      </c>
      <c r="S3042" s="4">
        <v>13.2</v>
      </c>
      <c r="T3042" s="2">
        <v>1.39</v>
      </c>
      <c r="U3042" s="2">
        <v>189.61</v>
      </c>
      <c r="V3042" s="2">
        <v>62.8</v>
      </c>
      <c r="W3042" s="2">
        <v>26.79</v>
      </c>
      <c r="X3042" s="2">
        <v>20.67</v>
      </c>
      <c r="Y3042" s="2">
        <v>-5.88</v>
      </c>
      <c r="Z3042" s="2">
        <v>-11.45</v>
      </c>
    </row>
    <row r="3043" spans="1:26" x14ac:dyDescent="0.25">
      <c r="A3043" s="1" t="s">
        <v>12060</v>
      </c>
      <c r="B3043" s="1" t="s">
        <v>12061</v>
      </c>
      <c r="C3043" s="1" t="s">
        <v>31</v>
      </c>
      <c r="D3043" s="1" t="s">
        <v>38</v>
      </c>
      <c r="E3043" s="1" t="s">
        <v>52</v>
      </c>
      <c r="F3043" s="1" t="s">
        <v>12062</v>
      </c>
      <c r="G3043" s="1" t="s">
        <v>12490</v>
      </c>
      <c r="H3043" s="1" t="s">
        <v>12818</v>
      </c>
      <c r="I3043" s="2">
        <v>12.32</v>
      </c>
      <c r="J3043" s="2"/>
      <c r="K3043" s="2">
        <v>0.49</v>
      </c>
      <c r="L3043" s="2">
        <v>0.53</v>
      </c>
      <c r="M3043" s="4">
        <f t="shared" si="282"/>
        <v>25.142857142857142</v>
      </c>
      <c r="N3043" s="4">
        <f t="shared" si="283"/>
        <v>23.245283018867923</v>
      </c>
      <c r="O3043" s="5" t="e">
        <f t="shared" si="284"/>
        <v>#DIV/0!</v>
      </c>
      <c r="P3043" s="5">
        <f t="shared" si="285"/>
        <v>8.163265306122458E-2</v>
      </c>
      <c r="Q3043" s="4" t="e">
        <f t="shared" si="286"/>
        <v>#DIV/0!</v>
      </c>
      <c r="R3043" s="4">
        <f t="shared" si="287"/>
        <v>2.8475471698113175</v>
      </c>
      <c r="S3043" s="4"/>
      <c r="T3043" s="2"/>
      <c r="U3043" s="2">
        <v>15.94</v>
      </c>
      <c r="V3043" s="2" t="s">
        <v>12499</v>
      </c>
      <c r="W3043" s="2">
        <v>3.7</v>
      </c>
      <c r="X3043" s="2">
        <v>-2.2999999999999998</v>
      </c>
      <c r="Y3043" s="2">
        <v>1.57</v>
      </c>
      <c r="Z3043" s="2">
        <v>0.49</v>
      </c>
    </row>
    <row r="3044" spans="1:26" x14ac:dyDescent="0.25">
      <c r="A3044" s="1" t="s">
        <v>12063</v>
      </c>
      <c r="B3044" s="1" t="s">
        <v>12064</v>
      </c>
      <c r="C3044" s="1" t="s">
        <v>31</v>
      </c>
      <c r="D3044" s="1" t="s">
        <v>46</v>
      </c>
      <c r="E3044" s="1" t="s">
        <v>683</v>
      </c>
      <c r="F3044" s="1" t="s">
        <v>12065</v>
      </c>
      <c r="G3044" s="1" t="s">
        <v>12490</v>
      </c>
      <c r="H3044" s="1" t="s">
        <v>12066</v>
      </c>
      <c r="I3044" s="2">
        <v>20.51</v>
      </c>
      <c r="J3044" s="2">
        <v>1.6</v>
      </c>
      <c r="K3044" s="2">
        <v>1.73</v>
      </c>
      <c r="L3044" s="2">
        <v>1.48</v>
      </c>
      <c r="M3044" s="4">
        <f t="shared" si="282"/>
        <v>11.85549132947977</v>
      </c>
      <c r="N3044" s="4">
        <f t="shared" si="283"/>
        <v>13.858108108108109</v>
      </c>
      <c r="O3044" s="5">
        <f t="shared" si="284"/>
        <v>8.1249999999999822E-2</v>
      </c>
      <c r="P3044" s="5">
        <f t="shared" si="285"/>
        <v>-0.1445086705202312</v>
      </c>
      <c r="Q3044" s="4">
        <f t="shared" si="286"/>
        <v>1.4591373943975134</v>
      </c>
      <c r="R3044" s="4">
        <f t="shared" si="287"/>
        <v>-0.95898108108108115</v>
      </c>
      <c r="S3044" s="4">
        <v>-0.97</v>
      </c>
      <c r="T3044" s="2">
        <v>0.2</v>
      </c>
      <c r="U3044" s="2">
        <v>23.82</v>
      </c>
      <c r="V3044" s="2">
        <v>19.239999999999998</v>
      </c>
      <c r="W3044" s="2">
        <v>-4.0199999999999996</v>
      </c>
      <c r="X3044" s="2">
        <v>-11.9</v>
      </c>
      <c r="Y3044" s="2">
        <v>3.07</v>
      </c>
      <c r="Z3044" s="2">
        <v>3.07</v>
      </c>
    </row>
    <row r="3045" spans="1:26" x14ac:dyDescent="0.25">
      <c r="A3045" s="1" t="s">
        <v>12067</v>
      </c>
      <c r="B3045" s="1" t="s">
        <v>12068</v>
      </c>
      <c r="C3045" s="1" t="s">
        <v>16</v>
      </c>
      <c r="D3045" s="1" t="s">
        <v>32</v>
      </c>
      <c r="E3045" s="1" t="s">
        <v>311</v>
      </c>
      <c r="F3045" s="1" t="s">
        <v>12069</v>
      </c>
      <c r="G3045" s="1" t="s">
        <v>12480</v>
      </c>
      <c r="H3045" s="1" t="s">
        <v>12070</v>
      </c>
      <c r="I3045" s="2">
        <v>64.010000000000005</v>
      </c>
      <c r="J3045" s="2">
        <v>1.78</v>
      </c>
      <c r="K3045" s="2">
        <v>2.69</v>
      </c>
      <c r="L3045" s="2">
        <v>3.28</v>
      </c>
      <c r="M3045" s="4">
        <f t="shared" si="282"/>
        <v>23.795539033457253</v>
      </c>
      <c r="N3045" s="4">
        <f t="shared" si="283"/>
        <v>19.515243902439028</v>
      </c>
      <c r="O3045" s="5">
        <f t="shared" si="284"/>
        <v>0.5112359550561798</v>
      </c>
      <c r="P3045" s="5">
        <f t="shared" si="285"/>
        <v>0.21933085501858729</v>
      </c>
      <c r="Q3045" s="4">
        <f t="shared" si="286"/>
        <v>0.46545120307202098</v>
      </c>
      <c r="R3045" s="4">
        <f t="shared" si="287"/>
        <v>0.88976281521289846</v>
      </c>
      <c r="S3045" s="4">
        <v>19.75</v>
      </c>
      <c r="T3045" s="2">
        <v>0.65</v>
      </c>
      <c r="U3045" s="2">
        <v>93.31</v>
      </c>
      <c r="V3045" s="2">
        <v>57.59</v>
      </c>
      <c r="W3045" s="2">
        <v>4.45</v>
      </c>
      <c r="X3045" s="2">
        <v>-6.88</v>
      </c>
      <c r="Y3045" s="2">
        <v>-25.83</v>
      </c>
      <c r="Z3045" s="2">
        <v>-25.79</v>
      </c>
    </row>
    <row r="3046" spans="1:26" x14ac:dyDescent="0.25">
      <c r="A3046" s="1" t="s">
        <v>12071</v>
      </c>
      <c r="B3046" s="1" t="s">
        <v>12072</v>
      </c>
      <c r="C3046" s="1" t="s">
        <v>16</v>
      </c>
      <c r="D3046" s="1" t="s">
        <v>94</v>
      </c>
      <c r="E3046" s="1" t="s">
        <v>3284</v>
      </c>
      <c r="F3046" s="1" t="s">
        <v>12073</v>
      </c>
      <c r="G3046" s="1" t="s">
        <v>12480</v>
      </c>
      <c r="H3046" s="1" t="s">
        <v>4438</v>
      </c>
      <c r="I3046" s="2">
        <v>23.59</v>
      </c>
      <c r="J3046" s="2">
        <v>1.91</v>
      </c>
      <c r="K3046" s="2">
        <v>2.1800000000000002</v>
      </c>
      <c r="L3046" s="2">
        <v>2.4500000000000002</v>
      </c>
      <c r="M3046" s="4">
        <f t="shared" si="282"/>
        <v>10.821100917431192</v>
      </c>
      <c r="N3046" s="4">
        <f t="shared" si="283"/>
        <v>9.6285714285714281</v>
      </c>
      <c r="O3046" s="5">
        <f t="shared" si="284"/>
        <v>0.14136125654450282</v>
      </c>
      <c r="P3046" s="5">
        <f t="shared" si="285"/>
        <v>0.12385321100917435</v>
      </c>
      <c r="Q3046" s="4">
        <f t="shared" si="286"/>
        <v>0.76549269452939062</v>
      </c>
      <c r="R3046" s="4">
        <f t="shared" si="287"/>
        <v>0.77741798941798923</v>
      </c>
      <c r="S3046" s="4">
        <v>-12.45</v>
      </c>
      <c r="T3046" s="2">
        <v>1.1399999999999999</v>
      </c>
      <c r="U3046" s="2">
        <v>29.63</v>
      </c>
      <c r="V3046" s="2">
        <v>23.05</v>
      </c>
      <c r="W3046" s="2">
        <v>-5.56</v>
      </c>
      <c r="X3046" s="2">
        <v>-14.53</v>
      </c>
      <c r="Y3046" s="2">
        <v>-3.68</v>
      </c>
      <c r="Z3046" s="2">
        <v>0.68</v>
      </c>
    </row>
    <row r="3047" spans="1:26" x14ac:dyDescent="0.25">
      <c r="A3047" s="1" t="s">
        <v>12074</v>
      </c>
      <c r="B3047" s="1" t="s">
        <v>12075</v>
      </c>
      <c r="C3047" s="1" t="s">
        <v>45</v>
      </c>
      <c r="D3047" s="1" t="s">
        <v>140</v>
      </c>
      <c r="E3047" s="1" t="s">
        <v>141</v>
      </c>
      <c r="F3047" s="1" t="s">
        <v>12076</v>
      </c>
      <c r="G3047" s="1" t="s">
        <v>12480</v>
      </c>
      <c r="H3047" s="1" t="s">
        <v>3056</v>
      </c>
      <c r="I3047" s="2">
        <v>83.06</v>
      </c>
      <c r="J3047" s="2">
        <v>4.8899999999999997</v>
      </c>
      <c r="K3047" s="2">
        <v>4.55</v>
      </c>
      <c r="L3047" s="2">
        <v>4.88</v>
      </c>
      <c r="M3047" s="4">
        <f t="shared" si="282"/>
        <v>18.254945054945058</v>
      </c>
      <c r="N3047" s="4">
        <f t="shared" si="283"/>
        <v>17.020491803278688</v>
      </c>
      <c r="O3047" s="5">
        <f t="shared" si="284"/>
        <v>-6.9529652351738247E-2</v>
      </c>
      <c r="P3047" s="5">
        <f t="shared" si="285"/>
        <v>7.2527472527472492E-2</v>
      </c>
      <c r="Q3047" s="4">
        <f t="shared" si="286"/>
        <v>-2.6254906270200391</v>
      </c>
      <c r="R3047" s="4">
        <f t="shared" si="287"/>
        <v>2.3467647789369113</v>
      </c>
      <c r="S3047" s="4">
        <v>20.46</v>
      </c>
      <c r="T3047" s="2">
        <v>1.04</v>
      </c>
      <c r="U3047" s="2">
        <v>134.94</v>
      </c>
      <c r="V3047" s="2">
        <v>32.22</v>
      </c>
      <c r="W3047" s="2">
        <v>-5.05</v>
      </c>
      <c r="X3047" s="2">
        <v>-29.35</v>
      </c>
      <c r="Y3047" s="2">
        <v>-20.52</v>
      </c>
      <c r="Z3047" s="2">
        <v>-19.87</v>
      </c>
    </row>
    <row r="3048" spans="1:26" x14ac:dyDescent="0.25">
      <c r="A3048" s="1" t="s">
        <v>12077</v>
      </c>
      <c r="B3048" s="1" t="s">
        <v>12078</v>
      </c>
      <c r="C3048" s="1" t="s">
        <v>45</v>
      </c>
      <c r="D3048" s="1" t="s">
        <v>46</v>
      </c>
      <c r="E3048" s="1" t="s">
        <v>391</v>
      </c>
      <c r="F3048" s="1" t="s">
        <v>12079</v>
      </c>
      <c r="G3048" s="1" t="s">
        <v>12480</v>
      </c>
      <c r="H3048" s="1" t="s">
        <v>12500</v>
      </c>
      <c r="I3048" s="2">
        <v>177.89</v>
      </c>
      <c r="J3048" s="2">
        <v>15.34</v>
      </c>
      <c r="K3048" s="2"/>
      <c r="L3048" s="2"/>
      <c r="M3048" s="4" t="e">
        <f t="shared" si="282"/>
        <v>#DIV/0!</v>
      </c>
      <c r="N3048" s="4" t="e">
        <f t="shared" si="283"/>
        <v>#DIV/0!</v>
      </c>
      <c r="O3048" s="5">
        <f t="shared" si="284"/>
        <v>-1</v>
      </c>
      <c r="P3048" s="5" t="e">
        <f t="shared" si="285"/>
        <v>#DIV/0!</v>
      </c>
      <c r="Q3048" s="4" t="e">
        <f t="shared" si="286"/>
        <v>#DIV/0!</v>
      </c>
      <c r="R3048" s="4" t="e">
        <f t="shared" si="287"/>
        <v>#DIV/0!</v>
      </c>
      <c r="S3048" s="4" t="s">
        <v>12690</v>
      </c>
      <c r="T3048" s="2">
        <v>0.75</v>
      </c>
      <c r="U3048" s="2">
        <v>205.24</v>
      </c>
      <c r="V3048" s="2">
        <v>115.05</v>
      </c>
      <c r="W3048" s="2">
        <v>-9.2899999999999991</v>
      </c>
      <c r="X3048" s="2">
        <v>-12.11</v>
      </c>
      <c r="Y3048" s="2">
        <v>31.43</v>
      </c>
      <c r="Z3048" s="2">
        <v>31.15</v>
      </c>
    </row>
    <row r="3049" spans="1:26" x14ac:dyDescent="0.25">
      <c r="A3049" s="1" t="s">
        <v>12080</v>
      </c>
      <c r="B3049" s="1" t="s">
        <v>12081</v>
      </c>
      <c r="C3049" s="1" t="s">
        <v>16</v>
      </c>
      <c r="D3049" s="1" t="s">
        <v>147</v>
      </c>
      <c r="E3049" s="1" t="s">
        <v>1084</v>
      </c>
      <c r="F3049" s="1" t="s">
        <v>12082</v>
      </c>
      <c r="G3049" s="1" t="s">
        <v>12480</v>
      </c>
      <c r="H3049" s="1" t="s">
        <v>12083</v>
      </c>
      <c r="I3049" s="2">
        <v>106.34</v>
      </c>
      <c r="J3049" s="2">
        <v>-0.9</v>
      </c>
      <c r="K3049" s="2">
        <v>1.1499999999999999</v>
      </c>
      <c r="L3049" s="2">
        <v>2.57</v>
      </c>
      <c r="M3049" s="4">
        <f t="shared" si="282"/>
        <v>92.46956521739132</v>
      </c>
      <c r="N3049" s="4">
        <f t="shared" si="283"/>
        <v>41.377431906614788</v>
      </c>
      <c r="O3049" s="5">
        <f t="shared" si="284"/>
        <v>-2.2777777777777777</v>
      </c>
      <c r="P3049" s="5">
        <f t="shared" si="285"/>
        <v>1.2347826086956522</v>
      </c>
      <c r="Q3049" s="4">
        <f t="shared" si="286"/>
        <v>-0.40596394485683995</v>
      </c>
      <c r="R3049" s="4">
        <f t="shared" si="287"/>
        <v>0.3350989203704719</v>
      </c>
      <c r="S3049" s="4">
        <v>-8.01</v>
      </c>
      <c r="T3049" s="2">
        <v>0.83</v>
      </c>
      <c r="U3049" s="2">
        <v>111.88</v>
      </c>
      <c r="V3049" s="2">
        <v>56.38</v>
      </c>
      <c r="W3049" s="2">
        <v>-0.42</v>
      </c>
      <c r="X3049" s="2">
        <v>10.220000000000001</v>
      </c>
      <c r="Y3049" s="2">
        <v>44.42</v>
      </c>
      <c r="Z3049" s="2">
        <v>43.82</v>
      </c>
    </row>
    <row r="3050" spans="1:26" x14ac:dyDescent="0.25">
      <c r="A3050" s="1" t="s">
        <v>12084</v>
      </c>
      <c r="B3050" s="1" t="s">
        <v>12085</v>
      </c>
      <c r="C3050" s="1" t="s">
        <v>45</v>
      </c>
      <c r="D3050" s="1" t="s">
        <v>88</v>
      </c>
      <c r="E3050" s="1" t="s">
        <v>89</v>
      </c>
      <c r="F3050" s="1" t="s">
        <v>12086</v>
      </c>
      <c r="G3050" s="1" t="s">
        <v>12493</v>
      </c>
      <c r="H3050" s="1" t="s">
        <v>12087</v>
      </c>
      <c r="I3050" s="2">
        <v>8.6199999999999992</v>
      </c>
      <c r="J3050" s="2"/>
      <c r="K3050" s="2">
        <v>0.46</v>
      </c>
      <c r="L3050" s="2">
        <v>0.56999999999999995</v>
      </c>
      <c r="M3050" s="4">
        <f t="shared" si="282"/>
        <v>18.739130434782606</v>
      </c>
      <c r="N3050" s="4">
        <f t="shared" si="283"/>
        <v>15.12280701754386</v>
      </c>
      <c r="O3050" s="5" t="e">
        <f t="shared" si="284"/>
        <v>#DIV/0!</v>
      </c>
      <c r="P3050" s="5">
        <f t="shared" si="285"/>
        <v>0.23913043478260843</v>
      </c>
      <c r="Q3050" s="4" t="e">
        <f t="shared" si="286"/>
        <v>#DIV/0!</v>
      </c>
      <c r="R3050" s="4">
        <f t="shared" si="287"/>
        <v>0.63240829346092575</v>
      </c>
      <c r="S3050" s="4"/>
      <c r="T3050" s="2"/>
      <c r="U3050" s="2">
        <v>14.19</v>
      </c>
      <c r="V3050" s="2">
        <v>7.2</v>
      </c>
      <c r="W3050" s="2">
        <v>2.25</v>
      </c>
      <c r="X3050" s="2">
        <v>-1.6</v>
      </c>
      <c r="Y3050" s="2">
        <v>-38.21</v>
      </c>
      <c r="Z3050" s="2">
        <v>-36.57</v>
      </c>
    </row>
    <row r="3051" spans="1:26" x14ac:dyDescent="0.25">
      <c r="A3051" s="1" t="s">
        <v>12088</v>
      </c>
      <c r="B3051" s="1" t="s">
        <v>12089</v>
      </c>
      <c r="C3051" s="1" t="s">
        <v>31</v>
      </c>
      <c r="D3051" s="1" t="s">
        <v>67</v>
      </c>
      <c r="E3051" s="1" t="s">
        <v>381</v>
      </c>
      <c r="F3051" s="1" t="s">
        <v>12090</v>
      </c>
      <c r="G3051" s="1" t="s">
        <v>12502</v>
      </c>
      <c r="H3051" s="1" t="s">
        <v>12091</v>
      </c>
      <c r="I3051" s="2">
        <v>3.2650000000000001</v>
      </c>
      <c r="J3051" s="2">
        <v>0.15</v>
      </c>
      <c r="K3051" s="2"/>
      <c r="L3051" s="2"/>
      <c r="M3051" s="4" t="e">
        <f t="shared" si="282"/>
        <v>#DIV/0!</v>
      </c>
      <c r="N3051" s="4" t="e">
        <f t="shared" si="283"/>
        <v>#DIV/0!</v>
      </c>
      <c r="O3051" s="5">
        <f t="shared" si="284"/>
        <v>-1</v>
      </c>
      <c r="P3051" s="5" t="e">
        <f t="shared" si="285"/>
        <v>#DIV/0!</v>
      </c>
      <c r="Q3051" s="4" t="e">
        <f t="shared" si="286"/>
        <v>#DIV/0!</v>
      </c>
      <c r="R3051" s="4" t="e">
        <f t="shared" si="287"/>
        <v>#DIV/0!</v>
      </c>
      <c r="S3051" s="4">
        <v>6.88</v>
      </c>
      <c r="T3051" s="2">
        <v>0.34</v>
      </c>
      <c r="U3051" s="2">
        <v>3.9</v>
      </c>
      <c r="V3051" s="2">
        <v>2.5299999999999998</v>
      </c>
      <c r="W3051" s="2">
        <v>-10.3</v>
      </c>
      <c r="X3051" s="2">
        <v>-11.4</v>
      </c>
      <c r="Y3051" s="2">
        <v>-5.36</v>
      </c>
      <c r="Z3051" s="2">
        <v>-3.55</v>
      </c>
    </row>
    <row r="3052" spans="1:26" x14ac:dyDescent="0.25">
      <c r="A3052" s="1" t="s">
        <v>12092</v>
      </c>
      <c r="B3052" s="1" t="s">
        <v>12093</v>
      </c>
      <c r="C3052" s="1" t="s">
        <v>16</v>
      </c>
      <c r="D3052" s="1" t="s">
        <v>128</v>
      </c>
      <c r="E3052" s="1" t="s">
        <v>12095</v>
      </c>
      <c r="F3052" s="1" t="s">
        <v>12094</v>
      </c>
      <c r="G3052" s="1" t="s">
        <v>12513</v>
      </c>
      <c r="H3052" s="1" t="s">
        <v>5767</v>
      </c>
      <c r="I3052" s="2">
        <v>36.979999999999997</v>
      </c>
      <c r="J3052" s="2">
        <v>3.64</v>
      </c>
      <c r="K3052" s="2">
        <v>4.2</v>
      </c>
      <c r="L3052" s="2">
        <v>4.75</v>
      </c>
      <c r="M3052" s="4">
        <f t="shared" si="282"/>
        <v>8.8047619047619037</v>
      </c>
      <c r="N3052" s="4">
        <f t="shared" si="283"/>
        <v>7.785263157894736</v>
      </c>
      <c r="O3052" s="5">
        <f t="shared" si="284"/>
        <v>0.15384615384615397</v>
      </c>
      <c r="P3052" s="5">
        <f t="shared" si="285"/>
        <v>0.13095238095238093</v>
      </c>
      <c r="Q3052" s="4">
        <f t="shared" si="286"/>
        <v>0.57230952380952327</v>
      </c>
      <c r="R3052" s="4">
        <f t="shared" si="287"/>
        <v>0.59451100478468899</v>
      </c>
      <c r="S3052" s="4">
        <v>-10.43</v>
      </c>
      <c r="T3052" s="2">
        <v>0.96</v>
      </c>
      <c r="U3052" s="2">
        <v>46.73</v>
      </c>
      <c r="V3052" s="2">
        <v>28.79</v>
      </c>
      <c r="W3052" s="2">
        <v>21.25</v>
      </c>
      <c r="X3052" s="2">
        <v>26.82</v>
      </c>
      <c r="Y3052" s="2">
        <v>21.01</v>
      </c>
      <c r="Z3052" s="2">
        <v>20.73</v>
      </c>
    </row>
    <row r="3053" spans="1:26" x14ac:dyDescent="0.25">
      <c r="A3053" s="1" t="s">
        <v>12092</v>
      </c>
      <c r="B3053" s="1" t="s">
        <v>12096</v>
      </c>
      <c r="C3053" s="1" t="s">
        <v>16</v>
      </c>
      <c r="D3053" s="1" t="s">
        <v>128</v>
      </c>
      <c r="E3053" s="1" t="s">
        <v>12095</v>
      </c>
      <c r="F3053" s="1" t="s">
        <v>12097</v>
      </c>
      <c r="G3053" s="1" t="s">
        <v>12513</v>
      </c>
      <c r="H3053" s="1" t="s">
        <v>5767</v>
      </c>
      <c r="I3053" s="2">
        <v>36.5</v>
      </c>
      <c r="J3053" s="2">
        <v>3.64</v>
      </c>
      <c r="K3053" s="2"/>
      <c r="L3053" s="2"/>
      <c r="M3053" s="4" t="e">
        <f t="shared" si="282"/>
        <v>#DIV/0!</v>
      </c>
      <c r="N3053" s="4" t="e">
        <f t="shared" si="283"/>
        <v>#DIV/0!</v>
      </c>
      <c r="O3053" s="5">
        <f t="shared" si="284"/>
        <v>-1</v>
      </c>
      <c r="P3053" s="5" t="e">
        <f t="shared" si="285"/>
        <v>#DIV/0!</v>
      </c>
      <c r="Q3053" s="4" t="e">
        <f t="shared" si="286"/>
        <v>#DIV/0!</v>
      </c>
      <c r="R3053" s="4" t="e">
        <f t="shared" si="287"/>
        <v>#DIV/0!</v>
      </c>
      <c r="S3053" s="4">
        <v>-10.43</v>
      </c>
      <c r="T3053" s="2">
        <v>0.74</v>
      </c>
      <c r="U3053" s="2">
        <v>46.81</v>
      </c>
      <c r="V3053" s="2">
        <v>29.16</v>
      </c>
      <c r="W3053" s="2">
        <v>16.54</v>
      </c>
      <c r="X3053" s="2">
        <v>17.739999999999998</v>
      </c>
      <c r="Y3053" s="2">
        <v>19.2</v>
      </c>
      <c r="Z3053" s="2">
        <v>18.2</v>
      </c>
    </row>
    <row r="3054" spans="1:26" x14ac:dyDescent="0.25">
      <c r="A3054" s="1" t="s">
        <v>12098</v>
      </c>
      <c r="B3054" s="1" t="s">
        <v>12099</v>
      </c>
      <c r="C3054" s="1" t="s">
        <v>16</v>
      </c>
      <c r="D3054" s="1" t="s">
        <v>140</v>
      </c>
      <c r="E3054" s="1" t="s">
        <v>2558</v>
      </c>
      <c r="F3054" s="1" t="s">
        <v>12100</v>
      </c>
      <c r="G3054" s="1" t="s">
        <v>12480</v>
      </c>
      <c r="H3054" s="1" t="s">
        <v>12101</v>
      </c>
      <c r="I3054" s="2">
        <v>246.51</v>
      </c>
      <c r="J3054" s="2">
        <v>7.5</v>
      </c>
      <c r="K3054" s="2">
        <v>8.16</v>
      </c>
      <c r="L3054" s="2">
        <v>9.2899999999999991</v>
      </c>
      <c r="M3054" s="4">
        <f t="shared" si="282"/>
        <v>30.209558823529409</v>
      </c>
      <c r="N3054" s="4">
        <f t="shared" si="283"/>
        <v>26.534983853606029</v>
      </c>
      <c r="O3054" s="5">
        <f t="shared" si="284"/>
        <v>8.8000000000000078E-2</v>
      </c>
      <c r="P3054" s="5">
        <f t="shared" si="285"/>
        <v>0.1384803921568627</v>
      </c>
      <c r="Q3054" s="4">
        <f t="shared" si="286"/>
        <v>3.4329044117647025</v>
      </c>
      <c r="R3054" s="4">
        <f t="shared" si="287"/>
        <v>1.9161545862427014</v>
      </c>
      <c r="S3054" s="4">
        <v>14.24</v>
      </c>
      <c r="T3054" s="2">
        <v>0.56999999999999995</v>
      </c>
      <c r="U3054" s="2">
        <v>246.51</v>
      </c>
      <c r="V3054" s="2">
        <v>196.77</v>
      </c>
      <c r="W3054" s="2">
        <v>1.42</v>
      </c>
      <c r="X3054" s="2">
        <v>6.95</v>
      </c>
      <c r="Y3054" s="2">
        <v>12.91</v>
      </c>
      <c r="Z3054" s="2">
        <v>12.2</v>
      </c>
    </row>
    <row r="3055" spans="1:26" x14ac:dyDescent="0.25">
      <c r="A3055" s="1" t="s">
        <v>12102</v>
      </c>
      <c r="B3055" s="1" t="s">
        <v>12103</v>
      </c>
      <c r="C3055" s="1" t="s">
        <v>16</v>
      </c>
      <c r="D3055" s="1" t="s">
        <v>94</v>
      </c>
      <c r="E3055" s="1" t="s">
        <v>4079</v>
      </c>
      <c r="F3055" s="1" t="s">
        <v>12104</v>
      </c>
      <c r="G3055" s="1" t="s">
        <v>12480</v>
      </c>
      <c r="H3055" s="1" t="s">
        <v>12105</v>
      </c>
      <c r="I3055" s="2">
        <v>73.180000000000007</v>
      </c>
      <c r="J3055" s="2">
        <v>2.1</v>
      </c>
      <c r="K3055" s="2">
        <v>2.39</v>
      </c>
      <c r="L3055" s="2">
        <v>2.71</v>
      </c>
      <c r="M3055" s="4">
        <f t="shared" si="282"/>
        <v>30.619246861924687</v>
      </c>
      <c r="N3055" s="4">
        <f t="shared" si="283"/>
        <v>27.003690036900373</v>
      </c>
      <c r="O3055" s="5">
        <f t="shared" si="284"/>
        <v>0.13809523809523805</v>
      </c>
      <c r="P3055" s="5">
        <f t="shared" si="285"/>
        <v>0.13389121338912124</v>
      </c>
      <c r="Q3055" s="4">
        <f t="shared" si="286"/>
        <v>2.217255807242823</v>
      </c>
      <c r="R3055" s="4">
        <f t="shared" si="287"/>
        <v>2.016838099630998</v>
      </c>
      <c r="S3055" s="4">
        <v>13.78</v>
      </c>
      <c r="T3055" s="2">
        <v>0.63</v>
      </c>
      <c r="U3055" s="2">
        <v>76.260000000000005</v>
      </c>
      <c r="V3055" s="2">
        <v>54.02</v>
      </c>
      <c r="W3055" s="2">
        <v>-4.04</v>
      </c>
      <c r="X3055" s="2">
        <v>7.86</v>
      </c>
      <c r="Y3055" s="2">
        <v>23.03</v>
      </c>
      <c r="Z3055" s="2">
        <v>21.74</v>
      </c>
    </row>
    <row r="3056" spans="1:26" x14ac:dyDescent="0.25">
      <c r="A3056" s="1" t="s">
        <v>12106</v>
      </c>
      <c r="B3056" s="1" t="s">
        <v>12107</v>
      </c>
      <c r="C3056" s="1" t="s">
        <v>45</v>
      </c>
      <c r="D3056" s="1" t="s">
        <v>147</v>
      </c>
      <c r="E3056" s="1" t="s">
        <v>2822</v>
      </c>
      <c r="F3056" s="1" t="s">
        <v>12108</v>
      </c>
      <c r="G3056" s="1" t="s">
        <v>12485</v>
      </c>
      <c r="H3056" s="1" t="s">
        <v>12109</v>
      </c>
      <c r="I3056" s="2">
        <v>27.51</v>
      </c>
      <c r="J3056" s="2">
        <v>0.69</v>
      </c>
      <c r="K3056" s="2">
        <v>1.39</v>
      </c>
      <c r="L3056" s="2">
        <v>1.75</v>
      </c>
      <c r="M3056" s="4">
        <f t="shared" si="282"/>
        <v>19.791366906474824</v>
      </c>
      <c r="N3056" s="4">
        <f t="shared" si="283"/>
        <v>15.72</v>
      </c>
      <c r="O3056" s="5">
        <f t="shared" si="284"/>
        <v>1.0144927536231885</v>
      </c>
      <c r="P3056" s="5">
        <f t="shared" si="285"/>
        <v>0.25899280575539585</v>
      </c>
      <c r="Q3056" s="4">
        <f t="shared" si="286"/>
        <v>0.19508633093525182</v>
      </c>
      <c r="R3056" s="4">
        <f t="shared" si="287"/>
        <v>0.60696666666666632</v>
      </c>
      <c r="S3056" s="4">
        <v>4.37</v>
      </c>
      <c r="T3056" s="2">
        <v>1.24</v>
      </c>
      <c r="U3056" s="2">
        <v>34.39</v>
      </c>
      <c r="V3056" s="2">
        <v>25.91</v>
      </c>
      <c r="W3056" s="2">
        <v>-3.37</v>
      </c>
      <c r="X3056" s="2">
        <v>-7.06</v>
      </c>
      <c r="Y3056" s="2">
        <v>-1.22</v>
      </c>
      <c r="Z3056" s="2">
        <v>-10.3</v>
      </c>
    </row>
    <row r="3057" spans="1:26" x14ac:dyDescent="0.25">
      <c r="A3057" s="1" t="s">
        <v>12110</v>
      </c>
      <c r="B3057" s="1" t="s">
        <v>12111</v>
      </c>
      <c r="C3057" s="1" t="s">
        <v>16</v>
      </c>
      <c r="D3057" s="1" t="s">
        <v>67</v>
      </c>
      <c r="E3057" s="1" t="s">
        <v>3111</v>
      </c>
      <c r="F3057" s="1" t="s">
        <v>12112</v>
      </c>
      <c r="G3057" s="1" t="s">
        <v>12480</v>
      </c>
      <c r="H3057" s="1" t="s">
        <v>1003</v>
      </c>
      <c r="I3057" s="2">
        <v>62.81</v>
      </c>
      <c r="J3057" s="2">
        <v>4.09</v>
      </c>
      <c r="K3057" s="2"/>
      <c r="L3057" s="2"/>
      <c r="M3057" s="4" t="e">
        <f t="shared" si="282"/>
        <v>#DIV/0!</v>
      </c>
      <c r="N3057" s="4" t="e">
        <f t="shared" si="283"/>
        <v>#DIV/0!</v>
      </c>
      <c r="O3057" s="5">
        <f t="shared" si="284"/>
        <v>-1</v>
      </c>
      <c r="P3057" s="5" t="e">
        <f t="shared" si="285"/>
        <v>#DIV/0!</v>
      </c>
      <c r="Q3057" s="4" t="e">
        <f t="shared" si="286"/>
        <v>#DIV/0!</v>
      </c>
      <c r="R3057" s="4" t="e">
        <f t="shared" si="287"/>
        <v>#DIV/0!</v>
      </c>
      <c r="S3057" s="4">
        <v>1.64</v>
      </c>
      <c r="T3057" s="2">
        <v>0.46</v>
      </c>
      <c r="U3057" s="2">
        <v>88.84</v>
      </c>
      <c r="V3057" s="2">
        <v>62.81</v>
      </c>
      <c r="W3057" s="2">
        <v>-5.68</v>
      </c>
      <c r="X3057" s="2">
        <v>-14.98</v>
      </c>
      <c r="Y3057" s="2">
        <v>-6.66</v>
      </c>
      <c r="Z3057" s="2" t="s">
        <v>12602</v>
      </c>
    </row>
    <row r="3058" spans="1:26" x14ac:dyDescent="0.25">
      <c r="A3058" s="1" t="s">
        <v>12113</v>
      </c>
      <c r="B3058" s="1" t="s">
        <v>12114</v>
      </c>
      <c r="C3058" s="1" t="s">
        <v>31</v>
      </c>
      <c r="D3058" s="1" t="s">
        <v>67</v>
      </c>
      <c r="E3058" s="1" t="s">
        <v>3111</v>
      </c>
      <c r="F3058" s="1" t="s">
        <v>12115</v>
      </c>
      <c r="G3058" s="1" t="s">
        <v>12480</v>
      </c>
      <c r="H3058" s="1" t="s">
        <v>12819</v>
      </c>
      <c r="I3058" s="2">
        <v>31.54</v>
      </c>
      <c r="J3058" s="2">
        <v>1.5</v>
      </c>
      <c r="K3058" s="2">
        <v>1.85</v>
      </c>
      <c r="L3058" s="2" t="s">
        <v>12487</v>
      </c>
      <c r="M3058" s="4">
        <f t="shared" si="282"/>
        <v>17.048648648648648</v>
      </c>
      <c r="N3058" s="4">
        <f t="shared" si="283"/>
        <v>15.77</v>
      </c>
      <c r="O3058" s="5">
        <f t="shared" si="284"/>
        <v>0.23333333333333339</v>
      </c>
      <c r="P3058" s="5">
        <f t="shared" si="285"/>
        <v>8.1081081081080919E-2</v>
      </c>
      <c r="Q3058" s="4">
        <f t="shared" si="286"/>
        <v>0.73065637065637046</v>
      </c>
      <c r="R3058" s="4">
        <f t="shared" si="287"/>
        <v>1.9449666666666707</v>
      </c>
      <c r="S3058" s="4">
        <v>1.06</v>
      </c>
      <c r="T3058" s="2">
        <v>0.79</v>
      </c>
      <c r="U3058" s="2">
        <v>34.619999999999997</v>
      </c>
      <c r="V3058" s="2">
        <v>26.33</v>
      </c>
      <c r="W3058" s="2">
        <v>-2.79</v>
      </c>
      <c r="X3058" s="2">
        <v>-6.78</v>
      </c>
      <c r="Y3058" s="2">
        <v>-3.75</v>
      </c>
      <c r="Z3058" s="2">
        <v>1.19</v>
      </c>
    </row>
    <row r="3059" spans="1:26" x14ac:dyDescent="0.25">
      <c r="A3059" s="1" t="s">
        <v>12116</v>
      </c>
      <c r="B3059" s="1" t="s">
        <v>12117</v>
      </c>
      <c r="C3059" s="1" t="s">
        <v>16</v>
      </c>
      <c r="D3059" s="1" t="s">
        <v>61</v>
      </c>
      <c r="E3059" s="1" t="s">
        <v>170</v>
      </c>
      <c r="F3059" s="1" t="s">
        <v>12118</v>
      </c>
      <c r="G3059" s="1" t="s">
        <v>12490</v>
      </c>
      <c r="H3059" s="1" t="s">
        <v>10097</v>
      </c>
      <c r="I3059" s="2">
        <v>149.9</v>
      </c>
      <c r="J3059" s="2">
        <v>5.89</v>
      </c>
      <c r="K3059" s="2">
        <v>6.1</v>
      </c>
      <c r="L3059" s="2">
        <v>6.72</v>
      </c>
      <c r="M3059" s="4">
        <f t="shared" si="282"/>
        <v>24.57377049180328</v>
      </c>
      <c r="N3059" s="4">
        <f t="shared" si="283"/>
        <v>22.30654761904762</v>
      </c>
      <c r="O3059" s="5">
        <f t="shared" si="284"/>
        <v>3.5653650254668934E-2</v>
      </c>
      <c r="P3059" s="5">
        <f t="shared" si="285"/>
        <v>0.10163934426229515</v>
      </c>
      <c r="Q3059" s="4">
        <f t="shared" si="286"/>
        <v>6.8923575331772051</v>
      </c>
      <c r="R3059" s="4">
        <f t="shared" si="287"/>
        <v>2.1946764592933934</v>
      </c>
      <c r="S3059" s="4">
        <v>1.04</v>
      </c>
      <c r="T3059" s="2">
        <v>1.27</v>
      </c>
      <c r="U3059" s="2">
        <v>175.38</v>
      </c>
      <c r="V3059" s="2">
        <v>96.79</v>
      </c>
      <c r="W3059" s="2">
        <v>-10.95</v>
      </c>
      <c r="X3059" s="2">
        <v>-13.2</v>
      </c>
      <c r="Y3059" s="2">
        <v>1.06</v>
      </c>
      <c r="Z3059" s="2">
        <v>3.5</v>
      </c>
    </row>
    <row r="3060" spans="1:26" x14ac:dyDescent="0.25">
      <c r="A3060" s="1" t="s">
        <v>12119</v>
      </c>
      <c r="B3060" s="1" t="s">
        <v>12120</v>
      </c>
      <c r="C3060" s="1" t="s">
        <v>45</v>
      </c>
      <c r="D3060" s="1" t="s">
        <v>67</v>
      </c>
      <c r="E3060" s="1" t="s">
        <v>3111</v>
      </c>
      <c r="F3060" s="1" t="s">
        <v>12121</v>
      </c>
      <c r="G3060" s="1" t="s">
        <v>12493</v>
      </c>
      <c r="H3060" s="1" t="s">
        <v>12122</v>
      </c>
      <c r="I3060" s="2">
        <v>124.34</v>
      </c>
      <c r="J3060" s="2">
        <v>2.64</v>
      </c>
      <c r="K3060" s="2">
        <v>2.87</v>
      </c>
      <c r="L3060" s="2">
        <v>3.26</v>
      </c>
      <c r="M3060" s="4">
        <f t="shared" si="282"/>
        <v>43.324041811846691</v>
      </c>
      <c r="N3060" s="4">
        <f t="shared" si="283"/>
        <v>38.141104294478531</v>
      </c>
      <c r="O3060" s="5">
        <f t="shared" si="284"/>
        <v>8.7121212121212155E-2</v>
      </c>
      <c r="P3060" s="5">
        <f t="shared" si="285"/>
        <v>0.13588850174216027</v>
      </c>
      <c r="Q3060" s="4">
        <f t="shared" si="286"/>
        <v>4.972846538403271</v>
      </c>
      <c r="R3060" s="4">
        <f t="shared" si="287"/>
        <v>2.8067940852603432</v>
      </c>
      <c r="S3060" s="4">
        <v>4.7300000000000004</v>
      </c>
      <c r="T3060" s="2">
        <v>0.66</v>
      </c>
      <c r="U3060" s="2">
        <v>133.88999999999999</v>
      </c>
      <c r="V3060" s="2">
        <v>81.790000000000006</v>
      </c>
      <c r="W3060" s="2">
        <v>-2.17</v>
      </c>
      <c r="X3060" s="2">
        <v>-3.63</v>
      </c>
      <c r="Y3060" s="2">
        <v>6.46</v>
      </c>
      <c r="Z3060" s="2">
        <v>11.61</v>
      </c>
    </row>
    <row r="3061" spans="1:26" x14ac:dyDescent="0.25">
      <c r="A3061" s="1" t="s">
        <v>12123</v>
      </c>
      <c r="B3061" s="1" t="s">
        <v>12124</v>
      </c>
      <c r="C3061" s="1" t="s">
        <v>31</v>
      </c>
      <c r="D3061" s="1" t="s">
        <v>128</v>
      </c>
      <c r="E3061" s="1" t="s">
        <v>556</v>
      </c>
      <c r="F3061" s="1" t="s">
        <v>12125</v>
      </c>
      <c r="G3061" s="1" t="s">
        <v>12480</v>
      </c>
      <c r="H3061" s="1" t="s">
        <v>12126</v>
      </c>
      <c r="I3061" s="2">
        <v>68.959999999999994</v>
      </c>
      <c r="J3061" s="2">
        <v>3.19</v>
      </c>
      <c r="K3061" s="2"/>
      <c r="L3061" s="2"/>
      <c r="M3061" s="4" t="e">
        <f t="shared" si="282"/>
        <v>#DIV/0!</v>
      </c>
      <c r="N3061" s="4" t="e">
        <f t="shared" si="283"/>
        <v>#DIV/0!</v>
      </c>
      <c r="O3061" s="5">
        <f t="shared" si="284"/>
        <v>-1</v>
      </c>
      <c r="P3061" s="5" t="e">
        <f t="shared" si="285"/>
        <v>#DIV/0!</v>
      </c>
      <c r="Q3061" s="4" t="e">
        <f t="shared" si="286"/>
        <v>#DIV/0!</v>
      </c>
      <c r="R3061" s="4" t="e">
        <f t="shared" si="287"/>
        <v>#DIV/0!</v>
      </c>
      <c r="S3061" s="4">
        <v>2.68</v>
      </c>
      <c r="T3061" s="2">
        <v>0.55000000000000004</v>
      </c>
      <c r="U3061" s="2">
        <v>192.53</v>
      </c>
      <c r="V3061" s="2">
        <v>52.83</v>
      </c>
      <c r="W3061" s="2">
        <v>-6.42</v>
      </c>
      <c r="X3061" s="2">
        <v>-7.41</v>
      </c>
      <c r="Y3061" s="2">
        <v>0.8</v>
      </c>
      <c r="Z3061" s="2">
        <v>0.12</v>
      </c>
    </row>
    <row r="3062" spans="1:26" x14ac:dyDescent="0.25">
      <c r="A3062" s="1" t="s">
        <v>12127</v>
      </c>
      <c r="B3062" s="1" t="s">
        <v>12128</v>
      </c>
      <c r="C3062" s="1" t="s">
        <v>16</v>
      </c>
      <c r="D3062" s="1" t="s">
        <v>61</v>
      </c>
      <c r="E3062" s="1" t="s">
        <v>1534</v>
      </c>
      <c r="F3062" s="1" t="s">
        <v>12129</v>
      </c>
      <c r="G3062" s="1" t="s">
        <v>12508</v>
      </c>
      <c r="H3062" s="1" t="s">
        <v>12130</v>
      </c>
      <c r="I3062" s="2">
        <v>50.24</v>
      </c>
      <c r="J3062" s="2">
        <v>3.07</v>
      </c>
      <c r="K3062" s="2">
        <v>3.42</v>
      </c>
      <c r="L3062" s="2">
        <v>3.96</v>
      </c>
      <c r="M3062" s="4">
        <f t="shared" si="282"/>
        <v>14.690058479532164</v>
      </c>
      <c r="N3062" s="4">
        <f t="shared" si="283"/>
        <v>12.686868686868687</v>
      </c>
      <c r="O3062" s="5">
        <f t="shared" si="284"/>
        <v>0.11400651465798051</v>
      </c>
      <c r="P3062" s="5">
        <f t="shared" si="285"/>
        <v>0.15789473684210531</v>
      </c>
      <c r="Q3062" s="4">
        <f t="shared" si="286"/>
        <v>1.2885279866332493</v>
      </c>
      <c r="R3062" s="4">
        <f t="shared" si="287"/>
        <v>0.80350168350168327</v>
      </c>
      <c r="S3062" s="4">
        <v>-7.38</v>
      </c>
      <c r="T3062" s="2">
        <v>1.32</v>
      </c>
      <c r="U3062" s="2">
        <v>67.39</v>
      </c>
      <c r="V3062" s="2">
        <v>39.78</v>
      </c>
      <c r="W3062" s="2">
        <v>-10.72</v>
      </c>
      <c r="X3062" s="2">
        <v>-14.08</v>
      </c>
      <c r="Y3062" s="2">
        <v>-12.99</v>
      </c>
      <c r="Z3062" s="2">
        <v>-2.58</v>
      </c>
    </row>
    <row r="3063" spans="1:26" x14ac:dyDescent="0.25">
      <c r="A3063" s="1" t="s">
        <v>12131</v>
      </c>
      <c r="B3063" s="1" t="s">
        <v>12132</v>
      </c>
      <c r="C3063" s="1" t="s">
        <v>16</v>
      </c>
      <c r="D3063" s="1" t="s">
        <v>38</v>
      </c>
      <c r="E3063" s="1" t="s">
        <v>510</v>
      </c>
      <c r="F3063" s="1" t="s">
        <v>12133</v>
      </c>
      <c r="G3063" s="1" t="s">
        <v>12480</v>
      </c>
      <c r="H3063" s="1" t="s">
        <v>12134</v>
      </c>
      <c r="I3063" s="2">
        <v>72.400000000000006</v>
      </c>
      <c r="J3063" s="2">
        <v>4.97</v>
      </c>
      <c r="K3063" s="2">
        <v>5.16</v>
      </c>
      <c r="L3063" s="2">
        <v>5.3</v>
      </c>
      <c r="M3063" s="4">
        <f t="shared" si="282"/>
        <v>14.031007751937985</v>
      </c>
      <c r="N3063" s="4">
        <f t="shared" si="283"/>
        <v>13.660377358490567</v>
      </c>
      <c r="O3063" s="5">
        <f t="shared" si="284"/>
        <v>3.8229376257545411E-2</v>
      </c>
      <c r="P3063" s="5">
        <f t="shared" si="285"/>
        <v>2.7131782945736482E-2</v>
      </c>
      <c r="Q3063" s="4">
        <f t="shared" si="286"/>
        <v>3.6702162382700805</v>
      </c>
      <c r="R3063" s="4">
        <f t="shared" si="287"/>
        <v>5.0348247978436573</v>
      </c>
      <c r="S3063" s="4">
        <v>8.43</v>
      </c>
      <c r="T3063" s="2">
        <v>0.76</v>
      </c>
      <c r="U3063" s="2">
        <v>74.650000000000006</v>
      </c>
      <c r="V3063" s="2">
        <v>56.12</v>
      </c>
      <c r="W3063" s="2">
        <v>-2.98</v>
      </c>
      <c r="X3063" s="2">
        <v>1.23</v>
      </c>
      <c r="Y3063" s="2">
        <v>10.11</v>
      </c>
      <c r="Z3063" s="2">
        <v>12.49</v>
      </c>
    </row>
    <row r="3064" spans="1:26" x14ac:dyDescent="0.25">
      <c r="A3064" s="1" t="s">
        <v>12135</v>
      </c>
      <c r="B3064" s="1" t="s">
        <v>12136</v>
      </c>
      <c r="C3064" s="1" t="s">
        <v>16</v>
      </c>
      <c r="D3064" s="1" t="s">
        <v>88</v>
      </c>
      <c r="E3064" s="1" t="s">
        <v>658</v>
      </c>
      <c r="F3064" s="1" t="s">
        <v>12137</v>
      </c>
      <c r="G3064" s="1" t="s">
        <v>12480</v>
      </c>
      <c r="H3064" s="1" t="s">
        <v>2115</v>
      </c>
      <c r="I3064" s="2">
        <v>147.94999999999999</v>
      </c>
      <c r="J3064" s="2">
        <v>1.41</v>
      </c>
      <c r="K3064" s="2">
        <v>4.18</v>
      </c>
      <c r="L3064" s="2">
        <v>4.17</v>
      </c>
      <c r="M3064" s="4">
        <f t="shared" si="282"/>
        <v>35.39473684210526</v>
      </c>
      <c r="N3064" s="4">
        <f t="shared" si="283"/>
        <v>35.479616306954433</v>
      </c>
      <c r="O3064" s="5">
        <f t="shared" si="284"/>
        <v>1.9645390070921986</v>
      </c>
      <c r="P3064" s="5">
        <f t="shared" si="285"/>
        <v>-2.3923444976076125E-3</v>
      </c>
      <c r="Q3064" s="4">
        <f t="shared" si="286"/>
        <v>0.18016815504465133</v>
      </c>
      <c r="R3064" s="4">
        <f t="shared" si="287"/>
        <v>-148.30479616307221</v>
      </c>
      <c r="S3064" s="4">
        <v>26.44</v>
      </c>
      <c r="T3064" s="2">
        <v>0.5</v>
      </c>
      <c r="U3064" s="2">
        <v>165.72</v>
      </c>
      <c r="V3064" s="2">
        <v>69.7</v>
      </c>
      <c r="W3064" s="2">
        <v>-10.72</v>
      </c>
      <c r="X3064" s="2">
        <v>3.62</v>
      </c>
      <c r="Y3064" s="2">
        <v>27.85</v>
      </c>
      <c r="Z3064" s="2">
        <v>25.89</v>
      </c>
    </row>
    <row r="3065" spans="1:26" x14ac:dyDescent="0.25">
      <c r="A3065" s="1" t="s">
        <v>12138</v>
      </c>
      <c r="B3065" s="1" t="s">
        <v>12138</v>
      </c>
      <c r="C3065" s="1" t="s">
        <v>16</v>
      </c>
      <c r="D3065" s="1" t="s">
        <v>140</v>
      </c>
      <c r="E3065" s="1" t="s">
        <v>2376</v>
      </c>
      <c r="F3065" s="1" t="s">
        <v>12139</v>
      </c>
      <c r="G3065" s="1" t="s">
        <v>12480</v>
      </c>
      <c r="H3065" s="1" t="s">
        <v>12140</v>
      </c>
      <c r="I3065" s="2">
        <v>17.600000000000001</v>
      </c>
      <c r="J3065" s="2">
        <v>4.17</v>
      </c>
      <c r="K3065" s="2">
        <v>3.36</v>
      </c>
      <c r="L3065" s="2">
        <v>3.47</v>
      </c>
      <c r="M3065" s="4">
        <f t="shared" si="282"/>
        <v>5.238095238095239</v>
      </c>
      <c r="N3065" s="4">
        <f t="shared" si="283"/>
        <v>5.0720461095100866</v>
      </c>
      <c r="O3065" s="5">
        <f t="shared" si="284"/>
        <v>-0.19424460431654678</v>
      </c>
      <c r="P3065" s="5">
        <f t="shared" si="285"/>
        <v>3.2738095238095344E-2</v>
      </c>
      <c r="Q3065" s="4">
        <f t="shared" si="286"/>
        <v>-0.26966490299823637</v>
      </c>
      <c r="R3065" s="4">
        <f t="shared" si="287"/>
        <v>1.5492795389048941</v>
      </c>
      <c r="S3065" s="4">
        <v>-5.16</v>
      </c>
      <c r="T3065" s="2">
        <v>0.8</v>
      </c>
      <c r="U3065" s="2">
        <v>41.63</v>
      </c>
      <c r="V3065" s="2">
        <v>16.32</v>
      </c>
      <c r="W3065" s="2">
        <v>2.86</v>
      </c>
      <c r="X3065" s="2">
        <v>-5.68</v>
      </c>
      <c r="Y3065" s="2">
        <v>-20.93</v>
      </c>
      <c r="Z3065" s="2">
        <v>-21.64</v>
      </c>
    </row>
    <row r="3066" spans="1:26" x14ac:dyDescent="0.25">
      <c r="A3066" s="1" t="s">
        <v>12141</v>
      </c>
      <c r="B3066" s="1" t="s">
        <v>12142</v>
      </c>
      <c r="C3066" s="1" t="s">
        <v>16</v>
      </c>
      <c r="D3066" s="1" t="s">
        <v>38</v>
      </c>
      <c r="E3066" s="1" t="s">
        <v>194</v>
      </c>
      <c r="F3066" s="1" t="s">
        <v>12143</v>
      </c>
      <c r="G3066" s="1" t="s">
        <v>12480</v>
      </c>
      <c r="H3066" s="1" t="s">
        <v>12144</v>
      </c>
      <c r="I3066" s="2">
        <v>68.239999999999995</v>
      </c>
      <c r="J3066" s="2">
        <v>4.33</v>
      </c>
      <c r="K3066" s="2">
        <v>4.55</v>
      </c>
      <c r="L3066" s="2">
        <v>4.82</v>
      </c>
      <c r="M3066" s="4">
        <f t="shared" si="282"/>
        <v>14.997802197802198</v>
      </c>
      <c r="N3066" s="4">
        <f t="shared" si="283"/>
        <v>14.157676348547716</v>
      </c>
      <c r="O3066" s="5">
        <f t="shared" si="284"/>
        <v>5.0808314087759765E-2</v>
      </c>
      <c r="P3066" s="5">
        <f t="shared" si="285"/>
        <v>5.9340659340659352E-2</v>
      </c>
      <c r="Q3066" s="4">
        <f t="shared" si="286"/>
        <v>2.9518401598401627</v>
      </c>
      <c r="R3066" s="4">
        <f t="shared" si="287"/>
        <v>2.3858306439219295</v>
      </c>
      <c r="S3066" s="4">
        <v>7.84</v>
      </c>
      <c r="T3066" s="2">
        <v>0.35</v>
      </c>
      <c r="U3066" s="2">
        <v>78.459999999999994</v>
      </c>
      <c r="V3066" s="2">
        <v>61.55</v>
      </c>
      <c r="W3066" s="2">
        <v>-6.83</v>
      </c>
      <c r="X3066" s="2">
        <v>-1.46</v>
      </c>
      <c r="Y3066" s="2">
        <v>-1.24</v>
      </c>
      <c r="Z3066" s="2">
        <v>-2.68</v>
      </c>
    </row>
    <row r="3067" spans="1:26" x14ac:dyDescent="0.25">
      <c r="A3067" s="1" t="s">
        <v>12145</v>
      </c>
      <c r="B3067" s="1" t="s">
        <v>12146</v>
      </c>
      <c r="C3067" s="1" t="s">
        <v>16</v>
      </c>
      <c r="D3067" s="1" t="s">
        <v>128</v>
      </c>
      <c r="E3067" s="1" t="s">
        <v>210</v>
      </c>
      <c r="F3067" s="1" t="s">
        <v>12147</v>
      </c>
      <c r="G3067" s="1" t="s">
        <v>12480</v>
      </c>
      <c r="H3067" s="1" t="s">
        <v>12148</v>
      </c>
      <c r="I3067" s="2">
        <v>25.28</v>
      </c>
      <c r="J3067" s="2">
        <v>0.32</v>
      </c>
      <c r="K3067" s="2">
        <v>0.51</v>
      </c>
      <c r="L3067" s="2">
        <v>0.69</v>
      </c>
      <c r="M3067" s="4">
        <f t="shared" si="282"/>
        <v>49.568627450980394</v>
      </c>
      <c r="N3067" s="4">
        <f t="shared" si="283"/>
        <v>36.637681159420296</v>
      </c>
      <c r="O3067" s="5">
        <f t="shared" si="284"/>
        <v>0.59375</v>
      </c>
      <c r="P3067" s="5">
        <f t="shared" si="285"/>
        <v>0.35294117647058809</v>
      </c>
      <c r="Q3067" s="4">
        <f t="shared" si="286"/>
        <v>0.83484004127966982</v>
      </c>
      <c r="R3067" s="4">
        <f t="shared" si="287"/>
        <v>1.0380676328502421</v>
      </c>
      <c r="S3067" s="4">
        <v>13.04</v>
      </c>
      <c r="T3067" s="2">
        <v>2.0499999999999998</v>
      </c>
      <c r="U3067" s="2">
        <v>30.23</v>
      </c>
      <c r="V3067" s="2" t="s">
        <v>12501</v>
      </c>
      <c r="W3067" s="2">
        <v>-3.84</v>
      </c>
      <c r="X3067" s="2">
        <v>4.72</v>
      </c>
      <c r="Y3067" s="2">
        <v>-5.81</v>
      </c>
      <c r="Z3067" s="2">
        <v>16.02</v>
      </c>
    </row>
    <row r="3068" spans="1:26" x14ac:dyDescent="0.25">
      <c r="A3068" s="1" t="s">
        <v>12149</v>
      </c>
      <c r="B3068" s="1" t="s">
        <v>12150</v>
      </c>
      <c r="C3068" s="1" t="s">
        <v>45</v>
      </c>
      <c r="D3068" s="1" t="s">
        <v>305</v>
      </c>
      <c r="E3068" s="1" t="s">
        <v>306</v>
      </c>
      <c r="F3068" s="1" t="s">
        <v>12151</v>
      </c>
      <c r="G3068" s="1" t="s">
        <v>12480</v>
      </c>
      <c r="H3068" s="1" t="s">
        <v>12152</v>
      </c>
      <c r="I3068" s="2">
        <v>6.29</v>
      </c>
      <c r="J3068" s="2">
        <v>-1.1200000000000001</v>
      </c>
      <c r="K3068" s="2">
        <v>-1.2</v>
      </c>
      <c r="L3068" s="2">
        <v>0.04</v>
      </c>
      <c r="M3068" s="4">
        <f t="shared" si="282"/>
        <v>-5.2416666666666671</v>
      </c>
      <c r="N3068" s="4">
        <f t="shared" si="283"/>
        <v>157.25</v>
      </c>
      <c r="O3068" s="5">
        <f t="shared" si="284"/>
        <v>7.1428571428571397E-2</v>
      </c>
      <c r="P3068" s="5">
        <f t="shared" si="285"/>
        <v>-1.0333333333333334</v>
      </c>
      <c r="Q3068" s="4">
        <f t="shared" si="286"/>
        <v>-0.73383333333333367</v>
      </c>
      <c r="R3068" s="4">
        <f t="shared" si="287"/>
        <v>-1.5217741935483871</v>
      </c>
      <c r="S3068" s="4">
        <v>-12.87</v>
      </c>
      <c r="T3068" s="2">
        <v>4.3600000000000003</v>
      </c>
      <c r="U3068" s="2">
        <v>18.399999999999999</v>
      </c>
      <c r="V3068" s="2">
        <v>6.29</v>
      </c>
      <c r="W3068" s="2">
        <v>-6.54</v>
      </c>
      <c r="X3068" s="2">
        <v>-21.96</v>
      </c>
      <c r="Y3068" s="2">
        <v>-25.47</v>
      </c>
      <c r="Z3068" s="2">
        <v>-27.54</v>
      </c>
    </row>
    <row r="3069" spans="1:26" x14ac:dyDescent="0.25">
      <c r="A3069" s="1" t="s">
        <v>12153</v>
      </c>
      <c r="B3069" s="1" t="s">
        <v>12154</v>
      </c>
      <c r="C3069" s="1" t="s">
        <v>31</v>
      </c>
      <c r="D3069" s="1" t="s">
        <v>25</v>
      </c>
      <c r="E3069" s="1" t="s">
        <v>106</v>
      </c>
      <c r="F3069" s="1" t="s">
        <v>12155</v>
      </c>
      <c r="G3069" s="1" t="s">
        <v>12480</v>
      </c>
      <c r="H3069" s="1" t="s">
        <v>12156</v>
      </c>
      <c r="I3069" s="2">
        <v>7.6</v>
      </c>
      <c r="J3069" s="2">
        <v>0.24</v>
      </c>
      <c r="K3069" s="2">
        <v>0.25</v>
      </c>
      <c r="L3069" s="2">
        <v>0.27</v>
      </c>
      <c r="M3069" s="4">
        <f t="shared" si="282"/>
        <v>30.4</v>
      </c>
      <c r="N3069" s="4">
        <f t="shared" si="283"/>
        <v>28.148148148148145</v>
      </c>
      <c r="O3069" s="5">
        <f t="shared" si="284"/>
        <v>4.1666666666666741E-2</v>
      </c>
      <c r="P3069" s="5">
        <f t="shared" si="285"/>
        <v>8.0000000000000071E-2</v>
      </c>
      <c r="Q3069" s="4">
        <f t="shared" si="286"/>
        <v>7.2959999999999869</v>
      </c>
      <c r="R3069" s="4">
        <f t="shared" si="287"/>
        <v>3.518518518518515</v>
      </c>
      <c r="S3069" s="4">
        <v>12.06</v>
      </c>
      <c r="T3069" s="2">
        <v>1.21</v>
      </c>
      <c r="U3069" s="2">
        <v>8.9499999999999993</v>
      </c>
      <c r="V3069" s="2">
        <v>3.05</v>
      </c>
      <c r="W3069" s="2">
        <v>-12.24</v>
      </c>
      <c r="X3069" s="2">
        <v>-8.8699999999999992</v>
      </c>
      <c r="Y3069" s="2">
        <v>4.83</v>
      </c>
      <c r="Z3069" s="2">
        <v>2.29</v>
      </c>
    </row>
    <row r="3070" spans="1:26" x14ac:dyDescent="0.25">
      <c r="A3070" s="1" t="s">
        <v>12157</v>
      </c>
      <c r="B3070" s="1" t="s">
        <v>12158</v>
      </c>
      <c r="C3070" s="1" t="s">
        <v>16</v>
      </c>
      <c r="D3070" s="1" t="s">
        <v>88</v>
      </c>
      <c r="E3070" s="1" t="s">
        <v>3116</v>
      </c>
      <c r="F3070" s="1" t="s">
        <v>12159</v>
      </c>
      <c r="G3070" s="1" t="s">
        <v>12508</v>
      </c>
      <c r="H3070" s="1" t="s">
        <v>430</v>
      </c>
      <c r="I3070" s="2">
        <v>36.85</v>
      </c>
      <c r="J3070" s="2">
        <v>2.16</v>
      </c>
      <c r="K3070" s="2">
        <v>2.46</v>
      </c>
      <c r="L3070" s="2">
        <v>3.03</v>
      </c>
      <c r="M3070" s="4">
        <f t="shared" si="282"/>
        <v>14.979674796747968</v>
      </c>
      <c r="N3070" s="4">
        <f t="shared" si="283"/>
        <v>12.161716171617163</v>
      </c>
      <c r="O3070" s="5">
        <f t="shared" si="284"/>
        <v>0.13888888888888884</v>
      </c>
      <c r="P3070" s="5">
        <f t="shared" si="285"/>
        <v>0.23170731707317072</v>
      </c>
      <c r="Q3070" s="4">
        <f t="shared" si="286"/>
        <v>1.0785365853658542</v>
      </c>
      <c r="R3070" s="4">
        <f t="shared" si="287"/>
        <v>0.52487406635400391</v>
      </c>
      <c r="S3070" s="4">
        <v>-9.83</v>
      </c>
      <c r="T3070" s="2">
        <v>1.62</v>
      </c>
      <c r="U3070" s="2">
        <v>48.69</v>
      </c>
      <c r="V3070" s="2">
        <v>22.58</v>
      </c>
      <c r="W3070" s="2">
        <v>-12.53</v>
      </c>
      <c r="X3070" s="2">
        <v>-24.32</v>
      </c>
      <c r="Y3070" s="2">
        <v>3.95</v>
      </c>
      <c r="Z3070" s="2">
        <v>6.44</v>
      </c>
    </row>
    <row r="3071" spans="1:26" x14ac:dyDescent="0.25">
      <c r="A3071" s="1" t="s">
        <v>12160</v>
      </c>
      <c r="B3071" s="1" t="s">
        <v>12161</v>
      </c>
      <c r="C3071" s="1" t="s">
        <v>45</v>
      </c>
      <c r="D3071" s="1" t="s">
        <v>38</v>
      </c>
      <c r="E3071" s="1" t="s">
        <v>119</v>
      </c>
      <c r="F3071" s="1" t="s">
        <v>12162</v>
      </c>
      <c r="G3071" s="1" t="s">
        <v>12480</v>
      </c>
      <c r="H3071" s="1" t="s">
        <v>12163</v>
      </c>
      <c r="I3071" s="2">
        <v>33.369999999999997</v>
      </c>
      <c r="J3071" s="2">
        <v>3.4</v>
      </c>
      <c r="K3071" s="2">
        <v>3.72</v>
      </c>
      <c r="L3071" s="2">
        <v>4.12</v>
      </c>
      <c r="M3071" s="4">
        <f t="shared" si="282"/>
        <v>8.9704301075268802</v>
      </c>
      <c r="N3071" s="4">
        <f t="shared" si="283"/>
        <v>8.099514563106796</v>
      </c>
      <c r="O3071" s="5">
        <f t="shared" si="284"/>
        <v>9.4117647058823639E-2</v>
      </c>
      <c r="P3071" s="5">
        <f t="shared" si="285"/>
        <v>0.10752688172043001</v>
      </c>
      <c r="Q3071" s="4">
        <f t="shared" si="286"/>
        <v>0.95310819892472987</v>
      </c>
      <c r="R3071" s="4">
        <f t="shared" si="287"/>
        <v>0.75325485436893269</v>
      </c>
      <c r="S3071" s="4">
        <v>50.87</v>
      </c>
      <c r="T3071" s="2">
        <v>0.79</v>
      </c>
      <c r="U3071" s="2">
        <v>37.89</v>
      </c>
      <c r="V3071" s="2">
        <v>26.79</v>
      </c>
      <c r="W3071" s="2">
        <v>-5.95</v>
      </c>
      <c r="X3071" s="2">
        <v>-11.67</v>
      </c>
      <c r="Y3071" s="2">
        <v>-5.0599999999999996</v>
      </c>
      <c r="Z3071" s="2">
        <v>0.39</v>
      </c>
    </row>
    <row r="3072" spans="1:26" x14ac:dyDescent="0.25">
      <c r="A3072" s="1" t="s">
        <v>12164</v>
      </c>
      <c r="B3072" s="1" t="s">
        <v>12165</v>
      </c>
      <c r="C3072" s="1" t="s">
        <v>45</v>
      </c>
      <c r="D3072" s="1" t="s">
        <v>38</v>
      </c>
      <c r="E3072" s="1" t="s">
        <v>1806</v>
      </c>
      <c r="F3072" s="1" t="s">
        <v>12166</v>
      </c>
      <c r="G3072" s="1" t="s">
        <v>12480</v>
      </c>
      <c r="H3072" s="1" t="s">
        <v>12167</v>
      </c>
      <c r="I3072" s="2">
        <v>19.8</v>
      </c>
      <c r="J3072" s="2">
        <v>1.2</v>
      </c>
      <c r="K3072" s="2">
        <v>1.06</v>
      </c>
      <c r="L3072" s="2">
        <v>1.3</v>
      </c>
      <c r="M3072" s="4">
        <f t="shared" si="282"/>
        <v>18.679245283018869</v>
      </c>
      <c r="N3072" s="4">
        <f t="shared" si="283"/>
        <v>15.23076923076923</v>
      </c>
      <c r="O3072" s="5">
        <f t="shared" si="284"/>
        <v>-0.11666666666666659</v>
      </c>
      <c r="P3072" s="5">
        <f t="shared" si="285"/>
        <v>0.22641509433962259</v>
      </c>
      <c r="Q3072" s="4">
        <f t="shared" si="286"/>
        <v>-1.601078167115904</v>
      </c>
      <c r="R3072" s="4">
        <f t="shared" si="287"/>
        <v>0.67269230769230781</v>
      </c>
      <c r="S3072" s="4">
        <v>-4.7699999999999996</v>
      </c>
      <c r="T3072" s="2">
        <v>1.08</v>
      </c>
      <c r="U3072" s="2">
        <v>31.65</v>
      </c>
      <c r="V3072" s="2">
        <v>14.98</v>
      </c>
      <c r="W3072" s="2">
        <v>-9.0500000000000007</v>
      </c>
      <c r="X3072" s="2">
        <v>-8.5</v>
      </c>
      <c r="Y3072" s="2">
        <v>-0.45</v>
      </c>
      <c r="Z3072" s="2">
        <v>5.15</v>
      </c>
    </row>
    <row r="3073" spans="1:26" x14ac:dyDescent="0.25">
      <c r="A3073" s="1" t="s">
        <v>12168</v>
      </c>
      <c r="B3073" s="1" t="s">
        <v>12168</v>
      </c>
      <c r="C3073" s="1" t="s">
        <v>45</v>
      </c>
      <c r="D3073" s="1" t="s">
        <v>38</v>
      </c>
      <c r="E3073" s="1" t="s">
        <v>1449</v>
      </c>
      <c r="F3073" s="1" t="s">
        <v>12169</v>
      </c>
      <c r="G3073" s="1" t="s">
        <v>12480</v>
      </c>
      <c r="H3073" s="1" t="s">
        <v>5613</v>
      </c>
      <c r="I3073" s="2">
        <v>62.74</v>
      </c>
      <c r="J3073" s="2">
        <v>5.21</v>
      </c>
      <c r="K3073" s="2">
        <v>5.77</v>
      </c>
      <c r="L3073" s="2">
        <v>6.34</v>
      </c>
      <c r="M3073" s="4">
        <f t="shared" si="282"/>
        <v>10.873483535528598</v>
      </c>
      <c r="N3073" s="4">
        <f t="shared" si="283"/>
        <v>9.89589905362776</v>
      </c>
      <c r="O3073" s="5">
        <f t="shared" si="284"/>
        <v>0.10748560460652579</v>
      </c>
      <c r="P3073" s="5">
        <f t="shared" si="285"/>
        <v>9.8786828422877004E-2</v>
      </c>
      <c r="Q3073" s="4">
        <f t="shared" si="286"/>
        <v>1.0116223075018582</v>
      </c>
      <c r="R3073" s="4">
        <f t="shared" si="287"/>
        <v>1.0017427638496867</v>
      </c>
      <c r="S3073" s="4">
        <v>-3.2</v>
      </c>
      <c r="T3073" s="2">
        <v>0.76</v>
      </c>
      <c r="U3073" s="2">
        <v>70.650000000000006</v>
      </c>
      <c r="V3073" s="2">
        <v>45.9</v>
      </c>
      <c r="W3073" s="2">
        <v>-3.43</v>
      </c>
      <c r="X3073" s="2">
        <v>-10.96</v>
      </c>
      <c r="Y3073" s="2">
        <v>8.06</v>
      </c>
      <c r="Z3073" s="2">
        <v>13.58</v>
      </c>
    </row>
    <row r="3074" spans="1:26" x14ac:dyDescent="0.25">
      <c r="A3074" s="1" t="s">
        <v>12170</v>
      </c>
      <c r="B3074" s="1" t="s">
        <v>12171</v>
      </c>
      <c r="C3074" s="1" t="s">
        <v>16</v>
      </c>
      <c r="D3074" s="1" t="s">
        <v>67</v>
      </c>
      <c r="E3074" s="1" t="s">
        <v>619</v>
      </c>
      <c r="F3074" s="1" t="s">
        <v>12172</v>
      </c>
      <c r="G3074" s="1" t="s">
        <v>12493</v>
      </c>
      <c r="H3074" s="1" t="s">
        <v>3401</v>
      </c>
      <c r="I3074" s="2">
        <v>188.3</v>
      </c>
      <c r="J3074" s="2">
        <v>8.7899999999999991</v>
      </c>
      <c r="K3074" s="2">
        <v>9.1</v>
      </c>
      <c r="L3074" s="2">
        <v>10.06</v>
      </c>
      <c r="M3074" s="4">
        <f t="shared" si="282"/>
        <v>20.692307692307693</v>
      </c>
      <c r="N3074" s="4">
        <f t="shared" si="283"/>
        <v>18.717693836978132</v>
      </c>
      <c r="O3074" s="5">
        <f t="shared" si="284"/>
        <v>3.5267349260523329E-2</v>
      </c>
      <c r="P3074" s="5">
        <f t="shared" si="285"/>
        <v>0.10549450549450556</v>
      </c>
      <c r="Q3074" s="4">
        <f t="shared" si="286"/>
        <v>5.8672704714640194</v>
      </c>
      <c r="R3074" s="4">
        <f t="shared" si="287"/>
        <v>1.774281394963551</v>
      </c>
      <c r="S3074" s="4">
        <v>-0.5</v>
      </c>
      <c r="T3074" s="2">
        <v>1.64</v>
      </c>
      <c r="U3074" s="2">
        <v>220.67</v>
      </c>
      <c r="V3074" s="2">
        <v>137.62</v>
      </c>
      <c r="W3074" s="2">
        <v>-6.48</v>
      </c>
      <c r="X3074" s="2">
        <v>-13.45</v>
      </c>
      <c r="Y3074" s="2">
        <v>1.55</v>
      </c>
      <c r="Z3074" s="2">
        <v>5.44</v>
      </c>
    </row>
    <row r="3075" spans="1:26" x14ac:dyDescent="0.25">
      <c r="A3075" s="1" t="s">
        <v>12173</v>
      </c>
      <c r="B3075" s="1" t="s">
        <v>12174</v>
      </c>
      <c r="C3075" s="1" t="s">
        <v>16</v>
      </c>
      <c r="D3075" s="1" t="s">
        <v>25</v>
      </c>
      <c r="E3075" s="1" t="s">
        <v>220</v>
      </c>
      <c r="F3075" s="1" t="s">
        <v>12175</v>
      </c>
      <c r="G3075" s="1" t="s">
        <v>12480</v>
      </c>
      <c r="H3075" s="1" t="s">
        <v>3998</v>
      </c>
      <c r="I3075" s="2">
        <v>393.92</v>
      </c>
      <c r="J3075" s="2">
        <v>12.25</v>
      </c>
      <c r="K3075" s="2">
        <v>12.82</v>
      </c>
      <c r="L3075" s="2">
        <v>14.06</v>
      </c>
      <c r="M3075" s="4">
        <f t="shared" ref="M3075:M3138" si="288">I3075/K3075</f>
        <v>30.726989079563182</v>
      </c>
      <c r="N3075" s="4">
        <f t="shared" ref="N3075:N3138" si="289">I3075/L3075</f>
        <v>28.017069701280228</v>
      </c>
      <c r="O3075" s="5">
        <f t="shared" ref="O3075:O3138" si="290">K3075/J3075-1</f>
        <v>4.6530612244898073E-2</v>
      </c>
      <c r="P3075" s="5">
        <f t="shared" ref="P3075:P3138" si="291">L3075/K3075-1</f>
        <v>9.6723868954758263E-2</v>
      </c>
      <c r="Q3075" s="4">
        <f t="shared" ref="Q3075:Q3138" si="292">M3075/(O3075*100)</f>
        <v>6.6036073021868082</v>
      </c>
      <c r="R3075" s="4">
        <f t="shared" ref="R3075:R3138" si="293">N3075/(P3075*100)</f>
        <v>2.8966034965355827</v>
      </c>
      <c r="S3075" s="4">
        <v>-4.9800000000000004</v>
      </c>
      <c r="T3075" s="2">
        <v>1.03</v>
      </c>
      <c r="U3075" s="2">
        <v>520.66</v>
      </c>
      <c r="V3075" s="2">
        <v>323.51</v>
      </c>
      <c r="W3075" s="2">
        <v>-4.13</v>
      </c>
      <c r="X3075" s="2">
        <v>-5.0199999999999996</v>
      </c>
      <c r="Y3075" s="2">
        <v>14.32</v>
      </c>
      <c r="Z3075" s="2">
        <v>16.91</v>
      </c>
    </row>
    <row r="3076" spans="1:26" x14ac:dyDescent="0.25">
      <c r="A3076" s="1" t="s">
        <v>12173</v>
      </c>
      <c r="B3076" s="1" t="s">
        <v>12176</v>
      </c>
      <c r="C3076" s="1" t="s">
        <v>16</v>
      </c>
      <c r="D3076" s="1" t="s">
        <v>61</v>
      </c>
      <c r="E3076" s="1" t="s">
        <v>62</v>
      </c>
      <c r="F3076" s="1" t="s">
        <v>12177</v>
      </c>
      <c r="G3076" s="1" t="s">
        <v>12480</v>
      </c>
      <c r="H3076" s="1" t="s">
        <v>3998</v>
      </c>
      <c r="I3076" s="2">
        <v>419.25</v>
      </c>
      <c r="J3076" s="2">
        <v>12.25</v>
      </c>
      <c r="K3076" s="2"/>
      <c r="L3076" s="2"/>
      <c r="M3076" s="4" t="e">
        <f t="shared" si="288"/>
        <v>#DIV/0!</v>
      </c>
      <c r="N3076" s="4" t="e">
        <f t="shared" si="289"/>
        <v>#DIV/0!</v>
      </c>
      <c r="O3076" s="5">
        <f t="shared" si="290"/>
        <v>-1</v>
      </c>
      <c r="P3076" s="5" t="e">
        <f t="shared" si="291"/>
        <v>#DIV/0!</v>
      </c>
      <c r="Q3076" s="4" t="e">
        <f t="shared" si="292"/>
        <v>#DIV/0!</v>
      </c>
      <c r="R3076" s="4" t="e">
        <f t="shared" si="293"/>
        <v>#DIV/0!</v>
      </c>
      <c r="S3076" s="4">
        <v>-4.9800000000000004</v>
      </c>
      <c r="T3076" s="2">
        <v>0.52</v>
      </c>
      <c r="U3076" s="2">
        <v>507.1</v>
      </c>
      <c r="V3076" s="2">
        <v>338.85</v>
      </c>
      <c r="W3076" s="2" t="s">
        <v>12489</v>
      </c>
      <c r="X3076" s="2">
        <v>7.79</v>
      </c>
      <c r="Y3076" s="2">
        <v>19.02</v>
      </c>
      <c r="Z3076" s="2">
        <v>23.73</v>
      </c>
    </row>
    <row r="3077" spans="1:26" x14ac:dyDescent="0.25">
      <c r="A3077" s="1" t="s">
        <v>12178</v>
      </c>
      <c r="B3077" s="1" t="s">
        <v>12179</v>
      </c>
      <c r="C3077" s="1" t="s">
        <v>31</v>
      </c>
      <c r="D3077" s="1" t="s">
        <v>140</v>
      </c>
      <c r="E3077" s="1" t="s">
        <v>141</v>
      </c>
      <c r="F3077" s="1" t="s">
        <v>12180</v>
      </c>
      <c r="G3077" s="1" t="s">
        <v>12480</v>
      </c>
      <c r="H3077" s="1" t="s">
        <v>4203</v>
      </c>
      <c r="I3077" s="2">
        <v>167.91499999999999</v>
      </c>
      <c r="J3077" s="2"/>
      <c r="K3077" s="2"/>
      <c r="L3077" s="2"/>
      <c r="M3077" s="4" t="e">
        <f t="shared" si="288"/>
        <v>#DIV/0!</v>
      </c>
      <c r="N3077" s="4" t="e">
        <f t="shared" si="289"/>
        <v>#DIV/0!</v>
      </c>
      <c r="O3077" s="5" t="e">
        <f t="shared" si="290"/>
        <v>#DIV/0!</v>
      </c>
      <c r="P3077" s="5" t="e">
        <f t="shared" si="291"/>
        <v>#DIV/0!</v>
      </c>
      <c r="Q3077" s="4" t="e">
        <f t="shared" si="292"/>
        <v>#DIV/0!</v>
      </c>
      <c r="R3077" s="4" t="e">
        <f t="shared" si="293"/>
        <v>#DIV/0!</v>
      </c>
      <c r="S3077" s="4"/>
      <c r="T3077" s="2"/>
      <c r="U3077" s="2">
        <v>199.69</v>
      </c>
      <c r="V3077" s="2">
        <v>157.97999999999999</v>
      </c>
      <c r="W3077" s="2">
        <v>-0.85</v>
      </c>
      <c r="X3077" s="2">
        <v>-13.95</v>
      </c>
      <c r="Y3077" s="2">
        <v>-4.1500000000000004</v>
      </c>
      <c r="Z3077" s="2" t="s">
        <v>12621</v>
      </c>
    </row>
    <row r="3078" spans="1:26" x14ac:dyDescent="0.25">
      <c r="A3078" s="1" t="s">
        <v>12181</v>
      </c>
      <c r="B3078" s="1" t="s">
        <v>12182</v>
      </c>
      <c r="C3078" s="1" t="s">
        <v>16</v>
      </c>
      <c r="D3078" s="1" t="s">
        <v>18</v>
      </c>
      <c r="E3078" s="1" t="s">
        <v>610</v>
      </c>
      <c r="F3078" s="1" t="s">
        <v>12183</v>
      </c>
      <c r="G3078" s="1" t="s">
        <v>12480</v>
      </c>
      <c r="H3078" s="1" t="s">
        <v>12184</v>
      </c>
      <c r="I3078" s="2">
        <v>248.06</v>
      </c>
      <c r="J3078" s="2">
        <v>7.29</v>
      </c>
      <c r="K3078" s="2">
        <v>7.85</v>
      </c>
      <c r="L3078" s="2">
        <v>8.9</v>
      </c>
      <c r="M3078" s="4">
        <f t="shared" si="288"/>
        <v>31.6</v>
      </c>
      <c r="N3078" s="4">
        <f t="shared" si="289"/>
        <v>27.871910112359551</v>
      </c>
      <c r="O3078" s="5">
        <f t="shared" si="290"/>
        <v>7.6817558299039801E-2</v>
      </c>
      <c r="P3078" s="5">
        <f t="shared" si="291"/>
        <v>0.13375796178343968</v>
      </c>
      <c r="Q3078" s="4">
        <f t="shared" si="292"/>
        <v>4.1136428571428558</v>
      </c>
      <c r="R3078" s="4">
        <f t="shared" si="293"/>
        <v>2.0837570893525919</v>
      </c>
      <c r="S3078" s="4">
        <v>6.25</v>
      </c>
      <c r="T3078" s="2">
        <v>1.17</v>
      </c>
      <c r="U3078" s="2">
        <v>307.25</v>
      </c>
      <c r="V3078" s="2">
        <v>190.39</v>
      </c>
      <c r="W3078" s="2">
        <v>-1.27</v>
      </c>
      <c r="X3078" s="2">
        <v>-0.35</v>
      </c>
      <c r="Y3078" s="2">
        <v>-8.75</v>
      </c>
      <c r="Z3078" s="2">
        <v>-9.84</v>
      </c>
    </row>
    <row r="3079" spans="1:26" x14ac:dyDescent="0.25">
      <c r="A3079" s="1" t="s">
        <v>12185</v>
      </c>
      <c r="B3079" s="1" t="s">
        <v>12186</v>
      </c>
      <c r="C3079" s="1" t="s">
        <v>16</v>
      </c>
      <c r="D3079" s="1" t="s">
        <v>38</v>
      </c>
      <c r="E3079" s="1" t="s">
        <v>52</v>
      </c>
      <c r="F3079" s="1" t="s">
        <v>12187</v>
      </c>
      <c r="G3079" s="1" t="s">
        <v>12480</v>
      </c>
      <c r="H3079" s="1" t="s">
        <v>12188</v>
      </c>
      <c r="I3079" s="2">
        <v>16.59</v>
      </c>
      <c r="J3079" s="2">
        <v>0.86</v>
      </c>
      <c r="K3079" s="2">
        <v>1.08</v>
      </c>
      <c r="L3079" s="2">
        <v>1.17</v>
      </c>
      <c r="M3079" s="4">
        <f t="shared" si="288"/>
        <v>15.361111111111111</v>
      </c>
      <c r="N3079" s="4">
        <f t="shared" si="289"/>
        <v>14.179487179487181</v>
      </c>
      <c r="O3079" s="5">
        <f t="shared" si="290"/>
        <v>0.2558139534883721</v>
      </c>
      <c r="P3079" s="5">
        <f t="shared" si="291"/>
        <v>8.3333333333333259E-2</v>
      </c>
      <c r="Q3079" s="4">
        <f t="shared" si="292"/>
        <v>0.60047979797979789</v>
      </c>
      <c r="R3079" s="4">
        <f t="shared" si="293"/>
        <v>1.7015384615384634</v>
      </c>
      <c r="S3079" s="4">
        <v>15.43</v>
      </c>
      <c r="T3079" s="2">
        <v>1.0900000000000001</v>
      </c>
      <c r="U3079" s="2">
        <v>17.52</v>
      </c>
      <c r="V3079" s="2">
        <v>7.67</v>
      </c>
      <c r="W3079" s="2">
        <v>-5.31</v>
      </c>
      <c r="X3079" s="2">
        <v>3.82</v>
      </c>
      <c r="Y3079" s="2">
        <v>42.16</v>
      </c>
      <c r="Z3079" s="2">
        <v>36.1</v>
      </c>
    </row>
    <row r="3080" spans="1:26" x14ac:dyDescent="0.25">
      <c r="A3080" s="1" t="s">
        <v>12189</v>
      </c>
      <c r="B3080" s="1" t="s">
        <v>12190</v>
      </c>
      <c r="C3080" s="1" t="s">
        <v>31</v>
      </c>
      <c r="D3080" s="1" t="s">
        <v>147</v>
      </c>
      <c r="E3080" s="1" t="s">
        <v>180</v>
      </c>
      <c r="F3080" s="1" t="s">
        <v>12191</v>
      </c>
      <c r="G3080" s="1" t="s">
        <v>12487</v>
      </c>
      <c r="H3080" s="1" t="s">
        <v>12192</v>
      </c>
      <c r="I3080" s="2">
        <v>8.23</v>
      </c>
      <c r="J3080" s="2"/>
      <c r="K3080" s="2">
        <v>0.68</v>
      </c>
      <c r="L3080" s="2">
        <v>0.68</v>
      </c>
      <c r="M3080" s="4">
        <f t="shared" si="288"/>
        <v>12.102941176470589</v>
      </c>
      <c r="N3080" s="4">
        <f t="shared" si="289"/>
        <v>12.102941176470589</v>
      </c>
      <c r="O3080" s="5" t="e">
        <f t="shared" si="290"/>
        <v>#DIV/0!</v>
      </c>
      <c r="P3080" s="5">
        <f t="shared" si="291"/>
        <v>0</v>
      </c>
      <c r="Q3080" s="4" t="e">
        <f t="shared" si="292"/>
        <v>#DIV/0!</v>
      </c>
      <c r="R3080" s="4" t="e">
        <f t="shared" si="293"/>
        <v>#DIV/0!</v>
      </c>
      <c r="S3080" s="4"/>
      <c r="T3080" s="2"/>
      <c r="U3080" s="2">
        <v>11.04</v>
      </c>
      <c r="V3080" s="2">
        <v>7.79</v>
      </c>
      <c r="W3080" s="2">
        <v>-3.01</v>
      </c>
      <c r="X3080" s="2">
        <v>-10.45</v>
      </c>
      <c r="Y3080" s="2">
        <v>4.05</v>
      </c>
      <c r="Z3080" s="2">
        <v>-4.08</v>
      </c>
    </row>
    <row r="3081" spans="1:26" x14ac:dyDescent="0.25">
      <c r="A3081" s="1" t="s">
        <v>12193</v>
      </c>
      <c r="B3081" s="1" t="s">
        <v>12194</v>
      </c>
      <c r="C3081" s="1" t="s">
        <v>45</v>
      </c>
      <c r="D3081" s="1" t="s">
        <v>38</v>
      </c>
      <c r="E3081" s="1" t="s">
        <v>1093</v>
      </c>
      <c r="F3081" s="1" t="s">
        <v>12195</v>
      </c>
      <c r="G3081" s="1" t="s">
        <v>12480</v>
      </c>
      <c r="H3081" s="1" t="s">
        <v>8440</v>
      </c>
      <c r="I3081" s="2">
        <v>137.19999999999999</v>
      </c>
      <c r="J3081" s="2">
        <v>11.68</v>
      </c>
      <c r="K3081" s="2">
        <v>12.28</v>
      </c>
      <c r="L3081" s="2">
        <v>13.25</v>
      </c>
      <c r="M3081" s="4">
        <f t="shared" si="288"/>
        <v>11.172638436482085</v>
      </c>
      <c r="N3081" s="4">
        <f t="shared" si="289"/>
        <v>10.354716981132075</v>
      </c>
      <c r="O3081" s="5">
        <f t="shared" si="290"/>
        <v>5.1369863013698502E-2</v>
      </c>
      <c r="P3081" s="5">
        <f t="shared" si="291"/>
        <v>7.8990228013029462E-2</v>
      </c>
      <c r="Q3081" s="4">
        <f t="shared" si="292"/>
        <v>2.1749402823018515</v>
      </c>
      <c r="R3081" s="4">
        <f t="shared" si="293"/>
        <v>1.3108858198793985</v>
      </c>
      <c r="S3081" s="4">
        <v>6.66</v>
      </c>
      <c r="T3081" s="2">
        <v>0.85</v>
      </c>
      <c r="U3081" s="2">
        <v>161.35</v>
      </c>
      <c r="V3081" s="2">
        <v>95.17</v>
      </c>
      <c r="W3081" s="2">
        <v>-6.46</v>
      </c>
      <c r="X3081" s="2">
        <v>-13.48</v>
      </c>
      <c r="Y3081" s="2">
        <v>-2.91</v>
      </c>
      <c r="Z3081" s="2">
        <v>-1.87</v>
      </c>
    </row>
    <row r="3082" spans="1:26" x14ac:dyDescent="0.25">
      <c r="A3082" s="1" t="s">
        <v>12196</v>
      </c>
      <c r="B3082" s="1" t="s">
        <v>12197</v>
      </c>
      <c r="C3082" s="1" t="s">
        <v>31</v>
      </c>
      <c r="D3082" s="1" t="s">
        <v>140</v>
      </c>
      <c r="E3082" s="1" t="s">
        <v>141</v>
      </c>
      <c r="F3082" s="1" t="s">
        <v>12198</v>
      </c>
      <c r="G3082" s="1" t="s">
        <v>12480</v>
      </c>
      <c r="H3082" s="1" t="s">
        <v>12199</v>
      </c>
      <c r="I3082" s="2">
        <v>80.569999999999993</v>
      </c>
      <c r="J3082" s="2">
        <v>5.98</v>
      </c>
      <c r="K3082" s="2">
        <v>6.45</v>
      </c>
      <c r="L3082" s="2">
        <v>7.17</v>
      </c>
      <c r="M3082" s="4">
        <f t="shared" si="288"/>
        <v>12.491472868217054</v>
      </c>
      <c r="N3082" s="4">
        <f t="shared" si="289"/>
        <v>11.237099023709902</v>
      </c>
      <c r="O3082" s="5">
        <f t="shared" si="290"/>
        <v>7.8595317725752567E-2</v>
      </c>
      <c r="P3082" s="5">
        <f t="shared" si="291"/>
        <v>0.11162790697674407</v>
      </c>
      <c r="Q3082" s="4">
        <f t="shared" si="292"/>
        <v>1.5893405904667643</v>
      </c>
      <c r="R3082" s="4">
        <f t="shared" si="293"/>
        <v>1.0066567875406798</v>
      </c>
      <c r="S3082" s="4">
        <v>8.2100000000000009</v>
      </c>
      <c r="T3082" s="2">
        <v>0.7</v>
      </c>
      <c r="U3082" s="2">
        <v>183.71</v>
      </c>
      <c r="V3082" s="2">
        <v>70.58</v>
      </c>
      <c r="W3082" s="2">
        <v>1.9</v>
      </c>
      <c r="X3082" s="2">
        <v>1.69</v>
      </c>
      <c r="Y3082" s="2">
        <v>-25.51</v>
      </c>
      <c r="Z3082" s="2">
        <v>-22.2</v>
      </c>
    </row>
    <row r="3083" spans="1:26" x14ac:dyDescent="0.25">
      <c r="A3083" s="1" t="s">
        <v>12200</v>
      </c>
      <c r="B3083" s="1" t="s">
        <v>12201</v>
      </c>
      <c r="C3083" s="1" t="s">
        <v>16</v>
      </c>
      <c r="D3083" s="1" t="s">
        <v>38</v>
      </c>
      <c r="E3083" s="1" t="s">
        <v>194</v>
      </c>
      <c r="F3083" s="1" t="s">
        <v>12202</v>
      </c>
      <c r="G3083" s="1" t="s">
        <v>12480</v>
      </c>
      <c r="H3083" s="1" t="s">
        <v>12567</v>
      </c>
      <c r="I3083" s="2">
        <v>2148.6498999999999</v>
      </c>
      <c r="J3083" s="2">
        <v>60.63</v>
      </c>
      <c r="K3083" s="2"/>
      <c r="L3083" s="2"/>
      <c r="M3083" s="4" t="e">
        <f t="shared" si="288"/>
        <v>#DIV/0!</v>
      </c>
      <c r="N3083" s="4" t="e">
        <f t="shared" si="289"/>
        <v>#DIV/0!</v>
      </c>
      <c r="O3083" s="5">
        <f t="shared" si="290"/>
        <v>-1</v>
      </c>
      <c r="P3083" s="5" t="e">
        <f t="shared" si="291"/>
        <v>#DIV/0!</v>
      </c>
      <c r="Q3083" s="4" t="e">
        <f t="shared" si="292"/>
        <v>#DIV/0!</v>
      </c>
      <c r="R3083" s="4" t="e">
        <f t="shared" si="293"/>
        <v>#DIV/0!</v>
      </c>
      <c r="S3083" s="4">
        <v>66.760000000000005</v>
      </c>
      <c r="T3083" s="2">
        <v>0.32</v>
      </c>
      <c r="U3083" s="2">
        <v>2244.14</v>
      </c>
      <c r="V3083" s="2">
        <v>1650.5</v>
      </c>
      <c r="W3083" s="2">
        <v>-4.26</v>
      </c>
      <c r="X3083" s="2">
        <v>2.38</v>
      </c>
      <c r="Y3083" s="2">
        <v>3.89</v>
      </c>
      <c r="Z3083" s="2">
        <v>3.4</v>
      </c>
    </row>
    <row r="3084" spans="1:26" x14ac:dyDescent="0.25">
      <c r="A3084" s="1" t="s">
        <v>12203</v>
      </c>
      <c r="B3084" s="1" t="s">
        <v>12204</v>
      </c>
      <c r="C3084" s="1" t="s">
        <v>16</v>
      </c>
      <c r="D3084" s="1" t="s">
        <v>354</v>
      </c>
      <c r="E3084" s="1" t="s">
        <v>1319</v>
      </c>
      <c r="F3084" s="1" t="s">
        <v>12205</v>
      </c>
      <c r="G3084" s="1" t="s">
        <v>12480</v>
      </c>
      <c r="H3084" s="1" t="s">
        <v>12206</v>
      </c>
      <c r="I3084" s="2">
        <v>40.85</v>
      </c>
      <c r="J3084" s="2">
        <v>2.2000000000000002</v>
      </c>
      <c r="K3084" s="2">
        <v>2.25</v>
      </c>
      <c r="L3084" s="2">
        <v>2.42</v>
      </c>
      <c r="M3084" s="4">
        <f t="shared" si="288"/>
        <v>18.155555555555555</v>
      </c>
      <c r="N3084" s="4">
        <f t="shared" si="289"/>
        <v>16.880165289256201</v>
      </c>
      <c r="O3084" s="5">
        <f t="shared" si="290"/>
        <v>2.2727272727272707E-2</v>
      </c>
      <c r="P3084" s="5">
        <f t="shared" si="291"/>
        <v>7.5555555555555598E-2</v>
      </c>
      <c r="Q3084" s="4">
        <f t="shared" si="292"/>
        <v>7.9884444444444513</v>
      </c>
      <c r="R3084" s="4">
        <f t="shared" si="293"/>
        <v>2.2341395235780253</v>
      </c>
      <c r="S3084" s="4">
        <v>18.62</v>
      </c>
      <c r="T3084" s="2">
        <v>0.82</v>
      </c>
      <c r="U3084" s="2">
        <v>41.93</v>
      </c>
      <c r="V3084" s="2">
        <v>36.729999999999997</v>
      </c>
      <c r="W3084" s="2">
        <v>1.74</v>
      </c>
      <c r="X3084" s="2">
        <v>10.8</v>
      </c>
      <c r="Y3084" s="2">
        <v>6.3</v>
      </c>
      <c r="Z3084" s="2">
        <v>6.49</v>
      </c>
    </row>
    <row r="3085" spans="1:26" x14ac:dyDescent="0.25">
      <c r="A3085" s="1" t="s">
        <v>12207</v>
      </c>
      <c r="B3085" s="1" t="s">
        <v>12208</v>
      </c>
      <c r="C3085" s="1" t="s">
        <v>16</v>
      </c>
      <c r="D3085" s="1" t="s">
        <v>25</v>
      </c>
      <c r="E3085" s="1" t="s">
        <v>220</v>
      </c>
      <c r="F3085" s="1" t="s">
        <v>12209</v>
      </c>
      <c r="G3085" s="1" t="s">
        <v>12480</v>
      </c>
      <c r="H3085" s="1" t="s">
        <v>12210</v>
      </c>
      <c r="I3085" s="2">
        <v>308.76</v>
      </c>
      <c r="J3085" s="2">
        <v>10.58</v>
      </c>
      <c r="K3085" s="2">
        <v>11.61</v>
      </c>
      <c r="L3085" s="2">
        <v>12.78</v>
      </c>
      <c r="M3085" s="4">
        <f t="shared" si="288"/>
        <v>26.594315245478036</v>
      </c>
      <c r="N3085" s="4">
        <f t="shared" si="289"/>
        <v>24.15962441314554</v>
      </c>
      <c r="O3085" s="5">
        <f t="shared" si="290"/>
        <v>9.7353497164461178E-2</v>
      </c>
      <c r="P3085" s="5">
        <f t="shared" si="291"/>
        <v>0.10077519379844957</v>
      </c>
      <c r="Q3085" s="4">
        <f t="shared" si="292"/>
        <v>2.7317267504578431</v>
      </c>
      <c r="R3085" s="4">
        <f t="shared" si="293"/>
        <v>2.3973781148429043</v>
      </c>
      <c r="S3085" s="4">
        <v>8.27</v>
      </c>
      <c r="T3085" s="2">
        <v>1.23</v>
      </c>
      <c r="U3085" s="2">
        <v>336.18</v>
      </c>
      <c r="V3085" s="2">
        <v>180.4</v>
      </c>
      <c r="W3085" s="2">
        <v>-5.2</v>
      </c>
      <c r="X3085" s="2">
        <v>-3.44</v>
      </c>
      <c r="Y3085" s="2">
        <v>9.7799999999999994</v>
      </c>
      <c r="Z3085" s="2">
        <v>11.86</v>
      </c>
    </row>
    <row r="3086" spans="1:26" x14ac:dyDescent="0.25">
      <c r="A3086" s="1" t="s">
        <v>12211</v>
      </c>
      <c r="B3086" s="1" t="s">
        <v>12212</v>
      </c>
      <c r="C3086" s="1" t="s">
        <v>16</v>
      </c>
      <c r="D3086" s="1" t="s">
        <v>140</v>
      </c>
      <c r="E3086" s="1" t="s">
        <v>2558</v>
      </c>
      <c r="F3086" s="1" t="s">
        <v>12213</v>
      </c>
      <c r="G3086" s="1" t="s">
        <v>12480</v>
      </c>
      <c r="H3086" s="1" t="s">
        <v>12214</v>
      </c>
      <c r="I3086" s="2">
        <v>13.92</v>
      </c>
      <c r="J3086" s="2">
        <v>0.21</v>
      </c>
      <c r="K3086" s="2">
        <v>0.28000000000000003</v>
      </c>
      <c r="L3086" s="2">
        <v>0.5</v>
      </c>
      <c r="M3086" s="4">
        <f t="shared" si="288"/>
        <v>49.714285714285708</v>
      </c>
      <c r="N3086" s="4">
        <f t="shared" si="289"/>
        <v>27.84</v>
      </c>
      <c r="O3086" s="5">
        <f t="shared" si="290"/>
        <v>0.33333333333333348</v>
      </c>
      <c r="P3086" s="5">
        <f t="shared" si="291"/>
        <v>0.78571428571428559</v>
      </c>
      <c r="Q3086" s="4">
        <f t="shared" si="292"/>
        <v>1.4914285714285704</v>
      </c>
      <c r="R3086" s="4">
        <f t="shared" si="293"/>
        <v>0.35432727272727282</v>
      </c>
      <c r="S3086" s="4">
        <v>-3.08</v>
      </c>
      <c r="T3086" s="2">
        <v>0.98</v>
      </c>
      <c r="U3086" s="2">
        <v>14.41</v>
      </c>
      <c r="V3086" s="2">
        <v>7.3</v>
      </c>
      <c r="W3086" s="2">
        <v>1.98</v>
      </c>
      <c r="X3086" s="2">
        <v>7.41</v>
      </c>
      <c r="Y3086" s="2">
        <v>29.01</v>
      </c>
      <c r="Z3086" s="2">
        <v>32.32</v>
      </c>
    </row>
    <row r="3087" spans="1:26" x14ac:dyDescent="0.25">
      <c r="A3087" s="1" t="s">
        <v>12215</v>
      </c>
      <c r="B3087" s="1" t="s">
        <v>12216</v>
      </c>
      <c r="C3087" s="1" t="s">
        <v>45</v>
      </c>
      <c r="D3087" s="1" t="s">
        <v>38</v>
      </c>
      <c r="E3087" s="1" t="s">
        <v>551</v>
      </c>
      <c r="F3087" s="1" t="s">
        <v>12217</v>
      </c>
      <c r="G3087" s="1" t="s">
        <v>12480</v>
      </c>
      <c r="H3087" s="1" t="s">
        <v>12218</v>
      </c>
      <c r="I3087" s="2">
        <v>294.67</v>
      </c>
      <c r="J3087" s="2">
        <v>17.079999999999998</v>
      </c>
      <c r="K3087" s="2">
        <v>19.53</v>
      </c>
      <c r="L3087" s="2">
        <v>22.06</v>
      </c>
      <c r="M3087" s="4">
        <f t="shared" si="288"/>
        <v>15.088069636456733</v>
      </c>
      <c r="N3087" s="4">
        <f t="shared" si="289"/>
        <v>13.357660924750682</v>
      </c>
      <c r="O3087" s="5">
        <f t="shared" si="290"/>
        <v>0.14344262295081989</v>
      </c>
      <c r="P3087" s="5">
        <f t="shared" si="291"/>
        <v>0.12954429083461338</v>
      </c>
      <c r="Q3087" s="4">
        <f t="shared" si="292"/>
        <v>1.0518539975129821</v>
      </c>
      <c r="R3087" s="4">
        <f t="shared" si="293"/>
        <v>1.0311269480647467</v>
      </c>
      <c r="S3087" s="4">
        <v>-2.2400000000000002</v>
      </c>
      <c r="T3087" s="2">
        <v>0.62</v>
      </c>
      <c r="U3087" s="2">
        <v>349.93</v>
      </c>
      <c r="V3087" s="2">
        <v>280.08999999999997</v>
      </c>
      <c r="W3087" s="2">
        <v>-3.11</v>
      </c>
      <c r="X3087" s="2">
        <v>1.58</v>
      </c>
      <c r="Y3087" s="2">
        <v>-10.91</v>
      </c>
      <c r="Z3087" s="2">
        <v>-10.33</v>
      </c>
    </row>
    <row r="3088" spans="1:26" x14ac:dyDescent="0.25">
      <c r="A3088" s="1" t="s">
        <v>12219</v>
      </c>
      <c r="B3088" s="1" t="s">
        <v>12220</v>
      </c>
      <c r="C3088" s="1" t="s">
        <v>16</v>
      </c>
      <c r="D3088" s="1" t="s">
        <v>140</v>
      </c>
      <c r="E3088" s="1" t="s">
        <v>1555</v>
      </c>
      <c r="F3088" s="1" t="s">
        <v>12221</v>
      </c>
      <c r="G3088" s="1" t="s">
        <v>12480</v>
      </c>
      <c r="H3088" s="1" t="s">
        <v>12222</v>
      </c>
      <c r="I3088" s="2">
        <v>9.7100000000000009</v>
      </c>
      <c r="J3088" s="2">
        <v>1.75</v>
      </c>
      <c r="K3088" s="2">
        <v>1.79</v>
      </c>
      <c r="L3088" s="2">
        <v>1.89</v>
      </c>
      <c r="M3088" s="4">
        <f t="shared" si="288"/>
        <v>5.4245810055865924</v>
      </c>
      <c r="N3088" s="4">
        <f t="shared" si="289"/>
        <v>5.1375661375661386</v>
      </c>
      <c r="O3088" s="5">
        <f t="shared" si="290"/>
        <v>2.2857142857142909E-2</v>
      </c>
      <c r="P3088" s="5">
        <f t="shared" si="291"/>
        <v>5.5865921787709327E-2</v>
      </c>
      <c r="Q3088" s="4">
        <f t="shared" si="292"/>
        <v>2.3732541899441286</v>
      </c>
      <c r="R3088" s="4">
        <f t="shared" si="293"/>
        <v>0.91962433862434156</v>
      </c>
      <c r="S3088" s="4">
        <v>-3.78</v>
      </c>
      <c r="T3088" s="2">
        <v>0.51</v>
      </c>
      <c r="U3088" s="2">
        <v>11.62</v>
      </c>
      <c r="V3088" s="2">
        <v>7.88</v>
      </c>
      <c r="W3088" s="2">
        <v>1.57</v>
      </c>
      <c r="X3088" s="2">
        <v>-2.71</v>
      </c>
      <c r="Y3088" s="2">
        <v>1.25</v>
      </c>
      <c r="Z3088" s="2">
        <v>4.3</v>
      </c>
    </row>
    <row r="3089" spans="1:26" x14ac:dyDescent="0.25">
      <c r="A3089" s="1" t="s">
        <v>12223</v>
      </c>
      <c r="B3089" s="1" t="s">
        <v>12224</v>
      </c>
      <c r="C3089" s="1" t="s">
        <v>45</v>
      </c>
      <c r="D3089" s="1" t="s">
        <v>38</v>
      </c>
      <c r="E3089" s="1" t="s">
        <v>52</v>
      </c>
      <c r="F3089" s="1" t="s">
        <v>12225</v>
      </c>
      <c r="G3089" s="1" t="s">
        <v>12480</v>
      </c>
      <c r="H3089" s="1" t="s">
        <v>12226</v>
      </c>
      <c r="I3089" s="2">
        <v>13.85</v>
      </c>
      <c r="J3089" s="2">
        <v>-1.66</v>
      </c>
      <c r="K3089" s="2">
        <v>-0.55000000000000004</v>
      </c>
      <c r="L3089" s="2">
        <v>0.1</v>
      </c>
      <c r="M3089" s="4">
        <f t="shared" si="288"/>
        <v>-25.18181818181818</v>
      </c>
      <c r="N3089" s="4">
        <f t="shared" si="289"/>
        <v>138.5</v>
      </c>
      <c r="O3089" s="5">
        <f t="shared" si="290"/>
        <v>-0.6686746987951806</v>
      </c>
      <c r="P3089" s="5">
        <f t="shared" si="291"/>
        <v>-1.1818181818181819</v>
      </c>
      <c r="Q3089" s="4">
        <f t="shared" si="292"/>
        <v>0.37659295659295666</v>
      </c>
      <c r="R3089" s="4">
        <f t="shared" si="293"/>
        <v>-1.1719230769230768</v>
      </c>
      <c r="S3089" s="4">
        <v>20.28</v>
      </c>
      <c r="T3089" s="2">
        <v>3.67</v>
      </c>
      <c r="U3089" s="2">
        <v>17.920000000000002</v>
      </c>
      <c r="V3089" s="2">
        <v>2.2400000000000002</v>
      </c>
      <c r="W3089" s="2">
        <v>-13.55</v>
      </c>
      <c r="X3089" s="2">
        <v>-16.82</v>
      </c>
      <c r="Y3089" s="2">
        <v>10.89</v>
      </c>
      <c r="Z3089" s="2">
        <v>20.54</v>
      </c>
    </row>
    <row r="3090" spans="1:26" x14ac:dyDescent="0.25">
      <c r="A3090" s="1" t="s">
        <v>12227</v>
      </c>
      <c r="B3090" s="1" t="s">
        <v>12228</v>
      </c>
      <c r="C3090" s="1" t="s">
        <v>45</v>
      </c>
      <c r="D3090" s="1" t="s">
        <v>18</v>
      </c>
      <c r="E3090" s="1" t="s">
        <v>74</v>
      </c>
      <c r="F3090" s="1" t="s">
        <v>12229</v>
      </c>
      <c r="G3090" s="1" t="s">
        <v>12480</v>
      </c>
      <c r="H3090" s="1" t="s">
        <v>12230</v>
      </c>
      <c r="I3090" s="2">
        <v>13.29</v>
      </c>
      <c r="J3090" s="2">
        <v>-1.21</v>
      </c>
      <c r="K3090" s="2">
        <v>-1.32</v>
      </c>
      <c r="L3090" s="2">
        <v>-1.1299999999999999</v>
      </c>
      <c r="M3090" s="4">
        <f t="shared" si="288"/>
        <v>-10.068181818181817</v>
      </c>
      <c r="N3090" s="4">
        <f t="shared" si="289"/>
        <v>-11.761061946902656</v>
      </c>
      <c r="O3090" s="5">
        <f t="shared" si="290"/>
        <v>9.090909090909105E-2</v>
      </c>
      <c r="P3090" s="5">
        <f t="shared" si="291"/>
        <v>-0.14393939393939403</v>
      </c>
      <c r="Q3090" s="4">
        <f t="shared" si="292"/>
        <v>-1.1074999999999982</v>
      </c>
      <c r="R3090" s="4">
        <f t="shared" si="293"/>
        <v>0.81708430367955243</v>
      </c>
      <c r="S3090" s="4">
        <v>-60.55</v>
      </c>
      <c r="T3090" s="2">
        <v>-1.77</v>
      </c>
      <c r="U3090" s="2">
        <v>21.31</v>
      </c>
      <c r="V3090" s="2">
        <v>5.48</v>
      </c>
      <c r="W3090" s="2">
        <v>-4.04</v>
      </c>
      <c r="X3090" s="2">
        <v>-2.78</v>
      </c>
      <c r="Y3090" s="2">
        <v>-17.510000000000002</v>
      </c>
      <c r="Z3090" s="2">
        <v>-21.82</v>
      </c>
    </row>
    <row r="3091" spans="1:26" x14ac:dyDescent="0.25">
      <c r="A3091" s="1" t="s">
        <v>12231</v>
      </c>
      <c r="B3091" s="1" t="s">
        <v>12232</v>
      </c>
      <c r="C3091" s="1" t="s">
        <v>45</v>
      </c>
      <c r="D3091" s="1" t="s">
        <v>204</v>
      </c>
      <c r="E3091" s="1" t="s">
        <v>534</v>
      </c>
      <c r="F3091" s="1" t="s">
        <v>12233</v>
      </c>
      <c r="G3091" s="1" t="s">
        <v>12485</v>
      </c>
      <c r="H3091" s="1" t="s">
        <v>6021</v>
      </c>
      <c r="I3091" s="2">
        <v>384.56</v>
      </c>
      <c r="J3091" s="2">
        <v>6.89</v>
      </c>
      <c r="K3091" s="2">
        <v>8.51</v>
      </c>
      <c r="L3091" s="2">
        <v>9.9</v>
      </c>
      <c r="M3091" s="4">
        <f t="shared" si="288"/>
        <v>45.189189189189193</v>
      </c>
      <c r="N3091" s="4">
        <f t="shared" si="289"/>
        <v>38.844444444444441</v>
      </c>
      <c r="O3091" s="5">
        <f t="shared" si="290"/>
        <v>0.23512336719883886</v>
      </c>
      <c r="P3091" s="5">
        <f t="shared" si="291"/>
        <v>0.163337250293772</v>
      </c>
      <c r="Q3091" s="4">
        <f t="shared" si="292"/>
        <v>1.9219352686019358</v>
      </c>
      <c r="R3091" s="4">
        <f t="shared" si="293"/>
        <v>2.3781742605915275</v>
      </c>
      <c r="S3091" s="4">
        <v>7.3</v>
      </c>
      <c r="T3091" s="2">
        <v>0.96</v>
      </c>
      <c r="U3091" s="2">
        <v>402.56</v>
      </c>
      <c r="V3091" s="2">
        <v>157.29</v>
      </c>
      <c r="W3091" s="2">
        <v>-4.47</v>
      </c>
      <c r="X3091" s="2">
        <v>-2.09</v>
      </c>
      <c r="Y3091" s="2">
        <v>28.9</v>
      </c>
      <c r="Z3091" s="2">
        <v>27.2</v>
      </c>
    </row>
    <row r="3092" spans="1:26" x14ac:dyDescent="0.25">
      <c r="A3092" s="1" t="s">
        <v>12234</v>
      </c>
      <c r="B3092" s="1" t="s">
        <v>12235</v>
      </c>
      <c r="C3092" s="1" t="s">
        <v>31</v>
      </c>
      <c r="D3092" s="1" t="s">
        <v>128</v>
      </c>
      <c r="E3092" s="1" t="s">
        <v>556</v>
      </c>
      <c r="F3092" s="1" t="s">
        <v>12236</v>
      </c>
      <c r="G3092" s="1" t="s">
        <v>12490</v>
      </c>
      <c r="H3092" s="1" t="s">
        <v>12237</v>
      </c>
      <c r="I3092" s="2">
        <v>29.94</v>
      </c>
      <c r="J3092" s="2">
        <v>2.52</v>
      </c>
      <c r="K3092" s="2"/>
      <c r="L3092" s="2"/>
      <c r="M3092" s="4" t="e">
        <f t="shared" si="288"/>
        <v>#DIV/0!</v>
      </c>
      <c r="N3092" s="4" t="e">
        <f t="shared" si="289"/>
        <v>#DIV/0!</v>
      </c>
      <c r="O3092" s="5">
        <f t="shared" si="290"/>
        <v>-1</v>
      </c>
      <c r="P3092" s="5" t="e">
        <f t="shared" si="291"/>
        <v>#DIV/0!</v>
      </c>
      <c r="Q3092" s="4" t="e">
        <f t="shared" si="292"/>
        <v>#DIV/0!</v>
      </c>
      <c r="R3092" s="4" t="e">
        <f t="shared" si="293"/>
        <v>#DIV/0!</v>
      </c>
      <c r="S3092" s="4">
        <v>-1.96</v>
      </c>
      <c r="T3092" s="2">
        <v>0.11</v>
      </c>
      <c r="U3092" s="2">
        <v>38.049999999999997</v>
      </c>
      <c r="V3092" s="2">
        <v>27.57</v>
      </c>
      <c r="W3092" s="2">
        <v>-9.27</v>
      </c>
      <c r="X3092" s="2">
        <v>-1.77</v>
      </c>
      <c r="Y3092" s="2">
        <v>-0.2</v>
      </c>
      <c r="Z3092" s="2">
        <v>-7.16</v>
      </c>
    </row>
    <row r="3093" spans="1:26" x14ac:dyDescent="0.25">
      <c r="A3093" s="1" t="s">
        <v>12238</v>
      </c>
      <c r="B3093" s="1" t="s">
        <v>12239</v>
      </c>
      <c r="C3093" s="1" t="s">
        <v>16</v>
      </c>
      <c r="D3093" s="1" t="s">
        <v>147</v>
      </c>
      <c r="E3093" s="1" t="s">
        <v>279</v>
      </c>
      <c r="F3093" s="1" t="s">
        <v>12240</v>
      </c>
      <c r="G3093" s="1" t="s">
        <v>12480</v>
      </c>
      <c r="H3093" s="1" t="s">
        <v>5787</v>
      </c>
      <c r="I3093" s="2">
        <v>16.71</v>
      </c>
      <c r="J3093" s="2">
        <v>1.34</v>
      </c>
      <c r="K3093" s="2">
        <v>1.46</v>
      </c>
      <c r="L3093" s="2">
        <v>1.71</v>
      </c>
      <c r="M3093" s="4">
        <f t="shared" si="288"/>
        <v>11.445205479452056</v>
      </c>
      <c r="N3093" s="4">
        <f t="shared" si="289"/>
        <v>9.7719298245614041</v>
      </c>
      <c r="O3093" s="5">
        <f t="shared" si="290"/>
        <v>8.9552238805969964E-2</v>
      </c>
      <c r="P3093" s="5">
        <f t="shared" si="291"/>
        <v>0.17123287671232879</v>
      </c>
      <c r="Q3093" s="4">
        <f t="shared" si="292"/>
        <v>1.2780479452054823</v>
      </c>
      <c r="R3093" s="4">
        <f t="shared" si="293"/>
        <v>0.5706807017543859</v>
      </c>
      <c r="S3093" s="4">
        <v>6.8</v>
      </c>
      <c r="T3093" s="2">
        <v>1.88</v>
      </c>
      <c r="U3093" s="2">
        <v>32.4</v>
      </c>
      <c r="V3093" s="2">
        <v>10.07</v>
      </c>
      <c r="W3093" s="2">
        <v>-7.01</v>
      </c>
      <c r="X3093" s="2">
        <v>-8.19</v>
      </c>
      <c r="Y3093" s="2">
        <v>-8.94</v>
      </c>
      <c r="Z3093" s="2">
        <v>-7.93</v>
      </c>
    </row>
    <row r="3094" spans="1:26" x14ac:dyDescent="0.25">
      <c r="A3094" s="1" t="s">
        <v>12241</v>
      </c>
      <c r="B3094" s="1" t="s">
        <v>12242</v>
      </c>
      <c r="C3094" s="1" t="s">
        <v>16</v>
      </c>
      <c r="D3094" s="1" t="s">
        <v>61</v>
      </c>
      <c r="E3094" s="1" t="s">
        <v>1534</v>
      </c>
      <c r="F3094" s="1" t="s">
        <v>12243</v>
      </c>
      <c r="G3094" s="1" t="s">
        <v>12480</v>
      </c>
      <c r="H3094" s="1" t="s">
        <v>12244</v>
      </c>
      <c r="I3094" s="2">
        <v>24.45</v>
      </c>
      <c r="J3094" s="2">
        <v>0.2</v>
      </c>
      <c r="K3094" s="2">
        <v>0.25</v>
      </c>
      <c r="L3094" s="2">
        <v>0.64</v>
      </c>
      <c r="M3094" s="4">
        <f t="shared" si="288"/>
        <v>97.8</v>
      </c>
      <c r="N3094" s="4">
        <f t="shared" si="289"/>
        <v>38.203125</v>
      </c>
      <c r="O3094" s="5">
        <f t="shared" si="290"/>
        <v>0.25</v>
      </c>
      <c r="P3094" s="5">
        <f t="shared" si="291"/>
        <v>1.56</v>
      </c>
      <c r="Q3094" s="4">
        <f t="shared" si="292"/>
        <v>3.9119999999999999</v>
      </c>
      <c r="R3094" s="4">
        <f t="shared" si="293"/>
        <v>0.24489182692307693</v>
      </c>
      <c r="S3094" s="4">
        <v>-3.07</v>
      </c>
      <c r="T3094" s="2">
        <v>1.03</v>
      </c>
      <c r="U3094" s="2">
        <v>30.65</v>
      </c>
      <c r="V3094" s="2">
        <v>21.35</v>
      </c>
      <c r="W3094" s="2">
        <v>-0.69</v>
      </c>
      <c r="X3094" s="2">
        <v>-8.2899999999999991</v>
      </c>
      <c r="Y3094" s="2">
        <v>4.71</v>
      </c>
      <c r="Z3094" s="2">
        <v>3.21</v>
      </c>
    </row>
    <row r="3095" spans="1:26" x14ac:dyDescent="0.25">
      <c r="A3095" s="1" t="s">
        <v>12245</v>
      </c>
      <c r="B3095" s="1" t="s">
        <v>12246</v>
      </c>
      <c r="C3095" s="1" t="s">
        <v>31</v>
      </c>
      <c r="D3095" s="1" t="s">
        <v>140</v>
      </c>
      <c r="E3095" s="1" t="s">
        <v>141</v>
      </c>
      <c r="F3095" s="1" t="s">
        <v>12247</v>
      </c>
      <c r="G3095" s="1" t="s">
        <v>12502</v>
      </c>
      <c r="H3095" s="1" t="s">
        <v>12248</v>
      </c>
      <c r="I3095" s="2">
        <v>7.65</v>
      </c>
      <c r="J3095" s="2">
        <v>0.57999999999999996</v>
      </c>
      <c r="K3095" s="2">
        <v>0.57999999999999996</v>
      </c>
      <c r="L3095" s="2">
        <v>0.68</v>
      </c>
      <c r="M3095" s="4">
        <f t="shared" si="288"/>
        <v>13.189655172413795</v>
      </c>
      <c r="N3095" s="4">
        <f t="shared" si="289"/>
        <v>11.25</v>
      </c>
      <c r="O3095" s="5">
        <f t="shared" si="290"/>
        <v>0</v>
      </c>
      <c r="P3095" s="5">
        <f t="shared" si="291"/>
        <v>0.1724137931034484</v>
      </c>
      <c r="Q3095" s="4" t="e">
        <f t="shared" si="292"/>
        <v>#DIV/0!</v>
      </c>
      <c r="R3095" s="4">
        <f t="shared" si="293"/>
        <v>0.65249999999999952</v>
      </c>
      <c r="S3095" s="4">
        <v>-7.24</v>
      </c>
      <c r="T3095" s="2">
        <v>0.92</v>
      </c>
      <c r="U3095" s="2">
        <v>9.99</v>
      </c>
      <c r="V3095" s="2">
        <v>6.59</v>
      </c>
      <c r="W3095" s="2">
        <v>-5.56</v>
      </c>
      <c r="X3095" s="2">
        <v>-18.43</v>
      </c>
      <c r="Y3095" s="2">
        <v>-1.03</v>
      </c>
      <c r="Z3095" s="2">
        <v>-8.0500000000000007</v>
      </c>
    </row>
    <row r="3096" spans="1:26" x14ac:dyDescent="0.25">
      <c r="A3096" s="1" t="s">
        <v>12249</v>
      </c>
      <c r="B3096" s="1" t="s">
        <v>12250</v>
      </c>
      <c r="C3096" s="1" t="s">
        <v>12252</v>
      </c>
      <c r="D3096" s="1" t="s">
        <v>24</v>
      </c>
      <c r="E3096" s="1" t="s">
        <v>147</v>
      </c>
      <c r="F3096" s="1" t="s">
        <v>12251</v>
      </c>
      <c r="G3096" s="1" t="s">
        <v>180</v>
      </c>
      <c r="H3096" s="1" t="s">
        <v>12480</v>
      </c>
      <c r="I3096" s="2">
        <v>5.89</v>
      </c>
      <c r="J3096" s="2" t="s">
        <v>12481</v>
      </c>
      <c r="K3096" s="2">
        <v>0.73</v>
      </c>
      <c r="L3096" s="2">
        <v>0.8</v>
      </c>
      <c r="M3096" s="4">
        <f t="shared" si="288"/>
        <v>8.0684931506849313</v>
      </c>
      <c r="N3096" s="4">
        <f t="shared" si="289"/>
        <v>7.3624999999999989</v>
      </c>
      <c r="O3096" s="5">
        <f t="shared" si="290"/>
        <v>-0.99999639527534168</v>
      </c>
      <c r="P3096" s="5">
        <f t="shared" si="291"/>
        <v>9.5890410958904271E-2</v>
      </c>
      <c r="Q3096" s="4">
        <f t="shared" si="292"/>
        <v>-8.0685222354859892E-2</v>
      </c>
      <c r="R3096" s="4">
        <f t="shared" si="293"/>
        <v>0.76780357142857014</v>
      </c>
      <c r="S3096" s="4">
        <v>0.81</v>
      </c>
      <c r="T3096" s="2">
        <v>7.24</v>
      </c>
      <c r="U3096" s="2">
        <v>525.82000000000005</v>
      </c>
      <c r="V3096" s="2">
        <v>9.68</v>
      </c>
      <c r="W3096" s="2">
        <v>0.06</v>
      </c>
      <c r="X3096" s="2">
        <v>1.4</v>
      </c>
      <c r="Y3096" s="2">
        <v>-8.1199999999999992</v>
      </c>
      <c r="Z3096" s="2">
        <v>-5.24</v>
      </c>
    </row>
    <row r="3097" spans="1:26" x14ac:dyDescent="0.25">
      <c r="A3097" s="1" t="s">
        <v>12253</v>
      </c>
      <c r="B3097" s="1" t="s">
        <v>12254</v>
      </c>
      <c r="C3097" s="1" t="s">
        <v>45</v>
      </c>
      <c r="D3097" s="1" t="s">
        <v>147</v>
      </c>
      <c r="E3097" s="1" t="s">
        <v>2000</v>
      </c>
      <c r="F3097" s="1" t="s">
        <v>12255</v>
      </c>
      <c r="G3097" s="1" t="s">
        <v>12480</v>
      </c>
      <c r="H3097" s="1" t="s">
        <v>12256</v>
      </c>
      <c r="I3097" s="2">
        <v>101.56</v>
      </c>
      <c r="J3097" s="2">
        <v>4.1900000000000004</v>
      </c>
      <c r="K3097" s="2">
        <v>4.76</v>
      </c>
      <c r="L3097" s="2">
        <v>5.81</v>
      </c>
      <c r="M3097" s="4">
        <f t="shared" si="288"/>
        <v>21.336134453781515</v>
      </c>
      <c r="N3097" s="4">
        <f t="shared" si="289"/>
        <v>17.480206540447504</v>
      </c>
      <c r="O3097" s="5">
        <f t="shared" si="290"/>
        <v>0.13603818615751773</v>
      </c>
      <c r="P3097" s="5">
        <f t="shared" si="291"/>
        <v>0.22058823529411753</v>
      </c>
      <c r="Q3097" s="4">
        <f t="shared" si="292"/>
        <v>1.5683930414270992</v>
      </c>
      <c r="R3097" s="4">
        <f t="shared" si="293"/>
        <v>0.7924360298336206</v>
      </c>
      <c r="S3097" s="4">
        <v>0.14000000000000001</v>
      </c>
      <c r="T3097" s="2">
        <v>1.01</v>
      </c>
      <c r="U3097" s="2">
        <v>133.34</v>
      </c>
      <c r="V3097" s="2">
        <v>66.099999999999994</v>
      </c>
      <c r="W3097" s="2">
        <v>-1.82</v>
      </c>
      <c r="X3097" s="2">
        <v>-13.15</v>
      </c>
      <c r="Y3097" s="2">
        <v>-19.559999999999999</v>
      </c>
      <c r="Z3097" s="2">
        <v>-15.6</v>
      </c>
    </row>
    <row r="3098" spans="1:26" x14ac:dyDescent="0.25">
      <c r="A3098" s="1" t="s">
        <v>12257</v>
      </c>
      <c r="B3098" s="1" t="s">
        <v>12258</v>
      </c>
      <c r="C3098" s="1" t="s">
        <v>16</v>
      </c>
      <c r="D3098" s="1" t="s">
        <v>38</v>
      </c>
      <c r="E3098" s="1" t="s">
        <v>259</v>
      </c>
      <c r="F3098" s="1" t="s">
        <v>12259</v>
      </c>
      <c r="G3098" s="1" t="s">
        <v>12480</v>
      </c>
      <c r="H3098" s="1" t="s">
        <v>12260</v>
      </c>
      <c r="I3098" s="2">
        <v>127.12</v>
      </c>
      <c r="J3098" s="2"/>
      <c r="K3098" s="2"/>
      <c r="L3098" s="2"/>
      <c r="M3098" s="4" t="e">
        <f t="shared" si="288"/>
        <v>#DIV/0!</v>
      </c>
      <c r="N3098" s="4" t="e">
        <f t="shared" si="289"/>
        <v>#DIV/0!</v>
      </c>
      <c r="O3098" s="5" t="e">
        <f t="shared" si="290"/>
        <v>#DIV/0!</v>
      </c>
      <c r="P3098" s="5" t="e">
        <f t="shared" si="291"/>
        <v>#DIV/0!</v>
      </c>
      <c r="Q3098" s="4" t="e">
        <f t="shared" si="292"/>
        <v>#DIV/0!</v>
      </c>
      <c r="R3098" s="4" t="e">
        <f t="shared" si="293"/>
        <v>#DIV/0!</v>
      </c>
      <c r="S3098" s="4"/>
      <c r="T3098" s="2">
        <v>0.88</v>
      </c>
      <c r="U3098" s="2">
        <v>131.57</v>
      </c>
      <c r="V3098" s="2">
        <v>69.8</v>
      </c>
      <c r="W3098" s="2">
        <v>0.45</v>
      </c>
      <c r="X3098" s="2">
        <v>0.8</v>
      </c>
      <c r="Y3098" s="2">
        <v>3.48</v>
      </c>
      <c r="Z3098" s="2">
        <v>4.26</v>
      </c>
    </row>
    <row r="3099" spans="1:26" x14ac:dyDescent="0.25">
      <c r="A3099" s="1" t="s">
        <v>12261</v>
      </c>
      <c r="B3099" s="1" t="s">
        <v>12262</v>
      </c>
      <c r="C3099" s="1" t="s">
        <v>45</v>
      </c>
      <c r="D3099" s="1" t="s">
        <v>354</v>
      </c>
      <c r="E3099" s="1" t="s">
        <v>355</v>
      </c>
      <c r="F3099" s="1" t="s">
        <v>12263</v>
      </c>
      <c r="G3099" s="1" t="s">
        <v>12480</v>
      </c>
      <c r="H3099" s="1" t="s">
        <v>12264</v>
      </c>
      <c r="I3099" s="2">
        <v>82.1</v>
      </c>
      <c r="J3099" s="2">
        <v>3.8</v>
      </c>
      <c r="K3099" s="2">
        <v>4.1100000000000003</v>
      </c>
      <c r="L3099" s="2">
        <v>4.5</v>
      </c>
      <c r="M3099" s="4">
        <f t="shared" si="288"/>
        <v>19.975669099756686</v>
      </c>
      <c r="N3099" s="4">
        <f t="shared" si="289"/>
        <v>18.244444444444444</v>
      </c>
      <c r="O3099" s="5">
        <f t="shared" si="290"/>
        <v>8.1578947368421195E-2</v>
      </c>
      <c r="P3099" s="5">
        <f t="shared" si="291"/>
        <v>9.4890510948905105E-2</v>
      </c>
      <c r="Q3099" s="4">
        <f t="shared" si="292"/>
        <v>2.4486304057766217</v>
      </c>
      <c r="R3099" s="4">
        <f t="shared" si="293"/>
        <v>1.9226837606837608</v>
      </c>
      <c r="S3099" s="4">
        <v>9.14</v>
      </c>
      <c r="T3099" s="2">
        <v>0.45</v>
      </c>
      <c r="U3099" s="2">
        <v>83.91</v>
      </c>
      <c r="V3099" s="2">
        <v>65.650000000000006</v>
      </c>
      <c r="W3099" s="2">
        <v>-2.0299999999999998</v>
      </c>
      <c r="X3099" s="2">
        <v>7.42</v>
      </c>
      <c r="Y3099" s="2">
        <v>8.43</v>
      </c>
      <c r="Z3099" s="2">
        <v>11.16</v>
      </c>
    </row>
    <row r="3100" spans="1:26" x14ac:dyDescent="0.25">
      <c r="A3100" s="1" t="s">
        <v>12265</v>
      </c>
      <c r="B3100" s="1" t="s">
        <v>12266</v>
      </c>
      <c r="C3100" s="1" t="s">
        <v>45</v>
      </c>
      <c r="D3100" s="1" t="s">
        <v>18</v>
      </c>
      <c r="E3100" s="1" t="s">
        <v>74</v>
      </c>
      <c r="F3100" s="1" t="s">
        <v>12267</v>
      </c>
      <c r="G3100" s="1" t="s">
        <v>12480</v>
      </c>
      <c r="H3100" s="1" t="s">
        <v>2232</v>
      </c>
      <c r="I3100" s="2">
        <v>62.76</v>
      </c>
      <c r="J3100" s="2">
        <v>-4.3600000000000003</v>
      </c>
      <c r="K3100" s="2">
        <v>-4.8600000000000003</v>
      </c>
      <c r="L3100" s="2">
        <v>-4.66</v>
      </c>
      <c r="M3100" s="4">
        <f t="shared" si="288"/>
        <v>-12.913580246913579</v>
      </c>
      <c r="N3100" s="4">
        <f t="shared" si="289"/>
        <v>-13.467811158798282</v>
      </c>
      <c r="O3100" s="5">
        <f t="shared" si="290"/>
        <v>0.1146788990825689</v>
      </c>
      <c r="P3100" s="5">
        <f t="shared" si="291"/>
        <v>-4.1152263374485631E-2</v>
      </c>
      <c r="Q3100" s="4">
        <f t="shared" si="292"/>
        <v>-1.1260641975308632</v>
      </c>
      <c r="R3100" s="4">
        <f t="shared" si="293"/>
        <v>3.2726781115879797</v>
      </c>
      <c r="S3100" s="4"/>
      <c r="T3100" s="2">
        <v>0.91</v>
      </c>
      <c r="U3100" s="2">
        <v>62.76</v>
      </c>
      <c r="V3100" s="2">
        <v>28.23</v>
      </c>
      <c r="W3100" s="2">
        <v>47.5</v>
      </c>
      <c r="X3100" s="2">
        <v>47.91</v>
      </c>
      <c r="Y3100" s="2">
        <v>43.94</v>
      </c>
      <c r="Z3100" s="2">
        <v>40.03</v>
      </c>
    </row>
    <row r="3101" spans="1:26" x14ac:dyDescent="0.25">
      <c r="A3101" s="1" t="s">
        <v>12268</v>
      </c>
      <c r="B3101" s="1" t="s">
        <v>12269</v>
      </c>
      <c r="C3101" s="1" t="s">
        <v>16</v>
      </c>
      <c r="D3101" s="1" t="s">
        <v>38</v>
      </c>
      <c r="E3101" s="1" t="s">
        <v>510</v>
      </c>
      <c r="F3101" s="1" t="s">
        <v>12270</v>
      </c>
      <c r="G3101" s="1" t="s">
        <v>12480</v>
      </c>
      <c r="H3101" s="1" t="s">
        <v>12271</v>
      </c>
      <c r="I3101" s="2">
        <v>14.97</v>
      </c>
      <c r="J3101" s="2">
        <v>1.76</v>
      </c>
      <c r="K3101" s="2"/>
      <c r="L3101" s="2"/>
      <c r="M3101" s="4" t="e">
        <f t="shared" si="288"/>
        <v>#DIV/0!</v>
      </c>
      <c r="N3101" s="4" t="e">
        <f t="shared" si="289"/>
        <v>#DIV/0!</v>
      </c>
      <c r="O3101" s="5">
        <f t="shared" si="290"/>
        <v>-1</v>
      </c>
      <c r="P3101" s="5" t="e">
        <f t="shared" si="291"/>
        <v>#DIV/0!</v>
      </c>
      <c r="Q3101" s="4" t="e">
        <f t="shared" si="292"/>
        <v>#DIV/0!</v>
      </c>
      <c r="R3101" s="4" t="e">
        <f t="shared" si="293"/>
        <v>#DIV/0!</v>
      </c>
      <c r="S3101" s="4">
        <v>3.8</v>
      </c>
      <c r="T3101" s="2">
        <v>1.17</v>
      </c>
      <c r="U3101" s="2">
        <v>16.100000000000001</v>
      </c>
      <c r="V3101" s="2">
        <v>9.2200000000000006</v>
      </c>
      <c r="W3101" s="2">
        <v>-1.38</v>
      </c>
      <c r="X3101" s="2">
        <v>-4.16</v>
      </c>
      <c r="Y3101" s="2">
        <v>0.74</v>
      </c>
      <c r="Z3101" s="2">
        <v>5.87</v>
      </c>
    </row>
    <row r="3102" spans="1:26" x14ac:dyDescent="0.25">
      <c r="A3102" s="1" t="s">
        <v>12272</v>
      </c>
      <c r="B3102" s="1" t="s">
        <v>12273</v>
      </c>
      <c r="C3102" s="1" t="s">
        <v>31</v>
      </c>
      <c r="D3102" s="1" t="s">
        <v>128</v>
      </c>
      <c r="E3102" s="1" t="s">
        <v>210</v>
      </c>
      <c r="F3102" s="1" t="s">
        <v>12274</v>
      </c>
      <c r="G3102" s="1" t="s">
        <v>12480</v>
      </c>
      <c r="H3102" s="1" t="s">
        <v>12275</v>
      </c>
      <c r="I3102" s="2">
        <v>21.68</v>
      </c>
      <c r="J3102" s="2"/>
      <c r="K3102" s="2">
        <v>1.1499999999999999</v>
      </c>
      <c r="L3102" s="2">
        <v>1.45</v>
      </c>
      <c r="M3102" s="4">
        <f t="shared" si="288"/>
        <v>18.85217391304348</v>
      </c>
      <c r="N3102" s="4">
        <f t="shared" si="289"/>
        <v>14.951724137931034</v>
      </c>
      <c r="O3102" s="5" t="e">
        <f t="shared" si="290"/>
        <v>#DIV/0!</v>
      </c>
      <c r="P3102" s="5">
        <f t="shared" si="291"/>
        <v>0.26086956521739135</v>
      </c>
      <c r="Q3102" s="4" t="e">
        <f t="shared" si="292"/>
        <v>#DIV/0!</v>
      </c>
      <c r="R3102" s="4">
        <f t="shared" si="293"/>
        <v>0.57314942528735613</v>
      </c>
      <c r="S3102" s="4"/>
      <c r="T3102" s="2"/>
      <c r="U3102" s="2">
        <v>37.979999999999997</v>
      </c>
      <c r="V3102" s="2">
        <v>20.02</v>
      </c>
      <c r="W3102" s="2">
        <v>2.2599999999999998</v>
      </c>
      <c r="X3102" s="2">
        <v>-4.7</v>
      </c>
      <c r="Y3102" s="2">
        <v>-18.829999999999998</v>
      </c>
      <c r="Z3102" s="2">
        <v>-13.93</v>
      </c>
    </row>
    <row r="3103" spans="1:26" x14ac:dyDescent="0.25">
      <c r="A3103" s="1" t="s">
        <v>12276</v>
      </c>
      <c r="B3103" s="1" t="s">
        <v>12277</v>
      </c>
      <c r="C3103" s="1" t="s">
        <v>16</v>
      </c>
      <c r="D3103" s="1" t="s">
        <v>38</v>
      </c>
      <c r="E3103" s="1" t="s">
        <v>259</v>
      </c>
      <c r="F3103" s="1" t="s">
        <v>12278</v>
      </c>
      <c r="G3103" s="1" t="s">
        <v>12480</v>
      </c>
      <c r="H3103" s="1" t="s">
        <v>12279</v>
      </c>
      <c r="I3103" s="2">
        <v>49.99</v>
      </c>
      <c r="J3103" s="2"/>
      <c r="K3103" s="2"/>
      <c r="L3103" s="2"/>
      <c r="M3103" s="4" t="e">
        <f t="shared" si="288"/>
        <v>#DIV/0!</v>
      </c>
      <c r="N3103" s="4" t="e">
        <f t="shared" si="289"/>
        <v>#DIV/0!</v>
      </c>
      <c r="O3103" s="5" t="e">
        <f t="shared" si="290"/>
        <v>#DIV/0!</v>
      </c>
      <c r="P3103" s="5" t="e">
        <f t="shared" si="291"/>
        <v>#DIV/0!</v>
      </c>
      <c r="Q3103" s="4" t="e">
        <f t="shared" si="292"/>
        <v>#DIV/0!</v>
      </c>
      <c r="R3103" s="4" t="e">
        <f t="shared" si="293"/>
        <v>#DIV/0!</v>
      </c>
      <c r="S3103" s="4"/>
      <c r="T3103" s="2">
        <v>0.99</v>
      </c>
      <c r="U3103" s="2">
        <v>53.62</v>
      </c>
      <c r="V3103" s="2">
        <v>37.130000000000003</v>
      </c>
      <c r="W3103" s="2">
        <v>-6.12</v>
      </c>
      <c r="X3103" s="2">
        <v>-4.2</v>
      </c>
      <c r="Y3103" s="2">
        <v>10.79</v>
      </c>
      <c r="Z3103" s="2">
        <v>10.23</v>
      </c>
    </row>
    <row r="3104" spans="1:26" x14ac:dyDescent="0.25">
      <c r="A3104" s="1" t="s">
        <v>12280</v>
      </c>
      <c r="B3104" s="1" t="s">
        <v>12281</v>
      </c>
      <c r="C3104" s="1" t="s">
        <v>16</v>
      </c>
      <c r="D3104" s="1" t="s">
        <v>38</v>
      </c>
      <c r="E3104" s="1" t="s">
        <v>259</v>
      </c>
      <c r="F3104" s="1" t="s">
        <v>12282</v>
      </c>
      <c r="G3104" s="1" t="s">
        <v>12480</v>
      </c>
      <c r="H3104" s="1" t="s">
        <v>12283</v>
      </c>
      <c r="I3104" s="2">
        <v>50.33</v>
      </c>
      <c r="J3104" s="2"/>
      <c r="K3104" s="2"/>
      <c r="L3104" s="2"/>
      <c r="M3104" s="4" t="e">
        <f t="shared" si="288"/>
        <v>#DIV/0!</v>
      </c>
      <c r="N3104" s="4" t="e">
        <f t="shared" si="289"/>
        <v>#DIV/0!</v>
      </c>
      <c r="O3104" s="5" t="e">
        <f t="shared" si="290"/>
        <v>#DIV/0!</v>
      </c>
      <c r="P3104" s="5" t="e">
        <f t="shared" si="291"/>
        <v>#DIV/0!</v>
      </c>
      <c r="Q3104" s="4" t="e">
        <f t="shared" si="292"/>
        <v>#DIV/0!</v>
      </c>
      <c r="R3104" s="4" t="e">
        <f t="shared" si="293"/>
        <v>#DIV/0!</v>
      </c>
      <c r="S3104" s="4"/>
      <c r="T3104" s="2">
        <v>0.92</v>
      </c>
      <c r="U3104" s="2">
        <v>56.4</v>
      </c>
      <c r="V3104" s="2">
        <v>43.92</v>
      </c>
      <c r="W3104" s="2">
        <v>-1.89</v>
      </c>
      <c r="X3104" s="2">
        <v>-6.69</v>
      </c>
      <c r="Y3104" s="2">
        <v>-8.4700000000000006</v>
      </c>
      <c r="Z3104" s="2">
        <v>-8.11</v>
      </c>
    </row>
    <row r="3105" spans="1:26" x14ac:dyDescent="0.25">
      <c r="A3105" s="1" t="s">
        <v>12284</v>
      </c>
      <c r="B3105" s="1" t="s">
        <v>12285</v>
      </c>
      <c r="C3105" s="1" t="s">
        <v>16</v>
      </c>
      <c r="D3105" s="1" t="s">
        <v>38</v>
      </c>
      <c r="E3105" s="1" t="s">
        <v>259</v>
      </c>
      <c r="F3105" s="1" t="s">
        <v>12286</v>
      </c>
      <c r="G3105" s="1" t="s">
        <v>12480</v>
      </c>
      <c r="H3105" s="1" t="s">
        <v>12678</v>
      </c>
      <c r="I3105" s="2">
        <v>46.85</v>
      </c>
      <c r="J3105" s="2"/>
      <c r="K3105" s="2"/>
      <c r="L3105" s="2"/>
      <c r="M3105" s="4" t="e">
        <f t="shared" si="288"/>
        <v>#DIV/0!</v>
      </c>
      <c r="N3105" s="4" t="e">
        <f t="shared" si="289"/>
        <v>#DIV/0!</v>
      </c>
      <c r="O3105" s="5" t="e">
        <f t="shared" si="290"/>
        <v>#DIV/0!</v>
      </c>
      <c r="P3105" s="5" t="e">
        <f t="shared" si="291"/>
        <v>#DIV/0!</v>
      </c>
      <c r="Q3105" s="4" t="e">
        <f t="shared" si="292"/>
        <v>#DIV/0!</v>
      </c>
      <c r="R3105" s="4" t="e">
        <f t="shared" si="293"/>
        <v>#DIV/0!</v>
      </c>
      <c r="S3105" s="4"/>
      <c r="T3105" s="2">
        <v>0.67</v>
      </c>
      <c r="U3105" s="2">
        <v>47.73</v>
      </c>
      <c r="V3105" s="2">
        <v>36.54</v>
      </c>
      <c r="W3105" s="2">
        <v>-1.1000000000000001</v>
      </c>
      <c r="X3105" s="2">
        <v>7.75</v>
      </c>
      <c r="Y3105" s="2">
        <v>8.4</v>
      </c>
      <c r="Z3105" s="2">
        <v>9.74</v>
      </c>
    </row>
    <row r="3106" spans="1:26" x14ac:dyDescent="0.25">
      <c r="A3106" s="1" t="s">
        <v>12287</v>
      </c>
      <c r="B3106" s="1" t="s">
        <v>12288</v>
      </c>
      <c r="C3106" s="1" t="s">
        <v>16</v>
      </c>
      <c r="D3106" s="1" t="s">
        <v>38</v>
      </c>
      <c r="E3106" s="1" t="s">
        <v>259</v>
      </c>
      <c r="F3106" s="1" t="s">
        <v>12289</v>
      </c>
      <c r="G3106" s="1" t="s">
        <v>12480</v>
      </c>
      <c r="H3106" s="1" t="s">
        <v>12290</v>
      </c>
      <c r="I3106" s="2">
        <v>114.59</v>
      </c>
      <c r="J3106" s="2"/>
      <c r="K3106" s="2"/>
      <c r="L3106" s="2"/>
      <c r="M3106" s="4" t="e">
        <f t="shared" si="288"/>
        <v>#DIV/0!</v>
      </c>
      <c r="N3106" s="4" t="e">
        <f t="shared" si="289"/>
        <v>#DIV/0!</v>
      </c>
      <c r="O3106" s="5" t="e">
        <f t="shared" si="290"/>
        <v>#DIV/0!</v>
      </c>
      <c r="P3106" s="5" t="e">
        <f t="shared" si="291"/>
        <v>#DIV/0!</v>
      </c>
      <c r="Q3106" s="4" t="e">
        <f t="shared" si="292"/>
        <v>#DIV/0!</v>
      </c>
      <c r="R3106" s="4" t="e">
        <f t="shared" si="293"/>
        <v>#DIV/0!</v>
      </c>
      <c r="S3106" s="4"/>
      <c r="T3106" s="2">
        <v>1.25</v>
      </c>
      <c r="U3106" s="2">
        <v>124.52</v>
      </c>
      <c r="V3106" s="2">
        <v>88.17</v>
      </c>
      <c r="W3106" s="2">
        <v>-0.72</v>
      </c>
      <c r="X3106" s="2">
        <v>-2.52</v>
      </c>
      <c r="Y3106" s="2">
        <v>-5.87</v>
      </c>
      <c r="Z3106" s="2">
        <v>-4.04</v>
      </c>
    </row>
    <row r="3107" spans="1:26" x14ac:dyDescent="0.25">
      <c r="A3107" s="1" t="s">
        <v>12291</v>
      </c>
      <c r="B3107" s="1" t="s">
        <v>12292</v>
      </c>
      <c r="C3107" s="1" t="s">
        <v>16</v>
      </c>
      <c r="D3107" s="1" t="s">
        <v>38</v>
      </c>
      <c r="E3107" s="1" t="s">
        <v>259</v>
      </c>
      <c r="F3107" s="1" t="s">
        <v>12293</v>
      </c>
      <c r="G3107" s="1" t="s">
        <v>12480</v>
      </c>
      <c r="H3107" s="1" t="s">
        <v>12294</v>
      </c>
      <c r="I3107" s="2">
        <v>112.05</v>
      </c>
      <c r="J3107" s="2"/>
      <c r="K3107" s="2"/>
      <c r="L3107" s="2"/>
      <c r="M3107" s="4" t="e">
        <f t="shared" si="288"/>
        <v>#DIV/0!</v>
      </c>
      <c r="N3107" s="4" t="e">
        <f t="shared" si="289"/>
        <v>#DIV/0!</v>
      </c>
      <c r="O3107" s="5" t="e">
        <f t="shared" si="290"/>
        <v>#DIV/0!</v>
      </c>
      <c r="P3107" s="5" t="e">
        <f t="shared" si="291"/>
        <v>#DIV/0!</v>
      </c>
      <c r="Q3107" s="4" t="e">
        <f t="shared" si="292"/>
        <v>#DIV/0!</v>
      </c>
      <c r="R3107" s="4" t="e">
        <f t="shared" si="293"/>
        <v>#DIV/0!</v>
      </c>
      <c r="S3107" s="4"/>
      <c r="T3107" s="2">
        <v>1.23</v>
      </c>
      <c r="U3107" s="2">
        <v>131.44</v>
      </c>
      <c r="V3107" s="2">
        <v>48.48</v>
      </c>
      <c r="W3107" s="2">
        <v>-8.1999999999999993</v>
      </c>
      <c r="X3107" s="2">
        <v>-10.7</v>
      </c>
      <c r="Y3107" s="2">
        <v>11.11</v>
      </c>
      <c r="Z3107" s="2">
        <v>8.15</v>
      </c>
    </row>
    <row r="3108" spans="1:26" x14ac:dyDescent="0.25">
      <c r="A3108" s="1" t="s">
        <v>12295</v>
      </c>
      <c r="B3108" s="1" t="s">
        <v>12296</v>
      </c>
      <c r="C3108" s="1" t="s">
        <v>45</v>
      </c>
      <c r="D3108" s="1" t="s">
        <v>25</v>
      </c>
      <c r="E3108" s="1" t="s">
        <v>220</v>
      </c>
      <c r="F3108" s="1" t="s">
        <v>12297</v>
      </c>
      <c r="G3108" s="1" t="s">
        <v>12480</v>
      </c>
      <c r="H3108" s="1" t="s">
        <v>12298</v>
      </c>
      <c r="I3108" s="2">
        <v>43.82</v>
      </c>
      <c r="J3108" s="2">
        <v>0.38</v>
      </c>
      <c r="K3108" s="2">
        <v>0.78</v>
      </c>
      <c r="L3108" s="2">
        <v>1.01</v>
      </c>
      <c r="M3108" s="4">
        <f t="shared" si="288"/>
        <v>56.179487179487175</v>
      </c>
      <c r="N3108" s="4">
        <f t="shared" si="289"/>
        <v>43.386138613861384</v>
      </c>
      <c r="O3108" s="5">
        <f t="shared" si="290"/>
        <v>1.0526315789473686</v>
      </c>
      <c r="P3108" s="5">
        <f t="shared" si="291"/>
        <v>0.29487179487179493</v>
      </c>
      <c r="Q3108" s="4">
        <f t="shared" si="292"/>
        <v>0.53370512820512805</v>
      </c>
      <c r="R3108" s="4">
        <f t="shared" si="293"/>
        <v>1.4713560051657337</v>
      </c>
      <c r="S3108" s="4">
        <v>25.87</v>
      </c>
      <c r="T3108" s="2">
        <v>0.9</v>
      </c>
      <c r="U3108" s="2">
        <v>72.099999999999994</v>
      </c>
      <c r="V3108" s="2">
        <v>19.34</v>
      </c>
      <c r="W3108" s="2">
        <v>4.3600000000000003</v>
      </c>
      <c r="X3108" s="2">
        <v>-39.22</v>
      </c>
      <c r="Y3108" s="2">
        <v>-24.62</v>
      </c>
      <c r="Z3108" s="2">
        <v>-26.32</v>
      </c>
    </row>
    <row r="3109" spans="1:26" x14ac:dyDescent="0.25">
      <c r="A3109" s="1" t="s">
        <v>12299</v>
      </c>
      <c r="B3109" s="1" t="s">
        <v>12300</v>
      </c>
      <c r="C3109" s="1" t="s">
        <v>31</v>
      </c>
      <c r="D3109" s="1" t="s">
        <v>354</v>
      </c>
      <c r="E3109" s="1" t="s">
        <v>1213</v>
      </c>
      <c r="F3109" s="1" t="s">
        <v>12301</v>
      </c>
      <c r="G3109" s="1" t="s">
        <v>12480</v>
      </c>
      <c r="H3109" s="1" t="s">
        <v>12302</v>
      </c>
      <c r="I3109" s="2">
        <v>35.15</v>
      </c>
      <c r="J3109" s="2">
        <v>2.98</v>
      </c>
      <c r="K3109" s="2">
        <v>3.31</v>
      </c>
      <c r="L3109" s="2">
        <v>3.48</v>
      </c>
      <c r="M3109" s="4">
        <f t="shared" si="288"/>
        <v>10.619335347432024</v>
      </c>
      <c r="N3109" s="4">
        <f t="shared" si="289"/>
        <v>10.100574712643677</v>
      </c>
      <c r="O3109" s="5">
        <f t="shared" si="290"/>
        <v>0.11073825503355716</v>
      </c>
      <c r="P3109" s="5">
        <f t="shared" si="291"/>
        <v>5.1359516616314105E-2</v>
      </c>
      <c r="Q3109" s="4">
        <f t="shared" si="292"/>
        <v>0.95895816167719383</v>
      </c>
      <c r="R3109" s="4">
        <f t="shared" si="293"/>
        <v>1.966641311697096</v>
      </c>
      <c r="S3109" s="4">
        <v>-5.14</v>
      </c>
      <c r="T3109" s="2">
        <v>0.44</v>
      </c>
      <c r="U3109" s="2">
        <v>38.020000000000003</v>
      </c>
      <c r="V3109" s="2">
        <v>26.44</v>
      </c>
      <c r="W3109" s="2">
        <v>0.43</v>
      </c>
      <c r="X3109" s="2">
        <v>-0.06</v>
      </c>
      <c r="Y3109" s="2">
        <v>-5.74</v>
      </c>
      <c r="Z3109" s="2">
        <v>-0.85</v>
      </c>
    </row>
    <row r="3110" spans="1:26" x14ac:dyDescent="0.25">
      <c r="A3110" s="1" t="s">
        <v>12303</v>
      </c>
      <c r="B3110" s="1" t="s">
        <v>12304</v>
      </c>
      <c r="C3110" s="1" t="s">
        <v>16</v>
      </c>
      <c r="D3110" s="1" t="s">
        <v>94</v>
      </c>
      <c r="E3110" s="1" t="s">
        <v>1948</v>
      </c>
      <c r="F3110" s="1" t="s">
        <v>12305</v>
      </c>
      <c r="G3110" s="1" t="s">
        <v>12480</v>
      </c>
      <c r="H3110" s="1" t="s">
        <v>12306</v>
      </c>
      <c r="I3110" s="2">
        <v>150.44</v>
      </c>
      <c r="J3110" s="2">
        <v>6.99</v>
      </c>
      <c r="K3110" s="2">
        <v>6.74</v>
      </c>
      <c r="L3110" s="2">
        <v>8.1999999999999993</v>
      </c>
      <c r="M3110" s="4">
        <f t="shared" si="288"/>
        <v>22.320474777448069</v>
      </c>
      <c r="N3110" s="4">
        <f t="shared" si="289"/>
        <v>18.346341463414635</v>
      </c>
      <c r="O3110" s="5">
        <f t="shared" si="290"/>
        <v>-3.5765379113018581E-2</v>
      </c>
      <c r="P3110" s="5">
        <f t="shared" si="291"/>
        <v>0.2166172106824924</v>
      </c>
      <c r="Q3110" s="4">
        <f t="shared" si="292"/>
        <v>-6.240804747774483</v>
      </c>
      <c r="R3110" s="4">
        <f t="shared" si="293"/>
        <v>0.84694754426996399</v>
      </c>
      <c r="S3110" s="4">
        <v>-4.96</v>
      </c>
      <c r="T3110" s="2">
        <v>0.35</v>
      </c>
      <c r="U3110" s="2">
        <v>155.56</v>
      </c>
      <c r="V3110" s="2">
        <v>99.93</v>
      </c>
      <c r="W3110" s="2">
        <v>-2.4500000000000002</v>
      </c>
      <c r="X3110" s="2">
        <v>-0.51</v>
      </c>
      <c r="Y3110" s="2">
        <v>27.75</v>
      </c>
      <c r="Z3110" s="2">
        <v>25.01</v>
      </c>
    </row>
    <row r="3111" spans="1:26" x14ac:dyDescent="0.25">
      <c r="A3111" s="1" t="s">
        <v>12307</v>
      </c>
      <c r="B3111" s="1" t="s">
        <v>12307</v>
      </c>
      <c r="C3111" s="1" t="s">
        <v>45</v>
      </c>
      <c r="D3111" s="1" t="s">
        <v>38</v>
      </c>
      <c r="E3111" s="1" t="s">
        <v>52</v>
      </c>
      <c r="F3111" s="1" t="s">
        <v>12308</v>
      </c>
      <c r="G3111" s="1" t="s">
        <v>12480</v>
      </c>
      <c r="H3111" s="1" t="s">
        <v>12309</v>
      </c>
      <c r="I3111" s="2">
        <v>19.53</v>
      </c>
      <c r="J3111" s="2">
        <v>1.74</v>
      </c>
      <c r="K3111" s="2">
        <v>2.02</v>
      </c>
      <c r="L3111" s="2">
        <v>2.3199999999999998</v>
      </c>
      <c r="M3111" s="4">
        <f t="shared" si="288"/>
        <v>9.6683168316831694</v>
      </c>
      <c r="N3111" s="4">
        <f t="shared" si="289"/>
        <v>8.418103448275863</v>
      </c>
      <c r="O3111" s="5">
        <f t="shared" si="290"/>
        <v>0.16091954022988508</v>
      </c>
      <c r="P3111" s="5">
        <f t="shared" si="291"/>
        <v>0.14851485148514842</v>
      </c>
      <c r="Q3111" s="4">
        <f t="shared" si="292"/>
        <v>0.60081683168316824</v>
      </c>
      <c r="R3111" s="4">
        <f t="shared" si="293"/>
        <v>0.56681896551724176</v>
      </c>
      <c r="S3111" s="4">
        <v>4.09</v>
      </c>
      <c r="T3111" s="2">
        <v>1.18</v>
      </c>
      <c r="U3111" s="2">
        <v>22.95</v>
      </c>
      <c r="V3111" s="2">
        <v>12.69</v>
      </c>
      <c r="W3111" s="2">
        <v>-10.039999999999999</v>
      </c>
      <c r="X3111" s="2">
        <v>-4.6399999999999997</v>
      </c>
      <c r="Y3111" s="2">
        <v>11.03</v>
      </c>
      <c r="Z3111" s="2">
        <v>19.3</v>
      </c>
    </row>
    <row r="3112" spans="1:26" x14ac:dyDescent="0.25">
      <c r="A3112" s="1" t="s">
        <v>12310</v>
      </c>
      <c r="B3112" s="1" t="s">
        <v>12310</v>
      </c>
      <c r="C3112" s="1" t="s">
        <v>45</v>
      </c>
      <c r="D3112" s="1" t="s">
        <v>305</v>
      </c>
      <c r="E3112" s="1" t="s">
        <v>306</v>
      </c>
      <c r="F3112" s="1" t="s">
        <v>12311</v>
      </c>
      <c r="G3112" s="1" t="s">
        <v>12480</v>
      </c>
      <c r="H3112" s="1" t="s">
        <v>12709</v>
      </c>
      <c r="I3112" s="2">
        <v>39.869999999999997</v>
      </c>
      <c r="J3112" s="2">
        <v>1.85</v>
      </c>
      <c r="K3112" s="2">
        <v>2.04</v>
      </c>
      <c r="L3112" s="2" t="s">
        <v>12490</v>
      </c>
      <c r="M3112" s="4">
        <f t="shared" si="288"/>
        <v>19.544117647058822</v>
      </c>
      <c r="N3112" s="4">
        <f t="shared" si="289"/>
        <v>13.29</v>
      </c>
      <c r="O3112" s="5">
        <f t="shared" si="290"/>
        <v>0.10270270270270276</v>
      </c>
      <c r="P3112" s="5">
        <f t="shared" si="291"/>
        <v>0.47058823529411753</v>
      </c>
      <c r="Q3112" s="4">
        <f t="shared" si="292"/>
        <v>1.9029798761609893</v>
      </c>
      <c r="R3112" s="4">
        <f t="shared" si="293"/>
        <v>0.28241250000000007</v>
      </c>
      <c r="S3112" s="4">
        <v>13.27</v>
      </c>
      <c r="T3112" s="2">
        <v>1.29</v>
      </c>
      <c r="U3112" s="2">
        <v>54.95</v>
      </c>
      <c r="V3112" s="2">
        <v>24.72</v>
      </c>
      <c r="W3112" s="2">
        <v>-7.24</v>
      </c>
      <c r="X3112" s="2">
        <v>-23.33</v>
      </c>
      <c r="Y3112" s="2">
        <v>-20.61</v>
      </c>
      <c r="Z3112" s="2">
        <v>-20.12</v>
      </c>
    </row>
    <row r="3113" spans="1:26" x14ac:dyDescent="0.25">
      <c r="A3113" s="1" t="s">
        <v>12312</v>
      </c>
      <c r="B3113" s="1" t="s">
        <v>12313</v>
      </c>
      <c r="C3113" s="1" t="s">
        <v>16</v>
      </c>
      <c r="D3113" s="1" t="s">
        <v>305</v>
      </c>
      <c r="E3113" s="1" t="s">
        <v>1176</v>
      </c>
      <c r="F3113" s="1" t="s">
        <v>12314</v>
      </c>
      <c r="G3113" s="1" t="s">
        <v>12480</v>
      </c>
      <c r="H3113" s="1" t="s">
        <v>12315</v>
      </c>
      <c r="I3113" s="2">
        <v>18.45</v>
      </c>
      <c r="J3113" s="2">
        <v>-0.84</v>
      </c>
      <c r="K3113" s="2">
        <v>0.04</v>
      </c>
      <c r="L3113" s="2">
        <v>0.38</v>
      </c>
      <c r="M3113" s="4">
        <f t="shared" si="288"/>
        <v>461.25</v>
      </c>
      <c r="N3113" s="4">
        <f t="shared" si="289"/>
        <v>48.552631578947363</v>
      </c>
      <c r="O3113" s="5">
        <f t="shared" si="290"/>
        <v>-1.0476190476190477</v>
      </c>
      <c r="P3113" s="5">
        <f t="shared" si="291"/>
        <v>8.5</v>
      </c>
      <c r="Q3113" s="4">
        <f t="shared" si="292"/>
        <v>-4.4028409090909086</v>
      </c>
      <c r="R3113" s="4">
        <f t="shared" si="293"/>
        <v>5.7120743034055718E-2</v>
      </c>
      <c r="S3113" s="4">
        <v>-99.87</v>
      </c>
      <c r="T3113" s="2">
        <v>1.21</v>
      </c>
      <c r="U3113" s="2">
        <v>28.07</v>
      </c>
      <c r="V3113" s="2">
        <v>15.87</v>
      </c>
      <c r="W3113" s="2">
        <v>8.59</v>
      </c>
      <c r="X3113" s="2">
        <v>5.19</v>
      </c>
      <c r="Y3113" s="2">
        <v>0.76</v>
      </c>
      <c r="Z3113" s="2">
        <v>-9.02</v>
      </c>
    </row>
    <row r="3114" spans="1:26" x14ac:dyDescent="0.25">
      <c r="A3114" s="1" t="s">
        <v>12316</v>
      </c>
      <c r="B3114" s="1" t="s">
        <v>12316</v>
      </c>
      <c r="C3114" s="1" t="s">
        <v>16</v>
      </c>
      <c r="D3114" s="1" t="s">
        <v>46</v>
      </c>
      <c r="E3114" s="1" t="s">
        <v>977</v>
      </c>
      <c r="F3114" s="1" t="s">
        <v>12317</v>
      </c>
      <c r="G3114" s="1" t="s">
        <v>12480</v>
      </c>
      <c r="H3114" s="1" t="s">
        <v>8448</v>
      </c>
      <c r="I3114" s="2">
        <v>194.32</v>
      </c>
      <c r="J3114" s="2">
        <v>3.73</v>
      </c>
      <c r="K3114" s="2">
        <v>4.47</v>
      </c>
      <c r="L3114" s="2">
        <v>5.74</v>
      </c>
      <c r="M3114" s="4">
        <f t="shared" si="288"/>
        <v>43.472035794183448</v>
      </c>
      <c r="N3114" s="4">
        <f t="shared" si="289"/>
        <v>33.853658536585364</v>
      </c>
      <c r="O3114" s="5">
        <f t="shared" si="290"/>
        <v>0.19839142091152806</v>
      </c>
      <c r="P3114" s="5">
        <f t="shared" si="291"/>
        <v>0.28411633109619694</v>
      </c>
      <c r="Q3114" s="4">
        <f t="shared" si="292"/>
        <v>2.1912255880041127</v>
      </c>
      <c r="R3114" s="4">
        <f t="shared" si="293"/>
        <v>1.1915421547916263</v>
      </c>
      <c r="S3114" s="4"/>
      <c r="T3114" s="2">
        <v>1.94</v>
      </c>
      <c r="U3114" s="2">
        <v>215.37</v>
      </c>
      <c r="V3114" s="2">
        <v>91.46</v>
      </c>
      <c r="W3114" s="2">
        <v>-9.69</v>
      </c>
      <c r="X3114" s="2">
        <v>-6.06</v>
      </c>
      <c r="Y3114" s="2">
        <v>32.479999999999997</v>
      </c>
      <c r="Z3114" s="2">
        <v>42.98</v>
      </c>
    </row>
    <row r="3115" spans="1:26" x14ac:dyDescent="0.25">
      <c r="A3115" s="1" t="s">
        <v>12318</v>
      </c>
      <c r="B3115" s="1" t="s">
        <v>12319</v>
      </c>
      <c r="C3115" s="1" t="s">
        <v>16</v>
      </c>
      <c r="D3115" s="1" t="s">
        <v>94</v>
      </c>
      <c r="E3115" s="1" t="s">
        <v>4079</v>
      </c>
      <c r="F3115" s="1" t="s">
        <v>12320</v>
      </c>
      <c r="G3115" s="1" t="s">
        <v>12480</v>
      </c>
      <c r="H3115" s="1" t="s">
        <v>8769</v>
      </c>
      <c r="I3115" s="2">
        <v>16.989999999999998</v>
      </c>
      <c r="J3115" s="2" t="s">
        <v>12493</v>
      </c>
      <c r="K3115" s="2">
        <v>0.82</v>
      </c>
      <c r="L3115" s="2">
        <v>0.94</v>
      </c>
      <c r="M3115" s="4">
        <f t="shared" si="288"/>
        <v>20.719512195121951</v>
      </c>
      <c r="N3115" s="4">
        <f t="shared" si="289"/>
        <v>18.074468085106382</v>
      </c>
      <c r="O3115" s="5">
        <f t="shared" si="290"/>
        <v>-0.18000000000000005</v>
      </c>
      <c r="P3115" s="5">
        <f t="shared" si="291"/>
        <v>0.14634146341463405</v>
      </c>
      <c r="Q3115" s="4">
        <f t="shared" si="292"/>
        <v>-1.1510840108401081</v>
      </c>
      <c r="R3115" s="4">
        <f t="shared" si="293"/>
        <v>1.2350886524822702</v>
      </c>
      <c r="S3115" s="4">
        <v>-6.17</v>
      </c>
      <c r="T3115" s="2">
        <v>0.91</v>
      </c>
      <c r="U3115" s="2">
        <v>18.18</v>
      </c>
      <c r="V3115" s="2">
        <v>6.91</v>
      </c>
      <c r="W3115" s="2">
        <v>-2.64</v>
      </c>
      <c r="X3115" s="2">
        <v>1.98</v>
      </c>
      <c r="Y3115" s="2">
        <v>23.3</v>
      </c>
      <c r="Z3115" s="2">
        <v>27.27</v>
      </c>
    </row>
    <row r="3116" spans="1:26" x14ac:dyDescent="0.25">
      <c r="A3116" s="1" t="s">
        <v>12321</v>
      </c>
      <c r="B3116" s="1" t="s">
        <v>12322</v>
      </c>
      <c r="C3116" s="1" t="s">
        <v>45</v>
      </c>
      <c r="D3116" s="1" t="s">
        <v>18</v>
      </c>
      <c r="E3116" s="1" t="s">
        <v>610</v>
      </c>
      <c r="F3116" s="1" t="s">
        <v>12323</v>
      </c>
      <c r="G3116" s="1" t="s">
        <v>12480</v>
      </c>
      <c r="H3116" s="1" t="s">
        <v>12324</v>
      </c>
      <c r="I3116" s="2">
        <v>12.8</v>
      </c>
      <c r="J3116" s="2">
        <v>1.6</v>
      </c>
      <c r="K3116" s="2">
        <v>1.44</v>
      </c>
      <c r="L3116" s="2">
        <v>1.57</v>
      </c>
      <c r="M3116" s="4">
        <f t="shared" si="288"/>
        <v>8.8888888888888893</v>
      </c>
      <c r="N3116" s="4">
        <f t="shared" si="289"/>
        <v>8.1528662420382165</v>
      </c>
      <c r="O3116" s="5">
        <f t="shared" si="290"/>
        <v>-0.10000000000000009</v>
      </c>
      <c r="P3116" s="5">
        <f t="shared" si="291"/>
        <v>9.0277777777777901E-2</v>
      </c>
      <c r="Q3116" s="4">
        <f t="shared" si="292"/>
        <v>-0.88888888888888817</v>
      </c>
      <c r="R3116" s="4">
        <f t="shared" si="293"/>
        <v>0.9030867221950013</v>
      </c>
      <c r="S3116" s="4">
        <v>-2.98</v>
      </c>
      <c r="T3116" s="2">
        <v>0.97</v>
      </c>
      <c r="U3116" s="2">
        <v>16.850000000000001</v>
      </c>
      <c r="V3116" s="2">
        <v>9.89</v>
      </c>
      <c r="W3116" s="2">
        <v>-10.55</v>
      </c>
      <c r="X3116" s="2">
        <v>-6.57</v>
      </c>
      <c r="Y3116" s="2">
        <v>12.28</v>
      </c>
      <c r="Z3116" s="2">
        <v>11.99</v>
      </c>
    </row>
    <row r="3117" spans="1:26" x14ac:dyDescent="0.25">
      <c r="A3117" s="1" t="s">
        <v>12325</v>
      </c>
      <c r="B3117" s="1" t="s">
        <v>12326</v>
      </c>
      <c r="C3117" s="1" t="s">
        <v>31</v>
      </c>
      <c r="D3117" s="1" t="s">
        <v>147</v>
      </c>
      <c r="E3117" s="1" t="s">
        <v>279</v>
      </c>
      <c r="F3117" s="1" t="s">
        <v>12327</v>
      </c>
      <c r="G3117" s="1" t="s">
        <v>12480</v>
      </c>
      <c r="H3117" s="1" t="s">
        <v>12495</v>
      </c>
      <c r="I3117" s="2">
        <v>69.325000000000003</v>
      </c>
      <c r="J3117" s="2">
        <v>6.95</v>
      </c>
      <c r="K3117" s="2"/>
      <c r="L3117" s="2"/>
      <c r="M3117" s="4" t="e">
        <f t="shared" si="288"/>
        <v>#DIV/0!</v>
      </c>
      <c r="N3117" s="4" t="e">
        <f t="shared" si="289"/>
        <v>#DIV/0!</v>
      </c>
      <c r="O3117" s="5">
        <f t="shared" si="290"/>
        <v>-1</v>
      </c>
      <c r="P3117" s="5" t="e">
        <f t="shared" si="291"/>
        <v>#DIV/0!</v>
      </c>
      <c r="Q3117" s="4" t="e">
        <f t="shared" si="292"/>
        <v>#DIV/0!</v>
      </c>
      <c r="R3117" s="4" t="e">
        <f t="shared" si="293"/>
        <v>#DIV/0!</v>
      </c>
      <c r="S3117" s="4">
        <v>-6.95</v>
      </c>
      <c r="T3117" s="2">
        <v>0.56000000000000005</v>
      </c>
      <c r="U3117" s="2">
        <v>82.91</v>
      </c>
      <c r="V3117" s="2">
        <v>61.67</v>
      </c>
      <c r="W3117" s="2" t="s">
        <v>12489</v>
      </c>
      <c r="X3117" s="2">
        <v>2.61</v>
      </c>
      <c r="Y3117" s="2">
        <v>0.47</v>
      </c>
      <c r="Z3117" s="2">
        <v>-1.81</v>
      </c>
    </row>
    <row r="3118" spans="1:26" x14ac:dyDescent="0.25">
      <c r="A3118" s="1" t="s">
        <v>12328</v>
      </c>
      <c r="B3118" s="1" t="s">
        <v>12329</v>
      </c>
      <c r="C3118" s="1" t="s">
        <v>16</v>
      </c>
      <c r="D3118" s="1" t="s">
        <v>38</v>
      </c>
      <c r="E3118" s="1" t="s">
        <v>52</v>
      </c>
      <c r="F3118" s="1" t="s">
        <v>12330</v>
      </c>
      <c r="G3118" s="1" t="s">
        <v>12480</v>
      </c>
      <c r="H3118" s="1" t="s">
        <v>12331</v>
      </c>
      <c r="I3118" s="2">
        <v>6.77</v>
      </c>
      <c r="J3118" s="2"/>
      <c r="K3118" s="2"/>
      <c r="L3118" s="2"/>
      <c r="M3118" s="4" t="e">
        <f t="shared" si="288"/>
        <v>#DIV/0!</v>
      </c>
      <c r="N3118" s="4" t="e">
        <f t="shared" si="289"/>
        <v>#DIV/0!</v>
      </c>
      <c r="O3118" s="5" t="e">
        <f t="shared" si="290"/>
        <v>#DIV/0!</v>
      </c>
      <c r="P3118" s="5" t="e">
        <f t="shared" si="291"/>
        <v>#DIV/0!</v>
      </c>
      <c r="Q3118" s="4" t="e">
        <f t="shared" si="292"/>
        <v>#DIV/0!</v>
      </c>
      <c r="R3118" s="4" t="e">
        <f t="shared" si="293"/>
        <v>#DIV/0!</v>
      </c>
      <c r="S3118" s="4"/>
      <c r="T3118" s="2">
        <v>-4.25</v>
      </c>
      <c r="U3118" s="2" t="s">
        <v>12643</v>
      </c>
      <c r="V3118" s="2">
        <v>5.74</v>
      </c>
      <c r="W3118" s="2">
        <v>9.19</v>
      </c>
      <c r="X3118" s="2">
        <v>5.29</v>
      </c>
      <c r="Y3118" s="2">
        <v>-39.119999999999997</v>
      </c>
      <c r="Z3118" s="2">
        <v>-22.72</v>
      </c>
    </row>
    <row r="3119" spans="1:26" x14ac:dyDescent="0.25">
      <c r="A3119" s="1" t="s">
        <v>12332</v>
      </c>
      <c r="B3119" s="1" t="s">
        <v>12333</v>
      </c>
      <c r="C3119" s="1" t="s">
        <v>31</v>
      </c>
      <c r="D3119" s="1" t="s">
        <v>25</v>
      </c>
      <c r="E3119" s="1" t="s">
        <v>8394</v>
      </c>
      <c r="F3119" s="1" t="s">
        <v>12334</v>
      </c>
      <c r="G3119" s="1" t="s">
        <v>12480</v>
      </c>
      <c r="H3119" s="1" t="s">
        <v>12335</v>
      </c>
      <c r="I3119" s="2">
        <v>1.55</v>
      </c>
      <c r="J3119" s="2">
        <v>0.1</v>
      </c>
      <c r="K3119" s="2"/>
      <c r="L3119" s="2"/>
      <c r="M3119" s="4" t="e">
        <f t="shared" si="288"/>
        <v>#DIV/0!</v>
      </c>
      <c r="N3119" s="4" t="e">
        <f t="shared" si="289"/>
        <v>#DIV/0!</v>
      </c>
      <c r="O3119" s="5">
        <f t="shared" si="290"/>
        <v>-1</v>
      </c>
      <c r="P3119" s="5" t="e">
        <f t="shared" si="291"/>
        <v>#DIV/0!</v>
      </c>
      <c r="Q3119" s="4" t="e">
        <f t="shared" si="292"/>
        <v>#DIV/0!</v>
      </c>
      <c r="R3119" s="4" t="e">
        <f t="shared" si="293"/>
        <v>#DIV/0!</v>
      </c>
      <c r="S3119" s="4">
        <v>-16.420000000000002</v>
      </c>
      <c r="T3119" s="2">
        <v>0.89</v>
      </c>
      <c r="U3119" s="2">
        <v>1.55</v>
      </c>
      <c r="V3119" s="2">
        <v>0.88</v>
      </c>
      <c r="W3119" s="2">
        <v>22.77</v>
      </c>
      <c r="X3119" s="2">
        <v>14.81</v>
      </c>
      <c r="Y3119" s="2">
        <v>30.25</v>
      </c>
      <c r="Z3119" s="2">
        <v>50.49</v>
      </c>
    </row>
    <row r="3120" spans="1:26" x14ac:dyDescent="0.25">
      <c r="A3120" s="1" t="s">
        <v>12336</v>
      </c>
      <c r="B3120" s="1" t="s">
        <v>12337</v>
      </c>
      <c r="C3120" s="1" t="s">
        <v>16</v>
      </c>
      <c r="D3120" s="1" t="s">
        <v>140</v>
      </c>
      <c r="E3120" s="1" t="s">
        <v>2558</v>
      </c>
      <c r="F3120" s="1" t="s">
        <v>12338</v>
      </c>
      <c r="G3120" s="1" t="s">
        <v>12480</v>
      </c>
      <c r="H3120" s="1" t="s">
        <v>12339</v>
      </c>
      <c r="I3120" s="2">
        <v>123.52</v>
      </c>
      <c r="J3120" s="2">
        <v>5.08</v>
      </c>
      <c r="K3120" s="2">
        <v>5.48</v>
      </c>
      <c r="L3120" s="2">
        <v>6.03</v>
      </c>
      <c r="M3120" s="4">
        <f t="shared" si="288"/>
        <v>22.540145985401459</v>
      </c>
      <c r="N3120" s="4">
        <f t="shared" si="289"/>
        <v>20.484245439469319</v>
      </c>
      <c r="O3120" s="5">
        <f t="shared" si="290"/>
        <v>7.8740157480315043E-2</v>
      </c>
      <c r="P3120" s="5">
        <f t="shared" si="291"/>
        <v>0.10036496350364965</v>
      </c>
      <c r="Q3120" s="4">
        <f t="shared" si="292"/>
        <v>2.8625985401459824</v>
      </c>
      <c r="R3120" s="4">
        <f t="shared" si="293"/>
        <v>2.0409757274234881</v>
      </c>
      <c r="S3120" s="4">
        <v>5.52</v>
      </c>
      <c r="T3120" s="2">
        <v>1.17</v>
      </c>
      <c r="U3120" s="2">
        <v>152.94999999999999</v>
      </c>
      <c r="V3120" s="2">
        <v>102.86</v>
      </c>
      <c r="W3120" s="2">
        <v>-4.2300000000000004</v>
      </c>
      <c r="X3120" s="2">
        <v>-11.89</v>
      </c>
      <c r="Y3120" s="2">
        <v>-10.66</v>
      </c>
      <c r="Z3120" s="2">
        <v>-9.3000000000000007</v>
      </c>
    </row>
    <row r="3121" spans="1:26" x14ac:dyDescent="0.25">
      <c r="A3121" s="1" t="s">
        <v>12340</v>
      </c>
      <c r="B3121" s="1" t="s">
        <v>12341</v>
      </c>
      <c r="C3121" s="1" t="s">
        <v>16</v>
      </c>
      <c r="D3121" s="1" t="s">
        <v>32</v>
      </c>
      <c r="E3121" s="1" t="s">
        <v>311</v>
      </c>
      <c r="F3121" s="1" t="s">
        <v>12342</v>
      </c>
      <c r="G3121" s="1" t="s">
        <v>12480</v>
      </c>
      <c r="H3121" s="1" t="s">
        <v>12343</v>
      </c>
      <c r="I3121" s="2">
        <v>65.540000000000006</v>
      </c>
      <c r="J3121" s="2">
        <v>2.37</v>
      </c>
      <c r="K3121" s="2">
        <v>3.53</v>
      </c>
      <c r="L3121" s="2">
        <v>4.5999999999999996</v>
      </c>
      <c r="M3121" s="4">
        <f t="shared" si="288"/>
        <v>18.566572237960344</v>
      </c>
      <c r="N3121" s="4">
        <f t="shared" si="289"/>
        <v>14.247826086956524</v>
      </c>
      <c r="O3121" s="5">
        <f t="shared" si="290"/>
        <v>0.48945147679324874</v>
      </c>
      <c r="P3121" s="5">
        <f t="shared" si="291"/>
        <v>0.30311614730878178</v>
      </c>
      <c r="Q3121" s="4">
        <f t="shared" si="292"/>
        <v>0.37933427762039684</v>
      </c>
      <c r="R3121" s="4">
        <f t="shared" si="293"/>
        <v>0.47004510361641633</v>
      </c>
      <c r="S3121" s="4">
        <v>0.3</v>
      </c>
      <c r="T3121" s="2">
        <v>2.65</v>
      </c>
      <c r="U3121" s="2">
        <v>81.11</v>
      </c>
      <c r="V3121" s="2">
        <v>46.53</v>
      </c>
      <c r="W3121" s="2">
        <v>1.69</v>
      </c>
      <c r="X3121" s="2">
        <v>15.43</v>
      </c>
      <c r="Y3121" s="2">
        <v>2.37</v>
      </c>
      <c r="Z3121" s="2">
        <v>0.69</v>
      </c>
    </row>
    <row r="3122" spans="1:26" x14ac:dyDescent="0.25">
      <c r="A3122" s="1" t="s">
        <v>12344</v>
      </c>
      <c r="B3122" s="1" t="s">
        <v>12345</v>
      </c>
      <c r="C3122" s="1" t="s">
        <v>16</v>
      </c>
      <c r="D3122" s="1" t="s">
        <v>38</v>
      </c>
      <c r="E3122" s="1" t="s">
        <v>194</v>
      </c>
      <c r="F3122" s="1" t="s">
        <v>12346</v>
      </c>
      <c r="G3122" s="1" t="s">
        <v>12480</v>
      </c>
      <c r="H3122" s="1" t="s">
        <v>2818</v>
      </c>
      <c r="I3122" s="2">
        <v>15.2</v>
      </c>
      <c r="J3122" s="2">
        <v>0.99</v>
      </c>
      <c r="K3122" s="2">
        <v>0.89</v>
      </c>
      <c r="L3122" s="2">
        <v>1.1000000000000001</v>
      </c>
      <c r="M3122" s="4">
        <f t="shared" si="288"/>
        <v>17.078651685393258</v>
      </c>
      <c r="N3122" s="4">
        <f t="shared" si="289"/>
        <v>13.818181818181817</v>
      </c>
      <c r="O3122" s="5">
        <f t="shared" si="290"/>
        <v>-0.10101010101010099</v>
      </c>
      <c r="P3122" s="5">
        <f t="shared" si="291"/>
        <v>0.23595505617977541</v>
      </c>
      <c r="Q3122" s="4">
        <f t="shared" si="292"/>
        <v>-1.6907865168539327</v>
      </c>
      <c r="R3122" s="4">
        <f t="shared" si="293"/>
        <v>0.58562770562770528</v>
      </c>
      <c r="S3122" s="4">
        <v>61.99</v>
      </c>
      <c r="T3122" s="2"/>
      <c r="U3122" s="2">
        <v>24.25</v>
      </c>
      <c r="V3122" s="2">
        <v>13.79</v>
      </c>
      <c r="W3122" s="2">
        <v>-5.59</v>
      </c>
      <c r="X3122" s="2">
        <v>-9.25</v>
      </c>
      <c r="Y3122" s="2">
        <v>-21.69</v>
      </c>
      <c r="Z3122" s="2">
        <v>-37.32</v>
      </c>
    </row>
    <row r="3123" spans="1:26" x14ac:dyDescent="0.25">
      <c r="A3123" s="1" t="s">
        <v>12347</v>
      </c>
      <c r="B3123" s="1" t="s">
        <v>12348</v>
      </c>
      <c r="C3123" s="1" t="s">
        <v>31</v>
      </c>
      <c r="D3123" s="1" t="s">
        <v>67</v>
      </c>
      <c r="E3123" s="1" t="s">
        <v>833</v>
      </c>
      <c r="F3123" s="1" t="s">
        <v>12349</v>
      </c>
      <c r="G3123" s="1" t="s">
        <v>12490</v>
      </c>
      <c r="H3123" s="1" t="s">
        <v>12350</v>
      </c>
      <c r="I3123" s="2">
        <v>5.05</v>
      </c>
      <c r="J3123" s="2">
        <v>0.33</v>
      </c>
      <c r="K3123" s="2"/>
      <c r="L3123" s="2"/>
      <c r="M3123" s="4" t="e">
        <f t="shared" si="288"/>
        <v>#DIV/0!</v>
      </c>
      <c r="N3123" s="4" t="e">
        <f t="shared" si="289"/>
        <v>#DIV/0!</v>
      </c>
      <c r="O3123" s="5">
        <f t="shared" si="290"/>
        <v>-1</v>
      </c>
      <c r="P3123" s="5" t="e">
        <f t="shared" si="291"/>
        <v>#DIV/0!</v>
      </c>
      <c r="Q3123" s="4" t="e">
        <f t="shared" si="292"/>
        <v>#DIV/0!</v>
      </c>
      <c r="R3123" s="4" t="e">
        <f t="shared" si="293"/>
        <v>#DIV/0!</v>
      </c>
      <c r="S3123" s="4">
        <v>0.17</v>
      </c>
      <c r="T3123" s="2">
        <v>0.88</v>
      </c>
      <c r="U3123" s="2">
        <v>8.27</v>
      </c>
      <c r="V3123" s="2">
        <v>4.6500000000000004</v>
      </c>
      <c r="W3123" s="2">
        <v>4.99</v>
      </c>
      <c r="X3123" s="2" t="s">
        <v>12621</v>
      </c>
      <c r="Y3123" s="2">
        <v>-5.08</v>
      </c>
      <c r="Z3123" s="2">
        <v>-4.3600000000000003</v>
      </c>
    </row>
    <row r="3124" spans="1:26" x14ac:dyDescent="0.25">
      <c r="A3124" s="1" t="s">
        <v>12351</v>
      </c>
      <c r="B3124" s="1" t="s">
        <v>12352</v>
      </c>
      <c r="C3124" s="1" t="s">
        <v>16</v>
      </c>
      <c r="D3124" s="1" t="s">
        <v>32</v>
      </c>
      <c r="E3124" s="1" t="s">
        <v>311</v>
      </c>
      <c r="F3124" s="1" t="s">
        <v>12353</v>
      </c>
      <c r="G3124" s="1" t="s">
        <v>12480</v>
      </c>
      <c r="H3124" s="1" t="s">
        <v>12354</v>
      </c>
      <c r="I3124" s="2">
        <v>7.11</v>
      </c>
      <c r="J3124" s="2">
        <v>0.83</v>
      </c>
      <c r="K3124" s="2"/>
      <c r="L3124" s="2"/>
      <c r="M3124" s="4" t="e">
        <f t="shared" si="288"/>
        <v>#DIV/0!</v>
      </c>
      <c r="N3124" s="4" t="e">
        <f t="shared" si="289"/>
        <v>#DIV/0!</v>
      </c>
      <c r="O3124" s="5">
        <f t="shared" si="290"/>
        <v>-1</v>
      </c>
      <c r="P3124" s="5" t="e">
        <f t="shared" si="291"/>
        <v>#DIV/0!</v>
      </c>
      <c r="Q3124" s="4" t="e">
        <f t="shared" si="292"/>
        <v>#DIV/0!</v>
      </c>
      <c r="R3124" s="4" t="e">
        <f t="shared" si="293"/>
        <v>#DIV/0!</v>
      </c>
      <c r="S3124" s="4">
        <v>0.67</v>
      </c>
      <c r="T3124" s="2">
        <v>0.43</v>
      </c>
      <c r="U3124" s="2">
        <v>9.08</v>
      </c>
      <c r="V3124" s="2">
        <v>4.01</v>
      </c>
      <c r="W3124" s="2">
        <v>0.14000000000000001</v>
      </c>
      <c r="X3124" s="2">
        <v>0.42</v>
      </c>
      <c r="Y3124" s="2">
        <v>2.0099999999999998</v>
      </c>
      <c r="Z3124" s="2">
        <v>2.4500000000000002</v>
      </c>
    </row>
    <row r="3125" spans="1:26" x14ac:dyDescent="0.25">
      <c r="A3125" s="1" t="s">
        <v>12355</v>
      </c>
      <c r="B3125" s="1" t="s">
        <v>12356</v>
      </c>
      <c r="C3125" s="1" t="s">
        <v>31</v>
      </c>
      <c r="D3125" s="1" t="s">
        <v>88</v>
      </c>
      <c r="E3125" s="1" t="s">
        <v>2299</v>
      </c>
      <c r="F3125" s="1" t="s">
        <v>12357</v>
      </c>
      <c r="G3125" s="1" t="s">
        <v>12480</v>
      </c>
      <c r="H3125" s="1" t="s">
        <v>12358</v>
      </c>
      <c r="I3125" s="2">
        <v>26.04</v>
      </c>
      <c r="J3125" s="2">
        <v>2.21</v>
      </c>
      <c r="K3125" s="2">
        <v>2.36</v>
      </c>
      <c r="L3125" s="2">
        <v>1.8</v>
      </c>
      <c r="M3125" s="4">
        <f t="shared" si="288"/>
        <v>11.033898305084746</v>
      </c>
      <c r="N3125" s="4">
        <f t="shared" si="289"/>
        <v>14.466666666666665</v>
      </c>
      <c r="O3125" s="5">
        <f t="shared" si="290"/>
        <v>6.7873303167420795E-2</v>
      </c>
      <c r="P3125" s="5">
        <f t="shared" si="291"/>
        <v>-0.23728813559322026</v>
      </c>
      <c r="Q3125" s="4">
        <f t="shared" si="292"/>
        <v>1.625661016949153</v>
      </c>
      <c r="R3125" s="4">
        <f t="shared" si="293"/>
        <v>-0.6096666666666668</v>
      </c>
      <c r="S3125" s="4">
        <v>12.78</v>
      </c>
      <c r="T3125" s="2">
        <v>0.71</v>
      </c>
      <c r="U3125" s="2">
        <v>26.04</v>
      </c>
      <c r="V3125" s="2">
        <v>13.5</v>
      </c>
      <c r="W3125" s="2">
        <v>2.88</v>
      </c>
      <c r="X3125" s="2">
        <v>7.07</v>
      </c>
      <c r="Y3125" s="2">
        <v>32.65</v>
      </c>
      <c r="Z3125" s="2">
        <v>27.65</v>
      </c>
    </row>
    <row r="3126" spans="1:26" x14ac:dyDescent="0.25">
      <c r="A3126" s="1" t="s">
        <v>12359</v>
      </c>
      <c r="B3126" s="1" t="s">
        <v>12360</v>
      </c>
      <c r="C3126" s="1" t="s">
        <v>31</v>
      </c>
      <c r="D3126" s="1" t="s">
        <v>32</v>
      </c>
      <c r="E3126" s="1" t="s">
        <v>33</v>
      </c>
      <c r="F3126" s="1" t="s">
        <v>12361</v>
      </c>
      <c r="G3126" s="1" t="s">
        <v>12487</v>
      </c>
      <c r="H3126" s="1" t="s">
        <v>12362</v>
      </c>
      <c r="I3126" s="2">
        <v>56.115000000000002</v>
      </c>
      <c r="J3126" s="2">
        <v>2.87</v>
      </c>
      <c r="K3126" s="2">
        <v>2.2000000000000002</v>
      </c>
      <c r="L3126" s="2">
        <v>2.63</v>
      </c>
      <c r="M3126" s="4">
        <f t="shared" si="288"/>
        <v>25.506818181818179</v>
      </c>
      <c r="N3126" s="4">
        <f t="shared" si="289"/>
        <v>21.336501901140686</v>
      </c>
      <c r="O3126" s="5">
        <f t="shared" si="290"/>
        <v>-0.23344947735191635</v>
      </c>
      <c r="P3126" s="5">
        <f t="shared" si="291"/>
        <v>0.19545454545454533</v>
      </c>
      <c r="Q3126" s="4">
        <f t="shared" si="292"/>
        <v>-1.0926054952510176</v>
      </c>
      <c r="R3126" s="4">
        <f t="shared" si="293"/>
        <v>1.0916349809885939</v>
      </c>
      <c r="S3126" s="4">
        <v>-12.34</v>
      </c>
      <c r="T3126" s="2" t="s">
        <v>12493</v>
      </c>
      <c r="U3126" s="2">
        <v>71.3</v>
      </c>
      <c r="V3126" s="2">
        <v>36.85</v>
      </c>
      <c r="W3126" s="2">
        <v>-17.21</v>
      </c>
      <c r="X3126" s="2">
        <v>-18.059999999999999</v>
      </c>
      <c r="Y3126" s="2">
        <v>-10.85</v>
      </c>
      <c r="Z3126" s="2">
        <v>-7.14</v>
      </c>
    </row>
    <row r="3127" spans="1:26" x14ac:dyDescent="0.25">
      <c r="A3127" s="1" t="s">
        <v>12363</v>
      </c>
      <c r="B3127" s="1" t="s">
        <v>12364</v>
      </c>
      <c r="C3127" s="1" t="s">
        <v>16</v>
      </c>
      <c r="D3127" s="1" t="s">
        <v>32</v>
      </c>
      <c r="E3127" s="1" t="s">
        <v>4989</v>
      </c>
      <c r="F3127" s="1" t="s">
        <v>12365</v>
      </c>
      <c r="G3127" s="1" t="s">
        <v>12480</v>
      </c>
      <c r="H3127" s="1" t="s">
        <v>12366</v>
      </c>
      <c r="I3127" s="2">
        <v>24.22</v>
      </c>
      <c r="J3127" s="2">
        <v>2.2400000000000002</v>
      </c>
      <c r="K3127" s="2">
        <v>2.02</v>
      </c>
      <c r="L3127" s="2">
        <v>2.39</v>
      </c>
      <c r="M3127" s="4">
        <f t="shared" si="288"/>
        <v>11.990099009900989</v>
      </c>
      <c r="N3127" s="4">
        <f t="shared" si="289"/>
        <v>10.13389121338912</v>
      </c>
      <c r="O3127" s="5">
        <f t="shared" si="290"/>
        <v>-9.8214285714285809E-2</v>
      </c>
      <c r="P3127" s="5">
        <f t="shared" si="291"/>
        <v>0.18316831683168311</v>
      </c>
      <c r="Q3127" s="4">
        <f t="shared" si="292"/>
        <v>-1.2208100810080997</v>
      </c>
      <c r="R3127" s="4">
        <f t="shared" si="293"/>
        <v>0.55325568246070356</v>
      </c>
      <c r="S3127" s="4">
        <v>3.75</v>
      </c>
      <c r="T3127" s="2">
        <v>0.56000000000000005</v>
      </c>
      <c r="U3127" s="2">
        <v>40.93</v>
      </c>
      <c r="V3127" s="2">
        <v>19.78</v>
      </c>
      <c r="W3127" s="2">
        <v>7.17</v>
      </c>
      <c r="X3127" s="2">
        <v>0.5</v>
      </c>
      <c r="Y3127" s="2">
        <v>-20.95</v>
      </c>
      <c r="Z3127" s="2">
        <v>-20.3</v>
      </c>
    </row>
    <row r="3128" spans="1:26" x14ac:dyDescent="0.25">
      <c r="A3128" s="1" t="s">
        <v>12367</v>
      </c>
      <c r="B3128" s="1" t="s">
        <v>12367</v>
      </c>
      <c r="C3128" s="1" t="s">
        <v>16</v>
      </c>
      <c r="D3128" s="1" t="s">
        <v>147</v>
      </c>
      <c r="E3128" s="1" t="s">
        <v>1073</v>
      </c>
      <c r="F3128" s="1" t="s">
        <v>12368</v>
      </c>
      <c r="G3128" s="1" t="s">
        <v>12480</v>
      </c>
      <c r="H3128" s="1" t="s">
        <v>12369</v>
      </c>
      <c r="I3128" s="2">
        <v>40.39</v>
      </c>
      <c r="J3128" s="2">
        <v>2.48</v>
      </c>
      <c r="K3128" s="2">
        <v>2.84</v>
      </c>
      <c r="L3128" s="2">
        <v>3.25</v>
      </c>
      <c r="M3128" s="4">
        <f t="shared" si="288"/>
        <v>14.221830985915494</v>
      </c>
      <c r="N3128" s="4">
        <f t="shared" si="289"/>
        <v>12.427692307692308</v>
      </c>
      <c r="O3128" s="5">
        <f t="shared" si="290"/>
        <v>0.14516129032258052</v>
      </c>
      <c r="P3128" s="5">
        <f t="shared" si="291"/>
        <v>0.14436619718309873</v>
      </c>
      <c r="Q3128" s="4">
        <f t="shared" si="292"/>
        <v>0.97972613458529045</v>
      </c>
      <c r="R3128" s="4">
        <f t="shared" si="293"/>
        <v>0.86084502814258823</v>
      </c>
      <c r="S3128" s="4">
        <v>2.11</v>
      </c>
      <c r="T3128" s="2">
        <v>1.77</v>
      </c>
      <c r="U3128" s="2">
        <v>50.77</v>
      </c>
      <c r="V3128" s="2">
        <v>26.94</v>
      </c>
      <c r="W3128" s="2">
        <v>-6.91</v>
      </c>
      <c r="X3128" s="2">
        <v>-13.46</v>
      </c>
      <c r="Y3128" s="2">
        <v>-6.85</v>
      </c>
      <c r="Z3128" s="2">
        <v>-8.56</v>
      </c>
    </row>
    <row r="3129" spans="1:26" x14ac:dyDescent="0.25">
      <c r="A3129" s="1" t="s">
        <v>12370</v>
      </c>
      <c r="B3129" s="1" t="s">
        <v>12371</v>
      </c>
      <c r="C3129" s="1" t="s">
        <v>31</v>
      </c>
      <c r="D3129" s="1" t="s">
        <v>305</v>
      </c>
      <c r="E3129" s="1" t="s">
        <v>1176</v>
      </c>
      <c r="F3129" s="1" t="s">
        <v>12372</v>
      </c>
      <c r="G3129" s="1" t="s">
        <v>12480</v>
      </c>
      <c r="H3129" s="1" t="s">
        <v>12373</v>
      </c>
      <c r="I3129" s="2">
        <v>14.29</v>
      </c>
      <c r="J3129" s="2">
        <v>0.22</v>
      </c>
      <c r="K3129" s="2">
        <v>1.24</v>
      </c>
      <c r="L3129" s="2">
        <v>1.44</v>
      </c>
      <c r="M3129" s="4">
        <f t="shared" si="288"/>
        <v>11.524193548387096</v>
      </c>
      <c r="N3129" s="4">
        <f t="shared" si="289"/>
        <v>9.9236111111111107</v>
      </c>
      <c r="O3129" s="5">
        <f t="shared" si="290"/>
        <v>4.6363636363636367</v>
      </c>
      <c r="P3129" s="5">
        <f t="shared" si="291"/>
        <v>0.16129032258064502</v>
      </c>
      <c r="Q3129" s="4">
        <f t="shared" si="292"/>
        <v>2.4856103731815304E-2</v>
      </c>
      <c r="R3129" s="4">
        <f t="shared" si="293"/>
        <v>0.61526388888888939</v>
      </c>
      <c r="S3129" s="4">
        <v>-0.51</v>
      </c>
      <c r="T3129" s="2">
        <v>0.39</v>
      </c>
      <c r="U3129" s="2">
        <v>16.600000000000001</v>
      </c>
      <c r="V3129" s="2">
        <v>12.78</v>
      </c>
      <c r="W3129" s="2">
        <v>-4.92</v>
      </c>
      <c r="X3129" s="2">
        <v>0.78</v>
      </c>
      <c r="Y3129" s="2">
        <v>-7.93</v>
      </c>
      <c r="Z3129" s="2">
        <v>-3.64</v>
      </c>
    </row>
    <row r="3130" spans="1:26" x14ac:dyDescent="0.25">
      <c r="A3130" s="1" t="s">
        <v>12374</v>
      </c>
      <c r="B3130" s="1" t="s">
        <v>12375</v>
      </c>
      <c r="C3130" s="1" t="s">
        <v>16</v>
      </c>
      <c r="D3130" s="1" t="s">
        <v>140</v>
      </c>
      <c r="E3130" s="1" t="s">
        <v>284</v>
      </c>
      <c r="F3130" s="1" t="s">
        <v>12376</v>
      </c>
      <c r="G3130" s="1" t="s">
        <v>12480</v>
      </c>
      <c r="H3130" s="1" t="s">
        <v>12377</v>
      </c>
      <c r="I3130" s="2">
        <v>9.09</v>
      </c>
      <c r="J3130" s="2">
        <v>0.52</v>
      </c>
      <c r="K3130" s="2">
        <v>0.69</v>
      </c>
      <c r="L3130" s="2">
        <v>0.83</v>
      </c>
      <c r="M3130" s="4">
        <f t="shared" si="288"/>
        <v>13.173913043478262</v>
      </c>
      <c r="N3130" s="4">
        <f t="shared" si="289"/>
        <v>10.951807228915664</v>
      </c>
      <c r="O3130" s="5">
        <f t="shared" si="290"/>
        <v>0.32692307692307687</v>
      </c>
      <c r="P3130" s="5">
        <f t="shared" si="291"/>
        <v>0.20289855072463769</v>
      </c>
      <c r="Q3130" s="4">
        <f t="shared" si="292"/>
        <v>0.40296675191815867</v>
      </c>
      <c r="R3130" s="4">
        <f t="shared" si="293"/>
        <v>0.53976764199655769</v>
      </c>
      <c r="S3130" s="4">
        <v>29.58</v>
      </c>
      <c r="T3130" s="2">
        <v>0.23</v>
      </c>
      <c r="U3130" s="2" t="s">
        <v>12501</v>
      </c>
      <c r="V3130" s="2">
        <v>8.94</v>
      </c>
      <c r="W3130" s="2">
        <v>-2.4700000000000002</v>
      </c>
      <c r="X3130" s="2">
        <v>-8.3699999999999992</v>
      </c>
      <c r="Y3130" s="2">
        <v>-18.62</v>
      </c>
      <c r="Z3130" s="2">
        <v>-15.28</v>
      </c>
    </row>
    <row r="3131" spans="1:26" x14ac:dyDescent="0.25">
      <c r="A3131" s="1" t="s">
        <v>12378</v>
      </c>
      <c r="B3131" s="1" t="s">
        <v>12379</v>
      </c>
      <c r="C3131" s="1" t="s">
        <v>16</v>
      </c>
      <c r="D3131" s="1" t="s">
        <v>32</v>
      </c>
      <c r="E3131" s="1" t="s">
        <v>311</v>
      </c>
      <c r="F3131" s="1" t="s">
        <v>12380</v>
      </c>
      <c r="G3131" s="1" t="s">
        <v>12480</v>
      </c>
      <c r="H3131" s="1" t="s">
        <v>12381</v>
      </c>
      <c r="I3131" s="2">
        <v>46.23</v>
      </c>
      <c r="J3131" s="2">
        <v>1.1200000000000001</v>
      </c>
      <c r="K3131" s="2">
        <v>1.61</v>
      </c>
      <c r="L3131" s="2">
        <v>2.14</v>
      </c>
      <c r="M3131" s="4">
        <f t="shared" si="288"/>
        <v>28.714285714285712</v>
      </c>
      <c r="N3131" s="4">
        <f t="shared" si="289"/>
        <v>21.602803738317753</v>
      </c>
      <c r="O3131" s="5">
        <f t="shared" si="290"/>
        <v>0.4375</v>
      </c>
      <c r="P3131" s="5">
        <f t="shared" si="291"/>
        <v>0.329192546583851</v>
      </c>
      <c r="Q3131" s="4">
        <f t="shared" si="292"/>
        <v>0.65632653061224488</v>
      </c>
      <c r="R3131" s="4">
        <f t="shared" si="293"/>
        <v>0.65623611356021838</v>
      </c>
      <c r="S3131" s="4">
        <v>16.91</v>
      </c>
      <c r="T3131" s="2">
        <v>1.1299999999999999</v>
      </c>
      <c r="U3131" s="2">
        <v>48.92</v>
      </c>
      <c r="V3131" s="2">
        <v>23.96</v>
      </c>
      <c r="W3131" s="2">
        <v>-3.77</v>
      </c>
      <c r="X3131" s="2">
        <v>40.01</v>
      </c>
      <c r="Y3131" s="2">
        <v>18.93</v>
      </c>
      <c r="Z3131" s="2">
        <v>31.78</v>
      </c>
    </row>
    <row r="3132" spans="1:26" x14ac:dyDescent="0.25">
      <c r="A3132" s="1" t="s">
        <v>12382</v>
      </c>
      <c r="B3132" s="1" t="s">
        <v>12383</v>
      </c>
      <c r="C3132" s="1" t="s">
        <v>16</v>
      </c>
      <c r="D3132" s="1" t="s">
        <v>94</v>
      </c>
      <c r="E3132" s="1" t="s">
        <v>1948</v>
      </c>
      <c r="F3132" s="1" t="s">
        <v>12384</v>
      </c>
      <c r="G3132" s="1" t="s">
        <v>12480</v>
      </c>
      <c r="H3132" s="1" t="s">
        <v>12385</v>
      </c>
      <c r="I3132" s="2">
        <v>36.78</v>
      </c>
      <c r="J3132" s="2">
        <v>-2.0499999999999998</v>
      </c>
      <c r="K3132" s="2">
        <v>2.86</v>
      </c>
      <c r="L3132" s="2">
        <v>5.14</v>
      </c>
      <c r="M3132" s="4">
        <f t="shared" si="288"/>
        <v>12.860139860139862</v>
      </c>
      <c r="N3132" s="4">
        <f t="shared" si="289"/>
        <v>7.1556420233463038</v>
      </c>
      <c r="O3132" s="5">
        <f t="shared" si="290"/>
        <v>-2.3951219512195125</v>
      </c>
      <c r="P3132" s="5">
        <f t="shared" si="291"/>
        <v>0.79720279720279708</v>
      </c>
      <c r="Q3132" s="4">
        <f t="shared" si="292"/>
        <v>-5.3693048295899617E-2</v>
      </c>
      <c r="R3132" s="4">
        <f t="shared" si="293"/>
        <v>8.9759369240221196E-2</v>
      </c>
      <c r="S3132" s="4">
        <v>-4.38</v>
      </c>
      <c r="T3132" s="2">
        <v>1.44</v>
      </c>
      <c r="U3132" s="2">
        <v>39.79</v>
      </c>
      <c r="V3132" s="2">
        <v>23.57</v>
      </c>
      <c r="W3132" s="2">
        <v>4.05</v>
      </c>
      <c r="X3132" s="2">
        <v>-3.94</v>
      </c>
      <c r="Y3132" s="2">
        <v>4.76</v>
      </c>
      <c r="Z3132" s="2">
        <v>1.71</v>
      </c>
    </row>
    <row r="3133" spans="1:26" x14ac:dyDescent="0.25">
      <c r="A3133" s="1" t="s">
        <v>12386</v>
      </c>
      <c r="B3133" s="1" t="s">
        <v>12387</v>
      </c>
      <c r="C3133" s="1" t="s">
        <v>16</v>
      </c>
      <c r="D3133" s="1" t="s">
        <v>204</v>
      </c>
      <c r="E3133" s="1" t="s">
        <v>205</v>
      </c>
      <c r="F3133" s="1" t="s">
        <v>12388</v>
      </c>
      <c r="G3133" s="1" t="s">
        <v>12480</v>
      </c>
      <c r="H3133" s="1" t="s">
        <v>689</v>
      </c>
      <c r="I3133" s="2">
        <v>21.65</v>
      </c>
      <c r="J3133" s="2"/>
      <c r="K3133" s="2">
        <v>-0.06</v>
      </c>
      <c r="L3133" s="2">
        <v>0.57999999999999996</v>
      </c>
      <c r="M3133" s="4">
        <f t="shared" si="288"/>
        <v>-360.83333333333331</v>
      </c>
      <c r="N3133" s="4">
        <f t="shared" si="289"/>
        <v>37.327586206896555</v>
      </c>
      <c r="O3133" s="5" t="e">
        <f t="shared" si="290"/>
        <v>#DIV/0!</v>
      </c>
      <c r="P3133" s="5">
        <f t="shared" si="291"/>
        <v>-10.666666666666666</v>
      </c>
      <c r="Q3133" s="4" t="e">
        <f t="shared" si="292"/>
        <v>#DIV/0!</v>
      </c>
      <c r="R3133" s="4">
        <f t="shared" si="293"/>
        <v>-3.4994612068965522E-2</v>
      </c>
      <c r="S3133" s="4"/>
      <c r="T3133" s="2"/>
      <c r="U3133" s="2">
        <v>33.950000000000003</v>
      </c>
      <c r="V3133" s="2">
        <v>21.4</v>
      </c>
      <c r="W3133" s="2">
        <v>-16.73</v>
      </c>
      <c r="X3133" s="2">
        <v>-17.399999999999999</v>
      </c>
      <c r="Y3133" s="2"/>
      <c r="Z3133" s="2"/>
    </row>
    <row r="3134" spans="1:26" x14ac:dyDescent="0.25">
      <c r="A3134" s="1" t="s">
        <v>12389</v>
      </c>
      <c r="B3134" s="1" t="s">
        <v>12390</v>
      </c>
      <c r="C3134" s="1" t="s">
        <v>31</v>
      </c>
      <c r="D3134" s="1" t="s">
        <v>147</v>
      </c>
      <c r="E3134" s="1" t="s">
        <v>279</v>
      </c>
      <c r="F3134" s="1" t="s">
        <v>12391</v>
      </c>
      <c r="G3134" s="1" t="s">
        <v>12480</v>
      </c>
      <c r="H3134" s="1" t="s">
        <v>12392</v>
      </c>
      <c r="I3134" s="2">
        <v>11.7075</v>
      </c>
      <c r="J3134" s="2">
        <v>1.22</v>
      </c>
      <c r="K3134" s="2"/>
      <c r="L3134" s="2"/>
      <c r="M3134" s="4" t="e">
        <f t="shared" si="288"/>
        <v>#DIV/0!</v>
      </c>
      <c r="N3134" s="4" t="e">
        <f t="shared" si="289"/>
        <v>#DIV/0!</v>
      </c>
      <c r="O3134" s="5">
        <f t="shared" si="290"/>
        <v>-1</v>
      </c>
      <c r="P3134" s="5" t="e">
        <f t="shared" si="291"/>
        <v>#DIV/0!</v>
      </c>
      <c r="Q3134" s="4" t="e">
        <f t="shared" si="292"/>
        <v>#DIV/0!</v>
      </c>
      <c r="R3134" s="4" t="e">
        <f t="shared" si="293"/>
        <v>#DIV/0!</v>
      </c>
      <c r="S3134" s="4">
        <v>3.7</v>
      </c>
      <c r="T3134" s="2">
        <v>0.56999999999999995</v>
      </c>
      <c r="U3134" s="2">
        <v>12.61</v>
      </c>
      <c r="V3134" s="2">
        <v>6.51</v>
      </c>
      <c r="W3134" s="2">
        <v>-1.87</v>
      </c>
      <c r="X3134" s="2">
        <v>1.33</v>
      </c>
      <c r="Y3134" s="2">
        <v>6.34</v>
      </c>
      <c r="Z3134" s="2">
        <v>13.66</v>
      </c>
    </row>
    <row r="3135" spans="1:26" x14ac:dyDescent="0.25">
      <c r="A3135" s="1" t="s">
        <v>12393</v>
      </c>
      <c r="B3135" s="1" t="s">
        <v>12394</v>
      </c>
      <c r="C3135" s="1" t="s">
        <v>16</v>
      </c>
      <c r="D3135" s="1" t="s">
        <v>67</v>
      </c>
      <c r="E3135" s="1" t="s">
        <v>1037</v>
      </c>
      <c r="F3135" s="1" t="s">
        <v>12395</v>
      </c>
      <c r="G3135" s="1" t="s">
        <v>12480</v>
      </c>
      <c r="H3135" s="1" t="s">
        <v>12396</v>
      </c>
      <c r="I3135" s="2">
        <v>159.85</v>
      </c>
      <c r="J3135" s="2">
        <v>6.05</v>
      </c>
      <c r="K3135" s="2">
        <v>6.64</v>
      </c>
      <c r="L3135" s="2">
        <v>7.38</v>
      </c>
      <c r="M3135" s="4">
        <f t="shared" si="288"/>
        <v>24.073795180722893</v>
      </c>
      <c r="N3135" s="4">
        <f t="shared" si="289"/>
        <v>21.659891598915987</v>
      </c>
      <c r="O3135" s="5">
        <f t="shared" si="290"/>
        <v>9.7520661157024735E-2</v>
      </c>
      <c r="P3135" s="5">
        <f t="shared" si="291"/>
        <v>0.11144578313253017</v>
      </c>
      <c r="Q3135" s="4">
        <f t="shared" si="292"/>
        <v>2.4685840820910778</v>
      </c>
      <c r="R3135" s="4">
        <f t="shared" si="293"/>
        <v>1.9435362191459742</v>
      </c>
      <c r="S3135" s="4">
        <v>8.81</v>
      </c>
      <c r="T3135" s="2">
        <v>0.64</v>
      </c>
      <c r="U3135" s="2">
        <v>168.16</v>
      </c>
      <c r="V3135" s="2">
        <v>138.21</v>
      </c>
      <c r="W3135" s="2">
        <v>-1.88</v>
      </c>
      <c r="X3135" s="2">
        <v>0.6</v>
      </c>
      <c r="Y3135" s="2">
        <v>3.92</v>
      </c>
      <c r="Z3135" s="2">
        <v>5.66</v>
      </c>
    </row>
    <row r="3136" spans="1:26" x14ac:dyDescent="0.25">
      <c r="A3136" s="1" t="s">
        <v>12397</v>
      </c>
      <c r="B3136" s="1" t="s">
        <v>12398</v>
      </c>
      <c r="C3136" s="1" t="s">
        <v>16</v>
      </c>
      <c r="D3136" s="1" t="s">
        <v>67</v>
      </c>
      <c r="E3136" s="1" t="s">
        <v>1037</v>
      </c>
      <c r="F3136" s="1" t="s">
        <v>12399</v>
      </c>
      <c r="G3136" s="1" t="s">
        <v>12480</v>
      </c>
      <c r="H3136" s="1" t="s">
        <v>12400</v>
      </c>
      <c r="I3136" s="2">
        <v>53.38</v>
      </c>
      <c r="J3136" s="2">
        <v>2.5099999999999998</v>
      </c>
      <c r="K3136" s="2">
        <v>2.91</v>
      </c>
      <c r="L3136" s="2">
        <v>3.35</v>
      </c>
      <c r="M3136" s="4">
        <f t="shared" si="288"/>
        <v>18.343642611683848</v>
      </c>
      <c r="N3136" s="4">
        <f t="shared" si="289"/>
        <v>15.934328358208955</v>
      </c>
      <c r="O3136" s="5">
        <f t="shared" si="290"/>
        <v>0.15936254980079689</v>
      </c>
      <c r="P3136" s="5">
        <f t="shared" si="291"/>
        <v>0.15120274914089338</v>
      </c>
      <c r="Q3136" s="4">
        <f t="shared" si="292"/>
        <v>1.1510635738831609</v>
      </c>
      <c r="R3136" s="4">
        <f t="shared" si="293"/>
        <v>1.0538385345997292</v>
      </c>
      <c r="S3136" s="4">
        <v>4.37</v>
      </c>
      <c r="T3136" s="2">
        <v>0.11</v>
      </c>
      <c r="U3136" s="2">
        <v>57.95</v>
      </c>
      <c r="V3136" s="2">
        <v>41.37</v>
      </c>
      <c r="W3136" s="2">
        <v>-0.22</v>
      </c>
      <c r="X3136" s="2">
        <v>-7.17</v>
      </c>
      <c r="Y3136" s="2">
        <v>11.16</v>
      </c>
      <c r="Z3136" s="2">
        <v>11.81</v>
      </c>
    </row>
    <row r="3137" spans="1:26" x14ac:dyDescent="0.25">
      <c r="A3137" s="1" t="s">
        <v>12401</v>
      </c>
      <c r="B3137" s="1" t="s">
        <v>12402</v>
      </c>
      <c r="C3137" s="1" t="s">
        <v>31</v>
      </c>
      <c r="D3137" s="1" t="s">
        <v>94</v>
      </c>
      <c r="E3137" s="1" t="s">
        <v>1027</v>
      </c>
      <c r="F3137" s="1" t="s">
        <v>12403</v>
      </c>
      <c r="G3137" s="1" t="s">
        <v>12480</v>
      </c>
      <c r="H3137" s="1" t="s">
        <v>12404</v>
      </c>
      <c r="I3137" s="2">
        <v>19.149999999999999</v>
      </c>
      <c r="J3137" s="2">
        <v>2.59</v>
      </c>
      <c r="K3137" s="2">
        <v>1.89</v>
      </c>
      <c r="L3137" s="2">
        <v>1.86</v>
      </c>
      <c r="M3137" s="4">
        <f t="shared" si="288"/>
        <v>10.132275132275131</v>
      </c>
      <c r="N3137" s="4">
        <f t="shared" si="289"/>
        <v>10.295698924731182</v>
      </c>
      <c r="O3137" s="5">
        <f t="shared" si="290"/>
        <v>-0.27027027027027029</v>
      </c>
      <c r="P3137" s="5">
        <f t="shared" si="291"/>
        <v>-1.5873015873015817E-2</v>
      </c>
      <c r="Q3137" s="4">
        <f t="shared" si="292"/>
        <v>-0.37489417989417984</v>
      </c>
      <c r="R3137" s="4">
        <f t="shared" si="293"/>
        <v>-6.4862903225806674</v>
      </c>
      <c r="S3137" s="4">
        <v>3.37</v>
      </c>
      <c r="T3137" s="2">
        <v>0.19</v>
      </c>
      <c r="U3137" s="2">
        <v>19.149999999999999</v>
      </c>
      <c r="V3137" s="2">
        <v>9.4</v>
      </c>
      <c r="W3137" s="2">
        <v>4.1900000000000004</v>
      </c>
      <c r="X3137" s="2">
        <v>17.920000000000002</v>
      </c>
      <c r="Y3137" s="2">
        <v>53.2</v>
      </c>
      <c r="Z3137" s="2">
        <v>54.94</v>
      </c>
    </row>
    <row r="3138" spans="1:26" x14ac:dyDescent="0.25">
      <c r="A3138" s="1" t="s">
        <v>12405</v>
      </c>
      <c r="B3138" s="1" t="s">
        <v>12406</v>
      </c>
      <c r="C3138" s="1" t="s">
        <v>45</v>
      </c>
      <c r="D3138" s="1" t="s">
        <v>32</v>
      </c>
      <c r="E3138" s="1" t="s">
        <v>565</v>
      </c>
      <c r="F3138" s="1" t="s">
        <v>12407</v>
      </c>
      <c r="G3138" s="1" t="s">
        <v>12480</v>
      </c>
      <c r="H3138" s="1" t="s">
        <v>12408</v>
      </c>
      <c r="I3138" s="2">
        <v>45.25</v>
      </c>
      <c r="J3138" s="2">
        <v>1.64</v>
      </c>
      <c r="K3138" s="2">
        <v>2.1</v>
      </c>
      <c r="L3138" s="2">
        <v>2.7</v>
      </c>
      <c r="M3138" s="4">
        <f t="shared" si="288"/>
        <v>21.547619047619047</v>
      </c>
      <c r="N3138" s="4">
        <f t="shared" si="289"/>
        <v>16.75925925925926</v>
      </c>
      <c r="O3138" s="5">
        <f t="shared" si="290"/>
        <v>0.28048780487804881</v>
      </c>
      <c r="P3138" s="5">
        <f t="shared" si="291"/>
        <v>0.28571428571428581</v>
      </c>
      <c r="Q3138" s="4">
        <f t="shared" si="292"/>
        <v>0.76821946169772248</v>
      </c>
      <c r="R3138" s="4">
        <f t="shared" si="293"/>
        <v>0.58657407407407391</v>
      </c>
      <c r="S3138" s="4">
        <v>15.52</v>
      </c>
      <c r="T3138" s="2">
        <v>2.1</v>
      </c>
      <c r="U3138" s="2">
        <v>90.32</v>
      </c>
      <c r="V3138" s="2">
        <v>42.83</v>
      </c>
      <c r="W3138" s="2">
        <v>3.93</v>
      </c>
      <c r="X3138" s="2">
        <v>-16.64</v>
      </c>
      <c r="Y3138" s="2">
        <v>-33.83</v>
      </c>
      <c r="Z3138" s="2">
        <v>-33.67</v>
      </c>
    </row>
    <row r="3139" spans="1:26" x14ac:dyDescent="0.25">
      <c r="A3139" s="1" t="s">
        <v>12409</v>
      </c>
      <c r="B3139" s="1" t="s">
        <v>12410</v>
      </c>
      <c r="C3139" s="1" t="s">
        <v>16</v>
      </c>
      <c r="D3139" s="1" t="s">
        <v>18</v>
      </c>
      <c r="E3139" s="1" t="s">
        <v>19</v>
      </c>
      <c r="F3139" s="1" t="s">
        <v>12411</v>
      </c>
      <c r="G3139" s="1" t="s">
        <v>12480</v>
      </c>
      <c r="H3139" s="1" t="s">
        <v>12412</v>
      </c>
      <c r="I3139" s="2">
        <v>93.28</v>
      </c>
      <c r="J3139" s="2">
        <v>8.1999999999999993</v>
      </c>
      <c r="K3139" s="2">
        <v>8.4</v>
      </c>
      <c r="L3139" s="2">
        <v>8.9499999999999993</v>
      </c>
      <c r="M3139" s="4">
        <f t="shared" ref="M3139:M3157" si="294">I3139/K3139</f>
        <v>11.104761904761904</v>
      </c>
      <c r="N3139" s="4">
        <f t="shared" ref="N3139:N3157" si="295">I3139/L3139</f>
        <v>10.422346368715084</v>
      </c>
      <c r="O3139" s="5">
        <f t="shared" ref="O3139:O3157" si="296">K3139/J3139-1</f>
        <v>2.4390243902439046E-2</v>
      </c>
      <c r="P3139" s="5">
        <f t="shared" ref="P3139:P3157" si="297">L3139/K3139-1</f>
        <v>6.5476190476190244E-2</v>
      </c>
      <c r="Q3139" s="4">
        <f t="shared" ref="Q3139:Q3157" si="298">M3139/(O3139*100)</f>
        <v>4.5529523809523766</v>
      </c>
      <c r="R3139" s="4">
        <f t="shared" ref="R3139:R3157" si="299">N3139/(P3139*100)</f>
        <v>1.5917765363128549</v>
      </c>
      <c r="S3139" s="4">
        <v>7.2</v>
      </c>
      <c r="T3139" s="2">
        <v>0.57999999999999996</v>
      </c>
      <c r="U3139" s="2">
        <v>113.18</v>
      </c>
      <c r="V3139" s="2">
        <v>85.71</v>
      </c>
      <c r="W3139" s="2">
        <v>-6.24</v>
      </c>
      <c r="X3139" s="2">
        <v>3.96</v>
      </c>
      <c r="Y3139" s="2">
        <v>0.92</v>
      </c>
      <c r="Z3139" s="2">
        <v>3.74</v>
      </c>
    </row>
    <row r="3140" spans="1:26" x14ac:dyDescent="0.25">
      <c r="A3140" s="1" t="s">
        <v>12413</v>
      </c>
      <c r="B3140" s="1" t="s">
        <v>12414</v>
      </c>
      <c r="C3140" s="1" t="s">
        <v>45</v>
      </c>
      <c r="D3140" s="1" t="s">
        <v>18</v>
      </c>
      <c r="E3140" s="1" t="s">
        <v>74</v>
      </c>
      <c r="F3140" s="1" t="s">
        <v>12415</v>
      </c>
      <c r="G3140" s="1" t="s">
        <v>12480</v>
      </c>
      <c r="H3140" s="1" t="s">
        <v>12416</v>
      </c>
      <c r="I3140" s="2">
        <v>26.14</v>
      </c>
      <c r="J3140" s="2"/>
      <c r="K3140" s="2">
        <v>-4.1399999999999997</v>
      </c>
      <c r="L3140" s="2">
        <v>-2.75</v>
      </c>
      <c r="M3140" s="4">
        <f t="shared" si="294"/>
        <v>-6.3140096618357493</v>
      </c>
      <c r="N3140" s="4">
        <f t="shared" si="295"/>
        <v>-9.5054545454545458</v>
      </c>
      <c r="O3140" s="5" t="e">
        <f t="shared" si="296"/>
        <v>#DIV/0!</v>
      </c>
      <c r="P3140" s="5">
        <f t="shared" si="297"/>
        <v>-0.33574879227053134</v>
      </c>
      <c r="Q3140" s="4" t="e">
        <f t="shared" si="298"/>
        <v>#DIV/0!</v>
      </c>
      <c r="R3140" s="4">
        <f t="shared" si="299"/>
        <v>0.28311209941138005</v>
      </c>
      <c r="S3140" s="4">
        <v>-90</v>
      </c>
      <c r="T3140" s="2">
        <v>-1.94</v>
      </c>
      <c r="U3140" s="2">
        <v>43.17</v>
      </c>
      <c r="V3140" s="2">
        <v>6.77</v>
      </c>
      <c r="W3140" s="2">
        <v>2.27</v>
      </c>
      <c r="X3140" s="2">
        <v>16.28</v>
      </c>
      <c r="Y3140" s="2">
        <v>-19.79</v>
      </c>
      <c r="Z3140" s="2">
        <v>-28.01</v>
      </c>
    </row>
    <row r="3141" spans="1:26" x14ac:dyDescent="0.25">
      <c r="A3141" s="1" t="s">
        <v>12417</v>
      </c>
      <c r="B3141" s="1" t="s">
        <v>12418</v>
      </c>
      <c r="C3141" s="1" t="s">
        <v>45</v>
      </c>
      <c r="D3141" s="1" t="s">
        <v>25</v>
      </c>
      <c r="E3141" s="1" t="s">
        <v>2173</v>
      </c>
      <c r="F3141" s="1" t="s">
        <v>12419</v>
      </c>
      <c r="G3141" s="1" t="s">
        <v>12480</v>
      </c>
      <c r="H3141" s="1" t="s">
        <v>12420</v>
      </c>
      <c r="I3141" s="2">
        <v>213.78</v>
      </c>
      <c r="J3141" s="2">
        <v>15.84</v>
      </c>
      <c r="K3141" s="2" t="s">
        <v>12518</v>
      </c>
      <c r="L3141" s="2">
        <v>19.760000000000002</v>
      </c>
      <c r="M3141" s="4">
        <f t="shared" si="294"/>
        <v>11.876666666666667</v>
      </c>
      <c r="N3141" s="4">
        <f t="shared" si="295"/>
        <v>10.818825910931173</v>
      </c>
      <c r="O3141" s="5">
        <f t="shared" si="296"/>
        <v>0.13636363636363646</v>
      </c>
      <c r="P3141" s="5">
        <f t="shared" si="297"/>
        <v>9.7777777777777963E-2</v>
      </c>
      <c r="Q3141" s="4">
        <f t="shared" si="298"/>
        <v>0.87095555555555493</v>
      </c>
      <c r="R3141" s="4">
        <f t="shared" si="299"/>
        <v>1.1064708317997769</v>
      </c>
      <c r="S3141" s="4">
        <v>8.33</v>
      </c>
      <c r="T3141" s="2">
        <v>1.65</v>
      </c>
      <c r="U3141" s="2">
        <v>341.36</v>
      </c>
      <c r="V3141" s="2">
        <v>213.54</v>
      </c>
      <c r="W3141" s="2">
        <v>-4.53</v>
      </c>
      <c r="X3141" s="2">
        <v>-17.07</v>
      </c>
      <c r="Y3141" s="2">
        <v>-19.420000000000002</v>
      </c>
      <c r="Z3141" s="2">
        <v>-11.96</v>
      </c>
    </row>
    <row r="3142" spans="1:26" x14ac:dyDescent="0.25">
      <c r="A3142" s="1" t="s">
        <v>12421</v>
      </c>
      <c r="B3142" s="1" t="s">
        <v>12422</v>
      </c>
      <c r="C3142" s="1" t="s">
        <v>45</v>
      </c>
      <c r="D3142" s="1" t="s">
        <v>32</v>
      </c>
      <c r="E3142" s="1" t="s">
        <v>311</v>
      </c>
      <c r="F3142" s="1" t="s">
        <v>12423</v>
      </c>
      <c r="G3142" s="1" t="s">
        <v>12480</v>
      </c>
      <c r="H3142" s="1" t="s">
        <v>9586</v>
      </c>
      <c r="I3142" s="2">
        <v>40.24</v>
      </c>
      <c r="J3142" s="2">
        <v>6.63</v>
      </c>
      <c r="K3142" s="2">
        <v>7.14</v>
      </c>
      <c r="L3142" s="2">
        <v>7.48</v>
      </c>
      <c r="M3142" s="4">
        <f t="shared" si="294"/>
        <v>5.6358543417366951</v>
      </c>
      <c r="N3142" s="4">
        <f t="shared" si="295"/>
        <v>5.3796791443850269</v>
      </c>
      <c r="O3142" s="5">
        <f t="shared" si="296"/>
        <v>7.6923076923076872E-2</v>
      </c>
      <c r="P3142" s="5">
        <f t="shared" si="297"/>
        <v>4.7619047619047672E-2</v>
      </c>
      <c r="Q3142" s="4">
        <f t="shared" si="298"/>
        <v>0.73266106442577084</v>
      </c>
      <c r="R3142" s="4">
        <f t="shared" si="299"/>
        <v>1.1297326203208544</v>
      </c>
      <c r="S3142" s="4">
        <v>3.54</v>
      </c>
      <c r="T3142" s="2">
        <v>1.5</v>
      </c>
      <c r="U3142" s="2">
        <v>43.65</v>
      </c>
      <c r="V3142" s="2">
        <v>26.51</v>
      </c>
      <c r="W3142" s="2">
        <v>43.66</v>
      </c>
      <c r="X3142" s="2">
        <v>25.2</v>
      </c>
      <c r="Y3142" s="2">
        <v>10.31</v>
      </c>
      <c r="Z3142" s="2">
        <v>14.48</v>
      </c>
    </row>
    <row r="3143" spans="1:26" x14ac:dyDescent="0.25">
      <c r="A3143" s="1" t="s">
        <v>12424</v>
      </c>
      <c r="B3143" s="1" t="s">
        <v>12425</v>
      </c>
      <c r="C3143" s="1" t="s">
        <v>16</v>
      </c>
      <c r="D3143" s="1" t="s">
        <v>140</v>
      </c>
      <c r="E3143" s="1" t="s">
        <v>284</v>
      </c>
      <c r="F3143" s="1" t="s">
        <v>12426</v>
      </c>
      <c r="G3143" s="1" t="s">
        <v>12480</v>
      </c>
      <c r="H3143" s="1" t="s">
        <v>12427</v>
      </c>
      <c r="I3143" s="2">
        <v>19.079999999999998</v>
      </c>
      <c r="J3143" s="2">
        <v>0.73</v>
      </c>
      <c r="K3143" s="2">
        <v>0.98</v>
      </c>
      <c r="L3143" s="2">
        <v>1.19</v>
      </c>
      <c r="M3143" s="4">
        <f t="shared" si="294"/>
        <v>19.469387755102041</v>
      </c>
      <c r="N3143" s="4">
        <f t="shared" si="295"/>
        <v>16.033613445378151</v>
      </c>
      <c r="O3143" s="5">
        <f t="shared" si="296"/>
        <v>0.34246575342465757</v>
      </c>
      <c r="P3143" s="5">
        <f t="shared" si="297"/>
        <v>0.21428571428571419</v>
      </c>
      <c r="Q3143" s="4">
        <f t="shared" si="298"/>
        <v>0.56850612244897947</v>
      </c>
      <c r="R3143" s="4">
        <f t="shared" si="299"/>
        <v>0.74823529411764733</v>
      </c>
      <c r="S3143" s="4">
        <v>29.72</v>
      </c>
      <c r="T3143" s="2">
        <v>1.28</v>
      </c>
      <c r="U3143" s="2">
        <v>24.4</v>
      </c>
      <c r="V3143" s="2">
        <v>11.02</v>
      </c>
      <c r="W3143" s="2">
        <v>9.7799999999999994</v>
      </c>
      <c r="X3143" s="2">
        <v>12.43</v>
      </c>
      <c r="Y3143" s="2">
        <v>9.09</v>
      </c>
      <c r="Z3143" s="2">
        <v>-6.24</v>
      </c>
    </row>
    <row r="3144" spans="1:26" x14ac:dyDescent="0.25">
      <c r="A3144" s="1" t="s">
        <v>12428</v>
      </c>
      <c r="B3144" s="1" t="s">
        <v>12429</v>
      </c>
      <c r="C3144" s="1" t="s">
        <v>45</v>
      </c>
      <c r="D3144" s="1" t="s">
        <v>38</v>
      </c>
      <c r="E3144" s="1" t="s">
        <v>473</v>
      </c>
      <c r="F3144" s="1" t="s">
        <v>12430</v>
      </c>
      <c r="G3144" s="1" t="s">
        <v>12480</v>
      </c>
      <c r="H3144" s="1" t="s">
        <v>12408</v>
      </c>
      <c r="I3144" s="2">
        <v>45.14</v>
      </c>
      <c r="J3144" s="2">
        <v>1.64</v>
      </c>
      <c r="K3144" s="2">
        <v>2.1</v>
      </c>
      <c r="L3144" s="2">
        <v>2.7</v>
      </c>
      <c r="M3144" s="4">
        <f t="shared" si="294"/>
        <v>21.495238095238093</v>
      </c>
      <c r="N3144" s="4">
        <f t="shared" si="295"/>
        <v>16.718518518518518</v>
      </c>
      <c r="O3144" s="5">
        <f t="shared" si="296"/>
        <v>0.28048780487804881</v>
      </c>
      <c r="P3144" s="5">
        <f t="shared" si="297"/>
        <v>0.28571428571428581</v>
      </c>
      <c r="Q3144" s="4">
        <f t="shared" si="298"/>
        <v>0.76635196687370588</v>
      </c>
      <c r="R3144" s="4">
        <f t="shared" si="299"/>
        <v>0.58514814814814797</v>
      </c>
      <c r="S3144" s="4">
        <v>15.52</v>
      </c>
      <c r="T3144" s="2">
        <v>2.0499999999999998</v>
      </c>
      <c r="U3144" s="2">
        <v>86.76</v>
      </c>
      <c r="V3144" s="2">
        <v>42.81</v>
      </c>
      <c r="W3144" s="2">
        <v>3.3</v>
      </c>
      <c r="X3144" s="2">
        <v>-16.309999999999999</v>
      </c>
      <c r="Y3144" s="2">
        <v>-32.29</v>
      </c>
      <c r="Z3144" s="2">
        <v>-33.840000000000003</v>
      </c>
    </row>
    <row r="3145" spans="1:26" x14ac:dyDescent="0.25">
      <c r="A3145" s="1" t="s">
        <v>12431</v>
      </c>
      <c r="B3145" s="1" t="s">
        <v>12432</v>
      </c>
      <c r="C3145" s="1" t="s">
        <v>16</v>
      </c>
      <c r="D3145" s="1" t="s">
        <v>67</v>
      </c>
      <c r="E3145" s="1" t="s">
        <v>381</v>
      </c>
      <c r="F3145" s="1" t="s">
        <v>12433</v>
      </c>
      <c r="G3145" s="1" t="s">
        <v>12480</v>
      </c>
      <c r="H3145" s="1" t="s">
        <v>12434</v>
      </c>
      <c r="I3145" s="2">
        <v>10.41</v>
      </c>
      <c r="J3145" s="2">
        <v>0.32</v>
      </c>
      <c r="K3145" s="2">
        <v>0.47</v>
      </c>
      <c r="L3145" s="2">
        <v>0.64</v>
      </c>
      <c r="M3145" s="4">
        <f t="shared" si="294"/>
        <v>22.148936170212767</v>
      </c>
      <c r="N3145" s="4">
        <f t="shared" si="295"/>
        <v>16.265625</v>
      </c>
      <c r="O3145" s="5">
        <f t="shared" si="296"/>
        <v>0.46874999999999978</v>
      </c>
      <c r="P3145" s="5">
        <f t="shared" si="297"/>
        <v>0.36170212765957466</v>
      </c>
      <c r="Q3145" s="4">
        <f t="shared" si="298"/>
        <v>0.4725106382978726</v>
      </c>
      <c r="R3145" s="4">
        <f t="shared" si="299"/>
        <v>0.44969669117647038</v>
      </c>
      <c r="S3145" s="4">
        <v>2.21</v>
      </c>
      <c r="T3145" s="2">
        <v>0.7</v>
      </c>
      <c r="U3145" s="2">
        <v>11.84</v>
      </c>
      <c r="V3145" s="2">
        <v>6.18</v>
      </c>
      <c r="W3145" s="2">
        <v>-7.88</v>
      </c>
      <c r="X3145" s="2">
        <v>-0.86</v>
      </c>
      <c r="Y3145" s="2">
        <v>0.87</v>
      </c>
      <c r="Z3145" s="2">
        <v>1.56</v>
      </c>
    </row>
    <row r="3146" spans="1:26" x14ac:dyDescent="0.25">
      <c r="A3146" s="1" t="s">
        <v>12435</v>
      </c>
      <c r="B3146" s="1" t="s">
        <v>12436</v>
      </c>
      <c r="C3146" s="1" t="s">
        <v>16</v>
      </c>
      <c r="D3146" s="1" t="s">
        <v>46</v>
      </c>
      <c r="E3146" s="1" t="s">
        <v>770</v>
      </c>
      <c r="F3146" s="1" t="s">
        <v>12437</v>
      </c>
      <c r="G3146" s="1" t="s">
        <v>12480</v>
      </c>
      <c r="H3146" s="1" t="s">
        <v>8121</v>
      </c>
      <c r="I3146" s="2">
        <v>29.11</v>
      </c>
      <c r="J3146" s="2">
        <v>3.08</v>
      </c>
      <c r="K3146" s="2">
        <v>-7.27</v>
      </c>
      <c r="L3146" s="2">
        <v>-9.2799999999999994</v>
      </c>
      <c r="M3146" s="4">
        <f t="shared" si="294"/>
        <v>-4.0041265474552956</v>
      </c>
      <c r="N3146" s="4">
        <f t="shared" si="295"/>
        <v>-3.1368534482758621</v>
      </c>
      <c r="O3146" s="5">
        <f t="shared" si="296"/>
        <v>-3.36038961038961</v>
      </c>
      <c r="P3146" s="5">
        <f t="shared" si="297"/>
        <v>0.2764786795048142</v>
      </c>
      <c r="Q3146" s="4">
        <f t="shared" si="298"/>
        <v>1.1915661609818658E-2</v>
      </c>
      <c r="R3146" s="4">
        <f t="shared" si="299"/>
        <v>-0.11345733616400759</v>
      </c>
      <c r="S3146" s="4">
        <v>-18.07</v>
      </c>
      <c r="T3146" s="2">
        <v>1.57</v>
      </c>
      <c r="U3146" s="2">
        <v>29.27</v>
      </c>
      <c r="V3146" s="2">
        <v>11.71</v>
      </c>
      <c r="W3146" s="2">
        <v>0.97</v>
      </c>
      <c r="X3146" s="2">
        <v>37.18</v>
      </c>
      <c r="Y3146" s="2">
        <v>42.7</v>
      </c>
      <c r="Z3146" s="2">
        <v>37.119999999999997</v>
      </c>
    </row>
    <row r="3147" spans="1:26" x14ac:dyDescent="0.25">
      <c r="A3147" s="1" t="s">
        <v>12438</v>
      </c>
      <c r="B3147" s="1" t="s">
        <v>12439</v>
      </c>
      <c r="C3147" s="1" t="s">
        <v>45</v>
      </c>
      <c r="D3147" s="1" t="s">
        <v>38</v>
      </c>
      <c r="E3147" s="1" t="s">
        <v>1909</v>
      </c>
      <c r="F3147" s="1" t="s">
        <v>12440</v>
      </c>
      <c r="G3147" s="1" t="s">
        <v>12480</v>
      </c>
      <c r="H3147" s="1" t="s">
        <v>12441</v>
      </c>
      <c r="I3147" s="2">
        <v>55.78</v>
      </c>
      <c r="J3147" s="2">
        <v>6.12</v>
      </c>
      <c r="K3147" s="2">
        <v>6.21</v>
      </c>
      <c r="L3147" s="2">
        <v>6.5</v>
      </c>
      <c r="M3147" s="4">
        <f t="shared" si="294"/>
        <v>8.9822866344605483</v>
      </c>
      <c r="N3147" s="4">
        <f t="shared" si="295"/>
        <v>8.5815384615384609</v>
      </c>
      <c r="O3147" s="5">
        <f t="shared" si="296"/>
        <v>1.4705882352941124E-2</v>
      </c>
      <c r="P3147" s="5">
        <f t="shared" si="297"/>
        <v>4.6698872785829293E-2</v>
      </c>
      <c r="Q3147" s="4">
        <f t="shared" si="298"/>
        <v>6.1079549114331941</v>
      </c>
      <c r="R3147" s="4">
        <f t="shared" si="299"/>
        <v>1.8376328912466848</v>
      </c>
      <c r="S3147" s="4">
        <v>-1.02</v>
      </c>
      <c r="T3147" s="2">
        <v>0.83</v>
      </c>
      <c r="U3147" s="2">
        <v>65.290000000000006</v>
      </c>
      <c r="V3147" s="2">
        <v>41.39</v>
      </c>
      <c r="W3147" s="2">
        <v>-4.0599999999999996</v>
      </c>
      <c r="X3147" s="2">
        <v>-14.4</v>
      </c>
      <c r="Y3147" s="2">
        <v>-5.69</v>
      </c>
      <c r="Z3147" s="2">
        <v>-4.71</v>
      </c>
    </row>
    <row r="3148" spans="1:26" x14ac:dyDescent="0.25">
      <c r="A3148" s="1" t="s">
        <v>12442</v>
      </c>
      <c r="B3148" s="1" t="s">
        <v>12443</v>
      </c>
      <c r="C3148" s="1" t="s">
        <v>45</v>
      </c>
      <c r="D3148" s="1" t="s">
        <v>18</v>
      </c>
      <c r="E3148" s="1" t="s">
        <v>74</v>
      </c>
      <c r="F3148" s="1" t="s">
        <v>12444</v>
      </c>
      <c r="G3148" s="1" t="s">
        <v>12480</v>
      </c>
      <c r="H3148" s="1" t="s">
        <v>11017</v>
      </c>
      <c r="I3148" s="2">
        <v>19.12</v>
      </c>
      <c r="J3148" s="2">
        <v>-1.6</v>
      </c>
      <c r="K3148" s="2">
        <v>-1.95</v>
      </c>
      <c r="L3148" s="2">
        <v>-1.32</v>
      </c>
      <c r="M3148" s="4">
        <f t="shared" si="294"/>
        <v>-9.8051282051282058</v>
      </c>
      <c r="N3148" s="4">
        <f t="shared" si="295"/>
        <v>-14.484848484848484</v>
      </c>
      <c r="O3148" s="5">
        <f t="shared" si="296"/>
        <v>0.21875</v>
      </c>
      <c r="P3148" s="5">
        <f t="shared" si="297"/>
        <v>-0.32307692307692304</v>
      </c>
      <c r="Q3148" s="4">
        <f t="shared" si="298"/>
        <v>-0.44823443223443227</v>
      </c>
      <c r="R3148" s="4">
        <f t="shared" si="299"/>
        <v>0.44834054834054832</v>
      </c>
      <c r="S3148" s="4">
        <v>15.33</v>
      </c>
      <c r="T3148" s="2">
        <v>0.85</v>
      </c>
      <c r="U3148" s="2">
        <v>43.03</v>
      </c>
      <c r="V3148" s="2">
        <v>16.3</v>
      </c>
      <c r="W3148" s="2">
        <v>3.8</v>
      </c>
      <c r="X3148" s="2">
        <v>3.69</v>
      </c>
      <c r="Y3148" s="2">
        <v>10.27</v>
      </c>
      <c r="Z3148" s="2">
        <v>8.39</v>
      </c>
    </row>
    <row r="3149" spans="1:26" x14ac:dyDescent="0.25">
      <c r="A3149" s="1" t="s">
        <v>12445</v>
      </c>
      <c r="B3149" s="1" t="s">
        <v>12446</v>
      </c>
      <c r="C3149" s="1" t="s">
        <v>31</v>
      </c>
      <c r="D3149" s="1" t="s">
        <v>18</v>
      </c>
      <c r="E3149" s="1" t="s">
        <v>74</v>
      </c>
      <c r="F3149" s="1" t="s">
        <v>12447</v>
      </c>
      <c r="G3149" s="1" t="s">
        <v>12480</v>
      </c>
      <c r="H3149" s="1" t="s">
        <v>12448</v>
      </c>
      <c r="I3149" s="2">
        <v>39.5</v>
      </c>
      <c r="J3149" s="2">
        <v>13.66</v>
      </c>
      <c r="K3149" s="2">
        <v>2.79</v>
      </c>
      <c r="L3149" s="2">
        <v>-1.46</v>
      </c>
      <c r="M3149" s="4">
        <f t="shared" si="294"/>
        <v>14.157706093189963</v>
      </c>
      <c r="N3149" s="4">
        <f t="shared" si="295"/>
        <v>-27.054794520547947</v>
      </c>
      <c r="O3149" s="5">
        <f t="shared" si="296"/>
        <v>-0.79575402635431924</v>
      </c>
      <c r="P3149" s="5">
        <f t="shared" si="297"/>
        <v>-1.5232974910394264</v>
      </c>
      <c r="Q3149" s="4">
        <f t="shared" si="298"/>
        <v>-0.17791560739004128</v>
      </c>
      <c r="R3149" s="4">
        <f t="shared" si="299"/>
        <v>0.17760676873489123</v>
      </c>
      <c r="S3149" s="4">
        <v>15244.42</v>
      </c>
      <c r="T3149" s="2">
        <v>0.75</v>
      </c>
      <c r="U3149" s="2">
        <v>98.91</v>
      </c>
      <c r="V3149" s="2">
        <v>39.5</v>
      </c>
      <c r="W3149" s="2">
        <v>-30.7</v>
      </c>
      <c r="X3149" s="2">
        <v>-38.35</v>
      </c>
      <c r="Y3149" s="2">
        <v>-49.83</v>
      </c>
      <c r="Z3149" s="2">
        <v>-44.83</v>
      </c>
    </row>
    <row r="3150" spans="1:26" x14ac:dyDescent="0.25">
      <c r="A3150" s="1" t="s">
        <v>12449</v>
      </c>
      <c r="B3150" s="1" t="s">
        <v>12450</v>
      </c>
      <c r="C3150" s="1" t="s">
        <v>31</v>
      </c>
      <c r="D3150" s="1" t="s">
        <v>67</v>
      </c>
      <c r="E3150" s="1" t="s">
        <v>381</v>
      </c>
      <c r="F3150" s="1" t="s">
        <v>12451</v>
      </c>
      <c r="G3150" s="1" t="s">
        <v>12480</v>
      </c>
      <c r="H3150" s="1" t="s">
        <v>12452</v>
      </c>
      <c r="I3150" s="2">
        <v>11.76</v>
      </c>
      <c r="J3150" s="2">
        <v>0.52</v>
      </c>
      <c r="K3150" s="2">
        <v>0.59</v>
      </c>
      <c r="L3150" s="2">
        <v>0.88</v>
      </c>
      <c r="M3150" s="4">
        <f t="shared" si="294"/>
        <v>19.932203389830509</v>
      </c>
      <c r="N3150" s="4">
        <f t="shared" si="295"/>
        <v>13.363636363636363</v>
      </c>
      <c r="O3150" s="5">
        <f t="shared" si="296"/>
        <v>0.13461538461538458</v>
      </c>
      <c r="P3150" s="5">
        <f t="shared" si="297"/>
        <v>0.49152542372881358</v>
      </c>
      <c r="Q3150" s="4">
        <f t="shared" si="298"/>
        <v>1.4806779661016953</v>
      </c>
      <c r="R3150" s="4">
        <f t="shared" si="299"/>
        <v>0.27188087774294672</v>
      </c>
      <c r="S3150" s="4">
        <v>4.2300000000000004</v>
      </c>
      <c r="T3150" s="2">
        <v>1.65</v>
      </c>
      <c r="U3150" s="2">
        <v>20.46</v>
      </c>
      <c r="V3150" s="2">
        <v>11.2</v>
      </c>
      <c r="W3150" s="2">
        <v>2.17</v>
      </c>
      <c r="X3150" s="2">
        <v>-7.61</v>
      </c>
      <c r="Y3150" s="2">
        <v>-15.03</v>
      </c>
      <c r="Z3150" s="2">
        <v>-20.329999999999998</v>
      </c>
    </row>
    <row r="3151" spans="1:26" x14ac:dyDescent="0.25">
      <c r="A3151" s="1" t="s">
        <v>12453</v>
      </c>
      <c r="B3151" s="1" t="s">
        <v>12454</v>
      </c>
      <c r="C3151" s="1" t="s">
        <v>45</v>
      </c>
      <c r="D3151" s="1" t="s">
        <v>32</v>
      </c>
      <c r="E3151" s="1" t="s">
        <v>311</v>
      </c>
      <c r="F3151" s="1" t="s">
        <v>12455</v>
      </c>
      <c r="G3151" s="1" t="s">
        <v>12493</v>
      </c>
      <c r="H3151" s="1" t="s">
        <v>12456</v>
      </c>
      <c r="I3151" s="2">
        <v>77.06</v>
      </c>
      <c r="J3151" s="2">
        <v>5.92</v>
      </c>
      <c r="K3151" s="2">
        <v>5.89</v>
      </c>
      <c r="L3151" s="2">
        <v>6.03</v>
      </c>
      <c r="M3151" s="4">
        <f t="shared" si="294"/>
        <v>13.083191850594229</v>
      </c>
      <c r="N3151" s="4">
        <f t="shared" si="295"/>
        <v>12.779436152570481</v>
      </c>
      <c r="O3151" s="5">
        <f t="shared" si="296"/>
        <v>-5.0675675675676546E-3</v>
      </c>
      <c r="P3151" s="5">
        <f t="shared" si="297"/>
        <v>2.3769100169779289E-2</v>
      </c>
      <c r="Q3151" s="4">
        <f t="shared" si="298"/>
        <v>-25.817498585172167</v>
      </c>
      <c r="R3151" s="4">
        <f t="shared" si="299"/>
        <v>5.3764913527600093</v>
      </c>
      <c r="S3151" s="4"/>
      <c r="T3151" s="2">
        <v>0.93</v>
      </c>
      <c r="U3151" s="2">
        <v>96.22</v>
      </c>
      <c r="V3151" s="2">
        <v>66.7</v>
      </c>
      <c r="W3151" s="2">
        <v>5.97</v>
      </c>
      <c r="X3151" s="2">
        <v>-19.22</v>
      </c>
      <c r="Y3151" s="2">
        <v>-10.95</v>
      </c>
      <c r="Z3151" s="2">
        <v>-10.7</v>
      </c>
    </row>
    <row r="3152" spans="1:26" x14ac:dyDescent="0.25">
      <c r="A3152" s="1" t="s">
        <v>12457</v>
      </c>
      <c r="B3152" s="1" t="s">
        <v>12458</v>
      </c>
      <c r="C3152" s="1" t="s">
        <v>45</v>
      </c>
      <c r="D3152" s="1" t="s">
        <v>32</v>
      </c>
      <c r="E3152" s="1" t="s">
        <v>2571</v>
      </c>
      <c r="F3152" s="1" t="s">
        <v>12459</v>
      </c>
      <c r="G3152" s="1" t="s">
        <v>12496</v>
      </c>
      <c r="H3152" s="1" t="s">
        <v>12460</v>
      </c>
      <c r="I3152" s="2">
        <v>162.62</v>
      </c>
      <c r="J3152" s="2">
        <v>3.28</v>
      </c>
      <c r="K3152" s="2">
        <v>3.99</v>
      </c>
      <c r="L3152" s="2">
        <v>4.51</v>
      </c>
      <c r="M3152" s="4">
        <f t="shared" si="294"/>
        <v>40.75689223057644</v>
      </c>
      <c r="N3152" s="4">
        <f t="shared" si="295"/>
        <v>36.057649667405769</v>
      </c>
      <c r="O3152" s="5">
        <f t="shared" si="296"/>
        <v>0.21646341463414642</v>
      </c>
      <c r="P3152" s="5">
        <f t="shared" si="297"/>
        <v>0.13032581453634084</v>
      </c>
      <c r="Q3152" s="4">
        <f t="shared" si="298"/>
        <v>1.8828536129055025</v>
      </c>
      <c r="R3152" s="4">
        <f t="shared" si="299"/>
        <v>2.7667311956336351</v>
      </c>
      <c r="S3152" s="4">
        <v>23.31</v>
      </c>
      <c r="T3152" s="2">
        <v>1.07</v>
      </c>
      <c r="U3152" s="2">
        <v>336.27</v>
      </c>
      <c r="V3152" s="2">
        <v>143.28</v>
      </c>
      <c r="W3152" s="2">
        <v>9.4499999999999993</v>
      </c>
      <c r="X3152" s="2">
        <v>-4.4400000000000004</v>
      </c>
      <c r="Y3152" s="2">
        <v>-29.39</v>
      </c>
      <c r="Z3152" s="2">
        <v>-27.7</v>
      </c>
    </row>
    <row r="3153" spans="1:26" x14ac:dyDescent="0.25">
      <c r="A3153" s="1" t="s">
        <v>12461</v>
      </c>
      <c r="B3153" s="1" t="s">
        <v>12462</v>
      </c>
      <c r="C3153" s="1" t="s">
        <v>16</v>
      </c>
      <c r="D3153" s="1" t="s">
        <v>46</v>
      </c>
      <c r="E3153" s="1" t="s">
        <v>1142</v>
      </c>
      <c r="F3153" s="1" t="s">
        <v>12463</v>
      </c>
      <c r="G3153" s="1" t="s">
        <v>12480</v>
      </c>
      <c r="H3153" s="1" t="s">
        <v>12464</v>
      </c>
      <c r="I3153" s="2">
        <v>23.01</v>
      </c>
      <c r="J3153" s="2">
        <v>1.67</v>
      </c>
      <c r="K3153" s="2">
        <v>1.79</v>
      </c>
      <c r="L3153" s="2">
        <v>1.95</v>
      </c>
      <c r="M3153" s="4">
        <f t="shared" si="294"/>
        <v>12.854748603351956</v>
      </c>
      <c r="N3153" s="4">
        <f t="shared" si="295"/>
        <v>11.8</v>
      </c>
      <c r="O3153" s="5">
        <f t="shared" si="296"/>
        <v>7.1856287425149823E-2</v>
      </c>
      <c r="P3153" s="5">
        <f t="shared" si="297"/>
        <v>8.9385474860335101E-2</v>
      </c>
      <c r="Q3153" s="4">
        <f t="shared" si="298"/>
        <v>1.7889525139664775</v>
      </c>
      <c r="R3153" s="4">
        <f t="shared" si="299"/>
        <v>1.3201250000000015</v>
      </c>
      <c r="S3153" s="4">
        <v>12.11</v>
      </c>
      <c r="T3153" s="2">
        <v>-0.2</v>
      </c>
      <c r="U3153" s="2">
        <v>25.45</v>
      </c>
      <c r="V3153" s="2">
        <v>16.510000000000002</v>
      </c>
      <c r="W3153" s="2">
        <v>-3.96</v>
      </c>
      <c r="X3153" s="2">
        <v>-4.6399999999999997</v>
      </c>
      <c r="Y3153" s="2">
        <v>9.31</v>
      </c>
      <c r="Z3153" s="2">
        <v>10.15</v>
      </c>
    </row>
    <row r="3154" spans="1:26" x14ac:dyDescent="0.25">
      <c r="A3154" s="1" t="s">
        <v>12465</v>
      </c>
      <c r="B3154" s="1" t="s">
        <v>12466</v>
      </c>
      <c r="C3154" s="1" t="s">
        <v>16</v>
      </c>
      <c r="D3154" s="1" t="s">
        <v>18</v>
      </c>
      <c r="E3154" s="1" t="s">
        <v>780</v>
      </c>
      <c r="F3154" s="1" t="s">
        <v>12467</v>
      </c>
      <c r="G3154" s="1" t="s">
        <v>12480</v>
      </c>
      <c r="H3154" s="1" t="s">
        <v>12468</v>
      </c>
      <c r="I3154" s="2">
        <v>122.36</v>
      </c>
      <c r="J3154" s="2">
        <v>6.41</v>
      </c>
      <c r="K3154" s="2">
        <v>6.97</v>
      </c>
      <c r="L3154" s="2">
        <v>7.51</v>
      </c>
      <c r="M3154" s="4">
        <f t="shared" si="294"/>
        <v>17.555236728837876</v>
      </c>
      <c r="N3154" s="4">
        <f t="shared" si="295"/>
        <v>16.29294274300932</v>
      </c>
      <c r="O3154" s="5">
        <f t="shared" si="296"/>
        <v>8.7363494539781428E-2</v>
      </c>
      <c r="P3154" s="5">
        <f t="shared" si="297"/>
        <v>7.7474892395982708E-2</v>
      </c>
      <c r="Q3154" s="4">
        <f t="shared" si="298"/>
        <v>2.0094476327116251</v>
      </c>
      <c r="R3154" s="4">
        <f t="shared" si="299"/>
        <v>2.1029964984958345</v>
      </c>
      <c r="S3154" s="4">
        <v>2.2799999999999998</v>
      </c>
      <c r="T3154" s="2">
        <v>0.95</v>
      </c>
      <c r="U3154" s="2">
        <v>171.8</v>
      </c>
      <c r="V3154" s="2">
        <v>115.75</v>
      </c>
      <c r="W3154" s="2">
        <v>-5.12</v>
      </c>
      <c r="X3154" s="2">
        <v>-3.88</v>
      </c>
      <c r="Y3154" s="2">
        <v>1.1399999999999999</v>
      </c>
      <c r="Z3154" s="2">
        <v>-2.75</v>
      </c>
    </row>
    <row r="3155" spans="1:26" x14ac:dyDescent="0.25">
      <c r="A3155" s="1" t="s">
        <v>12469</v>
      </c>
      <c r="B3155" s="1" t="s">
        <v>12470</v>
      </c>
      <c r="C3155" s="1" t="s">
        <v>31</v>
      </c>
      <c r="D3155" s="1" t="s">
        <v>38</v>
      </c>
      <c r="E3155" s="1" t="s">
        <v>254</v>
      </c>
      <c r="F3155" s="1" t="s">
        <v>12471</v>
      </c>
      <c r="G3155" s="1" t="s">
        <v>12480</v>
      </c>
      <c r="H3155" s="1" t="s">
        <v>12472</v>
      </c>
      <c r="I3155" s="2">
        <v>34.49</v>
      </c>
      <c r="J3155" s="2">
        <v>2.36</v>
      </c>
      <c r="K3155" s="2">
        <v>2.35</v>
      </c>
      <c r="L3155" s="2">
        <v>2.5</v>
      </c>
      <c r="M3155" s="4">
        <f t="shared" si="294"/>
        <v>14.676595744680851</v>
      </c>
      <c r="N3155" s="4">
        <f t="shared" si="295"/>
        <v>13.796000000000001</v>
      </c>
      <c r="O3155" s="5">
        <f t="shared" si="296"/>
        <v>-4.237288135593098E-3</v>
      </c>
      <c r="P3155" s="5">
        <f t="shared" si="297"/>
        <v>6.3829787234042534E-2</v>
      </c>
      <c r="Q3155" s="4">
        <f t="shared" si="298"/>
        <v>-34.636765957447807</v>
      </c>
      <c r="R3155" s="4">
        <f t="shared" si="299"/>
        <v>2.161373333333334</v>
      </c>
      <c r="S3155" s="4">
        <v>5.78</v>
      </c>
      <c r="T3155" s="2">
        <v>0.56000000000000005</v>
      </c>
      <c r="U3155" s="2">
        <v>38.200000000000003</v>
      </c>
      <c r="V3155" s="2">
        <v>31.32</v>
      </c>
      <c r="W3155" s="2">
        <v>-4.99</v>
      </c>
      <c r="X3155" s="2">
        <v>-6.86</v>
      </c>
      <c r="Y3155" s="2">
        <v>-7.26</v>
      </c>
      <c r="Z3155" s="2">
        <v>-9.31</v>
      </c>
    </row>
    <row r="3156" spans="1:26" x14ac:dyDescent="0.25">
      <c r="A3156" s="1" t="s">
        <v>12473</v>
      </c>
      <c r="B3156" s="1" t="s">
        <v>12474</v>
      </c>
      <c r="C3156" s="1" t="s">
        <v>16</v>
      </c>
      <c r="D3156" s="1" t="s">
        <v>140</v>
      </c>
      <c r="E3156" s="1" t="s">
        <v>2558</v>
      </c>
      <c r="F3156" s="1" t="s">
        <v>12475</v>
      </c>
      <c r="G3156" s="1" t="s">
        <v>12480</v>
      </c>
      <c r="H3156" s="1" t="s">
        <v>4895</v>
      </c>
      <c r="I3156" s="2">
        <v>47.29</v>
      </c>
      <c r="J3156" s="2">
        <v>1.52</v>
      </c>
      <c r="K3156" s="2">
        <v>1.66</v>
      </c>
      <c r="L3156" s="2">
        <v>1.81</v>
      </c>
      <c r="M3156" s="4">
        <f t="shared" si="294"/>
        <v>28.487951807228917</v>
      </c>
      <c r="N3156" s="4">
        <f t="shared" si="295"/>
        <v>26.127071823204417</v>
      </c>
      <c r="O3156" s="5">
        <f t="shared" si="296"/>
        <v>9.210526315789469E-2</v>
      </c>
      <c r="P3156" s="5">
        <f t="shared" si="297"/>
        <v>9.0361445783132543E-2</v>
      </c>
      <c r="Q3156" s="4">
        <f t="shared" si="298"/>
        <v>3.0929776247848553</v>
      </c>
      <c r="R3156" s="4">
        <f t="shared" si="299"/>
        <v>2.8913959484346217</v>
      </c>
      <c r="S3156" s="4">
        <v>8.26</v>
      </c>
      <c r="T3156" s="2">
        <v>1.04</v>
      </c>
      <c r="U3156" s="2">
        <v>52.78</v>
      </c>
      <c r="V3156" s="2">
        <v>28.5</v>
      </c>
      <c r="W3156" s="2">
        <v>-7.2</v>
      </c>
      <c r="X3156" s="2">
        <v>-9.98</v>
      </c>
      <c r="Y3156" s="2">
        <v>-0.27</v>
      </c>
      <c r="Z3156" s="2">
        <v>1.72</v>
      </c>
    </row>
    <row r="3157" spans="1:26" x14ac:dyDescent="0.25">
      <c r="A3157" s="1" t="s">
        <v>12476</v>
      </c>
      <c r="B3157" s="1" t="s">
        <v>12477</v>
      </c>
      <c r="C3157" s="1" t="s">
        <v>45</v>
      </c>
      <c r="D3157" s="1" t="s">
        <v>18</v>
      </c>
      <c r="E3157" s="1" t="s">
        <v>74</v>
      </c>
      <c r="F3157" s="1" t="s">
        <v>12478</v>
      </c>
      <c r="G3157" s="1" t="s">
        <v>12480</v>
      </c>
      <c r="H3157" s="1" t="s">
        <v>286</v>
      </c>
      <c r="I3157" s="2">
        <v>24.25</v>
      </c>
      <c r="J3157" s="2">
        <v>-1.08</v>
      </c>
      <c r="K3157" s="2">
        <v>0.98</v>
      </c>
      <c r="L3157" s="2">
        <v>0.28999999999999998</v>
      </c>
      <c r="M3157" s="4">
        <f t="shared" si="294"/>
        <v>24.744897959183675</v>
      </c>
      <c r="N3157" s="4">
        <f t="shared" si="295"/>
        <v>83.620689655172413</v>
      </c>
      <c r="O3157" s="5">
        <f t="shared" si="296"/>
        <v>-1.9074074074074074</v>
      </c>
      <c r="P3157" s="5">
        <f t="shared" si="297"/>
        <v>-0.70408163265306123</v>
      </c>
      <c r="Q3157" s="4">
        <f t="shared" si="298"/>
        <v>-0.12973053298989501</v>
      </c>
      <c r="R3157" s="4">
        <f t="shared" si="299"/>
        <v>-1.1876561719140428</v>
      </c>
      <c r="S3157" s="4">
        <v>38.869999999999997</v>
      </c>
      <c r="T3157" s="2">
        <v>1.23</v>
      </c>
      <c r="U3157" s="2">
        <v>27.62</v>
      </c>
      <c r="V3157" s="2">
        <v>9.44</v>
      </c>
      <c r="W3157" s="2">
        <v>4.03</v>
      </c>
      <c r="X3157" s="2">
        <v>7.73</v>
      </c>
      <c r="Y3157" s="2">
        <v>-6.62</v>
      </c>
      <c r="Z3157" s="2">
        <v>-7.9</v>
      </c>
    </row>
  </sheetData>
  <autoFilter ref="A1:T3157" xr:uid="{18B23B7D-07D3-4F2A-9767-1B9CE75708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zacks_custom_screen_2026-03-10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Burghardt</dc:creator>
  <cp:lastModifiedBy>Simon Burghardt</cp:lastModifiedBy>
  <dcterms:created xsi:type="dcterms:W3CDTF">2026-03-10T18:11:16Z</dcterms:created>
  <dcterms:modified xsi:type="dcterms:W3CDTF">2026-03-10T18:11:16Z</dcterms:modified>
</cp:coreProperties>
</file>