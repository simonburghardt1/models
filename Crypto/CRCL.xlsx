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imon\Documents\models\Crypto\"/>
    </mc:Choice>
  </mc:AlternateContent>
  <xr:revisionPtr revIDLastSave="0" documentId="13_ncr:1_{D689F40A-05DC-4736-8BCA-EFAFFFA528C0}" xr6:coauthVersionLast="47" xr6:coauthVersionMax="47" xr10:uidLastSave="{00000000-0000-0000-0000-000000000000}"/>
  <bookViews>
    <workbookView xWindow="-45" yWindow="0" windowWidth="12660" windowHeight="15585" xr2:uid="{00000000-000D-0000-FFFF-FFFF00000000}"/>
  </bookViews>
  <sheets>
    <sheet name="Main" sheetId="1" r:id="rId1"/>
    <sheet name="Model" sheetId="2" r:id="rId2"/>
    <sheet name="Analysts" sheetId="7" r:id="rId3"/>
    <sheet name="Model-graph" sheetId="3" r:id="rId4"/>
    <sheet name="KPIs" sheetId="6" r:id="rId5"/>
    <sheet name="Catalysts" sheetId="4" r:id="rId6"/>
    <sheet name="DoR" sheetId="5" r:id="rId7"/>
  </sheets>
  <definedNames>
    <definedName name="_xlchart.v1.0" hidden="1">Model!$B$22</definedName>
    <definedName name="_xlchart.v1.1" hidden="1">Model!$B$23</definedName>
    <definedName name="_xlchart.v1.2" hidden="1">Model!$K$22:$T$22</definedName>
    <definedName name="_xlchart.v1.3" hidden="1">Model!$K$23:$T$23</definedName>
    <definedName name="_xlchart.v1.4" hidden="1">Model!$K$2:$P$2</definedName>
    <definedName name="_xlchart.v1.5" hidden="1">Model!$B$5</definedName>
    <definedName name="_xlchart.v1.6" hidden="1">Model!$B$6</definedName>
    <definedName name="_xlchart.v1.7" hidden="1">Model!$K$2:$P$2</definedName>
    <definedName name="_xlchart.v1.8" hidden="1">Model!$K$5:$T$5</definedName>
    <definedName name="_xlchart.v1.9" hidden="1">Model!$K$6:$T$6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 l="1"/>
  <c r="C15" i="1"/>
  <c r="C14" i="1"/>
  <c r="C13" i="1"/>
  <c r="C10" i="1"/>
  <c r="C9" i="1"/>
  <c r="G28" i="2"/>
  <c r="F28" i="2"/>
  <c r="E28" i="2"/>
  <c r="D28" i="2"/>
  <c r="C28" i="2"/>
  <c r="G27" i="2"/>
  <c r="F27" i="2"/>
  <c r="E27" i="2"/>
  <c r="D27" i="2"/>
  <c r="C27" i="2"/>
  <c r="P28" i="2"/>
  <c r="M28" i="2"/>
  <c r="L28" i="2"/>
  <c r="K28" i="2"/>
  <c r="P27" i="2"/>
  <c r="M27" i="2"/>
  <c r="L27" i="2"/>
  <c r="K27" i="2"/>
  <c r="Q27" i="2"/>
  <c r="Q28" i="2"/>
  <c r="G29" i="2"/>
  <c r="F29" i="2"/>
  <c r="E29" i="2"/>
  <c r="D29" i="2"/>
  <c r="C29" i="2"/>
  <c r="T29" i="2"/>
  <c r="S29" i="2"/>
  <c r="R29" i="2"/>
  <c r="P29" i="2"/>
  <c r="M29" i="2"/>
  <c r="L29" i="2"/>
  <c r="K29" i="2"/>
  <c r="Q29" i="2"/>
  <c r="Q22" i="2"/>
  <c r="L16" i="2"/>
  <c r="K16" i="2"/>
  <c r="T16" i="2"/>
  <c r="S16" i="2"/>
  <c r="R16" i="2"/>
  <c r="Q16" i="2"/>
  <c r="P16" i="2"/>
  <c r="M52" i="2"/>
  <c r="L52" i="2"/>
  <c r="K52" i="2"/>
  <c r="G52" i="2"/>
  <c r="F52" i="2"/>
  <c r="E52" i="2"/>
  <c r="D52" i="2"/>
  <c r="C52" i="2"/>
  <c r="O52" i="2"/>
  <c r="P52" i="2"/>
  <c r="Q52" i="2"/>
  <c r="R52" i="2"/>
  <c r="S52" i="2"/>
  <c r="N52" i="2"/>
  <c r="P24" i="2"/>
  <c r="C7" i="1"/>
  <c r="G16" i="2"/>
  <c r="F16" i="2"/>
  <c r="E16" i="2"/>
  <c r="D16" i="2"/>
  <c r="C16" i="2"/>
  <c r="O16" i="2"/>
  <c r="G36" i="2"/>
  <c r="F36" i="2"/>
  <c r="E36" i="2"/>
  <c r="D36" i="2"/>
  <c r="C36" i="2"/>
  <c r="M36" i="2"/>
  <c r="L36" i="2"/>
  <c r="K36" i="2"/>
  <c r="T36" i="2"/>
  <c r="S36" i="2"/>
  <c r="R36" i="2"/>
  <c r="Q36" i="2"/>
  <c r="P36" i="2"/>
  <c r="O36" i="2"/>
  <c r="N61" i="2"/>
  <c r="N60" i="2"/>
  <c r="N59" i="2"/>
  <c r="N58" i="2"/>
  <c r="N56" i="2"/>
  <c r="N55" i="2"/>
  <c r="N54" i="2"/>
  <c r="N53" i="2"/>
  <c r="N51" i="2"/>
  <c r="N50" i="2"/>
  <c r="N49" i="2"/>
  <c r="N48" i="2"/>
  <c r="N47" i="2"/>
  <c r="N46" i="2"/>
  <c r="N45" i="2"/>
  <c r="N44" i="2"/>
  <c r="N42" i="2"/>
  <c r="N41" i="2"/>
  <c r="N40" i="2"/>
  <c r="N39" i="2"/>
  <c r="N38" i="2"/>
  <c r="N37" i="2"/>
  <c r="Q5" i="2"/>
  <c r="R5" i="2"/>
  <c r="S5" i="2"/>
  <c r="S27" i="2" s="1"/>
  <c r="T5" i="2"/>
  <c r="T27" i="2" s="1"/>
  <c r="Q9" i="2"/>
  <c r="R9" i="2"/>
  <c r="S9" i="2"/>
  <c r="T9" i="2"/>
  <c r="Q43" i="2"/>
  <c r="R43" i="2"/>
  <c r="S43" i="2"/>
  <c r="T43" i="2"/>
  <c r="T52" i="2" s="1"/>
  <c r="Q57" i="2"/>
  <c r="Q62" i="2" s="1"/>
  <c r="R57" i="2"/>
  <c r="R62" i="2" s="1"/>
  <c r="S57" i="2"/>
  <c r="S62" i="2" s="1"/>
  <c r="T57" i="2"/>
  <c r="T62" i="2" s="1"/>
  <c r="N5" i="2"/>
  <c r="N16" i="2" s="1"/>
  <c r="O5" i="2"/>
  <c r="O29" i="2" s="1"/>
  <c r="P5" i="2"/>
  <c r="N9" i="2"/>
  <c r="O9" i="2"/>
  <c r="P9" i="2"/>
  <c r="O43" i="2"/>
  <c r="P43" i="2"/>
  <c r="O57" i="2"/>
  <c r="O62" i="2" s="1"/>
  <c r="P57" i="2"/>
  <c r="P62" i="2" s="1"/>
  <c r="E43" i="2"/>
  <c r="F43" i="2"/>
  <c r="G43" i="2"/>
  <c r="E57" i="2"/>
  <c r="E62" i="2" s="1"/>
  <c r="F57" i="2"/>
  <c r="F62" i="2" s="1"/>
  <c r="G57" i="2"/>
  <c r="G62" i="2" s="1"/>
  <c r="E30" i="2"/>
  <c r="F30" i="2"/>
  <c r="G30" i="2"/>
  <c r="E31" i="2"/>
  <c r="F31" i="2"/>
  <c r="G31" i="2"/>
  <c r="E5" i="2"/>
  <c r="F5" i="2"/>
  <c r="G5" i="2"/>
  <c r="G9" i="2"/>
  <c r="M57" i="2"/>
  <c r="M62" i="2" s="1"/>
  <c r="L57" i="2"/>
  <c r="L62" i="2" s="1"/>
  <c r="K57" i="2"/>
  <c r="K62" i="2" s="1"/>
  <c r="M43" i="2"/>
  <c r="L43" i="2"/>
  <c r="K43" i="2"/>
  <c r="M9" i="2"/>
  <c r="L9" i="2"/>
  <c r="K9" i="2"/>
  <c r="M5" i="2"/>
  <c r="L5" i="2"/>
  <c r="K5" i="2"/>
  <c r="C20" i="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2" i="5"/>
  <c r="C9" i="2"/>
  <c r="D9" i="2"/>
  <c r="E9" i="2"/>
  <c r="F9" i="2"/>
  <c r="N29" i="2" l="1"/>
  <c r="N27" i="2"/>
  <c r="N28" i="2"/>
  <c r="O28" i="2"/>
  <c r="O27" i="2"/>
  <c r="M16" i="2"/>
  <c r="M18" i="2" s="1"/>
  <c r="M20" i="2" s="1"/>
  <c r="L18" i="2"/>
  <c r="L20" i="2" s="1"/>
  <c r="N36" i="2"/>
  <c r="N43" i="2"/>
  <c r="N57" i="2"/>
  <c r="N62" i="2" s="1"/>
  <c r="Q18" i="2"/>
  <c r="Q20" i="2" s="1"/>
  <c r="Q25" i="2" s="1"/>
  <c r="E24" i="2"/>
  <c r="T28" i="2"/>
  <c r="N24" i="2"/>
  <c r="S28" i="2"/>
  <c r="T18" i="2"/>
  <c r="T20" i="2" s="1"/>
  <c r="T25" i="2" s="1"/>
  <c r="S18" i="2"/>
  <c r="S20" i="2" s="1"/>
  <c r="S25" i="2" s="1"/>
  <c r="R28" i="2"/>
  <c r="R18" i="2"/>
  <c r="R20" i="2" s="1"/>
  <c r="R25" i="2" s="1"/>
  <c r="R27" i="2"/>
  <c r="R26" i="2"/>
  <c r="S63" i="2"/>
  <c r="Q26" i="2"/>
  <c r="P63" i="2"/>
  <c r="T63" i="2"/>
  <c r="T24" i="2"/>
  <c r="F18" i="2"/>
  <c r="F20" i="2" s="1"/>
  <c r="F22" i="2" s="1"/>
  <c r="R24" i="2"/>
  <c r="P18" i="2"/>
  <c r="P20" i="2" s="1"/>
  <c r="P22" i="2" s="1"/>
  <c r="Q24" i="2"/>
  <c r="O24" i="2"/>
  <c r="Q63" i="2"/>
  <c r="F24" i="2"/>
  <c r="G18" i="2"/>
  <c r="G20" i="2" s="1"/>
  <c r="T26" i="2"/>
  <c r="S26" i="2"/>
  <c r="R63" i="2"/>
  <c r="S24" i="2"/>
  <c r="G24" i="2"/>
  <c r="M24" i="2"/>
  <c r="G26" i="2"/>
  <c r="F26" i="2"/>
  <c r="F63" i="2"/>
  <c r="E63" i="2"/>
  <c r="O63" i="2"/>
  <c r="P26" i="2"/>
  <c r="G63" i="2"/>
  <c r="O26" i="2"/>
  <c r="O18" i="2"/>
  <c r="O20" i="2" s="1"/>
  <c r="N18" i="2"/>
  <c r="N20" i="2" s="1"/>
  <c r="M63" i="2"/>
  <c r="L24" i="2"/>
  <c r="L63" i="2"/>
  <c r="K63" i="2"/>
  <c r="K18" i="2"/>
  <c r="K20" i="2" s="1"/>
  <c r="K24" i="2"/>
  <c r="C24" i="1"/>
  <c r="C23" i="1"/>
  <c r="C8" i="1"/>
  <c r="I31" i="5"/>
  <c r="I30" i="5"/>
  <c r="I29" i="5"/>
  <c r="I28" i="5"/>
  <c r="I26" i="5"/>
  <c r="I25" i="5"/>
  <c r="I24" i="5"/>
  <c r="I23" i="5"/>
  <c r="I22" i="5"/>
  <c r="I21" i="5"/>
  <c r="I20" i="5"/>
  <c r="I19" i="5"/>
  <c r="I65" i="5"/>
  <c r="I64" i="5"/>
  <c r="Q32" i="2" l="1"/>
  <c r="N63" i="2"/>
  <c r="T22" i="2"/>
  <c r="S22" i="2"/>
  <c r="R32" i="2"/>
  <c r="R22" i="2"/>
  <c r="S32" i="2"/>
  <c r="F25" i="2"/>
  <c r="T32" i="2"/>
  <c r="P25" i="2"/>
  <c r="P32" i="2"/>
  <c r="E18" i="2"/>
  <c r="E20" i="2" s="1"/>
  <c r="G22" i="2"/>
  <c r="G32" i="2" s="1"/>
  <c r="G25" i="2"/>
  <c r="N25" i="2"/>
  <c r="N22" i="2"/>
  <c r="O22" i="2"/>
  <c r="O32" i="2"/>
  <c r="O25" i="2"/>
  <c r="L25" i="2"/>
  <c r="L22" i="2"/>
  <c r="M25" i="2"/>
  <c r="M22" i="2"/>
  <c r="K25" i="2"/>
  <c r="K22" i="2"/>
  <c r="I27" i="5"/>
  <c r="H6" i="5"/>
  <c r="H4" i="5"/>
  <c r="I4" i="5" s="1"/>
  <c r="J35" i="5"/>
  <c r="K35" i="5" s="1"/>
  <c r="I44" i="5"/>
  <c r="M58" i="5"/>
  <c r="I58" i="5"/>
  <c r="M57" i="5"/>
  <c r="I57" i="5"/>
  <c r="M56" i="5"/>
  <c r="K56" i="5"/>
  <c r="I56" i="5"/>
  <c r="M55" i="5"/>
  <c r="K55" i="5"/>
  <c r="I55" i="5"/>
  <c r="M54" i="5"/>
  <c r="K54" i="5"/>
  <c r="I54" i="5"/>
  <c r="M53" i="5"/>
  <c r="K53" i="5"/>
  <c r="I53" i="5"/>
  <c r="M52" i="5"/>
  <c r="K52" i="5"/>
  <c r="I52" i="5"/>
  <c r="M51" i="5"/>
  <c r="K51" i="5"/>
  <c r="I51" i="5"/>
  <c r="M50" i="5"/>
  <c r="K50" i="5"/>
  <c r="I50" i="5"/>
  <c r="M49" i="5"/>
  <c r="K49" i="5"/>
  <c r="I49" i="5"/>
  <c r="M48" i="5"/>
  <c r="K48" i="5"/>
  <c r="I48" i="5"/>
  <c r="M47" i="5"/>
  <c r="K47" i="5"/>
  <c r="I47" i="5"/>
  <c r="M46" i="5"/>
  <c r="K46" i="5"/>
  <c r="I46" i="5"/>
  <c r="M45" i="5"/>
  <c r="K45" i="5"/>
  <c r="I45" i="5"/>
  <c r="M44" i="5"/>
  <c r="K44" i="5"/>
  <c r="J41" i="5"/>
  <c r="I41" i="5"/>
  <c r="J40" i="5"/>
  <c r="I40" i="5"/>
  <c r="J39" i="5"/>
  <c r="I39" i="5"/>
  <c r="J36" i="5"/>
  <c r="K36" i="5" s="1"/>
  <c r="L36" i="5" s="1"/>
  <c r="H14" i="5"/>
  <c r="K15" i="5" s="1"/>
  <c r="H13" i="5"/>
  <c r="H12" i="5"/>
  <c r="I12" i="5" s="1"/>
  <c r="H11" i="5"/>
  <c r="H10" i="5"/>
  <c r="H9" i="5"/>
  <c r="H8" i="5"/>
  <c r="I8" i="5" s="1"/>
  <c r="H7" i="5"/>
  <c r="H5" i="5"/>
  <c r="C5" i="2"/>
  <c r="C18" i="2" s="1"/>
  <c r="C20" i="2" s="1"/>
  <c r="D5" i="2"/>
  <c r="D31" i="2"/>
  <c r="D30" i="2"/>
  <c r="E22" i="2" l="1"/>
  <c r="E25" i="2"/>
  <c r="D18" i="2"/>
  <c r="D20" i="2" s="1"/>
  <c r="E26" i="2"/>
  <c r="K11" i="5"/>
  <c r="K7" i="5"/>
  <c r="K9" i="5"/>
  <c r="K4" i="5"/>
  <c r="K13" i="5"/>
  <c r="K5" i="5"/>
  <c r="I6" i="5"/>
  <c r="I10" i="5"/>
  <c r="I14" i="5"/>
  <c r="K39" i="5"/>
  <c r="L39" i="5" s="1"/>
  <c r="I34" i="5"/>
  <c r="J6" i="5"/>
  <c r="L6" i="5" s="1"/>
  <c r="J7" i="5"/>
  <c r="L7" i="5" s="1"/>
  <c r="J10" i="5"/>
  <c r="L10" i="5" s="1"/>
  <c r="J11" i="5"/>
  <c r="L11" i="5" s="1"/>
  <c r="K40" i="5"/>
  <c r="L40" i="5" s="1"/>
  <c r="J4" i="5"/>
  <c r="L4" i="5" s="1"/>
  <c r="M4" i="5" s="1"/>
  <c r="J15" i="5"/>
  <c r="L15" i="5" s="1"/>
  <c r="J5" i="5"/>
  <c r="L5" i="5" s="1"/>
  <c r="J34" i="5"/>
  <c r="K34" i="5" s="1"/>
  <c r="L34" i="5" s="1"/>
  <c r="K41" i="5"/>
  <c r="L41" i="5" s="1"/>
  <c r="J9" i="5"/>
  <c r="L9" i="5" s="1"/>
  <c r="I35" i="5"/>
  <c r="L35" i="5" s="1"/>
  <c r="J14" i="5"/>
  <c r="L14" i="5" s="1"/>
  <c r="I5" i="5"/>
  <c r="K6" i="5"/>
  <c r="I9" i="5"/>
  <c r="K10" i="5"/>
  <c r="I13" i="5"/>
  <c r="K14" i="5"/>
  <c r="J13" i="5"/>
  <c r="L13" i="5" s="1"/>
  <c r="J8" i="5"/>
  <c r="L8" i="5" s="1"/>
  <c r="J12" i="5"/>
  <c r="L12" i="5" s="1"/>
  <c r="I7" i="5"/>
  <c r="K8" i="5"/>
  <c r="I11" i="5"/>
  <c r="K12" i="5"/>
  <c r="C24" i="2"/>
  <c r="D24" i="2"/>
  <c r="D26" i="2"/>
  <c r="D57" i="2"/>
  <c r="D62" i="2" s="1"/>
  <c r="D43" i="2"/>
  <c r="C43" i="2"/>
  <c r="F32" i="2" l="1"/>
  <c r="D63" i="2"/>
  <c r="C19" i="1"/>
  <c r="M5" i="5"/>
  <c r="M6" i="5" s="1"/>
  <c r="M7" i="5" s="1"/>
  <c r="M8" i="5" s="1"/>
  <c r="M9" i="5" s="1"/>
  <c r="M10" i="5" s="1"/>
  <c r="M11" i="5" s="1"/>
  <c r="M12" i="5" s="1"/>
  <c r="M13" i="5" s="1"/>
  <c r="M14" i="5" s="1"/>
  <c r="M15" i="5" s="1"/>
  <c r="C57" i="2"/>
  <c r="C62" i="2" s="1"/>
  <c r="C63" i="2" s="1"/>
  <c r="C18" i="1" l="1"/>
  <c r="D22" i="2"/>
  <c r="E32" i="2" s="1"/>
  <c r="D25" i="2"/>
  <c r="C22" i="2" l="1"/>
  <c r="C32" i="2" s="1"/>
  <c r="C25" i="2"/>
  <c r="C11" i="1" s="1"/>
  <c r="D32" i="2" l="1"/>
  <c r="C12" i="1"/>
  <c r="C2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Simon Burghardt</author>
  </authors>
  <commentList>
    <comment ref="B27" authorId="0" shapeId="0" xr:uid="{A5B32E2F-CDF3-403E-88D7-CEB78829D2A2}">
      <text>
        <r>
          <rPr>
            <b/>
            <sz val="9"/>
            <color indexed="81"/>
            <rFont val="Tahoma"/>
            <family val="2"/>
          </rPr>
          <t>Simon Burghardt:</t>
        </r>
        <r>
          <rPr>
            <sz val="9"/>
            <color indexed="81"/>
            <rFont val="Tahoma"/>
            <family val="2"/>
          </rPr>
          <t xml:space="preserve">
=Total Debt / Shareholders Equity
D/E of 2 is considered dangerous (especially when Ops is contracting)
D/E &lt; 1 is good</t>
        </r>
      </text>
    </comment>
    <comment ref="B28" authorId="0" shapeId="0" xr:uid="{FFD5C37B-7B31-413D-8D3F-45EE45D589E3}">
      <text>
        <r>
          <rPr>
            <b/>
            <sz val="9"/>
            <color indexed="81"/>
            <rFont val="Tahoma"/>
            <family val="2"/>
          </rPr>
          <t>Simon Burghardt:</t>
        </r>
        <r>
          <rPr>
            <sz val="9"/>
            <color indexed="81"/>
            <rFont val="Tahoma"/>
            <family val="2"/>
          </rPr>
          <t xml:space="preserve">
EBIT (before Interest &amp; D&amp;A) / Interest Expense
ICR of 2 is generally minimum
also Check Credit Rating</t>
        </r>
      </text>
    </comment>
    <comment ref="B29" authorId="0" shapeId="0" xr:uid="{8FE8E5BF-13D8-402B-8070-E0ABB2E991B1}">
      <text>
        <r>
          <rPr>
            <b/>
            <sz val="9"/>
            <color indexed="81"/>
            <rFont val="Tahoma"/>
            <family val="2"/>
          </rPr>
          <t>Simon Burghardt:</t>
        </r>
        <r>
          <rPr>
            <sz val="9"/>
            <color indexed="81"/>
            <rFont val="Tahoma"/>
            <family val="2"/>
          </rPr>
          <t xml:space="preserve">
= Current Assets / Current Liabilities
Current Assets: Cash + Marketable Sec. + Inventory + AR + Other Rec
Current Liabilities: Short Term Debt + AP + Accrued Expense + Def. Revenue</t>
        </r>
      </text>
    </comment>
    <comment ref="B30" authorId="0" shapeId="0" xr:uid="{54D69E42-35D3-490C-A497-78ABDAACCE20}">
      <text>
        <r>
          <rPr>
            <b/>
            <sz val="9"/>
            <color indexed="81"/>
            <rFont val="Tahoma"/>
            <family val="2"/>
          </rPr>
          <t>Simon Burghardt:</t>
        </r>
        <r>
          <rPr>
            <sz val="9"/>
            <color indexed="81"/>
            <rFont val="Tahoma"/>
            <family val="2"/>
          </rPr>
          <t xml:space="preserve">
= Cash + Marketable Securities + AR / Current Liabilities or
= Cash + Marketable Securities + AR / AP</t>
        </r>
      </text>
    </comment>
    <comment ref="B31" authorId="0" shapeId="0" xr:uid="{7DEC5B2C-4977-4F57-B24A-CA4FF2DFF0ED}">
      <text>
        <r>
          <rPr>
            <b/>
            <sz val="9"/>
            <color indexed="81"/>
            <rFont val="Tahoma"/>
            <family val="2"/>
          </rPr>
          <t>Simon Burghardt:</t>
        </r>
        <r>
          <rPr>
            <sz val="9"/>
            <color indexed="81"/>
            <rFont val="Tahoma"/>
            <family val="2"/>
          </rPr>
          <t xml:space="preserve">
Working Capital = Current Assets - Current Liabilities
&gt;30% very good
15% - 30% satisfactory
0% - 15% unsatisfactory
&lt; 0% critical</t>
        </r>
      </text>
    </comment>
    <comment ref="B32" authorId="0" shapeId="0" xr:uid="{C7CF7851-5FDA-4DD7-9531-B44B5A8A2A9C}">
      <text>
        <r>
          <rPr>
            <b/>
            <sz val="9"/>
            <color indexed="81"/>
            <rFont val="Tahoma"/>
            <family val="2"/>
          </rPr>
          <t>Simon Burghardt:</t>
        </r>
        <r>
          <rPr>
            <sz val="9"/>
            <color indexed="81"/>
            <rFont val="Tahoma"/>
            <family val="2"/>
          </rPr>
          <t xml:space="preserve">
BVPS = Stockholders Equity $ - Preffered Stock $ / Average Shares Outstanding
Book Value (Share Capital + Retained Earnings) = Total Assets - Total Liabilities</t>
        </r>
      </text>
    </comment>
    <comment ref="B33" authorId="0" shapeId="0" xr:uid="{A803D22A-1FAC-4EE7-83A6-8FC274E0C949}">
      <text>
        <r>
          <rPr>
            <b/>
            <sz val="9"/>
            <color indexed="81"/>
            <rFont val="Tahoma"/>
            <family val="2"/>
          </rPr>
          <t>Simon Burghardt:</t>
        </r>
        <r>
          <rPr>
            <sz val="9"/>
            <color indexed="81"/>
            <rFont val="Tahoma"/>
            <family val="2"/>
          </rPr>
          <t xml:space="preserve">
= Net Sales / Average Total Assets
Average Total Assets = (Assets at start of year + Assets end of year) / 2</t>
        </r>
      </text>
    </comment>
    <comment ref="B34" authorId="0" shapeId="0" xr:uid="{BE9EE88E-4163-4D0A-BE61-4D10937BAFB7}">
      <text>
        <r>
          <rPr>
            <b/>
            <sz val="9"/>
            <color indexed="81"/>
            <rFont val="Tahoma"/>
            <family val="2"/>
          </rPr>
          <t>Simon Burghardt:</t>
        </r>
        <r>
          <rPr>
            <sz val="9"/>
            <color indexed="81"/>
            <rFont val="Tahoma"/>
            <family val="2"/>
          </rPr>
          <t xml:space="preserve">
= Net Income / Total Assets</t>
        </r>
      </text>
    </comment>
    <comment ref="B35" authorId="0" shapeId="0" xr:uid="{4A245704-8FBD-412D-8ACC-9F438C60C482}">
      <text>
        <r>
          <rPr>
            <b/>
            <sz val="9"/>
            <color indexed="81"/>
            <rFont val="Tahoma"/>
            <family val="2"/>
          </rPr>
          <t>Simon Burghardt:</t>
        </r>
        <r>
          <rPr>
            <sz val="9"/>
            <color indexed="81"/>
            <rFont val="Tahoma"/>
            <family val="2"/>
          </rPr>
          <t xml:space="preserve">
= Net Income / Shareholders Equity $</t>
        </r>
      </text>
    </comment>
    <comment ref="B36" authorId="0" shapeId="0" xr:uid="{07083824-5D79-40A7-83E6-23D30EAF9E8E}">
      <text>
        <r>
          <rPr>
            <b/>
            <sz val="9"/>
            <color indexed="81"/>
            <rFont val="Tahoma"/>
            <family val="2"/>
          </rPr>
          <t>Simon Burghardt:</t>
        </r>
        <r>
          <rPr>
            <sz val="9"/>
            <color indexed="81"/>
            <rFont val="Tahoma"/>
            <family val="2"/>
          </rPr>
          <t xml:space="preserve">
= Last Annual Free Cash Flow per Share / Current Market Stock Price
P/FCFPS = Current Market Stock Price / Annualized Free Cash Flow per Share
P/E </t>
        </r>
      </text>
    </comment>
  </commentList>
</comments>
</file>

<file path=xl/sharedStrings.xml><?xml version="1.0" encoding="utf-8"?>
<sst xmlns="http://schemas.openxmlformats.org/spreadsheetml/2006/main" count="216" uniqueCount="196">
  <si>
    <t>Price</t>
  </si>
  <si>
    <t>Shares</t>
  </si>
  <si>
    <t>MC</t>
  </si>
  <si>
    <t>CASH</t>
  </si>
  <si>
    <t>DEBT</t>
  </si>
  <si>
    <t>EV</t>
  </si>
  <si>
    <t>FY22</t>
  </si>
  <si>
    <t>FY23</t>
  </si>
  <si>
    <t>Revenue</t>
  </si>
  <si>
    <t>EBITDA</t>
  </si>
  <si>
    <t>Income Tax</t>
  </si>
  <si>
    <t>Net Income</t>
  </si>
  <si>
    <t>EPS</t>
  </si>
  <si>
    <t>Operational Income</t>
  </si>
  <si>
    <t>D&amp;A</t>
  </si>
  <si>
    <t>Cash</t>
  </si>
  <si>
    <t>AR</t>
  </si>
  <si>
    <t>Goodwill</t>
  </si>
  <si>
    <t>Total Assets</t>
  </si>
  <si>
    <t>Total Liablities</t>
  </si>
  <si>
    <t>AP</t>
  </si>
  <si>
    <t>Gross Margin</t>
  </si>
  <si>
    <t>Net Margin</t>
  </si>
  <si>
    <t>FY24</t>
  </si>
  <si>
    <t>Net CASH</t>
  </si>
  <si>
    <t>Main</t>
  </si>
  <si>
    <t>Net Cash</t>
  </si>
  <si>
    <t>Last Update</t>
  </si>
  <si>
    <t>Management</t>
  </si>
  <si>
    <t>EG1</t>
  </si>
  <si>
    <t>EG2</t>
  </si>
  <si>
    <t>PE1</t>
  </si>
  <si>
    <t>PE2</t>
  </si>
  <si>
    <t>PE0</t>
  </si>
  <si>
    <t>Shareholders</t>
  </si>
  <si>
    <t>% Out</t>
  </si>
  <si>
    <t>Date</t>
  </si>
  <si>
    <t>Close</t>
  </si>
  <si>
    <t>Event</t>
  </si>
  <si>
    <t>Earnings</t>
  </si>
  <si>
    <t>Driving business factors:</t>
  </si>
  <si>
    <t>xxx</t>
  </si>
  <si>
    <t>Insiders</t>
  </si>
  <si>
    <t>Comment</t>
  </si>
  <si>
    <t>Role</t>
  </si>
  <si>
    <t>COGS</t>
  </si>
  <si>
    <t>Current Assets</t>
  </si>
  <si>
    <t>Total Current Liabilities</t>
  </si>
  <si>
    <t>Q124</t>
  </si>
  <si>
    <t>EPS exp.</t>
  </si>
  <si>
    <t>Rev. Exp.</t>
  </si>
  <si>
    <t>Q224</t>
  </si>
  <si>
    <t>FY25</t>
  </si>
  <si>
    <t>PEG1</t>
  </si>
  <si>
    <t>PEG2</t>
  </si>
  <si>
    <t>EBIT</t>
  </si>
  <si>
    <t>EV/EBITDA</t>
  </si>
  <si>
    <t>Notes</t>
  </si>
  <si>
    <t>Restricted Cash</t>
  </si>
  <si>
    <t>Prepaid Expense</t>
  </si>
  <si>
    <t>Intangible Asset</t>
  </si>
  <si>
    <t>Equity</t>
  </si>
  <si>
    <t>Interest Rate debt</t>
  </si>
  <si>
    <t>RG1</t>
  </si>
  <si>
    <t>RG2</t>
  </si>
  <si>
    <t>Debt to Equity Ratio</t>
  </si>
  <si>
    <t>Interest Coverage Ratio</t>
  </si>
  <si>
    <t>Current Ratio</t>
  </si>
  <si>
    <t>Quick Ratio</t>
  </si>
  <si>
    <t>WC over Total Assets</t>
  </si>
  <si>
    <t>Book Value per Share</t>
  </si>
  <si>
    <t>Sales to Assets Ratio</t>
  </si>
  <si>
    <t>Returns on Assets</t>
  </si>
  <si>
    <t>ROE</t>
  </si>
  <si>
    <t>FCF Yield</t>
  </si>
  <si>
    <t>w/w</t>
  </si>
  <si>
    <t>Close to Close Weekly returns</t>
  </si>
  <si>
    <t>Intervals</t>
  </si>
  <si>
    <t>Bin</t>
  </si>
  <si>
    <t>Frequency</t>
  </si>
  <si>
    <t>Range</t>
  </si>
  <si>
    <t>Probability</t>
  </si>
  <si>
    <t>Cumulative Percentage</t>
  </si>
  <si>
    <t>More</t>
  </si>
  <si>
    <t>Mean</t>
  </si>
  <si>
    <t>Standard Error</t>
  </si>
  <si>
    <t>Median</t>
  </si>
  <si>
    <t>Mode</t>
  </si>
  <si>
    <t>Standard Deviation</t>
  </si>
  <si>
    <t>Sample Variance</t>
  </si>
  <si>
    <t>Kurtosis</t>
  </si>
  <si>
    <t>Skewness</t>
  </si>
  <si>
    <t>Minimum</t>
  </si>
  <si>
    <t>Maximum</t>
  </si>
  <si>
    <t>Sum</t>
  </si>
  <si>
    <t>Count</t>
  </si>
  <si>
    <t>Average Returns</t>
  </si>
  <si>
    <t>Frequency %</t>
  </si>
  <si>
    <t>Frequency Adjusted Return</t>
  </si>
  <si>
    <t>Positive Data Points</t>
  </si>
  <si>
    <t>Negative Data Points</t>
  </si>
  <si>
    <t>Zero</t>
  </si>
  <si>
    <t>Std Dev</t>
  </si>
  <si>
    <t>Upper Bound</t>
  </si>
  <si>
    <t>Lower Bound</t>
  </si>
  <si>
    <t>Actual Count</t>
  </si>
  <si>
    <t>Actual % Count</t>
  </si>
  <si>
    <t>Normal % Count</t>
  </si>
  <si>
    <t>Percentiles</t>
  </si>
  <si>
    <t>Stop %</t>
  </si>
  <si>
    <t>Target %</t>
  </si>
  <si>
    <t>Current Price</t>
  </si>
  <si>
    <t>Stop Price</t>
  </si>
  <si>
    <t>Target Price</t>
  </si>
  <si>
    <t>Descriptive Statistics</t>
  </si>
  <si>
    <t>Prod1 y/y</t>
  </si>
  <si>
    <t>Prod2 y/y</t>
  </si>
  <si>
    <t>G&amp;A / REV</t>
  </si>
  <si>
    <t>G&amp;A</t>
  </si>
  <si>
    <t>Net Income before Tax</t>
  </si>
  <si>
    <t>Q324</t>
  </si>
  <si>
    <t>Q424</t>
  </si>
  <si>
    <t>EPS Growth</t>
  </si>
  <si>
    <t>Revenue Growth</t>
  </si>
  <si>
    <t>Sell</t>
  </si>
  <si>
    <t>Hold</t>
  </si>
  <si>
    <t>Buy</t>
  </si>
  <si>
    <t>Strong buy</t>
  </si>
  <si>
    <t>Price Targets</t>
  </si>
  <si>
    <t>FY26</t>
  </si>
  <si>
    <t>Q125</t>
  </si>
  <si>
    <t>Q225</t>
  </si>
  <si>
    <t>Q325</t>
  </si>
  <si>
    <t>Q425</t>
  </si>
  <si>
    <t>Q126</t>
  </si>
  <si>
    <t>Q226</t>
  </si>
  <si>
    <t>Circle Internet Group, Inc. operates as a platform, network, and market infrastructure for stablecoin and blockchain applications. The company provides a suite of stablecoins and related products that include a network utility and application platform for organizations to benefit from stablecoins and the internet financial system; and issues a U.S. dollar-denominated stablecoin. Its stablecoins network comprises circle stablecoins, tokenized funds, liquidity, payments, and developer services, as well as integration services. The company was founded in 2013 and is based in New York, New York.</t>
  </si>
  <si>
    <t>Mr. Jeremy D. Allaire</t>
  </si>
  <si>
    <t>Co-Founder, Chairman &amp; CEO</t>
  </si>
  <si>
    <t>Mr. Heath P. Tarbert</t>
  </si>
  <si>
    <t>President &amp; Chief Legal Officer</t>
  </si>
  <si>
    <t>Mr. Jeremy Fox-Geen</t>
  </si>
  <si>
    <t>Chief Financial Officer</t>
  </si>
  <si>
    <t>Mr. Nikhil Chandhok</t>
  </si>
  <si>
    <t>Chief Product &amp; Technology Officer</t>
  </si>
  <si>
    <t>Ms. Elisabeth Bentel Carpenter</t>
  </si>
  <si>
    <t>Chief Strategic Engagement Officer</t>
  </si>
  <si>
    <t>Mr. John Andrews</t>
  </si>
  <si>
    <t>Vice President of Capital Markets &amp; Investor Relations</t>
  </si>
  <si>
    <t>Mr. Mandeep Walia</t>
  </si>
  <si>
    <t>Chief Compliance &amp; Risk Officer</t>
  </si>
  <si>
    <t>Mr. Tim Queenan</t>
  </si>
  <si>
    <t>Senior Vice President of Marketing</t>
  </si>
  <si>
    <t>Mr. Brian Christman</t>
  </si>
  <si>
    <t>Chief People Officer</t>
  </si>
  <si>
    <t>Ms. Li Fan</t>
  </si>
  <si>
    <t>Chief Technology &amp; AI Officer</t>
  </si>
  <si>
    <t>General Catalyst Group Management, LLC</t>
  </si>
  <si>
    <t>FMR, LLC</t>
  </si>
  <si>
    <t>IDG China Capital Fund III Associates L.P.</t>
  </si>
  <si>
    <t>Marshall Wace LLP</t>
  </si>
  <si>
    <t>4.21%	% of Shares Held by All Insider</t>
  </si>
  <si>
    <t>Stablecoin Cash</t>
  </si>
  <si>
    <t>Stablecoin Cash corporate</t>
  </si>
  <si>
    <t>Stablecoins receivable</t>
  </si>
  <si>
    <t>Invstments</t>
  </si>
  <si>
    <t>Fixed assets, net</t>
  </si>
  <si>
    <t>Digital assets</t>
  </si>
  <si>
    <t>Deferred tax assets</t>
  </si>
  <si>
    <t>other non-current assets</t>
  </si>
  <si>
    <t>Stablecoin deposits</t>
  </si>
  <si>
    <t>Convertible debt</t>
  </si>
  <si>
    <t>Other current liab</t>
  </si>
  <si>
    <t>Deferrred tax</t>
  </si>
  <si>
    <t>Warrant liability</t>
  </si>
  <si>
    <t>Other non-current liab</t>
  </si>
  <si>
    <t>Reserve Income</t>
  </si>
  <si>
    <t>Other revenue</t>
  </si>
  <si>
    <t>Distribution and transaction cost</t>
  </si>
  <si>
    <t>Other cocsts</t>
  </si>
  <si>
    <t>Compensation expense</t>
  </si>
  <si>
    <t>IT infrastructure costs</t>
  </si>
  <si>
    <t>Marketing expenses</t>
  </si>
  <si>
    <t>Digital assets gains/losses</t>
  </si>
  <si>
    <t>Other expense/income</t>
  </si>
  <si>
    <t>Compensation Expense / REV</t>
  </si>
  <si>
    <t>Marketing / REV</t>
  </si>
  <si>
    <t>Stock Price</t>
  </si>
  <si>
    <t>Consensus</t>
  </si>
  <si>
    <t>USD in Circulation in b</t>
  </si>
  <si>
    <t>Reserve Return Rate</t>
  </si>
  <si>
    <t>Stablecoin Marketshare</t>
  </si>
  <si>
    <t>Market</t>
  </si>
  <si>
    <t>Stablecoins in Circulation</t>
  </si>
  <si>
    <t>Stablecoin Transaction Volumes</t>
  </si>
  <si>
    <t>Transaction Marketshare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</si>
</sst>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0.0000"/>
    <numFmt numFmtId="167" formatCode="[$-407]mmm/\ yy;@"/>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i/>
      <sz val="11"/>
      <color theme="1"/>
      <name val="Calibri"/>
      <family val="2"/>
      <scheme val="minor"/>
    </font>
    <font>
      <b/>
      <i/>
      <sz val="11"/>
      <color theme="1"/>
      <name val="Calibri"/>
      <family val="2"/>
      <scheme val="minor"/>
    </font>
    <font>
      <sz val="10"/>
      <color rgb="FF232A31"/>
      <name val="Arial"/>
      <family val="2"/>
    </font>
    <font>
      <sz val="9"/>
      <color indexed="81"/>
      <name val="Tahoma"/>
      <family val="2"/>
    </font>
    <font>
      <b/>
      <sz val="9"/>
      <color indexed="81"/>
      <name val="Tahoma"/>
      <family val="2"/>
    </font>
    <font>
      <sz val="11"/>
      <color rgb="FF3F3F76"/>
      <name val="Calibri"/>
      <family val="2"/>
      <scheme val="minor"/>
    </font>
    <font>
      <b/>
      <sz val="12"/>
      <name val="Calibri"/>
      <family val="2"/>
      <scheme val="minor"/>
    </font>
    <font>
      <sz val="11"/>
      <name val="Calibri"/>
      <family val="2"/>
      <scheme val="minor"/>
    </font>
    <font>
      <i/>
      <sz val="11"/>
      <name val="Calibri"/>
      <family val="2"/>
      <scheme val="minor"/>
    </font>
    <font>
      <b/>
      <sz val="11"/>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CC99"/>
      </patternFill>
    </fill>
    <fill>
      <patternFill patternType="solid">
        <fgColor theme="4" tint="0.59999389629810485"/>
        <bgColor indexed="64"/>
      </patternFill>
    </fill>
    <fill>
      <patternFill patternType="solid">
        <fgColor theme="0"/>
        <bgColor indexed="64"/>
      </patternFill>
    </fill>
  </fills>
  <borders count="46">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10" fillId="8" borderId="9" applyNumberFormat="0" applyAlignment="0" applyProtection="0"/>
  </cellStyleXfs>
  <cellXfs count="145">
    <xf numFmtId="0" fontId="0" fillId="0" borderId="0" xfId="0"/>
    <xf numFmtId="0" fontId="2" fillId="0" borderId="0" xfId="0" applyFont="1"/>
    <xf numFmtId="2" fontId="2" fillId="0" borderId="0" xfId="0" applyNumberFormat="1" applyFont="1"/>
    <xf numFmtId="9" fontId="0" fillId="0" borderId="0" xfId="1" applyFont="1"/>
    <xf numFmtId="9" fontId="0" fillId="0" borderId="0" xfId="0" applyNumberFormat="1"/>
    <xf numFmtId="0" fontId="0" fillId="0" borderId="1" xfId="0" applyBorder="1"/>
    <xf numFmtId="9" fontId="0" fillId="0" borderId="2" xfId="1" applyFont="1" applyBorder="1"/>
    <xf numFmtId="9" fontId="0" fillId="0" borderId="2" xfId="0" applyNumberFormat="1" applyBorder="1"/>
    <xf numFmtId="0" fontId="4" fillId="0" borderId="0" xfId="2"/>
    <xf numFmtId="0" fontId="5" fillId="0" borderId="0" xfId="0" applyFont="1"/>
    <xf numFmtId="3" fontId="0" fillId="0" borderId="0" xfId="0" applyNumberFormat="1"/>
    <xf numFmtId="3" fontId="2" fillId="0" borderId="0" xfId="0" applyNumberFormat="1" applyFont="1"/>
    <xf numFmtId="14" fontId="0" fillId="0" borderId="0" xfId="0" applyNumberFormat="1"/>
    <xf numFmtId="0" fontId="0" fillId="0" borderId="2" xfId="0" applyBorder="1"/>
    <xf numFmtId="3" fontId="2" fillId="0" borderId="2" xfId="0" applyNumberFormat="1" applyFont="1" applyBorder="1"/>
    <xf numFmtId="3" fontId="0" fillId="0" borderId="2" xfId="0" applyNumberFormat="1" applyBorder="1"/>
    <xf numFmtId="0" fontId="2" fillId="0" borderId="2" xfId="0" applyFont="1" applyBorder="1"/>
    <xf numFmtId="49" fontId="0" fillId="0" borderId="0" xfId="0" applyNumberFormat="1"/>
    <xf numFmtId="2" fontId="0" fillId="0" borderId="0" xfId="0" applyNumberFormat="1"/>
    <xf numFmtId="0" fontId="0" fillId="0" borderId="4" xfId="0" applyBorder="1"/>
    <xf numFmtId="14" fontId="0" fillId="0" borderId="2" xfId="0" applyNumberFormat="1" applyBorder="1"/>
    <xf numFmtId="20" fontId="0" fillId="0" borderId="2" xfId="0" applyNumberFormat="1" applyBorder="1"/>
    <xf numFmtId="0" fontId="0" fillId="0" borderId="5" xfId="0" applyBorder="1"/>
    <xf numFmtId="0" fontId="0" fillId="0" borderId="6" xfId="0" applyBorder="1"/>
    <xf numFmtId="0" fontId="0" fillId="3" borderId="3" xfId="0" applyFill="1" applyBorder="1"/>
    <xf numFmtId="0" fontId="0" fillId="0" borderId="7" xfId="0" applyBorder="1"/>
    <xf numFmtId="0" fontId="0" fillId="3" borderId="7" xfId="0" applyFill="1" applyBorder="1"/>
    <xf numFmtId="0" fontId="0" fillId="3" borderId="4" xfId="0" applyFill="1" applyBorder="1"/>
    <xf numFmtId="0" fontId="0" fillId="0" borderId="0" xfId="0" applyAlignment="1">
      <alignment horizontal="right"/>
    </xf>
    <xf numFmtId="0" fontId="0" fillId="0" borderId="8" xfId="0" applyBorder="1"/>
    <xf numFmtId="0" fontId="0" fillId="2" borderId="3" xfId="0" applyFill="1" applyBorder="1"/>
    <xf numFmtId="0" fontId="0" fillId="2" borderId="7" xfId="0" applyFill="1" applyBorder="1"/>
    <xf numFmtId="0" fontId="0" fillId="2" borderId="4" xfId="0" applyFill="1" applyBorder="1"/>
    <xf numFmtId="0" fontId="0" fillId="4" borderId="0" xfId="0" applyFill="1"/>
    <xf numFmtId="0" fontId="0" fillId="5" borderId="3" xfId="0" applyFill="1" applyBorder="1"/>
    <xf numFmtId="2" fontId="2" fillId="0" borderId="2" xfId="0" applyNumberFormat="1" applyFont="1" applyBorder="1"/>
    <xf numFmtId="164" fontId="0" fillId="0" borderId="2" xfId="0" applyNumberFormat="1" applyBorder="1"/>
    <xf numFmtId="0" fontId="0" fillId="0" borderId="2" xfId="0" applyBorder="1" applyAlignment="1">
      <alignment wrapText="1"/>
    </xf>
    <xf numFmtId="165" fontId="0" fillId="0" borderId="2" xfId="1" applyNumberFormat="1" applyFont="1" applyBorder="1"/>
    <xf numFmtId="9" fontId="0" fillId="0" borderId="0" xfId="1" applyFont="1" applyBorder="1"/>
    <xf numFmtId="3" fontId="5" fillId="0" borderId="0" xfId="0" applyNumberFormat="1" applyFont="1"/>
    <xf numFmtId="0" fontId="5" fillId="0" borderId="2" xfId="0" applyFont="1" applyBorder="1"/>
    <xf numFmtId="3" fontId="5" fillId="6" borderId="0" xfId="0" applyNumberFormat="1" applyFont="1" applyFill="1"/>
    <xf numFmtId="0" fontId="6" fillId="6" borderId="0" xfId="0" applyFont="1" applyFill="1"/>
    <xf numFmtId="2" fontId="5" fillId="0" borderId="0" xfId="0" applyNumberFormat="1" applyFont="1"/>
    <xf numFmtId="2" fontId="0" fillId="0" borderId="2" xfId="0" applyNumberFormat="1" applyBorder="1"/>
    <xf numFmtId="10" fontId="2" fillId="0" borderId="0" xfId="1" applyNumberFormat="1" applyFont="1"/>
    <xf numFmtId="0" fontId="7" fillId="0" borderId="0" xfId="0" applyFont="1" applyAlignment="1">
      <alignment horizontal="left" vertical="center" wrapText="1"/>
    </xf>
    <xf numFmtId="0" fontId="7" fillId="0" borderId="0" xfId="0" applyFont="1" applyAlignment="1">
      <alignment horizontal="left" vertical="center" indent="1"/>
    </xf>
    <xf numFmtId="0" fontId="7" fillId="0" borderId="0" xfId="0" applyFont="1" applyAlignment="1">
      <alignment horizontal="right" vertical="center" indent="1"/>
    </xf>
    <xf numFmtId="0" fontId="7" fillId="0" borderId="0" xfId="0" applyFont="1" applyAlignment="1">
      <alignment horizontal="right" vertical="center" wrapText="1"/>
    </xf>
    <xf numFmtId="0" fontId="0" fillId="3" borderId="7" xfId="0" applyFill="1" applyBorder="1" applyAlignment="1">
      <alignment horizontal="right"/>
    </xf>
    <xf numFmtId="0" fontId="12" fillId="10" borderId="13" xfId="0" applyFont="1" applyFill="1" applyBorder="1"/>
    <xf numFmtId="0" fontId="12" fillId="10" borderId="14" xfId="0" applyFont="1" applyFill="1" applyBorder="1"/>
    <xf numFmtId="0" fontId="12" fillId="10" borderId="15" xfId="0" applyFont="1" applyFill="1" applyBorder="1"/>
    <xf numFmtId="0" fontId="12" fillId="10" borderId="16" xfId="0" applyFont="1" applyFill="1" applyBorder="1"/>
    <xf numFmtId="0" fontId="13" fillId="10" borderId="17" xfId="0" applyFont="1" applyFill="1" applyBorder="1" applyAlignment="1">
      <alignment horizontal="center"/>
    </xf>
    <xf numFmtId="0" fontId="13" fillId="10" borderId="18" xfId="0" applyFont="1" applyFill="1" applyBorder="1" applyAlignment="1">
      <alignment horizontal="center"/>
    </xf>
    <xf numFmtId="0" fontId="12" fillId="10" borderId="19" xfId="0" applyFont="1" applyFill="1" applyBorder="1"/>
    <xf numFmtId="0" fontId="12" fillId="10" borderId="20" xfId="0" applyFont="1" applyFill="1" applyBorder="1"/>
    <xf numFmtId="166" fontId="12" fillId="10" borderId="21" xfId="0" applyNumberFormat="1" applyFont="1" applyFill="1" applyBorder="1"/>
    <xf numFmtId="166" fontId="12" fillId="10" borderId="22" xfId="0" applyNumberFormat="1" applyFont="1" applyFill="1" applyBorder="1"/>
    <xf numFmtId="0" fontId="12" fillId="10" borderId="22" xfId="0" applyFont="1" applyFill="1" applyBorder="1"/>
    <xf numFmtId="10" fontId="12" fillId="10" borderId="22" xfId="0" applyNumberFormat="1" applyFont="1" applyFill="1" applyBorder="1"/>
    <xf numFmtId="10" fontId="12" fillId="10" borderId="23" xfId="0" applyNumberFormat="1" applyFont="1" applyFill="1" applyBorder="1"/>
    <xf numFmtId="166" fontId="12" fillId="10" borderId="24" xfId="0" applyNumberFormat="1" applyFont="1" applyFill="1" applyBorder="1"/>
    <xf numFmtId="166" fontId="12" fillId="10" borderId="25" xfId="0" applyNumberFormat="1" applyFont="1" applyFill="1" applyBorder="1"/>
    <xf numFmtId="0" fontId="12" fillId="10" borderId="25" xfId="0" applyFont="1" applyFill="1" applyBorder="1"/>
    <xf numFmtId="0" fontId="12" fillId="10" borderId="25" xfId="0" quotePrefix="1" applyFont="1" applyFill="1" applyBorder="1"/>
    <xf numFmtId="10" fontId="12" fillId="10" borderId="25" xfId="0" applyNumberFormat="1" applyFont="1" applyFill="1" applyBorder="1"/>
    <xf numFmtId="10" fontId="12" fillId="10" borderId="26" xfId="0" applyNumberFormat="1" applyFont="1" applyFill="1" applyBorder="1"/>
    <xf numFmtId="0" fontId="12" fillId="10" borderId="27" xfId="0" applyFont="1" applyFill="1" applyBorder="1"/>
    <xf numFmtId="0" fontId="12" fillId="10" borderId="28" xfId="0" applyFont="1" applyFill="1" applyBorder="1"/>
    <xf numFmtId="10" fontId="12" fillId="10" borderId="29" xfId="0" applyNumberFormat="1" applyFont="1" applyFill="1" applyBorder="1"/>
    <xf numFmtId="166" fontId="12" fillId="10" borderId="30" xfId="0" applyNumberFormat="1" applyFont="1" applyFill="1" applyBorder="1"/>
    <xf numFmtId="0" fontId="12" fillId="10" borderId="31" xfId="0" applyFont="1" applyFill="1" applyBorder="1"/>
    <xf numFmtId="166" fontId="12" fillId="10" borderId="34" xfId="0" applyNumberFormat="1" applyFont="1" applyFill="1" applyBorder="1"/>
    <xf numFmtId="166" fontId="12" fillId="10" borderId="13" xfId="0" applyNumberFormat="1" applyFont="1" applyFill="1" applyBorder="1"/>
    <xf numFmtId="0" fontId="0" fillId="10" borderId="35" xfId="0" applyFill="1" applyBorder="1"/>
    <xf numFmtId="166" fontId="12" fillId="10" borderId="36" xfId="0" applyNumberFormat="1" applyFont="1" applyFill="1" applyBorder="1"/>
    <xf numFmtId="166" fontId="12" fillId="10" borderId="37" xfId="0" applyNumberFormat="1" applyFont="1" applyFill="1" applyBorder="1"/>
    <xf numFmtId="0" fontId="14" fillId="10" borderId="22" xfId="0" applyFont="1" applyFill="1" applyBorder="1"/>
    <xf numFmtId="0" fontId="14" fillId="10" borderId="23" xfId="0" applyFont="1" applyFill="1" applyBorder="1"/>
    <xf numFmtId="166" fontId="14" fillId="10" borderId="24" xfId="0" applyNumberFormat="1" applyFont="1" applyFill="1" applyBorder="1"/>
    <xf numFmtId="166" fontId="14" fillId="10" borderId="30" xfId="0" applyNumberFormat="1" applyFont="1" applyFill="1" applyBorder="1"/>
    <xf numFmtId="10" fontId="12" fillId="10" borderId="28" xfId="0" applyNumberFormat="1" applyFont="1" applyFill="1" applyBorder="1"/>
    <xf numFmtId="0" fontId="12" fillId="10" borderId="0" xfId="0" applyFont="1" applyFill="1"/>
    <xf numFmtId="1" fontId="12" fillId="10" borderId="24" xfId="0" applyNumberFormat="1" applyFont="1" applyFill="1" applyBorder="1"/>
    <xf numFmtId="10" fontId="12" fillId="10" borderId="38" xfId="0" applyNumberFormat="1" applyFont="1" applyFill="1" applyBorder="1"/>
    <xf numFmtId="9" fontId="14" fillId="10" borderId="39" xfId="0" applyNumberFormat="1" applyFont="1" applyFill="1" applyBorder="1"/>
    <xf numFmtId="10" fontId="0" fillId="10" borderId="41" xfId="0" applyNumberFormat="1" applyFill="1" applyBorder="1" applyAlignment="1">
      <alignment horizontal="centerContinuous"/>
    </xf>
    <xf numFmtId="9" fontId="14" fillId="10" borderId="42" xfId="0" applyNumberFormat="1" applyFont="1" applyFill="1" applyBorder="1"/>
    <xf numFmtId="10" fontId="0" fillId="10" borderId="40" xfId="0" applyNumberFormat="1" applyFill="1" applyBorder="1" applyAlignment="1">
      <alignment horizontal="centerContinuous"/>
    </xf>
    <xf numFmtId="9" fontId="14" fillId="10" borderId="34" xfId="0" applyNumberFormat="1" applyFont="1" applyFill="1" applyBorder="1"/>
    <xf numFmtId="10" fontId="0" fillId="10" borderId="2" xfId="0" applyNumberFormat="1" applyFill="1" applyBorder="1" applyAlignment="1">
      <alignment horizontal="centerContinuous"/>
    </xf>
    <xf numFmtId="9" fontId="14" fillId="10" borderId="1" xfId="0" applyNumberFormat="1" applyFont="1" applyFill="1" applyBorder="1"/>
    <xf numFmtId="10" fontId="0" fillId="10" borderId="31" xfId="0" applyNumberFormat="1" applyFill="1" applyBorder="1" applyAlignment="1">
      <alignment horizontal="centerContinuous"/>
    </xf>
    <xf numFmtId="9" fontId="14" fillId="10" borderId="13" xfId="0" applyNumberFormat="1" applyFont="1" applyFill="1" applyBorder="1"/>
    <xf numFmtId="10" fontId="0" fillId="10" borderId="35" xfId="0" applyNumberFormat="1" applyFill="1" applyBorder="1" applyAlignment="1">
      <alignment horizontal="centerContinuous"/>
    </xf>
    <xf numFmtId="0" fontId="12" fillId="10" borderId="43" xfId="0" applyFont="1" applyFill="1" applyBorder="1"/>
    <xf numFmtId="9" fontId="14" fillId="10" borderId="43" xfId="0" applyNumberFormat="1" applyFont="1" applyFill="1" applyBorder="1"/>
    <xf numFmtId="10" fontId="0" fillId="10" borderId="15" xfId="0" applyNumberFormat="1" applyFill="1" applyBorder="1" applyAlignment="1">
      <alignment horizontal="centerContinuous"/>
    </xf>
    <xf numFmtId="0" fontId="14" fillId="0" borderId="21" xfId="0" applyFont="1" applyBorder="1"/>
    <xf numFmtId="9" fontId="10" fillId="8" borderId="23" xfId="3" applyNumberFormat="1" applyBorder="1"/>
    <xf numFmtId="0" fontId="14" fillId="0" borderId="27" xfId="0" applyFont="1" applyBorder="1"/>
    <xf numFmtId="9" fontId="10" fillId="8" borderId="29" xfId="3" applyNumberFormat="1" applyBorder="1"/>
    <xf numFmtId="0" fontId="12" fillId="0" borderId="0" xfId="0" applyFont="1"/>
    <xf numFmtId="2" fontId="10" fillId="8" borderId="23" xfId="3" applyNumberFormat="1" applyBorder="1"/>
    <xf numFmtId="0" fontId="14" fillId="0" borderId="24" xfId="0" applyFont="1" applyBorder="1"/>
    <xf numFmtId="2" fontId="0" fillId="0" borderId="26" xfId="0" applyNumberFormat="1" applyBorder="1"/>
    <xf numFmtId="2" fontId="0" fillId="0" borderId="29" xfId="0" applyNumberFormat="1" applyBorder="1"/>
    <xf numFmtId="2" fontId="0" fillId="0" borderId="2" xfId="1" applyNumberFormat="1" applyFont="1" applyBorder="1"/>
    <xf numFmtId="165" fontId="12" fillId="10" borderId="31" xfId="0" applyNumberFormat="1" applyFont="1" applyFill="1" applyBorder="1"/>
    <xf numFmtId="2" fontId="12" fillId="10" borderId="31" xfId="0" applyNumberFormat="1" applyFont="1" applyFill="1" applyBorder="1"/>
    <xf numFmtId="3" fontId="5" fillId="0" borderId="2" xfId="0" applyNumberFormat="1" applyFont="1" applyBorder="1"/>
    <xf numFmtId="2" fontId="5" fillId="0" borderId="2" xfId="0" applyNumberFormat="1" applyFont="1" applyBorder="1"/>
    <xf numFmtId="167" fontId="0" fillId="0" borderId="0" xfId="0" applyNumberFormat="1"/>
    <xf numFmtId="2" fontId="2" fillId="3" borderId="0" xfId="0" applyNumberFormat="1" applyFont="1" applyFill="1"/>
    <xf numFmtId="10" fontId="2" fillId="0" borderId="0" xfId="1" applyNumberFormat="1" applyFont="1" applyBorder="1"/>
    <xf numFmtId="0" fontId="0" fillId="6" borderId="0" xfId="0" applyFill="1"/>
    <xf numFmtId="2" fontId="6" fillId="0" borderId="2" xfId="0" applyNumberFormat="1" applyFont="1" applyBorder="1"/>
    <xf numFmtId="0" fontId="0" fillId="7" borderId="3" xfId="0" applyFill="1" applyBorder="1" applyAlignment="1">
      <alignment horizontal="center" vertical="center" wrapText="1"/>
    </xf>
    <xf numFmtId="0" fontId="0" fillId="7" borderId="7" xfId="0" applyFill="1" applyBorder="1" applyAlignment="1">
      <alignment horizontal="center" vertical="center"/>
    </xf>
    <xf numFmtId="0" fontId="0" fillId="7" borderId="4" xfId="0" applyFill="1" applyBorder="1" applyAlignment="1">
      <alignment horizontal="center" vertical="center"/>
    </xf>
    <xf numFmtId="0" fontId="0" fillId="7" borderId="1" xfId="0" applyFill="1" applyBorder="1" applyAlignment="1">
      <alignment horizontal="center" vertical="center"/>
    </xf>
    <xf numFmtId="0" fontId="0" fillId="7" borderId="0" xfId="0" applyFill="1" applyAlignment="1">
      <alignment horizontal="center" vertical="center"/>
    </xf>
    <xf numFmtId="0" fontId="0" fillId="7" borderId="2" xfId="0" applyFill="1" applyBorder="1" applyAlignment="1">
      <alignment horizontal="center" vertical="center"/>
    </xf>
    <xf numFmtId="0" fontId="0" fillId="7" borderId="5" xfId="0" applyFill="1" applyBorder="1" applyAlignment="1">
      <alignment horizontal="center" vertical="center"/>
    </xf>
    <xf numFmtId="0" fontId="0" fillId="7" borderId="8" xfId="0" applyFill="1" applyBorder="1" applyAlignment="1">
      <alignment horizontal="center" vertical="center"/>
    </xf>
    <xf numFmtId="0" fontId="0" fillId="7" borderId="6" xfId="0" applyFill="1" applyBorder="1" applyAlignment="1">
      <alignment horizontal="center" vertical="center"/>
    </xf>
    <xf numFmtId="0" fontId="11" fillId="9" borderId="10" xfId="0" applyFont="1" applyFill="1" applyBorder="1" applyAlignment="1">
      <alignment horizontal="center"/>
    </xf>
    <xf numFmtId="0" fontId="11" fillId="9" borderId="11" xfId="0" applyFont="1" applyFill="1" applyBorder="1" applyAlignment="1">
      <alignment horizontal="center"/>
    </xf>
    <xf numFmtId="0" fontId="11" fillId="9" borderId="12" xfId="0" applyFont="1" applyFill="1" applyBorder="1" applyAlignment="1">
      <alignment horizontal="center"/>
    </xf>
    <xf numFmtId="166" fontId="12" fillId="10" borderId="32" xfId="0" applyNumberFormat="1" applyFont="1" applyFill="1" applyBorder="1" applyAlignment="1">
      <alignment horizontal="center"/>
    </xf>
    <xf numFmtId="166" fontId="12" fillId="10" borderId="44" xfId="0" applyNumberFormat="1" applyFont="1" applyFill="1" applyBorder="1" applyAlignment="1">
      <alignment horizontal="center"/>
    </xf>
    <xf numFmtId="166" fontId="12" fillId="10" borderId="33" xfId="0" applyNumberFormat="1" applyFont="1" applyFill="1" applyBorder="1" applyAlignment="1">
      <alignment horizontal="center"/>
    </xf>
    <xf numFmtId="166" fontId="12" fillId="10" borderId="45" xfId="0" applyNumberFormat="1" applyFont="1" applyFill="1" applyBorder="1" applyAlignment="1">
      <alignment horizontal="center"/>
    </xf>
    <xf numFmtId="0" fontId="2" fillId="0" borderId="39" xfId="0" applyFont="1" applyBorder="1" applyAlignment="1">
      <alignment horizontal="center"/>
    </xf>
    <xf numFmtId="0" fontId="2" fillId="0" borderId="18" xfId="0" applyFont="1" applyBorder="1" applyAlignment="1">
      <alignment horizontal="center"/>
    </xf>
    <xf numFmtId="0" fontId="2" fillId="0" borderId="40" xfId="0" applyFont="1" applyBorder="1" applyAlignment="1">
      <alignment horizontal="center"/>
    </xf>
    <xf numFmtId="10" fontId="0" fillId="0" borderId="0" xfId="0" applyNumberFormat="1" applyAlignment="1">
      <alignment horizontal="right"/>
    </xf>
    <xf numFmtId="10" fontId="0" fillId="0" borderId="0" xfId="0" applyNumberFormat="1"/>
    <xf numFmtId="3" fontId="0" fillId="6" borderId="0" xfId="0" applyNumberFormat="1" applyFill="1"/>
    <xf numFmtId="9" fontId="0" fillId="3" borderId="0" xfId="0" applyNumberFormat="1" applyFill="1"/>
    <xf numFmtId="9" fontId="0" fillId="0" borderId="0" xfId="0" applyNumberFormat="1" applyBorder="1"/>
  </cellXfs>
  <cellStyles count="4">
    <cellStyle name="Hyperlink" xfId="2" builtinId="8"/>
    <cellStyle name="Input" xfId="3" builtinId="20"/>
    <cellStyle name="Normal" xfId="0" builtinId="0"/>
    <cellStyle name="Percent" xfId="1" builtinId="5"/>
  </cellStyles>
  <dxfs count="0"/>
  <tableStyles count="0" defaultTableStyle="TableStyleMedium2" defaultPivotStyle="PivotStyleLight16"/>
  <colors>
    <mruColors>
      <color rgb="FFFF0000"/>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de-DE">
                <a:solidFill>
                  <a:schemeClr val="tx1"/>
                </a:solidFill>
              </a:rPr>
              <a:t>Analystenratings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de-DE"/>
        </a:p>
      </c:txPr>
    </c:title>
    <c:autoTitleDeleted val="0"/>
    <c:plotArea>
      <c:layout/>
      <c:barChart>
        <c:barDir val="col"/>
        <c:grouping val="stacked"/>
        <c:varyColors val="0"/>
        <c:ser>
          <c:idx val="0"/>
          <c:order val="0"/>
          <c:tx>
            <c:strRef>
              <c:f>Analysts!$A$2</c:f>
              <c:strCache>
                <c:ptCount val="1"/>
                <c:pt idx="0">
                  <c:v>Sell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45839</c:v>
                </c:pt>
                <c:pt idx="1">
                  <c:v>45870</c:v>
                </c:pt>
                <c:pt idx="2">
                  <c:v>45901</c:v>
                </c:pt>
                <c:pt idx="3">
                  <c:v>45931</c:v>
                </c:pt>
                <c:pt idx="4">
                  <c:v>45962</c:v>
                </c:pt>
                <c:pt idx="5">
                  <c:v>45992</c:v>
                </c:pt>
                <c:pt idx="6">
                  <c:v>46023</c:v>
                </c:pt>
              </c:numCache>
            </c:numRef>
          </c:cat>
          <c:val>
            <c:numRef>
              <c:f>Analysts!$B$2:$L$2</c:f>
              <c:numCache>
                <c:formatCode>General</c:formatCode>
                <c:ptCount val="11"/>
                <c:pt idx="0">
                  <c:v>1</c:v>
                </c:pt>
                <c:pt idx="1">
                  <c:v>3</c:v>
                </c:pt>
                <c:pt idx="2">
                  <c:v>3</c:v>
                </c:pt>
                <c:pt idx="3">
                  <c:v>4</c:v>
                </c:pt>
                <c:pt idx="4">
                  <c:v>4</c:v>
                </c:pt>
                <c:pt idx="5">
                  <c:v>4</c:v>
                </c:pt>
              </c:numCache>
            </c:numRef>
          </c:val>
          <c:extLst>
            <c:ext xmlns:c16="http://schemas.microsoft.com/office/drawing/2014/chart" uri="{C3380CC4-5D6E-409C-BE32-E72D297353CC}">
              <c16:uniqueId val="{00000000-579C-4350-B83D-5F2E75DDA864}"/>
            </c:ext>
          </c:extLst>
        </c:ser>
        <c:ser>
          <c:idx val="2"/>
          <c:order val="1"/>
          <c:tx>
            <c:strRef>
              <c:f>Analysts!$A$3</c:f>
              <c:strCache>
                <c:ptCount val="1"/>
                <c:pt idx="0">
                  <c:v>Hold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45839</c:v>
                </c:pt>
                <c:pt idx="1">
                  <c:v>45870</c:v>
                </c:pt>
                <c:pt idx="2">
                  <c:v>45901</c:v>
                </c:pt>
                <c:pt idx="3">
                  <c:v>45931</c:v>
                </c:pt>
                <c:pt idx="4">
                  <c:v>45962</c:v>
                </c:pt>
                <c:pt idx="5">
                  <c:v>45992</c:v>
                </c:pt>
                <c:pt idx="6">
                  <c:v>46023</c:v>
                </c:pt>
              </c:numCache>
            </c:numRef>
          </c:cat>
          <c:val>
            <c:numRef>
              <c:f>Analysts!$B$3:$L$3</c:f>
              <c:numCache>
                <c:formatCode>General</c:formatCode>
                <c:ptCount val="11"/>
                <c:pt idx="0">
                  <c:v>4</c:v>
                </c:pt>
                <c:pt idx="1">
                  <c:v>5</c:v>
                </c:pt>
                <c:pt idx="2">
                  <c:v>5</c:v>
                </c:pt>
                <c:pt idx="3">
                  <c:v>8</c:v>
                </c:pt>
                <c:pt idx="4">
                  <c:v>10</c:v>
                </c:pt>
                <c:pt idx="5">
                  <c:v>9</c:v>
                </c:pt>
              </c:numCache>
            </c:numRef>
          </c:val>
          <c:extLst>
            <c:ext xmlns:c16="http://schemas.microsoft.com/office/drawing/2014/chart" uri="{C3380CC4-5D6E-409C-BE32-E72D297353CC}">
              <c16:uniqueId val="{00000002-579C-4350-B83D-5F2E75DDA864}"/>
            </c:ext>
          </c:extLst>
        </c:ser>
        <c:ser>
          <c:idx val="3"/>
          <c:order val="2"/>
          <c:tx>
            <c:strRef>
              <c:f>Analysts!$A$4</c:f>
              <c:strCache>
                <c:ptCount val="1"/>
                <c:pt idx="0">
                  <c:v>Buy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45839</c:v>
                </c:pt>
                <c:pt idx="1">
                  <c:v>45870</c:v>
                </c:pt>
                <c:pt idx="2">
                  <c:v>45901</c:v>
                </c:pt>
                <c:pt idx="3">
                  <c:v>45931</c:v>
                </c:pt>
                <c:pt idx="4">
                  <c:v>45962</c:v>
                </c:pt>
                <c:pt idx="5">
                  <c:v>45992</c:v>
                </c:pt>
                <c:pt idx="6">
                  <c:v>46023</c:v>
                </c:pt>
              </c:numCache>
            </c:numRef>
          </c:cat>
          <c:val>
            <c:numRef>
              <c:f>Analysts!$B$4:$L$4</c:f>
              <c:numCache>
                <c:formatCode>General</c:formatCode>
                <c:ptCount val="11"/>
                <c:pt idx="0">
                  <c:v>5</c:v>
                </c:pt>
                <c:pt idx="1">
                  <c:v>5</c:v>
                </c:pt>
                <c:pt idx="2">
                  <c:v>5</c:v>
                </c:pt>
                <c:pt idx="3">
                  <c:v>4</c:v>
                </c:pt>
                <c:pt idx="4">
                  <c:v>6</c:v>
                </c:pt>
                <c:pt idx="5">
                  <c:v>8</c:v>
                </c:pt>
              </c:numCache>
            </c:numRef>
          </c:val>
          <c:extLst>
            <c:ext xmlns:c16="http://schemas.microsoft.com/office/drawing/2014/chart" uri="{C3380CC4-5D6E-409C-BE32-E72D297353CC}">
              <c16:uniqueId val="{00000003-579C-4350-B83D-5F2E75DDA864}"/>
            </c:ext>
          </c:extLst>
        </c:ser>
        <c:ser>
          <c:idx val="4"/>
          <c:order val="3"/>
          <c:tx>
            <c:strRef>
              <c:f>Analysts!$A$5</c:f>
              <c:strCache>
                <c:ptCount val="1"/>
                <c:pt idx="0">
                  <c:v>Strong buy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45839</c:v>
                </c:pt>
                <c:pt idx="1">
                  <c:v>45870</c:v>
                </c:pt>
                <c:pt idx="2">
                  <c:v>45901</c:v>
                </c:pt>
                <c:pt idx="3">
                  <c:v>45931</c:v>
                </c:pt>
                <c:pt idx="4">
                  <c:v>45962</c:v>
                </c:pt>
                <c:pt idx="5">
                  <c:v>45992</c:v>
                </c:pt>
                <c:pt idx="6">
                  <c:v>46023</c:v>
                </c:pt>
              </c:numCache>
            </c:numRef>
          </c:cat>
          <c:val>
            <c:numRef>
              <c:f>Analysts!$B$5:$L$5</c:f>
              <c:numCache>
                <c:formatCode>General</c:formatCode>
                <c:ptCount val="11"/>
                <c:pt idx="0">
                  <c:v>1</c:v>
                </c:pt>
                <c:pt idx="1">
                  <c:v>1</c:v>
                </c:pt>
                <c:pt idx="2">
                  <c:v>1</c:v>
                </c:pt>
                <c:pt idx="3">
                  <c:v>1</c:v>
                </c:pt>
                <c:pt idx="4">
                  <c:v>1</c:v>
                </c:pt>
                <c:pt idx="5">
                  <c:v>2</c:v>
                </c:pt>
              </c:numCache>
            </c:numRef>
          </c:val>
          <c:extLst>
            <c:ext xmlns:c16="http://schemas.microsoft.com/office/drawing/2014/chart" uri="{C3380CC4-5D6E-409C-BE32-E72D297353CC}">
              <c16:uniqueId val="{00000004-579C-4350-B83D-5F2E75DDA864}"/>
            </c:ext>
          </c:extLst>
        </c:ser>
        <c:dLbls>
          <c:dLblPos val="ctr"/>
          <c:showLegendKey val="0"/>
          <c:showVal val="1"/>
          <c:showCatName val="0"/>
          <c:showSerName val="0"/>
          <c:showPercent val="0"/>
          <c:showBubbleSize val="0"/>
        </c:dLbls>
        <c:gapWidth val="150"/>
        <c:overlap val="100"/>
        <c:axId val="562824575"/>
        <c:axId val="562812095"/>
      </c:barChart>
      <c:dateAx>
        <c:axId val="562824575"/>
        <c:scaling>
          <c:orientation val="minMax"/>
        </c:scaling>
        <c:delete val="0"/>
        <c:axPos val="b"/>
        <c:numFmt formatCode="[$-407]mmm/\ 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de-DE"/>
          </a:p>
        </c:txPr>
        <c:crossAx val="562812095"/>
        <c:crosses val="autoZero"/>
        <c:auto val="1"/>
        <c:lblOffset val="100"/>
        <c:baseTimeUnit val="months"/>
      </c:dateAx>
      <c:valAx>
        <c:axId val="56281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562824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de-DE" b="1">
                <a:solidFill>
                  <a:schemeClr val="bg1"/>
                </a:solidFill>
              </a:rPr>
              <a:t>Price Targets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de-DE"/>
        </a:p>
      </c:txPr>
    </c:title>
    <c:autoTitleDeleted val="0"/>
    <c:plotArea>
      <c:layout/>
      <c:lineChart>
        <c:grouping val="standard"/>
        <c:varyColors val="0"/>
        <c:ser>
          <c:idx val="0"/>
          <c:order val="0"/>
          <c:tx>
            <c:strRef>
              <c:f>Analysts!$A$9</c:f>
              <c:strCache>
                <c:ptCount val="1"/>
                <c:pt idx="0">
                  <c:v>Stock 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Analysts!$B$1:$L$1</c:f>
              <c:numCache>
                <c:formatCode>[$-407]mmm/\ yy;@</c:formatCode>
                <c:ptCount val="11"/>
                <c:pt idx="0">
                  <c:v>45839</c:v>
                </c:pt>
                <c:pt idx="1">
                  <c:v>45870</c:v>
                </c:pt>
                <c:pt idx="2">
                  <c:v>45901</c:v>
                </c:pt>
                <c:pt idx="3">
                  <c:v>45931</c:v>
                </c:pt>
                <c:pt idx="4">
                  <c:v>45962</c:v>
                </c:pt>
                <c:pt idx="5">
                  <c:v>45992</c:v>
                </c:pt>
                <c:pt idx="6">
                  <c:v>46023</c:v>
                </c:pt>
              </c:numCache>
            </c:numRef>
          </c:cat>
          <c:val>
            <c:numRef>
              <c:f>Analysts!$B$9:$L$9</c:f>
              <c:numCache>
                <c:formatCode>General</c:formatCode>
                <c:ptCount val="11"/>
                <c:pt idx="0">
                  <c:v>199</c:v>
                </c:pt>
                <c:pt idx="1">
                  <c:v>180</c:v>
                </c:pt>
                <c:pt idx="2">
                  <c:v>128</c:v>
                </c:pt>
                <c:pt idx="3">
                  <c:v>138</c:v>
                </c:pt>
                <c:pt idx="4">
                  <c:v>116</c:v>
                </c:pt>
                <c:pt idx="5">
                  <c:v>84.35</c:v>
                </c:pt>
              </c:numCache>
            </c:numRef>
          </c:val>
          <c:smooth val="0"/>
          <c:extLst>
            <c:ext xmlns:c16="http://schemas.microsoft.com/office/drawing/2014/chart" uri="{C3380CC4-5D6E-409C-BE32-E72D297353CC}">
              <c16:uniqueId val="{00000000-056B-4CCB-ADAE-0606DD7B1945}"/>
            </c:ext>
          </c:extLst>
        </c:ser>
        <c:ser>
          <c:idx val="1"/>
          <c:order val="1"/>
          <c:tx>
            <c:strRef>
              <c:f>Analysts!$A$10</c:f>
              <c:strCache>
                <c:ptCount val="1"/>
                <c:pt idx="0">
                  <c:v>Consensus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Analysts!$B$1:$L$1</c:f>
              <c:numCache>
                <c:formatCode>[$-407]mmm/\ yy;@</c:formatCode>
                <c:ptCount val="11"/>
                <c:pt idx="0">
                  <c:v>45839</c:v>
                </c:pt>
                <c:pt idx="1">
                  <c:v>45870</c:v>
                </c:pt>
                <c:pt idx="2">
                  <c:v>45901</c:v>
                </c:pt>
                <c:pt idx="3">
                  <c:v>45931</c:v>
                </c:pt>
                <c:pt idx="4">
                  <c:v>45962</c:v>
                </c:pt>
                <c:pt idx="5">
                  <c:v>45992</c:v>
                </c:pt>
                <c:pt idx="6">
                  <c:v>46023</c:v>
                </c:pt>
              </c:numCache>
            </c:numRef>
          </c:cat>
          <c:val>
            <c:numRef>
              <c:f>Analysts!$B$10:$L$10</c:f>
              <c:numCache>
                <c:formatCode>General</c:formatCode>
                <c:ptCount val="11"/>
                <c:pt idx="0">
                  <c:v>190</c:v>
                </c:pt>
                <c:pt idx="1">
                  <c:v>175</c:v>
                </c:pt>
                <c:pt idx="2">
                  <c:v>171</c:v>
                </c:pt>
                <c:pt idx="3">
                  <c:v>171</c:v>
                </c:pt>
                <c:pt idx="4">
                  <c:v>165</c:v>
                </c:pt>
                <c:pt idx="5">
                  <c:v>145</c:v>
                </c:pt>
              </c:numCache>
            </c:numRef>
          </c:val>
          <c:smooth val="0"/>
          <c:extLst>
            <c:ext xmlns:c16="http://schemas.microsoft.com/office/drawing/2014/chart" uri="{C3380CC4-5D6E-409C-BE32-E72D297353CC}">
              <c16:uniqueId val="{00000001-056B-4CCB-ADAE-0606DD7B1945}"/>
            </c:ext>
          </c:extLst>
        </c:ser>
        <c:dLbls>
          <c:showLegendKey val="0"/>
          <c:showVal val="0"/>
          <c:showCatName val="0"/>
          <c:showSerName val="0"/>
          <c:showPercent val="0"/>
          <c:showBubbleSize val="0"/>
        </c:dLbls>
        <c:marker val="1"/>
        <c:smooth val="0"/>
        <c:axId val="616931375"/>
        <c:axId val="616948175"/>
      </c:lineChart>
      <c:dateAx>
        <c:axId val="616931375"/>
        <c:scaling>
          <c:orientation val="minMax"/>
        </c:scaling>
        <c:delete val="0"/>
        <c:axPos val="b"/>
        <c:numFmt formatCode="[$-407]mmm/\ 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de-DE"/>
          </a:p>
        </c:txPr>
        <c:crossAx val="616948175"/>
        <c:crosses val="autoZero"/>
        <c:auto val="1"/>
        <c:lblOffset val="100"/>
        <c:baseTimeUnit val="months"/>
      </c:dateAx>
      <c:valAx>
        <c:axId val="616948175"/>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crossAx val="61693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Model!$B$5</c:f>
              <c:strCache>
                <c:ptCount val="1"/>
                <c:pt idx="0">
                  <c:v>Revenue</c:v>
                </c:pt>
              </c:strCache>
            </c:strRef>
          </c:tx>
          <c:spPr>
            <a:solidFill>
              <a:schemeClr val="accent2"/>
            </a:solidFill>
            <a:ln>
              <a:noFill/>
            </a:ln>
            <a:effectLst/>
          </c:spPr>
          <c:invertIfNegative val="0"/>
          <c:dPt>
            <c:idx val="7"/>
            <c:invertIfNegative val="0"/>
            <c:bubble3D val="0"/>
            <c:spPr>
              <a:solidFill>
                <a:schemeClr val="accent2"/>
              </a:solidFill>
              <a:ln>
                <a:noFill/>
              </a:ln>
              <a:effectLst/>
            </c:spPr>
          </c:dPt>
          <c:dPt>
            <c:idx val="8"/>
            <c:invertIfNegative val="0"/>
            <c:bubble3D val="0"/>
            <c:spPr>
              <a:solidFill>
                <a:schemeClr val="bg2">
                  <a:lumMod val="9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Model!$K$2:$T$2</c:f>
              <c:strCache>
                <c:ptCount val="10"/>
                <c:pt idx="0">
                  <c:v>Q124</c:v>
                </c:pt>
                <c:pt idx="1">
                  <c:v>Q224</c:v>
                </c:pt>
                <c:pt idx="2">
                  <c:v>Q324</c:v>
                </c:pt>
                <c:pt idx="3">
                  <c:v>Q424</c:v>
                </c:pt>
                <c:pt idx="4">
                  <c:v>Q125</c:v>
                </c:pt>
                <c:pt idx="5">
                  <c:v>Q225</c:v>
                </c:pt>
                <c:pt idx="6">
                  <c:v>Q325</c:v>
                </c:pt>
                <c:pt idx="7">
                  <c:v>Q425</c:v>
                </c:pt>
                <c:pt idx="8">
                  <c:v>Q126</c:v>
                </c:pt>
                <c:pt idx="9">
                  <c:v>Q226</c:v>
                </c:pt>
              </c:strCache>
            </c:strRef>
          </c:cat>
          <c:val>
            <c:numRef>
              <c:f>Model!$K$5:$T$5</c:f>
              <c:numCache>
                <c:formatCode>#,##0</c:formatCode>
                <c:ptCount val="10"/>
                <c:pt idx="0">
                  <c:v>0</c:v>
                </c:pt>
                <c:pt idx="1">
                  <c:v>430.03</c:v>
                </c:pt>
                <c:pt idx="2">
                  <c:v>445.762</c:v>
                </c:pt>
                <c:pt idx="3">
                  <c:v>435</c:v>
                </c:pt>
                <c:pt idx="4">
                  <c:v>579</c:v>
                </c:pt>
                <c:pt idx="5">
                  <c:v>658.07799999999997</c:v>
                </c:pt>
                <c:pt idx="6">
                  <c:v>739.75900000000001</c:v>
                </c:pt>
                <c:pt idx="7">
                  <c:v>0</c:v>
                </c:pt>
                <c:pt idx="8">
                  <c:v>0</c:v>
                </c:pt>
                <c:pt idx="9">
                  <c:v>0</c:v>
                </c:pt>
              </c:numCache>
            </c:numRef>
          </c:val>
          <c:extLst>
            <c:ext xmlns:c16="http://schemas.microsoft.com/office/drawing/2014/chart" uri="{C3380CC4-5D6E-409C-BE32-E72D297353CC}">
              <c16:uniqueId val="{00000000-7835-459C-BD1A-99CA96EE3A9F}"/>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Model!$B$26</c:f>
              <c:strCache>
                <c:ptCount val="1"/>
                <c:pt idx="0">
                  <c:v>Revenue Growth</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Model!$K$26:$T$26</c:f>
              <c:numCache>
                <c:formatCode>0%</c:formatCode>
                <c:ptCount val="10"/>
                <c:pt idx="4">
                  <c:v>0</c:v>
                </c:pt>
                <c:pt idx="5">
                  <c:v>0.53030718787061382</c:v>
                </c:pt>
                <c:pt idx="6">
                  <c:v>0.65953804945239836</c:v>
                </c:pt>
                <c:pt idx="7">
                  <c:v>-1</c:v>
                </c:pt>
                <c:pt idx="8">
                  <c:v>-1</c:v>
                </c:pt>
                <c:pt idx="9">
                  <c:v>-1</c:v>
                </c:pt>
              </c:numCache>
            </c:numRef>
          </c:val>
          <c:smooth val="0"/>
          <c:extLst>
            <c:ext xmlns:c16="http://schemas.microsoft.com/office/drawing/2014/chart" uri="{C3380CC4-5D6E-409C-BE32-E72D297353CC}">
              <c16:uniqueId val="{00000002-7835-459C-BD1A-99CA96EE3A9F}"/>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Model!$B$5</c:f>
              <c:strCache>
                <c:ptCount val="1"/>
                <c:pt idx="0">
                  <c:v>Revenue</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9FF0-459B-A546-819F3C5FC9BE}"/>
              </c:ext>
            </c:extLst>
          </c:dPt>
          <c:dPt>
            <c:idx val="2"/>
            <c:invertIfNegative val="0"/>
            <c:bubble3D val="0"/>
            <c:spPr>
              <a:solidFill>
                <a:schemeClr val="bg2">
                  <a:lumMod val="90000"/>
                </a:schemeClr>
              </a:solidFill>
              <a:ln>
                <a:noFill/>
              </a:ln>
              <a:effectLst/>
            </c:spPr>
            <c:extLst>
              <c:ext xmlns:c16="http://schemas.microsoft.com/office/drawing/2014/chart" uri="{C3380CC4-5D6E-409C-BE32-E72D297353CC}">
                <c16:uniqueId val="{00000003-9FF0-459B-A546-819F3C5FC9B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Model!$C$5:$G$5</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2-E3AA-4069-ADA9-98E4DBB70A34}"/>
            </c:ext>
          </c:extLst>
        </c:ser>
        <c:dLbls>
          <c:showLegendKey val="0"/>
          <c:showVal val="1"/>
          <c:showCatName val="0"/>
          <c:showSerName val="0"/>
          <c:showPercent val="0"/>
          <c:showBubbleSize val="0"/>
        </c:dLbls>
        <c:gapWidth val="88"/>
        <c:axId val="564378080"/>
        <c:axId val="687764143"/>
      </c:barChart>
      <c:lineChart>
        <c:grouping val="standard"/>
        <c:varyColors val="0"/>
        <c:ser>
          <c:idx val="1"/>
          <c:order val="1"/>
          <c:tx>
            <c:strRef>
              <c:f>Model!$B$26</c:f>
              <c:strCache>
                <c:ptCount val="1"/>
                <c:pt idx="0">
                  <c:v>Revenue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Model!$C$26:$G$26</c:f>
              <c:numCache>
                <c:formatCode>0%</c:formatCode>
                <c:ptCount val="5"/>
                <c:pt idx="1">
                  <c:v>0</c:v>
                </c:pt>
                <c:pt idx="2">
                  <c:v>0</c:v>
                </c:pt>
                <c:pt idx="3">
                  <c:v>0</c:v>
                </c:pt>
                <c:pt idx="4">
                  <c:v>0</c:v>
                </c:pt>
              </c:numCache>
            </c:numRef>
          </c:val>
          <c:smooth val="0"/>
          <c:extLst>
            <c:ext xmlns:c16="http://schemas.microsoft.com/office/drawing/2014/chart" uri="{C3380CC4-5D6E-409C-BE32-E72D297353CC}">
              <c16:uniqueId val="{00000003-E3AA-4069-ADA9-98E4DBB70A34}"/>
            </c:ext>
          </c:extLst>
        </c:ser>
        <c:dLbls>
          <c:showLegendKey val="0"/>
          <c:showVal val="0"/>
          <c:showCatName val="0"/>
          <c:showSerName val="0"/>
          <c:showPercent val="0"/>
          <c:showBubbleSize val="0"/>
        </c:dLbls>
        <c:marker val="1"/>
        <c:smooth val="0"/>
        <c:axId val="748589456"/>
        <c:axId val="737536608"/>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7375366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748589456"/>
        <c:crosses val="max"/>
        <c:crossBetween val="between"/>
      </c:valAx>
      <c:catAx>
        <c:axId val="748589456"/>
        <c:scaling>
          <c:orientation val="minMax"/>
        </c:scaling>
        <c:delete val="1"/>
        <c:axPos val="b"/>
        <c:majorTickMark val="out"/>
        <c:minorTickMark val="none"/>
        <c:tickLblPos val="nextTo"/>
        <c:crossAx val="737536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Model!$B$22</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Model!$K$2:$P$2</c:f>
              <c:strCache>
                <c:ptCount val="6"/>
                <c:pt idx="0">
                  <c:v>Q124</c:v>
                </c:pt>
                <c:pt idx="1">
                  <c:v>Q224</c:v>
                </c:pt>
                <c:pt idx="2">
                  <c:v>Q324</c:v>
                </c:pt>
                <c:pt idx="3">
                  <c:v>Q424</c:v>
                </c:pt>
                <c:pt idx="4">
                  <c:v>Q125</c:v>
                </c:pt>
                <c:pt idx="5">
                  <c:v>Q225</c:v>
                </c:pt>
              </c:strCache>
            </c:strRef>
          </c:cat>
          <c:val>
            <c:numRef>
              <c:f>Model!$K$22:$T$22</c:f>
              <c:numCache>
                <c:formatCode>0.00</c:formatCode>
                <c:ptCount val="10"/>
                <c:pt idx="0">
                  <c:v>0</c:v>
                </c:pt>
                <c:pt idx="1">
                  <c:v>0.46754998863894626</c:v>
                </c:pt>
                <c:pt idx="2">
                  <c:v>0.97088547008546899</c:v>
                </c:pt>
                <c:pt idx="3">
                  <c:v>0</c:v>
                </c:pt>
                <c:pt idx="4">
                  <c:v>0</c:v>
                </c:pt>
                <c:pt idx="5">
                  <c:v>-4.4840671912495118</c:v>
                </c:pt>
                <c:pt idx="6">
                  <c:v>0.80401001942388339</c:v>
                </c:pt>
                <c:pt idx="7">
                  <c:v>0</c:v>
                </c:pt>
                <c:pt idx="8">
                  <c:v>0</c:v>
                </c:pt>
                <c:pt idx="9">
                  <c:v>0</c:v>
                </c:pt>
              </c:numCache>
            </c:numRef>
          </c:val>
          <c:extLst>
            <c:ext xmlns:c16="http://schemas.microsoft.com/office/drawing/2014/chart" uri="{C3380CC4-5D6E-409C-BE32-E72D297353CC}">
              <c16:uniqueId val="{00000000-B24D-43A5-B5F2-F97D61E0D6C6}"/>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Model!$B$32</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Model!$K$32:$T$32</c:f>
              <c:numCache>
                <c:formatCode>0%</c:formatCode>
                <c:ptCount val="10"/>
                <c:pt idx="4">
                  <c:v>0</c:v>
                </c:pt>
                <c:pt idx="5">
                  <c:v>-15.643258512286225</c:v>
                </c:pt>
                <c:pt idx="6">
                  <c:v>2.0200997239281131</c:v>
                </c:pt>
                <c:pt idx="7">
                  <c:v>-1</c:v>
                </c:pt>
                <c:pt idx="8">
                  <c:v>-1</c:v>
                </c:pt>
                <c:pt idx="9">
                  <c:v>-1</c:v>
                </c:pt>
              </c:numCache>
            </c:numRef>
          </c:val>
          <c:smooth val="0"/>
          <c:extLst>
            <c:ext xmlns:c16="http://schemas.microsoft.com/office/drawing/2014/chart" uri="{C3380CC4-5D6E-409C-BE32-E72D297353CC}">
              <c16:uniqueId val="{00000001-B24D-43A5-B5F2-F97D61E0D6C6}"/>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Model!$B$22</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Model!$C$22:$G$22</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2906-4F07-B7B5-190A418C1FD2}"/>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Model!$B$32</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Model!$C$32:$G$32</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2906-4F07-B7B5-190A418C1FD2}"/>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Model!$B$27</c:f>
              <c:strCache>
                <c:ptCount val="1"/>
                <c:pt idx="0">
                  <c:v>Compensation Expense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Model!$K$2:$P$2</c:f>
              <c:strCache>
                <c:ptCount val="6"/>
                <c:pt idx="0">
                  <c:v>Q124</c:v>
                </c:pt>
                <c:pt idx="1">
                  <c:v>Q224</c:v>
                </c:pt>
                <c:pt idx="2">
                  <c:v>Q324</c:v>
                </c:pt>
                <c:pt idx="3">
                  <c:v>Q424</c:v>
                </c:pt>
                <c:pt idx="4">
                  <c:v>Q125</c:v>
                </c:pt>
                <c:pt idx="5">
                  <c:v>Q225</c:v>
                </c:pt>
              </c:strCache>
            </c:strRef>
          </c:cat>
          <c:val>
            <c:numRef>
              <c:f>Model!$K$27:$T$27</c:f>
              <c:numCache>
                <c:formatCode>0%</c:formatCode>
                <c:ptCount val="10"/>
                <c:pt idx="0">
                  <c:v>0</c:v>
                </c:pt>
                <c:pt idx="1">
                  <c:v>0.15720763667651094</c:v>
                </c:pt>
                <c:pt idx="2">
                  <c:v>0.14642118439884963</c:v>
                </c:pt>
                <c:pt idx="3">
                  <c:v>0</c:v>
                </c:pt>
                <c:pt idx="4">
                  <c:v>0</c:v>
                </c:pt>
                <c:pt idx="5">
                  <c:v>0.76494275754545815</c:v>
                </c:pt>
                <c:pt idx="6">
                  <c:v>0.17477989453321957</c:v>
                </c:pt>
                <c:pt idx="7">
                  <c:v>0</c:v>
                </c:pt>
                <c:pt idx="8">
                  <c:v>0</c:v>
                </c:pt>
                <c:pt idx="9">
                  <c:v>0</c:v>
                </c:pt>
              </c:numCache>
            </c:numRef>
          </c:val>
          <c:smooth val="0"/>
          <c:extLst>
            <c:ext xmlns:c16="http://schemas.microsoft.com/office/drawing/2014/chart" uri="{C3380CC4-5D6E-409C-BE32-E72D297353CC}">
              <c16:uniqueId val="{00000001-35FE-4BEB-944F-3D772460C6A2}"/>
            </c:ext>
          </c:extLst>
        </c:ser>
        <c:ser>
          <c:idx val="0"/>
          <c:order val="1"/>
          <c:tx>
            <c:strRef>
              <c:f>Model!$B$28</c:f>
              <c:strCache>
                <c:ptCount val="1"/>
                <c:pt idx="0">
                  <c:v>Marketing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Model!$K$2:$P$2</c:f>
              <c:strCache>
                <c:ptCount val="6"/>
                <c:pt idx="0">
                  <c:v>Q124</c:v>
                </c:pt>
                <c:pt idx="1">
                  <c:v>Q224</c:v>
                </c:pt>
                <c:pt idx="2">
                  <c:v>Q324</c:v>
                </c:pt>
                <c:pt idx="3">
                  <c:v>Q424</c:v>
                </c:pt>
                <c:pt idx="4">
                  <c:v>Q125</c:v>
                </c:pt>
                <c:pt idx="5">
                  <c:v>Q225</c:v>
                </c:pt>
              </c:strCache>
            </c:strRef>
          </c:cat>
          <c:val>
            <c:numRef>
              <c:f>Model!$K$28:$T$28</c:f>
              <c:numCache>
                <c:formatCode>0%</c:formatCode>
                <c:ptCount val="10"/>
                <c:pt idx="0">
                  <c:v>0</c:v>
                </c:pt>
                <c:pt idx="1">
                  <c:v>1.3110713206055393E-2</c:v>
                </c:pt>
                <c:pt idx="2">
                  <c:v>9.8303579039936105E-3</c:v>
                </c:pt>
                <c:pt idx="3">
                  <c:v>0</c:v>
                </c:pt>
                <c:pt idx="4">
                  <c:v>0</c:v>
                </c:pt>
                <c:pt idx="5">
                  <c:v>1.2019851750096493E-2</c:v>
                </c:pt>
                <c:pt idx="6">
                  <c:v>7.6011241498920596E-3</c:v>
                </c:pt>
                <c:pt idx="7">
                  <c:v>0</c:v>
                </c:pt>
                <c:pt idx="8">
                  <c:v>0</c:v>
                </c:pt>
                <c:pt idx="9">
                  <c:v>0</c:v>
                </c:pt>
              </c:numCache>
            </c:numRef>
          </c:val>
          <c:smooth val="0"/>
          <c:extLst>
            <c:ext xmlns:c16="http://schemas.microsoft.com/office/drawing/2014/chart" uri="{C3380CC4-5D6E-409C-BE32-E72D297353CC}">
              <c16:uniqueId val="{00000000-1CAA-4791-8C2B-1B9112E1C867}"/>
            </c:ext>
          </c:extLst>
        </c:ser>
        <c:ser>
          <c:idx val="2"/>
          <c:order val="2"/>
          <c:tx>
            <c:strRef>
              <c:f>Model!$B$29</c:f>
              <c:strCache>
                <c:ptCount val="1"/>
                <c:pt idx="0">
                  <c:v>G&amp;A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Model!$K$2:$P$2</c:f>
              <c:strCache>
                <c:ptCount val="6"/>
                <c:pt idx="0">
                  <c:v>Q124</c:v>
                </c:pt>
                <c:pt idx="1">
                  <c:v>Q224</c:v>
                </c:pt>
                <c:pt idx="2">
                  <c:v>Q324</c:v>
                </c:pt>
                <c:pt idx="3">
                  <c:v>Q424</c:v>
                </c:pt>
                <c:pt idx="4">
                  <c:v>Q125</c:v>
                </c:pt>
                <c:pt idx="5">
                  <c:v>Q225</c:v>
                </c:pt>
              </c:strCache>
            </c:strRef>
          </c:cat>
          <c:val>
            <c:numRef>
              <c:f>Model!$K$29:$T$29</c:f>
              <c:numCache>
                <c:formatCode>0%</c:formatCode>
                <c:ptCount val="10"/>
                <c:pt idx="0">
                  <c:v>0</c:v>
                </c:pt>
                <c:pt idx="1">
                  <c:v>8.3084901053414886E-2</c:v>
                </c:pt>
                <c:pt idx="2">
                  <c:v>7.4786545286498182E-2</c:v>
                </c:pt>
                <c:pt idx="3">
                  <c:v>0</c:v>
                </c:pt>
                <c:pt idx="4">
                  <c:v>0</c:v>
                </c:pt>
                <c:pt idx="5">
                  <c:v>6.5554539127580622E-2</c:v>
                </c:pt>
                <c:pt idx="6">
                  <c:v>6.1434872708544273E-2</c:v>
                </c:pt>
                <c:pt idx="7">
                  <c:v>0</c:v>
                </c:pt>
                <c:pt idx="8">
                  <c:v>0</c:v>
                </c:pt>
                <c:pt idx="9">
                  <c:v>0</c:v>
                </c:pt>
              </c:numCache>
            </c:numRef>
          </c:val>
          <c:smooth val="0"/>
          <c:extLst>
            <c:ext xmlns:c16="http://schemas.microsoft.com/office/drawing/2014/chart" uri="{C3380CC4-5D6E-409C-BE32-E72D297353CC}">
              <c16:uniqueId val="{00000001-1CAA-4791-8C2B-1B9112E1C867}"/>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Model!$B$27</c:f>
              <c:strCache>
                <c:ptCount val="1"/>
                <c:pt idx="0">
                  <c:v>Compensation Expense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Model!$C$27:$G$27</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0-E79C-46D7-BBD0-0EABFCB1E143}"/>
            </c:ext>
          </c:extLst>
        </c:ser>
        <c:ser>
          <c:idx val="0"/>
          <c:order val="1"/>
          <c:tx>
            <c:strRef>
              <c:f>Model!$B$28</c:f>
              <c:strCache>
                <c:ptCount val="1"/>
                <c:pt idx="0">
                  <c:v>Marketing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Model!$C$28:$F$28</c:f>
              <c:numCache>
                <c:formatCode>0%</c:formatCode>
                <c:ptCount val="4"/>
                <c:pt idx="0">
                  <c:v>0</c:v>
                </c:pt>
                <c:pt idx="1">
                  <c:v>0</c:v>
                </c:pt>
                <c:pt idx="2">
                  <c:v>0</c:v>
                </c:pt>
                <c:pt idx="3">
                  <c:v>0</c:v>
                </c:pt>
              </c:numCache>
            </c:numRef>
          </c:val>
          <c:smooth val="0"/>
          <c:extLst>
            <c:ext xmlns:c16="http://schemas.microsoft.com/office/drawing/2014/chart" uri="{C3380CC4-5D6E-409C-BE32-E72D297353CC}">
              <c16:uniqueId val="{00000001-E79C-46D7-BBD0-0EABFCB1E143}"/>
            </c:ext>
          </c:extLst>
        </c:ser>
        <c:ser>
          <c:idx val="2"/>
          <c:order val="2"/>
          <c:tx>
            <c:strRef>
              <c:f>Model!$B$29</c:f>
              <c:strCache>
                <c:ptCount val="1"/>
                <c:pt idx="0">
                  <c:v>G&amp;A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Model!$C$29:$F$29</c:f>
              <c:numCache>
                <c:formatCode>0%</c:formatCode>
                <c:ptCount val="4"/>
                <c:pt idx="0">
                  <c:v>0</c:v>
                </c:pt>
                <c:pt idx="1">
                  <c:v>0</c:v>
                </c:pt>
                <c:pt idx="2">
                  <c:v>0</c:v>
                </c:pt>
                <c:pt idx="3">
                  <c:v>0</c:v>
                </c:pt>
              </c:numCache>
            </c:numRef>
          </c:val>
          <c:smooth val="0"/>
          <c:extLst>
            <c:ext xmlns:c16="http://schemas.microsoft.com/office/drawing/2014/chart" uri="{C3380CC4-5D6E-409C-BE32-E72D297353CC}">
              <c16:uniqueId val="{00000002-E79C-46D7-BBD0-0EABFCB1E143}"/>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Catalysts!$C$1</c:f>
              <c:strCache>
                <c:ptCount val="1"/>
                <c:pt idx="0">
                  <c:v>Close</c:v>
                </c:pt>
              </c:strCache>
            </c:strRef>
          </c:tx>
          <c:spPr>
            <a:ln w="28575" cap="rnd">
              <a:solidFill>
                <a:schemeClr val="tx1">
                  <a:lumMod val="85000"/>
                  <a:lumOff val="15000"/>
                </a:schemeClr>
              </a:solidFill>
              <a:round/>
            </a:ln>
            <a:effectLst/>
          </c:spPr>
          <c:marker>
            <c:symbol val="none"/>
          </c:marker>
          <c:cat>
            <c:numRef>
              <c:f>Catalysts!$B$2:$B$10000</c:f>
              <c:numCache>
                <c:formatCode>m/d/yyyy</c:formatCode>
                <c:ptCount val="9999"/>
              </c:numCache>
            </c:numRef>
          </c:cat>
          <c:val>
            <c:numRef>
              <c:f>Catalysts!$C$2:$C$10000</c:f>
              <c:numCache>
                <c:formatCode>0.00</c:formatCode>
                <c:ptCount val="9999"/>
              </c:numCache>
            </c:numRef>
          </c:val>
          <c:smooth val="0"/>
          <c:extLst>
            <c:ext xmlns:c16="http://schemas.microsoft.com/office/drawing/2014/chart" uri="{C3380CC4-5D6E-409C-BE32-E72D297353CC}">
              <c16:uniqueId val="{00000000-DA52-461C-BC2D-9CAFEE3BC45B}"/>
            </c:ext>
          </c:extLst>
        </c:ser>
        <c:dLbls>
          <c:showLegendKey val="0"/>
          <c:showVal val="0"/>
          <c:showCatName val="0"/>
          <c:showSerName val="0"/>
          <c:showPercent val="0"/>
          <c:showBubbleSize val="0"/>
        </c:dLbls>
        <c:smooth val="0"/>
        <c:axId val="693983327"/>
        <c:axId val="737522224"/>
      </c:lineChart>
      <c:catAx>
        <c:axId val="693983327"/>
        <c:scaling>
          <c:orientation val="minMax"/>
          <c:min val="7148"/>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7522224"/>
        <c:crosses val="autoZero"/>
        <c:auto val="1"/>
        <c:lblAlgn val="ctr"/>
        <c:lblOffset val="100"/>
        <c:noMultiLvlLbl val="1"/>
      </c:catAx>
      <c:valAx>
        <c:axId val="73752222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398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DoR!$J$3</c:f>
              <c:strCache>
                <c:ptCount val="1"/>
                <c:pt idx="0">
                  <c:v>Frequency</c:v>
                </c:pt>
              </c:strCache>
            </c:strRef>
          </c:tx>
          <c:spPr>
            <a:solidFill>
              <a:schemeClr val="accent1"/>
            </a:solidFill>
            <a:ln>
              <a:noFill/>
            </a:ln>
            <a:effectLst/>
          </c:spPr>
          <c:invertIfNegative val="0"/>
          <c:cat>
            <c:numRef>
              <c:f>DoR!$K$4:$K$15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DoR!$J$4:$J$15</c:f>
              <c:numCache>
                <c:formatCode>General</c:formatCode>
                <c:ptCount val="12"/>
                <c:pt idx="0">
                  <c:v>67</c:v>
                </c:pt>
                <c:pt idx="1">
                  <c:v>67</c:v>
                </c:pt>
                <c:pt idx="2">
                  <c:v>67</c:v>
                </c:pt>
                <c:pt idx="3">
                  <c:v>67</c:v>
                </c:pt>
                <c:pt idx="4">
                  <c:v>67</c:v>
                </c:pt>
                <c:pt idx="5">
                  <c:v>67</c:v>
                </c:pt>
                <c:pt idx="6">
                  <c:v>67</c:v>
                </c:pt>
                <c:pt idx="7">
                  <c:v>67</c:v>
                </c:pt>
                <c:pt idx="8">
                  <c:v>67</c:v>
                </c:pt>
                <c:pt idx="9">
                  <c:v>67</c:v>
                </c:pt>
                <c:pt idx="10">
                  <c:v>67</c:v>
                </c:pt>
                <c:pt idx="11">
                  <c:v>67</c:v>
                </c:pt>
              </c:numCache>
            </c:numRef>
          </c:val>
          <c:extLst>
            <c:ext xmlns:c16="http://schemas.microsoft.com/office/drawing/2014/chart" uri="{C3380CC4-5D6E-409C-BE32-E72D297353CC}">
              <c16:uniqueId val="{00000000-1F3C-452E-9D52-EA2888DEE33A}"/>
            </c:ext>
          </c:extLst>
        </c:ser>
        <c:dLbls>
          <c:showLegendKey val="0"/>
          <c:showVal val="0"/>
          <c:showCatName val="0"/>
          <c:showSerName val="0"/>
          <c:showPercent val="0"/>
          <c:showBubbleSize val="0"/>
        </c:dLbls>
        <c:gapWidth val="30"/>
        <c:axId val="1429205823"/>
        <c:axId val="1429206303"/>
      </c:barChart>
      <c:catAx>
        <c:axId val="14292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6303"/>
        <c:crosses val="autoZero"/>
        <c:auto val="1"/>
        <c:lblAlgn val="ctr"/>
        <c:lblOffset val="100"/>
        <c:noMultiLvlLbl val="0"/>
      </c:catAx>
      <c:valAx>
        <c:axId val="142920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_xlchart.v1.3</cx:f>
      </cx:numDim>
    </cx:data>
    <cx:data id="1">
      <cx:strDim type="cat">
        <cx:f dir="row">_xlchart.v1.4</cx:f>
      </cx:strDim>
      <cx:numDim type="val">
        <cx:f dir="row">_xlchart.v1.2</cx:f>
      </cx:numDim>
    </cx:data>
  </cx:chartData>
  <cx:chart>
    <cx:title pos="t" align="ctr" overlay="0">
      <cx:tx>
        <cx:txData>
          <cx:v>Earning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Earning Reportings</a:t>
          </a:r>
        </a:p>
      </cx:txPr>
    </cx:title>
    <cx:plotArea>
      <cx:plotAreaRegion>
        <cx:series layoutId="boxWhisker" uniqueId="{006F4749-938E-4621-8334-C74E7B83CC40}">
          <cx:tx>
            <cx:txData>
              <cx:f>_xlchart.v1.1</cx:f>
              <cx:v>EPS exp.</cx:v>
            </cx:txData>
          </cx:tx>
          <cx:spPr>
            <a:ln w="19050">
              <a:solidFill>
                <a:schemeClr val="accent1"/>
              </a:solidFill>
            </a:ln>
          </cx:spPr>
          <cx:dataId val="0"/>
          <cx:layoutPr>
            <cx:visibility meanLine="1" meanMarker="1" nonoutliers="0" outliers="1"/>
            <cx:statistics quartileMethod="exclusive"/>
          </cx:layoutPr>
        </cx:series>
        <cx:series layoutId="boxWhisker" uniqueId="{C8A70830-D21B-405F-8F13-72F0AC678416}">
          <cx:tx>
            <cx:txData>
              <cx:f>_xlchart.v1.0</cx:f>
              <cx:v>EPS</cx:v>
            </cx:txData>
          </cx:tx>
          <cx:dataId val="1"/>
          <cx:layoutPr>
            <cx:visibility meanLine="1" meanMarker="1" nonoutliers="0" outliers="1"/>
            <cx:statistics quartileMethod="in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_xlchart.v1.7</cx:f>
      </cx:strDim>
      <cx:numDim type="val">
        <cx:f dir="row">_xlchart.v1.9</cx:f>
      </cx:numDim>
    </cx:data>
    <cx:data id="1">
      <cx:strDim type="cat">
        <cx:f dir="row">_xlchart.v1.7</cx:f>
      </cx:strDim>
      <cx:numDim type="val">
        <cx:f dir="row">_xlchart.v1.8</cx:f>
      </cx:numDim>
    </cx:data>
  </cx:chartData>
  <cx:chart>
    <cx:title pos="t" align="ctr" overlay="0">
      <cx:tx>
        <cx:txData>
          <cx:v>Revenue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Revenue Reportings</a:t>
          </a:r>
        </a:p>
      </cx:txPr>
    </cx:title>
    <cx:plotArea>
      <cx:plotAreaRegion>
        <cx:series layoutId="boxWhisker" uniqueId="{006F4749-938E-4621-8334-C74E7B83CC40}">
          <cx:tx>
            <cx:txData>
              <cx:f>_xlchart.v1.6</cx:f>
              <cx:v>Rev. Exp.</cx:v>
            </cx:txData>
          </cx:tx>
          <cx:spPr>
            <a:ln w="19050">
              <a:solidFill>
                <a:schemeClr val="accent1"/>
              </a:solidFill>
            </a:ln>
          </cx:spPr>
          <cx:dataId val="0"/>
          <cx:layoutPr>
            <cx:visibility meanLine="0" meanMarker="0" nonoutliers="0" outliers="1"/>
            <cx:statistics quartileMethod="exclusive"/>
          </cx:layoutPr>
        </cx:series>
        <cx:series layoutId="boxWhisker" uniqueId="{C8A70830-D21B-405F-8F13-72F0AC678416}">
          <cx:tx>
            <cx:txData>
              <cx:f>_xlchart.v1.5</cx:f>
              <cx:v>Revenue</cx:v>
            </cx:txData>
          </cx:tx>
          <cx:dataId val="1"/>
          <cx:layoutPr>
            <cx:visibility meanLine="0" meanMarker="1" nonoutliers="0" outliers="1"/>
            <cx:statistics quartileMethod="inclusive"/>
          </cx:layoutPr>
        </cx:series>
      </cx:plotAreaRegion>
      <cx:axis id="0">
        <cx:catScaling gapWidth="1.39999998"/>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5.xml"/><Relationship Id="rId7" Type="http://schemas.microsoft.com/office/2014/relationships/chartEx" Target="../charts/chartEx2.xml"/><Relationship Id="rId2" Type="http://schemas.openxmlformats.org/officeDocument/2006/relationships/chart" Target="../charts/chart4.xml"/><Relationship Id="rId1" Type="http://schemas.openxmlformats.org/officeDocument/2006/relationships/chart" Target="../charts/chart3.xml"/><Relationship Id="rId6" Type="http://schemas.microsoft.com/office/2014/relationships/chartEx" Target="../charts/chartEx1.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200024</xdr:colOff>
      <xdr:row>12</xdr:row>
      <xdr:rowOff>123825</xdr:rowOff>
    </xdr:from>
    <xdr:to>
      <xdr:col>7</xdr:col>
      <xdr:colOff>609599</xdr:colOff>
      <xdr:row>29</xdr:row>
      <xdr:rowOff>19050</xdr:rowOff>
    </xdr:to>
    <xdr:graphicFrame macro="">
      <xdr:nvGraphicFramePr>
        <xdr:cNvPr id="2" name="Chart 1">
          <a:extLst>
            <a:ext uri="{FF2B5EF4-FFF2-40B4-BE49-F238E27FC236}">
              <a16:creationId xmlns:a16="http://schemas.microsoft.com/office/drawing/2014/main" id="{0A02B15D-726B-473F-90BD-9DE5AEBE5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12</xdr:row>
      <xdr:rowOff>109536</xdr:rowOff>
    </xdr:from>
    <xdr:to>
      <xdr:col>16</xdr:col>
      <xdr:colOff>123825</xdr:colOff>
      <xdr:row>29</xdr:row>
      <xdr:rowOff>0</xdr:rowOff>
    </xdr:to>
    <xdr:graphicFrame macro="">
      <xdr:nvGraphicFramePr>
        <xdr:cNvPr id="3" name="Chart 2">
          <a:extLst>
            <a:ext uri="{FF2B5EF4-FFF2-40B4-BE49-F238E27FC236}">
              <a16:creationId xmlns:a16="http://schemas.microsoft.com/office/drawing/2014/main" id="{C18602F0-0E7E-4D3A-B594-2B15361E1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209550</xdr:colOff>
      <xdr:row>1</xdr:row>
      <xdr:rowOff>42862</xdr:rowOff>
    </xdr:from>
    <xdr:to>
      <xdr:col>10</xdr:col>
      <xdr:colOff>590550</xdr:colOff>
      <xdr:row>15</xdr:row>
      <xdr:rowOff>119062</xdr:rowOff>
    </xdr:to>
    <xdr:graphicFrame macro="">
      <xdr:nvGraphicFramePr>
        <xdr:cNvPr id="2" name="Chart 1">
          <a:extLst>
            <a:ext uri="{FF2B5EF4-FFF2-40B4-BE49-F238E27FC236}">
              <a16:creationId xmlns:a16="http://schemas.microsoft.com/office/drawing/2014/main" id="{0B424D5D-26F5-0FED-D6A6-811BC639C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1</xdr:row>
      <xdr:rowOff>38100</xdr:rowOff>
    </xdr:from>
    <xdr:to>
      <xdr:col>20</xdr:col>
      <xdr:colOff>19050</xdr:colOff>
      <xdr:row>15</xdr:row>
      <xdr:rowOff>114300</xdr:rowOff>
    </xdr:to>
    <xdr:graphicFrame macro="">
      <xdr:nvGraphicFramePr>
        <xdr:cNvPr id="4" name="Chart 3">
          <a:extLst>
            <a:ext uri="{FF2B5EF4-FFF2-40B4-BE49-F238E27FC236}">
              <a16:creationId xmlns:a16="http://schemas.microsoft.com/office/drawing/2014/main" id="{BB8860D4-A5CC-43C6-93F1-A9AA6236F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219075</xdr:colOff>
      <xdr:row>15</xdr:row>
      <xdr:rowOff>152400</xdr:rowOff>
    </xdr:from>
    <xdr:to>
      <xdr:col>10</xdr:col>
      <xdr:colOff>600075</xdr:colOff>
      <xdr:row>30</xdr:row>
      <xdr:rowOff>38100</xdr:rowOff>
    </xdr:to>
    <xdr:graphicFrame macro="">
      <xdr:nvGraphicFramePr>
        <xdr:cNvPr id="5" name="Chart 4">
          <a:extLst>
            <a:ext uri="{FF2B5EF4-FFF2-40B4-BE49-F238E27FC236}">
              <a16:creationId xmlns:a16="http://schemas.microsoft.com/office/drawing/2014/main" id="{8A244996-57D9-4900-A31C-F45BDAD55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xdr:colOff>
      <xdr:row>15</xdr:row>
      <xdr:rowOff>133350</xdr:rowOff>
    </xdr:from>
    <xdr:to>
      <xdr:col>20</xdr:col>
      <xdr:colOff>47625</xdr:colOff>
      <xdr:row>30</xdr:row>
      <xdr:rowOff>19050</xdr:rowOff>
    </xdr:to>
    <xdr:graphicFrame macro="">
      <xdr:nvGraphicFramePr>
        <xdr:cNvPr id="6" name="Chart 5">
          <a:extLst>
            <a:ext uri="{FF2B5EF4-FFF2-40B4-BE49-F238E27FC236}">
              <a16:creationId xmlns:a16="http://schemas.microsoft.com/office/drawing/2014/main" id="{7C3312E1-BE90-420D-A470-4B22F9C07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228600</xdr:colOff>
      <xdr:row>30</xdr:row>
      <xdr:rowOff>42862</xdr:rowOff>
    </xdr:from>
    <xdr:to>
      <xdr:col>11</xdr:col>
      <xdr:colOff>0</xdr:colOff>
      <xdr:row>47</xdr:row>
      <xdr:rowOff>9525</xdr:rowOff>
    </xdr:to>
    <xdr:graphicFrame macro="">
      <xdr:nvGraphicFramePr>
        <xdr:cNvPr id="3" name="Chart 2">
          <a:extLst>
            <a:ext uri="{FF2B5EF4-FFF2-40B4-BE49-F238E27FC236}">
              <a16:creationId xmlns:a16="http://schemas.microsoft.com/office/drawing/2014/main" id="{DF6B5C94-7DE1-FBD4-886C-765E7EB85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209550</xdr:colOff>
      <xdr:row>47</xdr:row>
      <xdr:rowOff>9525</xdr:rowOff>
    </xdr:from>
    <xdr:to>
      <xdr:col>10</xdr:col>
      <xdr:colOff>600075</xdr:colOff>
      <xdr:row>64</xdr:row>
      <xdr:rowOff>61913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28B810E-AE25-4EB3-A89D-55D5F6C2B8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9150"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28575</xdr:colOff>
      <xdr:row>47</xdr:row>
      <xdr:rowOff>9525</xdr:rowOff>
    </xdr:from>
    <xdr:to>
      <xdr:col>20</xdr:col>
      <xdr:colOff>419100</xdr:colOff>
      <xdr:row>64</xdr:row>
      <xdr:rowOff>61913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B4346DD-A5D1-47B7-8E01-F88C375FB7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34175"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9525</xdr:colOff>
      <xdr:row>30</xdr:row>
      <xdr:rowOff>57150</xdr:rowOff>
    </xdr:from>
    <xdr:to>
      <xdr:col>20</xdr:col>
      <xdr:colOff>390525</xdr:colOff>
      <xdr:row>47</xdr:row>
      <xdr:rowOff>23813</xdr:rowOff>
    </xdr:to>
    <xdr:graphicFrame macro="">
      <xdr:nvGraphicFramePr>
        <xdr:cNvPr id="7" name="Chart 6">
          <a:extLst>
            <a:ext uri="{FF2B5EF4-FFF2-40B4-BE49-F238E27FC236}">
              <a16:creationId xmlns:a16="http://schemas.microsoft.com/office/drawing/2014/main" id="{95AB5FA5-CC68-4269-BD2C-424BEF61D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371475</xdr:colOff>
      <xdr:row>15</xdr:row>
      <xdr:rowOff>66675</xdr:rowOff>
    </xdr:from>
    <xdr:to>
      <xdr:col>27</xdr:col>
      <xdr:colOff>57150</xdr:colOff>
      <xdr:row>42</xdr:row>
      <xdr:rowOff>80963</xdr:rowOff>
    </xdr:to>
    <xdr:graphicFrame macro="">
      <xdr:nvGraphicFramePr>
        <xdr:cNvPr id="4" name="Chart 3">
          <a:extLst>
            <a:ext uri="{FF2B5EF4-FFF2-40B4-BE49-F238E27FC236}">
              <a16:creationId xmlns:a16="http://schemas.microsoft.com/office/drawing/2014/main" id="{8BEF4A1E-0131-4908-9D8D-9693A2A12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66675</xdr:colOff>
      <xdr:row>15</xdr:row>
      <xdr:rowOff>195261</xdr:rowOff>
    </xdr:from>
    <xdr:to>
      <xdr:col>12</xdr:col>
      <xdr:colOff>1438274</xdr:colOff>
      <xdr:row>31</xdr:row>
      <xdr:rowOff>9524</xdr:rowOff>
    </xdr:to>
    <xdr:graphicFrame macro="">
      <xdr:nvGraphicFramePr>
        <xdr:cNvPr id="2" name="Chart 1">
          <a:extLst>
            <a:ext uri="{FF2B5EF4-FFF2-40B4-BE49-F238E27FC236}">
              <a16:creationId xmlns:a16="http://schemas.microsoft.com/office/drawing/2014/main" id="{C95CA4EB-70F8-44F6-BB23-9B1648AFD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54"/>
  <sheetViews>
    <sheetView tabSelected="1" workbookViewId="0">
      <selection activeCell="E31" sqref="E31"/>
    </sheetView>
  </sheetViews>
  <sheetFormatPr defaultColWidth="9.140625" defaultRowHeight="15" x14ac:dyDescent="0.25"/>
  <cols>
    <col min="2" max="2" width="27.42578125" customWidth="1"/>
    <col min="3" max="3" width="14.140625" customWidth="1"/>
    <col min="4" max="4" width="10.140625" customWidth="1"/>
    <col min="5" max="5" width="37" customWidth="1"/>
    <col min="7" max="7" width="3.140625" customWidth="1"/>
    <col min="8" max="8" width="26.7109375" customWidth="1"/>
    <col min="9" max="9" width="11.28515625" customWidth="1"/>
    <col min="10" max="10" width="9.140625" customWidth="1"/>
    <col min="11" max="11" width="5.28515625" customWidth="1"/>
    <col min="12" max="12" width="29.140625" customWidth="1"/>
    <col min="13" max="13" width="40.140625" customWidth="1"/>
    <col min="14" max="14" width="34.42578125" customWidth="1"/>
  </cols>
  <sheetData>
    <row r="2" spans="2:14" x14ac:dyDescent="0.25">
      <c r="B2" s="34"/>
      <c r="C2" s="19"/>
      <c r="E2" s="24" t="s">
        <v>34</v>
      </c>
      <c r="F2" s="51" t="s">
        <v>35</v>
      </c>
      <c r="G2" s="25"/>
      <c r="H2" s="26" t="s">
        <v>42</v>
      </c>
      <c r="I2" s="26" t="s">
        <v>1</v>
      </c>
      <c r="J2" s="27" t="s">
        <v>35</v>
      </c>
      <c r="L2" s="30" t="s">
        <v>28</v>
      </c>
      <c r="M2" s="31" t="s">
        <v>44</v>
      </c>
      <c r="N2" s="32" t="s">
        <v>43</v>
      </c>
    </row>
    <row r="3" spans="2:14" x14ac:dyDescent="0.25">
      <c r="B3" s="5" t="s">
        <v>27</v>
      </c>
      <c r="C3" s="20">
        <v>46006</v>
      </c>
      <c r="E3" s="5" t="s">
        <v>157</v>
      </c>
      <c r="F3" s="140">
        <v>8.7800000000000003E-2</v>
      </c>
      <c r="H3" t="s">
        <v>161</v>
      </c>
      <c r="I3" s="10"/>
      <c r="J3" s="38"/>
      <c r="L3" s="5" t="s">
        <v>137</v>
      </c>
      <c r="M3" t="s">
        <v>138</v>
      </c>
      <c r="N3" s="37"/>
    </row>
    <row r="4" spans="2:14" x14ac:dyDescent="0.25">
      <c r="B4" s="5"/>
      <c r="C4" s="21">
        <v>0.78888888888888886</v>
      </c>
      <c r="E4" s="5" t="s">
        <v>158</v>
      </c>
      <c r="F4" s="141">
        <v>5.9900000000000002E-2</v>
      </c>
      <c r="I4" s="10"/>
      <c r="J4" s="38"/>
      <c r="L4" s="5" t="s">
        <v>139</v>
      </c>
      <c r="M4" t="s">
        <v>140</v>
      </c>
      <c r="N4" s="13"/>
    </row>
    <row r="5" spans="2:14" x14ac:dyDescent="0.25">
      <c r="B5" s="5"/>
      <c r="C5" s="13"/>
      <c r="E5" s="5" t="s">
        <v>159</v>
      </c>
      <c r="F5" s="141">
        <v>5.0900000000000001E-2</v>
      </c>
      <c r="I5" s="10"/>
      <c r="J5" s="38"/>
      <c r="L5" s="5" t="s">
        <v>141</v>
      </c>
      <c r="M5" t="s">
        <v>142</v>
      </c>
      <c r="N5" s="13"/>
    </row>
    <row r="6" spans="2:14" x14ac:dyDescent="0.25">
      <c r="B6" s="5" t="s">
        <v>0</v>
      </c>
      <c r="C6" s="13">
        <v>76.040000000000006</v>
      </c>
      <c r="E6" s="5" t="s">
        <v>160</v>
      </c>
      <c r="F6" s="140">
        <v>3.7199999999999997E-2</v>
      </c>
      <c r="I6" s="10"/>
      <c r="J6" s="38"/>
      <c r="L6" s="5" t="s">
        <v>143</v>
      </c>
      <c r="M6" t="s">
        <v>144</v>
      </c>
      <c r="N6" s="13"/>
    </row>
    <row r="7" spans="2:14" x14ac:dyDescent="0.25">
      <c r="B7" s="5" t="s">
        <v>1</v>
      </c>
      <c r="C7" s="15">
        <f>Model!P21</f>
        <v>107.514</v>
      </c>
      <c r="E7" s="5"/>
      <c r="F7" s="28"/>
      <c r="I7" s="10"/>
      <c r="J7" s="38"/>
      <c r="L7" s="5" t="s">
        <v>145</v>
      </c>
      <c r="M7" t="s">
        <v>146</v>
      </c>
      <c r="N7" s="13"/>
    </row>
    <row r="8" spans="2:14" x14ac:dyDescent="0.25">
      <c r="B8" s="5" t="s">
        <v>2</v>
      </c>
      <c r="C8" s="15">
        <f>C6*C7</f>
        <v>8175.36456</v>
      </c>
      <c r="E8" s="5"/>
      <c r="F8" s="28"/>
      <c r="I8" s="10"/>
      <c r="J8" s="38"/>
      <c r="L8" s="5" t="s">
        <v>147</v>
      </c>
      <c r="M8" t="s">
        <v>148</v>
      </c>
      <c r="N8" s="13"/>
    </row>
    <row r="9" spans="2:14" x14ac:dyDescent="0.25">
      <c r="B9" s="5" t="s">
        <v>3</v>
      </c>
      <c r="C9" s="15">
        <f>Model!Q37</f>
        <v>1348.9010000000001</v>
      </c>
      <c r="E9" s="5"/>
      <c r="F9" s="28"/>
      <c r="I9" s="10"/>
      <c r="J9" s="38"/>
      <c r="L9" s="5" t="s">
        <v>149</v>
      </c>
      <c r="M9" t="s">
        <v>150</v>
      </c>
      <c r="N9" s="13"/>
    </row>
    <row r="10" spans="2:14" x14ac:dyDescent="0.25">
      <c r="B10" s="5" t="s">
        <v>4</v>
      </c>
      <c r="C10" s="15">
        <f>Model!Q55+Model!Q58</f>
        <v>149.09399999999999</v>
      </c>
      <c r="E10" s="5"/>
      <c r="F10" s="28"/>
      <c r="I10" s="10"/>
      <c r="J10" s="38"/>
      <c r="L10" s="5" t="s">
        <v>151</v>
      </c>
      <c r="M10" t="s">
        <v>152</v>
      </c>
      <c r="N10" s="13"/>
    </row>
    <row r="11" spans="2:14" x14ac:dyDescent="0.25">
      <c r="B11" s="5" t="s">
        <v>24</v>
      </c>
      <c r="C11" s="15">
        <f>C9-C10</f>
        <v>1199.807</v>
      </c>
      <c r="E11" s="5"/>
      <c r="F11" s="28"/>
      <c r="I11" s="10"/>
      <c r="J11" s="38"/>
      <c r="L11" s="5" t="s">
        <v>153</v>
      </c>
      <c r="M11" t="s">
        <v>154</v>
      </c>
      <c r="N11" s="13"/>
    </row>
    <row r="12" spans="2:14" x14ac:dyDescent="0.25">
      <c r="B12" s="5" t="s">
        <v>5</v>
      </c>
      <c r="C12" s="15">
        <f>C8-C9+C10</f>
        <v>6975.5575600000002</v>
      </c>
      <c r="E12" s="5"/>
      <c r="F12" s="28"/>
      <c r="J12" s="13"/>
      <c r="L12" s="5" t="s">
        <v>155</v>
      </c>
      <c r="M12" t="s">
        <v>156</v>
      </c>
      <c r="N12" s="13"/>
    </row>
    <row r="13" spans="2:14" x14ac:dyDescent="0.25">
      <c r="B13" s="5" t="s">
        <v>33</v>
      </c>
      <c r="C13" s="36" t="e">
        <f>C6/Model!E22</f>
        <v>#DIV/0!</v>
      </c>
      <c r="E13" s="5"/>
      <c r="J13" s="13"/>
      <c r="L13" s="5"/>
      <c r="N13" s="13"/>
    </row>
    <row r="14" spans="2:14" x14ac:dyDescent="0.25">
      <c r="B14" s="5" t="s">
        <v>31</v>
      </c>
      <c r="C14" s="36">
        <f>C6/Model!F23</f>
        <v>-53.929078014184405</v>
      </c>
      <c r="E14" s="22"/>
      <c r="F14" s="29"/>
      <c r="G14" s="29"/>
      <c r="H14" s="29"/>
      <c r="I14" s="29"/>
      <c r="J14" s="23"/>
      <c r="L14" s="22"/>
      <c r="M14" s="29"/>
      <c r="N14" s="23"/>
    </row>
    <row r="15" spans="2:14" x14ac:dyDescent="0.25">
      <c r="B15" s="5" t="s">
        <v>32</v>
      </c>
      <c r="C15" s="36">
        <f>C6/Model!G23</f>
        <v>65.551724137931046</v>
      </c>
    </row>
    <row r="16" spans="2:14" x14ac:dyDescent="0.25">
      <c r="B16" s="5" t="s">
        <v>29</v>
      </c>
      <c r="C16" s="6">
        <v>0</v>
      </c>
    </row>
    <row r="17" spans="2:14" x14ac:dyDescent="0.25">
      <c r="B17" s="5" t="s">
        <v>30</v>
      </c>
      <c r="C17" s="6">
        <v>1</v>
      </c>
      <c r="E17" s="33" t="s">
        <v>40</v>
      </c>
      <c r="L17" s="121" t="s">
        <v>136</v>
      </c>
      <c r="M17" s="122"/>
      <c r="N17" s="123"/>
    </row>
    <row r="18" spans="2:14" x14ac:dyDescent="0.25">
      <c r="B18" s="5" t="s">
        <v>53</v>
      </c>
      <c r="C18" s="45" t="e">
        <f>C14/(C16*100)</f>
        <v>#DIV/0!</v>
      </c>
      <c r="L18" s="124"/>
      <c r="M18" s="125"/>
      <c r="N18" s="126"/>
    </row>
    <row r="19" spans="2:14" x14ac:dyDescent="0.25">
      <c r="B19" s="5" t="s">
        <v>54</v>
      </c>
      <c r="C19" s="45">
        <f>C15/(C17*100)</f>
        <v>0.65551724137931044</v>
      </c>
      <c r="L19" s="124"/>
      <c r="M19" s="125"/>
      <c r="N19" s="126"/>
    </row>
    <row r="20" spans="2:14" x14ac:dyDescent="0.25">
      <c r="B20" s="5" t="s">
        <v>63</v>
      </c>
      <c r="C20" s="6" t="e">
        <f>Model!D4/Model!C3-1</f>
        <v>#DIV/0!</v>
      </c>
      <c r="L20" s="124"/>
      <c r="M20" s="125"/>
      <c r="N20" s="126"/>
    </row>
    <row r="21" spans="2:14" x14ac:dyDescent="0.25">
      <c r="B21" s="5" t="s">
        <v>64</v>
      </c>
      <c r="C21" s="6">
        <f>Model!G6/Model!F6-1</f>
        <v>0.21978021978021989</v>
      </c>
      <c r="L21" s="124"/>
      <c r="M21" s="125"/>
      <c r="N21" s="126"/>
    </row>
    <row r="22" spans="2:14" x14ac:dyDescent="0.25">
      <c r="B22" s="5" t="s">
        <v>55</v>
      </c>
      <c r="C22" s="15"/>
      <c r="L22" s="124"/>
      <c r="M22" s="125"/>
      <c r="N22" s="126"/>
    </row>
    <row r="23" spans="2:14" x14ac:dyDescent="0.25">
      <c r="B23" s="5" t="s">
        <v>9</v>
      </c>
      <c r="C23" s="15">
        <f>Model!C10</f>
        <v>0</v>
      </c>
      <c r="L23" s="124"/>
      <c r="M23" s="125"/>
      <c r="N23" s="126"/>
    </row>
    <row r="24" spans="2:14" x14ac:dyDescent="0.25">
      <c r="B24" s="5" t="s">
        <v>21</v>
      </c>
      <c r="C24" s="7">
        <f>Model!C17</f>
        <v>0</v>
      </c>
      <c r="L24" s="124"/>
      <c r="M24" s="125"/>
      <c r="N24" s="126"/>
    </row>
    <row r="25" spans="2:14" x14ac:dyDescent="0.25">
      <c r="B25" s="5" t="s">
        <v>22</v>
      </c>
      <c r="C25" s="7"/>
      <c r="L25" s="124"/>
      <c r="M25" s="125"/>
      <c r="N25" s="126"/>
    </row>
    <row r="26" spans="2:14" x14ac:dyDescent="0.25">
      <c r="B26" s="5" t="s">
        <v>56</v>
      </c>
      <c r="C26" s="36" t="e">
        <f>C12/C23</f>
        <v>#DIV/0!</v>
      </c>
      <c r="L26" s="124"/>
      <c r="M26" s="125"/>
      <c r="N26" s="126"/>
    </row>
    <row r="27" spans="2:14" x14ac:dyDescent="0.25">
      <c r="B27" s="5" t="s">
        <v>65</v>
      </c>
      <c r="C27" s="111"/>
      <c r="E27" t="s">
        <v>57</v>
      </c>
      <c r="L27" s="124"/>
      <c r="M27" s="125"/>
      <c r="N27" s="126"/>
    </row>
    <row r="28" spans="2:14" x14ac:dyDescent="0.25">
      <c r="B28" s="5" t="s">
        <v>66</v>
      </c>
      <c r="C28" s="36"/>
      <c r="L28" s="127"/>
      <c r="M28" s="128"/>
      <c r="N28" s="129"/>
    </row>
    <row r="29" spans="2:14" x14ac:dyDescent="0.25">
      <c r="B29" s="5" t="s">
        <v>67</v>
      </c>
      <c r="C29" s="36"/>
    </row>
    <row r="30" spans="2:14" x14ac:dyDescent="0.25">
      <c r="B30" s="5" t="s">
        <v>68</v>
      </c>
      <c r="C30" s="36"/>
    </row>
    <row r="31" spans="2:14" x14ac:dyDescent="0.25">
      <c r="B31" s="5" t="s">
        <v>69</v>
      </c>
      <c r="C31" s="6"/>
    </row>
    <row r="32" spans="2:14" x14ac:dyDescent="0.25">
      <c r="B32" s="5" t="s">
        <v>70</v>
      </c>
      <c r="C32" s="36"/>
    </row>
    <row r="33" spans="2:9" x14ac:dyDescent="0.25">
      <c r="B33" s="5" t="s">
        <v>71</v>
      </c>
      <c r="C33" s="36"/>
    </row>
    <row r="34" spans="2:9" x14ac:dyDescent="0.25">
      <c r="B34" s="5" t="s">
        <v>72</v>
      </c>
      <c r="C34" s="38"/>
    </row>
    <row r="35" spans="2:9" x14ac:dyDescent="0.25">
      <c r="B35" s="5" t="s">
        <v>73</v>
      </c>
      <c r="C35" s="38"/>
    </row>
    <row r="36" spans="2:9" x14ac:dyDescent="0.25">
      <c r="B36" s="22" t="s">
        <v>74</v>
      </c>
      <c r="C36" s="23"/>
    </row>
    <row r="41" spans="2:9" x14ac:dyDescent="0.25">
      <c r="E41" s="47"/>
      <c r="F41" s="47"/>
      <c r="G41" s="50"/>
      <c r="H41" s="50"/>
      <c r="I41" s="50"/>
    </row>
    <row r="42" spans="2:9" x14ac:dyDescent="0.25">
      <c r="E42" s="47"/>
      <c r="F42" s="47"/>
      <c r="G42" s="50"/>
      <c r="H42" s="50"/>
      <c r="I42" s="50"/>
    </row>
    <row r="43" spans="2:9" x14ac:dyDescent="0.25">
      <c r="E43" s="47"/>
      <c r="F43" s="47"/>
      <c r="G43" s="50"/>
      <c r="H43" s="50"/>
      <c r="I43" s="50"/>
    </row>
    <row r="44" spans="2:9" x14ac:dyDescent="0.25">
      <c r="E44" s="47"/>
      <c r="F44" s="47"/>
      <c r="G44" s="50"/>
      <c r="H44" s="50"/>
      <c r="I44" s="50"/>
    </row>
    <row r="45" spans="2:9" x14ac:dyDescent="0.25">
      <c r="E45" s="47"/>
      <c r="F45" s="47"/>
      <c r="G45" s="50"/>
      <c r="H45" s="50"/>
      <c r="I45" s="50"/>
    </row>
    <row r="46" spans="2:9" x14ac:dyDescent="0.25">
      <c r="E46" s="47"/>
      <c r="F46" s="47"/>
      <c r="G46" s="50"/>
      <c r="H46" s="50"/>
      <c r="I46" s="50"/>
    </row>
    <row r="47" spans="2:9" x14ac:dyDescent="0.25">
      <c r="E47" s="47"/>
      <c r="F47" s="47"/>
      <c r="G47" s="50"/>
      <c r="H47" s="50"/>
      <c r="I47" s="50"/>
    </row>
    <row r="48" spans="2:9" x14ac:dyDescent="0.25">
      <c r="E48" s="47"/>
      <c r="F48" s="47"/>
      <c r="G48" s="50"/>
      <c r="H48" s="50"/>
      <c r="I48" s="50"/>
    </row>
    <row r="49" spans="5:9" x14ac:dyDescent="0.25">
      <c r="E49" s="47"/>
      <c r="F49" s="47"/>
      <c r="G49" s="50"/>
      <c r="H49" s="50"/>
      <c r="I49" s="50"/>
    </row>
    <row r="50" spans="5:9" x14ac:dyDescent="0.25">
      <c r="E50" s="47"/>
      <c r="F50" s="47"/>
      <c r="G50" s="50"/>
      <c r="H50" s="50"/>
      <c r="I50" s="50"/>
    </row>
    <row r="51" spans="5:9" x14ac:dyDescent="0.25">
      <c r="E51" s="47"/>
      <c r="F51" s="47"/>
      <c r="G51" s="50"/>
      <c r="H51" s="50"/>
      <c r="I51" s="50"/>
    </row>
    <row r="52" spans="5:9" x14ac:dyDescent="0.25">
      <c r="E52" s="48"/>
      <c r="F52" s="49"/>
      <c r="G52" s="49"/>
    </row>
    <row r="53" spans="5:9" x14ac:dyDescent="0.25">
      <c r="E53" s="48"/>
      <c r="F53" s="49"/>
      <c r="G53" s="49"/>
    </row>
    <row r="54" spans="5:9" x14ac:dyDescent="0.25">
      <c r="E54" s="48"/>
      <c r="F54" s="49"/>
      <c r="G54" s="49"/>
    </row>
  </sheetData>
  <mergeCells count="1">
    <mergeCell ref="L17:N2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45E9-1C5F-45F5-BD7C-66FA029FFFF4}">
  <dimension ref="A1:T84"/>
  <sheetViews>
    <sheetView zoomScaleNormal="100" workbookViewId="0">
      <pane xSplit="2" ySplit="2" topLeftCell="K3" activePane="bottomRight" state="frozen"/>
      <selection pane="topRight" activeCell="B1" sqref="B1"/>
      <selection pane="bottomLeft" activeCell="A3" sqref="A3"/>
      <selection pane="bottomRight" activeCell="L3" sqref="L3"/>
    </sheetView>
  </sheetViews>
  <sheetFormatPr defaultColWidth="11.42578125" defaultRowHeight="15" x14ac:dyDescent="0.25"/>
  <cols>
    <col min="1" max="1" width="4.7109375" customWidth="1"/>
    <col min="2" max="2" width="27.28515625" customWidth="1"/>
    <col min="5" max="5" width="11.42578125" style="13"/>
    <col min="17" max="17" width="11.42578125" style="13"/>
  </cols>
  <sheetData>
    <row r="1" spans="1:20" x14ac:dyDescent="0.25">
      <c r="A1" s="8" t="s">
        <v>25</v>
      </c>
    </row>
    <row r="2" spans="1:20" x14ac:dyDescent="0.25">
      <c r="C2" t="s">
        <v>6</v>
      </c>
      <c r="D2" t="s">
        <v>7</v>
      </c>
      <c r="E2" s="13" t="s">
        <v>23</v>
      </c>
      <c r="F2" t="s">
        <v>52</v>
      </c>
      <c r="G2" t="s">
        <v>129</v>
      </c>
      <c r="K2" t="s">
        <v>48</v>
      </c>
      <c r="L2" t="s">
        <v>51</v>
      </c>
      <c r="M2" t="s">
        <v>120</v>
      </c>
      <c r="N2" t="s">
        <v>121</v>
      </c>
      <c r="O2" t="s">
        <v>130</v>
      </c>
      <c r="P2" t="s">
        <v>131</v>
      </c>
      <c r="Q2" s="13" t="s">
        <v>132</v>
      </c>
      <c r="R2" t="s">
        <v>133</v>
      </c>
      <c r="S2" t="s">
        <v>134</v>
      </c>
      <c r="T2" t="s">
        <v>135</v>
      </c>
    </row>
    <row r="3" spans="1:20" x14ac:dyDescent="0.25">
      <c r="B3" s="9" t="s">
        <v>176</v>
      </c>
      <c r="L3" s="10">
        <v>423.26299999999998</v>
      </c>
      <c r="M3" s="10">
        <v>445.21499999999997</v>
      </c>
      <c r="N3" s="10">
        <v>433</v>
      </c>
      <c r="O3" s="10">
        <v>558</v>
      </c>
      <c r="P3" s="10">
        <v>634.274</v>
      </c>
      <c r="Q3" s="15">
        <v>711.24099999999999</v>
      </c>
    </row>
    <row r="4" spans="1:20" x14ac:dyDescent="0.25">
      <c r="B4" s="9" t="s">
        <v>177</v>
      </c>
      <c r="L4" s="10">
        <v>6.7670000000000003</v>
      </c>
      <c r="M4" s="10">
        <v>0.54700000000000004</v>
      </c>
      <c r="N4" s="10">
        <v>2</v>
      </c>
      <c r="O4" s="10">
        <v>21</v>
      </c>
      <c r="P4" s="10">
        <v>23.803999999999998</v>
      </c>
      <c r="Q4" s="15">
        <v>28.518000000000001</v>
      </c>
    </row>
    <row r="5" spans="1:20" s="1" customFormat="1" x14ac:dyDescent="0.25">
      <c r="B5" s="1" t="s">
        <v>8</v>
      </c>
      <c r="C5" s="11">
        <f>SUM(C3:C4)</f>
        <v>0</v>
      </c>
      <c r="D5" s="11">
        <f>SUM(D3:D4)</f>
        <v>0</v>
      </c>
      <c r="E5" s="14">
        <f>SUM(E3:E4)</f>
        <v>0</v>
      </c>
      <c r="F5" s="11">
        <f>SUM(F3:F4)</f>
        <v>0</v>
      </c>
      <c r="G5" s="11">
        <f>SUM(G3:G4)</f>
        <v>0</v>
      </c>
      <c r="K5" s="11">
        <f>SUM(K3:K4)</f>
        <v>0</v>
      </c>
      <c r="L5" s="11">
        <f>SUM(L3:L4)</f>
        <v>430.03</v>
      </c>
      <c r="M5" s="11">
        <f>SUM(M3:M4)</f>
        <v>445.762</v>
      </c>
      <c r="N5" s="11">
        <f>SUM(N3:N4)</f>
        <v>435</v>
      </c>
      <c r="O5" s="11">
        <f>SUM(O3:O4)</f>
        <v>579</v>
      </c>
      <c r="P5" s="11">
        <f>SUM(P3:P4)</f>
        <v>658.07799999999997</v>
      </c>
      <c r="Q5" s="14">
        <f>SUM(Q3:Q4)</f>
        <v>739.75900000000001</v>
      </c>
      <c r="R5" s="11">
        <f>SUM(R3:R4)</f>
        <v>0</v>
      </c>
      <c r="S5" s="11">
        <f>SUM(S3:S4)</f>
        <v>0</v>
      </c>
      <c r="T5" s="11">
        <f>SUM(T3:T4)</f>
        <v>0</v>
      </c>
    </row>
    <row r="6" spans="1:20" x14ac:dyDescent="0.25">
      <c r="B6" s="9" t="s">
        <v>50</v>
      </c>
      <c r="C6" s="10"/>
      <c r="D6" s="10"/>
      <c r="E6" s="114"/>
      <c r="F6" s="42">
        <v>2730</v>
      </c>
      <c r="G6" s="142">
        <v>3330</v>
      </c>
      <c r="K6" s="40"/>
      <c r="L6" s="40"/>
      <c r="M6" s="40"/>
      <c r="N6" s="40"/>
      <c r="O6" s="40"/>
      <c r="P6" s="40"/>
      <c r="Q6" s="114"/>
      <c r="R6" s="40">
        <v>755.74</v>
      </c>
      <c r="S6" s="40">
        <v>764.17</v>
      </c>
      <c r="T6" s="40"/>
    </row>
    <row r="7" spans="1:20" x14ac:dyDescent="0.25">
      <c r="B7" s="9" t="s">
        <v>178</v>
      </c>
      <c r="C7" s="10"/>
      <c r="D7" s="10"/>
      <c r="E7" s="114"/>
      <c r="F7" s="42"/>
      <c r="G7" s="119"/>
      <c r="K7" s="40"/>
      <c r="L7" s="40">
        <v>246.90100000000001</v>
      </c>
      <c r="M7" s="40">
        <v>257.42200000000003</v>
      </c>
      <c r="N7" s="40"/>
      <c r="O7" s="40"/>
      <c r="P7" s="40">
        <v>406.47199999999998</v>
      </c>
      <c r="Q7" s="114">
        <v>447.19900000000001</v>
      </c>
      <c r="R7" s="40"/>
      <c r="S7" s="40"/>
      <c r="T7" s="40"/>
    </row>
    <row r="8" spans="1:20" x14ac:dyDescent="0.25">
      <c r="B8" s="9" t="s">
        <v>179</v>
      </c>
      <c r="C8" s="10"/>
      <c r="D8" s="10"/>
      <c r="E8" s="114"/>
      <c r="F8" s="42"/>
      <c r="G8" s="119"/>
      <c r="K8" s="40"/>
      <c r="L8" s="40">
        <v>1.476</v>
      </c>
      <c r="M8" s="40">
        <v>0.28100000000000003</v>
      </c>
      <c r="N8" s="40"/>
      <c r="O8" s="40"/>
      <c r="P8" s="40">
        <v>0.47</v>
      </c>
      <c r="Q8" s="114">
        <v>0.41299999999999998</v>
      </c>
      <c r="R8" s="40"/>
      <c r="S8" s="40"/>
      <c r="T8" s="40"/>
    </row>
    <row r="9" spans="1:20" s="1" customFormat="1" x14ac:dyDescent="0.25">
      <c r="B9" s="1" t="s">
        <v>45</v>
      </c>
      <c r="C9" s="11">
        <f>SUM(C7:C8)</f>
        <v>0</v>
      </c>
      <c r="D9" s="11">
        <f>SUM(D7:D8)</f>
        <v>0</v>
      </c>
      <c r="E9" s="14">
        <f>SUM(E7:E8)</f>
        <v>0</v>
      </c>
      <c r="F9" s="11">
        <f>SUM(F7:F8)</f>
        <v>0</v>
      </c>
      <c r="G9" s="11">
        <f>SUM(G7:G8)</f>
        <v>0</v>
      </c>
      <c r="K9" s="11">
        <f>SUM(K7:K8)</f>
        <v>0</v>
      </c>
      <c r="L9" s="11">
        <f>SUM(L7:L8)</f>
        <v>248.37700000000001</v>
      </c>
      <c r="M9" s="11">
        <f>SUM(M7:M8)</f>
        <v>257.70300000000003</v>
      </c>
      <c r="N9" s="11">
        <f>SUM(N7:N8)</f>
        <v>0</v>
      </c>
      <c r="O9" s="11">
        <f>SUM(O7:O8)</f>
        <v>0</v>
      </c>
      <c r="P9" s="11">
        <f>SUM(P7:P8)</f>
        <v>406.94200000000001</v>
      </c>
      <c r="Q9" s="14">
        <f>SUM(Q7:Q8)</f>
        <v>447.61200000000002</v>
      </c>
      <c r="R9" s="11">
        <f>SUM(R7:R8)</f>
        <v>0</v>
      </c>
      <c r="S9" s="11">
        <f>SUM(S7:S8)</f>
        <v>0</v>
      </c>
      <c r="T9" s="11">
        <f>SUM(T7:T8)</f>
        <v>0</v>
      </c>
    </row>
    <row r="10" spans="1:20" x14ac:dyDescent="0.25">
      <c r="B10" t="s">
        <v>180</v>
      </c>
      <c r="C10" s="10"/>
      <c r="D10" s="10"/>
      <c r="E10" s="114"/>
      <c r="F10" s="40"/>
      <c r="K10" s="10"/>
      <c r="L10" s="10">
        <v>67.603999999999999</v>
      </c>
      <c r="M10" s="10">
        <v>65.269000000000005</v>
      </c>
      <c r="N10" s="10"/>
      <c r="O10" s="10"/>
      <c r="P10" s="10">
        <v>503.392</v>
      </c>
      <c r="Q10" s="15">
        <v>129.29499999999999</v>
      </c>
      <c r="R10" s="10"/>
      <c r="S10" s="10"/>
      <c r="T10" s="10"/>
    </row>
    <row r="11" spans="1:20" x14ac:dyDescent="0.25">
      <c r="B11" t="s">
        <v>118</v>
      </c>
      <c r="C11" s="10"/>
      <c r="D11" s="10"/>
      <c r="E11" s="114"/>
      <c r="F11" s="40"/>
      <c r="K11" s="10"/>
      <c r="L11" s="10">
        <v>35.728999999999999</v>
      </c>
      <c r="M11" s="10">
        <v>33.337000000000003</v>
      </c>
      <c r="N11" s="10"/>
      <c r="O11" s="10"/>
      <c r="P11" s="10">
        <v>43.14</v>
      </c>
      <c r="Q11" s="15">
        <v>45.447000000000003</v>
      </c>
      <c r="R11" s="10"/>
      <c r="S11" s="10"/>
      <c r="T11" s="10"/>
    </row>
    <row r="12" spans="1:20" x14ac:dyDescent="0.25">
      <c r="B12" t="s">
        <v>14</v>
      </c>
      <c r="C12" s="10"/>
      <c r="D12" s="10"/>
      <c r="E12" s="15"/>
      <c r="F12" s="10"/>
      <c r="K12" s="10"/>
      <c r="L12" s="10">
        <v>12.632</v>
      </c>
      <c r="M12" s="10">
        <v>13.122</v>
      </c>
      <c r="N12" s="10"/>
      <c r="O12" s="10"/>
      <c r="P12" s="10">
        <v>14.209</v>
      </c>
      <c r="Q12" s="15">
        <v>23.001999999999999</v>
      </c>
      <c r="R12" s="10"/>
      <c r="S12" s="10"/>
      <c r="T12" s="10"/>
    </row>
    <row r="13" spans="1:20" x14ac:dyDescent="0.25">
      <c r="B13" t="s">
        <v>181</v>
      </c>
      <c r="C13" s="10"/>
      <c r="D13" s="10"/>
      <c r="E13" s="114"/>
      <c r="F13" s="40"/>
      <c r="K13" s="10"/>
      <c r="L13" s="10">
        <v>6.875</v>
      </c>
      <c r="M13" s="10">
        <v>6.8650000000000002</v>
      </c>
      <c r="N13" s="10"/>
      <c r="O13" s="10"/>
      <c r="P13" s="10">
        <v>8.76</v>
      </c>
      <c r="Q13" s="15">
        <v>9.4009999999999998</v>
      </c>
      <c r="R13" s="10"/>
      <c r="S13" s="10"/>
      <c r="T13" s="10"/>
    </row>
    <row r="14" spans="1:20" x14ac:dyDescent="0.25">
      <c r="B14" t="s">
        <v>182</v>
      </c>
      <c r="C14" s="10"/>
      <c r="D14" s="10"/>
      <c r="E14" s="114"/>
      <c r="F14" s="40"/>
      <c r="K14" s="10"/>
      <c r="L14" s="10">
        <v>5.6379999999999999</v>
      </c>
      <c r="M14" s="10">
        <v>4.3819999999999997</v>
      </c>
      <c r="N14" s="10"/>
      <c r="O14" s="10"/>
      <c r="P14" s="10">
        <v>7.91</v>
      </c>
      <c r="Q14" s="15">
        <v>5.6230000000000002</v>
      </c>
      <c r="R14" s="10"/>
      <c r="S14" s="10"/>
      <c r="T14" s="10"/>
    </row>
    <row r="15" spans="1:20" x14ac:dyDescent="0.25">
      <c r="B15" t="s">
        <v>183</v>
      </c>
      <c r="C15" s="10"/>
      <c r="D15" s="10"/>
      <c r="E15" s="114"/>
      <c r="F15" s="40"/>
      <c r="K15" s="10"/>
      <c r="L15" s="10">
        <v>2.9289999999999998</v>
      </c>
      <c r="M15" s="10">
        <v>1.2849999999999999</v>
      </c>
      <c r="N15" s="10"/>
      <c r="O15" s="10"/>
      <c r="P15" s="10">
        <v>-0.69299999999999995</v>
      </c>
      <c r="Q15" s="15">
        <v>-1.671</v>
      </c>
      <c r="R15" s="10"/>
      <c r="S15" s="10"/>
      <c r="T15" s="10"/>
    </row>
    <row r="16" spans="1:20" s="1" customFormat="1" x14ac:dyDescent="0.25">
      <c r="B16" s="1" t="s">
        <v>13</v>
      </c>
      <c r="C16" s="11">
        <f t="shared" ref="C16:G16" si="0">C5-SUM(C9:C15)</f>
        <v>0</v>
      </c>
      <c r="D16" s="11">
        <f t="shared" si="0"/>
        <v>0</v>
      </c>
      <c r="E16" s="11">
        <f t="shared" si="0"/>
        <v>0</v>
      </c>
      <c r="F16" s="11">
        <f t="shared" si="0"/>
        <v>0</v>
      </c>
      <c r="G16" s="11">
        <f t="shared" si="0"/>
        <v>0</v>
      </c>
      <c r="H16" s="11"/>
      <c r="I16" s="11"/>
      <c r="J16" s="11"/>
      <c r="K16" s="11">
        <f t="shared" ref="K16:N16" si="1">K5-SUM(K9:K15)</f>
        <v>0</v>
      </c>
      <c r="L16" s="11">
        <f t="shared" si="1"/>
        <v>50.246000000000038</v>
      </c>
      <c r="M16" s="11">
        <f t="shared" si="1"/>
        <v>63.798999999999921</v>
      </c>
      <c r="N16" s="11">
        <f t="shared" si="1"/>
        <v>435</v>
      </c>
      <c r="O16" s="11">
        <f t="shared" ref="K16:O16" si="2">O5-SUM(O9:O15)</f>
        <v>579</v>
      </c>
      <c r="P16" s="11">
        <f>P5-SUM(P9:P15)</f>
        <v>-325.58199999999999</v>
      </c>
      <c r="Q16" s="11">
        <f t="shared" ref="Q16:T16" si="3">Q5-SUM(Q9:Q15)</f>
        <v>81.050000000000068</v>
      </c>
      <c r="R16" s="11">
        <f t="shared" si="3"/>
        <v>0</v>
      </c>
      <c r="S16" s="11">
        <f t="shared" si="3"/>
        <v>0</v>
      </c>
      <c r="T16" s="11">
        <f t="shared" si="3"/>
        <v>0</v>
      </c>
    </row>
    <row r="17" spans="2:20" x14ac:dyDescent="0.25">
      <c r="B17" t="s">
        <v>184</v>
      </c>
      <c r="C17" s="10"/>
      <c r="D17" s="10"/>
      <c r="E17" s="15"/>
      <c r="F17" s="10"/>
      <c r="G17" s="10"/>
      <c r="K17" s="10"/>
      <c r="L17" s="10">
        <v>1.921</v>
      </c>
      <c r="M17" s="10">
        <v>22.364999999999998</v>
      </c>
      <c r="N17" s="10"/>
      <c r="O17" s="10"/>
      <c r="P17" s="10">
        <v>-160.42099999999999</v>
      </c>
      <c r="Q17" s="15">
        <v>72.070999999999998</v>
      </c>
      <c r="R17" s="10"/>
      <c r="S17" s="10"/>
      <c r="T17" s="10"/>
    </row>
    <row r="18" spans="2:20" s="1" customFormat="1" x14ac:dyDescent="0.25">
      <c r="B18" s="1" t="s">
        <v>119</v>
      </c>
      <c r="C18" s="11">
        <f>C16+SUM(C17:C17)</f>
        <v>0</v>
      </c>
      <c r="D18" s="11">
        <f>D16+SUM(D17:D17)</f>
        <v>0</v>
      </c>
      <c r="E18" s="14">
        <f>E16+SUM(E17:E17)</f>
        <v>0</v>
      </c>
      <c r="F18" s="11">
        <f>F16+SUM(F17:F17)</f>
        <v>0</v>
      </c>
      <c r="G18" s="11">
        <f>G16+SUM(G17:G17)</f>
        <v>0</v>
      </c>
      <c r="K18" s="11">
        <f>K16+SUM(K17:K17)</f>
        <v>0</v>
      </c>
      <c r="L18" s="11">
        <f>L16+SUM(L17:L17)</f>
        <v>52.167000000000037</v>
      </c>
      <c r="M18" s="11">
        <f>M16+SUM(M17:M17)</f>
        <v>86.163999999999916</v>
      </c>
      <c r="N18" s="11">
        <f>N16+SUM(N17:N17)</f>
        <v>435</v>
      </c>
      <c r="O18" s="11">
        <f>O16+SUM(O17:O17)</f>
        <v>579</v>
      </c>
      <c r="P18" s="11">
        <f>P16+SUM(P17:P17)</f>
        <v>-486.00299999999999</v>
      </c>
      <c r="Q18" s="14">
        <f>Q16+SUM(Q17:Q17)</f>
        <v>153.12100000000007</v>
      </c>
      <c r="R18" s="11">
        <f>R16+SUM(R17:R17)</f>
        <v>0</v>
      </c>
      <c r="S18" s="11">
        <f>S16+SUM(S17:S17)</f>
        <v>0</v>
      </c>
      <c r="T18" s="11">
        <f>T16+SUM(T17:T17)</f>
        <v>0</v>
      </c>
    </row>
    <row r="19" spans="2:20" x14ac:dyDescent="0.25">
      <c r="B19" t="s">
        <v>10</v>
      </c>
      <c r="C19" s="10"/>
      <c r="D19" s="10"/>
      <c r="E19" s="15"/>
      <c r="F19" s="10"/>
      <c r="G19" s="10"/>
      <c r="K19" s="10"/>
      <c r="L19" s="10">
        <v>19.244</v>
      </c>
      <c r="M19" s="10">
        <v>15.167999999999999</v>
      </c>
      <c r="N19" s="10"/>
      <c r="O19" s="10"/>
      <c r="P19" s="10">
        <v>-3.903</v>
      </c>
      <c r="Q19" s="15">
        <v>-61.293999999999997</v>
      </c>
      <c r="R19" s="10"/>
      <c r="S19" s="10"/>
      <c r="T19" s="10"/>
    </row>
    <row r="20" spans="2:20" s="1" customFormat="1" x14ac:dyDescent="0.25">
      <c r="B20" s="1" t="s">
        <v>11</v>
      </c>
      <c r="C20" s="11">
        <f>C18-SUM(C19:C19)</f>
        <v>0</v>
      </c>
      <c r="D20" s="11">
        <f>D18-SUM(D19:D19)</f>
        <v>0</v>
      </c>
      <c r="E20" s="14">
        <f>E18-SUM(E19:E19)</f>
        <v>0</v>
      </c>
      <c r="F20" s="11">
        <f>F18-SUM(F19:F19)</f>
        <v>0</v>
      </c>
      <c r="G20" s="11">
        <f>G18-SUM(G19:G19)</f>
        <v>0</v>
      </c>
      <c r="K20" s="11">
        <f>K18-SUM(K19:K19)</f>
        <v>0</v>
      </c>
      <c r="L20" s="11">
        <f>L18-SUM(L19:L19)</f>
        <v>32.923000000000037</v>
      </c>
      <c r="M20" s="11">
        <f>M18-SUM(M19:M19)</f>
        <v>70.995999999999924</v>
      </c>
      <c r="N20" s="11">
        <f>N18-SUM(N19:N19)</f>
        <v>435</v>
      </c>
      <c r="O20" s="11">
        <f>O18-SUM(O19:O19)</f>
        <v>579</v>
      </c>
      <c r="P20" s="11">
        <f>P18-SUM(P19:P19)</f>
        <v>-482.09999999999997</v>
      </c>
      <c r="Q20" s="14">
        <f>Q18-SUM(Q19:Q19)</f>
        <v>214.41500000000008</v>
      </c>
      <c r="R20" s="11">
        <f>R18-SUM(R19:R19)</f>
        <v>0</v>
      </c>
      <c r="S20" s="11">
        <f>S18-SUM(S19:S19)</f>
        <v>0</v>
      </c>
      <c r="T20" s="11">
        <f>T18-SUM(T19:T19)</f>
        <v>0</v>
      </c>
    </row>
    <row r="21" spans="2:20" x14ac:dyDescent="0.25">
      <c r="B21" t="s">
        <v>1</v>
      </c>
      <c r="C21" s="10"/>
      <c r="D21" s="10"/>
      <c r="E21" s="15"/>
      <c r="F21" s="10"/>
      <c r="G21" s="10"/>
      <c r="K21" s="10"/>
      <c r="L21" s="10">
        <v>70.415999999999997</v>
      </c>
      <c r="M21" s="10">
        <v>73.125</v>
      </c>
      <c r="N21" s="10"/>
      <c r="O21" s="10"/>
      <c r="P21" s="10">
        <v>107.514</v>
      </c>
      <c r="Q21" s="15">
        <v>266.68200000000002</v>
      </c>
      <c r="R21" s="10"/>
      <c r="S21" s="10"/>
      <c r="T21" s="10"/>
    </row>
    <row r="22" spans="2:20" s="1" customFormat="1" x14ac:dyDescent="0.25">
      <c r="B22" s="1" t="s">
        <v>12</v>
      </c>
      <c r="C22" s="2" t="e">
        <f>C20/C21</f>
        <v>#DIV/0!</v>
      </c>
      <c r="D22" s="117" t="e">
        <f>D20/D21</f>
        <v>#DIV/0!</v>
      </c>
      <c r="E22" s="35" t="e">
        <f t="shared" ref="E22:G22" si="4">E20/E21</f>
        <v>#DIV/0!</v>
      </c>
      <c r="F22" s="2" t="e">
        <f t="shared" si="4"/>
        <v>#DIV/0!</v>
      </c>
      <c r="G22" s="2" t="e">
        <f t="shared" si="4"/>
        <v>#DIV/0!</v>
      </c>
      <c r="K22" s="2" t="e">
        <f t="shared" ref="K22:M22" si="5">K20/K21</f>
        <v>#DIV/0!</v>
      </c>
      <c r="L22" s="2">
        <f t="shared" si="5"/>
        <v>0.46754998863894626</v>
      </c>
      <c r="M22" s="2">
        <f t="shared" si="5"/>
        <v>0.97088547008546899</v>
      </c>
      <c r="N22" s="2" t="e">
        <f t="shared" ref="N22:P22" si="6">N20/N21</f>
        <v>#DIV/0!</v>
      </c>
      <c r="O22" s="2" t="e">
        <f t="shared" si="6"/>
        <v>#DIV/0!</v>
      </c>
      <c r="P22" s="2">
        <f t="shared" si="6"/>
        <v>-4.4840671912495118</v>
      </c>
      <c r="Q22" s="35">
        <f>Q20/Q21</f>
        <v>0.80401001942388339</v>
      </c>
      <c r="R22" s="2" t="e">
        <f t="shared" ref="Q22:T22" si="7">R20/R21</f>
        <v>#DIV/0!</v>
      </c>
      <c r="S22" s="2" t="e">
        <f t="shared" si="7"/>
        <v>#DIV/0!</v>
      </c>
      <c r="T22" s="2" t="e">
        <f t="shared" si="7"/>
        <v>#DIV/0!</v>
      </c>
    </row>
    <row r="23" spans="2:20" s="1" customFormat="1" x14ac:dyDescent="0.25">
      <c r="B23" s="9" t="s">
        <v>49</v>
      </c>
      <c r="C23" s="2"/>
      <c r="D23" s="2"/>
      <c r="E23" s="120"/>
      <c r="F23" s="43">
        <v>-1.41</v>
      </c>
      <c r="G23" s="1">
        <v>1.1599999999999999</v>
      </c>
      <c r="K23" s="44"/>
      <c r="L23" s="44"/>
      <c r="M23" s="44"/>
      <c r="N23" s="44"/>
      <c r="O23" s="44"/>
      <c r="P23" s="44"/>
      <c r="Q23" s="115"/>
      <c r="R23" s="44">
        <v>0.19</v>
      </c>
      <c r="S23" s="44">
        <v>0.23</v>
      </c>
      <c r="T23" s="44"/>
    </row>
    <row r="24" spans="2:20" s="1" customFormat="1" x14ac:dyDescent="0.25">
      <c r="B24" t="s">
        <v>21</v>
      </c>
      <c r="C24" s="3" t="e">
        <f>1-C9/C5</f>
        <v>#DIV/0!</v>
      </c>
      <c r="D24" s="39" t="e">
        <f>1-D9/D5</f>
        <v>#DIV/0!</v>
      </c>
      <c r="E24" s="6" t="e">
        <f>1-E9/E5</f>
        <v>#DIV/0!</v>
      </c>
      <c r="F24" s="39" t="e">
        <f>1-F9/F5</f>
        <v>#DIV/0!</v>
      </c>
      <c r="G24" s="39" t="e">
        <f>1-G9/G5</f>
        <v>#DIV/0!</v>
      </c>
      <c r="K24" s="3" t="e">
        <f>1-K9/K5</f>
        <v>#DIV/0!</v>
      </c>
      <c r="L24" s="39">
        <f>1-L9/L5</f>
        <v>0.42241936609073782</v>
      </c>
      <c r="M24" s="3">
        <f>1-M9/M5</f>
        <v>0.42188208057214382</v>
      </c>
      <c r="N24" s="39">
        <f>1-N9/N5</f>
        <v>1</v>
      </c>
      <c r="O24" s="3">
        <f>1-O9/O5</f>
        <v>1</v>
      </c>
      <c r="P24" s="3">
        <f>1-P9/P5</f>
        <v>0.38162041581697004</v>
      </c>
      <c r="Q24" s="6">
        <f>1-Q9/Q5</f>
        <v>0.39492185968673577</v>
      </c>
      <c r="R24" s="3" t="e">
        <f>1-R9/R5</f>
        <v>#DIV/0!</v>
      </c>
      <c r="S24" s="3" t="e">
        <f>1-S9/S5</f>
        <v>#DIV/0!</v>
      </c>
      <c r="T24" s="3" t="e">
        <f>1-T9/T5</f>
        <v>#DIV/0!</v>
      </c>
    </row>
    <row r="25" spans="2:20" x14ac:dyDescent="0.25">
      <c r="B25" t="s">
        <v>22</v>
      </c>
      <c r="C25" s="4" t="e">
        <f>C20/C5</f>
        <v>#DIV/0!</v>
      </c>
      <c r="D25" s="4" t="e">
        <f>D20/D5</f>
        <v>#DIV/0!</v>
      </c>
      <c r="E25" s="7" t="e">
        <f>E20/E5</f>
        <v>#DIV/0!</v>
      </c>
      <c r="F25" s="4" t="e">
        <f>F20/F5</f>
        <v>#DIV/0!</v>
      </c>
      <c r="G25" s="4" t="e">
        <f>G20/G5</f>
        <v>#DIV/0!</v>
      </c>
      <c r="K25" s="4" t="e">
        <f>K20/K5</f>
        <v>#DIV/0!</v>
      </c>
      <c r="L25" s="4">
        <f>L20/L5</f>
        <v>7.6559774899425712E-2</v>
      </c>
      <c r="M25" s="4">
        <f>M20/M5</f>
        <v>0.15926884750158138</v>
      </c>
      <c r="N25" s="4">
        <f>N20/N5</f>
        <v>1</v>
      </c>
      <c r="O25" s="4">
        <f>O20/O5</f>
        <v>1</v>
      </c>
      <c r="P25" s="4">
        <f>P20/P5</f>
        <v>-0.73258793030613389</v>
      </c>
      <c r="Q25" s="7">
        <f>Q20/Q5</f>
        <v>0.28984439526927025</v>
      </c>
      <c r="R25" s="4" t="e">
        <f>R20/R5</f>
        <v>#DIV/0!</v>
      </c>
      <c r="S25" s="4" t="e">
        <f>S20/S5</f>
        <v>#DIV/0!</v>
      </c>
      <c r="T25" s="4" t="e">
        <f>T20/T5</f>
        <v>#DIV/0!</v>
      </c>
    </row>
    <row r="26" spans="2:20" x14ac:dyDescent="0.25">
      <c r="B26" t="s">
        <v>123</v>
      </c>
      <c r="C26" s="39"/>
      <c r="D26" s="39" t="e">
        <f>D5/C5-1</f>
        <v>#DIV/0!</v>
      </c>
      <c r="E26" s="6" t="e">
        <f>E5/D5-1</f>
        <v>#DIV/0!</v>
      </c>
      <c r="F26" s="39" t="e">
        <f>F5/E5-1</f>
        <v>#DIV/0!</v>
      </c>
      <c r="G26" s="39" t="e">
        <f>G5/F5-1</f>
        <v>#DIV/0!</v>
      </c>
      <c r="K26" s="4"/>
      <c r="L26" s="4"/>
      <c r="M26" s="4"/>
      <c r="N26" s="4"/>
      <c r="O26" s="4" t="e">
        <f>O5/K5-1</f>
        <v>#DIV/0!</v>
      </c>
      <c r="P26" s="143">
        <f>P5/L5-1</f>
        <v>0.53030718787061382</v>
      </c>
      <c r="Q26" s="7">
        <f>Q5/M5-1</f>
        <v>0.65953804945239836</v>
      </c>
      <c r="R26" s="4">
        <f>R5/N5-1</f>
        <v>-1</v>
      </c>
      <c r="S26" s="4">
        <f>S5/O5-1</f>
        <v>-1</v>
      </c>
      <c r="T26" s="4">
        <f>T5/P5-1</f>
        <v>-1</v>
      </c>
    </row>
    <row r="27" spans="2:20" x14ac:dyDescent="0.25">
      <c r="B27" t="s">
        <v>185</v>
      </c>
      <c r="C27" s="144" t="e">
        <f t="shared" ref="C27:G27" si="8">C10/C5</f>
        <v>#DIV/0!</v>
      </c>
      <c r="D27" s="144" t="e">
        <f t="shared" si="8"/>
        <v>#DIV/0!</v>
      </c>
      <c r="E27" s="7" t="e">
        <f t="shared" si="8"/>
        <v>#DIV/0!</v>
      </c>
      <c r="F27" s="144" t="e">
        <f t="shared" si="8"/>
        <v>#DIV/0!</v>
      </c>
      <c r="G27" s="144" t="e">
        <f t="shared" si="8"/>
        <v>#DIV/0!</v>
      </c>
      <c r="K27" s="144" t="e">
        <f t="shared" ref="K27:P27" si="9">K10/K5</f>
        <v>#DIV/0!</v>
      </c>
      <c r="L27" s="144">
        <f t="shared" si="9"/>
        <v>0.15720763667651094</v>
      </c>
      <c r="M27" s="144">
        <f t="shared" si="9"/>
        <v>0.14642118439884963</v>
      </c>
      <c r="N27" s="144">
        <f t="shared" si="9"/>
        <v>0</v>
      </c>
      <c r="O27" s="144">
        <f t="shared" si="9"/>
        <v>0</v>
      </c>
      <c r="P27" s="144">
        <f t="shared" si="9"/>
        <v>0.76494275754545815</v>
      </c>
      <c r="Q27" s="7">
        <f>Q10/Q5</f>
        <v>0.17477989453321957</v>
      </c>
      <c r="R27" s="4" t="e">
        <f>R10/R5</f>
        <v>#DIV/0!</v>
      </c>
      <c r="S27" s="4" t="e">
        <f>S10/S5</f>
        <v>#DIV/0!</v>
      </c>
      <c r="T27" s="4" t="e">
        <f>T10/T5</f>
        <v>#DIV/0!</v>
      </c>
    </row>
    <row r="28" spans="2:20" x14ac:dyDescent="0.25">
      <c r="B28" t="s">
        <v>186</v>
      </c>
      <c r="C28" s="144" t="e">
        <f t="shared" ref="C28:G28" si="10">C14/C5</f>
        <v>#DIV/0!</v>
      </c>
      <c r="D28" s="144" t="e">
        <f t="shared" si="10"/>
        <v>#DIV/0!</v>
      </c>
      <c r="E28" s="7" t="e">
        <f t="shared" si="10"/>
        <v>#DIV/0!</v>
      </c>
      <c r="F28" s="144" t="e">
        <f t="shared" si="10"/>
        <v>#DIV/0!</v>
      </c>
      <c r="G28" s="144" t="e">
        <f t="shared" si="10"/>
        <v>#DIV/0!</v>
      </c>
      <c r="K28" s="144" t="e">
        <f t="shared" ref="K28:P28" si="11">K14/K5</f>
        <v>#DIV/0!</v>
      </c>
      <c r="L28" s="144">
        <f t="shared" si="11"/>
        <v>1.3110713206055393E-2</v>
      </c>
      <c r="M28" s="144">
        <f t="shared" si="11"/>
        <v>9.8303579039936105E-3</v>
      </c>
      <c r="N28" s="144">
        <f t="shared" si="11"/>
        <v>0</v>
      </c>
      <c r="O28" s="144">
        <f t="shared" si="11"/>
        <v>0</v>
      </c>
      <c r="P28" s="144">
        <f t="shared" si="11"/>
        <v>1.2019851750096493E-2</v>
      </c>
      <c r="Q28" s="7">
        <f>Q14/Q5</f>
        <v>7.6011241498920596E-3</v>
      </c>
      <c r="R28" s="4" t="e">
        <f>R11/R5</f>
        <v>#DIV/0!</v>
      </c>
      <c r="S28" s="4" t="e">
        <f>S11/S5</f>
        <v>#DIV/0!</v>
      </c>
      <c r="T28" s="4" t="e">
        <f>T11/T5</f>
        <v>#DIV/0!</v>
      </c>
    </row>
    <row r="29" spans="2:20" x14ac:dyDescent="0.25">
      <c r="B29" t="s">
        <v>117</v>
      </c>
      <c r="C29" s="144" t="e">
        <f t="shared" ref="C29:G29" si="12">C11/C5</f>
        <v>#DIV/0!</v>
      </c>
      <c r="D29" s="144" t="e">
        <f t="shared" si="12"/>
        <v>#DIV/0!</v>
      </c>
      <c r="E29" s="7" t="e">
        <f t="shared" si="12"/>
        <v>#DIV/0!</v>
      </c>
      <c r="F29" s="144" t="e">
        <f t="shared" si="12"/>
        <v>#DIV/0!</v>
      </c>
      <c r="G29" s="144" t="e">
        <f t="shared" si="12"/>
        <v>#DIV/0!</v>
      </c>
      <c r="K29" s="144" t="e">
        <f t="shared" ref="K29:T29" si="13">K11/K5</f>
        <v>#DIV/0!</v>
      </c>
      <c r="L29" s="144">
        <f t="shared" si="13"/>
        <v>8.3084901053414886E-2</v>
      </c>
      <c r="M29" s="144">
        <f t="shared" si="13"/>
        <v>7.4786545286498182E-2</v>
      </c>
      <c r="N29" s="144">
        <f t="shared" si="13"/>
        <v>0</v>
      </c>
      <c r="O29" s="144">
        <f t="shared" si="13"/>
        <v>0</v>
      </c>
      <c r="P29" s="144">
        <f t="shared" si="13"/>
        <v>6.5554539127580622E-2</v>
      </c>
      <c r="Q29" s="7">
        <f>Q11/Q5</f>
        <v>6.1434872708544273E-2</v>
      </c>
      <c r="R29" s="144" t="e">
        <f t="shared" ref="R29:T29" si="14">R11/R5</f>
        <v>#DIV/0!</v>
      </c>
      <c r="S29" s="144" t="e">
        <f t="shared" si="14"/>
        <v>#DIV/0!</v>
      </c>
      <c r="T29" s="144" t="e">
        <f t="shared" si="14"/>
        <v>#DIV/0!</v>
      </c>
    </row>
    <row r="30" spans="2:20" x14ac:dyDescent="0.25">
      <c r="B30" t="s">
        <v>115</v>
      </c>
      <c r="C30" s="4"/>
      <c r="D30" s="4" t="e">
        <f>D3/C3-1</f>
        <v>#DIV/0!</v>
      </c>
      <c r="E30" s="7" t="e">
        <f>E3/D3-1</f>
        <v>#DIV/0!</v>
      </c>
      <c r="F30" s="4" t="e">
        <f>F3/E3-1</f>
        <v>#DIV/0!</v>
      </c>
      <c r="G30" s="4" t="e">
        <f>G3/F3-1</f>
        <v>#DIV/0!</v>
      </c>
      <c r="K30" s="4"/>
      <c r="L30" s="4"/>
      <c r="M30" s="4"/>
      <c r="N30" s="4"/>
      <c r="O30" s="4"/>
      <c r="P30" s="4"/>
      <c r="Q30" s="7"/>
      <c r="R30" s="4"/>
      <c r="S30" s="4"/>
      <c r="T30" s="4"/>
    </row>
    <row r="31" spans="2:20" x14ac:dyDescent="0.25">
      <c r="B31" t="s">
        <v>116</v>
      </c>
      <c r="C31" s="4"/>
      <c r="D31" s="4" t="e">
        <f>D4/C4-1</f>
        <v>#DIV/0!</v>
      </c>
      <c r="E31" s="7" t="e">
        <f>E4/D4-1</f>
        <v>#DIV/0!</v>
      </c>
      <c r="F31" s="4" t="e">
        <f>F4/E4-1</f>
        <v>#DIV/0!</v>
      </c>
      <c r="G31" s="4" t="e">
        <f>G4/F4-1</f>
        <v>#DIV/0!</v>
      </c>
      <c r="K31" s="4"/>
      <c r="L31" s="4"/>
      <c r="M31" s="4"/>
      <c r="N31" s="4"/>
      <c r="O31" s="4"/>
      <c r="P31" s="4"/>
      <c r="Q31" s="7"/>
      <c r="R31" s="4"/>
      <c r="S31" s="4"/>
      <c r="T31" s="4"/>
    </row>
    <row r="32" spans="2:20" x14ac:dyDescent="0.25">
      <c r="B32" t="s">
        <v>122</v>
      </c>
      <c r="C32" s="39" t="e">
        <f>C22/#REF!-1</f>
        <v>#DIV/0!</v>
      </c>
      <c r="D32" s="39" t="e">
        <f>D22/C22-1</f>
        <v>#DIV/0!</v>
      </c>
      <c r="E32" s="6" t="e">
        <f t="shared" ref="E32:G32" si="15">E22/D22-1</f>
        <v>#DIV/0!</v>
      </c>
      <c r="F32" s="39" t="e">
        <f t="shared" si="15"/>
        <v>#DIV/0!</v>
      </c>
      <c r="G32" s="39" t="e">
        <f t="shared" si="15"/>
        <v>#DIV/0!</v>
      </c>
      <c r="K32" s="4"/>
      <c r="L32" s="4"/>
      <c r="M32" s="4"/>
      <c r="N32" s="4"/>
      <c r="O32" s="4" t="e">
        <f t="shared" ref="O32" si="16">O20/K20-1</f>
        <v>#DIV/0!</v>
      </c>
      <c r="P32" s="4">
        <f t="shared" ref="P32" si="17">P20/L20-1</f>
        <v>-15.643258512286225</v>
      </c>
      <c r="Q32" s="7">
        <f t="shared" ref="Q32" si="18">Q20/M20-1</f>
        <v>2.0200997239281131</v>
      </c>
      <c r="R32" s="4">
        <f t="shared" ref="R32" si="19">R20/N20-1</f>
        <v>-1</v>
      </c>
      <c r="S32" s="4">
        <f t="shared" ref="S32" si="20">S20/O20-1</f>
        <v>-1</v>
      </c>
      <c r="T32" s="4">
        <f t="shared" ref="T32" si="21">T20/P20-1</f>
        <v>-1</v>
      </c>
    </row>
    <row r="36" spans="2:20" s="1" customFormat="1" x14ac:dyDescent="0.25">
      <c r="B36" s="1" t="s">
        <v>26</v>
      </c>
      <c r="C36" s="11">
        <f t="shared" ref="C36:G36" si="22">C37+C38-C58-C55</f>
        <v>0</v>
      </c>
      <c r="D36" s="11">
        <f t="shared" si="22"/>
        <v>0</v>
      </c>
      <c r="E36" s="14">
        <f t="shared" si="22"/>
        <v>1004.7569999999999</v>
      </c>
      <c r="F36" s="11">
        <f t="shared" si="22"/>
        <v>0</v>
      </c>
      <c r="G36" s="11">
        <f t="shared" si="22"/>
        <v>0</v>
      </c>
      <c r="K36" s="11">
        <f t="shared" ref="K36:M36" si="23">K37+K38-K58-K55</f>
        <v>0</v>
      </c>
      <c r="L36" s="11">
        <f t="shared" si="23"/>
        <v>0</v>
      </c>
      <c r="M36" s="11">
        <f t="shared" si="23"/>
        <v>0</v>
      </c>
      <c r="N36" s="11">
        <f>N37+N38-N58-N55</f>
        <v>1004.7569999999999</v>
      </c>
      <c r="O36" s="11">
        <f t="shared" ref="O36:T36" si="24">O37+O38-O58-O55</f>
        <v>0</v>
      </c>
      <c r="P36" s="11">
        <f t="shared" si="24"/>
        <v>1500.25</v>
      </c>
      <c r="Q36" s="14">
        <f t="shared" si="24"/>
        <v>2036.9499999999998</v>
      </c>
      <c r="R36" s="11">
        <f t="shared" si="24"/>
        <v>0</v>
      </c>
      <c r="S36" s="11">
        <f t="shared" si="24"/>
        <v>0</v>
      </c>
      <c r="T36" s="11">
        <f t="shared" si="24"/>
        <v>0</v>
      </c>
    </row>
    <row r="37" spans="2:20" x14ac:dyDescent="0.25">
      <c r="B37" t="s">
        <v>15</v>
      </c>
      <c r="C37" s="10"/>
      <c r="D37" s="10"/>
      <c r="E37" s="15">
        <v>750.98099999999999</v>
      </c>
      <c r="K37" s="10"/>
      <c r="L37" s="10"/>
      <c r="M37" s="10"/>
      <c r="N37" s="10">
        <f>E37</f>
        <v>750.98099999999999</v>
      </c>
      <c r="O37" s="10"/>
      <c r="P37" s="10">
        <v>1118.1189999999999</v>
      </c>
      <c r="Q37" s="15">
        <v>1348.9010000000001</v>
      </c>
      <c r="R37" s="10"/>
      <c r="S37" s="10"/>
      <c r="T37" s="10"/>
    </row>
    <row r="38" spans="2:20" x14ac:dyDescent="0.25">
      <c r="B38" t="s">
        <v>163</v>
      </c>
      <c r="C38" s="10"/>
      <c r="D38" s="10"/>
      <c r="E38" s="15">
        <v>294.49299999999999</v>
      </c>
      <c r="K38" s="10"/>
      <c r="L38" s="10"/>
      <c r="M38" s="10"/>
      <c r="N38" s="10">
        <f t="shared" ref="N38:N42" si="25">E38</f>
        <v>294.49299999999999</v>
      </c>
      <c r="O38" s="10"/>
      <c r="P38" s="10">
        <v>588.27099999999996</v>
      </c>
      <c r="Q38" s="15">
        <v>837.14300000000003</v>
      </c>
      <c r="R38" s="10"/>
      <c r="S38" s="10"/>
      <c r="T38" s="10"/>
    </row>
    <row r="39" spans="2:20" x14ac:dyDescent="0.25">
      <c r="B39" t="s">
        <v>162</v>
      </c>
      <c r="C39" s="10"/>
      <c r="D39" s="10"/>
      <c r="E39" s="15">
        <v>43918.572</v>
      </c>
      <c r="K39" s="10"/>
      <c r="L39" s="10"/>
      <c r="M39" s="10"/>
      <c r="N39" s="10">
        <f t="shared" si="25"/>
        <v>43918.572</v>
      </c>
      <c r="O39" s="10"/>
      <c r="P39" s="10">
        <v>61365.919999999998</v>
      </c>
      <c r="Q39" s="15">
        <v>73372.842999999993</v>
      </c>
      <c r="R39" s="10"/>
      <c r="S39" s="10"/>
      <c r="T39" s="10"/>
    </row>
    <row r="40" spans="2:20" x14ac:dyDescent="0.25">
      <c r="B40" t="s">
        <v>16</v>
      </c>
      <c r="C40" s="10"/>
      <c r="D40" s="10"/>
      <c r="E40" s="15">
        <v>6.4180000000000001</v>
      </c>
      <c r="K40" s="10"/>
      <c r="L40" s="10"/>
      <c r="M40" s="10"/>
      <c r="N40" s="10">
        <f t="shared" si="25"/>
        <v>6.4180000000000001</v>
      </c>
      <c r="O40" s="10"/>
      <c r="P40" s="10">
        <v>13.215</v>
      </c>
      <c r="Q40" s="15">
        <v>22.154</v>
      </c>
      <c r="R40" s="10"/>
      <c r="S40" s="10"/>
      <c r="T40" s="10"/>
    </row>
    <row r="41" spans="2:20" x14ac:dyDescent="0.25">
      <c r="B41" t="s">
        <v>164</v>
      </c>
      <c r="C41" s="10"/>
      <c r="D41" s="10"/>
      <c r="E41" s="15">
        <v>6.9569999999999999</v>
      </c>
      <c r="K41" s="10"/>
      <c r="L41" s="10"/>
      <c r="M41" s="10"/>
      <c r="N41" s="10">
        <f t="shared" si="25"/>
        <v>6.9569999999999999</v>
      </c>
      <c r="O41" s="10"/>
      <c r="P41" s="10"/>
      <c r="Q41" s="15">
        <v>1</v>
      </c>
      <c r="R41" s="10"/>
      <c r="S41" s="10"/>
      <c r="T41" s="10"/>
    </row>
    <row r="42" spans="2:20" x14ac:dyDescent="0.25">
      <c r="B42" t="s">
        <v>59</v>
      </c>
      <c r="C42" s="10"/>
      <c r="D42" s="10"/>
      <c r="E42" s="15">
        <v>187.52799999999999</v>
      </c>
      <c r="K42" s="10"/>
      <c r="L42" s="10"/>
      <c r="M42" s="10"/>
      <c r="N42" s="10">
        <f t="shared" si="25"/>
        <v>187.52799999999999</v>
      </c>
      <c r="O42" s="10"/>
      <c r="P42" s="10">
        <v>216.60400000000001</v>
      </c>
      <c r="Q42" s="15">
        <v>321.34300000000002</v>
      </c>
      <c r="R42" s="10"/>
      <c r="S42" s="10"/>
      <c r="T42" s="10"/>
    </row>
    <row r="43" spans="2:20" s="1" customFormat="1" x14ac:dyDescent="0.25">
      <c r="B43" s="1" t="s">
        <v>46</v>
      </c>
      <c r="C43" s="11">
        <f t="shared" ref="C43:D43" si="26">SUM(C37:C42)</f>
        <v>0</v>
      </c>
      <c r="D43" s="11">
        <f t="shared" si="26"/>
        <v>0</v>
      </c>
      <c r="E43" s="14">
        <f t="shared" ref="E43:G43" si="27">SUM(E37:E42)</f>
        <v>45164.949000000001</v>
      </c>
      <c r="F43" s="11">
        <f t="shared" si="27"/>
        <v>0</v>
      </c>
      <c r="G43" s="11">
        <f t="shared" si="27"/>
        <v>0</v>
      </c>
      <c r="K43" s="11">
        <f t="shared" ref="K43:M43" si="28">SUM(K37:K42)</f>
        <v>0</v>
      </c>
      <c r="L43" s="11">
        <f t="shared" si="28"/>
        <v>0</v>
      </c>
      <c r="M43" s="11">
        <f t="shared" si="28"/>
        <v>0</v>
      </c>
      <c r="N43" s="11">
        <f t="shared" ref="N43:P43" si="29">SUM(N37:N42)</f>
        <v>45164.949000000001</v>
      </c>
      <c r="O43" s="11">
        <f t="shared" si="29"/>
        <v>0</v>
      </c>
      <c r="P43" s="11">
        <f t="shared" si="29"/>
        <v>63302.128999999994</v>
      </c>
      <c r="Q43" s="14">
        <f t="shared" ref="Q43:T43" si="30">SUM(Q37:Q42)</f>
        <v>75903.383999999976</v>
      </c>
      <c r="R43" s="11">
        <f t="shared" si="30"/>
        <v>0</v>
      </c>
      <c r="S43" s="11">
        <f t="shared" si="30"/>
        <v>0</v>
      </c>
      <c r="T43" s="11">
        <f t="shared" si="30"/>
        <v>0</v>
      </c>
    </row>
    <row r="44" spans="2:20" x14ac:dyDescent="0.25">
      <c r="B44" t="s">
        <v>58</v>
      </c>
      <c r="C44" s="10"/>
      <c r="D44" s="10"/>
      <c r="E44" s="15">
        <v>3.5579999999999998</v>
      </c>
      <c r="F44" s="10"/>
      <c r="G44" s="10"/>
      <c r="K44" s="10"/>
      <c r="L44" s="10"/>
      <c r="M44" s="10"/>
      <c r="N44" s="10">
        <f t="shared" ref="N44:N51" si="31">E44</f>
        <v>3.5579999999999998</v>
      </c>
      <c r="O44" s="10"/>
      <c r="P44" s="10">
        <v>3.21</v>
      </c>
      <c r="Q44" s="15">
        <v>3.222</v>
      </c>
      <c r="R44" s="10"/>
      <c r="S44" s="10"/>
      <c r="T44" s="10"/>
    </row>
    <row r="45" spans="2:20" x14ac:dyDescent="0.25">
      <c r="B45" t="s">
        <v>165</v>
      </c>
      <c r="C45" s="10"/>
      <c r="D45" s="10"/>
      <c r="E45" s="15">
        <v>84.114000000000004</v>
      </c>
      <c r="F45" s="10"/>
      <c r="G45" s="10"/>
      <c r="K45" s="10"/>
      <c r="L45" s="10"/>
      <c r="M45" s="10"/>
      <c r="N45" s="10">
        <f t="shared" si="31"/>
        <v>84.114000000000004</v>
      </c>
      <c r="O45" s="10"/>
      <c r="P45" s="10">
        <v>83.793999999999997</v>
      </c>
      <c r="Q45" s="15">
        <v>81.781000000000006</v>
      </c>
      <c r="R45" s="10"/>
      <c r="S45" s="10"/>
      <c r="T45" s="10"/>
    </row>
    <row r="46" spans="2:20" x14ac:dyDescent="0.25">
      <c r="B46" t="s">
        <v>166</v>
      </c>
      <c r="C46" s="10"/>
      <c r="D46" s="10"/>
      <c r="E46" s="15">
        <v>18.681999999999999</v>
      </c>
      <c r="F46" s="10"/>
      <c r="G46" s="10"/>
      <c r="K46" s="10"/>
      <c r="L46" s="10"/>
      <c r="M46" s="10"/>
      <c r="N46" s="10">
        <f t="shared" si="31"/>
        <v>18.681999999999999</v>
      </c>
      <c r="O46" s="10"/>
      <c r="P46" s="10">
        <v>23.803999999999998</v>
      </c>
      <c r="Q46" s="15">
        <v>23.486000000000001</v>
      </c>
      <c r="R46" s="10"/>
      <c r="S46" s="10"/>
      <c r="T46" s="10"/>
    </row>
    <row r="47" spans="2:20" x14ac:dyDescent="0.25">
      <c r="B47" t="s">
        <v>167</v>
      </c>
      <c r="C47" s="10"/>
      <c r="D47" s="10"/>
      <c r="E47" s="15">
        <v>31.33</v>
      </c>
      <c r="F47" s="10"/>
      <c r="G47" s="10"/>
      <c r="K47" s="10"/>
      <c r="L47" s="10"/>
      <c r="M47" s="10"/>
      <c r="N47" s="10">
        <f t="shared" si="31"/>
        <v>31.33</v>
      </c>
      <c r="O47" s="10"/>
      <c r="P47" s="10">
        <v>35.113</v>
      </c>
      <c r="Q47" s="15">
        <v>51.55</v>
      </c>
      <c r="R47" s="10"/>
      <c r="S47" s="10"/>
      <c r="T47" s="10"/>
    </row>
    <row r="48" spans="2:20" s="1" customFormat="1" x14ac:dyDescent="0.25">
      <c r="B48" t="s">
        <v>17</v>
      </c>
      <c r="C48" s="10"/>
      <c r="D48" s="10"/>
      <c r="E48" s="15">
        <v>169.54400000000001</v>
      </c>
      <c r="F48" s="10"/>
      <c r="G48" s="10"/>
      <c r="K48" s="10"/>
      <c r="L48" s="10"/>
      <c r="M48" s="10"/>
      <c r="N48" s="10">
        <f t="shared" si="31"/>
        <v>169.54400000000001</v>
      </c>
      <c r="O48" s="10"/>
      <c r="P48" s="10">
        <v>266.38400000000001</v>
      </c>
      <c r="Q48" s="15">
        <v>266.38400000000001</v>
      </c>
      <c r="R48" s="10"/>
      <c r="S48" s="10"/>
      <c r="T48" s="10"/>
    </row>
    <row r="49" spans="2:20" s="1" customFormat="1" x14ac:dyDescent="0.25">
      <c r="B49" t="s">
        <v>60</v>
      </c>
      <c r="C49" s="10"/>
      <c r="D49" s="10"/>
      <c r="E49" s="15">
        <v>331.39400000000001</v>
      </c>
      <c r="F49" s="10"/>
      <c r="G49" s="10"/>
      <c r="K49" s="10"/>
      <c r="L49" s="10"/>
      <c r="M49" s="10"/>
      <c r="N49" s="10">
        <f t="shared" si="31"/>
        <v>331.39400000000001</v>
      </c>
      <c r="O49" s="10"/>
      <c r="P49" s="10">
        <v>396.96899999999999</v>
      </c>
      <c r="Q49" s="15">
        <v>411.99</v>
      </c>
      <c r="R49" s="10"/>
      <c r="S49" s="10"/>
      <c r="T49" s="10"/>
    </row>
    <row r="50" spans="2:20" s="1" customFormat="1" x14ac:dyDescent="0.25">
      <c r="B50" t="s">
        <v>168</v>
      </c>
      <c r="C50" s="10"/>
      <c r="D50" s="10"/>
      <c r="E50" s="15">
        <v>10.223000000000001</v>
      </c>
      <c r="F50" s="10"/>
      <c r="G50" s="10"/>
      <c r="K50" s="10"/>
      <c r="L50" s="10"/>
      <c r="M50" s="10"/>
      <c r="N50" s="10">
        <f t="shared" si="31"/>
        <v>10.223000000000001</v>
      </c>
      <c r="O50" s="10"/>
      <c r="P50" s="10">
        <v>17.472000000000001</v>
      </c>
      <c r="Q50" s="15">
        <v>13.414</v>
      </c>
      <c r="R50" s="10"/>
      <c r="S50" s="10"/>
      <c r="T50" s="10"/>
    </row>
    <row r="51" spans="2:20" s="1" customFormat="1" x14ac:dyDescent="0.25">
      <c r="B51" t="s">
        <v>169</v>
      </c>
      <c r="C51" s="10"/>
      <c r="D51" s="10"/>
      <c r="E51" s="15">
        <v>20.614999999999998</v>
      </c>
      <c r="F51" s="10"/>
      <c r="G51" s="10"/>
      <c r="K51" s="10"/>
      <c r="L51" s="10"/>
      <c r="M51" s="10"/>
      <c r="N51" s="10">
        <f t="shared" si="31"/>
        <v>20.614999999999998</v>
      </c>
      <c r="O51" s="10"/>
      <c r="P51" s="10">
        <v>24.632999999999999</v>
      </c>
      <c r="Q51" s="15">
        <v>25.797000000000001</v>
      </c>
      <c r="R51" s="10"/>
      <c r="S51" s="10"/>
      <c r="T51" s="10"/>
    </row>
    <row r="52" spans="2:20" x14ac:dyDescent="0.25">
      <c r="B52" s="1" t="s">
        <v>18</v>
      </c>
      <c r="C52" s="11">
        <f t="shared" ref="C52:M52" si="32">SUM(C43:C51)</f>
        <v>0</v>
      </c>
      <c r="D52" s="11">
        <f t="shared" si="32"/>
        <v>0</v>
      </c>
      <c r="E52" s="11">
        <f t="shared" si="32"/>
        <v>45834.409</v>
      </c>
      <c r="F52" s="11">
        <f t="shared" si="32"/>
        <v>0</v>
      </c>
      <c r="G52" s="11">
        <f t="shared" si="32"/>
        <v>0</v>
      </c>
      <c r="H52" s="11"/>
      <c r="I52" s="11"/>
      <c r="J52" s="11"/>
      <c r="K52" s="11">
        <f t="shared" si="32"/>
        <v>0</v>
      </c>
      <c r="L52" s="11">
        <f t="shared" si="32"/>
        <v>0</v>
      </c>
      <c r="M52" s="11">
        <f t="shared" si="32"/>
        <v>0</v>
      </c>
      <c r="N52" s="11">
        <f>SUM(N43:N51)</f>
        <v>45834.409</v>
      </c>
      <c r="O52" s="11">
        <f t="shared" ref="O52:S52" si="33">SUM(O43:O51)</f>
        <v>0</v>
      </c>
      <c r="P52" s="11">
        <f t="shared" si="33"/>
        <v>64153.507999999987</v>
      </c>
      <c r="Q52" s="11">
        <f t="shared" si="33"/>
        <v>76781.008000000002</v>
      </c>
      <c r="R52" s="11">
        <f t="shared" si="33"/>
        <v>0</v>
      </c>
      <c r="S52" s="11">
        <f t="shared" si="33"/>
        <v>0</v>
      </c>
      <c r="T52" s="11">
        <f>SUM(T43:T49)</f>
        <v>0</v>
      </c>
    </row>
    <row r="53" spans="2:20" x14ac:dyDescent="0.25">
      <c r="B53" t="s">
        <v>20</v>
      </c>
      <c r="C53" s="10"/>
      <c r="D53" s="10"/>
      <c r="E53" s="15">
        <v>287.00700000000001</v>
      </c>
      <c r="F53" s="10"/>
      <c r="G53" s="10"/>
      <c r="K53" s="10"/>
      <c r="L53" s="10"/>
      <c r="M53" s="10"/>
      <c r="N53" s="10">
        <f t="shared" ref="N53:N56" si="34">E53</f>
        <v>287.00700000000001</v>
      </c>
      <c r="O53" s="10"/>
      <c r="P53" s="10">
        <v>411.56</v>
      </c>
      <c r="Q53" s="15">
        <v>287.00700000000001</v>
      </c>
      <c r="R53" s="10"/>
      <c r="S53" s="10"/>
      <c r="T53" s="10"/>
    </row>
    <row r="54" spans="2:20" x14ac:dyDescent="0.25">
      <c r="B54" t="s">
        <v>170</v>
      </c>
      <c r="C54" s="10"/>
      <c r="D54" s="10"/>
      <c r="E54" s="15">
        <v>43727.362999999998</v>
      </c>
      <c r="F54" s="10"/>
      <c r="G54" s="10"/>
      <c r="K54" s="10"/>
      <c r="L54" s="10"/>
      <c r="M54" s="10"/>
      <c r="N54" s="10">
        <f t="shared" si="34"/>
        <v>43727.362999999998</v>
      </c>
      <c r="O54" s="10"/>
      <c r="P54" s="10">
        <v>61101.523000000001</v>
      </c>
      <c r="Q54" s="15">
        <v>73267.103000000003</v>
      </c>
      <c r="R54" s="10"/>
      <c r="S54" s="10"/>
      <c r="T54" s="10"/>
    </row>
    <row r="55" spans="2:20" x14ac:dyDescent="0.25">
      <c r="B55" t="s">
        <v>171</v>
      </c>
      <c r="C55" s="10"/>
      <c r="D55" s="10"/>
      <c r="E55" s="15"/>
      <c r="F55" s="10"/>
      <c r="G55" s="10"/>
      <c r="K55" s="10"/>
      <c r="L55" s="10"/>
      <c r="M55" s="10"/>
      <c r="N55" s="10">
        <f t="shared" si="34"/>
        <v>0</v>
      </c>
      <c r="O55" s="10"/>
      <c r="P55" s="10">
        <v>206.14</v>
      </c>
      <c r="Q55" s="15">
        <v>149.09399999999999</v>
      </c>
      <c r="R55" s="10"/>
      <c r="S55" s="10"/>
      <c r="T55" s="10"/>
    </row>
    <row r="56" spans="2:20" x14ac:dyDescent="0.25">
      <c r="B56" t="s">
        <v>172</v>
      </c>
      <c r="C56" s="10"/>
      <c r="D56" s="10"/>
      <c r="E56" s="15">
        <v>16.597000000000001</v>
      </c>
      <c r="F56" s="10"/>
      <c r="G56" s="10"/>
      <c r="K56" s="10"/>
      <c r="L56" s="10"/>
      <c r="M56" s="10"/>
      <c r="N56" s="10">
        <f t="shared" si="34"/>
        <v>16.597000000000001</v>
      </c>
      <c r="O56" s="10"/>
      <c r="P56" s="10">
        <v>11.211</v>
      </c>
      <c r="Q56" s="15">
        <v>16.603999999999999</v>
      </c>
      <c r="R56" s="10"/>
      <c r="S56" s="10"/>
      <c r="T56" s="10"/>
    </row>
    <row r="57" spans="2:20" s="1" customFormat="1" x14ac:dyDescent="0.25">
      <c r="B57" s="1" t="s">
        <v>47</v>
      </c>
      <c r="C57" s="11">
        <f>SUM(C53:C56)</f>
        <v>0</v>
      </c>
      <c r="D57" s="11">
        <f>SUM(D53:D56)</f>
        <v>0</v>
      </c>
      <c r="E57" s="14">
        <f>SUM(E53:E56)</f>
        <v>44030.966999999997</v>
      </c>
      <c r="F57" s="11">
        <f>SUM(F53:F56)</f>
        <v>0</v>
      </c>
      <c r="G57" s="11">
        <f>SUM(G53:G56)</f>
        <v>0</v>
      </c>
      <c r="K57" s="11">
        <f>SUM(K53:K56)</f>
        <v>0</v>
      </c>
      <c r="L57" s="11">
        <f>SUM(L53:L56)</f>
        <v>0</v>
      </c>
      <c r="M57" s="11">
        <f>SUM(M53:M56)</f>
        <v>0</v>
      </c>
      <c r="N57" s="11">
        <f>SUM(N53:N56)</f>
        <v>44030.966999999997</v>
      </c>
      <c r="O57" s="11">
        <f>SUM(O53:O56)</f>
        <v>0</v>
      </c>
      <c r="P57" s="11">
        <f>SUM(P53:P56)</f>
        <v>61730.434000000001</v>
      </c>
      <c r="Q57" s="14">
        <f>SUM(Q53:Q56)</f>
        <v>73719.808000000005</v>
      </c>
      <c r="R57" s="11">
        <f>SUM(R53:R56)</f>
        <v>0</v>
      </c>
      <c r="S57" s="11">
        <f>SUM(S53:S56)</f>
        <v>0</v>
      </c>
      <c r="T57" s="11">
        <f>SUM(T53:T56)</f>
        <v>0</v>
      </c>
    </row>
    <row r="58" spans="2:20" x14ac:dyDescent="0.25">
      <c r="B58" t="s">
        <v>171</v>
      </c>
      <c r="C58" s="10"/>
      <c r="D58" s="10"/>
      <c r="E58" s="15">
        <v>40.716999999999999</v>
      </c>
      <c r="F58" s="10"/>
      <c r="G58" s="10"/>
      <c r="K58" s="10"/>
      <c r="L58" s="10"/>
      <c r="M58" s="10"/>
      <c r="N58" s="10">
        <f t="shared" ref="N58:N61" si="35">E58</f>
        <v>40.716999999999999</v>
      </c>
      <c r="O58" s="10"/>
      <c r="P58" s="10">
        <v>0</v>
      </c>
      <c r="Q58" s="15">
        <v>0</v>
      </c>
      <c r="R58" s="10"/>
      <c r="S58" s="10"/>
      <c r="T58" s="10"/>
    </row>
    <row r="59" spans="2:20" x14ac:dyDescent="0.25">
      <c r="B59" t="s">
        <v>173</v>
      </c>
      <c r="C59" s="10"/>
      <c r="D59" s="10"/>
      <c r="E59" s="15">
        <v>29.559000000000001</v>
      </c>
      <c r="F59" s="10"/>
      <c r="G59" s="10"/>
      <c r="K59" s="10"/>
      <c r="L59" s="10"/>
      <c r="M59" s="10"/>
      <c r="N59" s="10">
        <f t="shared" si="35"/>
        <v>29.559000000000001</v>
      </c>
      <c r="O59" s="10"/>
      <c r="P59" s="10">
        <v>31.812000000000001</v>
      </c>
      <c r="Q59" s="15">
        <v>31.344999999999999</v>
      </c>
      <c r="R59" s="10"/>
      <c r="S59" s="10"/>
      <c r="T59" s="10"/>
    </row>
    <row r="60" spans="2:20" x14ac:dyDescent="0.25">
      <c r="B60" t="s">
        <v>174</v>
      </c>
      <c r="C60" s="10"/>
      <c r="D60" s="10"/>
      <c r="E60" s="15">
        <v>1.591</v>
      </c>
      <c r="F60" s="10"/>
      <c r="G60" s="10"/>
      <c r="K60" s="10"/>
      <c r="L60" s="10"/>
      <c r="M60" s="10"/>
      <c r="N60" s="10">
        <f t="shared" si="35"/>
        <v>1.591</v>
      </c>
      <c r="O60" s="10"/>
      <c r="P60" s="10">
        <v>0</v>
      </c>
      <c r="Q60" s="15">
        <v>0</v>
      </c>
      <c r="R60" s="10"/>
      <c r="S60" s="10"/>
      <c r="T60" s="10"/>
    </row>
    <row r="61" spans="2:20" x14ac:dyDescent="0.25">
      <c r="B61" t="s">
        <v>175</v>
      </c>
      <c r="C61" s="10"/>
      <c r="D61" s="10"/>
      <c r="E61" s="15">
        <v>21.280999999999999</v>
      </c>
      <c r="F61" s="10"/>
      <c r="G61" s="10"/>
      <c r="K61" s="10"/>
      <c r="L61" s="10"/>
      <c r="M61" s="10"/>
      <c r="N61" s="10">
        <f t="shared" si="35"/>
        <v>21.280999999999999</v>
      </c>
      <c r="O61" s="10"/>
      <c r="P61" s="10">
        <v>20.431000000000001</v>
      </c>
      <c r="Q61" s="15">
        <v>24.550999999999998</v>
      </c>
      <c r="R61" s="10"/>
      <c r="S61" s="10"/>
      <c r="T61" s="10"/>
    </row>
    <row r="62" spans="2:20" x14ac:dyDescent="0.25">
      <c r="B62" s="1" t="s">
        <v>19</v>
      </c>
      <c r="C62" s="11">
        <f>SUM(C57:C61)</f>
        <v>0</v>
      </c>
      <c r="D62" s="11">
        <f>SUM(D57:D61)</f>
        <v>0</v>
      </c>
      <c r="E62" s="14">
        <f t="shared" ref="E62:G62" si="36">SUM(E57:E61)</f>
        <v>44124.114999999998</v>
      </c>
      <c r="F62" s="11">
        <f t="shared" si="36"/>
        <v>0</v>
      </c>
      <c r="G62" s="11">
        <f t="shared" si="36"/>
        <v>0</v>
      </c>
      <c r="K62" s="11">
        <f t="shared" ref="K62:M62" si="37">SUM(K57:K61)</f>
        <v>0</v>
      </c>
      <c r="L62" s="11">
        <f t="shared" si="37"/>
        <v>0</v>
      </c>
      <c r="M62" s="11">
        <f t="shared" si="37"/>
        <v>0</v>
      </c>
      <c r="N62" s="11">
        <f t="shared" ref="N62:P62" si="38">SUM(N57:N61)</f>
        <v>44124.114999999998</v>
      </c>
      <c r="O62" s="11">
        <f t="shared" si="38"/>
        <v>0</v>
      </c>
      <c r="P62" s="11">
        <f t="shared" si="38"/>
        <v>61782.676999999996</v>
      </c>
      <c r="Q62" s="14">
        <f t="shared" ref="Q62:T62" si="39">SUM(Q57:Q61)</f>
        <v>73775.704000000012</v>
      </c>
      <c r="R62" s="11">
        <f t="shared" si="39"/>
        <v>0</v>
      </c>
      <c r="S62" s="11">
        <f t="shared" si="39"/>
        <v>0</v>
      </c>
      <c r="T62" s="11">
        <f t="shared" si="39"/>
        <v>0</v>
      </c>
    </row>
    <row r="63" spans="2:20" x14ac:dyDescent="0.25">
      <c r="B63" t="s">
        <v>61</v>
      </c>
      <c r="C63" s="10">
        <f>C52-C62</f>
        <v>0</v>
      </c>
      <c r="D63" s="10">
        <f>D52-D62</f>
        <v>0</v>
      </c>
      <c r="E63" s="15">
        <f>E52-E62</f>
        <v>1710.2940000000017</v>
      </c>
      <c r="F63" s="10">
        <f>F52-F62</f>
        <v>0</v>
      </c>
      <c r="G63" s="10">
        <f>G52-G62</f>
        <v>0</v>
      </c>
      <c r="K63" s="10">
        <f>K52-K62</f>
        <v>0</v>
      </c>
      <c r="L63" s="10">
        <f>L52-L62</f>
        <v>0</v>
      </c>
      <c r="M63" s="10">
        <f>M52-M62</f>
        <v>0</v>
      </c>
      <c r="N63" s="10">
        <f>N52-N62</f>
        <v>1710.2940000000017</v>
      </c>
      <c r="O63" s="10">
        <f>O52-O62</f>
        <v>0</v>
      </c>
      <c r="P63" s="10">
        <f>P52-P62</f>
        <v>2370.830999999991</v>
      </c>
      <c r="Q63" s="15">
        <f>Q52-Q62</f>
        <v>3005.3039999999892</v>
      </c>
      <c r="R63" s="10">
        <f>R52-R62</f>
        <v>0</v>
      </c>
      <c r="S63" s="10">
        <f>S52-S62</f>
        <v>0</v>
      </c>
      <c r="T63" s="10">
        <f>T52-T62</f>
        <v>0</v>
      </c>
    </row>
    <row r="65" spans="2:17" s="1" customFormat="1" x14ac:dyDescent="0.25">
      <c r="B65" s="1" t="s">
        <v>62</v>
      </c>
      <c r="C65" s="46"/>
      <c r="D65" s="118"/>
      <c r="E65" s="16"/>
      <c r="Q65" s="16"/>
    </row>
    <row r="83" spans="5:17" s="9" customFormat="1" x14ac:dyDescent="0.25">
      <c r="E83" s="41"/>
      <c r="Q83" s="41"/>
    </row>
    <row r="84" spans="5:17" s="1" customFormat="1" x14ac:dyDescent="0.25">
      <c r="E84" s="16"/>
      <c r="Q84" s="16"/>
    </row>
  </sheetData>
  <phoneticPr fontId="3" type="noConversion"/>
  <hyperlinks>
    <hyperlink ref="A1" location="Main!A1" display="Main" xr:uid="{A5C06EBA-D952-421E-93A2-3BF49E6344BF}"/>
  </hyperlink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670AE-D1F2-4470-937E-18BA568AD24E}">
  <dimension ref="A1:V10"/>
  <sheetViews>
    <sheetView workbookViewId="0">
      <selection activeCell="E33" sqref="E33"/>
    </sheetView>
  </sheetViews>
  <sheetFormatPr defaultRowHeight="15" x14ac:dyDescent="0.25"/>
  <cols>
    <col min="1" max="1" width="14.85546875" customWidth="1"/>
  </cols>
  <sheetData>
    <row r="1" spans="1:22" x14ac:dyDescent="0.25">
      <c r="B1" s="116">
        <v>45839</v>
      </c>
      <c r="C1" s="116">
        <v>45870</v>
      </c>
      <c r="D1" s="116">
        <v>45901</v>
      </c>
      <c r="E1" s="116">
        <v>45931</v>
      </c>
      <c r="F1" s="116">
        <v>45962</v>
      </c>
      <c r="G1" s="116">
        <v>45992</v>
      </c>
      <c r="H1" s="116">
        <v>46023</v>
      </c>
      <c r="I1" s="116"/>
      <c r="J1" s="116"/>
      <c r="K1" s="116"/>
      <c r="L1" s="116"/>
      <c r="M1" s="116"/>
      <c r="N1" s="116"/>
      <c r="O1" s="116"/>
      <c r="P1" s="116"/>
      <c r="Q1" s="116"/>
      <c r="R1" s="116"/>
      <c r="S1" s="116"/>
      <c r="T1" s="116"/>
      <c r="U1" s="116"/>
      <c r="V1" s="116"/>
    </row>
    <row r="2" spans="1:22" x14ac:dyDescent="0.25">
      <c r="A2" t="s">
        <v>124</v>
      </c>
      <c r="B2">
        <v>1</v>
      </c>
      <c r="C2">
        <v>3</v>
      </c>
      <c r="D2">
        <v>3</v>
      </c>
      <c r="E2">
        <v>4</v>
      </c>
      <c r="F2">
        <v>4</v>
      </c>
      <c r="G2">
        <v>4</v>
      </c>
    </row>
    <row r="3" spans="1:22" x14ac:dyDescent="0.25">
      <c r="A3" t="s">
        <v>125</v>
      </c>
      <c r="B3">
        <v>4</v>
      </c>
      <c r="C3">
        <v>5</v>
      </c>
      <c r="D3">
        <v>5</v>
      </c>
      <c r="E3">
        <v>8</v>
      </c>
      <c r="F3">
        <v>10</v>
      </c>
      <c r="G3">
        <v>9</v>
      </c>
    </row>
    <row r="4" spans="1:22" x14ac:dyDescent="0.25">
      <c r="A4" t="s">
        <v>126</v>
      </c>
      <c r="B4">
        <v>5</v>
      </c>
      <c r="C4">
        <v>5</v>
      </c>
      <c r="D4">
        <v>5</v>
      </c>
      <c r="E4">
        <v>4</v>
      </c>
      <c r="F4">
        <v>6</v>
      </c>
      <c r="G4">
        <v>8</v>
      </c>
    </row>
    <row r="5" spans="1:22" x14ac:dyDescent="0.25">
      <c r="A5" t="s">
        <v>127</v>
      </c>
      <c r="B5">
        <v>1</v>
      </c>
      <c r="C5">
        <v>1</v>
      </c>
      <c r="D5">
        <v>1</v>
      </c>
      <c r="E5">
        <v>1</v>
      </c>
      <c r="F5">
        <v>1</v>
      </c>
      <c r="G5">
        <v>2</v>
      </c>
    </row>
    <row r="8" spans="1:22" x14ac:dyDescent="0.25">
      <c r="A8" s="1" t="s">
        <v>128</v>
      </c>
    </row>
    <row r="9" spans="1:22" x14ac:dyDescent="0.25">
      <c r="A9" t="s">
        <v>187</v>
      </c>
      <c r="B9">
        <v>199</v>
      </c>
      <c r="C9">
        <v>180</v>
      </c>
      <c r="D9">
        <v>128</v>
      </c>
      <c r="E9">
        <v>138</v>
      </c>
      <c r="F9">
        <v>116</v>
      </c>
      <c r="G9">
        <v>84.35</v>
      </c>
    </row>
    <row r="10" spans="1:22" x14ac:dyDescent="0.25">
      <c r="A10" t="s">
        <v>188</v>
      </c>
      <c r="B10">
        <v>190</v>
      </c>
      <c r="C10">
        <v>175</v>
      </c>
      <c r="D10">
        <v>171</v>
      </c>
      <c r="E10">
        <v>171</v>
      </c>
      <c r="F10">
        <v>165</v>
      </c>
      <c r="G10">
        <v>145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03BE-2423-4BDB-9A98-002F9CED8953}">
  <dimension ref="A1"/>
  <sheetViews>
    <sheetView topLeftCell="A34" workbookViewId="0">
      <selection activeCell="X58" sqref="X58"/>
    </sheetView>
  </sheetViews>
  <sheetFormatPr defaultRowHeight="15" x14ac:dyDescent="0.25"/>
  <sheetData>
    <row r="1" spans="1:1" x14ac:dyDescent="0.25">
      <c r="A1" s="8" t="s">
        <v>25</v>
      </c>
    </row>
  </sheetData>
  <hyperlinks>
    <hyperlink ref="A1" location="Main!A1" display="Main" xr:uid="{58C3B527-2D5B-414E-8D16-78915C434B11}"/>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5735-5460-414D-B5FC-C83DFBD00ECA}">
  <dimension ref="A1:F10"/>
  <sheetViews>
    <sheetView workbookViewId="0">
      <selection activeCell="B11" sqref="B11"/>
    </sheetView>
  </sheetViews>
  <sheetFormatPr defaultRowHeight="15" x14ac:dyDescent="0.25"/>
  <cols>
    <col min="1" max="1" width="28.7109375" customWidth="1"/>
  </cols>
  <sheetData>
    <row r="1" spans="1:6" x14ac:dyDescent="0.25">
      <c r="B1" t="s">
        <v>120</v>
      </c>
      <c r="C1" t="s">
        <v>121</v>
      </c>
      <c r="D1" t="s">
        <v>130</v>
      </c>
      <c r="E1" t="s">
        <v>131</v>
      </c>
      <c r="F1" t="s">
        <v>132</v>
      </c>
    </row>
    <row r="2" spans="1:6" x14ac:dyDescent="0.25">
      <c r="A2" t="s">
        <v>192</v>
      </c>
    </row>
    <row r="3" spans="1:6" x14ac:dyDescent="0.25">
      <c r="A3" t="s">
        <v>193</v>
      </c>
      <c r="B3">
        <v>160</v>
      </c>
      <c r="C3">
        <v>185</v>
      </c>
      <c r="D3">
        <v>208</v>
      </c>
      <c r="E3">
        <v>223</v>
      </c>
      <c r="F3">
        <v>254</v>
      </c>
    </row>
    <row r="4" spans="1:6" x14ac:dyDescent="0.25">
      <c r="A4" t="s">
        <v>194</v>
      </c>
      <c r="B4">
        <v>1.3</v>
      </c>
      <c r="C4">
        <v>1.9</v>
      </c>
      <c r="D4">
        <v>2</v>
      </c>
      <c r="E4">
        <v>2.2000000000000002</v>
      </c>
      <c r="F4">
        <v>2.9</v>
      </c>
    </row>
    <row r="7" spans="1:6" x14ac:dyDescent="0.25">
      <c r="A7" t="s">
        <v>189</v>
      </c>
      <c r="F7">
        <v>73.7</v>
      </c>
    </row>
    <row r="8" spans="1:6" x14ac:dyDescent="0.25">
      <c r="A8" t="s">
        <v>190</v>
      </c>
      <c r="E8" s="141"/>
      <c r="F8" s="141">
        <v>4.2000000000000003E-2</v>
      </c>
    </row>
    <row r="9" spans="1:6" x14ac:dyDescent="0.25">
      <c r="A9" t="s">
        <v>191</v>
      </c>
      <c r="B9" s="4">
        <v>0.23</v>
      </c>
      <c r="C9" s="4">
        <v>0.24</v>
      </c>
      <c r="D9" s="4">
        <v>0.28999999999999998</v>
      </c>
      <c r="E9" s="4">
        <v>0.28000000000000003</v>
      </c>
      <c r="F9" s="4">
        <v>0.28999999999999998</v>
      </c>
    </row>
    <row r="10" spans="1:6" x14ac:dyDescent="0.25">
      <c r="A10" t="s">
        <v>195</v>
      </c>
      <c r="B10" s="4">
        <v>0.3</v>
      </c>
      <c r="C10" s="4">
        <v>0.33</v>
      </c>
      <c r="D10" s="4">
        <v>0.39</v>
      </c>
      <c r="E10" s="4">
        <v>0.36</v>
      </c>
      <c r="F10" s="4">
        <v>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C602-D7CA-409B-9962-CCABA92C723B}">
  <dimension ref="A1:M2067"/>
  <sheetViews>
    <sheetView workbookViewId="0">
      <selection activeCell="S9" sqref="S9"/>
    </sheetView>
  </sheetViews>
  <sheetFormatPr defaultRowHeight="15" x14ac:dyDescent="0.25"/>
  <cols>
    <col min="1" max="1" width="5.28515625" customWidth="1"/>
    <col min="2" max="2" width="11.7109375" customWidth="1"/>
    <col min="3" max="3" width="9.42578125" customWidth="1"/>
    <col min="5" max="5" width="12.140625" customWidth="1"/>
    <col min="6" max="6" width="17.28515625" customWidth="1"/>
    <col min="11" max="11" width="10.140625" bestFit="1" customWidth="1"/>
    <col min="13" max="13" width="12.42578125" customWidth="1"/>
    <col min="20" max="20" width="10.140625" customWidth="1"/>
  </cols>
  <sheetData>
    <row r="1" spans="1:13" x14ac:dyDescent="0.25">
      <c r="A1" s="8" t="s">
        <v>25</v>
      </c>
      <c r="B1" t="s">
        <v>36</v>
      </c>
      <c r="C1" s="17" t="s">
        <v>37</v>
      </c>
    </row>
    <row r="2" spans="1:13" x14ac:dyDescent="0.25">
      <c r="B2" s="12"/>
      <c r="C2" s="18"/>
      <c r="E2" t="s">
        <v>36</v>
      </c>
      <c r="F2" t="s">
        <v>38</v>
      </c>
      <c r="M2" t="s">
        <v>39</v>
      </c>
    </row>
    <row r="3" spans="1:13" x14ac:dyDescent="0.25">
      <c r="B3" s="12"/>
      <c r="C3" s="18"/>
      <c r="E3" s="12">
        <v>45328</v>
      </c>
      <c r="F3" t="s">
        <v>41</v>
      </c>
      <c r="M3" s="12"/>
    </row>
    <row r="4" spans="1:13" x14ac:dyDescent="0.25">
      <c r="B4" s="12"/>
      <c r="C4" s="18"/>
      <c r="E4" s="12">
        <v>45302</v>
      </c>
      <c r="F4" t="s">
        <v>41</v>
      </c>
      <c r="M4" s="12"/>
    </row>
    <row r="5" spans="1:13" x14ac:dyDescent="0.25">
      <c r="B5" s="12"/>
      <c r="C5" s="18"/>
      <c r="M5" s="12"/>
    </row>
    <row r="6" spans="1:13" x14ac:dyDescent="0.25">
      <c r="B6" s="12"/>
      <c r="C6" s="18"/>
      <c r="M6" s="12"/>
    </row>
    <row r="7" spans="1:13" x14ac:dyDescent="0.25">
      <c r="B7" s="12"/>
      <c r="C7" s="18"/>
      <c r="M7" s="12"/>
    </row>
    <row r="8" spans="1:13" x14ac:dyDescent="0.25">
      <c r="B8" s="12"/>
      <c r="C8" s="18"/>
      <c r="M8" s="12"/>
    </row>
    <row r="9" spans="1:13" x14ac:dyDescent="0.25">
      <c r="B9" s="12"/>
      <c r="C9" s="18"/>
      <c r="M9" s="12"/>
    </row>
    <row r="10" spans="1:13" x14ac:dyDescent="0.25">
      <c r="B10" s="12"/>
      <c r="C10" s="18"/>
      <c r="M10" s="12"/>
    </row>
    <row r="11" spans="1:13" x14ac:dyDescent="0.25">
      <c r="B11" s="12"/>
      <c r="C11" s="18"/>
      <c r="M11" s="12"/>
    </row>
    <row r="12" spans="1:13" x14ac:dyDescent="0.25">
      <c r="B12" s="12"/>
      <c r="C12" s="18"/>
      <c r="M12" s="12"/>
    </row>
    <row r="13" spans="1:13" x14ac:dyDescent="0.25">
      <c r="B13" s="12"/>
      <c r="C13" s="18"/>
    </row>
    <row r="14" spans="1:13" x14ac:dyDescent="0.25">
      <c r="B14" s="12"/>
      <c r="C14" s="18"/>
    </row>
    <row r="15" spans="1:13" x14ac:dyDescent="0.25">
      <c r="B15" s="12"/>
      <c r="C15" s="18"/>
    </row>
    <row r="16" spans="1:13" x14ac:dyDescent="0.25">
      <c r="B16" s="12"/>
      <c r="C16" s="18"/>
    </row>
    <row r="17" spans="2:3" x14ac:dyDescent="0.25">
      <c r="B17" s="12"/>
      <c r="C17" s="18"/>
    </row>
    <row r="18" spans="2:3" x14ac:dyDescent="0.25">
      <c r="B18" s="12"/>
      <c r="C18" s="18"/>
    </row>
    <row r="19" spans="2:3" x14ac:dyDescent="0.25">
      <c r="B19" s="12"/>
      <c r="C19" s="18"/>
    </row>
    <row r="20" spans="2:3" x14ac:dyDescent="0.25">
      <c r="B20" s="12"/>
      <c r="C20" s="18"/>
    </row>
    <row r="21" spans="2:3" x14ac:dyDescent="0.25">
      <c r="B21" s="12"/>
      <c r="C21" s="18"/>
    </row>
    <row r="22" spans="2:3" x14ac:dyDescent="0.25">
      <c r="B22" s="12"/>
      <c r="C22" s="18"/>
    </row>
    <row r="23" spans="2:3" x14ac:dyDescent="0.25">
      <c r="B23" s="12"/>
      <c r="C23" s="18"/>
    </row>
    <row r="24" spans="2:3" x14ac:dyDescent="0.25">
      <c r="B24" s="12"/>
      <c r="C24" s="18"/>
    </row>
    <row r="25" spans="2:3" x14ac:dyDescent="0.25">
      <c r="B25" s="12"/>
      <c r="C25" s="18"/>
    </row>
    <row r="26" spans="2:3" x14ac:dyDescent="0.25">
      <c r="B26" s="12"/>
      <c r="C26" s="18"/>
    </row>
    <row r="27" spans="2:3" x14ac:dyDescent="0.25">
      <c r="B27" s="12"/>
      <c r="C27" s="18"/>
    </row>
    <row r="28" spans="2:3" x14ac:dyDescent="0.25">
      <c r="B28" s="12"/>
      <c r="C28" s="18"/>
    </row>
    <row r="29" spans="2:3" x14ac:dyDescent="0.25">
      <c r="B29" s="12"/>
      <c r="C29" s="18"/>
    </row>
    <row r="30" spans="2:3" x14ac:dyDescent="0.25">
      <c r="B30" s="12"/>
      <c r="C30" s="18"/>
    </row>
    <row r="31" spans="2:3" x14ac:dyDescent="0.25">
      <c r="B31" s="12"/>
      <c r="C31" s="18"/>
    </row>
    <row r="32" spans="2:3" x14ac:dyDescent="0.25">
      <c r="B32" s="12"/>
      <c r="C32" s="18"/>
    </row>
    <row r="33" spans="2:3" x14ac:dyDescent="0.25">
      <c r="B33" s="12"/>
      <c r="C33" s="18"/>
    </row>
    <row r="34" spans="2:3" x14ac:dyDescent="0.25">
      <c r="B34" s="12"/>
      <c r="C34" s="18"/>
    </row>
    <row r="35" spans="2:3" x14ac:dyDescent="0.25">
      <c r="B35" s="12"/>
      <c r="C35" s="18"/>
    </row>
    <row r="36" spans="2:3" x14ac:dyDescent="0.25">
      <c r="B36" s="12"/>
      <c r="C36" s="18"/>
    </row>
    <row r="37" spans="2:3" x14ac:dyDescent="0.25">
      <c r="B37" s="12"/>
      <c r="C37" s="18"/>
    </row>
    <row r="38" spans="2:3" x14ac:dyDescent="0.25">
      <c r="B38" s="12"/>
      <c r="C38" s="18"/>
    </row>
    <row r="39" spans="2:3" x14ac:dyDescent="0.25">
      <c r="B39" s="12"/>
      <c r="C39" s="18"/>
    </row>
    <row r="40" spans="2:3" x14ac:dyDescent="0.25">
      <c r="B40" s="12"/>
      <c r="C40" s="18"/>
    </row>
    <row r="41" spans="2:3" x14ac:dyDescent="0.25">
      <c r="B41" s="12"/>
      <c r="C41" s="18"/>
    </row>
    <row r="42" spans="2:3" x14ac:dyDescent="0.25">
      <c r="B42" s="12"/>
      <c r="C42" s="18"/>
    </row>
    <row r="43" spans="2:3" x14ac:dyDescent="0.25">
      <c r="B43" s="12"/>
      <c r="C43" s="18"/>
    </row>
    <row r="44" spans="2:3" x14ac:dyDescent="0.25">
      <c r="B44" s="12"/>
      <c r="C44" s="18"/>
    </row>
    <row r="45" spans="2:3" x14ac:dyDescent="0.25">
      <c r="B45" s="12"/>
      <c r="C45" s="18"/>
    </row>
    <row r="46" spans="2:3" x14ac:dyDescent="0.25">
      <c r="B46" s="12"/>
      <c r="C46" s="18"/>
    </row>
    <row r="47" spans="2:3" x14ac:dyDescent="0.25">
      <c r="B47" s="12"/>
      <c r="C47" s="18"/>
    </row>
    <row r="48" spans="2:3" x14ac:dyDescent="0.25">
      <c r="B48" s="12"/>
      <c r="C48" s="18"/>
    </row>
    <row r="49" spans="2:3" x14ac:dyDescent="0.25">
      <c r="B49" s="12"/>
      <c r="C49" s="18"/>
    </row>
    <row r="50" spans="2:3" x14ac:dyDescent="0.25">
      <c r="B50" s="12"/>
      <c r="C50" s="18"/>
    </row>
    <row r="51" spans="2:3" x14ac:dyDescent="0.25">
      <c r="B51" s="12"/>
      <c r="C51" s="18"/>
    </row>
    <row r="52" spans="2:3" x14ac:dyDescent="0.25">
      <c r="B52" s="12"/>
      <c r="C52" s="18"/>
    </row>
    <row r="53" spans="2:3" x14ac:dyDescent="0.25">
      <c r="B53" s="12"/>
      <c r="C53" s="18"/>
    </row>
    <row r="54" spans="2:3" x14ac:dyDescent="0.25">
      <c r="B54" s="12"/>
      <c r="C54" s="18"/>
    </row>
    <row r="55" spans="2:3" x14ac:dyDescent="0.25">
      <c r="B55" s="12"/>
      <c r="C55" s="18"/>
    </row>
    <row r="56" spans="2:3" x14ac:dyDescent="0.25">
      <c r="B56" s="12"/>
      <c r="C56" s="18"/>
    </row>
    <row r="57" spans="2:3" x14ac:dyDescent="0.25">
      <c r="B57" s="12"/>
      <c r="C57" s="18"/>
    </row>
    <row r="58" spans="2:3" x14ac:dyDescent="0.25">
      <c r="B58" s="12"/>
      <c r="C58" s="18"/>
    </row>
    <row r="59" spans="2:3" x14ac:dyDescent="0.25">
      <c r="B59" s="12"/>
      <c r="C59" s="18"/>
    </row>
    <row r="60" spans="2:3" x14ac:dyDescent="0.25">
      <c r="B60" s="12"/>
      <c r="C60" s="18"/>
    </row>
    <row r="61" spans="2:3" x14ac:dyDescent="0.25">
      <c r="B61" s="12"/>
      <c r="C61" s="18"/>
    </row>
    <row r="62" spans="2:3" x14ac:dyDescent="0.25">
      <c r="B62" s="12"/>
      <c r="C62" s="18"/>
    </row>
    <row r="63" spans="2:3" x14ac:dyDescent="0.25">
      <c r="B63" s="12"/>
      <c r="C63" s="18"/>
    </row>
    <row r="64" spans="2:3" x14ac:dyDescent="0.25">
      <c r="B64" s="12"/>
      <c r="C64" s="18"/>
    </row>
    <row r="65" spans="2:3" x14ac:dyDescent="0.25">
      <c r="B65" s="12"/>
      <c r="C65" s="18"/>
    </row>
    <row r="66" spans="2:3" x14ac:dyDescent="0.25">
      <c r="B66" s="12"/>
      <c r="C66" s="18"/>
    </row>
    <row r="67" spans="2:3" x14ac:dyDescent="0.25">
      <c r="B67" s="12"/>
      <c r="C67" s="18"/>
    </row>
    <row r="68" spans="2:3" x14ac:dyDescent="0.25">
      <c r="B68" s="12"/>
      <c r="C68" s="18"/>
    </row>
    <row r="69" spans="2:3" x14ac:dyDescent="0.25">
      <c r="B69" s="12"/>
      <c r="C69" s="18"/>
    </row>
    <row r="70" spans="2:3" x14ac:dyDescent="0.25">
      <c r="B70" s="12"/>
      <c r="C70" s="18"/>
    </row>
    <row r="71" spans="2:3" x14ac:dyDescent="0.25">
      <c r="B71" s="12"/>
      <c r="C71" s="18"/>
    </row>
    <row r="72" spans="2:3" x14ac:dyDescent="0.25">
      <c r="B72" s="12"/>
      <c r="C72" s="18"/>
    </row>
    <row r="73" spans="2:3" x14ac:dyDescent="0.25">
      <c r="B73" s="12"/>
      <c r="C73" s="18"/>
    </row>
    <row r="74" spans="2:3" x14ac:dyDescent="0.25">
      <c r="B74" s="12"/>
      <c r="C74" s="18"/>
    </row>
    <row r="75" spans="2:3" x14ac:dyDescent="0.25">
      <c r="B75" s="12"/>
      <c r="C75" s="18"/>
    </row>
    <row r="76" spans="2:3" x14ac:dyDescent="0.25">
      <c r="B76" s="12"/>
      <c r="C76" s="18"/>
    </row>
    <row r="77" spans="2:3" x14ac:dyDescent="0.25">
      <c r="B77" s="12"/>
      <c r="C77" s="18"/>
    </row>
    <row r="78" spans="2:3" x14ac:dyDescent="0.25">
      <c r="B78" s="12"/>
      <c r="C78" s="18"/>
    </row>
    <row r="79" spans="2:3" x14ac:dyDescent="0.25">
      <c r="B79" s="12"/>
      <c r="C79" s="18"/>
    </row>
    <row r="80" spans="2:3" x14ac:dyDescent="0.25">
      <c r="B80" s="12"/>
      <c r="C80" s="18"/>
    </row>
    <row r="81" spans="2:3" x14ac:dyDescent="0.25">
      <c r="B81" s="12"/>
      <c r="C81" s="18"/>
    </row>
    <row r="82" spans="2:3" x14ac:dyDescent="0.25">
      <c r="B82" s="12"/>
      <c r="C82" s="18"/>
    </row>
    <row r="83" spans="2:3" x14ac:dyDescent="0.25">
      <c r="B83" s="12"/>
      <c r="C83" s="18"/>
    </row>
    <row r="84" spans="2:3" x14ac:dyDescent="0.25">
      <c r="B84" s="12"/>
      <c r="C84" s="18"/>
    </row>
    <row r="85" spans="2:3" x14ac:dyDescent="0.25">
      <c r="B85" s="12"/>
      <c r="C85" s="18"/>
    </row>
    <row r="86" spans="2:3" x14ac:dyDescent="0.25">
      <c r="B86" s="12"/>
      <c r="C86" s="18"/>
    </row>
    <row r="87" spans="2:3" x14ac:dyDescent="0.25">
      <c r="B87" s="12"/>
      <c r="C87" s="18"/>
    </row>
    <row r="88" spans="2:3" x14ac:dyDescent="0.25">
      <c r="B88" s="12"/>
      <c r="C88" s="18"/>
    </row>
    <row r="89" spans="2:3" x14ac:dyDescent="0.25">
      <c r="B89" s="12"/>
      <c r="C89" s="18"/>
    </row>
    <row r="90" spans="2:3" x14ac:dyDescent="0.25">
      <c r="B90" s="12"/>
      <c r="C90" s="18"/>
    </row>
    <row r="91" spans="2:3" x14ac:dyDescent="0.25">
      <c r="B91" s="12"/>
      <c r="C91" s="18"/>
    </row>
    <row r="92" spans="2:3" x14ac:dyDescent="0.25">
      <c r="B92" s="12"/>
      <c r="C92" s="18"/>
    </row>
    <row r="93" spans="2:3" x14ac:dyDescent="0.25">
      <c r="B93" s="12"/>
      <c r="C93" s="18"/>
    </row>
    <row r="94" spans="2:3" x14ac:dyDescent="0.25">
      <c r="B94" s="12"/>
      <c r="C94" s="18"/>
    </row>
    <row r="95" spans="2:3" x14ac:dyDescent="0.25">
      <c r="B95" s="12"/>
      <c r="C95" s="18"/>
    </row>
    <row r="96" spans="2:3" x14ac:dyDescent="0.25">
      <c r="B96" s="12"/>
      <c r="C96" s="18"/>
    </row>
    <row r="97" spans="2:3" x14ac:dyDescent="0.25">
      <c r="B97" s="12"/>
      <c r="C97" s="18"/>
    </row>
    <row r="98" spans="2:3" x14ac:dyDescent="0.25">
      <c r="B98" s="12"/>
      <c r="C98" s="18"/>
    </row>
    <row r="99" spans="2:3" x14ac:dyDescent="0.25">
      <c r="B99" s="12"/>
      <c r="C99" s="18"/>
    </row>
    <row r="100" spans="2:3" x14ac:dyDescent="0.25">
      <c r="B100" s="12"/>
      <c r="C100" s="18"/>
    </row>
    <row r="101" spans="2:3" x14ac:dyDescent="0.25">
      <c r="B101" s="12"/>
      <c r="C101" s="18"/>
    </row>
    <row r="102" spans="2:3" x14ac:dyDescent="0.25">
      <c r="B102" s="12"/>
      <c r="C102" s="18"/>
    </row>
    <row r="103" spans="2:3" x14ac:dyDescent="0.25">
      <c r="B103" s="12"/>
      <c r="C103" s="18"/>
    </row>
    <row r="104" spans="2:3" x14ac:dyDescent="0.25">
      <c r="B104" s="12"/>
      <c r="C104" s="18"/>
    </row>
    <row r="105" spans="2:3" x14ac:dyDescent="0.25">
      <c r="B105" s="12"/>
      <c r="C105" s="18"/>
    </row>
    <row r="106" spans="2:3" x14ac:dyDescent="0.25">
      <c r="B106" s="12"/>
      <c r="C106" s="18"/>
    </row>
    <row r="107" spans="2:3" x14ac:dyDescent="0.25">
      <c r="B107" s="12"/>
      <c r="C107" s="18"/>
    </row>
    <row r="108" spans="2:3" x14ac:dyDescent="0.25">
      <c r="B108" s="12"/>
      <c r="C108" s="18"/>
    </row>
    <row r="109" spans="2:3" x14ac:dyDescent="0.25">
      <c r="B109" s="12"/>
      <c r="C109" s="18"/>
    </row>
    <row r="110" spans="2:3" x14ac:dyDescent="0.25">
      <c r="B110" s="12"/>
      <c r="C110" s="18"/>
    </row>
    <row r="111" spans="2:3" x14ac:dyDescent="0.25">
      <c r="B111" s="12"/>
      <c r="C111" s="18"/>
    </row>
    <row r="112" spans="2:3" x14ac:dyDescent="0.25">
      <c r="B112" s="12"/>
      <c r="C112" s="18"/>
    </row>
    <row r="113" spans="2:3" x14ac:dyDescent="0.25">
      <c r="B113" s="12"/>
      <c r="C113" s="18"/>
    </row>
    <row r="114" spans="2:3" x14ac:dyDescent="0.25">
      <c r="B114" s="12"/>
      <c r="C114" s="18"/>
    </row>
    <row r="115" spans="2:3" x14ac:dyDescent="0.25">
      <c r="B115" s="12"/>
      <c r="C115" s="18"/>
    </row>
    <row r="116" spans="2:3" x14ac:dyDescent="0.25">
      <c r="B116" s="12"/>
      <c r="C116" s="18"/>
    </row>
    <row r="117" spans="2:3" x14ac:dyDescent="0.25">
      <c r="B117" s="12"/>
      <c r="C117" s="18"/>
    </row>
    <row r="118" spans="2:3" x14ac:dyDescent="0.25">
      <c r="B118" s="12"/>
      <c r="C118" s="18"/>
    </row>
    <row r="119" spans="2:3" x14ac:dyDescent="0.25">
      <c r="B119" s="12"/>
      <c r="C119" s="18"/>
    </row>
    <row r="120" spans="2:3" x14ac:dyDescent="0.25">
      <c r="B120" s="12"/>
      <c r="C120" s="18"/>
    </row>
    <row r="121" spans="2:3" x14ac:dyDescent="0.25">
      <c r="B121" s="12"/>
      <c r="C121" s="18"/>
    </row>
    <row r="122" spans="2:3" x14ac:dyDescent="0.25">
      <c r="B122" s="12"/>
      <c r="C122" s="18"/>
    </row>
    <row r="123" spans="2:3" x14ac:dyDescent="0.25">
      <c r="B123" s="12"/>
      <c r="C123" s="18"/>
    </row>
    <row r="124" spans="2:3" x14ac:dyDescent="0.25">
      <c r="B124" s="12"/>
      <c r="C124" s="18"/>
    </row>
    <row r="125" spans="2:3" x14ac:dyDescent="0.25">
      <c r="B125" s="12"/>
      <c r="C125" s="18"/>
    </row>
    <row r="126" spans="2:3" x14ac:dyDescent="0.25">
      <c r="B126" s="12"/>
      <c r="C126" s="18"/>
    </row>
    <row r="127" spans="2:3" x14ac:dyDescent="0.25">
      <c r="B127" s="12"/>
      <c r="C127" s="18"/>
    </row>
    <row r="128" spans="2:3" x14ac:dyDescent="0.25">
      <c r="B128" s="12"/>
      <c r="C128" s="18"/>
    </row>
    <row r="129" spans="2:3" x14ac:dyDescent="0.25">
      <c r="B129" s="12"/>
      <c r="C129" s="18"/>
    </row>
    <row r="130" spans="2:3" x14ac:dyDescent="0.25">
      <c r="B130" s="12"/>
      <c r="C130" s="18"/>
    </row>
    <row r="131" spans="2:3" x14ac:dyDescent="0.25">
      <c r="B131" s="12"/>
      <c r="C131" s="18"/>
    </row>
    <row r="132" spans="2:3" x14ac:dyDescent="0.25">
      <c r="B132" s="12"/>
      <c r="C132" s="18"/>
    </row>
    <row r="133" spans="2:3" x14ac:dyDescent="0.25">
      <c r="B133" s="12"/>
      <c r="C133" s="18"/>
    </row>
    <row r="134" spans="2:3" x14ac:dyDescent="0.25">
      <c r="B134" s="12"/>
      <c r="C134" s="18"/>
    </row>
    <row r="135" spans="2:3" x14ac:dyDescent="0.25">
      <c r="B135" s="12"/>
      <c r="C135" s="18"/>
    </row>
    <row r="136" spans="2:3" x14ac:dyDescent="0.25">
      <c r="B136" s="12"/>
      <c r="C136" s="18"/>
    </row>
    <row r="137" spans="2:3" x14ac:dyDescent="0.25">
      <c r="B137" s="12"/>
      <c r="C137" s="18"/>
    </row>
    <row r="138" spans="2:3" x14ac:dyDescent="0.25">
      <c r="B138" s="12"/>
      <c r="C138" s="18"/>
    </row>
    <row r="139" spans="2:3" x14ac:dyDescent="0.25">
      <c r="B139" s="12"/>
      <c r="C139" s="18"/>
    </row>
    <row r="140" spans="2:3" x14ac:dyDescent="0.25">
      <c r="B140" s="12"/>
      <c r="C140" s="18"/>
    </row>
    <row r="141" spans="2:3" x14ac:dyDescent="0.25">
      <c r="B141" s="12"/>
      <c r="C141" s="18"/>
    </row>
    <row r="142" spans="2:3" x14ac:dyDescent="0.25">
      <c r="B142" s="12"/>
      <c r="C142" s="18"/>
    </row>
    <row r="143" spans="2:3" x14ac:dyDescent="0.25">
      <c r="B143" s="12"/>
      <c r="C143" s="18"/>
    </row>
    <row r="144" spans="2:3" x14ac:dyDescent="0.25">
      <c r="B144" s="12"/>
      <c r="C144" s="18"/>
    </row>
    <row r="145" spans="2:3" x14ac:dyDescent="0.25">
      <c r="B145" s="12"/>
      <c r="C145" s="18"/>
    </row>
    <row r="146" spans="2:3" x14ac:dyDescent="0.25">
      <c r="B146" s="12"/>
      <c r="C146" s="18"/>
    </row>
    <row r="147" spans="2:3" x14ac:dyDescent="0.25">
      <c r="B147" s="12"/>
      <c r="C147" s="18"/>
    </row>
    <row r="148" spans="2:3" x14ac:dyDescent="0.25">
      <c r="B148" s="12"/>
      <c r="C148" s="18"/>
    </row>
    <row r="149" spans="2:3" x14ac:dyDescent="0.25">
      <c r="B149" s="12"/>
      <c r="C149" s="18"/>
    </row>
    <row r="150" spans="2:3" x14ac:dyDescent="0.25">
      <c r="B150" s="12"/>
      <c r="C150" s="18"/>
    </row>
    <row r="151" spans="2:3" x14ac:dyDescent="0.25">
      <c r="B151" s="12"/>
      <c r="C151" s="18"/>
    </row>
    <row r="152" spans="2:3" x14ac:dyDescent="0.25">
      <c r="B152" s="12"/>
      <c r="C152" s="18"/>
    </row>
    <row r="153" spans="2:3" x14ac:dyDescent="0.25">
      <c r="B153" s="12"/>
      <c r="C153" s="18"/>
    </row>
    <row r="154" spans="2:3" x14ac:dyDescent="0.25">
      <c r="B154" s="12"/>
      <c r="C154" s="18"/>
    </row>
    <row r="155" spans="2:3" x14ac:dyDescent="0.25">
      <c r="B155" s="12"/>
      <c r="C155" s="18"/>
    </row>
    <row r="156" spans="2:3" x14ac:dyDescent="0.25">
      <c r="B156" s="12"/>
      <c r="C156" s="18"/>
    </row>
    <row r="157" spans="2:3" x14ac:dyDescent="0.25">
      <c r="B157" s="12"/>
      <c r="C157" s="18"/>
    </row>
    <row r="158" spans="2:3" x14ac:dyDescent="0.25">
      <c r="B158" s="12"/>
      <c r="C158" s="18"/>
    </row>
    <row r="159" spans="2:3" x14ac:dyDescent="0.25">
      <c r="B159" s="12"/>
      <c r="C159" s="18"/>
    </row>
    <row r="160" spans="2:3" x14ac:dyDescent="0.25">
      <c r="B160" s="12"/>
      <c r="C160" s="18"/>
    </row>
    <row r="161" spans="2:3" x14ac:dyDescent="0.25">
      <c r="B161" s="12"/>
      <c r="C161" s="18"/>
    </row>
    <row r="162" spans="2:3" x14ac:dyDescent="0.25">
      <c r="B162" s="12"/>
      <c r="C162" s="18"/>
    </row>
    <row r="163" spans="2:3" x14ac:dyDescent="0.25">
      <c r="B163" s="12"/>
      <c r="C163" s="18"/>
    </row>
    <row r="164" spans="2:3" x14ac:dyDescent="0.25">
      <c r="B164" s="12"/>
      <c r="C164" s="18"/>
    </row>
    <row r="165" spans="2:3" x14ac:dyDescent="0.25">
      <c r="B165" s="12"/>
      <c r="C165" s="18"/>
    </row>
    <row r="166" spans="2:3" x14ac:dyDescent="0.25">
      <c r="B166" s="12"/>
      <c r="C166" s="18"/>
    </row>
    <row r="167" spans="2:3" x14ac:dyDescent="0.25">
      <c r="B167" s="12"/>
      <c r="C167" s="18"/>
    </row>
    <row r="168" spans="2:3" x14ac:dyDescent="0.25">
      <c r="B168" s="12"/>
      <c r="C168" s="18"/>
    </row>
    <row r="169" spans="2:3" x14ac:dyDescent="0.25">
      <c r="B169" s="12"/>
      <c r="C169" s="18"/>
    </row>
    <row r="170" spans="2:3" x14ac:dyDescent="0.25">
      <c r="B170" s="12"/>
      <c r="C170" s="18"/>
    </row>
    <row r="171" spans="2:3" x14ac:dyDescent="0.25">
      <c r="B171" s="12"/>
      <c r="C171" s="18"/>
    </row>
    <row r="172" spans="2:3" x14ac:dyDescent="0.25">
      <c r="B172" s="12"/>
      <c r="C172" s="18"/>
    </row>
    <row r="173" spans="2:3" x14ac:dyDescent="0.25">
      <c r="B173" s="12"/>
      <c r="C173" s="18"/>
    </row>
    <row r="174" spans="2:3" x14ac:dyDescent="0.25">
      <c r="B174" s="12"/>
      <c r="C174" s="18"/>
    </row>
    <row r="175" spans="2:3" x14ac:dyDescent="0.25">
      <c r="B175" s="12"/>
      <c r="C175" s="18"/>
    </row>
    <row r="176" spans="2:3" x14ac:dyDescent="0.25">
      <c r="B176" s="12"/>
      <c r="C176" s="18"/>
    </row>
    <row r="177" spans="2:3" x14ac:dyDescent="0.25">
      <c r="B177" s="12"/>
      <c r="C177" s="18"/>
    </row>
    <row r="178" spans="2:3" x14ac:dyDescent="0.25">
      <c r="B178" s="12"/>
      <c r="C178" s="18"/>
    </row>
    <row r="179" spans="2:3" x14ac:dyDescent="0.25">
      <c r="B179" s="12"/>
      <c r="C179" s="18"/>
    </row>
    <row r="180" spans="2:3" x14ac:dyDescent="0.25">
      <c r="B180" s="12"/>
      <c r="C180" s="18"/>
    </row>
    <row r="181" spans="2:3" x14ac:dyDescent="0.25">
      <c r="B181" s="12"/>
      <c r="C181" s="18"/>
    </row>
    <row r="182" spans="2:3" x14ac:dyDescent="0.25">
      <c r="B182" s="12"/>
      <c r="C182" s="18"/>
    </row>
    <row r="183" spans="2:3" x14ac:dyDescent="0.25">
      <c r="B183" s="12"/>
      <c r="C183" s="18"/>
    </row>
    <row r="184" spans="2:3" x14ac:dyDescent="0.25">
      <c r="B184" s="12"/>
      <c r="C184" s="18"/>
    </row>
    <row r="185" spans="2:3" x14ac:dyDescent="0.25">
      <c r="B185" s="12"/>
      <c r="C185" s="18"/>
    </row>
    <row r="186" spans="2:3" x14ac:dyDescent="0.25">
      <c r="B186" s="12"/>
      <c r="C186" s="18"/>
    </row>
    <row r="187" spans="2:3" x14ac:dyDescent="0.25">
      <c r="B187" s="12"/>
      <c r="C187" s="18"/>
    </row>
    <row r="188" spans="2:3" x14ac:dyDescent="0.25">
      <c r="B188" s="12"/>
      <c r="C188" s="18"/>
    </row>
    <row r="189" spans="2:3" x14ac:dyDescent="0.25">
      <c r="B189" s="12"/>
      <c r="C189" s="18"/>
    </row>
    <row r="190" spans="2:3" x14ac:dyDescent="0.25">
      <c r="B190" s="12"/>
      <c r="C190" s="18"/>
    </row>
    <row r="191" spans="2:3" x14ac:dyDescent="0.25">
      <c r="B191" s="12"/>
      <c r="C191" s="18"/>
    </row>
    <row r="192" spans="2:3" x14ac:dyDescent="0.25">
      <c r="B192" s="12"/>
      <c r="C192" s="18"/>
    </row>
    <row r="193" spans="2:3" x14ac:dyDescent="0.25">
      <c r="B193" s="12"/>
      <c r="C193" s="18"/>
    </row>
    <row r="194" spans="2:3" x14ac:dyDescent="0.25">
      <c r="B194" s="12"/>
      <c r="C194" s="18"/>
    </row>
    <row r="195" spans="2:3" x14ac:dyDescent="0.25">
      <c r="B195" s="12"/>
      <c r="C195" s="18"/>
    </row>
    <row r="196" spans="2:3" x14ac:dyDescent="0.25">
      <c r="B196" s="12"/>
      <c r="C196" s="18"/>
    </row>
    <row r="197" spans="2:3" x14ac:dyDescent="0.25">
      <c r="B197" s="12"/>
      <c r="C197" s="18"/>
    </row>
    <row r="198" spans="2:3" x14ac:dyDescent="0.25">
      <c r="B198" s="12"/>
      <c r="C198" s="18"/>
    </row>
    <row r="199" spans="2:3" x14ac:dyDescent="0.25">
      <c r="B199" s="12"/>
      <c r="C199" s="18"/>
    </row>
    <row r="200" spans="2:3" x14ac:dyDescent="0.25">
      <c r="B200" s="12"/>
      <c r="C200" s="18"/>
    </row>
    <row r="201" spans="2:3" x14ac:dyDescent="0.25">
      <c r="B201" s="12"/>
      <c r="C201" s="18"/>
    </row>
    <row r="202" spans="2:3" x14ac:dyDescent="0.25">
      <c r="B202" s="12"/>
      <c r="C202" s="18"/>
    </row>
    <row r="203" spans="2:3" x14ac:dyDescent="0.25">
      <c r="B203" s="12"/>
      <c r="C203" s="18"/>
    </row>
    <row r="204" spans="2:3" x14ac:dyDescent="0.25">
      <c r="B204" s="12"/>
      <c r="C204" s="18"/>
    </row>
    <row r="205" spans="2:3" x14ac:dyDescent="0.25">
      <c r="B205" s="12"/>
      <c r="C205" s="18"/>
    </row>
    <row r="206" spans="2:3" x14ac:dyDescent="0.25">
      <c r="B206" s="12"/>
      <c r="C206" s="18"/>
    </row>
    <row r="207" spans="2:3" x14ac:dyDescent="0.25">
      <c r="B207" s="12"/>
      <c r="C207" s="18"/>
    </row>
    <row r="208" spans="2:3" x14ac:dyDescent="0.25">
      <c r="B208" s="12"/>
      <c r="C208" s="18"/>
    </row>
    <row r="209" spans="2:3" x14ac:dyDescent="0.25">
      <c r="B209" s="12"/>
      <c r="C209" s="18"/>
    </row>
    <row r="210" spans="2:3" x14ac:dyDescent="0.25">
      <c r="B210" s="12"/>
      <c r="C210" s="18"/>
    </row>
    <row r="211" spans="2:3" x14ac:dyDescent="0.25">
      <c r="B211" s="12"/>
      <c r="C211" s="18"/>
    </row>
    <row r="212" spans="2:3" x14ac:dyDescent="0.25">
      <c r="B212" s="12"/>
      <c r="C212" s="18"/>
    </row>
    <row r="213" spans="2:3" x14ac:dyDescent="0.25">
      <c r="B213" s="12"/>
      <c r="C213" s="18"/>
    </row>
    <row r="214" spans="2:3" x14ac:dyDescent="0.25">
      <c r="B214" s="12"/>
      <c r="C214" s="18"/>
    </row>
    <row r="215" spans="2:3" x14ac:dyDescent="0.25">
      <c r="B215" s="12"/>
      <c r="C215" s="18"/>
    </row>
    <row r="216" spans="2:3" x14ac:dyDescent="0.25">
      <c r="B216" s="12"/>
      <c r="C216" s="18"/>
    </row>
    <row r="217" spans="2:3" x14ac:dyDescent="0.25">
      <c r="B217" s="12"/>
      <c r="C217" s="18"/>
    </row>
    <row r="218" spans="2:3" x14ac:dyDescent="0.25">
      <c r="B218" s="12"/>
      <c r="C218" s="18"/>
    </row>
    <row r="219" spans="2:3" x14ac:dyDescent="0.25">
      <c r="B219" s="12"/>
      <c r="C219" s="18"/>
    </row>
    <row r="220" spans="2:3" x14ac:dyDescent="0.25">
      <c r="B220" s="12"/>
      <c r="C220" s="18"/>
    </row>
    <row r="221" spans="2:3" x14ac:dyDescent="0.25">
      <c r="B221" s="12"/>
      <c r="C221" s="18"/>
    </row>
    <row r="222" spans="2:3" x14ac:dyDescent="0.25">
      <c r="B222" s="12"/>
      <c r="C222" s="18"/>
    </row>
    <row r="223" spans="2:3" x14ac:dyDescent="0.25">
      <c r="B223" s="12"/>
      <c r="C223" s="18"/>
    </row>
    <row r="224" spans="2:3" x14ac:dyDescent="0.25">
      <c r="B224" s="12"/>
      <c r="C224" s="18"/>
    </row>
    <row r="225" spans="2:3" x14ac:dyDescent="0.25">
      <c r="B225" s="12"/>
      <c r="C225" s="18"/>
    </row>
    <row r="226" spans="2:3" x14ac:dyDescent="0.25">
      <c r="B226" s="12"/>
      <c r="C226" s="18"/>
    </row>
    <row r="227" spans="2:3" x14ac:dyDescent="0.25">
      <c r="B227" s="12"/>
      <c r="C227" s="18"/>
    </row>
    <row r="228" spans="2:3" x14ac:dyDescent="0.25">
      <c r="B228" s="12"/>
      <c r="C228" s="18"/>
    </row>
    <row r="229" spans="2:3" x14ac:dyDescent="0.25">
      <c r="B229" s="12"/>
      <c r="C229" s="18"/>
    </row>
    <row r="230" spans="2:3" x14ac:dyDescent="0.25">
      <c r="B230" s="12"/>
      <c r="C230" s="18"/>
    </row>
    <row r="231" spans="2:3" x14ac:dyDescent="0.25">
      <c r="B231" s="12"/>
      <c r="C231" s="18"/>
    </row>
    <row r="232" spans="2:3" x14ac:dyDescent="0.25">
      <c r="B232" s="12"/>
      <c r="C232" s="18"/>
    </row>
    <row r="233" spans="2:3" x14ac:dyDescent="0.25">
      <c r="B233" s="12"/>
      <c r="C233" s="18"/>
    </row>
    <row r="234" spans="2:3" x14ac:dyDescent="0.25">
      <c r="B234" s="12"/>
      <c r="C234" s="18"/>
    </row>
    <row r="235" spans="2:3" x14ac:dyDescent="0.25">
      <c r="B235" s="12"/>
      <c r="C235" s="18"/>
    </row>
    <row r="236" spans="2:3" x14ac:dyDescent="0.25">
      <c r="B236" s="12"/>
      <c r="C236" s="18"/>
    </row>
    <row r="237" spans="2:3" x14ac:dyDescent="0.25">
      <c r="B237" s="12"/>
      <c r="C237" s="18"/>
    </row>
    <row r="238" spans="2:3" x14ac:dyDescent="0.25">
      <c r="B238" s="12"/>
      <c r="C238" s="18"/>
    </row>
    <row r="239" spans="2:3" x14ac:dyDescent="0.25">
      <c r="B239" s="12"/>
      <c r="C239" s="18"/>
    </row>
    <row r="240" spans="2:3" x14ac:dyDescent="0.25">
      <c r="B240" s="12"/>
      <c r="C240" s="18"/>
    </row>
    <row r="241" spans="2:3" x14ac:dyDescent="0.25">
      <c r="B241" s="12"/>
      <c r="C241" s="18"/>
    </row>
    <row r="242" spans="2:3" x14ac:dyDescent="0.25">
      <c r="B242" s="12"/>
      <c r="C242" s="18"/>
    </row>
    <row r="243" spans="2:3" x14ac:dyDescent="0.25">
      <c r="B243" s="12"/>
      <c r="C243" s="18"/>
    </row>
    <row r="244" spans="2:3" x14ac:dyDescent="0.25">
      <c r="B244" s="12"/>
      <c r="C244" s="18"/>
    </row>
    <row r="245" spans="2:3" x14ac:dyDescent="0.25">
      <c r="B245" s="12"/>
      <c r="C245" s="18"/>
    </row>
    <row r="246" spans="2:3" x14ac:dyDescent="0.25">
      <c r="B246" s="12"/>
      <c r="C246" s="18"/>
    </row>
    <row r="247" spans="2:3" x14ac:dyDescent="0.25">
      <c r="B247" s="12"/>
      <c r="C247" s="18"/>
    </row>
    <row r="248" spans="2:3" x14ac:dyDescent="0.25">
      <c r="B248" s="12"/>
      <c r="C248" s="18"/>
    </row>
    <row r="249" spans="2:3" x14ac:dyDescent="0.25">
      <c r="B249" s="12"/>
      <c r="C249" s="18"/>
    </row>
    <row r="250" spans="2:3" x14ac:dyDescent="0.25">
      <c r="B250" s="12"/>
      <c r="C250" s="18"/>
    </row>
    <row r="251" spans="2:3" x14ac:dyDescent="0.25">
      <c r="B251" s="12"/>
      <c r="C251" s="18"/>
    </row>
    <row r="252" spans="2:3" x14ac:dyDescent="0.25">
      <c r="B252" s="12"/>
      <c r="C252" s="18"/>
    </row>
    <row r="253" spans="2:3" x14ac:dyDescent="0.25">
      <c r="B253" s="12"/>
      <c r="C253" s="18"/>
    </row>
    <row r="254" spans="2:3" x14ac:dyDescent="0.25">
      <c r="B254" s="12"/>
      <c r="C254" s="18"/>
    </row>
    <row r="255" spans="2:3" x14ac:dyDescent="0.25">
      <c r="B255" s="12"/>
      <c r="C255" s="18"/>
    </row>
    <row r="256" spans="2:3" x14ac:dyDescent="0.25">
      <c r="B256" s="12"/>
      <c r="C256" s="18"/>
    </row>
    <row r="257" spans="2:3" x14ac:dyDescent="0.25">
      <c r="B257" s="12"/>
      <c r="C257" s="18"/>
    </row>
    <row r="258" spans="2:3" x14ac:dyDescent="0.25">
      <c r="B258" s="12"/>
      <c r="C258" s="18"/>
    </row>
    <row r="259" spans="2:3" x14ac:dyDescent="0.25">
      <c r="B259" s="12"/>
      <c r="C259" s="18"/>
    </row>
    <row r="260" spans="2:3" x14ac:dyDescent="0.25">
      <c r="B260" s="12"/>
      <c r="C260" s="18"/>
    </row>
    <row r="261" spans="2:3" x14ac:dyDescent="0.25">
      <c r="B261" s="12"/>
      <c r="C261" s="18"/>
    </row>
    <row r="262" spans="2:3" x14ac:dyDescent="0.25">
      <c r="B262" s="12"/>
      <c r="C262" s="18"/>
    </row>
    <row r="263" spans="2:3" x14ac:dyDescent="0.25">
      <c r="B263" s="12"/>
      <c r="C263" s="18"/>
    </row>
    <row r="264" spans="2:3" x14ac:dyDescent="0.25">
      <c r="B264" s="12"/>
      <c r="C264" s="18"/>
    </row>
    <row r="265" spans="2:3" x14ac:dyDescent="0.25">
      <c r="B265" s="12"/>
      <c r="C265" s="18"/>
    </row>
    <row r="266" spans="2:3" x14ac:dyDescent="0.25">
      <c r="B266" s="12"/>
      <c r="C266" s="18"/>
    </row>
    <row r="267" spans="2:3" x14ac:dyDescent="0.25">
      <c r="B267" s="12"/>
      <c r="C267" s="18"/>
    </row>
    <row r="268" spans="2:3" x14ac:dyDescent="0.25">
      <c r="B268" s="12"/>
      <c r="C268" s="18"/>
    </row>
    <row r="269" spans="2:3" x14ac:dyDescent="0.25">
      <c r="B269" s="12"/>
      <c r="C269" s="18"/>
    </row>
    <row r="270" spans="2:3" x14ac:dyDescent="0.25">
      <c r="B270" s="12"/>
      <c r="C270" s="18"/>
    </row>
    <row r="271" spans="2:3" x14ac:dyDescent="0.25">
      <c r="B271" s="12"/>
      <c r="C271" s="18"/>
    </row>
    <row r="272" spans="2:3" x14ac:dyDescent="0.25">
      <c r="B272" s="12"/>
      <c r="C272" s="18"/>
    </row>
    <row r="273" spans="2:3" x14ac:dyDescent="0.25">
      <c r="B273" s="12"/>
      <c r="C273" s="18"/>
    </row>
    <row r="274" spans="2:3" x14ac:dyDescent="0.25">
      <c r="B274" s="12"/>
      <c r="C274" s="18"/>
    </row>
    <row r="275" spans="2:3" x14ac:dyDescent="0.25">
      <c r="B275" s="12"/>
      <c r="C275" s="18"/>
    </row>
    <row r="276" spans="2:3" x14ac:dyDescent="0.25">
      <c r="B276" s="12"/>
      <c r="C276" s="18"/>
    </row>
    <row r="277" spans="2:3" x14ac:dyDescent="0.25">
      <c r="B277" s="12"/>
      <c r="C277" s="18"/>
    </row>
    <row r="278" spans="2:3" x14ac:dyDescent="0.25">
      <c r="B278" s="12"/>
      <c r="C278" s="18"/>
    </row>
    <row r="279" spans="2:3" x14ac:dyDescent="0.25">
      <c r="B279" s="12"/>
      <c r="C279" s="18"/>
    </row>
    <row r="280" spans="2:3" x14ac:dyDescent="0.25">
      <c r="B280" s="12"/>
      <c r="C280" s="18"/>
    </row>
    <row r="281" spans="2:3" x14ac:dyDescent="0.25">
      <c r="B281" s="12"/>
      <c r="C281" s="18"/>
    </row>
    <row r="282" spans="2:3" x14ac:dyDescent="0.25">
      <c r="B282" s="12"/>
      <c r="C282" s="18"/>
    </row>
    <row r="283" spans="2:3" x14ac:dyDescent="0.25">
      <c r="B283" s="12"/>
      <c r="C283" s="18"/>
    </row>
    <row r="284" spans="2:3" x14ac:dyDescent="0.25">
      <c r="B284" s="12"/>
      <c r="C284" s="18"/>
    </row>
    <row r="285" spans="2:3" x14ac:dyDescent="0.25">
      <c r="B285" s="12"/>
      <c r="C285" s="18"/>
    </row>
    <row r="286" spans="2:3" x14ac:dyDescent="0.25">
      <c r="B286" s="12"/>
      <c r="C286" s="18"/>
    </row>
    <row r="287" spans="2:3" x14ac:dyDescent="0.25">
      <c r="B287" s="12"/>
      <c r="C287" s="18"/>
    </row>
    <row r="288" spans="2:3" x14ac:dyDescent="0.25">
      <c r="B288" s="12"/>
      <c r="C288" s="18"/>
    </row>
    <row r="289" spans="2:3" x14ac:dyDescent="0.25">
      <c r="B289" s="12"/>
      <c r="C289" s="18"/>
    </row>
    <row r="290" spans="2:3" x14ac:dyDescent="0.25">
      <c r="B290" s="12"/>
      <c r="C290" s="18"/>
    </row>
    <row r="291" spans="2:3" x14ac:dyDescent="0.25">
      <c r="B291" s="12"/>
      <c r="C291" s="18"/>
    </row>
    <row r="292" spans="2:3" x14ac:dyDescent="0.25">
      <c r="B292" s="12"/>
      <c r="C292" s="18"/>
    </row>
    <row r="293" spans="2:3" x14ac:dyDescent="0.25">
      <c r="B293" s="12"/>
      <c r="C293" s="18"/>
    </row>
    <row r="294" spans="2:3" x14ac:dyDescent="0.25">
      <c r="B294" s="12"/>
      <c r="C294" s="18"/>
    </row>
    <row r="295" spans="2:3" x14ac:dyDescent="0.25">
      <c r="B295" s="12"/>
      <c r="C295" s="18"/>
    </row>
    <row r="296" spans="2:3" x14ac:dyDescent="0.25">
      <c r="B296" s="12"/>
      <c r="C296" s="18"/>
    </row>
    <row r="297" spans="2:3" x14ac:dyDescent="0.25">
      <c r="B297" s="12"/>
      <c r="C297" s="18"/>
    </row>
    <row r="298" spans="2:3" x14ac:dyDescent="0.25">
      <c r="B298" s="12"/>
      <c r="C298" s="18"/>
    </row>
    <row r="299" spans="2:3" x14ac:dyDescent="0.25">
      <c r="B299" s="12"/>
      <c r="C299" s="18"/>
    </row>
    <row r="300" spans="2:3" x14ac:dyDescent="0.25">
      <c r="B300" s="12"/>
      <c r="C300" s="18"/>
    </row>
    <row r="301" spans="2:3" x14ac:dyDescent="0.25">
      <c r="B301" s="12"/>
      <c r="C301" s="18"/>
    </row>
    <row r="302" spans="2:3" x14ac:dyDescent="0.25">
      <c r="B302" s="12"/>
      <c r="C302" s="18"/>
    </row>
    <row r="303" spans="2:3" x14ac:dyDescent="0.25">
      <c r="B303" s="12"/>
      <c r="C303" s="18"/>
    </row>
    <row r="304" spans="2:3" x14ac:dyDescent="0.25">
      <c r="B304" s="12"/>
      <c r="C304" s="18"/>
    </row>
    <row r="305" spans="2:3" x14ac:dyDescent="0.25">
      <c r="B305" s="12"/>
      <c r="C305" s="18"/>
    </row>
    <row r="306" spans="2:3" x14ac:dyDescent="0.25">
      <c r="B306" s="12"/>
      <c r="C306" s="18"/>
    </row>
    <row r="307" spans="2:3" x14ac:dyDescent="0.25">
      <c r="B307" s="12"/>
      <c r="C307" s="18"/>
    </row>
    <row r="308" spans="2:3" x14ac:dyDescent="0.25">
      <c r="B308" s="12"/>
      <c r="C308" s="18"/>
    </row>
    <row r="309" spans="2:3" x14ac:dyDescent="0.25">
      <c r="B309" s="12"/>
      <c r="C309" s="18"/>
    </row>
    <row r="310" spans="2:3" x14ac:dyDescent="0.25">
      <c r="B310" s="12"/>
      <c r="C310" s="18"/>
    </row>
    <row r="311" spans="2:3" x14ac:dyDescent="0.25">
      <c r="B311" s="12"/>
      <c r="C311" s="18"/>
    </row>
    <row r="312" spans="2:3" x14ac:dyDescent="0.25">
      <c r="B312" s="12"/>
      <c r="C312" s="18"/>
    </row>
    <row r="313" spans="2:3" x14ac:dyDescent="0.25">
      <c r="B313" s="12"/>
      <c r="C313" s="18"/>
    </row>
    <row r="314" spans="2:3" x14ac:dyDescent="0.25">
      <c r="B314" s="12"/>
      <c r="C314" s="18"/>
    </row>
    <row r="315" spans="2:3" x14ac:dyDescent="0.25">
      <c r="B315" s="12"/>
      <c r="C315" s="18"/>
    </row>
    <row r="316" spans="2:3" x14ac:dyDescent="0.25">
      <c r="B316" s="12"/>
      <c r="C316" s="18"/>
    </row>
    <row r="317" spans="2:3" x14ac:dyDescent="0.25">
      <c r="B317" s="12"/>
      <c r="C317" s="18"/>
    </row>
    <row r="318" spans="2:3" x14ac:dyDescent="0.25">
      <c r="B318" s="12"/>
      <c r="C318" s="18"/>
    </row>
    <row r="319" spans="2:3" x14ac:dyDescent="0.25">
      <c r="B319" s="12"/>
      <c r="C319" s="18"/>
    </row>
    <row r="320" spans="2:3" x14ac:dyDescent="0.25">
      <c r="B320" s="12"/>
      <c r="C320" s="18"/>
    </row>
    <row r="321" spans="2:3" x14ac:dyDescent="0.25">
      <c r="B321" s="12"/>
      <c r="C321" s="18"/>
    </row>
    <row r="322" spans="2:3" x14ac:dyDescent="0.25">
      <c r="B322" s="12"/>
      <c r="C322" s="18"/>
    </row>
    <row r="323" spans="2:3" x14ac:dyDescent="0.25">
      <c r="B323" s="12"/>
      <c r="C323" s="18"/>
    </row>
    <row r="324" spans="2:3" x14ac:dyDescent="0.25">
      <c r="B324" s="12"/>
      <c r="C324" s="18"/>
    </row>
    <row r="325" spans="2:3" x14ac:dyDescent="0.25">
      <c r="B325" s="12"/>
      <c r="C325" s="18"/>
    </row>
    <row r="326" spans="2:3" x14ac:dyDescent="0.25">
      <c r="B326" s="12"/>
      <c r="C326" s="18"/>
    </row>
    <row r="327" spans="2:3" x14ac:dyDescent="0.25">
      <c r="B327" s="12"/>
      <c r="C327" s="18"/>
    </row>
    <row r="328" spans="2:3" x14ac:dyDescent="0.25">
      <c r="B328" s="12"/>
      <c r="C328" s="18"/>
    </row>
    <row r="329" spans="2:3" x14ac:dyDescent="0.25">
      <c r="B329" s="12"/>
      <c r="C329" s="18"/>
    </row>
    <row r="330" spans="2:3" x14ac:dyDescent="0.25">
      <c r="B330" s="12"/>
      <c r="C330" s="18"/>
    </row>
    <row r="331" spans="2:3" x14ac:dyDescent="0.25">
      <c r="B331" s="12"/>
      <c r="C331" s="18"/>
    </row>
    <row r="332" spans="2:3" x14ac:dyDescent="0.25">
      <c r="B332" s="12"/>
      <c r="C332" s="18"/>
    </row>
    <row r="333" spans="2:3" x14ac:dyDescent="0.25">
      <c r="B333" s="12"/>
      <c r="C333" s="18"/>
    </row>
    <row r="334" spans="2:3" x14ac:dyDescent="0.25">
      <c r="B334" s="12"/>
      <c r="C334" s="18"/>
    </row>
    <row r="335" spans="2:3" x14ac:dyDescent="0.25">
      <c r="B335" s="12"/>
      <c r="C335" s="18"/>
    </row>
    <row r="336" spans="2:3" x14ac:dyDescent="0.25">
      <c r="B336" s="12"/>
      <c r="C336" s="18"/>
    </row>
    <row r="337" spans="2:3" x14ac:dyDescent="0.25">
      <c r="B337" s="12"/>
      <c r="C337" s="18"/>
    </row>
    <row r="338" spans="2:3" x14ac:dyDescent="0.25">
      <c r="B338" s="12"/>
      <c r="C338" s="18"/>
    </row>
    <row r="339" spans="2:3" x14ac:dyDescent="0.25">
      <c r="B339" s="12"/>
      <c r="C339" s="18"/>
    </row>
    <row r="340" spans="2:3" x14ac:dyDescent="0.25">
      <c r="B340" s="12"/>
      <c r="C340" s="18"/>
    </row>
    <row r="341" spans="2:3" x14ac:dyDescent="0.25">
      <c r="B341" s="12"/>
      <c r="C341" s="18"/>
    </row>
    <row r="342" spans="2:3" x14ac:dyDescent="0.25">
      <c r="B342" s="12"/>
      <c r="C342" s="18"/>
    </row>
    <row r="343" spans="2:3" x14ac:dyDescent="0.25">
      <c r="B343" s="12"/>
      <c r="C343" s="18"/>
    </row>
    <row r="344" spans="2:3" x14ac:dyDescent="0.25">
      <c r="B344" s="12"/>
      <c r="C344" s="18"/>
    </row>
    <row r="345" spans="2:3" x14ac:dyDescent="0.25">
      <c r="B345" s="12"/>
      <c r="C345" s="18"/>
    </row>
    <row r="346" spans="2:3" x14ac:dyDescent="0.25">
      <c r="B346" s="12"/>
      <c r="C346" s="18"/>
    </row>
    <row r="347" spans="2:3" x14ac:dyDescent="0.25">
      <c r="B347" s="12"/>
      <c r="C347" s="18"/>
    </row>
    <row r="348" spans="2:3" x14ac:dyDescent="0.25">
      <c r="B348" s="12"/>
      <c r="C348" s="18"/>
    </row>
    <row r="349" spans="2:3" x14ac:dyDescent="0.25">
      <c r="B349" s="12"/>
      <c r="C349" s="18"/>
    </row>
    <row r="350" spans="2:3" x14ac:dyDescent="0.25">
      <c r="B350" s="12"/>
      <c r="C350" s="18"/>
    </row>
    <row r="351" spans="2:3" x14ac:dyDescent="0.25">
      <c r="B351" s="12"/>
      <c r="C351" s="18"/>
    </row>
    <row r="352" spans="2:3" x14ac:dyDescent="0.25">
      <c r="B352" s="12"/>
      <c r="C352" s="18"/>
    </row>
    <row r="353" spans="2:3" x14ac:dyDescent="0.25">
      <c r="B353" s="12"/>
      <c r="C353" s="18"/>
    </row>
    <row r="354" spans="2:3" x14ac:dyDescent="0.25">
      <c r="B354" s="12"/>
      <c r="C354" s="18"/>
    </row>
    <row r="355" spans="2:3" x14ac:dyDescent="0.25">
      <c r="B355" s="12"/>
      <c r="C355" s="18"/>
    </row>
    <row r="356" spans="2:3" x14ac:dyDescent="0.25">
      <c r="B356" s="12"/>
      <c r="C356" s="18"/>
    </row>
    <row r="357" spans="2:3" x14ac:dyDescent="0.25">
      <c r="B357" s="12"/>
      <c r="C357" s="18"/>
    </row>
    <row r="358" spans="2:3" x14ac:dyDescent="0.25">
      <c r="B358" s="12"/>
      <c r="C358" s="18"/>
    </row>
    <row r="359" spans="2:3" x14ac:dyDescent="0.25">
      <c r="B359" s="12"/>
      <c r="C359" s="18"/>
    </row>
    <row r="360" spans="2:3" x14ac:dyDescent="0.25">
      <c r="B360" s="12"/>
      <c r="C360" s="18"/>
    </row>
    <row r="361" spans="2:3" x14ac:dyDescent="0.25">
      <c r="B361" s="12"/>
      <c r="C361" s="18"/>
    </row>
    <row r="362" spans="2:3" x14ac:dyDescent="0.25">
      <c r="B362" s="12"/>
      <c r="C362" s="18"/>
    </row>
    <row r="363" spans="2:3" x14ac:dyDescent="0.25">
      <c r="B363" s="12"/>
      <c r="C363" s="18"/>
    </row>
    <row r="364" spans="2:3" x14ac:dyDescent="0.25">
      <c r="B364" s="12"/>
      <c r="C364" s="18"/>
    </row>
    <row r="365" spans="2:3" x14ac:dyDescent="0.25">
      <c r="B365" s="12"/>
      <c r="C365" s="18"/>
    </row>
    <row r="366" spans="2:3" x14ac:dyDescent="0.25">
      <c r="B366" s="12"/>
      <c r="C366" s="18"/>
    </row>
    <row r="367" spans="2:3" x14ac:dyDescent="0.25">
      <c r="B367" s="12"/>
      <c r="C367" s="18"/>
    </row>
    <row r="368" spans="2:3" x14ac:dyDescent="0.25">
      <c r="B368" s="12"/>
      <c r="C368" s="18"/>
    </row>
    <row r="369" spans="2:3" x14ac:dyDescent="0.25">
      <c r="B369" s="12"/>
      <c r="C369" s="18"/>
    </row>
    <row r="370" spans="2:3" x14ac:dyDescent="0.25">
      <c r="B370" s="12"/>
      <c r="C370" s="18"/>
    </row>
    <row r="371" spans="2:3" x14ac:dyDescent="0.25">
      <c r="B371" s="12"/>
      <c r="C371" s="18"/>
    </row>
    <row r="372" spans="2:3" x14ac:dyDescent="0.25">
      <c r="B372" s="12"/>
      <c r="C372" s="18"/>
    </row>
    <row r="373" spans="2:3" x14ac:dyDescent="0.25">
      <c r="B373" s="12"/>
      <c r="C373" s="18"/>
    </row>
    <row r="374" spans="2:3" x14ac:dyDescent="0.25">
      <c r="B374" s="12"/>
      <c r="C374" s="18"/>
    </row>
    <row r="375" spans="2:3" x14ac:dyDescent="0.25">
      <c r="B375" s="12"/>
      <c r="C375" s="18"/>
    </row>
    <row r="376" spans="2:3" x14ac:dyDescent="0.25">
      <c r="B376" s="12"/>
      <c r="C376" s="18"/>
    </row>
    <row r="377" spans="2:3" x14ac:dyDescent="0.25">
      <c r="B377" s="12"/>
      <c r="C377" s="18"/>
    </row>
    <row r="378" spans="2:3" x14ac:dyDescent="0.25">
      <c r="B378" s="12"/>
      <c r="C378" s="18"/>
    </row>
    <row r="379" spans="2:3" x14ac:dyDescent="0.25">
      <c r="B379" s="12"/>
      <c r="C379" s="18"/>
    </row>
    <row r="380" spans="2:3" x14ac:dyDescent="0.25">
      <c r="B380" s="12"/>
      <c r="C380" s="18"/>
    </row>
    <row r="381" spans="2:3" x14ac:dyDescent="0.25">
      <c r="B381" s="12"/>
      <c r="C381" s="18"/>
    </row>
    <row r="382" spans="2:3" x14ac:dyDescent="0.25">
      <c r="B382" s="12"/>
      <c r="C382" s="18"/>
    </row>
    <row r="383" spans="2:3" x14ac:dyDescent="0.25">
      <c r="B383" s="12"/>
      <c r="C383" s="18"/>
    </row>
    <row r="384" spans="2:3" x14ac:dyDescent="0.25">
      <c r="B384" s="12"/>
      <c r="C384" s="18"/>
    </row>
    <row r="385" spans="2:3" x14ac:dyDescent="0.25">
      <c r="B385" s="12"/>
      <c r="C385" s="18"/>
    </row>
    <row r="386" spans="2:3" x14ac:dyDescent="0.25">
      <c r="B386" s="12"/>
      <c r="C386" s="18"/>
    </row>
    <row r="387" spans="2:3" x14ac:dyDescent="0.25">
      <c r="B387" s="12"/>
      <c r="C387" s="18"/>
    </row>
    <row r="388" spans="2:3" x14ac:dyDescent="0.25">
      <c r="B388" s="12"/>
      <c r="C388" s="18"/>
    </row>
    <row r="389" spans="2:3" x14ac:dyDescent="0.25">
      <c r="B389" s="12"/>
      <c r="C389" s="18"/>
    </row>
    <row r="390" spans="2:3" x14ac:dyDescent="0.25">
      <c r="B390" s="12"/>
      <c r="C390" s="18"/>
    </row>
    <row r="391" spans="2:3" x14ac:dyDescent="0.25">
      <c r="B391" s="12"/>
      <c r="C391" s="18"/>
    </row>
    <row r="392" spans="2:3" x14ac:dyDescent="0.25">
      <c r="B392" s="12"/>
      <c r="C392" s="18"/>
    </row>
    <row r="393" spans="2:3" x14ac:dyDescent="0.25">
      <c r="B393" s="12"/>
      <c r="C393" s="18"/>
    </row>
    <row r="394" spans="2:3" x14ac:dyDescent="0.25">
      <c r="B394" s="12"/>
      <c r="C394" s="18"/>
    </row>
    <row r="395" spans="2:3" x14ac:dyDescent="0.25">
      <c r="B395" s="12"/>
      <c r="C395" s="18"/>
    </row>
    <row r="396" spans="2:3" x14ac:dyDescent="0.25">
      <c r="B396" s="12"/>
      <c r="C396" s="18"/>
    </row>
    <row r="397" spans="2:3" x14ac:dyDescent="0.25">
      <c r="B397" s="12"/>
      <c r="C397" s="18"/>
    </row>
    <row r="398" spans="2:3" x14ac:dyDescent="0.25">
      <c r="B398" s="12"/>
      <c r="C398" s="18"/>
    </row>
    <row r="399" spans="2:3" x14ac:dyDescent="0.25">
      <c r="B399" s="12"/>
      <c r="C399" s="18"/>
    </row>
    <row r="400" spans="2:3" x14ac:dyDescent="0.25">
      <c r="B400" s="12"/>
      <c r="C400" s="18"/>
    </row>
    <row r="401" spans="2:3" x14ac:dyDescent="0.25">
      <c r="B401" s="12"/>
      <c r="C401" s="18"/>
    </row>
    <row r="402" spans="2:3" x14ac:dyDescent="0.25">
      <c r="B402" s="12"/>
      <c r="C402" s="18"/>
    </row>
    <row r="403" spans="2:3" x14ac:dyDescent="0.25">
      <c r="B403" s="12"/>
      <c r="C403" s="18"/>
    </row>
    <row r="404" spans="2:3" x14ac:dyDescent="0.25">
      <c r="B404" s="12"/>
      <c r="C404" s="18"/>
    </row>
    <row r="405" spans="2:3" x14ac:dyDescent="0.25">
      <c r="B405" s="12"/>
      <c r="C405" s="18"/>
    </row>
    <row r="406" spans="2:3" x14ac:dyDescent="0.25">
      <c r="B406" s="12"/>
      <c r="C406" s="18"/>
    </row>
    <row r="407" spans="2:3" x14ac:dyDescent="0.25">
      <c r="B407" s="12"/>
      <c r="C407" s="18"/>
    </row>
    <row r="408" spans="2:3" x14ac:dyDescent="0.25">
      <c r="B408" s="12"/>
      <c r="C408" s="18"/>
    </row>
    <row r="409" spans="2:3" x14ac:dyDescent="0.25">
      <c r="B409" s="12"/>
      <c r="C409" s="18"/>
    </row>
    <row r="410" spans="2:3" x14ac:dyDescent="0.25">
      <c r="B410" s="12"/>
      <c r="C410" s="18"/>
    </row>
    <row r="411" spans="2:3" x14ac:dyDescent="0.25">
      <c r="B411" s="12"/>
      <c r="C411" s="18"/>
    </row>
    <row r="412" spans="2:3" x14ac:dyDescent="0.25">
      <c r="B412" s="12"/>
      <c r="C412" s="18"/>
    </row>
    <row r="413" spans="2:3" x14ac:dyDescent="0.25">
      <c r="B413" s="12"/>
      <c r="C413" s="18"/>
    </row>
    <row r="414" spans="2:3" x14ac:dyDescent="0.25">
      <c r="B414" s="12"/>
      <c r="C414" s="18"/>
    </row>
    <row r="415" spans="2:3" x14ac:dyDescent="0.25">
      <c r="B415" s="12"/>
      <c r="C415" s="18"/>
    </row>
    <row r="416" spans="2:3" x14ac:dyDescent="0.25">
      <c r="B416" s="12"/>
      <c r="C416" s="18"/>
    </row>
    <row r="417" spans="2:3" x14ac:dyDescent="0.25">
      <c r="B417" s="12"/>
      <c r="C417" s="18"/>
    </row>
    <row r="418" spans="2:3" x14ac:dyDescent="0.25">
      <c r="B418" s="12"/>
      <c r="C418" s="18"/>
    </row>
    <row r="419" spans="2:3" x14ac:dyDescent="0.25">
      <c r="B419" s="12"/>
      <c r="C419" s="18"/>
    </row>
    <row r="420" spans="2:3" x14ac:dyDescent="0.25">
      <c r="B420" s="12"/>
      <c r="C420" s="18"/>
    </row>
    <row r="421" spans="2:3" x14ac:dyDescent="0.25">
      <c r="B421" s="12"/>
      <c r="C421" s="18"/>
    </row>
    <row r="422" spans="2:3" x14ac:dyDescent="0.25">
      <c r="B422" s="12"/>
      <c r="C422" s="18"/>
    </row>
    <row r="423" spans="2:3" x14ac:dyDescent="0.25">
      <c r="B423" s="12"/>
      <c r="C423" s="18"/>
    </row>
    <row r="424" spans="2:3" x14ac:dyDescent="0.25">
      <c r="B424" s="12"/>
      <c r="C424" s="18"/>
    </row>
    <row r="425" spans="2:3" x14ac:dyDescent="0.25">
      <c r="B425" s="12"/>
      <c r="C425" s="18"/>
    </row>
    <row r="426" spans="2:3" x14ac:dyDescent="0.25">
      <c r="B426" s="12"/>
      <c r="C426" s="18"/>
    </row>
    <row r="427" spans="2:3" x14ac:dyDescent="0.25">
      <c r="B427" s="12"/>
      <c r="C427" s="18"/>
    </row>
    <row r="428" spans="2:3" x14ac:dyDescent="0.25">
      <c r="B428" s="12"/>
      <c r="C428" s="18"/>
    </row>
    <row r="429" spans="2:3" x14ac:dyDescent="0.25">
      <c r="B429" s="12"/>
      <c r="C429" s="18"/>
    </row>
    <row r="430" spans="2:3" x14ac:dyDescent="0.25">
      <c r="B430" s="12"/>
      <c r="C430" s="18"/>
    </row>
    <row r="431" spans="2:3" x14ac:dyDescent="0.25">
      <c r="B431" s="12"/>
      <c r="C431" s="18"/>
    </row>
    <row r="432" spans="2:3" x14ac:dyDescent="0.25">
      <c r="B432" s="12"/>
      <c r="C432" s="18"/>
    </row>
    <row r="433" spans="2:3" x14ac:dyDescent="0.25">
      <c r="B433" s="12"/>
      <c r="C433" s="18"/>
    </row>
    <row r="434" spans="2:3" x14ac:dyDescent="0.25">
      <c r="B434" s="12"/>
      <c r="C434" s="18"/>
    </row>
    <row r="435" spans="2:3" x14ac:dyDescent="0.25">
      <c r="B435" s="12"/>
      <c r="C435" s="18"/>
    </row>
    <row r="436" spans="2:3" x14ac:dyDescent="0.25">
      <c r="B436" s="12"/>
      <c r="C436" s="18"/>
    </row>
    <row r="437" spans="2:3" x14ac:dyDescent="0.25">
      <c r="B437" s="12"/>
      <c r="C437" s="18"/>
    </row>
    <row r="438" spans="2:3" x14ac:dyDescent="0.25">
      <c r="B438" s="12"/>
      <c r="C438" s="18"/>
    </row>
    <row r="439" spans="2:3" x14ac:dyDescent="0.25">
      <c r="B439" s="12"/>
      <c r="C439" s="18"/>
    </row>
    <row r="440" spans="2:3" x14ac:dyDescent="0.25">
      <c r="B440" s="12"/>
      <c r="C440" s="18"/>
    </row>
    <row r="441" spans="2:3" x14ac:dyDescent="0.25">
      <c r="B441" s="12"/>
      <c r="C441" s="18"/>
    </row>
    <row r="442" spans="2:3" x14ac:dyDescent="0.25">
      <c r="B442" s="12"/>
      <c r="C442" s="18"/>
    </row>
    <row r="443" spans="2:3" x14ac:dyDescent="0.25">
      <c r="B443" s="12"/>
      <c r="C443" s="18"/>
    </row>
    <row r="444" spans="2:3" x14ac:dyDescent="0.25">
      <c r="B444" s="12"/>
      <c r="C444" s="18"/>
    </row>
    <row r="445" spans="2:3" x14ac:dyDescent="0.25">
      <c r="B445" s="12"/>
      <c r="C445" s="18"/>
    </row>
    <row r="446" spans="2:3" x14ac:dyDescent="0.25">
      <c r="B446" s="12"/>
      <c r="C446" s="18"/>
    </row>
    <row r="447" spans="2:3" x14ac:dyDescent="0.25">
      <c r="B447" s="12"/>
      <c r="C447" s="18"/>
    </row>
    <row r="448" spans="2:3" x14ac:dyDescent="0.25">
      <c r="B448" s="12"/>
      <c r="C448" s="18"/>
    </row>
    <row r="449" spans="2:3" x14ac:dyDescent="0.25">
      <c r="B449" s="12"/>
      <c r="C449" s="18"/>
    </row>
    <row r="450" spans="2:3" x14ac:dyDescent="0.25">
      <c r="B450" s="12"/>
      <c r="C450" s="18"/>
    </row>
    <row r="451" spans="2:3" x14ac:dyDescent="0.25">
      <c r="B451" s="12"/>
      <c r="C451" s="18"/>
    </row>
    <row r="452" spans="2:3" x14ac:dyDescent="0.25">
      <c r="B452" s="12"/>
      <c r="C452" s="18"/>
    </row>
    <row r="453" spans="2:3" x14ac:dyDescent="0.25">
      <c r="B453" s="12"/>
      <c r="C453" s="18"/>
    </row>
    <row r="454" spans="2:3" x14ac:dyDescent="0.25">
      <c r="B454" s="12"/>
      <c r="C454" s="18"/>
    </row>
    <row r="455" spans="2:3" x14ac:dyDescent="0.25">
      <c r="B455" s="12"/>
      <c r="C455" s="18"/>
    </row>
    <row r="456" spans="2:3" x14ac:dyDescent="0.25">
      <c r="B456" s="12"/>
      <c r="C456" s="18"/>
    </row>
    <row r="457" spans="2:3" x14ac:dyDescent="0.25">
      <c r="B457" s="12"/>
      <c r="C457" s="18"/>
    </row>
    <row r="458" spans="2:3" x14ac:dyDescent="0.25">
      <c r="B458" s="12"/>
      <c r="C458" s="18"/>
    </row>
    <row r="459" spans="2:3" x14ac:dyDescent="0.25">
      <c r="B459" s="12"/>
      <c r="C459" s="18"/>
    </row>
    <row r="460" spans="2:3" x14ac:dyDescent="0.25">
      <c r="B460" s="12"/>
      <c r="C460" s="18"/>
    </row>
    <row r="461" spans="2:3" x14ac:dyDescent="0.25">
      <c r="B461" s="12"/>
      <c r="C461" s="18"/>
    </row>
    <row r="462" spans="2:3" x14ac:dyDescent="0.25">
      <c r="B462" s="12"/>
      <c r="C462" s="18"/>
    </row>
    <row r="463" spans="2:3" x14ac:dyDescent="0.25">
      <c r="B463" s="12"/>
      <c r="C463" s="18"/>
    </row>
    <row r="464" spans="2:3" x14ac:dyDescent="0.25">
      <c r="B464" s="12"/>
      <c r="C464" s="18"/>
    </row>
    <row r="465" spans="2:3" x14ac:dyDescent="0.25">
      <c r="B465" s="12"/>
      <c r="C465" s="18"/>
    </row>
    <row r="466" spans="2:3" x14ac:dyDescent="0.25">
      <c r="B466" s="12"/>
      <c r="C466" s="18"/>
    </row>
    <row r="467" spans="2:3" x14ac:dyDescent="0.25">
      <c r="B467" s="12"/>
      <c r="C467" s="18"/>
    </row>
    <row r="468" spans="2:3" x14ac:dyDescent="0.25">
      <c r="B468" s="12"/>
      <c r="C468" s="18"/>
    </row>
    <row r="469" spans="2:3" x14ac:dyDescent="0.25">
      <c r="B469" s="12"/>
      <c r="C469" s="18"/>
    </row>
    <row r="470" spans="2:3" x14ac:dyDescent="0.25">
      <c r="B470" s="12"/>
      <c r="C470" s="18"/>
    </row>
    <row r="471" spans="2:3" x14ac:dyDescent="0.25">
      <c r="B471" s="12"/>
      <c r="C471" s="18"/>
    </row>
    <row r="472" spans="2:3" x14ac:dyDescent="0.25">
      <c r="B472" s="12"/>
      <c r="C472" s="18"/>
    </row>
    <row r="473" spans="2:3" x14ac:dyDescent="0.25">
      <c r="B473" s="12"/>
      <c r="C473" s="18"/>
    </row>
    <row r="474" spans="2:3" x14ac:dyDescent="0.25">
      <c r="B474" s="12"/>
      <c r="C474" s="18"/>
    </row>
    <row r="475" spans="2:3" x14ac:dyDescent="0.25">
      <c r="B475" s="12"/>
      <c r="C475" s="18"/>
    </row>
    <row r="476" spans="2:3" x14ac:dyDescent="0.25">
      <c r="B476" s="12"/>
      <c r="C476" s="18"/>
    </row>
    <row r="477" spans="2:3" x14ac:dyDescent="0.25">
      <c r="B477" s="12"/>
      <c r="C477" s="18"/>
    </row>
    <row r="478" spans="2:3" x14ac:dyDescent="0.25">
      <c r="B478" s="12"/>
      <c r="C478" s="18"/>
    </row>
    <row r="479" spans="2:3" x14ac:dyDescent="0.25">
      <c r="B479" s="12"/>
      <c r="C479" s="18"/>
    </row>
    <row r="480" spans="2:3" x14ac:dyDescent="0.25">
      <c r="B480" s="12"/>
      <c r="C480" s="18"/>
    </row>
    <row r="481" spans="2:3" x14ac:dyDescent="0.25">
      <c r="B481" s="12"/>
      <c r="C481" s="18"/>
    </row>
    <row r="482" spans="2:3" x14ac:dyDescent="0.25">
      <c r="B482" s="12"/>
      <c r="C482" s="18"/>
    </row>
    <row r="483" spans="2:3" x14ac:dyDescent="0.25">
      <c r="B483" s="12"/>
      <c r="C483" s="18"/>
    </row>
    <row r="484" spans="2:3" x14ac:dyDescent="0.25">
      <c r="B484" s="12"/>
      <c r="C484" s="18"/>
    </row>
    <row r="485" spans="2:3" x14ac:dyDescent="0.25">
      <c r="B485" s="12"/>
      <c r="C485" s="18"/>
    </row>
    <row r="486" spans="2:3" x14ac:dyDescent="0.25">
      <c r="B486" s="12"/>
      <c r="C486" s="18"/>
    </row>
    <row r="487" spans="2:3" x14ac:dyDescent="0.25">
      <c r="B487" s="12"/>
      <c r="C487" s="18"/>
    </row>
    <row r="488" spans="2:3" x14ac:dyDescent="0.25">
      <c r="B488" s="12"/>
      <c r="C488" s="18"/>
    </row>
    <row r="489" spans="2:3" x14ac:dyDescent="0.25">
      <c r="B489" s="12"/>
      <c r="C489" s="18"/>
    </row>
    <row r="490" spans="2:3" x14ac:dyDescent="0.25">
      <c r="B490" s="12"/>
      <c r="C490" s="18"/>
    </row>
    <row r="491" spans="2:3" x14ac:dyDescent="0.25">
      <c r="B491" s="12"/>
      <c r="C491" s="18"/>
    </row>
    <row r="492" spans="2:3" x14ac:dyDescent="0.25">
      <c r="B492" s="12"/>
      <c r="C492" s="18"/>
    </row>
    <row r="493" spans="2:3" x14ac:dyDescent="0.25">
      <c r="B493" s="12"/>
      <c r="C493" s="18"/>
    </row>
    <row r="494" spans="2:3" x14ac:dyDescent="0.25">
      <c r="B494" s="12"/>
      <c r="C494" s="18"/>
    </row>
    <row r="495" spans="2:3" x14ac:dyDescent="0.25">
      <c r="B495" s="12"/>
      <c r="C495" s="18"/>
    </row>
    <row r="496" spans="2:3" x14ac:dyDescent="0.25">
      <c r="B496" s="12"/>
      <c r="C496" s="18"/>
    </row>
    <row r="497" spans="2:3" x14ac:dyDescent="0.25">
      <c r="B497" s="12"/>
      <c r="C497" s="18"/>
    </row>
    <row r="498" spans="2:3" x14ac:dyDescent="0.25">
      <c r="B498" s="12"/>
      <c r="C498" s="18"/>
    </row>
    <row r="499" spans="2:3" x14ac:dyDescent="0.25">
      <c r="B499" s="12"/>
      <c r="C499" s="18"/>
    </row>
    <row r="500" spans="2:3" x14ac:dyDescent="0.25">
      <c r="B500" s="12"/>
      <c r="C500" s="18"/>
    </row>
    <row r="501" spans="2:3" x14ac:dyDescent="0.25">
      <c r="B501" s="12"/>
      <c r="C501" s="18"/>
    </row>
    <row r="502" spans="2:3" x14ac:dyDescent="0.25">
      <c r="B502" s="12"/>
      <c r="C502" s="18"/>
    </row>
    <row r="503" spans="2:3" x14ac:dyDescent="0.25">
      <c r="B503" s="12"/>
      <c r="C503" s="18"/>
    </row>
    <row r="504" spans="2:3" x14ac:dyDescent="0.25">
      <c r="B504" s="12"/>
      <c r="C504" s="18"/>
    </row>
    <row r="505" spans="2:3" x14ac:dyDescent="0.25">
      <c r="B505" s="12"/>
      <c r="C505" s="18"/>
    </row>
    <row r="506" spans="2:3" x14ac:dyDescent="0.25">
      <c r="B506" s="12"/>
      <c r="C506" s="18"/>
    </row>
    <row r="507" spans="2:3" x14ac:dyDescent="0.25">
      <c r="B507" s="12"/>
      <c r="C507" s="18"/>
    </row>
    <row r="508" spans="2:3" x14ac:dyDescent="0.25">
      <c r="B508" s="12"/>
      <c r="C508" s="18"/>
    </row>
    <row r="509" spans="2:3" x14ac:dyDescent="0.25">
      <c r="B509" s="12"/>
      <c r="C509" s="18"/>
    </row>
    <row r="510" spans="2:3" x14ac:dyDescent="0.25">
      <c r="B510" s="12"/>
      <c r="C510" s="18"/>
    </row>
    <row r="511" spans="2:3" x14ac:dyDescent="0.25">
      <c r="B511" s="12"/>
      <c r="C511" s="18"/>
    </row>
    <row r="512" spans="2:3" x14ac:dyDescent="0.25">
      <c r="B512" s="12"/>
      <c r="C512" s="18"/>
    </row>
    <row r="513" spans="2:3" x14ac:dyDescent="0.25">
      <c r="B513" s="12"/>
      <c r="C513" s="18"/>
    </row>
    <row r="514" spans="2:3" x14ac:dyDescent="0.25">
      <c r="B514" s="12"/>
      <c r="C514" s="18"/>
    </row>
    <row r="515" spans="2:3" x14ac:dyDescent="0.25">
      <c r="B515" s="12"/>
      <c r="C515" s="18"/>
    </row>
    <row r="516" spans="2:3" x14ac:dyDescent="0.25">
      <c r="B516" s="12"/>
      <c r="C516" s="18"/>
    </row>
    <row r="517" spans="2:3" x14ac:dyDescent="0.25">
      <c r="B517" s="12"/>
      <c r="C517" s="18"/>
    </row>
    <row r="518" spans="2:3" x14ac:dyDescent="0.25">
      <c r="B518" s="12"/>
      <c r="C518" s="18"/>
    </row>
    <row r="519" spans="2:3" x14ac:dyDescent="0.25">
      <c r="B519" s="12"/>
      <c r="C519" s="18"/>
    </row>
    <row r="520" spans="2:3" x14ac:dyDescent="0.25">
      <c r="B520" s="12"/>
      <c r="C520" s="18"/>
    </row>
    <row r="521" spans="2:3" x14ac:dyDescent="0.25">
      <c r="B521" s="12"/>
      <c r="C521" s="18"/>
    </row>
    <row r="522" spans="2:3" x14ac:dyDescent="0.25">
      <c r="B522" s="12"/>
      <c r="C522" s="18"/>
    </row>
    <row r="523" spans="2:3" x14ac:dyDescent="0.25">
      <c r="B523" s="12"/>
      <c r="C523" s="18"/>
    </row>
    <row r="524" spans="2:3" x14ac:dyDescent="0.25">
      <c r="B524" s="12"/>
      <c r="C524" s="18"/>
    </row>
    <row r="525" spans="2:3" x14ac:dyDescent="0.25">
      <c r="B525" s="12"/>
      <c r="C525" s="18"/>
    </row>
    <row r="526" spans="2:3" x14ac:dyDescent="0.25">
      <c r="B526" s="12"/>
      <c r="C526" s="18"/>
    </row>
    <row r="527" spans="2:3" x14ac:dyDescent="0.25">
      <c r="B527" s="12"/>
      <c r="C527" s="18"/>
    </row>
    <row r="528" spans="2:3" x14ac:dyDescent="0.25">
      <c r="B528" s="12"/>
      <c r="C528" s="18"/>
    </row>
    <row r="529" spans="2:3" x14ac:dyDescent="0.25">
      <c r="B529" s="12"/>
      <c r="C529" s="18"/>
    </row>
    <row r="530" spans="2:3" x14ac:dyDescent="0.25">
      <c r="B530" s="12"/>
      <c r="C530" s="18"/>
    </row>
    <row r="531" spans="2:3" x14ac:dyDescent="0.25">
      <c r="B531" s="12"/>
      <c r="C531" s="18"/>
    </row>
    <row r="532" spans="2:3" x14ac:dyDescent="0.25">
      <c r="B532" s="12"/>
      <c r="C532" s="18"/>
    </row>
    <row r="533" spans="2:3" x14ac:dyDescent="0.25">
      <c r="B533" s="12"/>
      <c r="C533" s="18"/>
    </row>
    <row r="534" spans="2:3" x14ac:dyDescent="0.25">
      <c r="B534" s="12"/>
      <c r="C534" s="18"/>
    </row>
    <row r="535" spans="2:3" x14ac:dyDescent="0.25">
      <c r="B535" s="12"/>
      <c r="C535" s="18"/>
    </row>
    <row r="536" spans="2:3" x14ac:dyDescent="0.25">
      <c r="B536" s="12"/>
      <c r="C536" s="18"/>
    </row>
    <row r="537" spans="2:3" x14ac:dyDescent="0.25">
      <c r="B537" s="12"/>
      <c r="C537" s="18"/>
    </row>
    <row r="538" spans="2:3" x14ac:dyDescent="0.25">
      <c r="B538" s="12"/>
      <c r="C538" s="18"/>
    </row>
    <row r="539" spans="2:3" x14ac:dyDescent="0.25">
      <c r="B539" s="12"/>
      <c r="C539" s="18"/>
    </row>
    <row r="540" spans="2:3" x14ac:dyDescent="0.25">
      <c r="B540" s="12"/>
      <c r="C540" s="18"/>
    </row>
    <row r="541" spans="2:3" x14ac:dyDescent="0.25">
      <c r="B541" s="12"/>
      <c r="C541" s="18"/>
    </row>
    <row r="542" spans="2:3" x14ac:dyDescent="0.25">
      <c r="B542" s="12"/>
      <c r="C542" s="18"/>
    </row>
    <row r="543" spans="2:3" x14ac:dyDescent="0.25">
      <c r="B543" s="12"/>
      <c r="C543" s="18"/>
    </row>
    <row r="544" spans="2:3" x14ac:dyDescent="0.25">
      <c r="B544" s="12"/>
      <c r="C544" s="18"/>
    </row>
    <row r="545" spans="2:3" x14ac:dyDescent="0.25">
      <c r="B545" s="12"/>
      <c r="C545" s="18"/>
    </row>
    <row r="546" spans="2:3" x14ac:dyDescent="0.25">
      <c r="B546" s="12"/>
      <c r="C546" s="18"/>
    </row>
    <row r="547" spans="2:3" x14ac:dyDescent="0.25">
      <c r="B547" s="12"/>
      <c r="C547" s="18"/>
    </row>
    <row r="548" spans="2:3" x14ac:dyDescent="0.25">
      <c r="B548" s="12"/>
      <c r="C548" s="18"/>
    </row>
    <row r="549" spans="2:3" x14ac:dyDescent="0.25">
      <c r="B549" s="12"/>
      <c r="C549" s="18"/>
    </row>
    <row r="550" spans="2:3" x14ac:dyDescent="0.25">
      <c r="B550" s="12"/>
      <c r="C550" s="18"/>
    </row>
    <row r="551" spans="2:3" x14ac:dyDescent="0.25">
      <c r="B551" s="12"/>
      <c r="C551" s="18"/>
    </row>
    <row r="552" spans="2:3" x14ac:dyDescent="0.25">
      <c r="B552" s="12"/>
      <c r="C552" s="18"/>
    </row>
    <row r="553" spans="2:3" x14ac:dyDescent="0.25">
      <c r="B553" s="12"/>
      <c r="C553" s="18"/>
    </row>
    <row r="554" spans="2:3" x14ac:dyDescent="0.25">
      <c r="B554" s="12"/>
      <c r="C554" s="18"/>
    </row>
    <row r="555" spans="2:3" x14ac:dyDescent="0.25">
      <c r="B555" s="12"/>
      <c r="C555" s="18"/>
    </row>
    <row r="556" spans="2:3" x14ac:dyDescent="0.25">
      <c r="B556" s="12"/>
      <c r="C556" s="18"/>
    </row>
    <row r="557" spans="2:3" x14ac:dyDescent="0.25">
      <c r="B557" s="12"/>
      <c r="C557" s="18"/>
    </row>
    <row r="558" spans="2:3" x14ac:dyDescent="0.25">
      <c r="B558" s="12"/>
      <c r="C558" s="18"/>
    </row>
    <row r="559" spans="2:3" x14ac:dyDescent="0.25">
      <c r="B559" s="12"/>
      <c r="C559" s="18"/>
    </row>
    <row r="560" spans="2:3" x14ac:dyDescent="0.25">
      <c r="B560" s="12"/>
      <c r="C560" s="18"/>
    </row>
    <row r="561" spans="2:3" x14ac:dyDescent="0.25">
      <c r="B561" s="12"/>
      <c r="C561" s="18"/>
    </row>
    <row r="562" spans="2:3" x14ac:dyDescent="0.25">
      <c r="B562" s="12"/>
      <c r="C562" s="18"/>
    </row>
    <row r="563" spans="2:3" x14ac:dyDescent="0.25">
      <c r="B563" s="12"/>
      <c r="C563" s="18"/>
    </row>
    <row r="564" spans="2:3" x14ac:dyDescent="0.25">
      <c r="B564" s="12"/>
      <c r="C564" s="18"/>
    </row>
    <row r="565" spans="2:3" x14ac:dyDescent="0.25">
      <c r="B565" s="12"/>
      <c r="C565" s="18"/>
    </row>
    <row r="566" spans="2:3" x14ac:dyDescent="0.25">
      <c r="B566" s="12"/>
      <c r="C566" s="18"/>
    </row>
    <row r="567" spans="2:3" x14ac:dyDescent="0.25">
      <c r="B567" s="12"/>
      <c r="C567" s="18"/>
    </row>
    <row r="568" spans="2:3" x14ac:dyDescent="0.25">
      <c r="B568" s="12"/>
      <c r="C568" s="18"/>
    </row>
    <row r="569" spans="2:3" x14ac:dyDescent="0.25">
      <c r="B569" s="12"/>
      <c r="C569" s="18"/>
    </row>
    <row r="570" spans="2:3" x14ac:dyDescent="0.25">
      <c r="B570" s="12"/>
      <c r="C570" s="18"/>
    </row>
    <row r="571" spans="2:3" x14ac:dyDescent="0.25">
      <c r="B571" s="12"/>
      <c r="C571" s="18"/>
    </row>
    <row r="572" spans="2:3" x14ac:dyDescent="0.25">
      <c r="B572" s="12"/>
      <c r="C572" s="18"/>
    </row>
    <row r="573" spans="2:3" x14ac:dyDescent="0.25">
      <c r="B573" s="12"/>
      <c r="C573" s="18"/>
    </row>
    <row r="574" spans="2:3" x14ac:dyDescent="0.25">
      <c r="B574" s="12"/>
      <c r="C574" s="18"/>
    </row>
    <row r="575" spans="2:3" x14ac:dyDescent="0.25">
      <c r="B575" s="12"/>
      <c r="C575" s="18"/>
    </row>
    <row r="576" spans="2:3" x14ac:dyDescent="0.25">
      <c r="B576" s="12"/>
      <c r="C576" s="18"/>
    </row>
    <row r="577" spans="2:3" x14ac:dyDescent="0.25">
      <c r="B577" s="12"/>
      <c r="C577" s="18"/>
    </row>
    <row r="578" spans="2:3" x14ac:dyDescent="0.25">
      <c r="B578" s="12"/>
      <c r="C578" s="18"/>
    </row>
    <row r="579" spans="2:3" x14ac:dyDescent="0.25">
      <c r="B579" s="12"/>
      <c r="C579" s="18"/>
    </row>
    <row r="580" spans="2:3" x14ac:dyDescent="0.25">
      <c r="B580" s="12"/>
      <c r="C580" s="18"/>
    </row>
    <row r="581" spans="2:3" x14ac:dyDescent="0.25">
      <c r="B581" s="12"/>
      <c r="C581" s="18"/>
    </row>
    <row r="582" spans="2:3" x14ac:dyDescent="0.25">
      <c r="B582" s="12"/>
      <c r="C582" s="18"/>
    </row>
    <row r="583" spans="2:3" x14ac:dyDescent="0.25">
      <c r="B583" s="12"/>
      <c r="C583" s="18"/>
    </row>
    <row r="584" spans="2:3" x14ac:dyDescent="0.25">
      <c r="B584" s="12"/>
      <c r="C584" s="18"/>
    </row>
    <row r="585" spans="2:3" x14ac:dyDescent="0.25">
      <c r="B585" s="12"/>
      <c r="C585" s="18"/>
    </row>
    <row r="586" spans="2:3" x14ac:dyDescent="0.25">
      <c r="B586" s="12"/>
      <c r="C586" s="18"/>
    </row>
    <row r="587" spans="2:3" x14ac:dyDescent="0.25">
      <c r="B587" s="12"/>
      <c r="C587" s="18"/>
    </row>
    <row r="588" spans="2:3" x14ac:dyDescent="0.25">
      <c r="B588" s="12"/>
      <c r="C588" s="18"/>
    </row>
    <row r="589" spans="2:3" x14ac:dyDescent="0.25">
      <c r="B589" s="12"/>
      <c r="C589" s="18"/>
    </row>
    <row r="590" spans="2:3" x14ac:dyDescent="0.25">
      <c r="B590" s="12"/>
      <c r="C590" s="18"/>
    </row>
    <row r="591" spans="2:3" x14ac:dyDescent="0.25">
      <c r="B591" s="12"/>
      <c r="C591" s="18"/>
    </row>
    <row r="592" spans="2:3" x14ac:dyDescent="0.25">
      <c r="B592" s="12"/>
      <c r="C592" s="18"/>
    </row>
    <row r="593" spans="2:3" x14ac:dyDescent="0.25">
      <c r="B593" s="12"/>
      <c r="C593" s="18"/>
    </row>
    <row r="594" spans="2:3" x14ac:dyDescent="0.25">
      <c r="B594" s="12"/>
      <c r="C594" s="18"/>
    </row>
    <row r="595" spans="2:3" x14ac:dyDescent="0.25">
      <c r="B595" s="12"/>
      <c r="C595" s="18"/>
    </row>
    <row r="596" spans="2:3" x14ac:dyDescent="0.25">
      <c r="B596" s="12"/>
      <c r="C596" s="18"/>
    </row>
    <row r="597" spans="2:3" x14ac:dyDescent="0.25">
      <c r="B597" s="12"/>
      <c r="C597" s="18"/>
    </row>
    <row r="598" spans="2:3" x14ac:dyDescent="0.25">
      <c r="B598" s="12"/>
      <c r="C598" s="18"/>
    </row>
    <row r="599" spans="2:3" x14ac:dyDescent="0.25">
      <c r="B599" s="12"/>
      <c r="C599" s="18"/>
    </row>
    <row r="600" spans="2:3" x14ac:dyDescent="0.25">
      <c r="B600" s="12"/>
      <c r="C600" s="18"/>
    </row>
    <row r="601" spans="2:3" x14ac:dyDescent="0.25">
      <c r="B601" s="12"/>
      <c r="C601" s="18"/>
    </row>
    <row r="602" spans="2:3" x14ac:dyDescent="0.25">
      <c r="B602" s="12"/>
      <c r="C602" s="18"/>
    </row>
    <row r="603" spans="2:3" x14ac:dyDescent="0.25">
      <c r="B603" s="12"/>
      <c r="C603" s="18"/>
    </row>
    <row r="604" spans="2:3" x14ac:dyDescent="0.25">
      <c r="B604" s="12"/>
      <c r="C604" s="18"/>
    </row>
    <row r="605" spans="2:3" x14ac:dyDescent="0.25">
      <c r="B605" s="12"/>
      <c r="C605" s="18"/>
    </row>
    <row r="606" spans="2:3" x14ac:dyDescent="0.25">
      <c r="B606" s="12"/>
      <c r="C606" s="18"/>
    </row>
    <row r="607" spans="2:3" x14ac:dyDescent="0.25">
      <c r="B607" s="12"/>
      <c r="C607" s="18"/>
    </row>
    <row r="608" spans="2:3" x14ac:dyDescent="0.25">
      <c r="B608" s="12"/>
      <c r="C608" s="18"/>
    </row>
    <row r="609" spans="2:3" x14ac:dyDescent="0.25">
      <c r="B609" s="12"/>
      <c r="C609" s="18"/>
    </row>
    <row r="610" spans="2:3" x14ac:dyDescent="0.25">
      <c r="B610" s="12"/>
      <c r="C610" s="18"/>
    </row>
    <row r="611" spans="2:3" x14ac:dyDescent="0.25">
      <c r="B611" s="12"/>
      <c r="C611" s="18"/>
    </row>
    <row r="612" spans="2:3" x14ac:dyDescent="0.25">
      <c r="B612" s="12"/>
      <c r="C612" s="18"/>
    </row>
    <row r="613" spans="2:3" x14ac:dyDescent="0.25">
      <c r="B613" s="12"/>
      <c r="C613" s="18"/>
    </row>
    <row r="614" spans="2:3" x14ac:dyDescent="0.25">
      <c r="B614" s="12"/>
      <c r="C614" s="18"/>
    </row>
    <row r="615" spans="2:3" x14ac:dyDescent="0.25">
      <c r="B615" s="12"/>
      <c r="C615" s="18"/>
    </row>
    <row r="616" spans="2:3" x14ac:dyDescent="0.25">
      <c r="B616" s="12"/>
      <c r="C616" s="18"/>
    </row>
    <row r="617" spans="2:3" x14ac:dyDescent="0.25">
      <c r="B617" s="12"/>
      <c r="C617" s="18"/>
    </row>
    <row r="618" spans="2:3" x14ac:dyDescent="0.25">
      <c r="B618" s="12"/>
      <c r="C618" s="18"/>
    </row>
    <row r="619" spans="2:3" x14ac:dyDescent="0.25">
      <c r="B619" s="12"/>
      <c r="C619" s="18"/>
    </row>
    <row r="620" spans="2:3" x14ac:dyDescent="0.25">
      <c r="B620" s="12"/>
      <c r="C620" s="18"/>
    </row>
    <row r="621" spans="2:3" x14ac:dyDescent="0.25">
      <c r="B621" s="12"/>
      <c r="C621" s="18"/>
    </row>
    <row r="622" spans="2:3" x14ac:dyDescent="0.25">
      <c r="B622" s="12"/>
      <c r="C622" s="18"/>
    </row>
    <row r="623" spans="2:3" x14ac:dyDescent="0.25">
      <c r="B623" s="12"/>
      <c r="C623" s="18"/>
    </row>
    <row r="624" spans="2:3" x14ac:dyDescent="0.25">
      <c r="B624" s="12"/>
      <c r="C624" s="18"/>
    </row>
    <row r="625" spans="2:3" x14ac:dyDescent="0.25">
      <c r="B625" s="12"/>
      <c r="C625" s="18"/>
    </row>
    <row r="626" spans="2:3" x14ac:dyDescent="0.25">
      <c r="B626" s="12"/>
      <c r="C626" s="18"/>
    </row>
    <row r="627" spans="2:3" x14ac:dyDescent="0.25">
      <c r="B627" s="12"/>
      <c r="C627" s="18"/>
    </row>
    <row r="628" spans="2:3" x14ac:dyDescent="0.25">
      <c r="B628" s="12"/>
      <c r="C628" s="18"/>
    </row>
    <row r="629" spans="2:3" x14ac:dyDescent="0.25">
      <c r="B629" s="12"/>
      <c r="C629" s="18"/>
    </row>
    <row r="630" spans="2:3" x14ac:dyDescent="0.25">
      <c r="B630" s="12"/>
      <c r="C630" s="18"/>
    </row>
    <row r="631" spans="2:3" x14ac:dyDescent="0.25">
      <c r="B631" s="12"/>
      <c r="C631" s="18"/>
    </row>
    <row r="632" spans="2:3" x14ac:dyDescent="0.25">
      <c r="B632" s="12"/>
      <c r="C632" s="18"/>
    </row>
    <row r="633" spans="2:3" x14ac:dyDescent="0.25">
      <c r="B633" s="12"/>
      <c r="C633" s="18"/>
    </row>
    <row r="634" spans="2:3" x14ac:dyDescent="0.25">
      <c r="B634" s="12"/>
      <c r="C634" s="18"/>
    </row>
    <row r="635" spans="2:3" x14ac:dyDescent="0.25">
      <c r="B635" s="12"/>
      <c r="C635" s="18"/>
    </row>
    <row r="636" spans="2:3" x14ac:dyDescent="0.25">
      <c r="B636" s="12"/>
      <c r="C636" s="18"/>
    </row>
    <row r="637" spans="2:3" x14ac:dyDescent="0.25">
      <c r="B637" s="12"/>
      <c r="C637" s="18"/>
    </row>
    <row r="638" spans="2:3" x14ac:dyDescent="0.25">
      <c r="B638" s="12"/>
      <c r="C638" s="18"/>
    </row>
    <row r="639" spans="2:3" x14ac:dyDescent="0.25">
      <c r="B639" s="12"/>
      <c r="C639" s="18"/>
    </row>
    <row r="640" spans="2:3" x14ac:dyDescent="0.25">
      <c r="B640" s="12"/>
      <c r="C640" s="18"/>
    </row>
    <row r="641" spans="2:3" x14ac:dyDescent="0.25">
      <c r="B641" s="12"/>
      <c r="C641" s="18"/>
    </row>
    <row r="642" spans="2:3" x14ac:dyDescent="0.25">
      <c r="B642" s="12"/>
      <c r="C642" s="18"/>
    </row>
    <row r="643" spans="2:3" x14ac:dyDescent="0.25">
      <c r="B643" s="12"/>
      <c r="C643" s="18"/>
    </row>
    <row r="644" spans="2:3" x14ac:dyDescent="0.25">
      <c r="B644" s="12"/>
      <c r="C644" s="18"/>
    </row>
    <row r="645" spans="2:3" x14ac:dyDescent="0.25">
      <c r="B645" s="12"/>
      <c r="C645" s="18"/>
    </row>
    <row r="646" spans="2:3" x14ac:dyDescent="0.25">
      <c r="B646" s="12"/>
      <c r="C646" s="18"/>
    </row>
    <row r="647" spans="2:3" x14ac:dyDescent="0.25">
      <c r="B647" s="12"/>
      <c r="C647" s="18"/>
    </row>
    <row r="648" spans="2:3" x14ac:dyDescent="0.25">
      <c r="B648" s="12"/>
      <c r="C648" s="18"/>
    </row>
    <row r="649" spans="2:3" x14ac:dyDescent="0.25">
      <c r="B649" s="12"/>
      <c r="C649" s="18"/>
    </row>
    <row r="650" spans="2:3" x14ac:dyDescent="0.25">
      <c r="B650" s="12"/>
      <c r="C650" s="18"/>
    </row>
    <row r="651" spans="2:3" x14ac:dyDescent="0.25">
      <c r="B651" s="12"/>
      <c r="C651" s="18"/>
    </row>
    <row r="652" spans="2:3" x14ac:dyDescent="0.25">
      <c r="B652" s="12"/>
      <c r="C652" s="18"/>
    </row>
    <row r="653" spans="2:3" x14ac:dyDescent="0.25">
      <c r="B653" s="12"/>
      <c r="C653" s="18"/>
    </row>
    <row r="654" spans="2:3" x14ac:dyDescent="0.25">
      <c r="B654" s="12"/>
      <c r="C654" s="18"/>
    </row>
    <row r="655" spans="2:3" x14ac:dyDescent="0.25">
      <c r="B655" s="12"/>
      <c r="C655" s="18"/>
    </row>
    <row r="656" spans="2:3" x14ac:dyDescent="0.25">
      <c r="B656" s="12"/>
      <c r="C656" s="18"/>
    </row>
    <row r="657" spans="2:3" x14ac:dyDescent="0.25">
      <c r="B657" s="12"/>
      <c r="C657" s="18"/>
    </row>
    <row r="658" spans="2:3" x14ac:dyDescent="0.25">
      <c r="B658" s="12"/>
      <c r="C658" s="18"/>
    </row>
    <row r="659" spans="2:3" x14ac:dyDescent="0.25">
      <c r="B659" s="12"/>
      <c r="C659" s="18"/>
    </row>
    <row r="660" spans="2:3" x14ac:dyDescent="0.25">
      <c r="B660" s="12"/>
      <c r="C660" s="18"/>
    </row>
    <row r="661" spans="2:3" x14ac:dyDescent="0.25">
      <c r="B661" s="12"/>
      <c r="C661" s="18"/>
    </row>
    <row r="662" spans="2:3" x14ac:dyDescent="0.25">
      <c r="B662" s="12"/>
      <c r="C662" s="18"/>
    </row>
    <row r="663" spans="2:3" x14ac:dyDescent="0.25">
      <c r="B663" s="12"/>
      <c r="C663" s="18"/>
    </row>
    <row r="664" spans="2:3" x14ac:dyDescent="0.25">
      <c r="B664" s="12"/>
      <c r="C664" s="18"/>
    </row>
    <row r="665" spans="2:3" x14ac:dyDescent="0.25">
      <c r="B665" s="12"/>
      <c r="C665" s="18"/>
    </row>
    <row r="666" spans="2:3" x14ac:dyDescent="0.25">
      <c r="B666" s="12"/>
      <c r="C666" s="18"/>
    </row>
    <row r="667" spans="2:3" x14ac:dyDescent="0.25">
      <c r="B667" s="12"/>
      <c r="C667" s="18"/>
    </row>
    <row r="668" spans="2:3" x14ac:dyDescent="0.25">
      <c r="B668" s="12"/>
      <c r="C668" s="18"/>
    </row>
    <row r="669" spans="2:3" x14ac:dyDescent="0.25">
      <c r="B669" s="12"/>
      <c r="C669" s="18"/>
    </row>
    <row r="670" spans="2:3" x14ac:dyDescent="0.25">
      <c r="B670" s="12"/>
      <c r="C670" s="18"/>
    </row>
    <row r="671" spans="2:3" x14ac:dyDescent="0.25">
      <c r="B671" s="12"/>
      <c r="C671" s="18"/>
    </row>
    <row r="672" spans="2:3" x14ac:dyDescent="0.25">
      <c r="B672" s="12"/>
      <c r="C672" s="18"/>
    </row>
    <row r="673" spans="2:3" x14ac:dyDescent="0.25">
      <c r="B673" s="12"/>
      <c r="C673" s="18"/>
    </row>
    <row r="674" spans="2:3" x14ac:dyDescent="0.25">
      <c r="B674" s="12"/>
      <c r="C674" s="18"/>
    </row>
    <row r="675" spans="2:3" x14ac:dyDescent="0.25">
      <c r="B675" s="12"/>
      <c r="C675" s="18"/>
    </row>
    <row r="676" spans="2:3" x14ac:dyDescent="0.25">
      <c r="B676" s="12"/>
      <c r="C676" s="18"/>
    </row>
    <row r="677" spans="2:3" x14ac:dyDescent="0.25">
      <c r="B677" s="12"/>
      <c r="C677" s="18"/>
    </row>
    <row r="678" spans="2:3" x14ac:dyDescent="0.25">
      <c r="B678" s="12"/>
      <c r="C678" s="18"/>
    </row>
    <row r="679" spans="2:3" x14ac:dyDescent="0.25">
      <c r="B679" s="12"/>
      <c r="C679" s="18"/>
    </row>
    <row r="680" spans="2:3" x14ac:dyDescent="0.25">
      <c r="B680" s="12"/>
      <c r="C680" s="18"/>
    </row>
    <row r="681" spans="2:3" x14ac:dyDescent="0.25">
      <c r="B681" s="12"/>
      <c r="C681" s="18"/>
    </row>
    <row r="682" spans="2:3" x14ac:dyDescent="0.25">
      <c r="B682" s="12"/>
      <c r="C682" s="18"/>
    </row>
    <row r="683" spans="2:3" x14ac:dyDescent="0.25">
      <c r="B683" s="12"/>
      <c r="C683" s="18"/>
    </row>
    <row r="684" spans="2:3" x14ac:dyDescent="0.25">
      <c r="B684" s="12"/>
      <c r="C684" s="18"/>
    </row>
    <row r="685" spans="2:3" x14ac:dyDescent="0.25">
      <c r="B685" s="12"/>
      <c r="C685" s="18"/>
    </row>
    <row r="686" spans="2:3" x14ac:dyDescent="0.25">
      <c r="B686" s="12"/>
      <c r="C686" s="18"/>
    </row>
    <row r="687" spans="2:3" x14ac:dyDescent="0.25">
      <c r="B687" s="12"/>
      <c r="C687" s="18"/>
    </row>
    <row r="688" spans="2:3" x14ac:dyDescent="0.25">
      <c r="B688" s="12"/>
      <c r="C688" s="18"/>
    </row>
    <row r="689" spans="2:3" x14ac:dyDescent="0.25">
      <c r="B689" s="12"/>
      <c r="C689" s="18"/>
    </row>
    <row r="690" spans="2:3" x14ac:dyDescent="0.25">
      <c r="B690" s="12"/>
      <c r="C690" s="18"/>
    </row>
    <row r="691" spans="2:3" x14ac:dyDescent="0.25">
      <c r="B691" s="12"/>
      <c r="C691" s="18"/>
    </row>
    <row r="692" spans="2:3" x14ac:dyDescent="0.25">
      <c r="B692" s="12"/>
      <c r="C692" s="18"/>
    </row>
    <row r="693" spans="2:3" x14ac:dyDescent="0.25">
      <c r="B693" s="12"/>
      <c r="C693" s="18"/>
    </row>
    <row r="694" spans="2:3" x14ac:dyDescent="0.25">
      <c r="B694" s="12"/>
      <c r="C694" s="18"/>
    </row>
    <row r="695" spans="2:3" x14ac:dyDescent="0.25">
      <c r="B695" s="12"/>
      <c r="C695" s="18"/>
    </row>
    <row r="696" spans="2:3" x14ac:dyDescent="0.25">
      <c r="B696" s="12"/>
      <c r="C696" s="18"/>
    </row>
    <row r="697" spans="2:3" x14ac:dyDescent="0.25">
      <c r="B697" s="12"/>
      <c r="C697" s="18"/>
    </row>
    <row r="698" spans="2:3" x14ac:dyDescent="0.25">
      <c r="B698" s="12"/>
      <c r="C698" s="18"/>
    </row>
    <row r="699" spans="2:3" x14ac:dyDescent="0.25">
      <c r="B699" s="12"/>
      <c r="C699" s="18"/>
    </row>
    <row r="700" spans="2:3" x14ac:dyDescent="0.25">
      <c r="B700" s="12"/>
      <c r="C700" s="18"/>
    </row>
    <row r="701" spans="2:3" x14ac:dyDescent="0.25">
      <c r="B701" s="12"/>
      <c r="C701" s="18"/>
    </row>
    <row r="702" spans="2:3" x14ac:dyDescent="0.25">
      <c r="B702" s="12"/>
      <c r="C702" s="18"/>
    </row>
    <row r="703" spans="2:3" x14ac:dyDescent="0.25">
      <c r="B703" s="12"/>
      <c r="C703" s="18"/>
    </row>
    <row r="704" spans="2:3" x14ac:dyDescent="0.25">
      <c r="B704" s="12"/>
      <c r="C704" s="18"/>
    </row>
    <row r="705" spans="2:3" x14ac:dyDescent="0.25">
      <c r="B705" s="12"/>
      <c r="C705" s="18"/>
    </row>
    <row r="706" spans="2:3" x14ac:dyDescent="0.25">
      <c r="B706" s="12"/>
      <c r="C706" s="18"/>
    </row>
    <row r="707" spans="2:3" x14ac:dyDescent="0.25">
      <c r="B707" s="12"/>
      <c r="C707" s="18"/>
    </row>
    <row r="708" spans="2:3" x14ac:dyDescent="0.25">
      <c r="B708" s="12"/>
      <c r="C708" s="18"/>
    </row>
    <row r="709" spans="2:3" x14ac:dyDescent="0.25">
      <c r="B709" s="12"/>
      <c r="C709" s="18"/>
    </row>
    <row r="710" spans="2:3" x14ac:dyDescent="0.25">
      <c r="B710" s="12"/>
      <c r="C710" s="18"/>
    </row>
    <row r="711" spans="2:3" x14ac:dyDescent="0.25">
      <c r="B711" s="12"/>
      <c r="C711" s="18"/>
    </row>
    <row r="712" spans="2:3" x14ac:dyDescent="0.25">
      <c r="B712" s="12"/>
      <c r="C712" s="18"/>
    </row>
    <row r="713" spans="2:3" x14ac:dyDescent="0.25">
      <c r="B713" s="12"/>
      <c r="C713" s="18"/>
    </row>
    <row r="714" spans="2:3" x14ac:dyDescent="0.25">
      <c r="B714" s="12"/>
      <c r="C714" s="18"/>
    </row>
    <row r="715" spans="2:3" x14ac:dyDescent="0.25">
      <c r="B715" s="12"/>
      <c r="C715" s="18"/>
    </row>
    <row r="716" spans="2:3" x14ac:dyDescent="0.25">
      <c r="B716" s="12"/>
      <c r="C716" s="18"/>
    </row>
    <row r="717" spans="2:3" x14ac:dyDescent="0.25">
      <c r="B717" s="12"/>
      <c r="C717" s="18"/>
    </row>
    <row r="718" spans="2:3" x14ac:dyDescent="0.25">
      <c r="B718" s="12"/>
      <c r="C718" s="18"/>
    </row>
    <row r="719" spans="2:3" x14ac:dyDescent="0.25">
      <c r="B719" s="12"/>
      <c r="C719" s="18"/>
    </row>
    <row r="720" spans="2:3" x14ac:dyDescent="0.25">
      <c r="B720" s="12"/>
      <c r="C720" s="18"/>
    </row>
    <row r="721" spans="2:3" x14ac:dyDescent="0.25">
      <c r="B721" s="12"/>
      <c r="C721" s="18"/>
    </row>
    <row r="722" spans="2:3" x14ac:dyDescent="0.25">
      <c r="B722" s="12"/>
      <c r="C722" s="18"/>
    </row>
    <row r="723" spans="2:3" x14ac:dyDescent="0.25">
      <c r="B723" s="12"/>
      <c r="C723" s="18"/>
    </row>
    <row r="724" spans="2:3" x14ac:dyDescent="0.25">
      <c r="B724" s="12"/>
      <c r="C724" s="18"/>
    </row>
    <row r="725" spans="2:3" x14ac:dyDescent="0.25">
      <c r="B725" s="12"/>
      <c r="C725" s="18"/>
    </row>
    <row r="726" spans="2:3" x14ac:dyDescent="0.25">
      <c r="B726" s="12"/>
      <c r="C726" s="18"/>
    </row>
    <row r="727" spans="2:3" x14ac:dyDescent="0.25">
      <c r="B727" s="12"/>
      <c r="C727" s="18"/>
    </row>
    <row r="728" spans="2:3" x14ac:dyDescent="0.25">
      <c r="B728" s="12"/>
      <c r="C728" s="18"/>
    </row>
    <row r="729" spans="2:3" x14ac:dyDescent="0.25">
      <c r="B729" s="12"/>
      <c r="C729" s="18"/>
    </row>
    <row r="730" spans="2:3" x14ac:dyDescent="0.25">
      <c r="B730" s="12"/>
      <c r="C730" s="18"/>
    </row>
    <row r="731" spans="2:3" x14ac:dyDescent="0.25">
      <c r="B731" s="12"/>
      <c r="C731" s="18"/>
    </row>
    <row r="732" spans="2:3" x14ac:dyDescent="0.25">
      <c r="B732" s="12"/>
      <c r="C732" s="18"/>
    </row>
    <row r="733" spans="2:3" x14ac:dyDescent="0.25">
      <c r="B733" s="12"/>
      <c r="C733" s="18"/>
    </row>
    <row r="734" spans="2:3" x14ac:dyDescent="0.25">
      <c r="B734" s="12"/>
      <c r="C734" s="18"/>
    </row>
    <row r="735" spans="2:3" x14ac:dyDescent="0.25">
      <c r="B735" s="12"/>
      <c r="C735" s="18"/>
    </row>
    <row r="736" spans="2:3" x14ac:dyDescent="0.25">
      <c r="B736" s="12"/>
      <c r="C736" s="18"/>
    </row>
    <row r="737" spans="2:3" x14ac:dyDescent="0.25">
      <c r="B737" s="12"/>
      <c r="C737" s="18"/>
    </row>
    <row r="738" spans="2:3" x14ac:dyDescent="0.25">
      <c r="B738" s="12"/>
      <c r="C738" s="18"/>
    </row>
    <row r="739" spans="2:3" x14ac:dyDescent="0.25">
      <c r="B739" s="12"/>
      <c r="C739" s="18"/>
    </row>
    <row r="740" spans="2:3" x14ac:dyDescent="0.25">
      <c r="B740" s="12"/>
      <c r="C740" s="18"/>
    </row>
    <row r="741" spans="2:3" x14ac:dyDescent="0.25">
      <c r="B741" s="12"/>
      <c r="C741" s="18"/>
    </row>
    <row r="742" spans="2:3" x14ac:dyDescent="0.25">
      <c r="B742" s="12"/>
      <c r="C742" s="18"/>
    </row>
    <row r="743" spans="2:3" x14ac:dyDescent="0.25">
      <c r="B743" s="12"/>
      <c r="C743" s="18"/>
    </row>
    <row r="744" spans="2:3" x14ac:dyDescent="0.25">
      <c r="B744" s="12"/>
      <c r="C744" s="18"/>
    </row>
    <row r="745" spans="2:3" x14ac:dyDescent="0.25">
      <c r="B745" s="12"/>
      <c r="C745" s="18"/>
    </row>
    <row r="746" spans="2:3" x14ac:dyDescent="0.25">
      <c r="B746" s="12"/>
      <c r="C746" s="18"/>
    </row>
    <row r="747" spans="2:3" x14ac:dyDescent="0.25">
      <c r="B747" s="12"/>
      <c r="C747" s="18"/>
    </row>
    <row r="748" spans="2:3" x14ac:dyDescent="0.25">
      <c r="B748" s="12"/>
      <c r="C748" s="18"/>
    </row>
    <row r="749" spans="2:3" x14ac:dyDescent="0.25">
      <c r="B749" s="12"/>
      <c r="C749" s="18"/>
    </row>
    <row r="750" spans="2:3" x14ac:dyDescent="0.25">
      <c r="B750" s="12"/>
      <c r="C750" s="18"/>
    </row>
    <row r="751" spans="2:3" x14ac:dyDescent="0.25">
      <c r="B751" s="12"/>
      <c r="C751" s="18"/>
    </row>
    <row r="752" spans="2:3" x14ac:dyDescent="0.25">
      <c r="B752" s="12"/>
      <c r="C752" s="18"/>
    </row>
    <row r="753" spans="2:3" x14ac:dyDescent="0.25">
      <c r="B753" s="12"/>
      <c r="C753" s="18"/>
    </row>
    <row r="754" spans="2:3" x14ac:dyDescent="0.25">
      <c r="B754" s="12"/>
      <c r="C754" s="18"/>
    </row>
    <row r="755" spans="2:3" x14ac:dyDescent="0.25">
      <c r="B755" s="12"/>
      <c r="C755" s="18"/>
    </row>
    <row r="756" spans="2:3" x14ac:dyDescent="0.25">
      <c r="B756" s="12"/>
      <c r="C756" s="18"/>
    </row>
    <row r="757" spans="2:3" x14ac:dyDescent="0.25">
      <c r="B757" s="12"/>
      <c r="C757" s="18"/>
    </row>
    <row r="758" spans="2:3" x14ac:dyDescent="0.25">
      <c r="B758" s="12"/>
      <c r="C758" s="18"/>
    </row>
    <row r="759" spans="2:3" x14ac:dyDescent="0.25">
      <c r="B759" s="12"/>
      <c r="C759" s="18"/>
    </row>
    <row r="760" spans="2:3" x14ac:dyDescent="0.25">
      <c r="B760" s="12"/>
      <c r="C760" s="18"/>
    </row>
    <row r="761" spans="2:3" x14ac:dyDescent="0.25">
      <c r="B761" s="12"/>
      <c r="C761" s="18"/>
    </row>
    <row r="762" spans="2:3" x14ac:dyDescent="0.25">
      <c r="B762" s="12"/>
      <c r="C762" s="18"/>
    </row>
    <row r="763" spans="2:3" x14ac:dyDescent="0.25">
      <c r="B763" s="12"/>
      <c r="C763" s="18"/>
    </row>
    <row r="764" spans="2:3" x14ac:dyDescent="0.25">
      <c r="B764" s="12"/>
      <c r="C764" s="18"/>
    </row>
    <row r="765" spans="2:3" x14ac:dyDescent="0.25">
      <c r="B765" s="12"/>
      <c r="C765" s="18"/>
    </row>
    <row r="766" spans="2:3" x14ac:dyDescent="0.25">
      <c r="B766" s="12"/>
      <c r="C766" s="18"/>
    </row>
    <row r="767" spans="2:3" x14ac:dyDescent="0.25">
      <c r="B767" s="12"/>
      <c r="C767" s="18"/>
    </row>
    <row r="768" spans="2:3" x14ac:dyDescent="0.25">
      <c r="B768" s="12"/>
      <c r="C768" s="18"/>
    </row>
    <row r="769" spans="2:3" x14ac:dyDescent="0.25">
      <c r="B769" s="12"/>
      <c r="C769" s="18"/>
    </row>
    <row r="770" spans="2:3" x14ac:dyDescent="0.25">
      <c r="B770" s="12"/>
      <c r="C770" s="18"/>
    </row>
    <row r="771" spans="2:3" x14ac:dyDescent="0.25">
      <c r="B771" s="12"/>
      <c r="C771" s="18"/>
    </row>
    <row r="772" spans="2:3" x14ac:dyDescent="0.25">
      <c r="B772" s="12"/>
      <c r="C772" s="18"/>
    </row>
    <row r="773" spans="2:3" x14ac:dyDescent="0.25">
      <c r="B773" s="12"/>
      <c r="C773" s="18"/>
    </row>
    <row r="774" spans="2:3" x14ac:dyDescent="0.25">
      <c r="B774" s="12"/>
      <c r="C774" s="18"/>
    </row>
    <row r="775" spans="2:3" x14ac:dyDescent="0.25">
      <c r="B775" s="12"/>
      <c r="C775" s="18"/>
    </row>
    <row r="776" spans="2:3" x14ac:dyDescent="0.25">
      <c r="B776" s="12"/>
      <c r="C776" s="18"/>
    </row>
    <row r="777" spans="2:3" x14ac:dyDescent="0.25">
      <c r="B777" s="12"/>
      <c r="C777" s="18"/>
    </row>
    <row r="778" spans="2:3" x14ac:dyDescent="0.25">
      <c r="B778" s="12"/>
      <c r="C778" s="18"/>
    </row>
    <row r="779" spans="2:3" x14ac:dyDescent="0.25">
      <c r="B779" s="12"/>
      <c r="C779" s="18"/>
    </row>
    <row r="780" spans="2:3" x14ac:dyDescent="0.25">
      <c r="B780" s="12"/>
      <c r="C780" s="18"/>
    </row>
    <row r="781" spans="2:3" x14ac:dyDescent="0.25">
      <c r="B781" s="12"/>
      <c r="C781" s="18"/>
    </row>
    <row r="782" spans="2:3" x14ac:dyDescent="0.25">
      <c r="B782" s="12"/>
      <c r="C782" s="18"/>
    </row>
    <row r="783" spans="2:3" x14ac:dyDescent="0.25">
      <c r="B783" s="12"/>
      <c r="C783" s="18"/>
    </row>
    <row r="784" spans="2:3" x14ac:dyDescent="0.25">
      <c r="B784" s="12"/>
      <c r="C784" s="18"/>
    </row>
    <row r="785" spans="2:3" x14ac:dyDescent="0.25">
      <c r="B785" s="12"/>
      <c r="C785" s="18"/>
    </row>
    <row r="786" spans="2:3" x14ac:dyDescent="0.25">
      <c r="B786" s="12"/>
      <c r="C786" s="18"/>
    </row>
    <row r="787" spans="2:3" x14ac:dyDescent="0.25">
      <c r="B787" s="12"/>
      <c r="C787" s="18"/>
    </row>
    <row r="788" spans="2:3" x14ac:dyDescent="0.25">
      <c r="B788" s="12"/>
      <c r="C788" s="18"/>
    </row>
    <row r="789" spans="2:3" x14ac:dyDescent="0.25">
      <c r="B789" s="12"/>
      <c r="C789" s="18"/>
    </row>
    <row r="790" spans="2:3" x14ac:dyDescent="0.25">
      <c r="B790" s="12"/>
      <c r="C790" s="18"/>
    </row>
    <row r="791" spans="2:3" x14ac:dyDescent="0.25">
      <c r="B791" s="12"/>
      <c r="C791" s="18"/>
    </row>
    <row r="792" spans="2:3" x14ac:dyDescent="0.25">
      <c r="B792" s="12"/>
      <c r="C792" s="18"/>
    </row>
    <row r="793" spans="2:3" x14ac:dyDescent="0.25">
      <c r="B793" s="12"/>
      <c r="C793" s="18"/>
    </row>
    <row r="794" spans="2:3" x14ac:dyDescent="0.25">
      <c r="B794" s="12"/>
      <c r="C794" s="18"/>
    </row>
    <row r="795" spans="2:3" x14ac:dyDescent="0.25">
      <c r="B795" s="12"/>
      <c r="C795" s="18"/>
    </row>
    <row r="796" spans="2:3" x14ac:dyDescent="0.25">
      <c r="B796" s="12"/>
      <c r="C796" s="18"/>
    </row>
    <row r="797" spans="2:3" x14ac:dyDescent="0.25">
      <c r="B797" s="12"/>
      <c r="C797" s="18"/>
    </row>
    <row r="798" spans="2:3" x14ac:dyDescent="0.25">
      <c r="B798" s="12"/>
      <c r="C798" s="18"/>
    </row>
    <row r="799" spans="2:3" x14ac:dyDescent="0.25">
      <c r="B799" s="12"/>
      <c r="C799" s="18"/>
    </row>
    <row r="800" spans="2:3" x14ac:dyDescent="0.25">
      <c r="B800" s="12"/>
      <c r="C800" s="18"/>
    </row>
    <row r="801" spans="2:3" x14ac:dyDescent="0.25">
      <c r="B801" s="12"/>
      <c r="C801" s="18"/>
    </row>
    <row r="802" spans="2:3" x14ac:dyDescent="0.25">
      <c r="B802" s="12"/>
      <c r="C802" s="18"/>
    </row>
    <row r="803" spans="2:3" x14ac:dyDescent="0.25">
      <c r="B803" s="12"/>
      <c r="C803" s="18"/>
    </row>
    <row r="804" spans="2:3" x14ac:dyDescent="0.25">
      <c r="B804" s="12"/>
      <c r="C804" s="18"/>
    </row>
    <row r="805" spans="2:3" x14ac:dyDescent="0.25">
      <c r="B805" s="12"/>
      <c r="C805" s="18"/>
    </row>
    <row r="806" spans="2:3" x14ac:dyDescent="0.25">
      <c r="B806" s="12"/>
      <c r="C806" s="18"/>
    </row>
    <row r="807" spans="2:3" x14ac:dyDescent="0.25">
      <c r="B807" s="12"/>
      <c r="C807" s="18"/>
    </row>
    <row r="808" spans="2:3" x14ac:dyDescent="0.25">
      <c r="B808" s="12"/>
      <c r="C808" s="18"/>
    </row>
    <row r="809" spans="2:3" x14ac:dyDescent="0.25">
      <c r="B809" s="12"/>
      <c r="C809" s="18"/>
    </row>
    <row r="810" spans="2:3" x14ac:dyDescent="0.25">
      <c r="B810" s="12"/>
      <c r="C810" s="18"/>
    </row>
    <row r="811" spans="2:3" x14ac:dyDescent="0.25">
      <c r="B811" s="12"/>
      <c r="C811" s="18"/>
    </row>
    <row r="812" spans="2:3" x14ac:dyDescent="0.25">
      <c r="B812" s="12"/>
      <c r="C812" s="18"/>
    </row>
    <row r="813" spans="2:3" x14ac:dyDescent="0.25">
      <c r="B813" s="12"/>
      <c r="C813" s="18"/>
    </row>
    <row r="814" spans="2:3" x14ac:dyDescent="0.25">
      <c r="B814" s="12"/>
      <c r="C814" s="18"/>
    </row>
    <row r="815" spans="2:3" x14ac:dyDescent="0.25">
      <c r="B815" s="12"/>
      <c r="C815" s="18"/>
    </row>
    <row r="816" spans="2:3" x14ac:dyDescent="0.25">
      <c r="B816" s="12"/>
      <c r="C816" s="18"/>
    </row>
    <row r="817" spans="2:3" x14ac:dyDescent="0.25">
      <c r="B817" s="12"/>
      <c r="C817" s="18"/>
    </row>
    <row r="818" spans="2:3" x14ac:dyDescent="0.25">
      <c r="B818" s="12"/>
      <c r="C818" s="18"/>
    </row>
    <row r="819" spans="2:3" x14ac:dyDescent="0.25">
      <c r="B819" s="12"/>
      <c r="C819" s="18"/>
    </row>
    <row r="820" spans="2:3" x14ac:dyDescent="0.25">
      <c r="B820" s="12"/>
      <c r="C820" s="18"/>
    </row>
    <row r="821" spans="2:3" x14ac:dyDescent="0.25">
      <c r="B821" s="12"/>
      <c r="C821" s="18"/>
    </row>
    <row r="822" spans="2:3" x14ac:dyDescent="0.25">
      <c r="B822" s="12"/>
      <c r="C822" s="18"/>
    </row>
    <row r="823" spans="2:3" x14ac:dyDescent="0.25">
      <c r="B823" s="12"/>
      <c r="C823" s="18"/>
    </row>
    <row r="824" spans="2:3" x14ac:dyDescent="0.25">
      <c r="B824" s="12"/>
      <c r="C824" s="18"/>
    </row>
    <row r="825" spans="2:3" x14ac:dyDescent="0.25">
      <c r="B825" s="12"/>
      <c r="C825" s="18"/>
    </row>
    <row r="826" spans="2:3" x14ac:dyDescent="0.25">
      <c r="B826" s="12"/>
      <c r="C826" s="18"/>
    </row>
    <row r="827" spans="2:3" x14ac:dyDescent="0.25">
      <c r="B827" s="12"/>
      <c r="C827" s="18"/>
    </row>
    <row r="828" spans="2:3" x14ac:dyDescent="0.25">
      <c r="B828" s="12"/>
      <c r="C828" s="18"/>
    </row>
    <row r="829" spans="2:3" x14ac:dyDescent="0.25">
      <c r="B829" s="12"/>
      <c r="C829" s="18"/>
    </row>
    <row r="830" spans="2:3" x14ac:dyDescent="0.25">
      <c r="B830" s="12"/>
      <c r="C830" s="18"/>
    </row>
    <row r="831" spans="2:3" x14ac:dyDescent="0.25">
      <c r="B831" s="12"/>
      <c r="C831" s="18"/>
    </row>
    <row r="832" spans="2:3" x14ac:dyDescent="0.25">
      <c r="B832" s="12"/>
      <c r="C832" s="18"/>
    </row>
    <row r="833" spans="2:3" x14ac:dyDescent="0.25">
      <c r="B833" s="12"/>
      <c r="C833" s="18"/>
    </row>
    <row r="834" spans="2:3" x14ac:dyDescent="0.25">
      <c r="B834" s="12"/>
      <c r="C834" s="18"/>
    </row>
    <row r="835" spans="2:3" x14ac:dyDescent="0.25">
      <c r="B835" s="12"/>
      <c r="C835" s="18"/>
    </row>
    <row r="836" spans="2:3" x14ac:dyDescent="0.25">
      <c r="B836" s="12"/>
      <c r="C836" s="18"/>
    </row>
    <row r="837" spans="2:3" x14ac:dyDescent="0.25">
      <c r="B837" s="12"/>
      <c r="C837" s="18"/>
    </row>
    <row r="838" spans="2:3" x14ac:dyDescent="0.25">
      <c r="B838" s="12"/>
      <c r="C838" s="18"/>
    </row>
    <row r="839" spans="2:3" x14ac:dyDescent="0.25">
      <c r="B839" s="12"/>
      <c r="C839" s="18"/>
    </row>
    <row r="840" spans="2:3" x14ac:dyDescent="0.25">
      <c r="B840" s="12"/>
      <c r="C840" s="18"/>
    </row>
    <row r="841" spans="2:3" x14ac:dyDescent="0.25">
      <c r="B841" s="12"/>
      <c r="C841" s="18"/>
    </row>
    <row r="842" spans="2:3" x14ac:dyDescent="0.25">
      <c r="B842" s="12"/>
      <c r="C842" s="18"/>
    </row>
    <row r="843" spans="2:3" x14ac:dyDescent="0.25">
      <c r="B843" s="12"/>
      <c r="C843" s="18"/>
    </row>
    <row r="844" spans="2:3" x14ac:dyDescent="0.25">
      <c r="B844" s="12"/>
      <c r="C844" s="18"/>
    </row>
    <row r="845" spans="2:3" x14ac:dyDescent="0.25">
      <c r="B845" s="12"/>
      <c r="C845" s="18"/>
    </row>
    <row r="846" spans="2:3" x14ac:dyDescent="0.25">
      <c r="B846" s="12"/>
      <c r="C846" s="18"/>
    </row>
    <row r="847" spans="2:3" x14ac:dyDescent="0.25">
      <c r="B847" s="12"/>
      <c r="C847" s="18"/>
    </row>
    <row r="848" spans="2:3" x14ac:dyDescent="0.25">
      <c r="B848" s="12"/>
      <c r="C848" s="18"/>
    </row>
    <row r="849" spans="2:3" x14ac:dyDescent="0.25">
      <c r="B849" s="12"/>
      <c r="C849" s="18"/>
    </row>
    <row r="850" spans="2:3" x14ac:dyDescent="0.25">
      <c r="B850" s="12"/>
      <c r="C850" s="18"/>
    </row>
    <row r="851" spans="2:3" x14ac:dyDescent="0.25">
      <c r="B851" s="12"/>
      <c r="C851" s="18"/>
    </row>
    <row r="852" spans="2:3" x14ac:dyDescent="0.25">
      <c r="B852" s="12"/>
      <c r="C852" s="18"/>
    </row>
    <row r="853" spans="2:3" x14ac:dyDescent="0.25">
      <c r="B853" s="12"/>
      <c r="C853" s="18"/>
    </row>
    <row r="854" spans="2:3" x14ac:dyDescent="0.25">
      <c r="B854" s="12"/>
      <c r="C854" s="18"/>
    </row>
    <row r="855" spans="2:3" x14ac:dyDescent="0.25">
      <c r="B855" s="12"/>
      <c r="C855" s="18"/>
    </row>
    <row r="856" spans="2:3" x14ac:dyDescent="0.25">
      <c r="B856" s="12"/>
      <c r="C856" s="18"/>
    </row>
    <row r="857" spans="2:3" x14ac:dyDescent="0.25">
      <c r="B857" s="12"/>
      <c r="C857" s="18"/>
    </row>
    <row r="858" spans="2:3" x14ac:dyDescent="0.25">
      <c r="B858" s="12"/>
      <c r="C858" s="18"/>
    </row>
    <row r="859" spans="2:3" x14ac:dyDescent="0.25">
      <c r="B859" s="12"/>
      <c r="C859" s="18"/>
    </row>
    <row r="860" spans="2:3" x14ac:dyDescent="0.25">
      <c r="B860" s="12"/>
      <c r="C860" s="18"/>
    </row>
    <row r="861" spans="2:3" x14ac:dyDescent="0.25">
      <c r="B861" s="12"/>
      <c r="C861" s="18"/>
    </row>
    <row r="862" spans="2:3" x14ac:dyDescent="0.25">
      <c r="B862" s="12"/>
      <c r="C862" s="18"/>
    </row>
    <row r="863" spans="2:3" x14ac:dyDescent="0.25">
      <c r="B863" s="12"/>
      <c r="C863" s="18"/>
    </row>
    <row r="864" spans="2:3" x14ac:dyDescent="0.25">
      <c r="B864" s="12"/>
      <c r="C864" s="18"/>
    </row>
    <row r="865" spans="2:3" x14ac:dyDescent="0.25">
      <c r="B865" s="12"/>
      <c r="C865" s="18"/>
    </row>
    <row r="866" spans="2:3" x14ac:dyDescent="0.25">
      <c r="B866" s="12"/>
      <c r="C866" s="18"/>
    </row>
    <row r="867" spans="2:3" x14ac:dyDescent="0.25">
      <c r="B867" s="12"/>
      <c r="C867" s="18"/>
    </row>
    <row r="868" spans="2:3" x14ac:dyDescent="0.25">
      <c r="B868" s="12"/>
      <c r="C868" s="18"/>
    </row>
    <row r="869" spans="2:3" x14ac:dyDescent="0.25">
      <c r="B869" s="12"/>
      <c r="C869" s="18"/>
    </row>
    <row r="870" spans="2:3" x14ac:dyDescent="0.25">
      <c r="B870" s="12"/>
      <c r="C870" s="18"/>
    </row>
    <row r="871" spans="2:3" x14ac:dyDescent="0.25">
      <c r="B871" s="12"/>
      <c r="C871" s="18"/>
    </row>
    <row r="872" spans="2:3" x14ac:dyDescent="0.25">
      <c r="B872" s="12"/>
      <c r="C872" s="18"/>
    </row>
    <row r="873" spans="2:3" x14ac:dyDescent="0.25">
      <c r="B873" s="12"/>
      <c r="C873" s="18"/>
    </row>
    <row r="874" spans="2:3" x14ac:dyDescent="0.25">
      <c r="B874" s="12"/>
      <c r="C874" s="18"/>
    </row>
    <row r="875" spans="2:3" x14ac:dyDescent="0.25">
      <c r="B875" s="12"/>
      <c r="C875" s="18"/>
    </row>
    <row r="876" spans="2:3" x14ac:dyDescent="0.25">
      <c r="B876" s="12"/>
      <c r="C876" s="18"/>
    </row>
    <row r="877" spans="2:3" x14ac:dyDescent="0.25">
      <c r="B877" s="12"/>
      <c r="C877" s="18"/>
    </row>
    <row r="878" spans="2:3" x14ac:dyDescent="0.25">
      <c r="B878" s="12"/>
      <c r="C878" s="18"/>
    </row>
    <row r="879" spans="2:3" x14ac:dyDescent="0.25">
      <c r="B879" s="12"/>
      <c r="C879" s="18"/>
    </row>
    <row r="880" spans="2:3" x14ac:dyDescent="0.25">
      <c r="B880" s="12"/>
      <c r="C880" s="18"/>
    </row>
    <row r="881" spans="2:3" x14ac:dyDescent="0.25">
      <c r="B881" s="12"/>
      <c r="C881" s="18"/>
    </row>
    <row r="882" spans="2:3" x14ac:dyDescent="0.25">
      <c r="B882" s="12"/>
      <c r="C882" s="18"/>
    </row>
    <row r="883" spans="2:3" x14ac:dyDescent="0.25">
      <c r="B883" s="12"/>
      <c r="C883" s="18"/>
    </row>
    <row r="884" spans="2:3" x14ac:dyDescent="0.25">
      <c r="B884" s="12"/>
      <c r="C884" s="18"/>
    </row>
    <row r="885" spans="2:3" x14ac:dyDescent="0.25">
      <c r="B885" s="12"/>
      <c r="C885" s="18"/>
    </row>
    <row r="886" spans="2:3" x14ac:dyDescent="0.25">
      <c r="B886" s="12"/>
      <c r="C886" s="18"/>
    </row>
    <row r="887" spans="2:3" x14ac:dyDescent="0.25">
      <c r="B887" s="12"/>
      <c r="C887" s="18"/>
    </row>
    <row r="888" spans="2:3" x14ac:dyDescent="0.25">
      <c r="B888" s="12"/>
      <c r="C888" s="18"/>
    </row>
    <row r="889" spans="2:3" x14ac:dyDescent="0.25">
      <c r="B889" s="12"/>
      <c r="C889" s="18"/>
    </row>
    <row r="890" spans="2:3" x14ac:dyDescent="0.25">
      <c r="B890" s="12"/>
      <c r="C890" s="18"/>
    </row>
    <row r="891" spans="2:3" x14ac:dyDescent="0.25">
      <c r="B891" s="12"/>
      <c r="C891" s="18"/>
    </row>
    <row r="892" spans="2:3" x14ac:dyDescent="0.25">
      <c r="B892" s="12"/>
      <c r="C892" s="18"/>
    </row>
    <row r="893" spans="2:3" x14ac:dyDescent="0.25">
      <c r="B893" s="12"/>
      <c r="C893" s="18"/>
    </row>
    <row r="894" spans="2:3" x14ac:dyDescent="0.25">
      <c r="B894" s="12"/>
      <c r="C894" s="18"/>
    </row>
    <row r="895" spans="2:3" x14ac:dyDescent="0.25">
      <c r="B895" s="12"/>
      <c r="C895" s="18"/>
    </row>
    <row r="896" spans="2:3" x14ac:dyDescent="0.25">
      <c r="B896" s="12"/>
      <c r="C896" s="18"/>
    </row>
    <row r="897" spans="2:3" x14ac:dyDescent="0.25">
      <c r="B897" s="12"/>
      <c r="C897" s="18"/>
    </row>
    <row r="898" spans="2:3" x14ac:dyDescent="0.25">
      <c r="B898" s="12"/>
      <c r="C898" s="18"/>
    </row>
    <row r="899" spans="2:3" x14ac:dyDescent="0.25">
      <c r="B899" s="12"/>
      <c r="C899" s="18"/>
    </row>
    <row r="900" spans="2:3" x14ac:dyDescent="0.25">
      <c r="B900" s="12"/>
      <c r="C900" s="18"/>
    </row>
    <row r="901" spans="2:3" x14ac:dyDescent="0.25">
      <c r="B901" s="12"/>
      <c r="C901" s="18"/>
    </row>
    <row r="902" spans="2:3" x14ac:dyDescent="0.25">
      <c r="B902" s="12"/>
      <c r="C902" s="18"/>
    </row>
    <row r="903" spans="2:3" x14ac:dyDescent="0.25">
      <c r="B903" s="12"/>
      <c r="C903" s="18"/>
    </row>
    <row r="904" spans="2:3" x14ac:dyDescent="0.25">
      <c r="B904" s="12"/>
      <c r="C904" s="18"/>
    </row>
    <row r="905" spans="2:3" x14ac:dyDescent="0.25">
      <c r="B905" s="12"/>
      <c r="C905" s="18"/>
    </row>
    <row r="906" spans="2:3" x14ac:dyDescent="0.25">
      <c r="B906" s="12"/>
      <c r="C906" s="18"/>
    </row>
    <row r="907" spans="2:3" x14ac:dyDescent="0.25">
      <c r="B907" s="12"/>
      <c r="C907" s="18"/>
    </row>
    <row r="908" spans="2:3" x14ac:dyDescent="0.25">
      <c r="B908" s="12"/>
      <c r="C908" s="18"/>
    </row>
    <row r="909" spans="2:3" x14ac:dyDescent="0.25">
      <c r="B909" s="12"/>
      <c r="C909" s="18"/>
    </row>
    <row r="910" spans="2:3" x14ac:dyDescent="0.25">
      <c r="B910" s="12"/>
      <c r="C910" s="18"/>
    </row>
    <row r="911" spans="2:3" x14ac:dyDescent="0.25">
      <c r="B911" s="12"/>
      <c r="C911" s="18"/>
    </row>
    <row r="912" spans="2:3" x14ac:dyDescent="0.25">
      <c r="B912" s="12"/>
      <c r="C912" s="18"/>
    </row>
    <row r="913" spans="2:3" x14ac:dyDescent="0.25">
      <c r="B913" s="12"/>
      <c r="C913" s="18"/>
    </row>
    <row r="914" spans="2:3" x14ac:dyDescent="0.25">
      <c r="B914" s="12"/>
      <c r="C914" s="18"/>
    </row>
    <row r="915" spans="2:3" x14ac:dyDescent="0.25">
      <c r="B915" s="12"/>
      <c r="C915" s="18"/>
    </row>
    <row r="916" spans="2:3" x14ac:dyDescent="0.25">
      <c r="B916" s="12"/>
      <c r="C916" s="18"/>
    </row>
    <row r="917" spans="2:3" x14ac:dyDescent="0.25">
      <c r="B917" s="12"/>
      <c r="C917" s="18"/>
    </row>
    <row r="918" spans="2:3" x14ac:dyDescent="0.25">
      <c r="B918" s="12"/>
      <c r="C918" s="18"/>
    </row>
    <row r="919" spans="2:3" x14ac:dyDescent="0.25">
      <c r="B919" s="12"/>
      <c r="C919" s="18"/>
    </row>
    <row r="920" spans="2:3" x14ac:dyDescent="0.25">
      <c r="B920" s="12"/>
      <c r="C920" s="18"/>
    </row>
    <row r="921" spans="2:3" x14ac:dyDescent="0.25">
      <c r="B921" s="12"/>
      <c r="C921" s="18"/>
    </row>
    <row r="922" spans="2:3" x14ac:dyDescent="0.25">
      <c r="B922" s="12"/>
      <c r="C922" s="18"/>
    </row>
    <row r="923" spans="2:3" x14ac:dyDescent="0.25">
      <c r="B923" s="12"/>
      <c r="C923" s="18"/>
    </row>
    <row r="924" spans="2:3" x14ac:dyDescent="0.25">
      <c r="B924" s="12"/>
      <c r="C924" s="18"/>
    </row>
    <row r="925" spans="2:3" x14ac:dyDescent="0.25">
      <c r="B925" s="12"/>
      <c r="C925" s="18"/>
    </row>
    <row r="926" spans="2:3" x14ac:dyDescent="0.25">
      <c r="B926" s="12"/>
      <c r="C926" s="18"/>
    </row>
    <row r="927" spans="2:3" x14ac:dyDescent="0.25">
      <c r="B927" s="12"/>
      <c r="C927" s="18"/>
    </row>
    <row r="928" spans="2:3" x14ac:dyDescent="0.25">
      <c r="B928" s="12"/>
      <c r="C928" s="18"/>
    </row>
    <row r="929" spans="2:3" x14ac:dyDescent="0.25">
      <c r="B929" s="12"/>
      <c r="C929" s="18"/>
    </row>
    <row r="930" spans="2:3" x14ac:dyDescent="0.25">
      <c r="B930" s="12"/>
      <c r="C930" s="18"/>
    </row>
    <row r="931" spans="2:3" x14ac:dyDescent="0.25">
      <c r="B931" s="12"/>
      <c r="C931" s="18"/>
    </row>
    <row r="932" spans="2:3" x14ac:dyDescent="0.25">
      <c r="B932" s="12"/>
      <c r="C932" s="18"/>
    </row>
    <row r="933" spans="2:3" x14ac:dyDescent="0.25">
      <c r="B933" s="12"/>
      <c r="C933" s="18"/>
    </row>
    <row r="934" spans="2:3" x14ac:dyDescent="0.25">
      <c r="B934" s="12"/>
      <c r="C934" s="18"/>
    </row>
    <row r="935" spans="2:3" x14ac:dyDescent="0.25">
      <c r="B935" s="12"/>
      <c r="C935" s="18"/>
    </row>
    <row r="936" spans="2:3" x14ac:dyDescent="0.25">
      <c r="B936" s="12"/>
      <c r="C936" s="18"/>
    </row>
    <row r="937" spans="2:3" x14ac:dyDescent="0.25">
      <c r="B937" s="12"/>
      <c r="C937" s="18"/>
    </row>
    <row r="938" spans="2:3" x14ac:dyDescent="0.25">
      <c r="B938" s="12"/>
      <c r="C938" s="18"/>
    </row>
    <row r="939" spans="2:3" x14ac:dyDescent="0.25">
      <c r="B939" s="12"/>
      <c r="C939" s="18"/>
    </row>
    <row r="940" spans="2:3" x14ac:dyDescent="0.25">
      <c r="B940" s="12"/>
      <c r="C940" s="18"/>
    </row>
    <row r="941" spans="2:3" x14ac:dyDescent="0.25">
      <c r="B941" s="12"/>
      <c r="C941" s="18"/>
    </row>
    <row r="942" spans="2:3" x14ac:dyDescent="0.25">
      <c r="B942" s="12"/>
      <c r="C942" s="18"/>
    </row>
    <row r="943" spans="2:3" x14ac:dyDescent="0.25">
      <c r="B943" s="12"/>
      <c r="C943" s="18"/>
    </row>
    <row r="944" spans="2:3" x14ac:dyDescent="0.25">
      <c r="B944" s="12"/>
      <c r="C944" s="18"/>
    </row>
    <row r="945" spans="2:3" x14ac:dyDescent="0.25">
      <c r="B945" s="12"/>
      <c r="C945" s="18"/>
    </row>
    <row r="946" spans="2:3" x14ac:dyDescent="0.25">
      <c r="B946" s="12"/>
      <c r="C946" s="18"/>
    </row>
    <row r="947" spans="2:3" x14ac:dyDescent="0.25">
      <c r="B947" s="12"/>
      <c r="C947" s="18"/>
    </row>
    <row r="948" spans="2:3" x14ac:dyDescent="0.25">
      <c r="B948" s="12"/>
      <c r="C948" s="18"/>
    </row>
    <row r="949" spans="2:3" x14ac:dyDescent="0.25">
      <c r="B949" s="12"/>
      <c r="C949" s="18"/>
    </row>
    <row r="950" spans="2:3" x14ac:dyDescent="0.25">
      <c r="B950" s="12"/>
      <c r="C950" s="18"/>
    </row>
    <row r="951" spans="2:3" x14ac:dyDescent="0.25">
      <c r="B951" s="12"/>
      <c r="C951" s="18"/>
    </row>
    <row r="952" spans="2:3" x14ac:dyDescent="0.25">
      <c r="B952" s="12"/>
      <c r="C952" s="18"/>
    </row>
    <row r="953" spans="2:3" x14ac:dyDescent="0.25">
      <c r="B953" s="12"/>
      <c r="C953" s="18"/>
    </row>
    <row r="954" spans="2:3" x14ac:dyDescent="0.25">
      <c r="B954" s="12"/>
      <c r="C954" s="18"/>
    </row>
    <row r="955" spans="2:3" x14ac:dyDescent="0.25">
      <c r="B955" s="12"/>
      <c r="C955" s="18"/>
    </row>
    <row r="956" spans="2:3" x14ac:dyDescent="0.25">
      <c r="B956" s="12"/>
      <c r="C956" s="18"/>
    </row>
    <row r="957" spans="2:3" x14ac:dyDescent="0.25">
      <c r="B957" s="12"/>
      <c r="C957" s="18"/>
    </row>
    <row r="958" spans="2:3" x14ac:dyDescent="0.25">
      <c r="B958" s="12"/>
      <c r="C958" s="18"/>
    </row>
    <row r="959" spans="2:3" x14ac:dyDescent="0.25">
      <c r="B959" s="12"/>
      <c r="C959" s="18"/>
    </row>
    <row r="960" spans="2:3" x14ac:dyDescent="0.25">
      <c r="B960" s="12"/>
      <c r="C960" s="18"/>
    </row>
    <row r="961" spans="2:3" x14ac:dyDescent="0.25">
      <c r="B961" s="12"/>
      <c r="C961" s="18"/>
    </row>
    <row r="962" spans="2:3" x14ac:dyDescent="0.25">
      <c r="B962" s="12"/>
      <c r="C962" s="18"/>
    </row>
    <row r="963" spans="2:3" x14ac:dyDescent="0.25">
      <c r="B963" s="12"/>
      <c r="C963" s="18"/>
    </row>
    <row r="964" spans="2:3" x14ac:dyDescent="0.25">
      <c r="B964" s="12"/>
      <c r="C964" s="18"/>
    </row>
    <row r="965" spans="2:3" x14ac:dyDescent="0.25">
      <c r="B965" s="12"/>
      <c r="C965" s="18"/>
    </row>
    <row r="966" spans="2:3" x14ac:dyDescent="0.25">
      <c r="B966" s="12"/>
      <c r="C966" s="18"/>
    </row>
    <row r="967" spans="2:3" x14ac:dyDescent="0.25">
      <c r="B967" s="12"/>
      <c r="C967" s="18"/>
    </row>
    <row r="968" spans="2:3" x14ac:dyDescent="0.25">
      <c r="B968" s="12"/>
      <c r="C968" s="18"/>
    </row>
    <row r="969" spans="2:3" x14ac:dyDescent="0.25">
      <c r="B969" s="12"/>
      <c r="C969" s="18"/>
    </row>
    <row r="970" spans="2:3" x14ac:dyDescent="0.25">
      <c r="B970" s="12"/>
      <c r="C970" s="18"/>
    </row>
    <row r="971" spans="2:3" x14ac:dyDescent="0.25">
      <c r="B971" s="12"/>
      <c r="C971" s="18"/>
    </row>
    <row r="972" spans="2:3" x14ac:dyDescent="0.25">
      <c r="B972" s="12"/>
      <c r="C972" s="18"/>
    </row>
    <row r="973" spans="2:3" x14ac:dyDescent="0.25">
      <c r="B973" s="12"/>
      <c r="C973" s="18"/>
    </row>
    <row r="974" spans="2:3" x14ac:dyDescent="0.25">
      <c r="B974" s="12"/>
      <c r="C974" s="18"/>
    </row>
    <row r="975" spans="2:3" x14ac:dyDescent="0.25">
      <c r="B975" s="12"/>
      <c r="C975" s="18"/>
    </row>
    <row r="976" spans="2:3" x14ac:dyDescent="0.25">
      <c r="B976" s="12"/>
      <c r="C976" s="18"/>
    </row>
    <row r="977" spans="2:3" x14ac:dyDescent="0.25">
      <c r="B977" s="12"/>
      <c r="C977" s="18"/>
    </row>
    <row r="978" spans="2:3" x14ac:dyDescent="0.25">
      <c r="B978" s="12"/>
      <c r="C978" s="18"/>
    </row>
    <row r="979" spans="2:3" x14ac:dyDescent="0.25">
      <c r="B979" s="12"/>
      <c r="C979" s="18"/>
    </row>
    <row r="980" spans="2:3" x14ac:dyDescent="0.25">
      <c r="B980" s="12"/>
      <c r="C980" s="18"/>
    </row>
    <row r="981" spans="2:3" x14ac:dyDescent="0.25">
      <c r="B981" s="12"/>
      <c r="C981" s="18"/>
    </row>
    <row r="982" spans="2:3" x14ac:dyDescent="0.25">
      <c r="B982" s="12"/>
      <c r="C982" s="18"/>
    </row>
    <row r="983" spans="2:3" x14ac:dyDescent="0.25">
      <c r="B983" s="12"/>
      <c r="C983" s="18"/>
    </row>
    <row r="984" spans="2:3" x14ac:dyDescent="0.25">
      <c r="B984" s="12"/>
      <c r="C984" s="18"/>
    </row>
    <row r="985" spans="2:3" x14ac:dyDescent="0.25">
      <c r="B985" s="12"/>
      <c r="C985" s="18"/>
    </row>
    <row r="986" spans="2:3" x14ac:dyDescent="0.25">
      <c r="B986" s="12"/>
      <c r="C986" s="18"/>
    </row>
    <row r="987" spans="2:3" x14ac:dyDescent="0.25">
      <c r="B987" s="12"/>
      <c r="C987" s="18"/>
    </row>
    <row r="988" spans="2:3" x14ac:dyDescent="0.25">
      <c r="B988" s="12"/>
      <c r="C988" s="18"/>
    </row>
    <row r="989" spans="2:3" x14ac:dyDescent="0.25">
      <c r="B989" s="12"/>
      <c r="C989" s="18"/>
    </row>
    <row r="990" spans="2:3" x14ac:dyDescent="0.25">
      <c r="B990" s="12"/>
      <c r="C990" s="18"/>
    </row>
    <row r="991" spans="2:3" x14ac:dyDescent="0.25">
      <c r="B991" s="12"/>
      <c r="C991" s="18"/>
    </row>
    <row r="992" spans="2:3" x14ac:dyDescent="0.25">
      <c r="B992" s="12"/>
      <c r="C992" s="18"/>
    </row>
    <row r="993" spans="2:3" x14ac:dyDescent="0.25">
      <c r="B993" s="12"/>
      <c r="C993" s="18"/>
    </row>
    <row r="994" spans="2:3" x14ac:dyDescent="0.25">
      <c r="B994" s="12"/>
      <c r="C994" s="18"/>
    </row>
    <row r="995" spans="2:3" x14ac:dyDescent="0.25">
      <c r="B995" s="12"/>
      <c r="C995" s="18"/>
    </row>
    <row r="996" spans="2:3" x14ac:dyDescent="0.25">
      <c r="B996" s="12"/>
      <c r="C996" s="18"/>
    </row>
    <row r="997" spans="2:3" x14ac:dyDescent="0.25">
      <c r="B997" s="12"/>
      <c r="C997" s="18"/>
    </row>
    <row r="998" spans="2:3" x14ac:dyDescent="0.25">
      <c r="B998" s="12"/>
      <c r="C998" s="18"/>
    </row>
    <row r="999" spans="2:3" x14ac:dyDescent="0.25">
      <c r="B999" s="12"/>
      <c r="C999" s="18"/>
    </row>
    <row r="1000" spans="2:3" x14ac:dyDescent="0.25">
      <c r="B1000" s="12"/>
      <c r="C1000" s="18"/>
    </row>
    <row r="1001" spans="2:3" x14ac:dyDescent="0.25">
      <c r="B1001" s="12"/>
      <c r="C1001" s="18"/>
    </row>
    <row r="1002" spans="2:3" x14ac:dyDescent="0.25">
      <c r="B1002" s="12"/>
      <c r="C1002" s="18"/>
    </row>
    <row r="1003" spans="2:3" x14ac:dyDescent="0.25">
      <c r="B1003" s="12"/>
      <c r="C1003" s="18"/>
    </row>
    <row r="1004" spans="2:3" x14ac:dyDescent="0.25">
      <c r="B1004" s="12"/>
      <c r="C1004" s="18"/>
    </row>
    <row r="1005" spans="2:3" x14ac:dyDescent="0.25">
      <c r="B1005" s="12"/>
      <c r="C1005" s="18"/>
    </row>
    <row r="1006" spans="2:3" x14ac:dyDescent="0.25">
      <c r="B1006" s="12"/>
      <c r="C1006" s="18"/>
    </row>
    <row r="1007" spans="2:3" x14ac:dyDescent="0.25">
      <c r="B1007" s="12"/>
      <c r="C1007" s="18"/>
    </row>
    <row r="1008" spans="2:3" x14ac:dyDescent="0.25">
      <c r="B1008" s="12"/>
      <c r="C1008" s="18"/>
    </row>
    <row r="1009" spans="2:3" x14ac:dyDescent="0.25">
      <c r="B1009" s="12"/>
      <c r="C1009" s="18"/>
    </row>
    <row r="1010" spans="2:3" x14ac:dyDescent="0.25">
      <c r="B1010" s="12"/>
      <c r="C1010" s="18"/>
    </row>
    <row r="1011" spans="2:3" x14ac:dyDescent="0.25">
      <c r="B1011" s="12"/>
      <c r="C1011" s="18"/>
    </row>
    <row r="1012" spans="2:3" x14ac:dyDescent="0.25">
      <c r="B1012" s="12"/>
      <c r="C1012" s="18"/>
    </row>
    <row r="1013" spans="2:3" x14ac:dyDescent="0.25">
      <c r="B1013" s="12"/>
      <c r="C1013" s="18"/>
    </row>
    <row r="1014" spans="2:3" x14ac:dyDescent="0.25">
      <c r="B1014" s="12"/>
      <c r="C1014" s="18"/>
    </row>
    <row r="1015" spans="2:3" x14ac:dyDescent="0.25">
      <c r="B1015" s="12"/>
      <c r="C1015" s="18"/>
    </row>
    <row r="1016" spans="2:3" x14ac:dyDescent="0.25">
      <c r="B1016" s="12"/>
      <c r="C1016" s="18"/>
    </row>
    <row r="1017" spans="2:3" x14ac:dyDescent="0.25">
      <c r="B1017" s="12"/>
      <c r="C1017" s="18"/>
    </row>
    <row r="1018" spans="2:3" x14ac:dyDescent="0.25">
      <c r="B1018" s="12"/>
      <c r="C1018" s="18"/>
    </row>
    <row r="1019" spans="2:3" x14ac:dyDescent="0.25">
      <c r="B1019" s="12"/>
      <c r="C1019" s="18"/>
    </row>
    <row r="1020" spans="2:3" x14ac:dyDescent="0.25">
      <c r="B1020" s="12"/>
      <c r="C1020" s="18"/>
    </row>
    <row r="1021" spans="2:3" x14ac:dyDescent="0.25">
      <c r="B1021" s="12"/>
      <c r="C1021" s="18"/>
    </row>
    <row r="1022" spans="2:3" x14ac:dyDescent="0.25">
      <c r="B1022" s="12"/>
      <c r="C1022" s="18"/>
    </row>
    <row r="1023" spans="2:3" x14ac:dyDescent="0.25">
      <c r="B1023" s="12"/>
      <c r="C1023" s="18"/>
    </row>
    <row r="1024" spans="2:3" x14ac:dyDescent="0.25">
      <c r="B1024" s="12"/>
      <c r="C1024" s="18"/>
    </row>
    <row r="1025" spans="2:3" x14ac:dyDescent="0.25">
      <c r="B1025" s="12"/>
      <c r="C1025" s="18"/>
    </row>
    <row r="1026" spans="2:3" x14ac:dyDescent="0.25">
      <c r="B1026" s="12"/>
      <c r="C1026" s="18"/>
    </row>
    <row r="1027" spans="2:3" x14ac:dyDescent="0.25">
      <c r="B1027" s="12"/>
      <c r="C1027" s="18"/>
    </row>
    <row r="1028" spans="2:3" x14ac:dyDescent="0.25">
      <c r="B1028" s="12"/>
      <c r="C1028" s="18"/>
    </row>
    <row r="1029" spans="2:3" x14ac:dyDescent="0.25">
      <c r="B1029" s="12"/>
      <c r="C1029" s="18"/>
    </row>
    <row r="1030" spans="2:3" x14ac:dyDescent="0.25">
      <c r="B1030" s="12"/>
      <c r="C1030" s="18"/>
    </row>
    <row r="1031" spans="2:3" x14ac:dyDescent="0.25">
      <c r="B1031" s="12"/>
      <c r="C1031" s="18"/>
    </row>
    <row r="1032" spans="2:3" x14ac:dyDescent="0.25">
      <c r="B1032" s="12"/>
      <c r="C1032" s="18"/>
    </row>
    <row r="1033" spans="2:3" x14ac:dyDescent="0.25">
      <c r="B1033" s="12"/>
      <c r="C1033" s="18"/>
    </row>
    <row r="1034" spans="2:3" x14ac:dyDescent="0.25">
      <c r="B1034" s="12"/>
      <c r="C1034" s="18"/>
    </row>
    <row r="1035" spans="2:3" x14ac:dyDescent="0.25">
      <c r="B1035" s="12"/>
      <c r="C1035" s="18"/>
    </row>
    <row r="1036" spans="2:3" x14ac:dyDescent="0.25">
      <c r="B1036" s="12"/>
      <c r="C1036" s="18"/>
    </row>
    <row r="1037" spans="2:3" x14ac:dyDescent="0.25">
      <c r="B1037" s="12"/>
      <c r="C1037" s="18"/>
    </row>
    <row r="1038" spans="2:3" x14ac:dyDescent="0.25">
      <c r="B1038" s="12"/>
      <c r="C1038" s="18"/>
    </row>
    <row r="1039" spans="2:3" x14ac:dyDescent="0.25">
      <c r="B1039" s="12"/>
      <c r="C1039" s="18"/>
    </row>
    <row r="1040" spans="2:3" x14ac:dyDescent="0.25">
      <c r="B1040" s="12"/>
      <c r="C1040" s="18"/>
    </row>
    <row r="1041" spans="2:3" x14ac:dyDescent="0.25">
      <c r="B1041" s="12"/>
      <c r="C1041" s="18"/>
    </row>
    <row r="1042" spans="2:3" x14ac:dyDescent="0.25">
      <c r="B1042" s="12"/>
      <c r="C1042" s="18"/>
    </row>
    <row r="1043" spans="2:3" x14ac:dyDescent="0.25">
      <c r="B1043" s="12"/>
      <c r="C1043" s="18"/>
    </row>
    <row r="1044" spans="2:3" x14ac:dyDescent="0.25">
      <c r="B1044" s="12"/>
      <c r="C1044" s="18"/>
    </row>
    <row r="1045" spans="2:3" x14ac:dyDescent="0.25">
      <c r="B1045" s="12"/>
      <c r="C1045" s="18"/>
    </row>
    <row r="1046" spans="2:3" x14ac:dyDescent="0.25">
      <c r="B1046" s="12"/>
      <c r="C1046" s="18"/>
    </row>
    <row r="1047" spans="2:3" x14ac:dyDescent="0.25">
      <c r="B1047" s="12"/>
      <c r="C1047" s="18"/>
    </row>
    <row r="1048" spans="2:3" x14ac:dyDescent="0.25">
      <c r="B1048" s="12"/>
      <c r="C1048" s="18"/>
    </row>
    <row r="1049" spans="2:3" x14ac:dyDescent="0.25">
      <c r="B1049" s="12"/>
      <c r="C1049" s="18"/>
    </row>
    <row r="1050" spans="2:3" x14ac:dyDescent="0.25">
      <c r="B1050" s="12"/>
      <c r="C1050" s="18"/>
    </row>
    <row r="1051" spans="2:3" x14ac:dyDescent="0.25">
      <c r="B1051" s="12"/>
      <c r="C1051" s="18"/>
    </row>
    <row r="1052" spans="2:3" x14ac:dyDescent="0.25">
      <c r="B1052" s="12"/>
      <c r="C1052" s="18"/>
    </row>
    <row r="1053" spans="2:3" x14ac:dyDescent="0.25">
      <c r="B1053" s="12"/>
      <c r="C1053" s="18"/>
    </row>
    <row r="1054" spans="2:3" x14ac:dyDescent="0.25">
      <c r="B1054" s="12"/>
      <c r="C1054" s="18"/>
    </row>
    <row r="1055" spans="2:3" x14ac:dyDescent="0.25">
      <c r="B1055" s="12"/>
      <c r="C1055" s="18"/>
    </row>
    <row r="1056" spans="2:3" x14ac:dyDescent="0.25">
      <c r="B1056" s="12"/>
      <c r="C1056" s="18"/>
    </row>
    <row r="1057" spans="2:3" x14ac:dyDescent="0.25">
      <c r="B1057" s="12"/>
      <c r="C1057" s="18"/>
    </row>
    <row r="1058" spans="2:3" x14ac:dyDescent="0.25">
      <c r="B1058" s="12"/>
      <c r="C1058" s="18"/>
    </row>
    <row r="1059" spans="2:3" x14ac:dyDescent="0.25">
      <c r="B1059" s="12"/>
      <c r="C1059" s="18"/>
    </row>
    <row r="1060" spans="2:3" x14ac:dyDescent="0.25">
      <c r="B1060" s="12"/>
      <c r="C1060" s="18"/>
    </row>
    <row r="1061" spans="2:3" x14ac:dyDescent="0.25">
      <c r="B1061" s="12"/>
      <c r="C1061" s="18"/>
    </row>
    <row r="1062" spans="2:3" x14ac:dyDescent="0.25">
      <c r="B1062" s="12"/>
      <c r="C1062" s="18"/>
    </row>
    <row r="1063" spans="2:3" x14ac:dyDescent="0.25">
      <c r="B1063" s="12"/>
      <c r="C1063" s="18"/>
    </row>
    <row r="1064" spans="2:3" x14ac:dyDescent="0.25">
      <c r="B1064" s="12"/>
      <c r="C1064" s="18"/>
    </row>
    <row r="1065" spans="2:3" x14ac:dyDescent="0.25">
      <c r="B1065" s="12"/>
      <c r="C1065" s="18"/>
    </row>
    <row r="1066" spans="2:3" x14ac:dyDescent="0.25">
      <c r="B1066" s="12"/>
      <c r="C1066" s="18"/>
    </row>
    <row r="1067" spans="2:3" x14ac:dyDescent="0.25">
      <c r="B1067" s="12"/>
      <c r="C1067" s="18"/>
    </row>
    <row r="1068" spans="2:3" x14ac:dyDescent="0.25">
      <c r="B1068" s="12"/>
      <c r="C1068" s="18"/>
    </row>
    <row r="1069" spans="2:3" x14ac:dyDescent="0.25">
      <c r="B1069" s="12"/>
      <c r="C1069" s="18"/>
    </row>
    <row r="1070" spans="2:3" x14ac:dyDescent="0.25">
      <c r="B1070" s="12"/>
      <c r="C1070" s="18"/>
    </row>
    <row r="1071" spans="2:3" x14ac:dyDescent="0.25">
      <c r="B1071" s="12"/>
      <c r="C1071" s="18"/>
    </row>
    <row r="1072" spans="2:3" x14ac:dyDescent="0.25">
      <c r="B1072" s="12"/>
      <c r="C1072" s="18"/>
    </row>
    <row r="1073" spans="2:3" x14ac:dyDescent="0.25">
      <c r="B1073" s="12"/>
      <c r="C1073" s="18"/>
    </row>
    <row r="1074" spans="2:3" x14ac:dyDescent="0.25">
      <c r="B1074" s="12"/>
      <c r="C1074" s="18"/>
    </row>
    <row r="1075" spans="2:3" x14ac:dyDescent="0.25">
      <c r="B1075" s="12"/>
      <c r="C1075" s="18"/>
    </row>
    <row r="1076" spans="2:3" x14ac:dyDescent="0.25">
      <c r="B1076" s="12"/>
      <c r="C1076" s="18"/>
    </row>
    <row r="1077" spans="2:3" x14ac:dyDescent="0.25">
      <c r="B1077" s="12"/>
      <c r="C1077" s="18"/>
    </row>
    <row r="1078" spans="2:3" x14ac:dyDescent="0.25">
      <c r="B1078" s="12"/>
      <c r="C1078" s="18"/>
    </row>
    <row r="1079" spans="2:3" x14ac:dyDescent="0.25">
      <c r="B1079" s="12"/>
      <c r="C1079" s="18"/>
    </row>
    <row r="1080" spans="2:3" x14ac:dyDescent="0.25">
      <c r="B1080" s="12"/>
      <c r="C1080" s="18"/>
    </row>
    <row r="1081" spans="2:3" x14ac:dyDescent="0.25">
      <c r="B1081" s="12"/>
      <c r="C1081" s="18"/>
    </row>
    <row r="1082" spans="2:3" x14ac:dyDescent="0.25">
      <c r="B1082" s="12"/>
      <c r="C1082" s="18"/>
    </row>
    <row r="1083" spans="2:3" x14ac:dyDescent="0.25">
      <c r="B1083" s="12"/>
      <c r="C1083" s="18"/>
    </row>
    <row r="1084" spans="2:3" x14ac:dyDescent="0.25">
      <c r="B1084" s="12"/>
      <c r="C1084" s="18"/>
    </row>
    <row r="1085" spans="2:3" x14ac:dyDescent="0.25">
      <c r="B1085" s="12"/>
      <c r="C1085" s="18"/>
    </row>
    <row r="1086" spans="2:3" x14ac:dyDescent="0.25">
      <c r="B1086" s="12"/>
      <c r="C1086" s="18"/>
    </row>
    <row r="1087" spans="2:3" x14ac:dyDescent="0.25">
      <c r="B1087" s="12"/>
      <c r="C1087" s="18"/>
    </row>
    <row r="1088" spans="2:3" x14ac:dyDescent="0.25">
      <c r="B1088" s="12"/>
      <c r="C1088" s="18"/>
    </row>
    <row r="1089" spans="2:3" x14ac:dyDescent="0.25">
      <c r="B1089" s="12"/>
      <c r="C1089" s="18"/>
    </row>
    <row r="1090" spans="2:3" x14ac:dyDescent="0.25">
      <c r="B1090" s="12"/>
      <c r="C1090" s="18"/>
    </row>
    <row r="1091" spans="2:3" x14ac:dyDescent="0.25">
      <c r="B1091" s="12"/>
      <c r="C1091" s="18"/>
    </row>
    <row r="1092" spans="2:3" x14ac:dyDescent="0.25">
      <c r="B1092" s="12"/>
      <c r="C1092" s="18"/>
    </row>
    <row r="1093" spans="2:3" x14ac:dyDescent="0.25">
      <c r="B1093" s="12"/>
      <c r="C1093" s="18"/>
    </row>
    <row r="1094" spans="2:3" x14ac:dyDescent="0.25">
      <c r="B1094" s="12"/>
      <c r="C1094" s="18"/>
    </row>
    <row r="1095" spans="2:3" x14ac:dyDescent="0.25">
      <c r="B1095" s="12"/>
      <c r="C1095" s="18"/>
    </row>
    <row r="1096" spans="2:3" x14ac:dyDescent="0.25">
      <c r="B1096" s="12"/>
      <c r="C1096" s="18"/>
    </row>
    <row r="1097" spans="2:3" x14ac:dyDescent="0.25">
      <c r="B1097" s="12"/>
      <c r="C1097" s="18"/>
    </row>
    <row r="1098" spans="2:3" x14ac:dyDescent="0.25">
      <c r="B1098" s="12"/>
      <c r="C1098" s="18"/>
    </row>
    <row r="1099" spans="2:3" x14ac:dyDescent="0.25">
      <c r="B1099" s="12"/>
      <c r="C1099" s="18"/>
    </row>
    <row r="1100" spans="2:3" x14ac:dyDescent="0.25">
      <c r="B1100" s="12"/>
      <c r="C1100" s="18"/>
    </row>
    <row r="1101" spans="2:3" x14ac:dyDescent="0.25">
      <c r="B1101" s="12"/>
      <c r="C1101" s="18"/>
    </row>
    <row r="1102" spans="2:3" x14ac:dyDescent="0.25">
      <c r="B1102" s="12"/>
      <c r="C1102" s="18"/>
    </row>
    <row r="1103" spans="2:3" x14ac:dyDescent="0.25">
      <c r="B1103" s="12"/>
      <c r="C1103" s="18"/>
    </row>
    <row r="1104" spans="2:3" x14ac:dyDescent="0.25">
      <c r="B1104" s="12"/>
      <c r="C1104" s="18"/>
    </row>
    <row r="1105" spans="2:3" x14ac:dyDescent="0.25">
      <c r="B1105" s="12"/>
      <c r="C1105" s="18"/>
    </row>
    <row r="1106" spans="2:3" x14ac:dyDescent="0.25">
      <c r="B1106" s="12"/>
      <c r="C1106" s="18"/>
    </row>
    <row r="1107" spans="2:3" x14ac:dyDescent="0.25">
      <c r="B1107" s="12"/>
      <c r="C1107" s="18"/>
    </row>
    <row r="1108" spans="2:3" x14ac:dyDescent="0.25">
      <c r="B1108" s="12"/>
      <c r="C1108" s="18"/>
    </row>
    <row r="1109" spans="2:3" x14ac:dyDescent="0.25">
      <c r="B1109" s="12"/>
      <c r="C1109" s="18"/>
    </row>
    <row r="1110" spans="2:3" x14ac:dyDescent="0.25">
      <c r="B1110" s="12"/>
      <c r="C1110" s="18"/>
    </row>
    <row r="1111" spans="2:3" x14ac:dyDescent="0.25">
      <c r="B1111" s="12"/>
      <c r="C1111" s="18"/>
    </row>
    <row r="1112" spans="2:3" x14ac:dyDescent="0.25">
      <c r="B1112" s="12"/>
      <c r="C1112" s="18"/>
    </row>
    <row r="1113" spans="2:3" x14ac:dyDescent="0.25">
      <c r="B1113" s="12"/>
      <c r="C1113" s="18"/>
    </row>
    <row r="1114" spans="2:3" x14ac:dyDescent="0.25">
      <c r="B1114" s="12"/>
      <c r="C1114" s="18"/>
    </row>
    <row r="1115" spans="2:3" x14ac:dyDescent="0.25">
      <c r="B1115" s="12"/>
      <c r="C1115" s="18"/>
    </row>
    <row r="1116" spans="2:3" x14ac:dyDescent="0.25">
      <c r="B1116" s="12"/>
      <c r="C1116" s="18"/>
    </row>
    <row r="1117" spans="2:3" x14ac:dyDescent="0.25">
      <c r="B1117" s="12"/>
      <c r="C1117" s="18"/>
    </row>
    <row r="1118" spans="2:3" x14ac:dyDescent="0.25">
      <c r="B1118" s="12"/>
      <c r="C1118" s="18"/>
    </row>
    <row r="1119" spans="2:3" x14ac:dyDescent="0.25">
      <c r="B1119" s="12"/>
      <c r="C1119" s="18"/>
    </row>
    <row r="1120" spans="2:3" x14ac:dyDescent="0.25">
      <c r="B1120" s="12"/>
      <c r="C1120" s="18"/>
    </row>
    <row r="1121" spans="2:3" x14ac:dyDescent="0.25">
      <c r="B1121" s="12"/>
      <c r="C1121" s="18"/>
    </row>
    <row r="1122" spans="2:3" x14ac:dyDescent="0.25">
      <c r="B1122" s="12"/>
      <c r="C1122" s="18"/>
    </row>
    <row r="1123" spans="2:3" x14ac:dyDescent="0.25">
      <c r="B1123" s="12"/>
      <c r="C1123" s="18"/>
    </row>
    <row r="1124" spans="2:3" x14ac:dyDescent="0.25">
      <c r="B1124" s="12"/>
      <c r="C1124" s="18"/>
    </row>
    <row r="1125" spans="2:3" x14ac:dyDescent="0.25">
      <c r="B1125" s="12"/>
      <c r="C1125" s="18"/>
    </row>
    <row r="1126" spans="2:3" x14ac:dyDescent="0.25">
      <c r="B1126" s="12"/>
      <c r="C1126" s="18"/>
    </row>
    <row r="1127" spans="2:3" x14ac:dyDescent="0.25">
      <c r="B1127" s="12"/>
      <c r="C1127" s="18"/>
    </row>
    <row r="1128" spans="2:3" x14ac:dyDescent="0.25">
      <c r="B1128" s="12"/>
      <c r="C1128" s="18"/>
    </row>
    <row r="1129" spans="2:3" x14ac:dyDescent="0.25">
      <c r="B1129" s="12"/>
      <c r="C1129" s="18"/>
    </row>
    <row r="1130" spans="2:3" x14ac:dyDescent="0.25">
      <c r="B1130" s="12"/>
      <c r="C1130" s="18"/>
    </row>
    <row r="1131" spans="2:3" x14ac:dyDescent="0.25">
      <c r="B1131" s="12"/>
      <c r="C1131" s="18"/>
    </row>
    <row r="1132" spans="2:3" x14ac:dyDescent="0.25">
      <c r="B1132" s="12"/>
      <c r="C1132" s="18"/>
    </row>
    <row r="1133" spans="2:3" x14ac:dyDescent="0.25">
      <c r="B1133" s="12"/>
      <c r="C1133" s="18"/>
    </row>
    <row r="1134" spans="2:3" x14ac:dyDescent="0.25">
      <c r="B1134" s="12"/>
      <c r="C1134" s="18"/>
    </row>
    <row r="1135" spans="2:3" x14ac:dyDescent="0.25">
      <c r="B1135" s="12"/>
      <c r="C1135" s="18"/>
    </row>
    <row r="1136" spans="2:3" x14ac:dyDescent="0.25">
      <c r="B1136" s="12"/>
      <c r="C1136" s="18"/>
    </row>
    <row r="1137" spans="2:3" x14ac:dyDescent="0.25">
      <c r="B1137" s="12"/>
      <c r="C1137" s="18"/>
    </row>
    <row r="1138" spans="2:3" x14ac:dyDescent="0.25">
      <c r="B1138" s="12"/>
      <c r="C1138" s="18"/>
    </row>
    <row r="1139" spans="2:3" x14ac:dyDescent="0.25">
      <c r="B1139" s="12"/>
      <c r="C1139" s="18"/>
    </row>
    <row r="1140" spans="2:3" x14ac:dyDescent="0.25">
      <c r="B1140" s="12"/>
      <c r="C1140" s="18"/>
    </row>
    <row r="1141" spans="2:3" x14ac:dyDescent="0.25">
      <c r="B1141" s="12"/>
      <c r="C1141" s="18"/>
    </row>
    <row r="1142" spans="2:3" x14ac:dyDescent="0.25">
      <c r="B1142" s="12"/>
      <c r="C1142" s="18"/>
    </row>
    <row r="1143" spans="2:3" x14ac:dyDescent="0.25">
      <c r="B1143" s="12"/>
      <c r="C1143" s="18"/>
    </row>
    <row r="1144" spans="2:3" x14ac:dyDescent="0.25">
      <c r="B1144" s="12"/>
      <c r="C1144" s="18"/>
    </row>
    <row r="1145" spans="2:3" x14ac:dyDescent="0.25">
      <c r="B1145" s="12"/>
      <c r="C1145" s="18"/>
    </row>
    <row r="1146" spans="2:3" x14ac:dyDescent="0.25">
      <c r="B1146" s="12"/>
      <c r="C1146" s="18"/>
    </row>
    <row r="1147" spans="2:3" x14ac:dyDescent="0.25">
      <c r="B1147" s="12"/>
      <c r="C1147" s="18"/>
    </row>
    <row r="1148" spans="2:3" x14ac:dyDescent="0.25">
      <c r="B1148" s="12"/>
      <c r="C1148" s="18"/>
    </row>
    <row r="1149" spans="2:3" x14ac:dyDescent="0.25">
      <c r="B1149" s="12"/>
      <c r="C1149" s="18"/>
    </row>
    <row r="1150" spans="2:3" x14ac:dyDescent="0.25">
      <c r="B1150" s="12"/>
      <c r="C1150" s="18"/>
    </row>
    <row r="1151" spans="2:3" x14ac:dyDescent="0.25">
      <c r="B1151" s="12"/>
      <c r="C1151" s="18"/>
    </row>
    <row r="1152" spans="2:3" x14ac:dyDescent="0.25">
      <c r="B1152" s="12"/>
      <c r="C1152" s="18"/>
    </row>
    <row r="1153" spans="2:3" x14ac:dyDescent="0.25">
      <c r="B1153" s="12"/>
      <c r="C1153" s="18"/>
    </row>
    <row r="1154" spans="2:3" x14ac:dyDescent="0.25">
      <c r="B1154" s="12"/>
      <c r="C1154" s="18"/>
    </row>
    <row r="1155" spans="2:3" x14ac:dyDescent="0.25">
      <c r="B1155" s="12"/>
      <c r="C1155" s="18"/>
    </row>
    <row r="1156" spans="2:3" x14ac:dyDescent="0.25">
      <c r="B1156" s="12"/>
      <c r="C1156" s="18"/>
    </row>
    <row r="1157" spans="2:3" x14ac:dyDescent="0.25">
      <c r="B1157" s="12"/>
      <c r="C1157" s="18"/>
    </row>
    <row r="1158" spans="2:3" x14ac:dyDescent="0.25">
      <c r="B1158" s="12"/>
      <c r="C1158" s="18"/>
    </row>
    <row r="1159" spans="2:3" x14ac:dyDescent="0.25">
      <c r="B1159" s="12"/>
      <c r="C1159" s="18"/>
    </row>
    <row r="1160" spans="2:3" x14ac:dyDescent="0.25">
      <c r="B1160" s="12"/>
      <c r="C1160" s="18"/>
    </row>
    <row r="1161" spans="2:3" x14ac:dyDescent="0.25">
      <c r="B1161" s="12"/>
      <c r="C1161" s="18"/>
    </row>
    <row r="1162" spans="2:3" x14ac:dyDescent="0.25">
      <c r="B1162" s="12"/>
      <c r="C1162" s="18"/>
    </row>
    <row r="1163" spans="2:3" x14ac:dyDescent="0.25">
      <c r="B1163" s="12"/>
      <c r="C1163" s="18"/>
    </row>
    <row r="1164" spans="2:3" x14ac:dyDescent="0.25">
      <c r="B1164" s="12"/>
      <c r="C1164" s="18"/>
    </row>
    <row r="1165" spans="2:3" x14ac:dyDescent="0.25">
      <c r="B1165" s="12"/>
      <c r="C1165" s="18"/>
    </row>
    <row r="1166" spans="2:3" x14ac:dyDescent="0.25">
      <c r="B1166" s="12"/>
      <c r="C1166" s="18"/>
    </row>
    <row r="1167" spans="2:3" x14ac:dyDescent="0.25">
      <c r="B1167" s="12"/>
      <c r="C1167" s="18"/>
    </row>
    <row r="1168" spans="2:3" x14ac:dyDescent="0.25">
      <c r="B1168" s="12"/>
      <c r="C1168" s="18"/>
    </row>
    <row r="1169" spans="2:3" x14ac:dyDescent="0.25">
      <c r="B1169" s="12"/>
      <c r="C1169" s="18"/>
    </row>
    <row r="1170" spans="2:3" x14ac:dyDescent="0.25">
      <c r="B1170" s="12"/>
      <c r="C1170" s="18"/>
    </row>
    <row r="1171" spans="2:3" x14ac:dyDescent="0.25">
      <c r="B1171" s="12"/>
      <c r="C1171" s="18"/>
    </row>
    <row r="1172" spans="2:3" x14ac:dyDescent="0.25">
      <c r="B1172" s="12"/>
      <c r="C1172" s="18"/>
    </row>
    <row r="1173" spans="2:3" x14ac:dyDescent="0.25">
      <c r="B1173" s="12"/>
      <c r="C1173" s="18"/>
    </row>
    <row r="1174" spans="2:3" x14ac:dyDescent="0.25">
      <c r="B1174" s="12"/>
      <c r="C1174" s="18"/>
    </row>
    <row r="1175" spans="2:3" x14ac:dyDescent="0.25">
      <c r="B1175" s="12"/>
      <c r="C1175" s="18"/>
    </row>
    <row r="1176" spans="2:3" x14ac:dyDescent="0.25">
      <c r="B1176" s="12"/>
      <c r="C1176" s="18"/>
    </row>
    <row r="1177" spans="2:3" x14ac:dyDescent="0.25">
      <c r="B1177" s="12"/>
      <c r="C1177" s="18"/>
    </row>
    <row r="1178" spans="2:3" x14ac:dyDescent="0.25">
      <c r="B1178" s="12"/>
      <c r="C1178" s="18"/>
    </row>
    <row r="1179" spans="2:3" x14ac:dyDescent="0.25">
      <c r="B1179" s="12"/>
      <c r="C1179" s="18"/>
    </row>
    <row r="1180" spans="2:3" x14ac:dyDescent="0.25">
      <c r="B1180" s="12"/>
      <c r="C1180" s="18"/>
    </row>
    <row r="1181" spans="2:3" x14ac:dyDescent="0.25">
      <c r="B1181" s="12"/>
      <c r="C1181" s="18"/>
    </row>
    <row r="1182" spans="2:3" x14ac:dyDescent="0.25">
      <c r="B1182" s="12"/>
      <c r="C1182" s="18"/>
    </row>
    <row r="1183" spans="2:3" x14ac:dyDescent="0.25">
      <c r="B1183" s="12"/>
      <c r="C1183" s="18"/>
    </row>
    <row r="1184" spans="2:3" x14ac:dyDescent="0.25">
      <c r="B1184" s="12"/>
      <c r="C1184" s="18"/>
    </row>
    <row r="1185" spans="2:3" x14ac:dyDescent="0.25">
      <c r="B1185" s="12"/>
      <c r="C1185" s="18"/>
    </row>
    <row r="1186" spans="2:3" x14ac:dyDescent="0.25">
      <c r="B1186" s="12"/>
      <c r="C1186" s="18"/>
    </row>
    <row r="1187" spans="2:3" x14ac:dyDescent="0.25">
      <c r="B1187" s="12"/>
      <c r="C1187" s="18"/>
    </row>
    <row r="1188" spans="2:3" x14ac:dyDescent="0.25">
      <c r="B1188" s="12"/>
      <c r="C1188" s="18"/>
    </row>
    <row r="1189" spans="2:3" x14ac:dyDescent="0.25">
      <c r="B1189" s="12"/>
      <c r="C1189" s="18"/>
    </row>
    <row r="1190" spans="2:3" x14ac:dyDescent="0.25">
      <c r="B1190" s="12"/>
      <c r="C1190" s="18"/>
    </row>
    <row r="1191" spans="2:3" x14ac:dyDescent="0.25">
      <c r="B1191" s="12"/>
      <c r="C1191" s="18"/>
    </row>
    <row r="1192" spans="2:3" x14ac:dyDescent="0.25">
      <c r="B1192" s="12"/>
      <c r="C1192" s="18"/>
    </row>
    <row r="1193" spans="2:3" x14ac:dyDescent="0.25">
      <c r="B1193" s="12"/>
      <c r="C1193" s="18"/>
    </row>
    <row r="1194" spans="2:3" x14ac:dyDescent="0.25">
      <c r="B1194" s="12"/>
      <c r="C1194" s="18"/>
    </row>
    <row r="1195" spans="2:3" x14ac:dyDescent="0.25">
      <c r="B1195" s="12"/>
      <c r="C1195" s="18"/>
    </row>
    <row r="1196" spans="2:3" x14ac:dyDescent="0.25">
      <c r="B1196" s="12"/>
      <c r="C1196" s="18"/>
    </row>
    <row r="1197" spans="2:3" x14ac:dyDescent="0.25">
      <c r="B1197" s="12"/>
      <c r="C1197" s="18"/>
    </row>
    <row r="1198" spans="2:3" x14ac:dyDescent="0.25">
      <c r="B1198" s="12"/>
      <c r="C1198" s="18"/>
    </row>
    <row r="1199" spans="2:3" x14ac:dyDescent="0.25">
      <c r="B1199" s="12"/>
      <c r="C1199" s="18"/>
    </row>
    <row r="1200" spans="2:3" x14ac:dyDescent="0.25">
      <c r="B1200" s="12"/>
      <c r="C1200" s="18"/>
    </row>
    <row r="1201" spans="2:3" x14ac:dyDescent="0.25">
      <c r="B1201" s="12"/>
      <c r="C1201" s="18"/>
    </row>
    <row r="1202" spans="2:3" x14ac:dyDescent="0.25">
      <c r="B1202" s="12"/>
      <c r="C1202" s="18"/>
    </row>
    <row r="1203" spans="2:3" x14ac:dyDescent="0.25">
      <c r="B1203" s="12"/>
      <c r="C1203" s="18"/>
    </row>
    <row r="1204" spans="2:3" x14ac:dyDescent="0.25">
      <c r="B1204" s="12"/>
      <c r="C1204" s="18"/>
    </row>
    <row r="1205" spans="2:3" x14ac:dyDescent="0.25">
      <c r="B1205" s="12"/>
      <c r="C1205" s="18"/>
    </row>
    <row r="1206" spans="2:3" x14ac:dyDescent="0.25">
      <c r="B1206" s="12"/>
      <c r="C1206" s="18"/>
    </row>
    <row r="1207" spans="2:3" x14ac:dyDescent="0.25">
      <c r="B1207" s="12"/>
      <c r="C1207" s="18"/>
    </row>
    <row r="1208" spans="2:3" x14ac:dyDescent="0.25">
      <c r="B1208" s="12"/>
      <c r="C1208" s="18"/>
    </row>
    <row r="1209" spans="2:3" x14ac:dyDescent="0.25">
      <c r="B1209" s="12"/>
      <c r="C1209" s="18"/>
    </row>
    <row r="1210" spans="2:3" x14ac:dyDescent="0.25">
      <c r="B1210" s="12"/>
      <c r="C1210" s="18"/>
    </row>
    <row r="1211" spans="2:3" x14ac:dyDescent="0.25">
      <c r="B1211" s="12"/>
      <c r="C1211" s="18"/>
    </row>
    <row r="1212" spans="2:3" x14ac:dyDescent="0.25">
      <c r="B1212" s="12"/>
      <c r="C1212" s="18"/>
    </row>
    <row r="1213" spans="2:3" x14ac:dyDescent="0.25">
      <c r="B1213" s="12"/>
      <c r="C1213" s="18"/>
    </row>
    <row r="1214" spans="2:3" x14ac:dyDescent="0.25">
      <c r="B1214" s="12"/>
      <c r="C1214" s="18"/>
    </row>
    <row r="1215" spans="2:3" x14ac:dyDescent="0.25">
      <c r="B1215" s="12"/>
      <c r="C1215" s="18"/>
    </row>
    <row r="1216" spans="2:3" x14ac:dyDescent="0.25">
      <c r="B1216" s="12"/>
      <c r="C1216" s="18"/>
    </row>
    <row r="1217" spans="2:3" x14ac:dyDescent="0.25">
      <c r="B1217" s="12"/>
      <c r="C1217" s="18"/>
    </row>
    <row r="1218" spans="2:3" x14ac:dyDescent="0.25">
      <c r="B1218" s="12"/>
      <c r="C1218" s="18"/>
    </row>
    <row r="1219" spans="2:3" x14ac:dyDescent="0.25">
      <c r="B1219" s="12"/>
      <c r="C1219" s="18"/>
    </row>
    <row r="1220" spans="2:3" x14ac:dyDescent="0.25">
      <c r="B1220" s="12"/>
      <c r="C1220" s="18"/>
    </row>
    <row r="1221" spans="2:3" x14ac:dyDescent="0.25">
      <c r="B1221" s="12"/>
      <c r="C1221" s="18"/>
    </row>
    <row r="1222" spans="2:3" x14ac:dyDescent="0.25">
      <c r="B1222" s="12"/>
      <c r="C1222" s="18"/>
    </row>
    <row r="1223" spans="2:3" x14ac:dyDescent="0.25">
      <c r="B1223" s="12"/>
      <c r="C1223" s="18"/>
    </row>
    <row r="1224" spans="2:3" x14ac:dyDescent="0.25">
      <c r="B1224" s="12"/>
      <c r="C1224" s="18"/>
    </row>
    <row r="1225" spans="2:3" x14ac:dyDescent="0.25">
      <c r="B1225" s="12"/>
      <c r="C1225" s="18"/>
    </row>
    <row r="1226" spans="2:3" x14ac:dyDescent="0.25">
      <c r="B1226" s="12"/>
      <c r="C1226" s="18"/>
    </row>
    <row r="1227" spans="2:3" x14ac:dyDescent="0.25">
      <c r="B1227" s="12"/>
      <c r="C1227" s="18"/>
    </row>
    <row r="1228" spans="2:3" x14ac:dyDescent="0.25">
      <c r="B1228" s="12"/>
      <c r="C1228" s="18"/>
    </row>
    <row r="1229" spans="2:3" x14ac:dyDescent="0.25">
      <c r="B1229" s="12"/>
      <c r="C1229" s="18"/>
    </row>
    <row r="1230" spans="2:3" x14ac:dyDescent="0.25">
      <c r="B1230" s="12"/>
      <c r="C1230" s="18"/>
    </row>
    <row r="1231" spans="2:3" x14ac:dyDescent="0.25">
      <c r="B1231" s="12"/>
      <c r="C1231" s="18"/>
    </row>
    <row r="1232" spans="2:3" x14ac:dyDescent="0.25">
      <c r="B1232" s="12"/>
      <c r="C1232" s="18"/>
    </row>
    <row r="1233" spans="2:3" x14ac:dyDescent="0.25">
      <c r="B1233" s="12"/>
      <c r="C1233" s="18"/>
    </row>
    <row r="1234" spans="2:3" x14ac:dyDescent="0.25">
      <c r="B1234" s="12"/>
      <c r="C1234" s="18"/>
    </row>
    <row r="1235" spans="2:3" x14ac:dyDescent="0.25">
      <c r="B1235" s="12"/>
      <c r="C1235" s="18"/>
    </row>
    <row r="1236" spans="2:3" x14ac:dyDescent="0.25">
      <c r="B1236" s="12"/>
      <c r="C1236" s="18"/>
    </row>
    <row r="1237" spans="2:3" x14ac:dyDescent="0.25">
      <c r="B1237" s="12"/>
      <c r="C1237" s="18"/>
    </row>
    <row r="1238" spans="2:3" x14ac:dyDescent="0.25">
      <c r="B1238" s="12"/>
      <c r="C1238" s="18"/>
    </row>
    <row r="1239" spans="2:3" x14ac:dyDescent="0.25">
      <c r="B1239" s="12"/>
      <c r="C1239" s="18"/>
    </row>
    <row r="1240" spans="2:3" x14ac:dyDescent="0.25">
      <c r="B1240" s="12"/>
      <c r="C1240" s="18"/>
    </row>
    <row r="1241" spans="2:3" x14ac:dyDescent="0.25">
      <c r="B1241" s="12"/>
      <c r="C1241" s="18"/>
    </row>
    <row r="1242" spans="2:3" x14ac:dyDescent="0.25">
      <c r="B1242" s="12"/>
      <c r="C1242" s="18"/>
    </row>
    <row r="1243" spans="2:3" x14ac:dyDescent="0.25">
      <c r="B1243" s="12"/>
      <c r="C1243" s="18"/>
    </row>
    <row r="1244" spans="2:3" x14ac:dyDescent="0.25">
      <c r="B1244" s="12"/>
      <c r="C1244" s="18"/>
    </row>
    <row r="1245" spans="2:3" x14ac:dyDescent="0.25">
      <c r="B1245" s="12"/>
      <c r="C1245" s="18"/>
    </row>
    <row r="1246" spans="2:3" x14ac:dyDescent="0.25">
      <c r="B1246" s="12"/>
      <c r="C1246" s="18"/>
    </row>
    <row r="1247" spans="2:3" x14ac:dyDescent="0.25">
      <c r="B1247" s="12"/>
      <c r="C1247" s="18"/>
    </row>
    <row r="1248" spans="2:3" x14ac:dyDescent="0.25">
      <c r="B1248" s="12"/>
      <c r="C1248" s="18"/>
    </row>
    <row r="1249" spans="2:3" x14ac:dyDescent="0.25">
      <c r="B1249" s="12"/>
      <c r="C1249" s="18"/>
    </row>
    <row r="1250" spans="2:3" x14ac:dyDescent="0.25">
      <c r="B1250" s="12"/>
      <c r="C1250" s="18"/>
    </row>
    <row r="1251" spans="2:3" x14ac:dyDescent="0.25">
      <c r="B1251" s="12"/>
      <c r="C1251" s="18"/>
    </row>
    <row r="1252" spans="2:3" x14ac:dyDescent="0.25">
      <c r="B1252" s="12"/>
      <c r="C1252" s="18"/>
    </row>
    <row r="1253" spans="2:3" x14ac:dyDescent="0.25">
      <c r="B1253" s="12"/>
      <c r="C1253" s="18"/>
    </row>
    <row r="1254" spans="2:3" x14ac:dyDescent="0.25">
      <c r="B1254" s="12"/>
      <c r="C1254" s="18"/>
    </row>
    <row r="1255" spans="2:3" x14ac:dyDescent="0.25">
      <c r="B1255" s="12"/>
      <c r="C1255" s="18"/>
    </row>
    <row r="1256" spans="2:3" x14ac:dyDescent="0.25">
      <c r="B1256" s="12"/>
      <c r="C1256" s="18"/>
    </row>
    <row r="1257" spans="2:3" x14ac:dyDescent="0.25">
      <c r="B1257" s="12"/>
      <c r="C1257" s="18"/>
    </row>
    <row r="1258" spans="2:3" x14ac:dyDescent="0.25">
      <c r="B1258" s="12"/>
      <c r="C1258" s="18"/>
    </row>
    <row r="1259" spans="2:3" x14ac:dyDescent="0.25">
      <c r="B1259" s="12"/>
      <c r="C1259" s="18"/>
    </row>
    <row r="1260" spans="2:3" x14ac:dyDescent="0.25">
      <c r="B1260" s="12"/>
      <c r="C1260" s="18"/>
    </row>
    <row r="1261" spans="2:3" x14ac:dyDescent="0.25">
      <c r="B1261" s="12"/>
      <c r="C1261" s="18"/>
    </row>
    <row r="1262" spans="2:3" x14ac:dyDescent="0.25">
      <c r="B1262" s="12"/>
      <c r="C1262" s="18"/>
    </row>
    <row r="1263" spans="2:3" x14ac:dyDescent="0.25">
      <c r="B1263" s="12"/>
      <c r="C1263" s="18"/>
    </row>
    <row r="1264" spans="2:3" x14ac:dyDescent="0.25">
      <c r="B1264" s="12"/>
      <c r="C1264" s="18"/>
    </row>
    <row r="1265" spans="2:3" x14ac:dyDescent="0.25">
      <c r="B1265" s="12"/>
      <c r="C1265" s="18"/>
    </row>
    <row r="1266" spans="2:3" x14ac:dyDescent="0.25">
      <c r="B1266" s="12"/>
      <c r="C1266" s="18"/>
    </row>
    <row r="1267" spans="2:3" x14ac:dyDescent="0.25">
      <c r="B1267" s="12"/>
      <c r="C1267" s="18"/>
    </row>
    <row r="1268" spans="2:3" x14ac:dyDescent="0.25">
      <c r="B1268" s="12"/>
      <c r="C1268" s="18"/>
    </row>
    <row r="1269" spans="2:3" x14ac:dyDescent="0.25">
      <c r="B1269" s="12"/>
      <c r="C1269" s="18"/>
    </row>
    <row r="1270" spans="2:3" x14ac:dyDescent="0.25">
      <c r="B1270" s="12"/>
      <c r="C1270" s="18"/>
    </row>
    <row r="1271" spans="2:3" x14ac:dyDescent="0.25">
      <c r="B1271" s="12"/>
      <c r="C1271" s="18"/>
    </row>
    <row r="1272" spans="2:3" x14ac:dyDescent="0.25">
      <c r="B1272" s="12"/>
      <c r="C1272" s="18"/>
    </row>
    <row r="1273" spans="2:3" x14ac:dyDescent="0.25">
      <c r="B1273" s="12"/>
      <c r="C1273" s="18"/>
    </row>
    <row r="1274" spans="2:3" x14ac:dyDescent="0.25">
      <c r="B1274" s="12"/>
      <c r="C1274" s="18"/>
    </row>
    <row r="1275" spans="2:3" x14ac:dyDescent="0.25">
      <c r="B1275" s="12"/>
      <c r="C1275" s="18"/>
    </row>
    <row r="1276" spans="2:3" x14ac:dyDescent="0.25">
      <c r="B1276" s="12"/>
      <c r="C1276" s="18"/>
    </row>
    <row r="1277" spans="2:3" x14ac:dyDescent="0.25">
      <c r="B1277" s="12"/>
      <c r="C1277" s="18"/>
    </row>
    <row r="1278" spans="2:3" x14ac:dyDescent="0.25">
      <c r="B1278" s="12"/>
      <c r="C1278" s="18"/>
    </row>
    <row r="1279" spans="2:3" x14ac:dyDescent="0.25">
      <c r="B1279" s="12"/>
      <c r="C1279" s="18"/>
    </row>
    <row r="1280" spans="2:3" x14ac:dyDescent="0.25">
      <c r="B1280" s="12"/>
      <c r="C1280" s="18"/>
    </row>
    <row r="1281" spans="2:3" x14ac:dyDescent="0.25">
      <c r="B1281" s="12"/>
      <c r="C1281" s="18"/>
    </row>
    <row r="1282" spans="2:3" x14ac:dyDescent="0.25">
      <c r="B1282" s="12"/>
      <c r="C1282" s="18"/>
    </row>
    <row r="1283" spans="2:3" x14ac:dyDescent="0.25">
      <c r="B1283" s="12"/>
      <c r="C1283" s="18"/>
    </row>
    <row r="1284" spans="2:3" x14ac:dyDescent="0.25">
      <c r="B1284" s="12"/>
      <c r="C1284" s="18"/>
    </row>
    <row r="1285" spans="2:3" x14ac:dyDescent="0.25">
      <c r="B1285" s="12"/>
      <c r="C1285" s="18"/>
    </row>
    <row r="1286" spans="2:3" x14ac:dyDescent="0.25">
      <c r="B1286" s="12"/>
      <c r="C1286" s="18"/>
    </row>
    <row r="1287" spans="2:3" x14ac:dyDescent="0.25">
      <c r="B1287" s="12"/>
      <c r="C1287" s="18"/>
    </row>
    <row r="1288" spans="2:3" x14ac:dyDescent="0.25">
      <c r="B1288" s="12"/>
      <c r="C1288" s="18"/>
    </row>
    <row r="1289" spans="2:3" x14ac:dyDescent="0.25">
      <c r="B1289" s="12"/>
      <c r="C1289" s="18"/>
    </row>
    <row r="1290" spans="2:3" x14ac:dyDescent="0.25">
      <c r="B1290" s="12"/>
      <c r="C1290" s="18"/>
    </row>
    <row r="1291" spans="2:3" x14ac:dyDescent="0.25">
      <c r="B1291" s="12"/>
      <c r="C1291" s="18"/>
    </row>
    <row r="1292" spans="2:3" x14ac:dyDescent="0.25">
      <c r="B1292" s="12"/>
      <c r="C1292" s="18"/>
    </row>
    <row r="1293" spans="2:3" x14ac:dyDescent="0.25">
      <c r="B1293" s="12"/>
      <c r="C1293" s="18"/>
    </row>
    <row r="1294" spans="2:3" x14ac:dyDescent="0.25">
      <c r="B1294" s="12"/>
      <c r="C1294" s="18"/>
    </row>
    <row r="1295" spans="2:3" x14ac:dyDescent="0.25">
      <c r="B1295" s="12"/>
      <c r="C1295" s="18"/>
    </row>
    <row r="1296" spans="2:3" x14ac:dyDescent="0.25">
      <c r="B1296" s="12"/>
      <c r="C1296" s="18"/>
    </row>
    <row r="1297" spans="2:3" x14ac:dyDescent="0.25">
      <c r="B1297" s="12"/>
      <c r="C1297" s="18"/>
    </row>
    <row r="1298" spans="2:3" x14ac:dyDescent="0.25">
      <c r="B1298" s="12"/>
      <c r="C1298" s="18"/>
    </row>
    <row r="1299" spans="2:3" x14ac:dyDescent="0.25">
      <c r="B1299" s="12"/>
      <c r="C1299" s="18"/>
    </row>
    <row r="1300" spans="2:3" x14ac:dyDescent="0.25">
      <c r="B1300" s="12"/>
      <c r="C1300" s="18"/>
    </row>
    <row r="1301" spans="2:3" x14ac:dyDescent="0.25">
      <c r="B1301" s="12"/>
      <c r="C1301" s="18"/>
    </row>
    <row r="1302" spans="2:3" x14ac:dyDescent="0.25">
      <c r="B1302" s="12"/>
      <c r="C1302" s="18"/>
    </row>
    <row r="1303" spans="2:3" x14ac:dyDescent="0.25">
      <c r="B1303" s="12"/>
      <c r="C1303" s="18"/>
    </row>
    <row r="1304" spans="2:3" x14ac:dyDescent="0.25">
      <c r="B1304" s="12"/>
      <c r="C1304" s="18"/>
    </row>
    <row r="1305" spans="2:3" x14ac:dyDescent="0.25">
      <c r="B1305" s="12"/>
      <c r="C1305" s="18"/>
    </row>
    <row r="1306" spans="2:3" x14ac:dyDescent="0.25">
      <c r="B1306" s="12"/>
      <c r="C1306" s="18"/>
    </row>
    <row r="1307" spans="2:3" x14ac:dyDescent="0.25">
      <c r="B1307" s="12"/>
      <c r="C1307" s="18"/>
    </row>
    <row r="1308" spans="2:3" x14ac:dyDescent="0.25">
      <c r="B1308" s="12"/>
      <c r="C1308" s="18"/>
    </row>
    <row r="1309" spans="2:3" x14ac:dyDescent="0.25">
      <c r="B1309" s="12"/>
      <c r="C1309" s="18"/>
    </row>
    <row r="1310" spans="2:3" x14ac:dyDescent="0.25">
      <c r="B1310" s="12"/>
      <c r="C1310" s="18"/>
    </row>
    <row r="1311" spans="2:3" x14ac:dyDescent="0.25">
      <c r="B1311" s="12"/>
      <c r="C1311" s="18"/>
    </row>
    <row r="1312" spans="2:3" x14ac:dyDescent="0.25">
      <c r="B1312" s="12"/>
      <c r="C1312" s="18"/>
    </row>
    <row r="1313" spans="2:3" x14ac:dyDescent="0.25">
      <c r="B1313" s="12"/>
      <c r="C1313" s="18"/>
    </row>
    <row r="1314" spans="2:3" x14ac:dyDescent="0.25">
      <c r="B1314" s="12"/>
      <c r="C1314" s="18"/>
    </row>
    <row r="1315" spans="2:3" x14ac:dyDescent="0.25">
      <c r="B1315" s="12"/>
      <c r="C1315" s="18"/>
    </row>
    <row r="1316" spans="2:3" x14ac:dyDescent="0.25">
      <c r="B1316" s="12"/>
      <c r="C1316" s="18"/>
    </row>
    <row r="1317" spans="2:3" x14ac:dyDescent="0.25">
      <c r="B1317" s="12"/>
      <c r="C1317" s="18"/>
    </row>
    <row r="1318" spans="2:3" x14ac:dyDescent="0.25">
      <c r="B1318" s="12"/>
      <c r="C1318" s="18"/>
    </row>
    <row r="1319" spans="2:3" x14ac:dyDescent="0.25">
      <c r="B1319" s="12"/>
      <c r="C1319" s="18"/>
    </row>
    <row r="1320" spans="2:3" x14ac:dyDescent="0.25">
      <c r="B1320" s="12"/>
      <c r="C1320" s="18"/>
    </row>
    <row r="1321" spans="2:3" x14ac:dyDescent="0.25">
      <c r="B1321" s="12"/>
      <c r="C1321" s="18"/>
    </row>
    <row r="1322" spans="2:3" x14ac:dyDescent="0.25">
      <c r="B1322" s="12"/>
      <c r="C1322" s="18"/>
    </row>
    <row r="1323" spans="2:3" x14ac:dyDescent="0.25">
      <c r="B1323" s="12"/>
      <c r="C1323" s="18"/>
    </row>
    <row r="1324" spans="2:3" x14ac:dyDescent="0.25">
      <c r="B1324" s="12"/>
      <c r="C1324" s="18"/>
    </row>
    <row r="1325" spans="2:3" x14ac:dyDescent="0.25">
      <c r="B1325" s="12"/>
      <c r="C1325" s="18"/>
    </row>
    <row r="1326" spans="2:3" x14ac:dyDescent="0.25">
      <c r="B1326" s="12"/>
      <c r="C1326" s="18"/>
    </row>
    <row r="1327" spans="2:3" x14ac:dyDescent="0.25">
      <c r="B1327" s="12"/>
      <c r="C1327" s="18"/>
    </row>
    <row r="1328" spans="2:3" x14ac:dyDescent="0.25">
      <c r="B1328" s="12"/>
      <c r="C1328" s="18"/>
    </row>
    <row r="1329" spans="2:3" x14ac:dyDescent="0.25">
      <c r="B1329" s="12"/>
      <c r="C1329" s="18"/>
    </row>
    <row r="1330" spans="2:3" x14ac:dyDescent="0.25">
      <c r="B1330" s="12"/>
      <c r="C1330" s="18"/>
    </row>
    <row r="1331" spans="2:3" x14ac:dyDescent="0.25">
      <c r="B1331" s="12"/>
      <c r="C1331" s="18"/>
    </row>
    <row r="1332" spans="2:3" x14ac:dyDescent="0.25">
      <c r="B1332" s="12"/>
      <c r="C1332" s="18"/>
    </row>
    <row r="1333" spans="2:3" x14ac:dyDescent="0.25">
      <c r="B1333" s="12"/>
      <c r="C1333" s="18"/>
    </row>
    <row r="1334" spans="2:3" x14ac:dyDescent="0.25">
      <c r="B1334" s="12"/>
      <c r="C1334" s="18"/>
    </row>
    <row r="1335" spans="2:3" x14ac:dyDescent="0.25">
      <c r="B1335" s="12"/>
      <c r="C1335" s="18"/>
    </row>
    <row r="1336" spans="2:3" x14ac:dyDescent="0.25">
      <c r="B1336" s="12"/>
      <c r="C1336" s="18"/>
    </row>
    <row r="1337" spans="2:3" x14ac:dyDescent="0.25">
      <c r="B1337" s="12"/>
      <c r="C1337" s="18"/>
    </row>
    <row r="1338" spans="2:3" x14ac:dyDescent="0.25">
      <c r="B1338" s="12"/>
      <c r="C1338" s="18"/>
    </row>
    <row r="1339" spans="2:3" x14ac:dyDescent="0.25">
      <c r="B1339" s="12"/>
      <c r="C1339" s="18"/>
    </row>
    <row r="1340" spans="2:3" x14ac:dyDescent="0.25">
      <c r="B1340" s="12"/>
      <c r="C1340" s="18"/>
    </row>
    <row r="1341" spans="2:3" x14ac:dyDescent="0.25">
      <c r="B1341" s="12"/>
      <c r="C1341" s="18"/>
    </row>
    <row r="1342" spans="2:3" x14ac:dyDescent="0.25">
      <c r="B1342" s="12"/>
      <c r="C1342" s="18"/>
    </row>
    <row r="1343" spans="2:3" x14ac:dyDescent="0.25">
      <c r="B1343" s="12"/>
      <c r="C1343" s="18"/>
    </row>
    <row r="1344" spans="2:3" x14ac:dyDescent="0.25">
      <c r="B1344" s="12"/>
      <c r="C1344" s="18"/>
    </row>
    <row r="1345" spans="2:3" x14ac:dyDescent="0.25">
      <c r="B1345" s="12"/>
      <c r="C1345" s="18"/>
    </row>
    <row r="1346" spans="2:3" x14ac:dyDescent="0.25">
      <c r="B1346" s="12"/>
      <c r="C1346" s="18"/>
    </row>
    <row r="1347" spans="2:3" x14ac:dyDescent="0.25">
      <c r="B1347" s="12"/>
      <c r="C1347" s="18"/>
    </row>
    <row r="1348" spans="2:3" x14ac:dyDescent="0.25">
      <c r="B1348" s="12"/>
      <c r="C1348" s="18"/>
    </row>
    <row r="1349" spans="2:3" x14ac:dyDescent="0.25">
      <c r="B1349" s="12"/>
      <c r="C1349" s="18"/>
    </row>
    <row r="1350" spans="2:3" x14ac:dyDescent="0.25">
      <c r="B1350" s="12"/>
      <c r="C1350" s="18"/>
    </row>
    <row r="1351" spans="2:3" x14ac:dyDescent="0.25">
      <c r="B1351" s="12"/>
      <c r="C1351" s="18"/>
    </row>
    <row r="1352" spans="2:3" x14ac:dyDescent="0.25">
      <c r="B1352" s="12"/>
      <c r="C1352" s="18"/>
    </row>
    <row r="1353" spans="2:3" x14ac:dyDescent="0.25">
      <c r="B1353" s="12"/>
      <c r="C1353" s="18"/>
    </row>
    <row r="1354" spans="2:3" x14ac:dyDescent="0.25">
      <c r="B1354" s="12"/>
      <c r="C1354" s="18"/>
    </row>
    <row r="1355" spans="2:3" x14ac:dyDescent="0.25">
      <c r="B1355" s="12"/>
      <c r="C1355" s="18"/>
    </row>
    <row r="1356" spans="2:3" x14ac:dyDescent="0.25">
      <c r="B1356" s="12"/>
      <c r="C1356" s="18"/>
    </row>
    <row r="1357" spans="2:3" x14ac:dyDescent="0.25">
      <c r="B1357" s="12"/>
      <c r="C1357" s="18"/>
    </row>
    <row r="1358" spans="2:3" x14ac:dyDescent="0.25">
      <c r="B1358" s="12"/>
      <c r="C1358" s="18"/>
    </row>
    <row r="1359" spans="2:3" x14ac:dyDescent="0.25">
      <c r="B1359" s="12"/>
      <c r="C1359" s="18"/>
    </row>
    <row r="1360" spans="2:3" x14ac:dyDescent="0.25">
      <c r="B1360" s="12"/>
      <c r="C1360" s="18"/>
    </row>
    <row r="1361" spans="2:3" x14ac:dyDescent="0.25">
      <c r="B1361" s="12"/>
      <c r="C1361" s="18"/>
    </row>
    <row r="1362" spans="2:3" x14ac:dyDescent="0.25">
      <c r="B1362" s="12"/>
      <c r="C1362" s="18"/>
    </row>
    <row r="1363" spans="2:3" x14ac:dyDescent="0.25">
      <c r="B1363" s="12"/>
      <c r="C1363" s="18"/>
    </row>
    <row r="1364" spans="2:3" x14ac:dyDescent="0.25">
      <c r="B1364" s="12"/>
      <c r="C1364" s="18"/>
    </row>
    <row r="1365" spans="2:3" x14ac:dyDescent="0.25">
      <c r="B1365" s="12"/>
      <c r="C1365" s="18"/>
    </row>
    <row r="1366" spans="2:3" x14ac:dyDescent="0.25">
      <c r="B1366" s="12"/>
      <c r="C1366" s="18"/>
    </row>
    <row r="1367" spans="2:3" x14ac:dyDescent="0.25">
      <c r="B1367" s="12"/>
      <c r="C1367" s="18"/>
    </row>
    <row r="1368" spans="2:3" x14ac:dyDescent="0.25">
      <c r="B1368" s="12"/>
      <c r="C1368" s="18"/>
    </row>
    <row r="1369" spans="2:3" x14ac:dyDescent="0.25">
      <c r="B1369" s="12"/>
      <c r="C1369" s="18"/>
    </row>
    <row r="1370" spans="2:3" x14ac:dyDescent="0.25">
      <c r="B1370" s="12"/>
      <c r="C1370" s="18"/>
    </row>
    <row r="1371" spans="2:3" x14ac:dyDescent="0.25">
      <c r="B1371" s="12"/>
      <c r="C1371" s="18"/>
    </row>
    <row r="1372" spans="2:3" x14ac:dyDescent="0.25">
      <c r="B1372" s="12"/>
      <c r="C1372" s="18"/>
    </row>
    <row r="1373" spans="2:3" x14ac:dyDescent="0.25">
      <c r="B1373" s="12"/>
      <c r="C1373" s="18"/>
    </row>
    <row r="1374" spans="2:3" x14ac:dyDescent="0.25">
      <c r="B1374" s="12"/>
      <c r="C1374" s="18"/>
    </row>
    <row r="1375" spans="2:3" x14ac:dyDescent="0.25">
      <c r="B1375" s="12"/>
      <c r="C1375" s="18"/>
    </row>
    <row r="1376" spans="2:3" x14ac:dyDescent="0.25">
      <c r="B1376" s="12"/>
      <c r="C1376" s="18"/>
    </row>
    <row r="1377" spans="2:3" x14ac:dyDescent="0.25">
      <c r="B1377" s="12"/>
      <c r="C1377" s="18"/>
    </row>
    <row r="1378" spans="2:3" x14ac:dyDescent="0.25">
      <c r="B1378" s="12"/>
      <c r="C1378" s="18"/>
    </row>
    <row r="1379" spans="2:3" x14ac:dyDescent="0.25">
      <c r="B1379" s="12"/>
      <c r="C1379" s="18"/>
    </row>
    <row r="1380" spans="2:3" x14ac:dyDescent="0.25">
      <c r="B1380" s="12"/>
      <c r="C1380" s="18"/>
    </row>
    <row r="1381" spans="2:3" x14ac:dyDescent="0.25">
      <c r="B1381" s="12"/>
      <c r="C1381" s="18"/>
    </row>
    <row r="1382" spans="2:3" x14ac:dyDescent="0.25">
      <c r="B1382" s="12"/>
      <c r="C1382" s="18"/>
    </row>
    <row r="1383" spans="2:3" x14ac:dyDescent="0.25">
      <c r="B1383" s="12"/>
      <c r="C1383" s="18"/>
    </row>
    <row r="1384" spans="2:3" x14ac:dyDescent="0.25">
      <c r="B1384" s="12"/>
      <c r="C1384" s="18"/>
    </row>
    <row r="1385" spans="2:3" x14ac:dyDescent="0.25">
      <c r="B1385" s="12"/>
      <c r="C1385" s="18"/>
    </row>
    <row r="1386" spans="2:3" x14ac:dyDescent="0.25">
      <c r="B1386" s="12"/>
      <c r="C1386" s="18"/>
    </row>
    <row r="1387" spans="2:3" x14ac:dyDescent="0.25">
      <c r="B1387" s="12"/>
      <c r="C1387" s="18"/>
    </row>
    <row r="1388" spans="2:3" x14ac:dyDescent="0.25">
      <c r="B1388" s="12"/>
      <c r="C1388" s="18"/>
    </row>
    <row r="1389" spans="2:3" x14ac:dyDescent="0.25">
      <c r="B1389" s="12"/>
      <c r="C1389" s="18"/>
    </row>
    <row r="1390" spans="2:3" x14ac:dyDescent="0.25">
      <c r="B1390" s="12"/>
      <c r="C1390" s="18"/>
    </row>
    <row r="1391" spans="2:3" x14ac:dyDescent="0.25">
      <c r="B1391" s="12"/>
      <c r="C1391" s="18"/>
    </row>
    <row r="1392" spans="2:3" x14ac:dyDescent="0.25">
      <c r="B1392" s="12"/>
      <c r="C1392" s="18"/>
    </row>
    <row r="1393" spans="2:3" x14ac:dyDescent="0.25">
      <c r="B1393" s="12"/>
      <c r="C1393" s="18"/>
    </row>
    <row r="1394" spans="2:3" x14ac:dyDescent="0.25">
      <c r="B1394" s="12"/>
      <c r="C1394" s="18"/>
    </row>
    <row r="1395" spans="2:3" x14ac:dyDescent="0.25">
      <c r="B1395" s="12"/>
      <c r="C1395" s="18"/>
    </row>
    <row r="1396" spans="2:3" x14ac:dyDescent="0.25">
      <c r="B1396" s="12"/>
      <c r="C1396" s="18"/>
    </row>
    <row r="1397" spans="2:3" x14ac:dyDescent="0.25">
      <c r="B1397" s="12"/>
      <c r="C1397" s="18"/>
    </row>
    <row r="1398" spans="2:3" x14ac:dyDescent="0.25">
      <c r="B1398" s="12"/>
      <c r="C1398" s="18"/>
    </row>
    <row r="1399" spans="2:3" x14ac:dyDescent="0.25">
      <c r="B1399" s="12"/>
      <c r="C1399" s="18"/>
    </row>
    <row r="1400" spans="2:3" x14ac:dyDescent="0.25">
      <c r="B1400" s="12"/>
      <c r="C1400" s="18"/>
    </row>
    <row r="1401" spans="2:3" x14ac:dyDescent="0.25">
      <c r="B1401" s="12"/>
      <c r="C1401" s="18"/>
    </row>
    <row r="1402" spans="2:3" x14ac:dyDescent="0.25">
      <c r="B1402" s="12"/>
      <c r="C1402" s="18"/>
    </row>
    <row r="1403" spans="2:3" x14ac:dyDescent="0.25">
      <c r="B1403" s="12"/>
      <c r="C1403" s="18"/>
    </row>
    <row r="1404" spans="2:3" x14ac:dyDescent="0.25">
      <c r="B1404" s="12"/>
      <c r="C1404" s="18"/>
    </row>
    <row r="1405" spans="2:3" x14ac:dyDescent="0.25">
      <c r="B1405" s="12"/>
      <c r="C1405" s="18"/>
    </row>
    <row r="1406" spans="2:3" x14ac:dyDescent="0.25">
      <c r="B1406" s="12"/>
      <c r="C1406" s="18"/>
    </row>
    <row r="1407" spans="2:3" x14ac:dyDescent="0.25">
      <c r="B1407" s="12"/>
      <c r="C1407" s="18"/>
    </row>
    <row r="1408" spans="2:3" x14ac:dyDescent="0.25">
      <c r="B1408" s="12"/>
      <c r="C1408" s="18"/>
    </row>
    <row r="1409" spans="2:3" x14ac:dyDescent="0.25">
      <c r="B1409" s="12"/>
      <c r="C1409" s="18"/>
    </row>
    <row r="1410" spans="2:3" x14ac:dyDescent="0.25">
      <c r="B1410" s="12"/>
      <c r="C1410" s="18"/>
    </row>
    <row r="1411" spans="2:3" x14ac:dyDescent="0.25">
      <c r="B1411" s="12"/>
      <c r="C1411" s="18"/>
    </row>
    <row r="1412" spans="2:3" x14ac:dyDescent="0.25">
      <c r="B1412" s="12"/>
      <c r="C1412" s="18"/>
    </row>
    <row r="1413" spans="2:3" x14ac:dyDescent="0.25">
      <c r="B1413" s="12"/>
      <c r="C1413" s="18"/>
    </row>
    <row r="1414" spans="2:3" x14ac:dyDescent="0.25">
      <c r="B1414" s="12"/>
      <c r="C1414" s="18"/>
    </row>
    <row r="1415" spans="2:3" x14ac:dyDescent="0.25">
      <c r="B1415" s="12"/>
      <c r="C1415" s="18"/>
    </row>
    <row r="1416" spans="2:3" x14ac:dyDescent="0.25">
      <c r="B1416" s="12"/>
      <c r="C1416" s="18"/>
    </row>
    <row r="1417" spans="2:3" x14ac:dyDescent="0.25">
      <c r="B1417" s="12"/>
      <c r="C1417" s="18"/>
    </row>
    <row r="1418" spans="2:3" x14ac:dyDescent="0.25">
      <c r="B1418" s="12"/>
      <c r="C1418" s="18"/>
    </row>
    <row r="1419" spans="2:3" x14ac:dyDescent="0.25">
      <c r="B1419" s="12"/>
      <c r="C1419" s="18"/>
    </row>
    <row r="1420" spans="2:3" x14ac:dyDescent="0.25">
      <c r="B1420" s="12"/>
      <c r="C1420" s="18"/>
    </row>
    <row r="1421" spans="2:3" x14ac:dyDescent="0.25">
      <c r="B1421" s="12"/>
      <c r="C1421" s="18"/>
    </row>
    <row r="1422" spans="2:3" x14ac:dyDescent="0.25">
      <c r="B1422" s="12"/>
      <c r="C1422" s="18"/>
    </row>
    <row r="1423" spans="2:3" x14ac:dyDescent="0.25">
      <c r="B1423" s="12"/>
      <c r="C1423" s="18"/>
    </row>
    <row r="1424" spans="2:3" x14ac:dyDescent="0.25">
      <c r="B1424" s="12"/>
      <c r="C1424" s="18"/>
    </row>
    <row r="1425" spans="2:3" x14ac:dyDescent="0.25">
      <c r="B1425" s="12"/>
      <c r="C1425" s="18"/>
    </row>
    <row r="1426" spans="2:3" x14ac:dyDescent="0.25">
      <c r="B1426" s="12"/>
      <c r="C1426" s="18"/>
    </row>
    <row r="1427" spans="2:3" x14ac:dyDescent="0.25">
      <c r="B1427" s="12"/>
      <c r="C1427" s="18"/>
    </row>
    <row r="1428" spans="2:3" x14ac:dyDescent="0.25">
      <c r="B1428" s="12"/>
      <c r="C1428" s="18"/>
    </row>
    <row r="1429" spans="2:3" x14ac:dyDescent="0.25">
      <c r="B1429" s="12"/>
      <c r="C1429" s="18"/>
    </row>
    <row r="1430" spans="2:3" x14ac:dyDescent="0.25">
      <c r="B1430" s="12"/>
      <c r="C1430" s="18"/>
    </row>
    <row r="1431" spans="2:3" x14ac:dyDescent="0.25">
      <c r="B1431" s="12"/>
      <c r="C1431" s="18"/>
    </row>
    <row r="1432" spans="2:3" x14ac:dyDescent="0.25">
      <c r="B1432" s="12"/>
      <c r="C1432" s="18"/>
    </row>
    <row r="1433" spans="2:3" x14ac:dyDescent="0.25">
      <c r="B1433" s="12"/>
      <c r="C1433" s="18"/>
    </row>
    <row r="1434" spans="2:3" x14ac:dyDescent="0.25">
      <c r="B1434" s="12"/>
      <c r="C1434" s="18"/>
    </row>
    <row r="1435" spans="2:3" x14ac:dyDescent="0.25">
      <c r="B1435" s="12"/>
      <c r="C1435" s="18"/>
    </row>
    <row r="1436" spans="2:3" x14ac:dyDescent="0.25">
      <c r="B1436" s="12"/>
      <c r="C1436" s="18"/>
    </row>
    <row r="1437" spans="2:3" x14ac:dyDescent="0.25">
      <c r="B1437" s="12"/>
      <c r="C1437" s="18"/>
    </row>
    <row r="1438" spans="2:3" x14ac:dyDescent="0.25">
      <c r="B1438" s="12"/>
      <c r="C1438" s="18"/>
    </row>
    <row r="1439" spans="2:3" x14ac:dyDescent="0.25">
      <c r="B1439" s="12"/>
      <c r="C1439" s="18"/>
    </row>
    <row r="1440" spans="2:3" x14ac:dyDescent="0.25">
      <c r="B1440" s="12"/>
      <c r="C1440" s="18"/>
    </row>
    <row r="1441" spans="2:3" x14ac:dyDescent="0.25">
      <c r="B1441" s="12"/>
      <c r="C1441" s="18"/>
    </row>
    <row r="1442" spans="2:3" x14ac:dyDescent="0.25">
      <c r="B1442" s="12"/>
      <c r="C1442" s="18"/>
    </row>
    <row r="1443" spans="2:3" x14ac:dyDescent="0.25">
      <c r="B1443" s="12"/>
      <c r="C1443" s="18"/>
    </row>
    <row r="1444" spans="2:3" x14ac:dyDescent="0.25">
      <c r="B1444" s="12"/>
      <c r="C1444" s="18"/>
    </row>
    <row r="1445" spans="2:3" x14ac:dyDescent="0.25">
      <c r="B1445" s="12"/>
      <c r="C1445" s="18"/>
    </row>
    <row r="1446" spans="2:3" x14ac:dyDescent="0.25">
      <c r="B1446" s="12"/>
      <c r="C1446" s="18"/>
    </row>
    <row r="1447" spans="2:3" x14ac:dyDescent="0.25">
      <c r="B1447" s="12"/>
      <c r="C1447" s="18"/>
    </row>
    <row r="1448" spans="2:3" x14ac:dyDescent="0.25">
      <c r="B1448" s="12"/>
      <c r="C1448" s="18"/>
    </row>
    <row r="1449" spans="2:3" x14ac:dyDescent="0.25">
      <c r="B1449" s="12"/>
      <c r="C1449" s="18"/>
    </row>
    <row r="1450" spans="2:3" x14ac:dyDescent="0.25">
      <c r="B1450" s="12"/>
      <c r="C1450" s="18"/>
    </row>
    <row r="1451" spans="2:3" x14ac:dyDescent="0.25">
      <c r="B1451" s="12"/>
      <c r="C1451" s="18"/>
    </row>
    <row r="1452" spans="2:3" x14ac:dyDescent="0.25">
      <c r="B1452" s="12"/>
      <c r="C1452" s="18"/>
    </row>
    <row r="1453" spans="2:3" x14ac:dyDescent="0.25">
      <c r="B1453" s="12"/>
      <c r="C1453" s="18"/>
    </row>
    <row r="1454" spans="2:3" x14ac:dyDescent="0.25">
      <c r="B1454" s="12"/>
      <c r="C1454" s="18"/>
    </row>
    <row r="1455" spans="2:3" x14ac:dyDescent="0.25">
      <c r="B1455" s="12"/>
      <c r="C1455" s="18"/>
    </row>
    <row r="1456" spans="2:3" x14ac:dyDescent="0.25">
      <c r="B1456" s="12"/>
      <c r="C1456" s="18"/>
    </row>
    <row r="1457" spans="2:3" x14ac:dyDescent="0.25">
      <c r="B1457" s="12"/>
      <c r="C1457" s="18"/>
    </row>
    <row r="1458" spans="2:3" x14ac:dyDescent="0.25">
      <c r="B1458" s="12"/>
      <c r="C1458" s="18"/>
    </row>
    <row r="1459" spans="2:3" x14ac:dyDescent="0.25">
      <c r="B1459" s="12"/>
      <c r="C1459" s="18"/>
    </row>
    <row r="1460" spans="2:3" x14ac:dyDescent="0.25">
      <c r="B1460" s="12"/>
      <c r="C1460" s="18"/>
    </row>
    <row r="1461" spans="2:3" x14ac:dyDescent="0.25">
      <c r="B1461" s="12"/>
      <c r="C1461" s="18"/>
    </row>
    <row r="1462" spans="2:3" x14ac:dyDescent="0.25">
      <c r="B1462" s="12"/>
      <c r="C1462" s="18"/>
    </row>
    <row r="1463" spans="2:3" x14ac:dyDescent="0.25">
      <c r="B1463" s="12"/>
      <c r="C1463" s="18"/>
    </row>
    <row r="1464" spans="2:3" x14ac:dyDescent="0.25">
      <c r="B1464" s="12"/>
      <c r="C1464" s="18"/>
    </row>
    <row r="1465" spans="2:3" x14ac:dyDescent="0.25">
      <c r="B1465" s="12"/>
      <c r="C1465" s="18"/>
    </row>
    <row r="1466" spans="2:3" x14ac:dyDescent="0.25">
      <c r="B1466" s="12"/>
      <c r="C1466" s="18"/>
    </row>
    <row r="1467" spans="2:3" x14ac:dyDescent="0.25">
      <c r="B1467" s="12"/>
      <c r="C1467" s="18"/>
    </row>
    <row r="1468" spans="2:3" x14ac:dyDescent="0.25">
      <c r="B1468" s="12"/>
      <c r="C1468" s="18"/>
    </row>
    <row r="1469" spans="2:3" x14ac:dyDescent="0.25">
      <c r="B1469" s="12"/>
      <c r="C1469" s="18"/>
    </row>
    <row r="1470" spans="2:3" x14ac:dyDescent="0.25">
      <c r="B1470" s="12"/>
      <c r="C1470" s="18"/>
    </row>
    <row r="1471" spans="2:3" x14ac:dyDescent="0.25">
      <c r="B1471" s="12"/>
      <c r="C1471" s="18"/>
    </row>
    <row r="1472" spans="2:3" x14ac:dyDescent="0.25">
      <c r="B1472" s="12"/>
      <c r="C1472" s="18"/>
    </row>
    <row r="1473" spans="2:3" x14ac:dyDescent="0.25">
      <c r="B1473" s="12"/>
      <c r="C1473" s="18"/>
    </row>
    <row r="1474" spans="2:3" x14ac:dyDescent="0.25">
      <c r="B1474" s="12"/>
      <c r="C1474" s="18"/>
    </row>
    <row r="1475" spans="2:3" x14ac:dyDescent="0.25">
      <c r="B1475" s="12"/>
      <c r="C1475" s="18"/>
    </row>
    <row r="1476" spans="2:3" x14ac:dyDescent="0.25">
      <c r="B1476" s="12"/>
      <c r="C1476" s="18"/>
    </row>
    <row r="1477" spans="2:3" x14ac:dyDescent="0.25">
      <c r="B1477" s="12"/>
      <c r="C1477" s="18"/>
    </row>
    <row r="1478" spans="2:3" x14ac:dyDescent="0.25">
      <c r="B1478" s="12"/>
      <c r="C1478" s="18"/>
    </row>
    <row r="1479" spans="2:3" x14ac:dyDescent="0.25">
      <c r="B1479" s="12"/>
      <c r="C1479" s="18"/>
    </row>
    <row r="1480" spans="2:3" x14ac:dyDescent="0.25">
      <c r="B1480" s="12"/>
      <c r="C1480" s="18"/>
    </row>
    <row r="1481" spans="2:3" x14ac:dyDescent="0.25">
      <c r="B1481" s="12"/>
      <c r="C1481" s="18"/>
    </row>
    <row r="1482" spans="2:3" x14ac:dyDescent="0.25">
      <c r="B1482" s="12"/>
      <c r="C1482" s="18"/>
    </row>
    <row r="1483" spans="2:3" x14ac:dyDescent="0.25">
      <c r="B1483" s="12"/>
      <c r="C1483" s="18"/>
    </row>
    <row r="1484" spans="2:3" x14ac:dyDescent="0.25">
      <c r="B1484" s="12"/>
      <c r="C1484" s="18"/>
    </row>
    <row r="1485" spans="2:3" x14ac:dyDescent="0.25">
      <c r="B1485" s="12"/>
      <c r="C1485" s="18"/>
    </row>
    <row r="1486" spans="2:3" x14ac:dyDescent="0.25">
      <c r="B1486" s="12"/>
      <c r="C1486" s="18"/>
    </row>
    <row r="1487" spans="2:3" x14ac:dyDescent="0.25">
      <c r="B1487" s="12"/>
      <c r="C1487" s="18"/>
    </row>
    <row r="1488" spans="2:3" x14ac:dyDescent="0.25">
      <c r="B1488" s="12"/>
      <c r="C1488" s="18"/>
    </row>
    <row r="1489" spans="2:3" x14ac:dyDescent="0.25">
      <c r="B1489" s="12"/>
      <c r="C1489" s="18"/>
    </row>
    <row r="1490" spans="2:3" x14ac:dyDescent="0.25">
      <c r="B1490" s="12"/>
      <c r="C1490" s="18"/>
    </row>
    <row r="1491" spans="2:3" x14ac:dyDescent="0.25">
      <c r="B1491" s="12"/>
      <c r="C1491" s="18"/>
    </row>
    <row r="1492" spans="2:3" x14ac:dyDescent="0.25">
      <c r="B1492" s="12"/>
      <c r="C1492" s="18"/>
    </row>
    <row r="1493" spans="2:3" x14ac:dyDescent="0.25">
      <c r="B1493" s="12"/>
      <c r="C1493" s="18"/>
    </row>
    <row r="1494" spans="2:3" x14ac:dyDescent="0.25">
      <c r="B1494" s="12"/>
      <c r="C1494" s="18"/>
    </row>
    <row r="1495" spans="2:3" x14ac:dyDescent="0.25">
      <c r="B1495" s="12"/>
      <c r="C1495" s="18"/>
    </row>
    <row r="1496" spans="2:3" x14ac:dyDescent="0.25">
      <c r="B1496" s="12"/>
      <c r="C1496" s="18"/>
    </row>
    <row r="1497" spans="2:3" x14ac:dyDescent="0.25">
      <c r="B1497" s="12"/>
      <c r="C1497" s="18"/>
    </row>
    <row r="1498" spans="2:3" x14ac:dyDescent="0.25">
      <c r="B1498" s="12"/>
      <c r="C1498" s="18"/>
    </row>
    <row r="1499" spans="2:3" x14ac:dyDescent="0.25">
      <c r="B1499" s="12"/>
      <c r="C1499" s="18"/>
    </row>
    <row r="1500" spans="2:3" x14ac:dyDescent="0.25">
      <c r="B1500" s="12"/>
      <c r="C1500" s="18"/>
    </row>
    <row r="1501" spans="2:3" x14ac:dyDescent="0.25">
      <c r="B1501" s="12"/>
      <c r="C1501" s="18"/>
    </row>
    <row r="1502" spans="2:3" x14ac:dyDescent="0.25">
      <c r="B1502" s="12"/>
      <c r="C1502" s="18"/>
    </row>
    <row r="1503" spans="2:3" x14ac:dyDescent="0.25">
      <c r="B1503" s="12"/>
      <c r="C1503" s="18"/>
    </row>
    <row r="1504" spans="2:3" x14ac:dyDescent="0.25">
      <c r="B1504" s="12"/>
      <c r="C1504" s="18"/>
    </row>
    <row r="1505" spans="2:3" x14ac:dyDescent="0.25">
      <c r="B1505" s="12"/>
      <c r="C1505" s="18"/>
    </row>
    <row r="1506" spans="2:3" x14ac:dyDescent="0.25">
      <c r="B1506" s="12"/>
      <c r="C1506" s="18"/>
    </row>
    <row r="1507" spans="2:3" x14ac:dyDescent="0.25">
      <c r="B1507" s="12"/>
      <c r="C1507" s="18"/>
    </row>
    <row r="1508" spans="2:3" x14ac:dyDescent="0.25">
      <c r="B1508" s="12"/>
      <c r="C1508" s="18"/>
    </row>
    <row r="1509" spans="2:3" x14ac:dyDescent="0.25">
      <c r="B1509" s="12"/>
      <c r="C1509" s="18"/>
    </row>
    <row r="1510" spans="2:3" x14ac:dyDescent="0.25">
      <c r="B1510" s="12"/>
      <c r="C1510" s="18"/>
    </row>
    <row r="1511" spans="2:3" x14ac:dyDescent="0.25">
      <c r="B1511" s="12"/>
      <c r="C1511" s="18"/>
    </row>
    <row r="1512" spans="2:3" x14ac:dyDescent="0.25">
      <c r="B1512" s="12"/>
      <c r="C1512" s="18"/>
    </row>
    <row r="1513" spans="2:3" x14ac:dyDescent="0.25">
      <c r="B1513" s="12"/>
      <c r="C1513" s="18"/>
    </row>
    <row r="1514" spans="2:3" x14ac:dyDescent="0.25">
      <c r="B1514" s="12"/>
      <c r="C1514" s="18"/>
    </row>
    <row r="1515" spans="2:3" x14ac:dyDescent="0.25">
      <c r="B1515" s="12"/>
      <c r="C1515" s="18"/>
    </row>
    <row r="1516" spans="2:3" x14ac:dyDescent="0.25">
      <c r="B1516" s="12"/>
      <c r="C1516" s="18"/>
    </row>
    <row r="1517" spans="2:3" x14ac:dyDescent="0.25">
      <c r="B1517" s="12"/>
      <c r="C1517" s="18"/>
    </row>
    <row r="1518" spans="2:3" x14ac:dyDescent="0.25">
      <c r="B1518" s="12"/>
      <c r="C1518" s="18"/>
    </row>
    <row r="1519" spans="2:3" x14ac:dyDescent="0.25">
      <c r="B1519" s="12"/>
      <c r="C1519" s="18"/>
    </row>
    <row r="1520" spans="2:3" x14ac:dyDescent="0.25">
      <c r="B1520" s="12"/>
      <c r="C1520" s="18"/>
    </row>
    <row r="1521" spans="2:3" x14ac:dyDescent="0.25">
      <c r="B1521" s="12"/>
      <c r="C1521" s="18"/>
    </row>
    <row r="1522" spans="2:3" x14ac:dyDescent="0.25">
      <c r="B1522" s="12"/>
      <c r="C1522" s="18"/>
    </row>
    <row r="1523" spans="2:3" x14ac:dyDescent="0.25">
      <c r="B1523" s="12"/>
      <c r="C1523" s="18"/>
    </row>
    <row r="1524" spans="2:3" x14ac:dyDescent="0.25">
      <c r="B1524" s="12"/>
      <c r="C1524" s="18"/>
    </row>
    <row r="1525" spans="2:3" x14ac:dyDescent="0.25">
      <c r="B1525" s="12"/>
      <c r="C1525" s="18"/>
    </row>
    <row r="1526" spans="2:3" x14ac:dyDescent="0.25">
      <c r="B1526" s="12"/>
      <c r="C1526" s="18"/>
    </row>
    <row r="1527" spans="2:3" x14ac:dyDescent="0.25">
      <c r="B1527" s="12"/>
      <c r="C1527" s="18"/>
    </row>
    <row r="1528" spans="2:3" x14ac:dyDescent="0.25">
      <c r="B1528" s="12"/>
      <c r="C1528" s="18"/>
    </row>
    <row r="1529" spans="2:3" x14ac:dyDescent="0.25">
      <c r="B1529" s="12"/>
      <c r="C1529" s="18"/>
    </row>
    <row r="1530" spans="2:3" x14ac:dyDescent="0.25">
      <c r="B1530" s="12"/>
      <c r="C1530" s="18"/>
    </row>
    <row r="1531" spans="2:3" x14ac:dyDescent="0.25">
      <c r="B1531" s="12"/>
      <c r="C1531" s="18"/>
    </row>
    <row r="1532" spans="2:3" x14ac:dyDescent="0.25">
      <c r="B1532" s="12"/>
      <c r="C1532" s="18"/>
    </row>
    <row r="1533" spans="2:3" x14ac:dyDescent="0.25">
      <c r="B1533" s="12"/>
      <c r="C1533" s="18"/>
    </row>
    <row r="1534" spans="2:3" x14ac:dyDescent="0.25">
      <c r="B1534" s="12"/>
      <c r="C1534" s="18"/>
    </row>
    <row r="1535" spans="2:3" x14ac:dyDescent="0.25">
      <c r="B1535" s="12"/>
      <c r="C1535" s="18"/>
    </row>
    <row r="1536" spans="2:3" x14ac:dyDescent="0.25">
      <c r="B1536" s="12"/>
      <c r="C1536" s="18"/>
    </row>
    <row r="1537" spans="2:3" x14ac:dyDescent="0.25">
      <c r="B1537" s="12"/>
      <c r="C1537" s="18"/>
    </row>
    <row r="1538" spans="2:3" x14ac:dyDescent="0.25">
      <c r="B1538" s="12"/>
      <c r="C1538" s="18"/>
    </row>
    <row r="1539" spans="2:3" x14ac:dyDescent="0.25">
      <c r="B1539" s="12"/>
      <c r="C1539" s="18"/>
    </row>
    <row r="1540" spans="2:3" x14ac:dyDescent="0.25">
      <c r="B1540" s="12"/>
      <c r="C1540" s="18"/>
    </row>
    <row r="1541" spans="2:3" x14ac:dyDescent="0.25">
      <c r="B1541" s="12"/>
      <c r="C1541" s="18"/>
    </row>
    <row r="1542" spans="2:3" x14ac:dyDescent="0.25">
      <c r="B1542" s="12"/>
      <c r="C1542" s="18"/>
    </row>
    <row r="1543" spans="2:3" x14ac:dyDescent="0.25">
      <c r="B1543" s="12"/>
      <c r="C1543" s="18"/>
    </row>
    <row r="1544" spans="2:3" x14ac:dyDescent="0.25">
      <c r="B1544" s="12"/>
      <c r="C1544" s="18"/>
    </row>
    <row r="1545" spans="2:3" x14ac:dyDescent="0.25">
      <c r="B1545" s="12"/>
      <c r="C1545" s="18"/>
    </row>
    <row r="1546" spans="2:3" x14ac:dyDescent="0.25">
      <c r="B1546" s="12"/>
      <c r="C1546" s="18"/>
    </row>
    <row r="1547" spans="2:3" x14ac:dyDescent="0.25">
      <c r="B1547" s="12"/>
      <c r="C1547" s="18"/>
    </row>
    <row r="1548" spans="2:3" x14ac:dyDescent="0.25">
      <c r="B1548" s="12"/>
      <c r="C1548" s="18"/>
    </row>
    <row r="1549" spans="2:3" x14ac:dyDescent="0.25">
      <c r="B1549" s="12"/>
      <c r="C1549" s="18"/>
    </row>
    <row r="1550" spans="2:3" x14ac:dyDescent="0.25">
      <c r="B1550" s="12"/>
      <c r="C1550" s="18"/>
    </row>
    <row r="1551" spans="2:3" x14ac:dyDescent="0.25">
      <c r="B1551" s="12"/>
      <c r="C1551" s="18"/>
    </row>
    <row r="1552" spans="2:3" x14ac:dyDescent="0.25">
      <c r="B1552" s="12"/>
      <c r="C1552" s="18"/>
    </row>
    <row r="1553" spans="2:3" x14ac:dyDescent="0.25">
      <c r="B1553" s="12"/>
      <c r="C1553" s="18"/>
    </row>
    <row r="1554" spans="2:3" x14ac:dyDescent="0.25">
      <c r="B1554" s="12"/>
      <c r="C1554" s="18"/>
    </row>
    <row r="1555" spans="2:3" x14ac:dyDescent="0.25">
      <c r="B1555" s="12"/>
      <c r="C1555" s="18"/>
    </row>
    <row r="1556" spans="2:3" x14ac:dyDescent="0.25">
      <c r="B1556" s="12"/>
      <c r="C1556" s="18"/>
    </row>
    <row r="1557" spans="2:3" x14ac:dyDescent="0.25">
      <c r="B1557" s="12"/>
      <c r="C1557" s="18"/>
    </row>
    <row r="1558" spans="2:3" x14ac:dyDescent="0.25">
      <c r="B1558" s="12"/>
      <c r="C1558" s="18"/>
    </row>
    <row r="1559" spans="2:3" x14ac:dyDescent="0.25">
      <c r="B1559" s="12"/>
      <c r="C1559" s="18"/>
    </row>
    <row r="1560" spans="2:3" x14ac:dyDescent="0.25">
      <c r="B1560" s="12"/>
      <c r="C1560" s="18"/>
    </row>
    <row r="1561" spans="2:3" x14ac:dyDescent="0.25">
      <c r="B1561" s="12"/>
      <c r="C1561" s="18"/>
    </row>
    <row r="1562" spans="2:3" x14ac:dyDescent="0.25">
      <c r="B1562" s="12"/>
      <c r="C1562" s="18"/>
    </row>
    <row r="1563" spans="2:3" x14ac:dyDescent="0.25">
      <c r="B1563" s="12"/>
      <c r="C1563" s="18"/>
    </row>
    <row r="1564" spans="2:3" x14ac:dyDescent="0.25">
      <c r="B1564" s="12"/>
      <c r="C1564" s="18"/>
    </row>
    <row r="1565" spans="2:3" x14ac:dyDescent="0.25">
      <c r="B1565" s="12"/>
      <c r="C1565" s="18"/>
    </row>
    <row r="1566" spans="2:3" x14ac:dyDescent="0.25">
      <c r="B1566" s="12"/>
      <c r="C1566" s="18"/>
    </row>
    <row r="1567" spans="2:3" x14ac:dyDescent="0.25">
      <c r="B1567" s="12"/>
      <c r="C1567" s="18"/>
    </row>
    <row r="1568" spans="2:3" x14ac:dyDescent="0.25">
      <c r="B1568" s="12"/>
      <c r="C1568" s="18"/>
    </row>
    <row r="1569" spans="2:3" x14ac:dyDescent="0.25">
      <c r="B1569" s="12"/>
      <c r="C1569" s="18"/>
    </row>
    <row r="1570" spans="2:3" x14ac:dyDescent="0.25">
      <c r="B1570" s="12"/>
      <c r="C1570" s="18"/>
    </row>
    <row r="1571" spans="2:3" x14ac:dyDescent="0.25">
      <c r="B1571" s="12"/>
      <c r="C1571" s="18"/>
    </row>
    <row r="1572" spans="2:3" x14ac:dyDescent="0.25">
      <c r="B1572" s="12"/>
      <c r="C1572" s="18"/>
    </row>
    <row r="1573" spans="2:3" x14ac:dyDescent="0.25">
      <c r="B1573" s="12"/>
      <c r="C1573" s="18"/>
    </row>
    <row r="1574" spans="2:3" x14ac:dyDescent="0.25">
      <c r="B1574" s="12"/>
      <c r="C1574" s="18"/>
    </row>
    <row r="1575" spans="2:3" x14ac:dyDescent="0.25">
      <c r="B1575" s="12"/>
      <c r="C1575" s="18"/>
    </row>
    <row r="1576" spans="2:3" x14ac:dyDescent="0.25">
      <c r="B1576" s="12"/>
      <c r="C1576" s="18"/>
    </row>
    <row r="1577" spans="2:3" x14ac:dyDescent="0.25">
      <c r="B1577" s="12"/>
      <c r="C1577" s="18"/>
    </row>
    <row r="1578" spans="2:3" x14ac:dyDescent="0.25">
      <c r="B1578" s="12"/>
      <c r="C1578" s="18"/>
    </row>
    <row r="1579" spans="2:3" x14ac:dyDescent="0.25">
      <c r="B1579" s="12"/>
      <c r="C1579" s="18"/>
    </row>
    <row r="1580" spans="2:3" x14ac:dyDescent="0.25">
      <c r="B1580" s="12"/>
      <c r="C1580" s="18"/>
    </row>
    <row r="1581" spans="2:3" x14ac:dyDescent="0.25">
      <c r="B1581" s="12"/>
      <c r="C1581" s="18"/>
    </row>
    <row r="1582" spans="2:3" x14ac:dyDescent="0.25">
      <c r="B1582" s="12"/>
      <c r="C1582" s="18"/>
    </row>
    <row r="1583" spans="2:3" x14ac:dyDescent="0.25">
      <c r="B1583" s="12"/>
      <c r="C1583" s="18"/>
    </row>
    <row r="1584" spans="2:3" x14ac:dyDescent="0.25">
      <c r="B1584" s="12"/>
      <c r="C1584" s="18"/>
    </row>
    <row r="1585" spans="2:3" x14ac:dyDescent="0.25">
      <c r="B1585" s="12"/>
      <c r="C1585" s="18"/>
    </row>
    <row r="1586" spans="2:3" x14ac:dyDescent="0.25">
      <c r="B1586" s="12"/>
      <c r="C1586" s="18"/>
    </row>
    <row r="1587" spans="2:3" x14ac:dyDescent="0.25">
      <c r="B1587" s="12"/>
      <c r="C1587" s="18"/>
    </row>
    <row r="1588" spans="2:3" x14ac:dyDescent="0.25">
      <c r="B1588" s="12"/>
      <c r="C1588" s="18"/>
    </row>
    <row r="1589" spans="2:3" x14ac:dyDescent="0.25">
      <c r="B1589" s="12"/>
      <c r="C1589" s="18"/>
    </row>
    <row r="1590" spans="2:3" x14ac:dyDescent="0.25">
      <c r="B1590" s="12"/>
      <c r="C1590" s="18"/>
    </row>
    <row r="1591" spans="2:3" x14ac:dyDescent="0.25">
      <c r="B1591" s="12"/>
      <c r="C1591" s="18"/>
    </row>
    <row r="1592" spans="2:3" x14ac:dyDescent="0.25">
      <c r="B1592" s="12"/>
      <c r="C1592" s="18"/>
    </row>
    <row r="1593" spans="2:3" x14ac:dyDescent="0.25">
      <c r="B1593" s="12"/>
      <c r="C1593" s="18"/>
    </row>
    <row r="1594" spans="2:3" x14ac:dyDescent="0.25">
      <c r="B1594" s="12"/>
      <c r="C1594" s="18"/>
    </row>
    <row r="1595" spans="2:3" x14ac:dyDescent="0.25">
      <c r="B1595" s="12"/>
      <c r="C1595" s="18"/>
    </row>
    <row r="1596" spans="2:3" x14ac:dyDescent="0.25">
      <c r="B1596" s="12"/>
      <c r="C1596" s="18"/>
    </row>
    <row r="1597" spans="2:3" x14ac:dyDescent="0.25">
      <c r="B1597" s="12"/>
      <c r="C1597" s="18"/>
    </row>
    <row r="1598" spans="2:3" x14ac:dyDescent="0.25">
      <c r="B1598" s="12"/>
      <c r="C1598" s="18"/>
    </row>
    <row r="1599" spans="2:3" x14ac:dyDescent="0.25">
      <c r="B1599" s="12"/>
      <c r="C1599" s="18"/>
    </row>
    <row r="1600" spans="2:3" x14ac:dyDescent="0.25">
      <c r="B1600" s="12"/>
      <c r="C1600" s="18"/>
    </row>
    <row r="1601" spans="2:3" x14ac:dyDescent="0.25">
      <c r="B1601" s="12"/>
      <c r="C1601" s="18"/>
    </row>
    <row r="1602" spans="2:3" x14ac:dyDescent="0.25">
      <c r="B1602" s="12"/>
      <c r="C1602" s="18"/>
    </row>
    <row r="1603" spans="2:3" x14ac:dyDescent="0.25">
      <c r="B1603" s="12"/>
      <c r="C1603" s="18"/>
    </row>
    <row r="1604" spans="2:3" x14ac:dyDescent="0.25">
      <c r="B1604" s="12"/>
      <c r="C1604" s="18"/>
    </row>
    <row r="1605" spans="2:3" x14ac:dyDescent="0.25">
      <c r="B1605" s="12"/>
      <c r="C1605" s="18"/>
    </row>
    <row r="1606" spans="2:3" x14ac:dyDescent="0.25">
      <c r="B1606" s="12"/>
      <c r="C1606" s="18"/>
    </row>
    <row r="1607" spans="2:3" x14ac:dyDescent="0.25">
      <c r="B1607" s="12"/>
      <c r="C1607" s="18"/>
    </row>
    <row r="1608" spans="2:3" x14ac:dyDescent="0.25">
      <c r="B1608" s="12"/>
      <c r="C1608" s="18"/>
    </row>
    <row r="1609" spans="2:3" x14ac:dyDescent="0.25">
      <c r="B1609" s="12"/>
      <c r="C1609" s="18"/>
    </row>
    <row r="1610" spans="2:3" x14ac:dyDescent="0.25">
      <c r="B1610" s="12"/>
      <c r="C1610" s="18"/>
    </row>
    <row r="1611" spans="2:3" x14ac:dyDescent="0.25">
      <c r="B1611" s="12"/>
      <c r="C1611" s="18"/>
    </row>
    <row r="1612" spans="2:3" x14ac:dyDescent="0.25">
      <c r="B1612" s="12"/>
      <c r="C1612" s="18"/>
    </row>
    <row r="1613" spans="2:3" x14ac:dyDescent="0.25">
      <c r="B1613" s="12"/>
      <c r="C1613" s="18"/>
    </row>
    <row r="1614" spans="2:3" x14ac:dyDescent="0.25">
      <c r="B1614" s="12"/>
      <c r="C1614" s="18"/>
    </row>
    <row r="1615" spans="2:3" x14ac:dyDescent="0.25">
      <c r="B1615" s="12"/>
      <c r="C1615" s="18"/>
    </row>
    <row r="1616" spans="2:3" x14ac:dyDescent="0.25">
      <c r="B1616" s="12"/>
      <c r="C1616" s="18"/>
    </row>
    <row r="1617" spans="2:3" x14ac:dyDescent="0.25">
      <c r="B1617" s="12"/>
      <c r="C1617" s="18"/>
    </row>
    <row r="1618" spans="2:3" x14ac:dyDescent="0.25">
      <c r="B1618" s="12"/>
      <c r="C1618" s="18"/>
    </row>
    <row r="1619" spans="2:3" x14ac:dyDescent="0.25">
      <c r="B1619" s="12"/>
      <c r="C1619" s="18"/>
    </row>
    <row r="1620" spans="2:3" x14ac:dyDescent="0.25">
      <c r="B1620" s="12"/>
      <c r="C1620" s="18"/>
    </row>
    <row r="1621" spans="2:3" x14ac:dyDescent="0.25">
      <c r="B1621" s="12"/>
      <c r="C1621" s="18"/>
    </row>
    <row r="1622" spans="2:3" x14ac:dyDescent="0.25">
      <c r="B1622" s="12"/>
      <c r="C1622" s="18"/>
    </row>
    <row r="1623" spans="2:3" x14ac:dyDescent="0.25">
      <c r="B1623" s="12"/>
      <c r="C1623" s="18"/>
    </row>
    <row r="1624" spans="2:3" x14ac:dyDescent="0.25">
      <c r="B1624" s="12"/>
      <c r="C1624" s="18"/>
    </row>
    <row r="1625" spans="2:3" x14ac:dyDescent="0.25">
      <c r="B1625" s="12"/>
      <c r="C1625" s="18"/>
    </row>
    <row r="1626" spans="2:3" x14ac:dyDescent="0.25">
      <c r="B1626" s="12"/>
      <c r="C1626" s="18"/>
    </row>
    <row r="1627" spans="2:3" x14ac:dyDescent="0.25">
      <c r="B1627" s="12"/>
      <c r="C1627" s="18"/>
    </row>
    <row r="1628" spans="2:3" x14ac:dyDescent="0.25">
      <c r="B1628" s="12"/>
      <c r="C1628" s="18"/>
    </row>
    <row r="1629" spans="2:3" x14ac:dyDescent="0.25">
      <c r="B1629" s="12"/>
      <c r="C1629" s="18"/>
    </row>
    <row r="1630" spans="2:3" x14ac:dyDescent="0.25">
      <c r="B1630" s="12"/>
      <c r="C1630" s="18"/>
    </row>
    <row r="1631" spans="2:3" x14ac:dyDescent="0.25">
      <c r="B1631" s="12"/>
      <c r="C1631" s="18"/>
    </row>
    <row r="1632" spans="2:3" x14ac:dyDescent="0.25">
      <c r="B1632" s="12"/>
      <c r="C1632" s="18"/>
    </row>
    <row r="1633" spans="2:3" x14ac:dyDescent="0.25">
      <c r="B1633" s="12"/>
      <c r="C1633" s="18"/>
    </row>
    <row r="1634" spans="2:3" x14ac:dyDescent="0.25">
      <c r="B1634" s="12"/>
      <c r="C1634" s="18"/>
    </row>
    <row r="1635" spans="2:3" x14ac:dyDescent="0.25">
      <c r="B1635" s="12"/>
      <c r="C1635" s="18"/>
    </row>
    <row r="1636" spans="2:3" x14ac:dyDescent="0.25">
      <c r="B1636" s="12"/>
      <c r="C1636" s="18"/>
    </row>
    <row r="1637" spans="2:3" x14ac:dyDescent="0.25">
      <c r="B1637" s="12"/>
      <c r="C1637" s="18"/>
    </row>
    <row r="1638" spans="2:3" x14ac:dyDescent="0.25">
      <c r="B1638" s="12"/>
      <c r="C1638" s="18"/>
    </row>
    <row r="1639" spans="2:3" x14ac:dyDescent="0.25">
      <c r="B1639" s="12"/>
      <c r="C1639" s="18"/>
    </row>
    <row r="1640" spans="2:3" x14ac:dyDescent="0.25">
      <c r="B1640" s="12"/>
      <c r="C1640" s="18"/>
    </row>
    <row r="1641" spans="2:3" x14ac:dyDescent="0.25">
      <c r="B1641" s="12"/>
      <c r="C1641" s="18"/>
    </row>
    <row r="1642" spans="2:3" x14ac:dyDescent="0.25">
      <c r="B1642" s="12"/>
      <c r="C1642" s="18"/>
    </row>
    <row r="1643" spans="2:3" x14ac:dyDescent="0.25">
      <c r="B1643" s="12"/>
      <c r="C1643" s="18"/>
    </row>
    <row r="1644" spans="2:3" x14ac:dyDescent="0.25">
      <c r="B1644" s="12"/>
      <c r="C1644" s="18"/>
    </row>
    <row r="1645" spans="2:3" x14ac:dyDescent="0.25">
      <c r="B1645" s="12"/>
      <c r="C1645" s="18"/>
    </row>
    <row r="1646" spans="2:3" x14ac:dyDescent="0.25">
      <c r="B1646" s="12"/>
      <c r="C1646" s="18"/>
    </row>
    <row r="1647" spans="2:3" x14ac:dyDescent="0.25">
      <c r="B1647" s="12"/>
      <c r="C1647" s="18"/>
    </row>
    <row r="1648" spans="2:3" x14ac:dyDescent="0.25">
      <c r="B1648" s="12"/>
      <c r="C1648" s="18"/>
    </row>
    <row r="1649" spans="2:3" x14ac:dyDescent="0.25">
      <c r="B1649" s="12"/>
      <c r="C1649" s="18"/>
    </row>
    <row r="1650" spans="2:3" x14ac:dyDescent="0.25">
      <c r="B1650" s="12"/>
      <c r="C1650" s="18"/>
    </row>
    <row r="1651" spans="2:3" x14ac:dyDescent="0.25">
      <c r="B1651" s="12"/>
      <c r="C1651" s="18"/>
    </row>
    <row r="1652" spans="2:3" x14ac:dyDescent="0.25">
      <c r="B1652" s="12"/>
      <c r="C1652" s="18"/>
    </row>
    <row r="1653" spans="2:3" x14ac:dyDescent="0.25">
      <c r="B1653" s="12"/>
      <c r="C1653" s="18"/>
    </row>
    <row r="1654" spans="2:3" x14ac:dyDescent="0.25">
      <c r="B1654" s="12"/>
      <c r="C1654" s="18"/>
    </row>
    <row r="1655" spans="2:3" x14ac:dyDescent="0.25">
      <c r="B1655" s="12"/>
      <c r="C1655" s="18"/>
    </row>
    <row r="1656" spans="2:3" x14ac:dyDescent="0.25">
      <c r="B1656" s="12"/>
      <c r="C1656" s="18"/>
    </row>
    <row r="1657" spans="2:3" x14ac:dyDescent="0.25">
      <c r="B1657" s="12"/>
      <c r="C1657" s="18"/>
    </row>
    <row r="1658" spans="2:3" x14ac:dyDescent="0.25">
      <c r="B1658" s="12"/>
      <c r="C1658" s="18"/>
    </row>
    <row r="1659" spans="2:3" x14ac:dyDescent="0.25">
      <c r="B1659" s="12"/>
      <c r="C1659" s="18"/>
    </row>
    <row r="1660" spans="2:3" x14ac:dyDescent="0.25">
      <c r="B1660" s="12"/>
      <c r="C1660" s="18"/>
    </row>
    <row r="1661" spans="2:3" x14ac:dyDescent="0.25">
      <c r="B1661" s="12"/>
      <c r="C1661" s="18"/>
    </row>
    <row r="1662" spans="2:3" x14ac:dyDescent="0.25">
      <c r="B1662" s="12"/>
      <c r="C1662" s="18"/>
    </row>
    <row r="1663" spans="2:3" x14ac:dyDescent="0.25">
      <c r="B1663" s="12"/>
      <c r="C1663" s="18"/>
    </row>
    <row r="1664" spans="2:3" x14ac:dyDescent="0.25">
      <c r="B1664" s="12"/>
      <c r="C1664" s="18"/>
    </row>
    <row r="1665" spans="2:3" x14ac:dyDescent="0.25">
      <c r="B1665" s="12"/>
      <c r="C1665" s="18"/>
    </row>
    <row r="1666" spans="2:3" x14ac:dyDescent="0.25">
      <c r="B1666" s="12"/>
      <c r="C1666" s="18"/>
    </row>
    <row r="1667" spans="2:3" x14ac:dyDescent="0.25">
      <c r="B1667" s="12"/>
      <c r="C1667" s="18"/>
    </row>
    <row r="1668" spans="2:3" x14ac:dyDescent="0.25">
      <c r="B1668" s="12"/>
      <c r="C1668" s="18"/>
    </row>
    <row r="1669" spans="2:3" x14ac:dyDescent="0.25">
      <c r="B1669" s="12"/>
      <c r="C1669" s="18"/>
    </row>
    <row r="1670" spans="2:3" x14ac:dyDescent="0.25">
      <c r="B1670" s="12"/>
      <c r="C1670" s="18"/>
    </row>
    <row r="1671" spans="2:3" x14ac:dyDescent="0.25">
      <c r="B1671" s="12"/>
      <c r="C1671" s="18"/>
    </row>
    <row r="1672" spans="2:3" x14ac:dyDescent="0.25">
      <c r="B1672" s="12"/>
      <c r="C1672" s="18"/>
    </row>
    <row r="1673" spans="2:3" x14ac:dyDescent="0.25">
      <c r="B1673" s="12"/>
      <c r="C1673" s="18"/>
    </row>
    <row r="1674" spans="2:3" x14ac:dyDescent="0.25">
      <c r="B1674" s="12"/>
      <c r="C1674" s="18"/>
    </row>
    <row r="1675" spans="2:3" x14ac:dyDescent="0.25">
      <c r="B1675" s="12"/>
      <c r="C1675" s="18"/>
    </row>
    <row r="1676" spans="2:3" x14ac:dyDescent="0.25">
      <c r="B1676" s="12"/>
      <c r="C1676" s="18"/>
    </row>
    <row r="1677" spans="2:3" x14ac:dyDescent="0.25">
      <c r="B1677" s="12"/>
      <c r="C1677" s="18"/>
    </row>
    <row r="1678" spans="2:3" x14ac:dyDescent="0.25">
      <c r="B1678" s="12"/>
      <c r="C1678" s="18"/>
    </row>
    <row r="1679" spans="2:3" x14ac:dyDescent="0.25">
      <c r="B1679" s="12"/>
      <c r="C1679" s="18"/>
    </row>
    <row r="1680" spans="2:3" x14ac:dyDescent="0.25">
      <c r="B1680" s="12"/>
      <c r="C1680" s="18"/>
    </row>
    <row r="1681" spans="2:3" x14ac:dyDescent="0.25">
      <c r="B1681" s="12"/>
      <c r="C1681" s="18"/>
    </row>
    <row r="1682" spans="2:3" x14ac:dyDescent="0.25">
      <c r="B1682" s="12"/>
      <c r="C1682" s="18"/>
    </row>
    <row r="1683" spans="2:3" x14ac:dyDescent="0.25">
      <c r="B1683" s="12"/>
      <c r="C1683" s="18"/>
    </row>
    <row r="1684" spans="2:3" x14ac:dyDescent="0.25">
      <c r="B1684" s="12"/>
      <c r="C1684" s="18"/>
    </row>
    <row r="1685" spans="2:3" x14ac:dyDescent="0.25">
      <c r="B1685" s="12"/>
      <c r="C1685" s="18"/>
    </row>
    <row r="1686" spans="2:3" x14ac:dyDescent="0.25">
      <c r="B1686" s="12"/>
      <c r="C1686" s="18"/>
    </row>
    <row r="1687" spans="2:3" x14ac:dyDescent="0.25">
      <c r="B1687" s="12"/>
      <c r="C1687" s="18"/>
    </row>
    <row r="1688" spans="2:3" x14ac:dyDescent="0.25">
      <c r="B1688" s="12"/>
      <c r="C1688" s="18"/>
    </row>
    <row r="1689" spans="2:3" x14ac:dyDescent="0.25">
      <c r="B1689" s="12"/>
      <c r="C1689" s="18"/>
    </row>
    <row r="1690" spans="2:3" x14ac:dyDescent="0.25">
      <c r="B1690" s="12"/>
      <c r="C1690" s="18"/>
    </row>
    <row r="1691" spans="2:3" x14ac:dyDescent="0.25">
      <c r="B1691" s="12"/>
      <c r="C1691" s="18"/>
    </row>
    <row r="1692" spans="2:3" x14ac:dyDescent="0.25">
      <c r="B1692" s="12"/>
      <c r="C1692" s="18"/>
    </row>
    <row r="1693" spans="2:3" x14ac:dyDescent="0.25">
      <c r="B1693" s="12"/>
      <c r="C1693" s="18"/>
    </row>
    <row r="1694" spans="2:3" x14ac:dyDescent="0.25">
      <c r="B1694" s="12"/>
      <c r="C1694" s="18"/>
    </row>
    <row r="1695" spans="2:3" x14ac:dyDescent="0.25">
      <c r="B1695" s="12"/>
      <c r="C1695" s="18"/>
    </row>
    <row r="1696" spans="2:3" x14ac:dyDescent="0.25">
      <c r="B1696" s="12"/>
      <c r="C1696" s="18"/>
    </row>
    <row r="1697" spans="2:3" x14ac:dyDescent="0.25">
      <c r="B1697" s="12"/>
      <c r="C1697" s="18"/>
    </row>
    <row r="1698" spans="2:3" x14ac:dyDescent="0.25">
      <c r="B1698" s="12"/>
      <c r="C1698" s="18"/>
    </row>
    <row r="1699" spans="2:3" x14ac:dyDescent="0.25">
      <c r="B1699" s="12"/>
      <c r="C1699" s="18"/>
    </row>
    <row r="1700" spans="2:3" x14ac:dyDescent="0.25">
      <c r="B1700" s="12"/>
      <c r="C1700" s="18"/>
    </row>
    <row r="1701" spans="2:3" x14ac:dyDescent="0.25">
      <c r="B1701" s="12"/>
      <c r="C1701" s="18"/>
    </row>
    <row r="1702" spans="2:3" x14ac:dyDescent="0.25">
      <c r="B1702" s="12"/>
      <c r="C1702" s="18"/>
    </row>
    <row r="1703" spans="2:3" x14ac:dyDescent="0.25">
      <c r="B1703" s="12"/>
      <c r="C1703" s="18"/>
    </row>
    <row r="1704" spans="2:3" x14ac:dyDescent="0.25">
      <c r="B1704" s="12"/>
      <c r="C1704" s="18"/>
    </row>
    <row r="1705" spans="2:3" x14ac:dyDescent="0.25">
      <c r="B1705" s="12"/>
      <c r="C1705" s="18"/>
    </row>
    <row r="1706" spans="2:3" x14ac:dyDescent="0.25">
      <c r="B1706" s="12"/>
      <c r="C1706" s="18"/>
    </row>
    <row r="1707" spans="2:3" x14ac:dyDescent="0.25">
      <c r="B1707" s="12"/>
      <c r="C1707" s="18"/>
    </row>
    <row r="1708" spans="2:3" x14ac:dyDescent="0.25">
      <c r="B1708" s="12"/>
      <c r="C1708" s="18"/>
    </row>
    <row r="1709" spans="2:3" x14ac:dyDescent="0.25">
      <c r="B1709" s="12"/>
      <c r="C1709" s="18"/>
    </row>
    <row r="1710" spans="2:3" x14ac:dyDescent="0.25">
      <c r="B1710" s="12"/>
      <c r="C1710" s="18"/>
    </row>
    <row r="1711" spans="2:3" x14ac:dyDescent="0.25">
      <c r="B1711" s="12"/>
      <c r="C1711" s="18"/>
    </row>
    <row r="1712" spans="2:3" x14ac:dyDescent="0.25">
      <c r="B1712" s="12"/>
      <c r="C1712" s="18"/>
    </row>
    <row r="1713" spans="2:3" x14ac:dyDescent="0.25">
      <c r="B1713" s="12"/>
      <c r="C1713" s="18"/>
    </row>
    <row r="1714" spans="2:3" x14ac:dyDescent="0.25">
      <c r="B1714" s="12"/>
      <c r="C1714" s="18"/>
    </row>
    <row r="1715" spans="2:3" x14ac:dyDescent="0.25">
      <c r="B1715" s="12"/>
      <c r="C1715" s="18"/>
    </row>
    <row r="1716" spans="2:3" x14ac:dyDescent="0.25">
      <c r="B1716" s="12"/>
      <c r="C1716" s="18"/>
    </row>
    <row r="1717" spans="2:3" x14ac:dyDescent="0.25">
      <c r="B1717" s="12"/>
      <c r="C1717" s="18"/>
    </row>
    <row r="1718" spans="2:3" x14ac:dyDescent="0.25">
      <c r="B1718" s="12"/>
      <c r="C1718" s="18"/>
    </row>
    <row r="1719" spans="2:3" x14ac:dyDescent="0.25">
      <c r="B1719" s="12"/>
      <c r="C1719" s="18"/>
    </row>
    <row r="1720" spans="2:3" x14ac:dyDescent="0.25">
      <c r="B1720" s="12"/>
      <c r="C1720" s="18"/>
    </row>
    <row r="1721" spans="2:3" x14ac:dyDescent="0.25">
      <c r="B1721" s="12"/>
      <c r="C1721" s="18"/>
    </row>
    <row r="1722" spans="2:3" x14ac:dyDescent="0.25">
      <c r="B1722" s="12"/>
      <c r="C1722" s="18"/>
    </row>
    <row r="1723" spans="2:3" x14ac:dyDescent="0.25">
      <c r="B1723" s="12"/>
      <c r="C1723" s="18"/>
    </row>
    <row r="1724" spans="2:3" x14ac:dyDescent="0.25">
      <c r="B1724" s="12"/>
      <c r="C1724" s="18"/>
    </row>
    <row r="1725" spans="2:3" x14ac:dyDescent="0.25">
      <c r="B1725" s="12"/>
      <c r="C1725" s="18"/>
    </row>
    <row r="1726" spans="2:3" x14ac:dyDescent="0.25">
      <c r="B1726" s="12"/>
      <c r="C1726" s="18"/>
    </row>
    <row r="1727" spans="2:3" x14ac:dyDescent="0.25">
      <c r="B1727" s="12"/>
      <c r="C1727" s="18"/>
    </row>
    <row r="1728" spans="2:3" x14ac:dyDescent="0.25">
      <c r="B1728" s="12"/>
      <c r="C1728" s="18"/>
    </row>
    <row r="1729" spans="2:3" x14ac:dyDescent="0.25">
      <c r="B1729" s="12"/>
      <c r="C1729" s="18"/>
    </row>
    <row r="1730" spans="2:3" x14ac:dyDescent="0.25">
      <c r="B1730" s="12"/>
      <c r="C1730" s="18"/>
    </row>
    <row r="1731" spans="2:3" x14ac:dyDescent="0.25">
      <c r="B1731" s="12"/>
      <c r="C1731" s="18"/>
    </row>
    <row r="1732" spans="2:3" x14ac:dyDescent="0.25">
      <c r="B1732" s="12"/>
      <c r="C1732" s="18"/>
    </row>
    <row r="1733" spans="2:3" x14ac:dyDescent="0.25">
      <c r="B1733" s="12"/>
      <c r="C1733" s="18"/>
    </row>
    <row r="1734" spans="2:3" x14ac:dyDescent="0.25">
      <c r="B1734" s="12"/>
      <c r="C1734" s="18"/>
    </row>
    <row r="1735" spans="2:3" x14ac:dyDescent="0.25">
      <c r="B1735" s="12"/>
      <c r="C1735" s="18"/>
    </row>
    <row r="1736" spans="2:3" x14ac:dyDescent="0.25">
      <c r="B1736" s="12"/>
      <c r="C1736" s="18"/>
    </row>
    <row r="1737" spans="2:3" x14ac:dyDescent="0.25">
      <c r="B1737" s="12"/>
      <c r="C1737" s="18"/>
    </row>
    <row r="1738" spans="2:3" x14ac:dyDescent="0.25">
      <c r="B1738" s="12"/>
      <c r="C1738" s="18"/>
    </row>
    <row r="1739" spans="2:3" x14ac:dyDescent="0.25">
      <c r="B1739" s="12"/>
      <c r="C1739" s="18"/>
    </row>
    <row r="1740" spans="2:3" x14ac:dyDescent="0.25">
      <c r="B1740" s="12"/>
      <c r="C1740" s="18"/>
    </row>
    <row r="1741" spans="2:3" x14ac:dyDescent="0.25">
      <c r="B1741" s="12"/>
      <c r="C1741" s="18"/>
    </row>
    <row r="1742" spans="2:3" x14ac:dyDescent="0.25">
      <c r="B1742" s="12"/>
      <c r="C1742" s="18"/>
    </row>
    <row r="1743" spans="2:3" x14ac:dyDescent="0.25">
      <c r="B1743" s="12"/>
      <c r="C1743" s="18"/>
    </row>
    <row r="1744" spans="2:3" x14ac:dyDescent="0.25">
      <c r="B1744" s="12"/>
      <c r="C1744" s="18"/>
    </row>
    <row r="1745" spans="2:3" x14ac:dyDescent="0.25">
      <c r="B1745" s="12"/>
      <c r="C1745" s="18"/>
    </row>
    <row r="1746" spans="2:3" x14ac:dyDescent="0.25">
      <c r="B1746" s="12"/>
      <c r="C1746" s="18"/>
    </row>
    <row r="1747" spans="2:3" x14ac:dyDescent="0.25">
      <c r="B1747" s="12"/>
      <c r="C1747" s="18"/>
    </row>
    <row r="1748" spans="2:3" x14ac:dyDescent="0.25">
      <c r="B1748" s="12"/>
      <c r="C1748" s="18"/>
    </row>
    <row r="1749" spans="2:3" x14ac:dyDescent="0.25">
      <c r="B1749" s="12"/>
      <c r="C1749" s="18"/>
    </row>
    <row r="1750" spans="2:3" x14ac:dyDescent="0.25">
      <c r="B1750" s="12"/>
      <c r="C1750" s="18"/>
    </row>
    <row r="1751" spans="2:3" x14ac:dyDescent="0.25">
      <c r="B1751" s="12"/>
      <c r="C1751" s="18"/>
    </row>
    <row r="1752" spans="2:3" x14ac:dyDescent="0.25">
      <c r="B1752" s="12"/>
      <c r="C1752" s="18"/>
    </row>
    <row r="1753" spans="2:3" x14ac:dyDescent="0.25">
      <c r="B1753" s="12"/>
      <c r="C1753" s="18"/>
    </row>
    <row r="1754" spans="2:3" x14ac:dyDescent="0.25">
      <c r="B1754" s="12"/>
      <c r="C1754" s="18"/>
    </row>
    <row r="1755" spans="2:3" x14ac:dyDescent="0.25">
      <c r="B1755" s="12"/>
      <c r="C1755" s="18"/>
    </row>
    <row r="1756" spans="2:3" x14ac:dyDescent="0.25">
      <c r="B1756" s="12"/>
      <c r="C1756" s="18"/>
    </row>
    <row r="1757" spans="2:3" x14ac:dyDescent="0.25">
      <c r="B1757" s="12"/>
      <c r="C1757" s="18"/>
    </row>
    <row r="1758" spans="2:3" x14ac:dyDescent="0.25">
      <c r="B1758" s="12"/>
      <c r="C1758" s="18"/>
    </row>
    <row r="1759" spans="2:3" x14ac:dyDescent="0.25">
      <c r="B1759" s="12"/>
      <c r="C1759" s="18"/>
    </row>
    <row r="1760" spans="2:3" x14ac:dyDescent="0.25">
      <c r="B1760" s="12"/>
      <c r="C1760" s="18"/>
    </row>
    <row r="1761" spans="2:3" x14ac:dyDescent="0.25">
      <c r="B1761" s="12"/>
      <c r="C1761" s="18"/>
    </row>
    <row r="1762" spans="2:3" x14ac:dyDescent="0.25">
      <c r="B1762" s="12"/>
      <c r="C1762" s="18"/>
    </row>
    <row r="1763" spans="2:3" x14ac:dyDescent="0.25">
      <c r="B1763" s="12"/>
      <c r="C1763" s="18"/>
    </row>
    <row r="1764" spans="2:3" x14ac:dyDescent="0.25">
      <c r="B1764" s="12"/>
      <c r="C1764" s="18"/>
    </row>
    <row r="1765" spans="2:3" x14ac:dyDescent="0.25">
      <c r="B1765" s="12"/>
      <c r="C1765" s="18"/>
    </row>
    <row r="1766" spans="2:3" x14ac:dyDescent="0.25">
      <c r="B1766" s="12"/>
      <c r="C1766" s="18"/>
    </row>
    <row r="1767" spans="2:3" x14ac:dyDescent="0.25">
      <c r="B1767" s="12"/>
      <c r="C1767" s="18"/>
    </row>
    <row r="1768" spans="2:3" x14ac:dyDescent="0.25">
      <c r="B1768" s="12"/>
      <c r="C1768" s="18"/>
    </row>
    <row r="1769" spans="2:3" x14ac:dyDescent="0.25">
      <c r="B1769" s="12"/>
      <c r="C1769" s="18"/>
    </row>
    <row r="1770" spans="2:3" x14ac:dyDescent="0.25">
      <c r="B1770" s="12"/>
      <c r="C1770" s="18"/>
    </row>
    <row r="1771" spans="2:3" x14ac:dyDescent="0.25">
      <c r="B1771" s="12"/>
      <c r="C1771" s="18"/>
    </row>
    <row r="1772" spans="2:3" x14ac:dyDescent="0.25">
      <c r="B1772" s="12"/>
      <c r="C1772" s="18"/>
    </row>
    <row r="1773" spans="2:3" x14ac:dyDescent="0.25">
      <c r="B1773" s="12"/>
      <c r="C1773" s="18"/>
    </row>
    <row r="1774" spans="2:3" x14ac:dyDescent="0.25">
      <c r="B1774" s="12"/>
      <c r="C1774" s="18"/>
    </row>
    <row r="1775" spans="2:3" x14ac:dyDescent="0.25">
      <c r="B1775" s="12"/>
      <c r="C1775" s="18"/>
    </row>
    <row r="1776" spans="2:3" x14ac:dyDescent="0.25">
      <c r="B1776" s="12"/>
      <c r="C1776" s="18"/>
    </row>
    <row r="1777" spans="2:3" x14ac:dyDescent="0.25">
      <c r="B1777" s="12"/>
      <c r="C1777" s="18"/>
    </row>
    <row r="1778" spans="2:3" x14ac:dyDescent="0.25">
      <c r="B1778" s="12"/>
      <c r="C1778" s="18"/>
    </row>
    <row r="1779" spans="2:3" x14ac:dyDescent="0.25">
      <c r="B1779" s="12"/>
      <c r="C1779" s="18"/>
    </row>
    <row r="1780" spans="2:3" x14ac:dyDescent="0.25">
      <c r="B1780" s="12"/>
      <c r="C1780" s="18"/>
    </row>
    <row r="1781" spans="2:3" x14ac:dyDescent="0.25">
      <c r="B1781" s="12"/>
      <c r="C1781" s="18"/>
    </row>
    <row r="1782" spans="2:3" x14ac:dyDescent="0.25">
      <c r="B1782" s="12"/>
      <c r="C1782" s="18"/>
    </row>
    <row r="1783" spans="2:3" x14ac:dyDescent="0.25">
      <c r="B1783" s="12"/>
      <c r="C1783" s="18"/>
    </row>
    <row r="1784" spans="2:3" x14ac:dyDescent="0.25">
      <c r="B1784" s="12"/>
      <c r="C1784" s="18"/>
    </row>
    <row r="1785" spans="2:3" x14ac:dyDescent="0.25">
      <c r="B1785" s="12"/>
      <c r="C1785" s="18"/>
    </row>
    <row r="1786" spans="2:3" x14ac:dyDescent="0.25">
      <c r="B1786" s="12"/>
      <c r="C1786" s="18"/>
    </row>
    <row r="1787" spans="2:3" x14ac:dyDescent="0.25">
      <c r="B1787" s="12"/>
      <c r="C1787" s="18"/>
    </row>
    <row r="1788" spans="2:3" x14ac:dyDescent="0.25">
      <c r="B1788" s="12"/>
      <c r="C1788" s="18"/>
    </row>
    <row r="1789" spans="2:3" x14ac:dyDescent="0.25">
      <c r="B1789" s="12"/>
      <c r="C1789" s="18"/>
    </row>
    <row r="1790" spans="2:3" x14ac:dyDescent="0.25">
      <c r="B1790" s="12"/>
      <c r="C1790" s="18"/>
    </row>
    <row r="1791" spans="2:3" x14ac:dyDescent="0.25">
      <c r="B1791" s="12"/>
      <c r="C1791" s="18"/>
    </row>
    <row r="1792" spans="2:3" x14ac:dyDescent="0.25">
      <c r="B1792" s="12"/>
      <c r="C1792" s="18"/>
    </row>
    <row r="1793" spans="2:3" x14ac:dyDescent="0.25">
      <c r="B1793" s="12"/>
      <c r="C1793" s="18"/>
    </row>
    <row r="1794" spans="2:3" x14ac:dyDescent="0.25">
      <c r="B1794" s="12"/>
      <c r="C1794" s="18"/>
    </row>
    <row r="1795" spans="2:3" x14ac:dyDescent="0.25">
      <c r="B1795" s="12"/>
      <c r="C1795" s="18"/>
    </row>
    <row r="1796" spans="2:3" x14ac:dyDescent="0.25">
      <c r="B1796" s="12"/>
      <c r="C1796" s="18"/>
    </row>
    <row r="1797" spans="2:3" x14ac:dyDescent="0.25">
      <c r="B1797" s="12"/>
      <c r="C1797" s="18"/>
    </row>
    <row r="1798" spans="2:3" x14ac:dyDescent="0.25">
      <c r="B1798" s="12"/>
      <c r="C1798" s="18"/>
    </row>
    <row r="1799" spans="2:3" x14ac:dyDescent="0.25">
      <c r="B1799" s="12"/>
      <c r="C1799" s="18"/>
    </row>
    <row r="1800" spans="2:3" x14ac:dyDescent="0.25">
      <c r="B1800" s="12"/>
      <c r="C1800" s="18"/>
    </row>
    <row r="1801" spans="2:3" x14ac:dyDescent="0.25">
      <c r="B1801" s="12"/>
      <c r="C1801" s="18"/>
    </row>
    <row r="1802" spans="2:3" x14ac:dyDescent="0.25">
      <c r="B1802" s="12"/>
      <c r="C1802" s="18"/>
    </row>
    <row r="1803" spans="2:3" x14ac:dyDescent="0.25">
      <c r="B1803" s="12"/>
      <c r="C1803" s="18"/>
    </row>
    <row r="1804" spans="2:3" x14ac:dyDescent="0.25">
      <c r="B1804" s="12"/>
      <c r="C1804" s="18"/>
    </row>
    <row r="1805" spans="2:3" x14ac:dyDescent="0.25">
      <c r="B1805" s="12"/>
      <c r="C1805" s="18"/>
    </row>
    <row r="1806" spans="2:3" x14ac:dyDescent="0.25">
      <c r="B1806" s="12"/>
      <c r="C1806" s="18"/>
    </row>
    <row r="1807" spans="2:3" x14ac:dyDescent="0.25">
      <c r="B1807" s="12"/>
      <c r="C1807" s="18"/>
    </row>
    <row r="1808" spans="2:3" x14ac:dyDescent="0.25">
      <c r="B1808" s="12"/>
      <c r="C1808" s="18"/>
    </row>
    <row r="1809" spans="2:3" x14ac:dyDescent="0.25">
      <c r="B1809" s="12"/>
      <c r="C1809" s="18"/>
    </row>
    <row r="1810" spans="2:3" x14ac:dyDescent="0.25">
      <c r="B1810" s="12"/>
      <c r="C1810" s="18"/>
    </row>
    <row r="1811" spans="2:3" x14ac:dyDescent="0.25">
      <c r="B1811" s="12"/>
      <c r="C1811" s="18"/>
    </row>
    <row r="1812" spans="2:3" x14ac:dyDescent="0.25">
      <c r="B1812" s="12"/>
      <c r="C1812" s="18"/>
    </row>
    <row r="1813" spans="2:3" x14ac:dyDescent="0.25">
      <c r="B1813" s="12"/>
      <c r="C1813" s="18"/>
    </row>
    <row r="1814" spans="2:3" x14ac:dyDescent="0.25">
      <c r="B1814" s="12"/>
      <c r="C1814" s="18"/>
    </row>
    <row r="1815" spans="2:3" x14ac:dyDescent="0.25">
      <c r="B1815" s="12"/>
      <c r="C1815" s="18"/>
    </row>
    <row r="1816" spans="2:3" x14ac:dyDescent="0.25">
      <c r="B1816" s="12"/>
      <c r="C1816" s="18"/>
    </row>
    <row r="1817" spans="2:3" x14ac:dyDescent="0.25">
      <c r="B1817" s="12"/>
      <c r="C1817" s="18"/>
    </row>
    <row r="1818" spans="2:3" x14ac:dyDescent="0.25">
      <c r="B1818" s="12"/>
      <c r="C1818" s="18"/>
    </row>
    <row r="1819" spans="2:3" x14ac:dyDescent="0.25">
      <c r="B1819" s="12"/>
      <c r="C1819" s="18"/>
    </row>
    <row r="1820" spans="2:3" x14ac:dyDescent="0.25">
      <c r="B1820" s="12"/>
      <c r="C1820" s="18"/>
    </row>
    <row r="1821" spans="2:3" x14ac:dyDescent="0.25">
      <c r="B1821" s="12"/>
      <c r="C1821" s="18"/>
    </row>
    <row r="1822" spans="2:3" x14ac:dyDescent="0.25">
      <c r="B1822" s="12"/>
      <c r="C1822" s="18"/>
    </row>
    <row r="1823" spans="2:3" x14ac:dyDescent="0.25">
      <c r="B1823" s="12"/>
      <c r="C1823" s="18"/>
    </row>
    <row r="1824" spans="2:3" x14ac:dyDescent="0.25">
      <c r="B1824" s="12"/>
      <c r="C1824" s="18"/>
    </row>
    <row r="1825" spans="2:3" x14ac:dyDescent="0.25">
      <c r="B1825" s="12"/>
      <c r="C1825" s="18"/>
    </row>
    <row r="1826" spans="2:3" x14ac:dyDescent="0.25">
      <c r="B1826" s="12"/>
      <c r="C1826" s="18"/>
    </row>
    <row r="1827" spans="2:3" x14ac:dyDescent="0.25">
      <c r="B1827" s="12"/>
      <c r="C1827" s="18"/>
    </row>
    <row r="1828" spans="2:3" x14ac:dyDescent="0.25">
      <c r="B1828" s="12"/>
      <c r="C1828" s="18"/>
    </row>
    <row r="1829" spans="2:3" x14ac:dyDescent="0.25">
      <c r="B1829" s="12"/>
      <c r="C1829" s="18"/>
    </row>
    <row r="1830" spans="2:3" x14ac:dyDescent="0.25">
      <c r="B1830" s="12"/>
      <c r="C1830" s="18"/>
    </row>
    <row r="1831" spans="2:3" x14ac:dyDescent="0.25">
      <c r="B1831" s="12"/>
      <c r="C1831" s="18"/>
    </row>
    <row r="1832" spans="2:3" x14ac:dyDescent="0.25">
      <c r="B1832" s="12"/>
      <c r="C1832" s="18"/>
    </row>
    <row r="1833" spans="2:3" x14ac:dyDescent="0.25">
      <c r="B1833" s="12"/>
      <c r="C1833" s="18"/>
    </row>
    <row r="1834" spans="2:3" x14ac:dyDescent="0.25">
      <c r="B1834" s="12"/>
      <c r="C1834" s="18"/>
    </row>
    <row r="1835" spans="2:3" x14ac:dyDescent="0.25">
      <c r="B1835" s="12"/>
      <c r="C1835" s="18"/>
    </row>
    <row r="1836" spans="2:3" x14ac:dyDescent="0.25">
      <c r="B1836" s="12"/>
      <c r="C1836" s="18"/>
    </row>
    <row r="1837" spans="2:3" x14ac:dyDescent="0.25">
      <c r="B1837" s="12"/>
      <c r="C1837" s="18"/>
    </row>
    <row r="1838" spans="2:3" x14ac:dyDescent="0.25">
      <c r="B1838" s="12"/>
      <c r="C1838" s="18"/>
    </row>
    <row r="1839" spans="2:3" x14ac:dyDescent="0.25">
      <c r="B1839" s="12"/>
      <c r="C1839" s="18"/>
    </row>
    <row r="1840" spans="2:3" x14ac:dyDescent="0.25">
      <c r="B1840" s="12"/>
      <c r="C1840" s="18"/>
    </row>
    <row r="1841" spans="2:3" x14ac:dyDescent="0.25">
      <c r="B1841" s="12"/>
      <c r="C1841" s="18"/>
    </row>
    <row r="1842" spans="2:3" x14ac:dyDescent="0.25">
      <c r="B1842" s="12"/>
      <c r="C1842" s="18"/>
    </row>
    <row r="1843" spans="2:3" x14ac:dyDescent="0.25">
      <c r="B1843" s="12"/>
      <c r="C1843" s="18"/>
    </row>
    <row r="1844" spans="2:3" x14ac:dyDescent="0.25">
      <c r="B1844" s="12"/>
      <c r="C1844" s="18"/>
    </row>
    <row r="1845" spans="2:3" x14ac:dyDescent="0.25">
      <c r="B1845" s="12"/>
      <c r="C1845" s="18"/>
    </row>
    <row r="1846" spans="2:3" x14ac:dyDescent="0.25">
      <c r="B1846" s="12"/>
      <c r="C1846" s="18"/>
    </row>
    <row r="1847" spans="2:3" x14ac:dyDescent="0.25">
      <c r="B1847" s="12"/>
      <c r="C1847" s="18"/>
    </row>
    <row r="1848" spans="2:3" x14ac:dyDescent="0.25">
      <c r="B1848" s="12"/>
      <c r="C1848" s="18"/>
    </row>
    <row r="1849" spans="2:3" x14ac:dyDescent="0.25">
      <c r="B1849" s="12"/>
      <c r="C1849" s="18"/>
    </row>
    <row r="1850" spans="2:3" x14ac:dyDescent="0.25">
      <c r="B1850" s="12"/>
      <c r="C1850" s="18"/>
    </row>
    <row r="1851" spans="2:3" x14ac:dyDescent="0.25">
      <c r="B1851" s="12"/>
      <c r="C1851" s="18"/>
    </row>
    <row r="1852" spans="2:3" x14ac:dyDescent="0.25">
      <c r="B1852" s="12"/>
      <c r="C1852" s="18"/>
    </row>
    <row r="1853" spans="2:3" x14ac:dyDescent="0.25">
      <c r="B1853" s="12"/>
      <c r="C1853" s="18"/>
    </row>
    <row r="1854" spans="2:3" x14ac:dyDescent="0.25">
      <c r="B1854" s="12"/>
      <c r="C1854" s="18"/>
    </row>
    <row r="1855" spans="2:3" x14ac:dyDescent="0.25">
      <c r="B1855" s="12"/>
      <c r="C1855" s="18"/>
    </row>
    <row r="1856" spans="2:3" x14ac:dyDescent="0.25">
      <c r="B1856" s="12"/>
      <c r="C1856" s="18"/>
    </row>
    <row r="1857" spans="2:3" x14ac:dyDescent="0.25">
      <c r="B1857" s="12"/>
      <c r="C1857" s="18"/>
    </row>
    <row r="1858" spans="2:3" x14ac:dyDescent="0.25">
      <c r="B1858" s="12"/>
      <c r="C1858" s="18"/>
    </row>
    <row r="1859" spans="2:3" x14ac:dyDescent="0.25">
      <c r="B1859" s="12"/>
      <c r="C1859" s="18"/>
    </row>
    <row r="1860" spans="2:3" x14ac:dyDescent="0.25">
      <c r="B1860" s="12"/>
      <c r="C1860" s="18"/>
    </row>
    <row r="1861" spans="2:3" x14ac:dyDescent="0.25">
      <c r="B1861" s="12"/>
      <c r="C1861" s="18"/>
    </row>
    <row r="1862" spans="2:3" x14ac:dyDescent="0.25">
      <c r="B1862" s="12"/>
      <c r="C1862" s="18"/>
    </row>
    <row r="1863" spans="2:3" x14ac:dyDescent="0.25">
      <c r="B1863" s="12"/>
      <c r="C1863" s="18"/>
    </row>
    <row r="1864" spans="2:3" x14ac:dyDescent="0.25">
      <c r="B1864" s="12"/>
      <c r="C1864" s="18"/>
    </row>
    <row r="1865" spans="2:3" x14ac:dyDescent="0.25">
      <c r="B1865" s="12"/>
      <c r="C1865" s="18"/>
    </row>
    <row r="1866" spans="2:3" x14ac:dyDescent="0.25">
      <c r="B1866" s="12"/>
      <c r="C1866" s="18"/>
    </row>
    <row r="1867" spans="2:3" x14ac:dyDescent="0.25">
      <c r="B1867" s="12"/>
      <c r="C1867" s="18"/>
    </row>
    <row r="1868" spans="2:3" x14ac:dyDescent="0.25">
      <c r="B1868" s="12"/>
      <c r="C1868" s="18"/>
    </row>
    <row r="1869" spans="2:3" x14ac:dyDescent="0.25">
      <c r="B1869" s="12"/>
      <c r="C1869" s="18"/>
    </row>
    <row r="1870" spans="2:3" x14ac:dyDescent="0.25">
      <c r="B1870" s="12"/>
      <c r="C1870" s="18"/>
    </row>
    <row r="1871" spans="2:3" x14ac:dyDescent="0.25">
      <c r="B1871" s="12"/>
      <c r="C1871" s="18"/>
    </row>
    <row r="1872" spans="2:3" x14ac:dyDescent="0.25">
      <c r="B1872" s="12"/>
      <c r="C1872" s="18"/>
    </row>
    <row r="1873" spans="2:3" x14ac:dyDescent="0.25">
      <c r="B1873" s="12"/>
      <c r="C1873" s="18"/>
    </row>
    <row r="1874" spans="2:3" x14ac:dyDescent="0.25">
      <c r="B1874" s="12"/>
      <c r="C1874" s="18"/>
    </row>
    <row r="1875" spans="2:3" x14ac:dyDescent="0.25">
      <c r="B1875" s="12"/>
      <c r="C1875" s="18"/>
    </row>
    <row r="1876" spans="2:3" x14ac:dyDescent="0.25">
      <c r="B1876" s="12"/>
      <c r="C1876" s="18"/>
    </row>
    <row r="1877" spans="2:3" x14ac:dyDescent="0.25">
      <c r="B1877" s="12"/>
      <c r="C1877" s="18"/>
    </row>
    <row r="1878" spans="2:3" x14ac:dyDescent="0.25">
      <c r="B1878" s="12"/>
      <c r="C1878" s="18"/>
    </row>
    <row r="1879" spans="2:3" x14ac:dyDescent="0.25">
      <c r="B1879" s="12"/>
      <c r="C1879" s="18"/>
    </row>
    <row r="1880" spans="2:3" x14ac:dyDescent="0.25">
      <c r="B1880" s="12"/>
      <c r="C1880" s="18"/>
    </row>
    <row r="1881" spans="2:3" x14ac:dyDescent="0.25">
      <c r="B1881" s="12"/>
      <c r="C1881" s="18"/>
    </row>
    <row r="1882" spans="2:3" x14ac:dyDescent="0.25">
      <c r="B1882" s="12"/>
      <c r="C1882" s="18"/>
    </row>
    <row r="1883" spans="2:3" x14ac:dyDescent="0.25">
      <c r="B1883" s="12"/>
      <c r="C1883" s="18"/>
    </row>
    <row r="1884" spans="2:3" x14ac:dyDescent="0.25">
      <c r="B1884" s="12"/>
      <c r="C1884" s="18"/>
    </row>
    <row r="1885" spans="2:3" x14ac:dyDescent="0.25">
      <c r="B1885" s="12"/>
      <c r="C1885" s="18"/>
    </row>
    <row r="1886" spans="2:3" x14ac:dyDescent="0.25">
      <c r="B1886" s="12"/>
      <c r="C1886" s="18"/>
    </row>
    <row r="1887" spans="2:3" x14ac:dyDescent="0.25">
      <c r="B1887" s="12"/>
      <c r="C1887" s="18"/>
    </row>
    <row r="1888" spans="2:3" x14ac:dyDescent="0.25">
      <c r="B1888" s="12"/>
      <c r="C1888" s="18"/>
    </row>
    <row r="1889" spans="2:3" x14ac:dyDescent="0.25">
      <c r="B1889" s="12"/>
      <c r="C1889" s="18"/>
    </row>
    <row r="1890" spans="2:3" x14ac:dyDescent="0.25">
      <c r="B1890" s="12"/>
      <c r="C1890" s="18"/>
    </row>
    <row r="1891" spans="2:3" x14ac:dyDescent="0.25">
      <c r="B1891" s="12"/>
      <c r="C1891" s="18"/>
    </row>
    <row r="1892" spans="2:3" x14ac:dyDescent="0.25">
      <c r="B1892" s="12"/>
      <c r="C1892" s="18"/>
    </row>
    <row r="1893" spans="2:3" x14ac:dyDescent="0.25">
      <c r="B1893" s="12"/>
      <c r="C1893" s="18"/>
    </row>
    <row r="1894" spans="2:3" x14ac:dyDescent="0.25">
      <c r="B1894" s="12"/>
      <c r="C1894" s="18"/>
    </row>
    <row r="1895" spans="2:3" x14ac:dyDescent="0.25">
      <c r="B1895" s="12"/>
      <c r="C1895" s="18"/>
    </row>
    <row r="1896" spans="2:3" x14ac:dyDescent="0.25">
      <c r="B1896" s="12"/>
      <c r="C1896" s="18"/>
    </row>
    <row r="1897" spans="2:3" x14ac:dyDescent="0.25">
      <c r="B1897" s="12"/>
      <c r="C1897" s="18"/>
    </row>
    <row r="1898" spans="2:3" x14ac:dyDescent="0.25">
      <c r="B1898" s="12"/>
      <c r="C1898" s="18"/>
    </row>
    <row r="1899" spans="2:3" x14ac:dyDescent="0.25">
      <c r="B1899" s="12"/>
      <c r="C1899" s="18"/>
    </row>
    <row r="1900" spans="2:3" x14ac:dyDescent="0.25">
      <c r="B1900" s="12"/>
      <c r="C1900" s="18"/>
    </row>
    <row r="1901" spans="2:3" x14ac:dyDescent="0.25">
      <c r="B1901" s="12"/>
      <c r="C1901" s="18"/>
    </row>
    <row r="1902" spans="2:3" x14ac:dyDescent="0.25">
      <c r="B1902" s="12"/>
      <c r="C1902" s="18"/>
    </row>
    <row r="1903" spans="2:3" x14ac:dyDescent="0.25">
      <c r="B1903" s="12"/>
      <c r="C1903" s="18"/>
    </row>
    <row r="1904" spans="2:3" x14ac:dyDescent="0.25">
      <c r="B1904" s="12"/>
      <c r="C1904" s="18"/>
    </row>
    <row r="1905" spans="2:3" x14ac:dyDescent="0.25">
      <c r="B1905" s="12"/>
      <c r="C1905" s="18"/>
    </row>
    <row r="1906" spans="2:3" x14ac:dyDescent="0.25">
      <c r="B1906" s="12"/>
      <c r="C1906" s="18"/>
    </row>
    <row r="1907" spans="2:3" x14ac:dyDescent="0.25">
      <c r="B1907" s="12"/>
      <c r="C1907" s="18"/>
    </row>
    <row r="1908" spans="2:3" x14ac:dyDescent="0.25">
      <c r="B1908" s="12"/>
      <c r="C1908" s="18"/>
    </row>
    <row r="1909" spans="2:3" x14ac:dyDescent="0.25">
      <c r="B1909" s="12"/>
      <c r="C1909" s="18"/>
    </row>
    <row r="1910" spans="2:3" x14ac:dyDescent="0.25">
      <c r="B1910" s="12"/>
      <c r="C1910" s="18"/>
    </row>
    <row r="1911" spans="2:3" x14ac:dyDescent="0.25">
      <c r="B1911" s="12"/>
      <c r="C1911" s="18"/>
    </row>
    <row r="1912" spans="2:3" x14ac:dyDescent="0.25">
      <c r="B1912" s="12"/>
      <c r="C1912" s="18"/>
    </row>
    <row r="1913" spans="2:3" x14ac:dyDescent="0.25">
      <c r="B1913" s="12"/>
      <c r="C1913" s="18"/>
    </row>
    <row r="1914" spans="2:3" x14ac:dyDescent="0.25">
      <c r="B1914" s="12"/>
      <c r="C1914" s="18"/>
    </row>
    <row r="1915" spans="2:3" x14ac:dyDescent="0.25">
      <c r="B1915" s="12"/>
      <c r="C1915" s="18"/>
    </row>
    <row r="1916" spans="2:3" x14ac:dyDescent="0.25">
      <c r="B1916" s="12"/>
      <c r="C1916" s="18"/>
    </row>
    <row r="1917" spans="2:3" x14ac:dyDescent="0.25">
      <c r="B1917" s="12"/>
      <c r="C1917" s="18"/>
    </row>
    <row r="1918" spans="2:3" x14ac:dyDescent="0.25">
      <c r="B1918" s="12"/>
      <c r="C1918" s="18"/>
    </row>
    <row r="1919" spans="2:3" x14ac:dyDescent="0.25">
      <c r="B1919" s="12"/>
      <c r="C1919" s="18"/>
    </row>
    <row r="1920" spans="2:3" x14ac:dyDescent="0.25">
      <c r="B1920" s="12"/>
      <c r="C1920" s="18"/>
    </row>
    <row r="1921" spans="2:3" x14ac:dyDescent="0.25">
      <c r="B1921" s="12"/>
      <c r="C1921" s="18"/>
    </row>
    <row r="1922" spans="2:3" x14ac:dyDescent="0.25">
      <c r="B1922" s="12"/>
      <c r="C1922" s="18"/>
    </row>
    <row r="1923" spans="2:3" x14ac:dyDescent="0.25">
      <c r="B1923" s="12"/>
      <c r="C1923" s="18"/>
    </row>
    <row r="1924" spans="2:3" x14ac:dyDescent="0.25">
      <c r="B1924" s="12"/>
      <c r="C1924" s="18"/>
    </row>
    <row r="1925" spans="2:3" x14ac:dyDescent="0.25">
      <c r="B1925" s="12"/>
      <c r="C1925" s="18"/>
    </row>
    <row r="1926" spans="2:3" x14ac:dyDescent="0.25">
      <c r="B1926" s="12"/>
      <c r="C1926" s="18"/>
    </row>
    <row r="1927" spans="2:3" x14ac:dyDescent="0.25">
      <c r="B1927" s="12"/>
      <c r="C1927" s="18"/>
    </row>
    <row r="1928" spans="2:3" x14ac:dyDescent="0.25">
      <c r="B1928" s="12"/>
      <c r="C1928" s="18"/>
    </row>
    <row r="1929" spans="2:3" x14ac:dyDescent="0.25">
      <c r="B1929" s="12"/>
      <c r="C1929" s="18"/>
    </row>
    <row r="1930" spans="2:3" x14ac:dyDescent="0.25">
      <c r="B1930" s="12"/>
      <c r="C1930" s="18"/>
    </row>
    <row r="1931" spans="2:3" x14ac:dyDescent="0.25">
      <c r="B1931" s="12"/>
      <c r="C1931" s="18"/>
    </row>
    <row r="1932" spans="2:3" x14ac:dyDescent="0.25">
      <c r="B1932" s="12"/>
      <c r="C1932" s="18"/>
    </row>
    <row r="1933" spans="2:3" x14ac:dyDescent="0.25">
      <c r="B1933" s="12"/>
      <c r="C1933" s="18"/>
    </row>
    <row r="1934" spans="2:3" x14ac:dyDescent="0.25">
      <c r="B1934" s="12"/>
      <c r="C1934" s="18"/>
    </row>
    <row r="1935" spans="2:3" x14ac:dyDescent="0.25">
      <c r="B1935" s="12"/>
      <c r="C1935" s="18"/>
    </row>
    <row r="1936" spans="2:3" x14ac:dyDescent="0.25">
      <c r="B1936" s="12"/>
      <c r="C1936" s="18"/>
    </row>
    <row r="1937" spans="2:3" x14ac:dyDescent="0.25">
      <c r="B1937" s="12"/>
      <c r="C1937" s="18"/>
    </row>
    <row r="1938" spans="2:3" x14ac:dyDescent="0.25">
      <c r="B1938" s="12"/>
      <c r="C1938" s="18"/>
    </row>
    <row r="1939" spans="2:3" x14ac:dyDescent="0.25">
      <c r="B1939" s="12"/>
      <c r="C1939" s="18"/>
    </row>
    <row r="1940" spans="2:3" x14ac:dyDescent="0.25">
      <c r="B1940" s="12"/>
      <c r="C1940" s="18"/>
    </row>
    <row r="1941" spans="2:3" x14ac:dyDescent="0.25">
      <c r="B1941" s="12"/>
      <c r="C1941" s="18"/>
    </row>
    <row r="1942" spans="2:3" x14ac:dyDescent="0.25">
      <c r="B1942" s="12"/>
      <c r="C1942" s="18"/>
    </row>
    <row r="1943" spans="2:3" x14ac:dyDescent="0.25">
      <c r="B1943" s="12"/>
      <c r="C1943" s="18"/>
    </row>
    <row r="1944" spans="2:3" x14ac:dyDescent="0.25">
      <c r="B1944" s="12"/>
      <c r="C1944" s="18"/>
    </row>
    <row r="1945" spans="2:3" x14ac:dyDescent="0.25">
      <c r="B1945" s="12"/>
      <c r="C1945" s="18"/>
    </row>
    <row r="1946" spans="2:3" x14ac:dyDescent="0.25">
      <c r="B1946" s="12"/>
      <c r="C1946" s="18"/>
    </row>
    <row r="1947" spans="2:3" x14ac:dyDescent="0.25">
      <c r="B1947" s="12"/>
      <c r="C1947" s="18"/>
    </row>
    <row r="1948" spans="2:3" x14ac:dyDescent="0.25">
      <c r="B1948" s="12"/>
      <c r="C1948" s="18"/>
    </row>
    <row r="1949" spans="2:3" x14ac:dyDescent="0.25">
      <c r="B1949" s="12"/>
      <c r="C1949" s="18"/>
    </row>
    <row r="1950" spans="2:3" x14ac:dyDescent="0.25">
      <c r="B1950" s="12"/>
      <c r="C1950" s="18"/>
    </row>
    <row r="1951" spans="2:3" x14ac:dyDescent="0.25">
      <c r="B1951" s="12"/>
      <c r="C1951" s="18"/>
    </row>
    <row r="1952" spans="2:3" x14ac:dyDescent="0.25">
      <c r="B1952" s="12"/>
      <c r="C1952" s="18"/>
    </row>
    <row r="1953" spans="2:3" x14ac:dyDescent="0.25">
      <c r="B1953" s="12"/>
      <c r="C1953" s="18"/>
    </row>
    <row r="1954" spans="2:3" x14ac:dyDescent="0.25">
      <c r="B1954" s="12"/>
      <c r="C1954" s="18"/>
    </row>
    <row r="1955" spans="2:3" x14ac:dyDescent="0.25">
      <c r="B1955" s="12"/>
      <c r="C1955" s="18"/>
    </row>
    <row r="1956" spans="2:3" x14ac:dyDescent="0.25">
      <c r="B1956" s="12"/>
      <c r="C1956" s="18"/>
    </row>
    <row r="1957" spans="2:3" x14ac:dyDescent="0.25">
      <c r="B1957" s="12"/>
      <c r="C1957" s="18"/>
    </row>
    <row r="1958" spans="2:3" x14ac:dyDescent="0.25">
      <c r="B1958" s="12"/>
      <c r="C1958" s="18"/>
    </row>
    <row r="1959" spans="2:3" x14ac:dyDescent="0.25">
      <c r="B1959" s="12"/>
      <c r="C1959" s="18"/>
    </row>
    <row r="1960" spans="2:3" x14ac:dyDescent="0.25">
      <c r="B1960" s="12"/>
      <c r="C1960" s="18"/>
    </row>
    <row r="1961" spans="2:3" x14ac:dyDescent="0.25">
      <c r="B1961" s="12"/>
      <c r="C1961" s="18"/>
    </row>
    <row r="1962" spans="2:3" x14ac:dyDescent="0.25">
      <c r="B1962" s="12"/>
      <c r="C1962" s="18"/>
    </row>
    <row r="1963" spans="2:3" x14ac:dyDescent="0.25">
      <c r="B1963" s="12"/>
      <c r="C1963" s="18"/>
    </row>
    <row r="1964" spans="2:3" x14ac:dyDescent="0.25">
      <c r="B1964" s="12"/>
      <c r="C1964" s="18"/>
    </row>
    <row r="1965" spans="2:3" x14ac:dyDescent="0.25">
      <c r="B1965" s="12"/>
      <c r="C1965" s="18"/>
    </row>
    <row r="1966" spans="2:3" x14ac:dyDescent="0.25">
      <c r="B1966" s="12"/>
      <c r="C1966" s="18"/>
    </row>
    <row r="1967" spans="2:3" x14ac:dyDescent="0.25">
      <c r="B1967" s="12"/>
      <c r="C1967" s="18"/>
    </row>
    <row r="1968" spans="2:3" x14ac:dyDescent="0.25">
      <c r="B1968" s="12"/>
      <c r="C1968" s="18"/>
    </row>
    <row r="1969" spans="2:3" x14ac:dyDescent="0.25">
      <c r="B1969" s="12"/>
      <c r="C1969" s="18"/>
    </row>
    <row r="1970" spans="2:3" x14ac:dyDescent="0.25">
      <c r="B1970" s="12"/>
      <c r="C1970" s="18"/>
    </row>
    <row r="1971" spans="2:3" x14ac:dyDescent="0.25">
      <c r="B1971" s="12"/>
      <c r="C1971" s="18"/>
    </row>
    <row r="1972" spans="2:3" x14ac:dyDescent="0.25">
      <c r="B1972" s="12"/>
      <c r="C1972" s="18"/>
    </row>
    <row r="1973" spans="2:3" x14ac:dyDescent="0.25">
      <c r="B1973" s="12"/>
      <c r="C1973" s="18"/>
    </row>
    <row r="1974" spans="2:3" x14ac:dyDescent="0.25">
      <c r="B1974" s="12"/>
      <c r="C1974" s="18"/>
    </row>
    <row r="1975" spans="2:3" x14ac:dyDescent="0.25">
      <c r="B1975" s="12"/>
      <c r="C1975" s="18"/>
    </row>
    <row r="1976" spans="2:3" x14ac:dyDescent="0.25">
      <c r="B1976" s="12"/>
      <c r="C1976" s="18"/>
    </row>
    <row r="1977" spans="2:3" x14ac:dyDescent="0.25">
      <c r="B1977" s="12"/>
      <c r="C1977" s="18"/>
    </row>
    <row r="1978" spans="2:3" x14ac:dyDescent="0.25">
      <c r="B1978" s="12"/>
      <c r="C1978" s="18"/>
    </row>
    <row r="1979" spans="2:3" x14ac:dyDescent="0.25">
      <c r="B1979" s="12"/>
      <c r="C1979" s="18"/>
    </row>
    <row r="1980" spans="2:3" x14ac:dyDescent="0.25">
      <c r="B1980" s="12"/>
      <c r="C1980" s="18"/>
    </row>
    <row r="1981" spans="2:3" x14ac:dyDescent="0.25">
      <c r="B1981" s="12"/>
      <c r="C1981" s="18"/>
    </row>
    <row r="1982" spans="2:3" x14ac:dyDescent="0.25">
      <c r="B1982" s="12"/>
      <c r="C1982" s="18"/>
    </row>
    <row r="1983" spans="2:3" x14ac:dyDescent="0.25">
      <c r="B1983" s="12"/>
      <c r="C1983" s="18"/>
    </row>
    <row r="1984" spans="2:3" x14ac:dyDescent="0.25">
      <c r="B1984" s="12"/>
      <c r="C1984" s="18"/>
    </row>
    <row r="1985" spans="2:3" x14ac:dyDescent="0.25">
      <c r="B1985" s="12"/>
      <c r="C1985" s="18"/>
    </row>
    <row r="1986" spans="2:3" x14ac:dyDescent="0.25">
      <c r="B1986" s="12"/>
      <c r="C1986" s="18"/>
    </row>
    <row r="1987" spans="2:3" x14ac:dyDescent="0.25">
      <c r="B1987" s="12"/>
      <c r="C1987" s="18"/>
    </row>
    <row r="1988" spans="2:3" x14ac:dyDescent="0.25">
      <c r="B1988" s="12"/>
      <c r="C1988" s="18"/>
    </row>
    <row r="1989" spans="2:3" x14ac:dyDescent="0.25">
      <c r="B1989" s="12"/>
      <c r="C1989" s="18"/>
    </row>
    <row r="1990" spans="2:3" x14ac:dyDescent="0.25">
      <c r="B1990" s="12"/>
      <c r="C1990" s="18"/>
    </row>
    <row r="1991" spans="2:3" x14ac:dyDescent="0.25">
      <c r="B1991" s="12"/>
      <c r="C1991" s="18"/>
    </row>
    <row r="1992" spans="2:3" x14ac:dyDescent="0.25">
      <c r="B1992" s="12"/>
      <c r="C1992" s="18"/>
    </row>
    <row r="1993" spans="2:3" x14ac:dyDescent="0.25">
      <c r="B1993" s="12"/>
      <c r="C1993" s="18"/>
    </row>
    <row r="1994" spans="2:3" x14ac:dyDescent="0.25">
      <c r="B1994" s="12"/>
      <c r="C1994" s="18"/>
    </row>
    <row r="1995" spans="2:3" x14ac:dyDescent="0.25">
      <c r="B1995" s="12"/>
      <c r="C1995" s="18"/>
    </row>
    <row r="1996" spans="2:3" x14ac:dyDescent="0.25">
      <c r="B1996" s="12"/>
      <c r="C1996" s="18"/>
    </row>
    <row r="1997" spans="2:3" x14ac:dyDescent="0.25">
      <c r="B1997" s="12"/>
      <c r="C1997" s="18"/>
    </row>
    <row r="1998" spans="2:3" x14ac:dyDescent="0.25">
      <c r="B1998" s="12"/>
      <c r="C1998" s="18"/>
    </row>
    <row r="1999" spans="2:3" x14ac:dyDescent="0.25">
      <c r="B1999" s="12"/>
      <c r="C1999" s="18"/>
    </row>
    <row r="2000" spans="2:3" x14ac:dyDescent="0.25">
      <c r="B2000" s="12"/>
      <c r="C2000" s="18"/>
    </row>
    <row r="2001" spans="2:3" x14ac:dyDescent="0.25">
      <c r="B2001" s="12"/>
      <c r="C2001" s="18"/>
    </row>
    <row r="2002" spans="2:3" x14ac:dyDescent="0.25">
      <c r="B2002" s="12"/>
      <c r="C2002" s="18"/>
    </row>
    <row r="2003" spans="2:3" x14ac:dyDescent="0.25">
      <c r="B2003" s="12"/>
      <c r="C2003" s="18"/>
    </row>
    <row r="2004" spans="2:3" x14ac:dyDescent="0.25">
      <c r="B2004" s="12"/>
      <c r="C2004" s="18"/>
    </row>
    <row r="2005" spans="2:3" x14ac:dyDescent="0.25">
      <c r="B2005" s="12"/>
      <c r="C2005" s="18"/>
    </row>
    <row r="2006" spans="2:3" x14ac:dyDescent="0.25">
      <c r="B2006" s="12"/>
      <c r="C2006" s="18"/>
    </row>
    <row r="2007" spans="2:3" x14ac:dyDescent="0.25">
      <c r="B2007" s="12"/>
      <c r="C2007" s="18"/>
    </row>
    <row r="2008" spans="2:3" x14ac:dyDescent="0.25">
      <c r="B2008" s="12"/>
      <c r="C2008" s="18"/>
    </row>
    <row r="2009" spans="2:3" x14ac:dyDescent="0.25">
      <c r="B2009" s="12"/>
      <c r="C2009" s="18"/>
    </row>
    <row r="2010" spans="2:3" x14ac:dyDescent="0.25">
      <c r="B2010" s="12"/>
      <c r="C2010" s="18"/>
    </row>
    <row r="2011" spans="2:3" x14ac:dyDescent="0.25">
      <c r="B2011" s="12"/>
      <c r="C2011" s="18"/>
    </row>
    <row r="2012" spans="2:3" x14ac:dyDescent="0.25">
      <c r="B2012" s="12"/>
      <c r="C2012" s="18"/>
    </row>
    <row r="2013" spans="2:3" x14ac:dyDescent="0.25">
      <c r="B2013" s="12"/>
      <c r="C2013" s="18"/>
    </row>
    <row r="2014" spans="2:3" x14ac:dyDescent="0.25">
      <c r="B2014" s="12"/>
      <c r="C2014" s="18"/>
    </row>
    <row r="2015" spans="2:3" x14ac:dyDescent="0.25">
      <c r="B2015" s="12"/>
      <c r="C2015" s="18"/>
    </row>
    <row r="2016" spans="2:3" x14ac:dyDescent="0.25">
      <c r="B2016" s="12"/>
      <c r="C2016" s="18"/>
    </row>
    <row r="2017" spans="2:3" x14ac:dyDescent="0.25">
      <c r="B2017" s="12"/>
      <c r="C2017" s="18"/>
    </row>
    <row r="2018" spans="2:3" x14ac:dyDescent="0.25">
      <c r="B2018" s="12"/>
      <c r="C2018" s="18"/>
    </row>
    <row r="2019" spans="2:3" x14ac:dyDescent="0.25">
      <c r="B2019" s="12"/>
      <c r="C2019" s="18"/>
    </row>
    <row r="2020" spans="2:3" x14ac:dyDescent="0.25">
      <c r="B2020" s="12"/>
      <c r="C2020" s="18"/>
    </row>
    <row r="2021" spans="2:3" x14ac:dyDescent="0.25">
      <c r="B2021" s="12"/>
      <c r="C2021" s="18"/>
    </row>
    <row r="2022" spans="2:3" x14ac:dyDescent="0.25">
      <c r="B2022" s="12"/>
      <c r="C2022" s="18"/>
    </row>
    <row r="2023" spans="2:3" x14ac:dyDescent="0.25">
      <c r="B2023" s="12"/>
      <c r="C2023" s="18"/>
    </row>
    <row r="2024" spans="2:3" x14ac:dyDescent="0.25">
      <c r="B2024" s="12"/>
      <c r="C2024" s="18"/>
    </row>
    <row r="2025" spans="2:3" x14ac:dyDescent="0.25">
      <c r="B2025" s="12"/>
      <c r="C2025" s="18"/>
    </row>
    <row r="2026" spans="2:3" x14ac:dyDescent="0.25">
      <c r="B2026" s="12"/>
      <c r="C2026" s="18"/>
    </row>
    <row r="2027" spans="2:3" x14ac:dyDescent="0.25">
      <c r="B2027" s="12"/>
      <c r="C2027" s="18"/>
    </row>
    <row r="2028" spans="2:3" x14ac:dyDescent="0.25">
      <c r="B2028" s="12"/>
      <c r="C2028" s="18"/>
    </row>
    <row r="2029" spans="2:3" x14ac:dyDescent="0.25">
      <c r="B2029" s="12"/>
      <c r="C2029" s="18"/>
    </row>
    <row r="2030" spans="2:3" x14ac:dyDescent="0.25">
      <c r="B2030" s="12"/>
      <c r="C2030" s="18"/>
    </row>
    <row r="2031" spans="2:3" x14ac:dyDescent="0.25">
      <c r="B2031" s="12"/>
      <c r="C2031" s="18"/>
    </row>
    <row r="2032" spans="2:3" x14ac:dyDescent="0.25">
      <c r="B2032" s="12"/>
      <c r="C2032" s="18"/>
    </row>
    <row r="2033" spans="2:3" x14ac:dyDescent="0.25">
      <c r="B2033" s="12"/>
      <c r="C2033" s="18"/>
    </row>
    <row r="2034" spans="2:3" x14ac:dyDescent="0.25">
      <c r="B2034" s="12"/>
      <c r="C2034" s="18"/>
    </row>
    <row r="2035" spans="2:3" x14ac:dyDescent="0.25">
      <c r="B2035" s="12"/>
      <c r="C2035" s="18"/>
    </row>
    <row r="2036" spans="2:3" x14ac:dyDescent="0.25">
      <c r="B2036" s="12"/>
      <c r="C2036" s="18"/>
    </row>
    <row r="2037" spans="2:3" x14ac:dyDescent="0.25">
      <c r="B2037" s="12"/>
      <c r="C2037" s="18"/>
    </row>
    <row r="2038" spans="2:3" x14ac:dyDescent="0.25">
      <c r="B2038" s="12"/>
      <c r="C2038" s="18"/>
    </row>
    <row r="2039" spans="2:3" x14ac:dyDescent="0.25">
      <c r="B2039" s="12"/>
      <c r="C2039" s="18"/>
    </row>
    <row r="2040" spans="2:3" x14ac:dyDescent="0.25">
      <c r="B2040" s="12"/>
      <c r="C2040" s="18"/>
    </row>
    <row r="2041" spans="2:3" x14ac:dyDescent="0.25">
      <c r="B2041" s="12"/>
      <c r="C2041" s="18"/>
    </row>
    <row r="2042" spans="2:3" x14ac:dyDescent="0.25">
      <c r="B2042" s="12"/>
      <c r="C2042" s="18"/>
    </row>
    <row r="2043" spans="2:3" x14ac:dyDescent="0.25">
      <c r="B2043" s="12"/>
      <c r="C2043" s="18"/>
    </row>
    <row r="2044" spans="2:3" x14ac:dyDescent="0.25">
      <c r="B2044" s="12"/>
      <c r="C2044" s="18"/>
    </row>
    <row r="2045" spans="2:3" x14ac:dyDescent="0.25">
      <c r="B2045" s="12"/>
      <c r="C2045" s="18"/>
    </row>
    <row r="2046" spans="2:3" x14ac:dyDescent="0.25">
      <c r="B2046" s="12"/>
      <c r="C2046" s="18"/>
    </row>
    <row r="2047" spans="2:3" x14ac:dyDescent="0.25">
      <c r="B2047" s="12"/>
      <c r="C2047" s="18"/>
    </row>
    <row r="2048" spans="2:3" x14ac:dyDescent="0.25">
      <c r="B2048" s="12"/>
      <c r="C2048" s="18"/>
    </row>
    <row r="2049" spans="2:3" x14ac:dyDescent="0.25">
      <c r="B2049" s="12"/>
      <c r="C2049" s="18"/>
    </row>
    <row r="2050" spans="2:3" x14ac:dyDescent="0.25">
      <c r="B2050" s="12"/>
      <c r="C2050" s="18"/>
    </row>
    <row r="2051" spans="2:3" x14ac:dyDescent="0.25">
      <c r="B2051" s="12"/>
      <c r="C2051" s="18"/>
    </row>
    <row r="2052" spans="2:3" x14ac:dyDescent="0.25">
      <c r="B2052" s="12"/>
      <c r="C2052" s="18"/>
    </row>
    <row r="2053" spans="2:3" x14ac:dyDescent="0.25">
      <c r="B2053" s="12"/>
      <c r="C2053" s="18"/>
    </row>
    <row r="2054" spans="2:3" x14ac:dyDescent="0.25">
      <c r="B2054" s="12"/>
      <c r="C2054" s="18"/>
    </row>
    <row r="2055" spans="2:3" x14ac:dyDescent="0.25">
      <c r="B2055" s="12"/>
      <c r="C2055" s="18"/>
    </row>
    <row r="2056" spans="2:3" x14ac:dyDescent="0.25">
      <c r="B2056" s="12"/>
      <c r="C2056" s="18"/>
    </row>
    <row r="2057" spans="2:3" x14ac:dyDescent="0.25">
      <c r="B2057" s="12"/>
      <c r="C2057" s="18"/>
    </row>
    <row r="2058" spans="2:3" x14ac:dyDescent="0.25">
      <c r="B2058" s="12"/>
      <c r="C2058" s="18"/>
    </row>
    <row r="2059" spans="2:3" x14ac:dyDescent="0.25">
      <c r="B2059" s="12"/>
      <c r="C2059" s="18"/>
    </row>
    <row r="2060" spans="2:3" x14ac:dyDescent="0.25">
      <c r="B2060" s="12"/>
      <c r="C2060" s="18"/>
    </row>
    <row r="2061" spans="2:3" x14ac:dyDescent="0.25">
      <c r="B2061" s="12"/>
      <c r="C2061" s="18"/>
    </row>
    <row r="2062" spans="2:3" x14ac:dyDescent="0.25">
      <c r="B2062" s="12"/>
      <c r="C2062" s="18"/>
    </row>
    <row r="2063" spans="2:3" x14ac:dyDescent="0.25">
      <c r="B2063" s="12"/>
      <c r="C2063" s="18"/>
    </row>
    <row r="2064" spans="2:3" x14ac:dyDescent="0.25">
      <c r="B2064" s="12"/>
      <c r="C2064" s="18"/>
    </row>
    <row r="2065" spans="2:3" x14ac:dyDescent="0.25">
      <c r="B2065" s="12"/>
      <c r="C2065" s="18"/>
    </row>
    <row r="2066" spans="2:3" x14ac:dyDescent="0.25">
      <c r="B2066" s="12"/>
      <c r="C2066" s="18"/>
    </row>
    <row r="2067" spans="2:3" x14ac:dyDescent="0.25">
      <c r="B2067" s="12"/>
      <c r="C2067" s="18"/>
    </row>
  </sheetData>
  <hyperlinks>
    <hyperlink ref="A1" location="Main!A1" display="Main" xr:uid="{29367571-B7F9-4EB7-AF59-842149789939}"/>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C5E7-7FF6-4287-9F23-7D3A6FE15A5F}">
  <dimension ref="A1:M68"/>
  <sheetViews>
    <sheetView workbookViewId="0">
      <selection activeCell="E60" sqref="E60"/>
    </sheetView>
  </sheetViews>
  <sheetFormatPr defaultRowHeight="15" x14ac:dyDescent="0.25"/>
  <cols>
    <col min="1" max="1" width="5.5703125" customWidth="1"/>
    <col min="2" max="2" width="12.85546875" customWidth="1"/>
    <col min="8" max="8" width="19.7109375" bestFit="1" customWidth="1"/>
    <col min="9" max="9" width="15.7109375" bestFit="1" customWidth="1"/>
    <col min="10" max="10" width="12.5703125" bestFit="1" customWidth="1"/>
    <col min="11" max="11" width="19" bestFit="1" customWidth="1"/>
    <col min="12" max="12" width="25.7109375" bestFit="1" customWidth="1"/>
    <col min="13" max="13" width="22" bestFit="1" customWidth="1"/>
  </cols>
  <sheetData>
    <row r="1" spans="1:13" ht="16.5" thickBot="1" x14ac:dyDescent="0.3">
      <c r="A1" s="8" t="s">
        <v>25</v>
      </c>
      <c r="B1" s="1" t="s">
        <v>36</v>
      </c>
      <c r="C1" s="1" t="s">
        <v>0</v>
      </c>
      <c r="D1" s="1" t="s">
        <v>75</v>
      </c>
      <c r="H1" s="130" t="s">
        <v>76</v>
      </c>
      <c r="I1" s="131"/>
      <c r="J1" s="131"/>
      <c r="K1" s="131"/>
      <c r="L1" s="131"/>
      <c r="M1" s="132"/>
    </row>
    <row r="2" spans="1:13" ht="15.75" thickBot="1" x14ac:dyDescent="0.3">
      <c r="D2" t="e">
        <f>C2/C3-1</f>
        <v>#DIV/0!</v>
      </c>
      <c r="H2" s="52"/>
      <c r="I2" s="53"/>
      <c r="J2" s="53"/>
      <c r="K2" s="53"/>
      <c r="L2" s="53"/>
      <c r="M2" s="54"/>
    </row>
    <row r="3" spans="1:13" ht="15.75" thickBot="1" x14ac:dyDescent="0.3">
      <c r="D3" t="e">
        <f t="shared" ref="D3:D66" si="0">C3/C4-1</f>
        <v>#DIV/0!</v>
      </c>
      <c r="H3" s="55" t="s">
        <v>77</v>
      </c>
      <c r="I3" s="56" t="s">
        <v>78</v>
      </c>
      <c r="J3" s="57" t="s">
        <v>79</v>
      </c>
      <c r="K3" s="58" t="s">
        <v>80</v>
      </c>
      <c r="L3" s="58" t="s">
        <v>81</v>
      </c>
      <c r="M3" s="59" t="s">
        <v>82</v>
      </c>
    </row>
    <row r="4" spans="1:13" x14ac:dyDescent="0.25">
      <c r="D4" t="e">
        <f t="shared" si="0"/>
        <v>#DIV/0!</v>
      </c>
      <c r="H4" s="60" t="e">
        <f>$I$19-3*$I$23</f>
        <v>#DIV/0!</v>
      </c>
      <c r="I4" s="61" t="e">
        <f>H4</f>
        <v>#DIV/0!</v>
      </c>
      <c r="J4" s="62">
        <f>COUNTIF(D:D,"&lt;="&amp;H4)</f>
        <v>67</v>
      </c>
      <c r="K4" s="62" t="e">
        <f>"Less than "&amp;TEXT(H4,"0,00%")</f>
        <v>#DIV/0!</v>
      </c>
      <c r="L4" s="63" t="e">
        <f>J4/$I$31</f>
        <v>#DIV/0!</v>
      </c>
      <c r="M4" s="64" t="e">
        <f>L4</f>
        <v>#DIV/0!</v>
      </c>
    </row>
    <row r="5" spans="1:13" x14ac:dyDescent="0.25">
      <c r="D5" t="e">
        <f t="shared" si="0"/>
        <v>#DIV/0!</v>
      </c>
      <c r="H5" s="65" t="e">
        <f>$I$19-2.4*$I$23</f>
        <v>#DIV/0!</v>
      </c>
      <c r="I5" s="66" t="e">
        <f>H5</f>
        <v>#DIV/0!</v>
      </c>
      <c r="J5" s="67">
        <f>COUNTIFS(D:D,"&lt;="&amp;H5,D:D,"&gt;"&amp;H4)</f>
        <v>67</v>
      </c>
      <c r="K5" s="68" t="e">
        <f t="shared" ref="K5:K14" si="1">TEXT(H4,"0,00%")&amp;" to "&amp;TEXT(H5,"0,00%")</f>
        <v>#DIV/0!</v>
      </c>
      <c r="L5" s="69" t="e">
        <f>J5/$I$31</f>
        <v>#DIV/0!</v>
      </c>
      <c r="M5" s="70" t="e">
        <f>M4+L5</f>
        <v>#DIV/0!</v>
      </c>
    </row>
    <row r="6" spans="1:13" x14ac:dyDescent="0.25">
      <c r="D6" t="e">
        <f t="shared" si="0"/>
        <v>#DIV/0!</v>
      </c>
      <c r="H6" s="65" t="e">
        <f>$I$19-1.8*$I$23</f>
        <v>#DIV/0!</v>
      </c>
      <c r="I6" s="66" t="e">
        <f t="shared" ref="I6:I14" si="2">H6</f>
        <v>#DIV/0!</v>
      </c>
      <c r="J6" s="67">
        <f t="shared" ref="J6:J14" si="3">COUNTIFS(D:D,"&lt;="&amp;H6,D:D,"&gt;"&amp;H5)</f>
        <v>67</v>
      </c>
      <c r="K6" s="68" t="e">
        <f t="shared" si="1"/>
        <v>#DIV/0!</v>
      </c>
      <c r="L6" s="69" t="e">
        <f t="shared" ref="L6:L15" si="4">J6/$I$31</f>
        <v>#DIV/0!</v>
      </c>
      <c r="M6" s="70" t="e">
        <f t="shared" ref="M6:M15" si="5">M5+L6</f>
        <v>#DIV/0!</v>
      </c>
    </row>
    <row r="7" spans="1:13" x14ac:dyDescent="0.25">
      <c r="D7" t="e">
        <f t="shared" si="0"/>
        <v>#DIV/0!</v>
      </c>
      <c r="H7" s="65" t="e">
        <f>$I$19-1.2*$I$23</f>
        <v>#DIV/0!</v>
      </c>
      <c r="I7" s="66" t="e">
        <f t="shared" si="2"/>
        <v>#DIV/0!</v>
      </c>
      <c r="J7" s="67">
        <f t="shared" si="3"/>
        <v>67</v>
      </c>
      <c r="K7" s="68" t="e">
        <f t="shared" si="1"/>
        <v>#DIV/0!</v>
      </c>
      <c r="L7" s="69" t="e">
        <f t="shared" si="4"/>
        <v>#DIV/0!</v>
      </c>
      <c r="M7" s="70" t="e">
        <f t="shared" si="5"/>
        <v>#DIV/0!</v>
      </c>
    </row>
    <row r="8" spans="1:13" x14ac:dyDescent="0.25">
      <c r="D8" t="e">
        <f t="shared" si="0"/>
        <v>#DIV/0!</v>
      </c>
      <c r="H8" s="65" t="e">
        <f>$I$19-0.6*$I$23</f>
        <v>#DIV/0!</v>
      </c>
      <c r="I8" s="66" t="e">
        <f t="shared" si="2"/>
        <v>#DIV/0!</v>
      </c>
      <c r="J8" s="67">
        <f t="shared" si="3"/>
        <v>67</v>
      </c>
      <c r="K8" s="68" t="e">
        <f t="shared" si="1"/>
        <v>#DIV/0!</v>
      </c>
      <c r="L8" s="69" t="e">
        <f t="shared" si="4"/>
        <v>#DIV/0!</v>
      </c>
      <c r="M8" s="70" t="e">
        <f t="shared" si="5"/>
        <v>#DIV/0!</v>
      </c>
    </row>
    <row r="9" spans="1:13" x14ac:dyDescent="0.25">
      <c r="D9" t="e">
        <f t="shared" si="0"/>
        <v>#DIV/0!</v>
      </c>
      <c r="H9" s="65" t="e">
        <f>$I$19</f>
        <v>#DIV/0!</v>
      </c>
      <c r="I9" s="66" t="e">
        <f t="shared" si="2"/>
        <v>#DIV/0!</v>
      </c>
      <c r="J9" s="67">
        <f t="shared" si="3"/>
        <v>67</v>
      </c>
      <c r="K9" s="68" t="e">
        <f t="shared" si="1"/>
        <v>#DIV/0!</v>
      </c>
      <c r="L9" s="69" t="e">
        <f t="shared" si="4"/>
        <v>#DIV/0!</v>
      </c>
      <c r="M9" s="70" t="e">
        <f t="shared" si="5"/>
        <v>#DIV/0!</v>
      </c>
    </row>
    <row r="10" spans="1:13" x14ac:dyDescent="0.25">
      <c r="D10" t="e">
        <f t="shared" si="0"/>
        <v>#DIV/0!</v>
      </c>
      <c r="H10" s="65" t="e">
        <f>$I$19+0.6*$I$23</f>
        <v>#DIV/0!</v>
      </c>
      <c r="I10" s="66" t="e">
        <f t="shared" si="2"/>
        <v>#DIV/0!</v>
      </c>
      <c r="J10" s="67">
        <f t="shared" si="3"/>
        <v>67</v>
      </c>
      <c r="K10" s="68" t="e">
        <f t="shared" si="1"/>
        <v>#DIV/0!</v>
      </c>
      <c r="L10" s="69" t="e">
        <f t="shared" si="4"/>
        <v>#DIV/0!</v>
      </c>
      <c r="M10" s="70" t="e">
        <f t="shared" si="5"/>
        <v>#DIV/0!</v>
      </c>
    </row>
    <row r="11" spans="1:13" x14ac:dyDescent="0.25">
      <c r="D11" t="e">
        <f t="shared" si="0"/>
        <v>#DIV/0!</v>
      </c>
      <c r="H11" s="65" t="e">
        <f>$I$19+1.2*$I$23</f>
        <v>#DIV/0!</v>
      </c>
      <c r="I11" s="66" t="e">
        <f t="shared" si="2"/>
        <v>#DIV/0!</v>
      </c>
      <c r="J11" s="67">
        <f t="shared" si="3"/>
        <v>67</v>
      </c>
      <c r="K11" s="68" t="e">
        <f t="shared" si="1"/>
        <v>#DIV/0!</v>
      </c>
      <c r="L11" s="69" t="e">
        <f t="shared" si="4"/>
        <v>#DIV/0!</v>
      </c>
      <c r="M11" s="70" t="e">
        <f t="shared" si="5"/>
        <v>#DIV/0!</v>
      </c>
    </row>
    <row r="12" spans="1:13" x14ac:dyDescent="0.25">
      <c r="D12" t="e">
        <f t="shared" si="0"/>
        <v>#DIV/0!</v>
      </c>
      <c r="H12" s="65" t="e">
        <f>$I$19+1.8*$I$23</f>
        <v>#DIV/0!</v>
      </c>
      <c r="I12" s="66" t="e">
        <f t="shared" si="2"/>
        <v>#DIV/0!</v>
      </c>
      <c r="J12" s="67">
        <f t="shared" si="3"/>
        <v>67</v>
      </c>
      <c r="K12" s="68" t="e">
        <f t="shared" si="1"/>
        <v>#DIV/0!</v>
      </c>
      <c r="L12" s="69" t="e">
        <f t="shared" si="4"/>
        <v>#DIV/0!</v>
      </c>
      <c r="M12" s="70" t="e">
        <f t="shared" si="5"/>
        <v>#DIV/0!</v>
      </c>
    </row>
    <row r="13" spans="1:13" x14ac:dyDescent="0.25">
      <c r="D13" t="e">
        <f t="shared" si="0"/>
        <v>#DIV/0!</v>
      </c>
      <c r="H13" s="65" t="e">
        <f>$I$19+2.4*$I$23</f>
        <v>#DIV/0!</v>
      </c>
      <c r="I13" s="66" t="e">
        <f t="shared" si="2"/>
        <v>#DIV/0!</v>
      </c>
      <c r="J13" s="67">
        <f t="shared" si="3"/>
        <v>67</v>
      </c>
      <c r="K13" s="68" t="e">
        <f t="shared" si="1"/>
        <v>#DIV/0!</v>
      </c>
      <c r="L13" s="69" t="e">
        <f t="shared" si="4"/>
        <v>#DIV/0!</v>
      </c>
      <c r="M13" s="70" t="e">
        <f t="shared" si="5"/>
        <v>#DIV/0!</v>
      </c>
    </row>
    <row r="14" spans="1:13" x14ac:dyDescent="0.25">
      <c r="D14" t="e">
        <f t="shared" si="0"/>
        <v>#DIV/0!</v>
      </c>
      <c r="H14" s="65" t="e">
        <f>$I$19+3*$I$23</f>
        <v>#DIV/0!</v>
      </c>
      <c r="I14" s="66" t="e">
        <f t="shared" si="2"/>
        <v>#DIV/0!</v>
      </c>
      <c r="J14" s="67">
        <f t="shared" si="3"/>
        <v>67</v>
      </c>
      <c r="K14" s="68" t="e">
        <f t="shared" si="1"/>
        <v>#DIV/0!</v>
      </c>
      <c r="L14" s="69" t="e">
        <f t="shared" si="4"/>
        <v>#DIV/0!</v>
      </c>
      <c r="M14" s="70" t="e">
        <f t="shared" si="5"/>
        <v>#DIV/0!</v>
      </c>
    </row>
    <row r="15" spans="1:13" ht="15.75" thickBot="1" x14ac:dyDescent="0.3">
      <c r="D15" t="e">
        <f t="shared" si="0"/>
        <v>#DIV/0!</v>
      </c>
      <c r="H15" s="71"/>
      <c r="I15" s="72" t="s">
        <v>83</v>
      </c>
      <c r="J15" s="72">
        <f>COUNTIF(D:D,"&gt;"&amp;H14)</f>
        <v>67</v>
      </c>
      <c r="K15" s="72" t="e">
        <f>"Greater than "&amp;TEXT(H14,"0,00%")</f>
        <v>#DIV/0!</v>
      </c>
      <c r="L15" s="73" t="e">
        <f t="shared" si="4"/>
        <v>#DIV/0!</v>
      </c>
      <c r="M15" s="73" t="e">
        <f t="shared" si="5"/>
        <v>#DIV/0!</v>
      </c>
    </row>
    <row r="16" spans="1:13" ht="15.75" thickBot="1" x14ac:dyDescent="0.3">
      <c r="D16" t="e">
        <f t="shared" si="0"/>
        <v>#DIV/0!</v>
      </c>
      <c r="H16" s="74"/>
      <c r="M16" s="75"/>
    </row>
    <row r="17" spans="4:13" x14ac:dyDescent="0.25">
      <c r="D17" t="e">
        <f t="shared" si="0"/>
        <v>#DIV/0!</v>
      </c>
      <c r="H17" s="133" t="s">
        <v>114</v>
      </c>
      <c r="I17" s="134"/>
      <c r="M17" s="75"/>
    </row>
    <row r="18" spans="4:13" x14ac:dyDescent="0.25">
      <c r="D18" t="e">
        <f t="shared" si="0"/>
        <v>#DIV/0!</v>
      </c>
      <c r="H18" s="135"/>
      <c r="I18" s="136"/>
      <c r="M18" s="75"/>
    </row>
    <row r="19" spans="4:13" x14ac:dyDescent="0.25">
      <c r="D19" t="e">
        <f t="shared" si="0"/>
        <v>#DIV/0!</v>
      </c>
      <c r="H19" s="76" t="s">
        <v>84</v>
      </c>
      <c r="I19" s="112" t="e">
        <f>AVERAGE(D:D)</f>
        <v>#DIV/0!</v>
      </c>
      <c r="M19" s="75"/>
    </row>
    <row r="20" spans="4:13" x14ac:dyDescent="0.25">
      <c r="D20" t="e">
        <f t="shared" si="0"/>
        <v>#DIV/0!</v>
      </c>
      <c r="H20" s="76" t="s">
        <v>85</v>
      </c>
      <c r="I20" s="112" t="e">
        <f>_xlfn.STDEV.S(D:D)/SQRT(COUNT(D:D))</f>
        <v>#DIV/0!</v>
      </c>
      <c r="M20" s="75"/>
    </row>
    <row r="21" spans="4:13" x14ac:dyDescent="0.25">
      <c r="D21" t="e">
        <f t="shared" si="0"/>
        <v>#DIV/0!</v>
      </c>
      <c r="H21" s="76" t="s">
        <v>86</v>
      </c>
      <c r="I21" s="112" t="e">
        <f>MEDIAN(D:D)</f>
        <v>#DIV/0!</v>
      </c>
      <c r="M21" s="75"/>
    </row>
    <row r="22" spans="4:13" x14ac:dyDescent="0.25">
      <c r="D22" t="e">
        <f t="shared" si="0"/>
        <v>#DIV/0!</v>
      </c>
      <c r="H22" s="76" t="s">
        <v>87</v>
      </c>
      <c r="I22" s="112" t="e">
        <f>MODE(D:D)</f>
        <v>#DIV/0!</v>
      </c>
      <c r="M22" s="75"/>
    </row>
    <row r="23" spans="4:13" x14ac:dyDescent="0.25">
      <c r="D23" t="e">
        <f t="shared" si="0"/>
        <v>#DIV/0!</v>
      </c>
      <c r="H23" s="76" t="s">
        <v>88</v>
      </c>
      <c r="I23" s="112" t="e">
        <f>_xlfn.STDEV.S(D:D)</f>
        <v>#DIV/0!</v>
      </c>
      <c r="M23" s="75"/>
    </row>
    <row r="24" spans="4:13" x14ac:dyDescent="0.25">
      <c r="D24" t="e">
        <f t="shared" si="0"/>
        <v>#DIV/0!</v>
      </c>
      <c r="H24" s="76" t="s">
        <v>89</v>
      </c>
      <c r="I24" s="112" t="e">
        <f>_xlfn.VAR.S(D:D)</f>
        <v>#DIV/0!</v>
      </c>
      <c r="M24" s="75"/>
    </row>
    <row r="25" spans="4:13" x14ac:dyDescent="0.25">
      <c r="D25" t="e">
        <f t="shared" si="0"/>
        <v>#DIV/0!</v>
      </c>
      <c r="H25" s="76" t="s">
        <v>90</v>
      </c>
      <c r="I25" s="113" t="e">
        <f>KURT(D:D)</f>
        <v>#DIV/0!</v>
      </c>
      <c r="M25" s="75"/>
    </row>
    <row r="26" spans="4:13" x14ac:dyDescent="0.25">
      <c r="D26" t="e">
        <f t="shared" si="0"/>
        <v>#DIV/0!</v>
      </c>
      <c r="H26" s="76" t="s">
        <v>91</v>
      </c>
      <c r="I26" s="113" t="e">
        <f>SKEW(D:D)</f>
        <v>#DIV/0!</v>
      </c>
      <c r="M26" s="75"/>
    </row>
    <row r="27" spans="4:13" x14ac:dyDescent="0.25">
      <c r="D27" t="e">
        <f t="shared" si="0"/>
        <v>#DIV/0!</v>
      </c>
      <c r="H27" s="76" t="s">
        <v>80</v>
      </c>
      <c r="I27" s="112" t="e">
        <f>I29-I28</f>
        <v>#DIV/0!</v>
      </c>
      <c r="M27" s="75"/>
    </row>
    <row r="28" spans="4:13" x14ac:dyDescent="0.25">
      <c r="D28" t="e">
        <f t="shared" si="0"/>
        <v>#DIV/0!</v>
      </c>
      <c r="H28" s="76" t="s">
        <v>92</v>
      </c>
      <c r="I28" s="112" t="e">
        <f>MIN(D:D)</f>
        <v>#DIV/0!</v>
      </c>
      <c r="M28" s="75"/>
    </row>
    <row r="29" spans="4:13" x14ac:dyDescent="0.25">
      <c r="D29" t="e">
        <f t="shared" si="0"/>
        <v>#DIV/0!</v>
      </c>
      <c r="H29" s="76" t="s">
        <v>93</v>
      </c>
      <c r="I29" s="112" t="e">
        <f>MAX(D:D)</f>
        <v>#DIV/0!</v>
      </c>
      <c r="M29" s="75"/>
    </row>
    <row r="30" spans="4:13" x14ac:dyDescent="0.25">
      <c r="D30" t="e">
        <f t="shared" si="0"/>
        <v>#DIV/0!</v>
      </c>
      <c r="H30" s="76" t="s">
        <v>94</v>
      </c>
      <c r="I30" s="113" t="e">
        <f>SUM(D:D)</f>
        <v>#DIV/0!</v>
      </c>
      <c r="M30" s="75"/>
    </row>
    <row r="31" spans="4:13" ht="15.75" thickBot="1" x14ac:dyDescent="0.3">
      <c r="D31" t="e">
        <f t="shared" si="0"/>
        <v>#DIV/0!</v>
      </c>
      <c r="H31" s="77" t="s">
        <v>95</v>
      </c>
      <c r="I31" s="54">
        <f>COUNT(D:D)</f>
        <v>0</v>
      </c>
      <c r="M31" s="75"/>
    </row>
    <row r="32" spans="4:13" ht="15.75" thickBot="1" x14ac:dyDescent="0.3">
      <c r="D32" t="e">
        <f t="shared" si="0"/>
        <v>#DIV/0!</v>
      </c>
      <c r="H32" s="79"/>
      <c r="M32" s="75"/>
    </row>
    <row r="33" spans="4:13" x14ac:dyDescent="0.25">
      <c r="D33" t="e">
        <f t="shared" si="0"/>
        <v>#DIV/0!</v>
      </c>
      <c r="H33" s="80"/>
      <c r="I33" s="81" t="s">
        <v>96</v>
      </c>
      <c r="J33" s="81" t="s">
        <v>95</v>
      </c>
      <c r="K33" s="81" t="s">
        <v>97</v>
      </c>
      <c r="L33" s="82" t="s">
        <v>98</v>
      </c>
      <c r="M33" s="75"/>
    </row>
    <row r="34" spans="4:13" x14ac:dyDescent="0.25">
      <c r="D34" t="e">
        <f t="shared" si="0"/>
        <v>#DIV/0!</v>
      </c>
      <c r="H34" s="83" t="s">
        <v>99</v>
      </c>
      <c r="I34" s="69" t="e">
        <f>AVERAGEIF(D:D,"&gt;0")</f>
        <v>#DIV/0!</v>
      </c>
      <c r="J34" s="67">
        <f>COUNTIF(D:D,"&gt;0")</f>
        <v>0</v>
      </c>
      <c r="K34" s="69" t="e">
        <f>J34/$I$31</f>
        <v>#DIV/0!</v>
      </c>
      <c r="L34" s="70" t="e">
        <f>K34*I34</f>
        <v>#DIV/0!</v>
      </c>
      <c r="M34" s="75"/>
    </row>
    <row r="35" spans="4:13" x14ac:dyDescent="0.25">
      <c r="D35" t="e">
        <f t="shared" si="0"/>
        <v>#DIV/0!</v>
      </c>
      <c r="H35" s="83" t="s">
        <v>100</v>
      </c>
      <c r="I35" s="69" t="e">
        <f>AVERAGEIF(D:D,"&lt;0")</f>
        <v>#DIV/0!</v>
      </c>
      <c r="J35" s="67">
        <f>COUNTIF(D:D,"&lt;0")</f>
        <v>0</v>
      </c>
      <c r="K35" s="69" t="e">
        <f>J35/$I$31</f>
        <v>#DIV/0!</v>
      </c>
      <c r="L35" s="70" t="e">
        <f t="shared" ref="L35:L36" si="6">K35*I35</f>
        <v>#DIV/0!</v>
      </c>
      <c r="M35" s="75"/>
    </row>
    <row r="36" spans="4:13" ht="15.75" thickBot="1" x14ac:dyDescent="0.3">
      <c r="D36" t="e">
        <f t="shared" si="0"/>
        <v>#DIV/0!</v>
      </c>
      <c r="H36" s="84" t="s">
        <v>101</v>
      </c>
      <c r="I36" s="72">
        <v>0</v>
      </c>
      <c r="J36" s="72">
        <f>COUNTIF(D:D,"0")</f>
        <v>0</v>
      </c>
      <c r="K36" s="85" t="e">
        <f>J36/$I$31</f>
        <v>#DIV/0!</v>
      </c>
      <c r="L36" s="73" t="e">
        <f t="shared" si="6"/>
        <v>#DIV/0!</v>
      </c>
      <c r="M36" s="75"/>
    </row>
    <row r="37" spans="4:13" ht="15.75" thickBot="1" x14ac:dyDescent="0.3">
      <c r="D37" t="e">
        <f t="shared" si="0"/>
        <v>#DIV/0!</v>
      </c>
      <c r="H37" s="79"/>
      <c r="I37" s="86"/>
      <c r="J37" s="86"/>
      <c r="K37" s="86"/>
      <c r="L37" s="86"/>
      <c r="M37" s="75"/>
    </row>
    <row r="38" spans="4:13" x14ac:dyDescent="0.25">
      <c r="D38" t="e">
        <f t="shared" si="0"/>
        <v>#DIV/0!</v>
      </c>
      <c r="H38" s="60" t="s">
        <v>102</v>
      </c>
      <c r="I38" s="81" t="s">
        <v>103</v>
      </c>
      <c r="J38" s="81" t="s">
        <v>104</v>
      </c>
      <c r="K38" s="81" t="s">
        <v>105</v>
      </c>
      <c r="L38" s="81" t="s">
        <v>106</v>
      </c>
      <c r="M38" s="82" t="s">
        <v>107</v>
      </c>
    </row>
    <row r="39" spans="4:13" x14ac:dyDescent="0.25">
      <c r="D39" t="e">
        <f t="shared" si="0"/>
        <v>#DIV/0!</v>
      </c>
      <c r="H39" s="87">
        <v>1</v>
      </c>
      <c r="I39" s="69" t="e">
        <f>$I$19+($H39*$I$23)</f>
        <v>#DIV/0!</v>
      </c>
      <c r="J39" s="69" t="e">
        <f>$I$19-($H39*$I$23)</f>
        <v>#DIV/0!</v>
      </c>
      <c r="K39" s="67">
        <f>COUNTIFS(D:D,"&lt;"&amp;I39,D:D,"&gt;"&amp;J39)</f>
        <v>67</v>
      </c>
      <c r="L39" s="69" t="e">
        <f>K39/$I$31</f>
        <v>#DIV/0!</v>
      </c>
      <c r="M39" s="70">
        <v>0.68269999999999997</v>
      </c>
    </row>
    <row r="40" spans="4:13" x14ac:dyDescent="0.25">
      <c r="D40" t="e">
        <f t="shared" si="0"/>
        <v>#DIV/0!</v>
      </c>
      <c r="H40" s="87">
        <v>2</v>
      </c>
      <c r="I40" s="69" t="e">
        <f>$I$19+($H40*$I$23)</f>
        <v>#DIV/0!</v>
      </c>
      <c r="J40" s="69" t="e">
        <f>$I$19-($H40*$I$23)</f>
        <v>#DIV/0!</v>
      </c>
      <c r="K40" s="67">
        <f>COUNTIFS(D:D,"&lt;"&amp;I40,D:D,"&gt;"&amp;J40)</f>
        <v>67</v>
      </c>
      <c r="L40" s="69" t="e">
        <f>K40/$I$31</f>
        <v>#DIV/0!</v>
      </c>
      <c r="M40" s="70">
        <v>0.95450000000000002</v>
      </c>
    </row>
    <row r="41" spans="4:13" x14ac:dyDescent="0.25">
      <c r="D41" t="e">
        <f t="shared" si="0"/>
        <v>#DIV/0!</v>
      </c>
      <c r="H41" s="87">
        <v>3</v>
      </c>
      <c r="I41" s="69" t="e">
        <f>$I$19+($H41*$I$23)</f>
        <v>#DIV/0!</v>
      </c>
      <c r="J41" s="69" t="e">
        <f>$I$19-($H41*$I$23)</f>
        <v>#DIV/0!</v>
      </c>
      <c r="K41" s="67">
        <f>COUNTIFS(D:D,"&lt;"&amp;I41,D:D,"&gt;"&amp;J41)</f>
        <v>67</v>
      </c>
      <c r="L41" s="69" t="e">
        <f>K41/$I$31</f>
        <v>#DIV/0!</v>
      </c>
      <c r="M41" s="88">
        <v>0.99729999999999996</v>
      </c>
    </row>
    <row r="42" spans="4:13" ht="15.75" thickBot="1" x14ac:dyDescent="0.3">
      <c r="D42" t="e">
        <f t="shared" si="0"/>
        <v>#DIV/0!</v>
      </c>
      <c r="H42" s="65"/>
      <c r="M42" s="88"/>
    </row>
    <row r="43" spans="4:13" ht="15.75" thickBot="1" x14ac:dyDescent="0.3">
      <c r="D43" t="e">
        <f t="shared" si="0"/>
        <v>#DIV/0!</v>
      </c>
      <c r="H43" s="137" t="s">
        <v>108</v>
      </c>
      <c r="I43" s="138"/>
      <c r="J43" s="138"/>
      <c r="K43" s="138"/>
      <c r="L43" s="138"/>
      <c r="M43" s="139"/>
    </row>
    <row r="44" spans="4:13" x14ac:dyDescent="0.25">
      <c r="D44" t="e">
        <f t="shared" si="0"/>
        <v>#DIV/0!</v>
      </c>
      <c r="H44" s="89">
        <v>0.01</v>
      </c>
      <c r="I44" s="90" t="e">
        <f t="shared" ref="I44:I58" si="7">_xlfn.PERCENTILE.INC(D:D,H44)</f>
        <v>#DIV/0!</v>
      </c>
      <c r="J44" s="91">
        <v>0.2</v>
      </c>
      <c r="K44" s="90" t="e">
        <f t="shared" ref="K44:K56" si="8">_xlfn.PERCENTILE.INC(D:D,J44)</f>
        <v>#DIV/0!</v>
      </c>
      <c r="L44" s="91">
        <v>0.85</v>
      </c>
      <c r="M44" s="92" t="e">
        <f t="shared" ref="M44:M58" si="9">_xlfn.PERCENTILE.INC(D:D,L44)</f>
        <v>#DIV/0!</v>
      </c>
    </row>
    <row r="45" spans="4:13" x14ac:dyDescent="0.25">
      <c r="D45" t="e">
        <f t="shared" si="0"/>
        <v>#DIV/0!</v>
      </c>
      <c r="H45" s="93">
        <v>0.02</v>
      </c>
      <c r="I45" s="94" t="e">
        <f t="shared" si="7"/>
        <v>#DIV/0!</v>
      </c>
      <c r="J45" s="95">
        <v>0.25</v>
      </c>
      <c r="K45" s="94" t="e">
        <f t="shared" si="8"/>
        <v>#DIV/0!</v>
      </c>
      <c r="L45" s="95">
        <v>0.86</v>
      </c>
      <c r="M45" s="96" t="e">
        <f t="shared" si="9"/>
        <v>#DIV/0!</v>
      </c>
    </row>
    <row r="46" spans="4:13" x14ac:dyDescent="0.25">
      <c r="D46" t="e">
        <f t="shared" si="0"/>
        <v>#DIV/0!</v>
      </c>
      <c r="H46" s="93">
        <v>0.03</v>
      </c>
      <c r="I46" s="94" t="e">
        <f t="shared" si="7"/>
        <v>#DIV/0!</v>
      </c>
      <c r="J46" s="95">
        <v>0.3</v>
      </c>
      <c r="K46" s="94" t="e">
        <f t="shared" si="8"/>
        <v>#DIV/0!</v>
      </c>
      <c r="L46" s="95">
        <v>0.87</v>
      </c>
      <c r="M46" s="96" t="e">
        <f t="shared" si="9"/>
        <v>#DIV/0!</v>
      </c>
    </row>
    <row r="47" spans="4:13" x14ac:dyDescent="0.25">
      <c r="D47" t="e">
        <f t="shared" si="0"/>
        <v>#DIV/0!</v>
      </c>
      <c r="H47" s="93">
        <v>0.04</v>
      </c>
      <c r="I47" s="94" t="e">
        <f t="shared" si="7"/>
        <v>#DIV/0!</v>
      </c>
      <c r="J47" s="95">
        <v>0.35</v>
      </c>
      <c r="K47" s="94" t="e">
        <f t="shared" si="8"/>
        <v>#DIV/0!</v>
      </c>
      <c r="L47" s="95">
        <v>0.88</v>
      </c>
      <c r="M47" s="96" t="e">
        <f t="shared" si="9"/>
        <v>#DIV/0!</v>
      </c>
    </row>
    <row r="48" spans="4:13" x14ac:dyDescent="0.25">
      <c r="D48" t="e">
        <f t="shared" si="0"/>
        <v>#DIV/0!</v>
      </c>
      <c r="H48" s="93">
        <v>0.05</v>
      </c>
      <c r="I48" s="94" t="e">
        <f t="shared" si="7"/>
        <v>#DIV/0!</v>
      </c>
      <c r="J48" s="95">
        <v>0.4</v>
      </c>
      <c r="K48" s="94" t="e">
        <f t="shared" si="8"/>
        <v>#DIV/0!</v>
      </c>
      <c r="L48" s="95">
        <v>0.89</v>
      </c>
      <c r="M48" s="96" t="e">
        <f t="shared" si="9"/>
        <v>#DIV/0!</v>
      </c>
    </row>
    <row r="49" spans="4:13" x14ac:dyDescent="0.25">
      <c r="D49" t="e">
        <f t="shared" si="0"/>
        <v>#DIV/0!</v>
      </c>
      <c r="H49" s="93">
        <v>0.06</v>
      </c>
      <c r="I49" s="94" t="e">
        <f t="shared" si="7"/>
        <v>#DIV/0!</v>
      </c>
      <c r="J49" s="95">
        <v>0.45</v>
      </c>
      <c r="K49" s="94" t="e">
        <f t="shared" si="8"/>
        <v>#DIV/0!</v>
      </c>
      <c r="L49" s="95">
        <v>0.9</v>
      </c>
      <c r="M49" s="96" t="e">
        <f t="shared" si="9"/>
        <v>#DIV/0!</v>
      </c>
    </row>
    <row r="50" spans="4:13" x14ac:dyDescent="0.25">
      <c r="D50" t="e">
        <f t="shared" si="0"/>
        <v>#DIV/0!</v>
      </c>
      <c r="H50" s="93">
        <v>7.0000000000000007E-2</v>
      </c>
      <c r="I50" s="94" t="e">
        <f t="shared" si="7"/>
        <v>#DIV/0!</v>
      </c>
      <c r="J50" s="95">
        <v>0.5</v>
      </c>
      <c r="K50" s="94" t="e">
        <f t="shared" si="8"/>
        <v>#DIV/0!</v>
      </c>
      <c r="L50" s="95">
        <v>0.91</v>
      </c>
      <c r="M50" s="96" t="e">
        <f t="shared" si="9"/>
        <v>#DIV/0!</v>
      </c>
    </row>
    <row r="51" spans="4:13" x14ac:dyDescent="0.25">
      <c r="D51" t="e">
        <f t="shared" si="0"/>
        <v>#DIV/0!</v>
      </c>
      <c r="H51" s="93">
        <v>0.08</v>
      </c>
      <c r="I51" s="94" t="e">
        <f t="shared" si="7"/>
        <v>#DIV/0!</v>
      </c>
      <c r="J51" s="95">
        <v>0.55000000000000004</v>
      </c>
      <c r="K51" s="94" t="e">
        <f t="shared" si="8"/>
        <v>#DIV/0!</v>
      </c>
      <c r="L51" s="95">
        <v>0.92</v>
      </c>
      <c r="M51" s="96" t="e">
        <f t="shared" si="9"/>
        <v>#DIV/0!</v>
      </c>
    </row>
    <row r="52" spans="4:13" x14ac:dyDescent="0.25">
      <c r="D52" t="e">
        <f t="shared" si="0"/>
        <v>#DIV/0!</v>
      </c>
      <c r="H52" s="93">
        <v>0.09</v>
      </c>
      <c r="I52" s="94" t="e">
        <f t="shared" si="7"/>
        <v>#DIV/0!</v>
      </c>
      <c r="J52" s="95">
        <v>0.6</v>
      </c>
      <c r="K52" s="94" t="e">
        <f t="shared" si="8"/>
        <v>#DIV/0!</v>
      </c>
      <c r="L52" s="95">
        <v>0.93</v>
      </c>
      <c r="M52" s="96" t="e">
        <f t="shared" si="9"/>
        <v>#DIV/0!</v>
      </c>
    </row>
    <row r="53" spans="4:13" x14ac:dyDescent="0.25">
      <c r="D53" t="e">
        <f t="shared" si="0"/>
        <v>#DIV/0!</v>
      </c>
      <c r="H53" s="93">
        <v>0.1</v>
      </c>
      <c r="I53" s="94" t="e">
        <f t="shared" si="7"/>
        <v>#DIV/0!</v>
      </c>
      <c r="J53" s="95">
        <v>0.65</v>
      </c>
      <c r="K53" s="94" t="e">
        <f t="shared" si="8"/>
        <v>#DIV/0!</v>
      </c>
      <c r="L53" s="95">
        <v>0.94</v>
      </c>
      <c r="M53" s="96" t="e">
        <f t="shared" si="9"/>
        <v>#DIV/0!</v>
      </c>
    </row>
    <row r="54" spans="4:13" x14ac:dyDescent="0.25">
      <c r="D54" t="e">
        <f t="shared" si="0"/>
        <v>#DIV/0!</v>
      </c>
      <c r="H54" s="93">
        <v>0.11</v>
      </c>
      <c r="I54" s="94" t="e">
        <f t="shared" si="7"/>
        <v>#DIV/0!</v>
      </c>
      <c r="J54" s="95">
        <v>0.7</v>
      </c>
      <c r="K54" s="94" t="e">
        <f t="shared" si="8"/>
        <v>#DIV/0!</v>
      </c>
      <c r="L54" s="95">
        <v>0.95</v>
      </c>
      <c r="M54" s="96" t="e">
        <f t="shared" si="9"/>
        <v>#DIV/0!</v>
      </c>
    </row>
    <row r="55" spans="4:13" x14ac:dyDescent="0.25">
      <c r="D55" t="e">
        <f t="shared" si="0"/>
        <v>#DIV/0!</v>
      </c>
      <c r="H55" s="93">
        <v>0.12</v>
      </c>
      <c r="I55" s="94" t="e">
        <f t="shared" si="7"/>
        <v>#DIV/0!</v>
      </c>
      <c r="J55" s="95">
        <v>0.75</v>
      </c>
      <c r="K55" s="94" t="e">
        <f t="shared" si="8"/>
        <v>#DIV/0!</v>
      </c>
      <c r="L55" s="95">
        <v>0.96</v>
      </c>
      <c r="M55" s="96" t="e">
        <f t="shared" si="9"/>
        <v>#DIV/0!</v>
      </c>
    </row>
    <row r="56" spans="4:13" x14ac:dyDescent="0.25">
      <c r="D56" t="e">
        <f t="shared" si="0"/>
        <v>#DIV/0!</v>
      </c>
      <c r="H56" s="93">
        <v>0.13</v>
      </c>
      <c r="I56" s="94" t="e">
        <f t="shared" si="7"/>
        <v>#DIV/0!</v>
      </c>
      <c r="J56" s="95">
        <v>0.8</v>
      </c>
      <c r="K56" s="94" t="e">
        <f t="shared" si="8"/>
        <v>#DIV/0!</v>
      </c>
      <c r="L56" s="95">
        <v>0.97</v>
      </c>
      <c r="M56" s="96" t="e">
        <f t="shared" si="9"/>
        <v>#DIV/0!</v>
      </c>
    </row>
    <row r="57" spans="4:13" x14ac:dyDescent="0.25">
      <c r="D57" t="e">
        <f t="shared" si="0"/>
        <v>#DIV/0!</v>
      </c>
      <c r="H57" s="93">
        <v>0.14000000000000001</v>
      </c>
      <c r="I57" s="94" t="e">
        <f t="shared" si="7"/>
        <v>#DIV/0!</v>
      </c>
      <c r="J57" s="95"/>
      <c r="K57" s="94"/>
      <c r="L57" s="95">
        <v>0.98</v>
      </c>
      <c r="M57" s="96" t="e">
        <f t="shared" si="9"/>
        <v>#DIV/0!</v>
      </c>
    </row>
    <row r="58" spans="4:13" ht="15.75" thickBot="1" x14ac:dyDescent="0.3">
      <c r="D58" t="e">
        <f t="shared" si="0"/>
        <v>#DIV/0!</v>
      </c>
      <c r="H58" s="97">
        <v>0.15</v>
      </c>
      <c r="I58" s="98" t="e">
        <f t="shared" si="7"/>
        <v>#DIV/0!</v>
      </c>
      <c r="J58" s="99"/>
      <c r="K58" s="78"/>
      <c r="L58" s="100">
        <v>0.99</v>
      </c>
      <c r="M58" s="101" t="e">
        <f t="shared" si="9"/>
        <v>#DIV/0!</v>
      </c>
    </row>
    <row r="59" spans="4:13" ht="15.75" thickBot="1" x14ac:dyDescent="0.3">
      <c r="D59" t="e">
        <f t="shared" si="0"/>
        <v>#DIV/0!</v>
      </c>
    </row>
    <row r="60" spans="4:13" x14ac:dyDescent="0.25">
      <c r="D60" t="e">
        <f t="shared" si="0"/>
        <v>#DIV/0!</v>
      </c>
      <c r="H60" s="102" t="s">
        <v>109</v>
      </c>
      <c r="I60" s="103"/>
    </row>
    <row r="61" spans="4:13" ht="15.75" thickBot="1" x14ac:dyDescent="0.3">
      <c r="D61" t="e">
        <f t="shared" si="0"/>
        <v>#DIV/0!</v>
      </c>
      <c r="H61" s="104" t="s">
        <v>110</v>
      </c>
      <c r="I61" s="105"/>
    </row>
    <row r="62" spans="4:13" ht="15.75" thickBot="1" x14ac:dyDescent="0.3">
      <c r="D62" t="e">
        <f t="shared" si="0"/>
        <v>#DIV/0!</v>
      </c>
      <c r="H62" s="106"/>
    </row>
    <row r="63" spans="4:13" x14ac:dyDescent="0.25">
      <c r="D63" t="e">
        <f t="shared" si="0"/>
        <v>#DIV/0!</v>
      </c>
      <c r="H63" s="102" t="s">
        <v>111</v>
      </c>
      <c r="I63" s="107"/>
    </row>
    <row r="64" spans="4:13" x14ac:dyDescent="0.25">
      <c r="D64" t="e">
        <f t="shared" si="0"/>
        <v>#DIV/0!</v>
      </c>
      <c r="H64" s="108" t="s">
        <v>112</v>
      </c>
      <c r="I64" s="109">
        <f>I63*(1-I60)</f>
        <v>0</v>
      </c>
    </row>
    <row r="65" spans="4:9" ht="15.75" thickBot="1" x14ac:dyDescent="0.3">
      <c r="D65" t="e">
        <f t="shared" si="0"/>
        <v>#DIV/0!</v>
      </c>
      <c r="H65" s="104" t="s">
        <v>113</v>
      </c>
      <c r="I65" s="110">
        <f>I63*(1+I61)</f>
        <v>0</v>
      </c>
    </row>
    <row r="66" spans="4:9" x14ac:dyDescent="0.25">
      <c r="D66" t="e">
        <f t="shared" si="0"/>
        <v>#DIV/0!</v>
      </c>
    </row>
    <row r="67" spans="4:9" x14ac:dyDescent="0.25">
      <c r="D67" t="e">
        <f t="shared" ref="D67:D68" si="10">C67/C68-1</f>
        <v>#DIV/0!</v>
      </c>
    </row>
    <row r="68" spans="4:9" x14ac:dyDescent="0.25">
      <c r="D68" t="e">
        <f t="shared" si="10"/>
        <v>#DIV/0!</v>
      </c>
    </row>
  </sheetData>
  <mergeCells count="4">
    <mergeCell ref="H1:M1"/>
    <mergeCell ref="H17:I17"/>
    <mergeCell ref="H18:I18"/>
    <mergeCell ref="H43:M43"/>
  </mergeCells>
  <hyperlinks>
    <hyperlink ref="A1" location="Main!A1" display="Main" xr:uid="{145B60E5-2A50-4A63-B814-9469EC95EDA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Model</vt:lpstr>
      <vt:lpstr>Analysts</vt:lpstr>
      <vt:lpstr>Model-graph</vt:lpstr>
      <vt:lpstr>KPIs</vt:lpstr>
      <vt:lpstr>Catalysts</vt:lpstr>
      <vt:lpstr>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Burghardt</dc:creator>
  <cp:lastModifiedBy>Simon Burghardt</cp:lastModifiedBy>
  <dcterms:created xsi:type="dcterms:W3CDTF">2015-06-05T18:19:34Z</dcterms:created>
  <dcterms:modified xsi:type="dcterms:W3CDTF">2025-12-15T22:48:47Z</dcterms:modified>
</cp:coreProperties>
</file>