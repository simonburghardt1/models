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imon\Documents\models\Crypto\"/>
    </mc:Choice>
  </mc:AlternateContent>
  <xr:revisionPtr revIDLastSave="0" documentId="13_ncr:1_{FE427BFA-56A9-4FC1-A35A-70BCB4A03055}" xr6:coauthVersionLast="47" xr6:coauthVersionMax="47" xr10:uidLastSave="{00000000-0000-0000-0000-000000000000}"/>
  <bookViews>
    <workbookView xWindow="-120" yWindow="-120" windowWidth="29040" windowHeight="15720" tabRatio="717" xr2:uid="{00000000-000D-0000-FFFF-FFFF00000000}"/>
  </bookViews>
  <sheets>
    <sheet name="Main" sheetId="1" r:id="rId1"/>
    <sheet name="Model" sheetId="2" r:id="rId2"/>
    <sheet name="Analysts" sheetId="7" r:id="rId3"/>
    <sheet name="KPIs" sheetId="6" r:id="rId4"/>
    <sheet name="Model-graph" sheetId="3" r:id="rId5"/>
    <sheet name="Catalysts" sheetId="4" r:id="rId6"/>
    <sheet name="DoR" sheetId="5" r:id="rId7"/>
  </sheets>
  <definedNames>
    <definedName name="_xlchart.v1.0" hidden="1">Model!$B$25</definedName>
    <definedName name="_xlchart.v1.1" hidden="1">Model!$B$26</definedName>
    <definedName name="_xlchart.v1.2" hidden="1">Model!$N$25:$Z$25</definedName>
    <definedName name="_xlchart.v1.3" hidden="1">Model!$N$26:$Z$26</definedName>
    <definedName name="_xlchart.v1.4" hidden="1">Model!$N$2:$Z$2</definedName>
    <definedName name="_xlchart.v1.5" hidden="1">Model!$B$10</definedName>
    <definedName name="_xlchart.v1.6" hidden="1">Model!$B$11</definedName>
    <definedName name="_xlchart.v1.7" hidden="1">Model!$N$10:$Z$10</definedName>
    <definedName name="_xlchart.v1.8" hidden="1">Model!$N$11:$Z$11</definedName>
    <definedName name="_xlchart.v1.9" hidden="1">Model!$N$2:$Z$2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 i="1" l="1"/>
  <c r="C30" i="1"/>
  <c r="C29" i="1"/>
  <c r="C25" i="1"/>
  <c r="C9" i="1"/>
  <c r="C24" i="1"/>
  <c r="AM23" i="6"/>
  <c r="AN23" i="6"/>
  <c r="AO23" i="6"/>
  <c r="AP23" i="6"/>
  <c r="AQ23" i="6"/>
  <c r="AR23" i="6"/>
  <c r="AS23" i="6"/>
  <c r="AT23" i="6"/>
  <c r="J10" i="2"/>
  <c r="I10" i="2"/>
  <c r="AF29" i="2"/>
  <c r="AF15" i="2"/>
  <c r="AF7" i="2"/>
  <c r="AG7" i="2"/>
  <c r="AH7" i="2"/>
  <c r="AH10" i="2" s="1"/>
  <c r="AF51" i="2"/>
  <c r="AE15" i="2"/>
  <c r="AE51" i="2"/>
  <c r="AD15" i="2"/>
  <c r="AD71" i="2"/>
  <c r="AD51" i="2"/>
  <c r="AE71" i="2"/>
  <c r="AF71" i="2"/>
  <c r="AG71" i="2"/>
  <c r="AH71" i="2"/>
  <c r="AI71" i="2"/>
  <c r="AG68" i="2"/>
  <c r="AH68" i="2"/>
  <c r="AH69" i="2" s="1"/>
  <c r="AI68" i="2"/>
  <c r="AI69" i="2" s="1"/>
  <c r="AG69" i="2"/>
  <c r="AE66" i="2"/>
  <c r="AE68" i="2" s="1"/>
  <c r="AF66" i="2"/>
  <c r="AF68" i="2" s="1"/>
  <c r="AG66" i="2"/>
  <c r="AH66" i="2"/>
  <c r="AI66" i="2"/>
  <c r="AG59" i="2"/>
  <c r="AH59" i="2"/>
  <c r="AI59" i="2"/>
  <c r="AE52" i="2"/>
  <c r="AE59" i="2" s="1"/>
  <c r="AF52" i="2"/>
  <c r="AF59" i="2" s="1"/>
  <c r="AG52" i="2"/>
  <c r="AH52" i="2"/>
  <c r="AI52" i="2"/>
  <c r="AE40" i="2"/>
  <c r="AF40" i="2"/>
  <c r="AG40" i="2"/>
  <c r="AH40" i="2"/>
  <c r="AI40" i="2"/>
  <c r="AI27" i="2"/>
  <c r="AI28" i="2"/>
  <c r="AI30" i="2"/>
  <c r="AI31" i="2"/>
  <c r="AI32" i="2"/>
  <c r="AF33" i="2"/>
  <c r="AG33" i="2"/>
  <c r="AD34" i="2"/>
  <c r="AE34" i="2"/>
  <c r="AF34" i="2"/>
  <c r="AG34" i="2"/>
  <c r="AH34" i="2"/>
  <c r="AI34" i="2"/>
  <c r="AI25" i="2"/>
  <c r="AI23" i="2"/>
  <c r="AI21" i="2"/>
  <c r="AI18" i="2"/>
  <c r="AD14" i="2"/>
  <c r="AE14" i="2"/>
  <c r="AF14" i="2"/>
  <c r="AG14" i="2"/>
  <c r="AH14" i="2"/>
  <c r="AI14" i="2"/>
  <c r="AF10" i="2"/>
  <c r="AG10" i="2"/>
  <c r="AG18" i="2" s="1"/>
  <c r="AG21" i="2" s="1"/>
  <c r="AG23" i="2" s="1"/>
  <c r="AI10" i="2"/>
  <c r="AC10" i="2"/>
  <c r="R7" i="2"/>
  <c r="S7" i="2"/>
  <c r="T7" i="2"/>
  <c r="U7" i="2"/>
  <c r="V7" i="2"/>
  <c r="W7" i="2"/>
  <c r="X7" i="2"/>
  <c r="Y7" i="2"/>
  <c r="Z7" i="2"/>
  <c r="AA7" i="2"/>
  <c r="AB7" i="2"/>
  <c r="AC7" i="2"/>
  <c r="AD7" i="2"/>
  <c r="AD10" i="2" s="1"/>
  <c r="AE7" i="2"/>
  <c r="AE33" i="2" s="1"/>
  <c r="Q7" i="2"/>
  <c r="C21" i="1"/>
  <c r="C17" i="1"/>
  <c r="C15" i="1"/>
  <c r="C14" i="1"/>
  <c r="C19" i="1" l="1"/>
  <c r="AF18" i="2"/>
  <c r="AF21" i="2" s="1"/>
  <c r="AF23" i="2" s="1"/>
  <c r="AF28" i="2" s="1"/>
  <c r="AG28" i="2"/>
  <c r="AG25" i="2"/>
  <c r="AG35" i="2" s="1"/>
  <c r="AH30" i="2"/>
  <c r="AH32" i="2"/>
  <c r="AH18" i="2"/>
  <c r="AH21" i="2" s="1"/>
  <c r="AH23" i="2" s="1"/>
  <c r="AH31" i="2"/>
  <c r="AH27" i="2"/>
  <c r="AG30" i="2"/>
  <c r="AG32" i="2"/>
  <c r="AF32" i="2"/>
  <c r="AF30" i="2"/>
  <c r="AG29" i="2"/>
  <c r="AG27" i="2"/>
  <c r="AF27" i="2"/>
  <c r="AG31" i="2"/>
  <c r="AF31" i="2"/>
  <c r="AF69" i="2"/>
  <c r="AI33" i="2"/>
  <c r="AE10" i="2"/>
  <c r="AE69" i="2"/>
  <c r="AD32" i="2"/>
  <c r="AH29" i="2"/>
  <c r="AD18" i="2"/>
  <c r="AD21" i="2" s="1"/>
  <c r="AD23" i="2" s="1"/>
  <c r="AD31" i="2"/>
  <c r="AD27" i="2"/>
  <c r="AD30" i="2"/>
  <c r="AD29" i="2"/>
  <c r="AD33" i="2"/>
  <c r="AH33" i="2"/>
  <c r="AC24" i="2"/>
  <c r="AC22" i="2"/>
  <c r="AC20" i="2"/>
  <c r="AC19" i="2"/>
  <c r="AC17" i="2"/>
  <c r="AC15" i="2"/>
  <c r="AC13" i="2"/>
  <c r="AC12" i="2"/>
  <c r="AC9" i="2"/>
  <c r="AC8" i="2"/>
  <c r="J29" i="2"/>
  <c r="J35" i="2"/>
  <c r="H67" i="2"/>
  <c r="H65" i="2"/>
  <c r="H64" i="2"/>
  <c r="H63" i="2"/>
  <c r="H62" i="2"/>
  <c r="H61" i="2"/>
  <c r="H60" i="2"/>
  <c r="H58" i="2"/>
  <c r="H57" i="2"/>
  <c r="H56" i="2"/>
  <c r="H55" i="2"/>
  <c r="H54" i="2"/>
  <c r="H53" i="2"/>
  <c r="H51" i="2"/>
  <c r="H50" i="2"/>
  <c r="H49" i="2"/>
  <c r="H48" i="2"/>
  <c r="H47" i="2"/>
  <c r="H46" i="2"/>
  <c r="H45" i="2"/>
  <c r="H44" i="2"/>
  <c r="H43" i="2"/>
  <c r="H42" i="2"/>
  <c r="H41" i="2"/>
  <c r="H16" i="2"/>
  <c r="I30" i="2"/>
  <c r="J30" i="2"/>
  <c r="I31" i="2"/>
  <c r="J31" i="2"/>
  <c r="I32" i="2"/>
  <c r="J32" i="2"/>
  <c r="H33" i="2"/>
  <c r="I33" i="2"/>
  <c r="J33" i="2"/>
  <c r="H34" i="2"/>
  <c r="I34" i="2"/>
  <c r="J34" i="2"/>
  <c r="J23" i="2"/>
  <c r="J28" i="2" s="1"/>
  <c r="J14" i="2"/>
  <c r="J18" i="2" s="1"/>
  <c r="J21" i="2" s="1"/>
  <c r="H10" i="2"/>
  <c r="C20" i="1" s="1"/>
  <c r="I66" i="2"/>
  <c r="I68" i="2" s="1"/>
  <c r="J66" i="2"/>
  <c r="J68" i="2" s="1"/>
  <c r="I52" i="2"/>
  <c r="I59" i="2" s="1"/>
  <c r="J52" i="2"/>
  <c r="J59" i="2" s="1"/>
  <c r="I40" i="2"/>
  <c r="J40" i="2"/>
  <c r="AB71" i="2"/>
  <c r="AB51" i="2"/>
  <c r="AF25" i="2" l="1"/>
  <c r="AF35" i="2" s="1"/>
  <c r="AH28" i="2"/>
  <c r="AH25" i="2"/>
  <c r="AE30" i="2"/>
  <c r="AE29" i="2"/>
  <c r="AE18" i="2"/>
  <c r="AE21" i="2" s="1"/>
  <c r="AE23" i="2" s="1"/>
  <c r="AE31" i="2"/>
  <c r="AI29" i="2"/>
  <c r="AE27" i="2"/>
  <c r="AE32" i="2"/>
  <c r="AD28" i="2"/>
  <c r="AD25" i="2"/>
  <c r="H31" i="2"/>
  <c r="H32" i="2"/>
  <c r="AC16" i="2"/>
  <c r="J27" i="2"/>
  <c r="J69" i="2"/>
  <c r="I29" i="2"/>
  <c r="I69" i="2"/>
  <c r="H30" i="2"/>
  <c r="H66" i="2"/>
  <c r="H68" i="2"/>
  <c r="H52" i="2"/>
  <c r="H59" i="2" s="1"/>
  <c r="H69" i="2" s="1"/>
  <c r="H40" i="2"/>
  <c r="AE28" i="2" l="1"/>
  <c r="AE25" i="2"/>
  <c r="AD35" i="2"/>
  <c r="AH35" i="2"/>
  <c r="AC66" i="2"/>
  <c r="AC68" i="2" s="1"/>
  <c r="AD66" i="2"/>
  <c r="AD68" i="2" s="1"/>
  <c r="AC52" i="2"/>
  <c r="AC59" i="2" s="1"/>
  <c r="AD52" i="2"/>
  <c r="AD59" i="2" s="1"/>
  <c r="AC40" i="2"/>
  <c r="AD40" i="2"/>
  <c r="AB33" i="2"/>
  <c r="AB34" i="2"/>
  <c r="AB14" i="2"/>
  <c r="AC14" i="2"/>
  <c r="AE35" i="2" l="1"/>
  <c r="AI35" i="2"/>
  <c r="AD69" i="2"/>
  <c r="AC69" i="2"/>
  <c r="Z71" i="2"/>
  <c r="X71" i="2"/>
  <c r="W71" i="2"/>
  <c r="V71" i="2"/>
  <c r="AA71" i="2"/>
  <c r="AA51" i="2"/>
  <c r="AA52" i="2" s="1"/>
  <c r="AA59" i="2" s="1"/>
  <c r="P14" i="2"/>
  <c r="AA33" i="2"/>
  <c r="Y67" i="2"/>
  <c r="Y65" i="2"/>
  <c r="Y64" i="2"/>
  <c r="Y63" i="2"/>
  <c r="Y62" i="2"/>
  <c r="Y61" i="2"/>
  <c r="Y60" i="2"/>
  <c r="Y58" i="2"/>
  <c r="Y57" i="2"/>
  <c r="Y56" i="2"/>
  <c r="Y55" i="2"/>
  <c r="Y54" i="2"/>
  <c r="Y53" i="2"/>
  <c r="Y51" i="2"/>
  <c r="Y50" i="2"/>
  <c r="Y49" i="2"/>
  <c r="Y48" i="2"/>
  <c r="Y47" i="2"/>
  <c r="Y46" i="2"/>
  <c r="Y45" i="2"/>
  <c r="Y44" i="2"/>
  <c r="Y43" i="2"/>
  <c r="Y42" i="2"/>
  <c r="Y41" i="2"/>
  <c r="G23" i="6"/>
  <c r="H23" i="6"/>
  <c r="F23" i="6"/>
  <c r="E23" i="6"/>
  <c r="AH23" i="6"/>
  <c r="AI23" i="6"/>
  <c r="AJ23" i="6"/>
  <c r="AK23" i="6"/>
  <c r="AL23" i="6"/>
  <c r="AG23" i="6"/>
  <c r="AB40" i="2"/>
  <c r="AB66" i="2"/>
  <c r="AB68" i="2" s="1"/>
  <c r="AA66" i="2"/>
  <c r="AA68" i="2" s="1"/>
  <c r="Z66" i="2"/>
  <c r="Z68" i="2" s="1"/>
  <c r="AB52" i="2"/>
  <c r="AB59" i="2" s="1"/>
  <c r="Z52" i="2"/>
  <c r="Z59" i="2" s="1"/>
  <c r="AA34" i="2"/>
  <c r="Z34" i="2"/>
  <c r="Z33" i="2"/>
  <c r="Z10" i="2"/>
  <c r="Z32" i="2" s="1"/>
  <c r="AA10" i="2"/>
  <c r="AA32" i="2" s="1"/>
  <c r="AB10" i="2"/>
  <c r="AC27" i="2"/>
  <c r="C7" i="1"/>
  <c r="I23" i="2"/>
  <c r="Q22" i="2"/>
  <c r="Q20" i="2"/>
  <c r="Q19" i="2"/>
  <c r="Q17" i="2"/>
  <c r="Q16" i="2"/>
  <c r="Q15" i="2"/>
  <c r="Q13" i="2"/>
  <c r="Q12" i="2"/>
  <c r="Q9" i="2"/>
  <c r="Q8" i="2"/>
  <c r="R57" i="2"/>
  <c r="S65" i="2"/>
  <c r="S56" i="2"/>
  <c r="T65" i="2"/>
  <c r="T56" i="2"/>
  <c r="Q67" i="2"/>
  <c r="Q65" i="2"/>
  <c r="Q64" i="2"/>
  <c r="Q63" i="2"/>
  <c r="Q62" i="2"/>
  <c r="Q61" i="2"/>
  <c r="Q60" i="2"/>
  <c r="Q58" i="2"/>
  <c r="Q57" i="2"/>
  <c r="Q56" i="2"/>
  <c r="Q55" i="2"/>
  <c r="Q54" i="2"/>
  <c r="Q53" i="2"/>
  <c r="Q51" i="2"/>
  <c r="Q50" i="2"/>
  <c r="Q49" i="2"/>
  <c r="Q48" i="2"/>
  <c r="Q47" i="2"/>
  <c r="Q46" i="2"/>
  <c r="Q45" i="2"/>
  <c r="Q44" i="2"/>
  <c r="Q43" i="2"/>
  <c r="Q42" i="2"/>
  <c r="Q41" i="2"/>
  <c r="U22" i="2"/>
  <c r="U20" i="2"/>
  <c r="U19" i="2"/>
  <c r="U17" i="2"/>
  <c r="U16" i="2"/>
  <c r="U15" i="2"/>
  <c r="U13" i="2"/>
  <c r="U12" i="2"/>
  <c r="U9" i="2"/>
  <c r="U8" i="2"/>
  <c r="Y22" i="2"/>
  <c r="Y20" i="2"/>
  <c r="Y17" i="2"/>
  <c r="Y16" i="2"/>
  <c r="Y15" i="2"/>
  <c r="Y13" i="2"/>
  <c r="Y12" i="2"/>
  <c r="Y9" i="2"/>
  <c r="Y8" i="2"/>
  <c r="AC34" i="2" s="1"/>
  <c r="AC33" i="2"/>
  <c r="W34" i="2"/>
  <c r="V34" i="2"/>
  <c r="T34" i="2"/>
  <c r="S34" i="2"/>
  <c r="R34" i="2"/>
  <c r="W33" i="2"/>
  <c r="V33" i="2"/>
  <c r="T33" i="2"/>
  <c r="S33" i="2"/>
  <c r="R33" i="2"/>
  <c r="X34" i="2"/>
  <c r="X33" i="2"/>
  <c r="U67" i="2"/>
  <c r="U65" i="2"/>
  <c r="U64" i="2"/>
  <c r="U63" i="2"/>
  <c r="U62" i="2"/>
  <c r="U61" i="2"/>
  <c r="U60" i="2"/>
  <c r="U58" i="2"/>
  <c r="U57" i="2"/>
  <c r="U56" i="2"/>
  <c r="U55" i="2"/>
  <c r="U54" i="2"/>
  <c r="U53" i="2"/>
  <c r="U51" i="2"/>
  <c r="U50" i="2"/>
  <c r="U49" i="2"/>
  <c r="U48" i="2"/>
  <c r="U47" i="2"/>
  <c r="U46" i="2"/>
  <c r="U45" i="2"/>
  <c r="U44" i="2"/>
  <c r="U43" i="2"/>
  <c r="U42" i="2"/>
  <c r="U41" i="2"/>
  <c r="O40" i="2"/>
  <c r="P40" i="2"/>
  <c r="R40" i="2"/>
  <c r="S40" i="2"/>
  <c r="T40" i="2"/>
  <c r="V40" i="2"/>
  <c r="W40" i="2"/>
  <c r="X40" i="2"/>
  <c r="Z40" i="2"/>
  <c r="AA40" i="2"/>
  <c r="N40" i="2"/>
  <c r="Y34" i="2" l="1"/>
  <c r="Y33" i="2"/>
  <c r="U34" i="2"/>
  <c r="I28" i="2"/>
  <c r="U71" i="2"/>
  <c r="Q40" i="2"/>
  <c r="Y71" i="2"/>
  <c r="AA30" i="2"/>
  <c r="AA31" i="2"/>
  <c r="U33" i="2"/>
  <c r="AC71" i="2"/>
  <c r="AC18" i="2"/>
  <c r="AC21" i="2" s="1"/>
  <c r="AC23" i="2" s="1"/>
  <c r="AC28" i="2" s="1"/>
  <c r="AC31" i="2"/>
  <c r="AC32" i="2"/>
  <c r="AC30" i="2"/>
  <c r="AB27" i="2"/>
  <c r="AB18" i="2"/>
  <c r="AB21" i="2" s="1"/>
  <c r="AB23" i="2" s="1"/>
  <c r="AB31" i="2"/>
  <c r="AB30" i="2"/>
  <c r="AB32" i="2"/>
  <c r="AB69" i="2"/>
  <c r="AA69" i="2"/>
  <c r="Z69" i="2"/>
  <c r="Z31" i="2"/>
  <c r="Z30" i="2"/>
  <c r="Y40" i="2"/>
  <c r="U40" i="2"/>
  <c r="O10" i="2"/>
  <c r="P10" i="2"/>
  <c r="Q10" i="2"/>
  <c r="R10" i="2"/>
  <c r="S10" i="2"/>
  <c r="T10" i="2"/>
  <c r="U10" i="2"/>
  <c r="V10" i="2"/>
  <c r="Z29" i="2" s="1"/>
  <c r="W10" i="2"/>
  <c r="AA29" i="2" s="1"/>
  <c r="X10" i="2"/>
  <c r="AB29" i="2" s="1"/>
  <c r="Y10" i="2"/>
  <c r="AC29" i="2" s="1"/>
  <c r="N10" i="2"/>
  <c r="F40" i="2"/>
  <c r="E40" i="2"/>
  <c r="D40" i="2"/>
  <c r="C40" i="2"/>
  <c r="G40" i="2"/>
  <c r="AC25" i="2" l="1"/>
  <c r="X30" i="2"/>
  <c r="X31" i="2"/>
  <c r="X32" i="2"/>
  <c r="AB25" i="2"/>
  <c r="AB28" i="2"/>
  <c r="Q32" i="2"/>
  <c r="Q31" i="2"/>
  <c r="Q30" i="2"/>
  <c r="N30" i="2"/>
  <c r="N32" i="2"/>
  <c r="N31" i="2"/>
  <c r="O31" i="2"/>
  <c r="O30" i="2"/>
  <c r="O32" i="2"/>
  <c r="P31" i="2"/>
  <c r="P30" i="2"/>
  <c r="U32" i="2"/>
  <c r="U31" i="2"/>
  <c r="U30" i="2"/>
  <c r="Y30" i="2"/>
  <c r="Y32" i="2"/>
  <c r="Y31" i="2"/>
  <c r="V30" i="2"/>
  <c r="V31" i="2"/>
  <c r="R31" i="2"/>
  <c r="R32" i="2"/>
  <c r="R30" i="2"/>
  <c r="S30" i="2"/>
  <c r="S32" i="2"/>
  <c r="S31" i="2"/>
  <c r="W32" i="2"/>
  <c r="W30" i="2"/>
  <c r="W31" i="2"/>
  <c r="T31" i="2"/>
  <c r="T30" i="2"/>
  <c r="T32" i="2"/>
  <c r="Y23" i="6"/>
  <c r="X23" i="6"/>
  <c r="W23" i="6"/>
  <c r="V23" i="6"/>
  <c r="U23" i="6"/>
  <c r="T23" i="6"/>
  <c r="S23" i="6"/>
  <c r="R23" i="6"/>
  <c r="Q23" i="6"/>
  <c r="P23" i="6"/>
  <c r="O23" i="6"/>
  <c r="N23" i="6"/>
  <c r="M23" i="6"/>
  <c r="L23" i="6"/>
  <c r="K23" i="6"/>
  <c r="J23" i="6"/>
  <c r="I23" i="6"/>
  <c r="AF23" i="6"/>
  <c r="AE23" i="6"/>
  <c r="AD23" i="6"/>
  <c r="AC23" i="6"/>
  <c r="AB23" i="6"/>
  <c r="AA23" i="6"/>
  <c r="Z23" i="6"/>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O14" i="2"/>
  <c r="O18" i="2" s="1"/>
  <c r="P18" i="2"/>
  <c r="P21" i="2" s="1"/>
  <c r="Q14" i="2"/>
  <c r="R14" i="2"/>
  <c r="R18" i="2" s="1"/>
  <c r="S14" i="2"/>
  <c r="S18" i="2" s="1"/>
  <c r="T14" i="2"/>
  <c r="T18" i="2" s="1"/>
  <c r="U14" i="2"/>
  <c r="U18" i="2" s="1"/>
  <c r="V14" i="2"/>
  <c r="V18" i="2" s="1"/>
  <c r="W14" i="2"/>
  <c r="W18" i="2" s="1"/>
  <c r="X14" i="2"/>
  <c r="Y14" i="2"/>
  <c r="Y18" i="2" s="1"/>
  <c r="Z14" i="2"/>
  <c r="AA14" i="2"/>
  <c r="N14" i="2"/>
  <c r="N18" i="2" s="1"/>
  <c r="D14" i="2"/>
  <c r="E14" i="2"/>
  <c r="F14" i="2"/>
  <c r="G14" i="2"/>
  <c r="H14" i="2"/>
  <c r="I14" i="2"/>
  <c r="C14" i="2"/>
  <c r="I18" i="2" l="1"/>
  <c r="I21" i="2" s="1"/>
  <c r="I27" i="2"/>
  <c r="H18" i="2"/>
  <c r="H27" i="2"/>
  <c r="Q18" i="2"/>
  <c r="Q21" i="2" s="1"/>
  <c r="Q23" i="2" s="1"/>
  <c r="Q25" i="2" s="1"/>
  <c r="Q27" i="2"/>
  <c r="AA18" i="2"/>
  <c r="AA21" i="2" s="1"/>
  <c r="AA23" i="2" s="1"/>
  <c r="AA28" i="2" s="1"/>
  <c r="AA27" i="2"/>
  <c r="Z18" i="2"/>
  <c r="Z21" i="2" s="1"/>
  <c r="Z23" i="2" s="1"/>
  <c r="Z27" i="2"/>
  <c r="N21" i="2"/>
  <c r="N23" i="2" s="1"/>
  <c r="N25" i="2" s="1"/>
  <c r="O21" i="2"/>
  <c r="O23" i="2" s="1"/>
  <c r="O25" i="2" s="1"/>
  <c r="P23" i="2"/>
  <c r="P25" i="2" s="1"/>
  <c r="U21" i="2"/>
  <c r="U23" i="2" s="1"/>
  <c r="U25" i="2" s="1"/>
  <c r="Y21" i="2"/>
  <c r="Y23" i="2" s="1"/>
  <c r="Y25" i="2" s="1"/>
  <c r="V21" i="2"/>
  <c r="V23" i="2" s="1"/>
  <c r="V25" i="2" s="1"/>
  <c r="R21" i="2"/>
  <c r="R23" i="2" s="1"/>
  <c r="R25" i="2" s="1"/>
  <c r="S21" i="2"/>
  <c r="S23" i="2" s="1"/>
  <c r="S25" i="2" s="1"/>
  <c r="W21" i="2"/>
  <c r="W23" i="2" s="1"/>
  <c r="W25" i="2" s="1"/>
  <c r="T21" i="2"/>
  <c r="T23" i="2" s="1"/>
  <c r="T25" i="2" s="1"/>
  <c r="X18" i="2"/>
  <c r="C8" i="1"/>
  <c r="I31" i="5"/>
  <c r="I30" i="5"/>
  <c r="I29" i="5"/>
  <c r="I28" i="5"/>
  <c r="I26" i="5"/>
  <c r="I25" i="5"/>
  <c r="I24" i="5"/>
  <c r="I23" i="5"/>
  <c r="I22" i="5"/>
  <c r="I21" i="5"/>
  <c r="I20" i="5"/>
  <c r="I19" i="5"/>
  <c r="I65" i="5"/>
  <c r="I64" i="5"/>
  <c r="C23" i="1" l="1"/>
  <c r="H21" i="2"/>
  <c r="H23" i="2" s="1"/>
  <c r="Y35" i="2"/>
  <c r="AC35" i="2"/>
  <c r="X21" i="2"/>
  <c r="X23" i="2" s="1"/>
  <c r="X25" i="2" s="1"/>
  <c r="AB35" i="2" s="1"/>
  <c r="AA25" i="2"/>
  <c r="Z25" i="2"/>
  <c r="Z28" i="2"/>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10" i="2"/>
  <c r="D10" i="2"/>
  <c r="E10" i="2"/>
  <c r="E27" i="2" s="1"/>
  <c r="F10" i="2"/>
  <c r="G10" i="2"/>
  <c r="H29" i="2" s="1"/>
  <c r="O28" i="2"/>
  <c r="P28" i="2"/>
  <c r="Q28" i="2"/>
  <c r="N27" i="2"/>
  <c r="O27" i="2"/>
  <c r="R27" i="2"/>
  <c r="S27" i="2"/>
  <c r="T27" i="2"/>
  <c r="U27" i="2"/>
  <c r="V27" i="2"/>
  <c r="W27" i="2"/>
  <c r="X27" i="2"/>
  <c r="Y27" i="2"/>
  <c r="R29" i="2"/>
  <c r="S29" i="2"/>
  <c r="T29" i="2"/>
  <c r="U29" i="2"/>
  <c r="V29" i="2"/>
  <c r="W29" i="2"/>
  <c r="X29" i="2"/>
  <c r="Y29" i="2"/>
  <c r="N52" i="2"/>
  <c r="N59" i="2" s="1"/>
  <c r="O52" i="2"/>
  <c r="O59" i="2" s="1"/>
  <c r="P52" i="2"/>
  <c r="P59" i="2" s="1"/>
  <c r="Q52" i="2"/>
  <c r="Q59" i="2" s="1"/>
  <c r="R52" i="2"/>
  <c r="R59" i="2" s="1"/>
  <c r="S52" i="2"/>
  <c r="S59" i="2" s="1"/>
  <c r="T52" i="2"/>
  <c r="T59" i="2" s="1"/>
  <c r="U52" i="2"/>
  <c r="U59" i="2" s="1"/>
  <c r="V52" i="2"/>
  <c r="V59" i="2" s="1"/>
  <c r="W52" i="2"/>
  <c r="W59" i="2" s="1"/>
  <c r="X52" i="2"/>
  <c r="X59" i="2" s="1"/>
  <c r="Y52" i="2"/>
  <c r="Y59" i="2" s="1"/>
  <c r="N66" i="2"/>
  <c r="N68" i="2" s="1"/>
  <c r="O66" i="2"/>
  <c r="O68" i="2" s="1"/>
  <c r="P66" i="2"/>
  <c r="P68" i="2" s="1"/>
  <c r="Q66" i="2"/>
  <c r="Q68" i="2" s="1"/>
  <c r="R66" i="2"/>
  <c r="R68" i="2" s="1"/>
  <c r="S66" i="2"/>
  <c r="S68" i="2" s="1"/>
  <c r="T66" i="2"/>
  <c r="T68" i="2" s="1"/>
  <c r="U66" i="2"/>
  <c r="U68" i="2" s="1"/>
  <c r="V66" i="2"/>
  <c r="V68" i="2" s="1"/>
  <c r="W66" i="2"/>
  <c r="W68" i="2" s="1"/>
  <c r="X66" i="2"/>
  <c r="X68" i="2" s="1"/>
  <c r="Y66" i="2"/>
  <c r="Y68" i="2" s="1"/>
  <c r="C52" i="2"/>
  <c r="C59" i="2" s="1"/>
  <c r="D52" i="2"/>
  <c r="D59" i="2" s="1"/>
  <c r="E52" i="2"/>
  <c r="E59" i="2" s="1"/>
  <c r="E34" i="2"/>
  <c r="F34" i="2"/>
  <c r="G34" i="2"/>
  <c r="E33" i="2"/>
  <c r="F33" i="2"/>
  <c r="G33" i="2"/>
  <c r="H25" i="2" l="1"/>
  <c r="H28" i="2"/>
  <c r="F29" i="2"/>
  <c r="Z35" i="2"/>
  <c r="AA35" i="2"/>
  <c r="F18" i="2"/>
  <c r="F21" i="2" s="1"/>
  <c r="F32" i="2"/>
  <c r="D18" i="2"/>
  <c r="D21" i="2" s="1"/>
  <c r="D32" i="2"/>
  <c r="G18" i="2"/>
  <c r="G21" i="2" s="1"/>
  <c r="G32" i="2"/>
  <c r="E18" i="2"/>
  <c r="E21" i="2" s="1"/>
  <c r="E32" i="2"/>
  <c r="C18" i="2"/>
  <c r="C21" i="2" s="1"/>
  <c r="C31" i="2"/>
  <c r="C32" i="2"/>
  <c r="C30" i="2"/>
  <c r="Y69" i="2"/>
  <c r="Q69" i="2"/>
  <c r="U69" i="2"/>
  <c r="V69" i="2"/>
  <c r="X69" i="2"/>
  <c r="P69" i="2"/>
  <c r="O69" i="2"/>
  <c r="W69" i="2"/>
  <c r="N69" i="2"/>
  <c r="T69" i="2"/>
  <c r="S69" i="2"/>
  <c r="R69" i="2"/>
  <c r="K11" i="5"/>
  <c r="N28" i="2"/>
  <c r="G30" i="2"/>
  <c r="G31" i="2"/>
  <c r="F31" i="2"/>
  <c r="E30" i="2"/>
  <c r="E31" i="2"/>
  <c r="D30" i="2"/>
  <c r="D31"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V28" i="2"/>
  <c r="R28" i="2"/>
  <c r="U28" i="2"/>
  <c r="Y28" i="2"/>
  <c r="X28" i="2"/>
  <c r="W28" i="2"/>
  <c r="T28" i="2"/>
  <c r="S28" i="2"/>
  <c r="C27" i="2"/>
  <c r="F27" i="2"/>
  <c r="F30" i="2"/>
  <c r="D27" i="2"/>
  <c r="G27" i="2"/>
  <c r="G29" i="2"/>
  <c r="G66" i="2"/>
  <c r="G52" i="2"/>
  <c r="E29" i="2"/>
  <c r="D29" i="2"/>
  <c r="D66" i="2"/>
  <c r="D68" i="2" s="1"/>
  <c r="D69" i="2" s="1"/>
  <c r="E66" i="2"/>
  <c r="F52" i="2"/>
  <c r="F59" i="2" s="1"/>
  <c r="C13" i="1" l="1"/>
  <c r="C16" i="1"/>
  <c r="C18" i="1" s="1"/>
  <c r="I35" i="2"/>
  <c r="G59" i="2"/>
  <c r="G68" i="2"/>
  <c r="G23" i="2"/>
  <c r="H35" i="2" s="1"/>
  <c r="E23" i="2"/>
  <c r="D23" i="2"/>
  <c r="C23" i="2"/>
  <c r="F23" i="2"/>
  <c r="M5" i="5"/>
  <c r="M6" i="5" s="1"/>
  <c r="M7" i="5" s="1"/>
  <c r="M8" i="5" s="1"/>
  <c r="M9" i="5" s="1"/>
  <c r="M10" i="5" s="1"/>
  <c r="M11" i="5" s="1"/>
  <c r="M12" i="5" s="1"/>
  <c r="M13" i="5" s="1"/>
  <c r="M14" i="5" s="1"/>
  <c r="M15" i="5" s="1"/>
  <c r="F66" i="2"/>
  <c r="F68" i="2" s="1"/>
  <c r="F69" i="2" s="1"/>
  <c r="E68" i="2"/>
  <c r="E69" i="2" s="1"/>
  <c r="C66" i="2"/>
  <c r="C68" i="2" s="1"/>
  <c r="C69" i="2" s="1"/>
  <c r="G69" i="2" l="1"/>
  <c r="C25" i="2"/>
  <c r="E25" i="2"/>
  <c r="D28" i="2"/>
  <c r="G35" i="2"/>
  <c r="G25" i="2"/>
  <c r="G28" i="2"/>
  <c r="C28" i="2" l="1"/>
  <c r="D35" i="2"/>
  <c r="E28" i="2"/>
  <c r="F35" i="2"/>
  <c r="F25" i="2"/>
  <c r="E35" i="2"/>
  <c r="D25" i="2"/>
  <c r="F28" i="2"/>
  <c r="C11" i="1" s="1"/>
  <c r="C12" i="1" l="1"/>
  <c r="C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sharedStrings.xml><?xml version="1.0" encoding="utf-8"?>
<sst xmlns="http://schemas.openxmlformats.org/spreadsheetml/2006/main" count="272" uniqueCount="252">
  <si>
    <t>Price</t>
  </si>
  <si>
    <t>Shares</t>
  </si>
  <si>
    <t>MC</t>
  </si>
  <si>
    <t>CASH</t>
  </si>
  <si>
    <t>DEBT</t>
  </si>
  <si>
    <t>EV</t>
  </si>
  <si>
    <t>Q222</t>
  </si>
  <si>
    <t>Q322</t>
  </si>
  <si>
    <t>Q422</t>
  </si>
  <si>
    <t>Q123</t>
  </si>
  <si>
    <t>Q221</t>
  </si>
  <si>
    <t>Q321</t>
  </si>
  <si>
    <t>Q421</t>
  </si>
  <si>
    <t>Q122</t>
  </si>
  <si>
    <t>FY21</t>
  </si>
  <si>
    <t>FY22</t>
  </si>
  <si>
    <t>FY23</t>
  </si>
  <si>
    <t>Revenue</t>
  </si>
  <si>
    <t>FY20</t>
  </si>
  <si>
    <t>EBITDA</t>
  </si>
  <si>
    <t>Income Tax</t>
  </si>
  <si>
    <t>Net Income</t>
  </si>
  <si>
    <t>EPS</t>
  </si>
  <si>
    <t>Operational Income</t>
  </si>
  <si>
    <t>Cash</t>
  </si>
  <si>
    <t>Other</t>
  </si>
  <si>
    <t>Goodwill</t>
  </si>
  <si>
    <t>Total Assets</t>
  </si>
  <si>
    <t>Total Liablities</t>
  </si>
  <si>
    <t>AP</t>
  </si>
  <si>
    <t>Gross Margin</t>
  </si>
  <si>
    <t>Net Margin</t>
  </si>
  <si>
    <t>Revenue y/y</t>
  </si>
  <si>
    <t>FY24</t>
  </si>
  <si>
    <t>Q121</t>
  </si>
  <si>
    <t>FY19</t>
  </si>
  <si>
    <t>Q223</t>
  </si>
  <si>
    <t>Net CASH</t>
  </si>
  <si>
    <t>Main</t>
  </si>
  <si>
    <t>Net Cash</t>
  </si>
  <si>
    <t>Q323</t>
  </si>
  <si>
    <t>Q423</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</si>
  <si>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</si>
  <si>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</si>
  <si>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</si>
  <si>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</si>
  <si>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</si>
  <si>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</si>
  <si>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</si>
  <si>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</si>
  <si>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</si>
  <si>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</si>
  <si>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</si>
  <si>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</si>
  <si>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</si>
  <si>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</si>
  <si>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</si>
  <si>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</si>
  <si>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</si>
  <si>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</si>
  <si>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</si>
  <si>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</si>
  <si>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</si>
  <si>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Q124</t>
  </si>
  <si>
    <t>EPS exp.</t>
  </si>
  <si>
    <t>Rev. Exp.</t>
  </si>
  <si>
    <t>Q224</t>
  </si>
  <si>
    <t>FY25</t>
  </si>
  <si>
    <t>PEG1</t>
  </si>
  <si>
    <t>PEG2</t>
  </si>
  <si>
    <t>EBIT</t>
  </si>
  <si>
    <t>EV/EBITDA</t>
  </si>
  <si>
    <t>Notes</t>
  </si>
  <si>
    <t>Prepaid Expense</t>
  </si>
  <si>
    <t>PP&amp;E</t>
  </si>
  <si>
    <t>Equity</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</si>
  <si>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</si>
  <si>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</si>
  <si>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</si>
  <si>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</si>
  <si>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</si>
  <si>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</si>
  <si>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</si>
  <si>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</si>
  <si>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</si>
  <si>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</si>
  <si>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</si>
  <si>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</si>
  <si>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</si>
  <si>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</si>
  <si>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</si>
  <si>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</si>
  <si>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</si>
  <si>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</si>
  <si>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</si>
  <si>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</si>
  <si>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</si>
  <si>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</si>
  <si>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</si>
  <si>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</si>
  <si>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</si>
  <si>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</si>
  <si>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</si>
  <si>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</si>
  <si>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</si>
  <si>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</si>
  <si>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</si>
  <si>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</si>
  <si>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</si>
  <si>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</si>
  <si>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</si>
  <si>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</si>
  <si>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</si>
  <si>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</si>
  <si>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</si>
  <si>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</si>
  <si>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</si>
  <si>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</si>
  <si>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</si>
  <si>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</si>
  <si>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</si>
  <si>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</si>
  <si>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</si>
  <si>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</si>
  <si>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</si>
  <si>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</si>
  <si>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</si>
  <si>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</si>
  <si>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G&amp;A / REV</t>
  </si>
  <si>
    <t>G&amp;A</t>
  </si>
  <si>
    <t>Net Income before Tax</t>
  </si>
  <si>
    <t>Mr. Vladimir Tenev</t>
  </si>
  <si>
    <t>Co-Founder, President, CEO &amp; Chairman of the Board</t>
  </si>
  <si>
    <t>Mr. Baiju Prafulkumar Bhatt</t>
  </si>
  <si>
    <t>Co-Founder &amp; Director</t>
  </si>
  <si>
    <t>Mr. Jason Warnick</t>
  </si>
  <si>
    <t>Chief Financial Officer</t>
  </si>
  <si>
    <t>Mr. Daniel M. Gallagher Jr.</t>
  </si>
  <si>
    <t>Chief Legal, Compliance &amp; Corporate Affairs Officer</t>
  </si>
  <si>
    <t>Mr. Steven M. Quirk</t>
  </si>
  <si>
    <t>Chief Brokerage Officer</t>
  </si>
  <si>
    <t>Irvin Sha</t>
  </si>
  <si>
    <t>Head of Investor Relations &amp; Capital Markets</t>
  </si>
  <si>
    <t>Ms. Mary Elizabeth Taylor</t>
  </si>
  <si>
    <t>VP &amp; Head of External Affairs</t>
  </si>
  <si>
    <t>Surabhi Gupta</t>
  </si>
  <si>
    <t>Head of Engineering</t>
  </si>
  <si>
    <t>Ms. Christina Y. Lai Esq.</t>
  </si>
  <si>
    <t>VP, Deputy General Counsel &amp; Secretary</t>
  </si>
  <si>
    <t>Mr. Chris Koegel</t>
  </si>
  <si>
    <t>Vice President of Investor Relations</t>
  </si>
  <si>
    <t>Vanguard Group Inc</t>
  </si>
  <si>
    <t>7.40%</t>
  </si>
  <si>
    <t>Galileo (ptc) Ltd</t>
  </si>
  <si>
    <t>7.25%</t>
  </si>
  <si>
    <t>Index Venture Associates VI Ltd</t>
  </si>
  <si>
    <t>6.71%</t>
  </si>
  <si>
    <t>Ribbit Management Company, LLC</t>
  </si>
  <si>
    <t>5.83%</t>
  </si>
  <si>
    <t>Blackrock Inc.</t>
  </si>
  <si>
    <t>3.96%</t>
  </si>
  <si>
    <t>ARK Investment Management, LLC</t>
  </si>
  <si>
    <t>3.47%</t>
  </si>
  <si>
    <t>Sumitomo Mitsui Trust Holdings, Inc.</t>
  </si>
  <si>
    <t>3.46%</t>
  </si>
  <si>
    <t>Nikko Asset Management Americas, Inc.</t>
  </si>
  <si>
    <t>3.34%</t>
  </si>
  <si>
    <t>Newlands Management Operations LLC</t>
  </si>
  <si>
    <t>2.79%</t>
  </si>
  <si>
    <t>Thrive Capital Management, LLC</t>
  </si>
  <si>
    <t>2.70%</t>
  </si>
  <si>
    <t>FREI FRANCES X</t>
  </si>
  <si>
    <t>GALLAGHER DANIEL MARTIN JR</t>
  </si>
  <si>
    <t>MALKA MEYER</t>
  </si>
  <si>
    <t>QUIRK STEVEN M</t>
  </si>
  <si>
    <t>RUBINSTEIN JONATHAN J</t>
  </si>
  <si>
    <t>TENEV VLADIMIR</t>
  </si>
  <si>
    <t>TRESEDER OLUWADARA JOHNSOND</t>
  </si>
  <si>
    <t>WARNICK JASON</t>
  </si>
  <si>
    <t>ZOELLICK ROBERT B.</t>
  </si>
  <si>
    <t>Funded Customers</t>
  </si>
  <si>
    <t>Total AUC</t>
  </si>
  <si>
    <t>Net Deposits</t>
  </si>
  <si>
    <t>Trading</t>
  </si>
  <si>
    <t>Equity $B</t>
  </si>
  <si>
    <t>Options Contracts (M)</t>
  </si>
  <si>
    <t>Crypto $B</t>
  </si>
  <si>
    <t>Daily Average Revenue Trades (DARTs) (M)</t>
  </si>
  <si>
    <t>Options</t>
  </si>
  <si>
    <t>Crypto</t>
  </si>
  <si>
    <t>Customer Margin and Cash Sweep Balances $B</t>
  </si>
  <si>
    <t>Margin Book</t>
  </si>
  <si>
    <t>Gold Cash Sweep</t>
  </si>
  <si>
    <t>Non-Gold Cash Sweep</t>
  </si>
  <si>
    <t>Total Cash Sweep</t>
  </si>
  <si>
    <t>Total Securities Lending Revenue $M</t>
  </si>
  <si>
    <t>Assets under Custody AUC $B</t>
  </si>
  <si>
    <t>Cash segregated</t>
  </si>
  <si>
    <t>Receivables from brokers</t>
  </si>
  <si>
    <t>Receivables from users</t>
  </si>
  <si>
    <t>Securities Borrowed</t>
  </si>
  <si>
    <t>Deposits with clearing org</t>
  </si>
  <si>
    <t>Asset related to user crypto</t>
  </si>
  <si>
    <t>User-held fractional shares</t>
  </si>
  <si>
    <t>Held-to-maturity investments</t>
  </si>
  <si>
    <t>Other current</t>
  </si>
  <si>
    <t>Intangible Assets</t>
  </si>
  <si>
    <t>Non-current held to maturity</t>
  </si>
  <si>
    <t>Non-current prepraid expense</t>
  </si>
  <si>
    <t>Payables to users</t>
  </si>
  <si>
    <t>Securities loaned</t>
  </si>
  <si>
    <t>User crypto safeguarding</t>
  </si>
  <si>
    <t>Fractional shares</t>
  </si>
  <si>
    <t>Other non-current</t>
  </si>
  <si>
    <t>Net interest</t>
  </si>
  <si>
    <t>Brokerage and transaction</t>
  </si>
  <si>
    <t>Tech and dev</t>
  </si>
  <si>
    <t>Operations</t>
  </si>
  <si>
    <t>Marketing</t>
  </si>
  <si>
    <t>Operations / REV</t>
  </si>
  <si>
    <t>Marketing / REV</t>
  </si>
  <si>
    <t>Transaction y/y</t>
  </si>
  <si>
    <t>Interest y/y</t>
  </si>
  <si>
    <t>Change in fair value convert.</t>
  </si>
  <si>
    <t>Q324</t>
  </si>
  <si>
    <t>Q424</t>
  </si>
  <si>
    <t>MAUs</t>
  </si>
  <si>
    <t>EPS Growth</t>
  </si>
  <si>
    <t>Q125</t>
  </si>
  <si>
    <t>Q225</t>
  </si>
  <si>
    <t>Sell</t>
  </si>
  <si>
    <t>Underperform</t>
  </si>
  <si>
    <t>Hold</t>
  </si>
  <si>
    <t>Buy</t>
  </si>
  <si>
    <t>Strong buy</t>
  </si>
  <si>
    <t>Price Targets</t>
  </si>
  <si>
    <t>Goldman Sachs</t>
  </si>
  <si>
    <t>Wells Fargo</t>
  </si>
  <si>
    <t>TD Cowen</t>
  </si>
  <si>
    <t>HOOD</t>
  </si>
  <si>
    <t>Robinhood Markets, Inc. operates financial services platform in the United States. Its platform allows users to invest in stocks, exchange-traded funds (ETFs), American depository receipts, options, gold, and cryptocurrencies. The company offers fractional trading, recurring investments, fully-paid securities lending, access to investing on margin, cash sweep, instant withdrawals, retirement program, around-the-clock trading, and initial public offerings participation services. It also provides various learning and education solutions comprise Snacks, an accessible digest of business news stories for a new generation of investors.; Learn, which is an online collection of beginners' guides, feature tutorials, and financial dictionary; Newsfeeds that offer access to free, premium news from sites from various sites, such as Barron's, Reuters, and Dow Jones. In addition, the company offers In-App Education, a resource that covers investing fundamentals, including why people invest, a stock market overview, and tips on how to define investing goals, as well as allows customers to understand the basics of investing before their first trade; and Crypto Learn and Earn, an educational module available to various crypto customers through Robinhood Learn to teach customers the basics related to cryptocurrency. Further, it provides Robinhood credit cards, cash card and spending accounts, and wallets. Robinhood Markets, Inc. was incorporated in 2013 and is headquartered in Menlo Park, California.</t>
  </si>
  <si>
    <t>Shares (diluted)</t>
  </si>
  <si>
    <t>FY26</t>
  </si>
  <si>
    <t>Different Accounting Standard</t>
  </si>
  <si>
    <t>FASB</t>
  </si>
  <si>
    <t>Equities</t>
  </si>
  <si>
    <t>(SUM) Transaction-based</t>
  </si>
  <si>
    <t>Q325</t>
  </si>
  <si>
    <t>Q425</t>
  </si>
  <si>
    <t>Q126</t>
  </si>
  <si>
    <t>Q226</t>
  </si>
  <si>
    <t>Cash y/y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</si>
</sst>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
    <numFmt numFmtId="166" formatCode="0.0000"/>
    <numFmt numFmtId="167" formatCode="[$-407]mmm/\ 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10"/>
      <color rgb="FF232A31"/>
      <name val="Arial"/>
      <family val="2"/>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2">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
      <patternFill patternType="solid">
        <fgColor theme="0" tint="-0.14999847407452621"/>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10" fillId="8" borderId="9" applyNumberFormat="0" applyAlignment="0" applyProtection="0"/>
  </cellStyleXfs>
  <cellXfs count="165">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0" xfId="0" applyAlignment="1">
      <alignment horizontal="right"/>
    </xf>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2" fontId="2" fillId="0" borderId="2" xfId="0" applyNumberFormat="1" applyFont="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3" fontId="5" fillId="6" borderId="0" xfId="0" applyNumberFormat="1" applyFont="1" applyFill="1"/>
    <xf numFmtId="3" fontId="6" fillId="0" borderId="0" xfId="0" applyNumberFormat="1" applyFont="1"/>
    <xf numFmtId="0" fontId="6" fillId="6" borderId="0" xfId="0" applyFont="1" applyFill="1"/>
    <xf numFmtId="2" fontId="5" fillId="0" borderId="0" xfId="0" applyNumberFormat="1" applyFont="1"/>
    <xf numFmtId="2" fontId="0" fillId="0" borderId="2" xfId="0" applyNumberFormat="1" applyBorder="1"/>
    <xf numFmtId="10" fontId="2" fillId="0" borderId="0" xfId="1" applyNumberFormat="1" applyFont="1"/>
    <xf numFmtId="0" fontId="6" fillId="3" borderId="0" xfId="0" applyFont="1" applyFill="1"/>
    <xf numFmtId="9" fontId="5" fillId="0" borderId="0" xfId="1" applyFont="1" applyBorder="1"/>
    <xf numFmtId="3" fontId="6" fillId="6" borderId="0" xfId="0" applyNumberFormat="1" applyFont="1" applyFill="1"/>
    <xf numFmtId="0" fontId="7" fillId="0" borderId="0" xfId="0" applyFont="1" applyAlignment="1">
      <alignment horizontal="left" vertical="center" wrapText="1"/>
    </xf>
    <xf numFmtId="0" fontId="7" fillId="0" borderId="0" xfId="0" applyFont="1" applyAlignment="1">
      <alignment horizontal="right" vertical="center" wrapText="1"/>
    </xf>
    <xf numFmtId="0" fontId="0" fillId="3" borderId="7" xfId="0" applyFill="1" applyBorder="1" applyAlignment="1">
      <alignment horizontal="right"/>
    </xf>
    <xf numFmtId="0" fontId="12" fillId="10" borderId="13" xfId="0" applyFont="1" applyFill="1" applyBorder="1"/>
    <xf numFmtId="0" fontId="12" fillId="10" borderId="14" xfId="0" applyFont="1" applyFill="1" applyBorder="1"/>
    <xf numFmtId="0" fontId="12" fillId="10" borderId="15" xfId="0" applyFont="1" applyFill="1" applyBorder="1"/>
    <xf numFmtId="0" fontId="12" fillId="10" borderId="16" xfId="0" applyFont="1" applyFill="1" applyBorder="1"/>
    <xf numFmtId="0" fontId="13" fillId="10" borderId="17" xfId="0" applyFont="1" applyFill="1" applyBorder="1" applyAlignment="1">
      <alignment horizontal="center"/>
    </xf>
    <xf numFmtId="0" fontId="13" fillId="10" borderId="18" xfId="0" applyFont="1" applyFill="1" applyBorder="1" applyAlignment="1">
      <alignment horizontal="center"/>
    </xf>
    <xf numFmtId="0" fontId="12" fillId="10" borderId="19" xfId="0" applyFont="1" applyFill="1" applyBorder="1"/>
    <xf numFmtId="0" fontId="12" fillId="10" borderId="20" xfId="0" applyFont="1" applyFill="1" applyBorder="1"/>
    <xf numFmtId="166" fontId="12" fillId="10" borderId="21" xfId="0" applyNumberFormat="1" applyFont="1" applyFill="1" applyBorder="1"/>
    <xf numFmtId="166" fontId="12" fillId="10" borderId="22" xfId="0" applyNumberFormat="1" applyFont="1" applyFill="1" applyBorder="1"/>
    <xf numFmtId="0" fontId="12" fillId="10" borderId="22" xfId="0" applyFont="1" applyFill="1" applyBorder="1"/>
    <xf numFmtId="10" fontId="12" fillId="10" borderId="22" xfId="0" applyNumberFormat="1" applyFont="1" applyFill="1" applyBorder="1"/>
    <xf numFmtId="10" fontId="12" fillId="10" borderId="23" xfId="0" applyNumberFormat="1" applyFont="1" applyFill="1" applyBorder="1"/>
    <xf numFmtId="166" fontId="12" fillId="10" borderId="24" xfId="0" applyNumberFormat="1" applyFont="1" applyFill="1" applyBorder="1"/>
    <xf numFmtId="166" fontId="12" fillId="10" borderId="25" xfId="0" applyNumberFormat="1" applyFont="1" applyFill="1" applyBorder="1"/>
    <xf numFmtId="0" fontId="12" fillId="10" borderId="25" xfId="0" applyFont="1" applyFill="1" applyBorder="1"/>
    <xf numFmtId="0" fontId="12" fillId="10" borderId="25" xfId="0" quotePrefix="1" applyFont="1" applyFill="1" applyBorder="1"/>
    <xf numFmtId="10" fontId="12" fillId="10" borderId="25" xfId="0" applyNumberFormat="1" applyFont="1" applyFill="1" applyBorder="1"/>
    <xf numFmtId="10" fontId="12" fillId="10" borderId="26" xfId="0" applyNumberFormat="1" applyFont="1" applyFill="1" applyBorder="1"/>
    <xf numFmtId="0" fontId="12" fillId="10" borderId="27" xfId="0" applyFont="1" applyFill="1" applyBorder="1"/>
    <xf numFmtId="0" fontId="12" fillId="10" borderId="28" xfId="0" applyFont="1" applyFill="1" applyBorder="1"/>
    <xf numFmtId="10" fontId="12" fillId="10" borderId="29" xfId="0" applyNumberFormat="1" applyFont="1" applyFill="1" applyBorder="1"/>
    <xf numFmtId="166" fontId="12" fillId="10" borderId="30" xfId="0" applyNumberFormat="1" applyFont="1" applyFill="1" applyBorder="1"/>
    <xf numFmtId="0" fontId="12" fillId="10" borderId="31" xfId="0" applyFont="1" applyFill="1" applyBorder="1"/>
    <xf numFmtId="166" fontId="12" fillId="10" borderId="34" xfId="0" applyNumberFormat="1" applyFont="1" applyFill="1" applyBorder="1"/>
    <xf numFmtId="166" fontId="12" fillId="10" borderId="13" xfId="0" applyNumberFormat="1" applyFont="1" applyFill="1" applyBorder="1"/>
    <xf numFmtId="0" fontId="0" fillId="10" borderId="35" xfId="0" applyFill="1" applyBorder="1"/>
    <xf numFmtId="166" fontId="12" fillId="10" borderId="36" xfId="0" applyNumberFormat="1" applyFont="1" applyFill="1" applyBorder="1"/>
    <xf numFmtId="166" fontId="12" fillId="10" borderId="37" xfId="0" applyNumberFormat="1" applyFont="1" applyFill="1" applyBorder="1"/>
    <xf numFmtId="0" fontId="14" fillId="10" borderId="22" xfId="0" applyFont="1" applyFill="1" applyBorder="1"/>
    <xf numFmtId="0" fontId="14" fillId="10" borderId="23" xfId="0" applyFont="1" applyFill="1" applyBorder="1"/>
    <xf numFmtId="166" fontId="14" fillId="10" borderId="24" xfId="0" applyNumberFormat="1" applyFont="1" applyFill="1" applyBorder="1"/>
    <xf numFmtId="166" fontId="14" fillId="10" borderId="30" xfId="0" applyNumberFormat="1" applyFont="1" applyFill="1" applyBorder="1"/>
    <xf numFmtId="10" fontId="12" fillId="10" borderId="28" xfId="0" applyNumberFormat="1" applyFont="1" applyFill="1" applyBorder="1"/>
    <xf numFmtId="0" fontId="12" fillId="10" borderId="0" xfId="0" applyFont="1" applyFill="1"/>
    <xf numFmtId="1" fontId="12" fillId="10" borderId="24" xfId="0" applyNumberFormat="1" applyFont="1" applyFill="1" applyBorder="1"/>
    <xf numFmtId="10" fontId="12" fillId="10" borderId="38" xfId="0" applyNumberFormat="1" applyFont="1" applyFill="1" applyBorder="1"/>
    <xf numFmtId="9" fontId="14" fillId="10" borderId="39" xfId="0" applyNumberFormat="1" applyFont="1" applyFill="1" applyBorder="1"/>
    <xf numFmtId="10" fontId="0" fillId="10" borderId="41" xfId="0" applyNumberFormat="1" applyFill="1" applyBorder="1" applyAlignment="1">
      <alignment horizontal="centerContinuous"/>
    </xf>
    <xf numFmtId="9" fontId="14" fillId="10" borderId="42" xfId="0" applyNumberFormat="1" applyFont="1" applyFill="1" applyBorder="1"/>
    <xf numFmtId="10" fontId="0" fillId="10" borderId="40" xfId="0" applyNumberFormat="1" applyFill="1" applyBorder="1" applyAlignment="1">
      <alignment horizontal="centerContinuous"/>
    </xf>
    <xf numFmtId="9" fontId="14" fillId="10" borderId="34" xfId="0" applyNumberFormat="1" applyFont="1" applyFill="1" applyBorder="1"/>
    <xf numFmtId="10" fontId="0" fillId="10" borderId="2" xfId="0" applyNumberFormat="1" applyFill="1" applyBorder="1" applyAlignment="1">
      <alignment horizontal="centerContinuous"/>
    </xf>
    <xf numFmtId="9" fontId="14" fillId="10" borderId="1" xfId="0" applyNumberFormat="1" applyFont="1" applyFill="1" applyBorder="1"/>
    <xf numFmtId="10" fontId="0" fillId="10" borderId="31" xfId="0" applyNumberFormat="1" applyFill="1" applyBorder="1" applyAlignment="1">
      <alignment horizontal="centerContinuous"/>
    </xf>
    <xf numFmtId="9" fontId="14" fillId="10" borderId="13" xfId="0" applyNumberFormat="1" applyFont="1" applyFill="1" applyBorder="1"/>
    <xf numFmtId="10" fontId="0" fillId="10" borderId="35" xfId="0" applyNumberFormat="1" applyFill="1" applyBorder="1" applyAlignment="1">
      <alignment horizontal="centerContinuous"/>
    </xf>
    <xf numFmtId="0" fontId="12" fillId="10" borderId="43" xfId="0" applyFont="1" applyFill="1" applyBorder="1"/>
    <xf numFmtId="9" fontId="14" fillId="10" borderId="43" xfId="0" applyNumberFormat="1" applyFont="1" applyFill="1" applyBorder="1"/>
    <xf numFmtId="10" fontId="0" fillId="10" borderId="15" xfId="0" applyNumberFormat="1" applyFill="1" applyBorder="1" applyAlignment="1">
      <alignment horizontal="centerContinuous"/>
    </xf>
    <xf numFmtId="0" fontId="14" fillId="0" borderId="21" xfId="0" applyFont="1" applyBorder="1"/>
    <xf numFmtId="9" fontId="10" fillId="8" borderId="23" xfId="3" applyNumberFormat="1" applyBorder="1"/>
    <xf numFmtId="0" fontId="14" fillId="0" borderId="27" xfId="0" applyFont="1" applyBorder="1"/>
    <xf numFmtId="9" fontId="10" fillId="8" borderId="29" xfId="3" applyNumberFormat="1" applyBorder="1"/>
    <xf numFmtId="0" fontId="12" fillId="0" borderId="0" xfId="0" applyFont="1"/>
    <xf numFmtId="2" fontId="10" fillId="8" borderId="23" xfId="3" applyNumberFormat="1" applyBorder="1"/>
    <xf numFmtId="0" fontId="14"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165" fontId="12" fillId="10" borderId="31" xfId="0" applyNumberFormat="1" applyFont="1" applyFill="1" applyBorder="1"/>
    <xf numFmtId="2" fontId="12" fillId="10" borderId="31" xfId="0" applyNumberFormat="1" applyFont="1" applyFill="1" applyBorder="1"/>
    <xf numFmtId="10" fontId="0" fillId="0" borderId="0" xfId="1" applyNumberFormat="1" applyFont="1"/>
    <xf numFmtId="2" fontId="2" fillId="0" borderId="0" xfId="0" applyNumberFormat="1" applyFont="1" applyAlignment="1">
      <alignment horizontal="right"/>
    </xf>
    <xf numFmtId="167" fontId="0" fillId="0" borderId="0" xfId="0" applyNumberFormat="1"/>
    <xf numFmtId="3" fontId="0" fillId="3" borderId="0" xfId="0" applyNumberFormat="1" applyFill="1"/>
    <xf numFmtId="2" fontId="2" fillId="3" borderId="0" xfId="0" applyNumberFormat="1" applyFont="1" applyFill="1" applyAlignment="1">
      <alignment horizontal="right"/>
    </xf>
    <xf numFmtId="10" fontId="2" fillId="0" borderId="0" xfId="1" applyNumberFormat="1" applyFont="1" applyBorder="1"/>
    <xf numFmtId="3" fontId="5" fillId="3" borderId="0" xfId="0" applyNumberFormat="1" applyFont="1" applyFill="1"/>
    <xf numFmtId="3" fontId="6" fillId="0" borderId="2" xfId="0" applyNumberFormat="1" applyFont="1" applyBorder="1"/>
    <xf numFmtId="3" fontId="5" fillId="6" borderId="2" xfId="0" applyNumberFormat="1" applyFont="1" applyFill="1" applyBorder="1"/>
    <xf numFmtId="3" fontId="5" fillId="0" borderId="2" xfId="0" applyNumberFormat="1" applyFont="1" applyBorder="1"/>
    <xf numFmtId="2" fontId="6" fillId="6" borderId="2" xfId="0" applyNumberFormat="1" applyFont="1" applyFill="1" applyBorder="1"/>
    <xf numFmtId="9" fontId="5" fillId="0" borderId="2" xfId="1" applyFont="1" applyBorder="1"/>
    <xf numFmtId="3" fontId="2" fillId="11" borderId="0" xfId="0" applyNumberFormat="1" applyFont="1" applyFill="1"/>
    <xf numFmtId="3" fontId="0" fillId="11" borderId="0" xfId="0" applyNumberFormat="1" applyFill="1"/>
    <xf numFmtId="0" fontId="0" fillId="11" borderId="0" xfId="0" applyFill="1"/>
    <xf numFmtId="10" fontId="2" fillId="11" borderId="0" xfId="1" applyNumberFormat="1" applyFont="1" applyFill="1" applyBorder="1"/>
    <xf numFmtId="0" fontId="0" fillId="7" borderId="3" xfId="0" applyFill="1" applyBorder="1" applyAlignment="1">
      <alignment horizontal="center" vertical="center" wrapText="1"/>
    </xf>
    <xf numFmtId="0" fontId="0" fillId="7" borderId="7" xfId="0" applyFill="1" applyBorder="1" applyAlignment="1">
      <alignment horizontal="center" vertical="center"/>
    </xf>
    <xf numFmtId="0" fontId="0" fillId="7" borderId="4" xfId="0" applyFill="1" applyBorder="1" applyAlignment="1">
      <alignment horizontal="center" vertical="center"/>
    </xf>
    <xf numFmtId="0" fontId="0" fillId="7" borderId="1" xfId="0" applyFill="1" applyBorder="1" applyAlignment="1">
      <alignment horizontal="center" vertical="center"/>
    </xf>
    <xf numFmtId="0" fontId="0" fillId="7" borderId="0" xfId="0" applyFill="1" applyAlignment="1">
      <alignment horizontal="center" vertical="center"/>
    </xf>
    <xf numFmtId="0" fontId="0" fillId="7" borderId="2" xfId="0" applyFill="1" applyBorder="1" applyAlignment="1">
      <alignment horizontal="center" vertical="center"/>
    </xf>
    <xf numFmtId="0" fontId="0" fillId="7" borderId="5" xfId="0" applyFill="1" applyBorder="1" applyAlignment="1">
      <alignment horizontal="center" vertical="center"/>
    </xf>
    <xf numFmtId="0" fontId="0" fillId="7" borderId="8" xfId="0" applyFill="1" applyBorder="1" applyAlignment="1">
      <alignment horizontal="center" vertical="center"/>
    </xf>
    <xf numFmtId="0" fontId="0" fillId="7" borderId="6" xfId="0" applyFill="1" applyBorder="1" applyAlignment="1">
      <alignment horizontal="center" vertical="center"/>
    </xf>
    <xf numFmtId="0" fontId="0" fillId="0" borderId="0" xfId="0" applyAlignment="1">
      <alignment horizontal="center" wrapText="1"/>
    </xf>
    <xf numFmtId="0" fontId="11" fillId="9" borderId="10" xfId="0" applyFont="1" applyFill="1" applyBorder="1" applyAlignment="1">
      <alignment horizontal="center"/>
    </xf>
    <xf numFmtId="0" fontId="11" fillId="9" borderId="11" xfId="0" applyFont="1" applyFill="1" applyBorder="1" applyAlignment="1">
      <alignment horizontal="center"/>
    </xf>
    <xf numFmtId="0" fontId="11" fillId="9" borderId="12" xfId="0" applyFont="1" applyFill="1" applyBorder="1" applyAlignment="1">
      <alignment horizontal="center"/>
    </xf>
    <xf numFmtId="166" fontId="12" fillId="10" borderId="32" xfId="0" applyNumberFormat="1" applyFont="1" applyFill="1" applyBorder="1" applyAlignment="1">
      <alignment horizontal="center"/>
    </xf>
    <xf numFmtId="166" fontId="12" fillId="10" borderId="44" xfId="0" applyNumberFormat="1" applyFont="1" applyFill="1" applyBorder="1" applyAlignment="1">
      <alignment horizontal="center"/>
    </xf>
    <xf numFmtId="166" fontId="12" fillId="10" borderId="33" xfId="0" applyNumberFormat="1" applyFont="1" applyFill="1" applyBorder="1" applyAlignment="1">
      <alignment horizontal="center"/>
    </xf>
    <xf numFmtId="166" fontId="12" fillId="10"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xf numFmtId="0" fontId="0" fillId="0" borderId="0" xfId="0" applyBorder="1"/>
    <xf numFmtId="3" fontId="5" fillId="0" borderId="0" xfId="0" applyNumberFormat="1" applyFont="1" applyBorder="1"/>
    <xf numFmtId="3" fontId="0" fillId="0" borderId="0" xfId="0" applyNumberFormat="1" applyBorder="1"/>
    <xf numFmtId="3" fontId="2" fillId="0" borderId="0" xfId="0" applyNumberFormat="1" applyFont="1" applyBorder="1"/>
    <xf numFmtId="2" fontId="2" fillId="0" borderId="0" xfId="0" applyNumberFormat="1" applyFont="1" applyBorder="1"/>
    <xf numFmtId="0" fontId="2" fillId="0" borderId="0" xfId="0" applyFont="1" applyBorder="1"/>
    <xf numFmtId="9" fontId="0" fillId="0" borderId="0" xfId="0" applyNumberFormat="1" applyBorder="1"/>
    <xf numFmtId="0" fontId="5" fillId="0" borderId="0" xfId="0" applyFont="1" applyBorder="1"/>
    <xf numFmtId="10" fontId="2" fillId="0" borderId="2" xfId="1" applyNumberFormat="1" applyFont="1" applyBorder="1"/>
    <xf numFmtId="3" fontId="0" fillId="0" borderId="0" xfId="0" applyNumberFormat="1" applyFill="1" applyBorder="1"/>
    <xf numFmtId="0" fontId="0" fillId="0" borderId="0" xfId="0" applyFill="1" applyBorder="1"/>
    <xf numFmtId="0" fontId="0" fillId="0" borderId="0" xfId="0" applyFont="1"/>
    <xf numFmtId="3" fontId="0" fillId="0" borderId="0" xfId="0" applyNumberFormat="1" applyFont="1" applyFill="1" applyBorder="1"/>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9B9B"/>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de-DE">
                <a:solidFill>
                  <a:schemeClr val="tx1"/>
                </a:solidFill>
              </a:rPr>
              <a:t>Analystenratings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de-DE"/>
        </a:p>
      </c:txPr>
    </c:title>
    <c:autoTitleDeleted val="0"/>
    <c:plotArea>
      <c:layout/>
      <c:barChart>
        <c:barDir val="col"/>
        <c:grouping val="stacked"/>
        <c:varyColors val="0"/>
        <c:ser>
          <c:idx val="0"/>
          <c:order val="0"/>
          <c:tx>
            <c:strRef>
              <c:f>Analysts!$A$2</c:f>
              <c:strCache>
                <c:ptCount val="1"/>
                <c:pt idx="0">
                  <c:v>Sell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Analysts!$B$2:$L$2</c:f>
              <c:numCache>
                <c:formatCode>General</c:formatCode>
                <c:ptCount val="11"/>
                <c:pt idx="6">
                  <c:v>1</c:v>
                </c:pt>
                <c:pt idx="7">
                  <c:v>1</c:v>
                </c:pt>
              </c:numCache>
            </c:numRef>
          </c:val>
          <c:extLst>
            <c:ext xmlns:c16="http://schemas.microsoft.com/office/drawing/2014/chart" uri="{C3380CC4-5D6E-409C-BE32-E72D297353CC}">
              <c16:uniqueId val="{00000000-2D02-428A-8F50-06D488EEC0F0}"/>
            </c:ext>
          </c:extLst>
        </c:ser>
        <c:ser>
          <c:idx val="1"/>
          <c:order val="1"/>
          <c:tx>
            <c:strRef>
              <c:f>Analysts!$A$3</c:f>
              <c:strCache>
                <c:ptCount val="1"/>
                <c:pt idx="0">
                  <c:v>Underperform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Analysts!$B$3:$L$3</c:f>
              <c:numCache>
                <c:formatCode>General</c:formatCode>
                <c:ptCount val="11"/>
              </c:numCache>
            </c:numRef>
          </c:val>
          <c:extLst>
            <c:ext xmlns:c16="http://schemas.microsoft.com/office/drawing/2014/chart" uri="{C3380CC4-5D6E-409C-BE32-E72D297353CC}">
              <c16:uniqueId val="{00000001-2D02-428A-8F50-06D488EEC0F0}"/>
            </c:ext>
          </c:extLst>
        </c:ser>
        <c:ser>
          <c:idx val="2"/>
          <c:order val="2"/>
          <c:tx>
            <c:strRef>
              <c:f>Analysts!$A$4</c:f>
              <c:strCache>
                <c:ptCount val="1"/>
                <c:pt idx="0">
                  <c:v>Hold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Analysts!$B$4:$L$4</c:f>
              <c:numCache>
                <c:formatCode>General</c:formatCode>
                <c:ptCount val="11"/>
                <c:pt idx="6">
                  <c:v>6</c:v>
                </c:pt>
                <c:pt idx="7">
                  <c:v>4</c:v>
                </c:pt>
                <c:pt idx="8">
                  <c:v>5</c:v>
                </c:pt>
                <c:pt idx="9">
                  <c:v>7</c:v>
                </c:pt>
              </c:numCache>
            </c:numRef>
          </c:val>
          <c:extLst>
            <c:ext xmlns:c16="http://schemas.microsoft.com/office/drawing/2014/chart" uri="{C3380CC4-5D6E-409C-BE32-E72D297353CC}">
              <c16:uniqueId val="{00000002-2D02-428A-8F50-06D488EEC0F0}"/>
            </c:ext>
          </c:extLst>
        </c:ser>
        <c:ser>
          <c:idx val="3"/>
          <c:order val="3"/>
          <c:tx>
            <c:strRef>
              <c:f>Analysts!$A$5</c:f>
              <c:strCache>
                <c:ptCount val="1"/>
                <c:pt idx="0">
                  <c:v>Buy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Analysts!$B$5:$L$5</c:f>
              <c:numCache>
                <c:formatCode>General</c:formatCode>
                <c:ptCount val="11"/>
                <c:pt idx="6">
                  <c:v>6</c:v>
                </c:pt>
                <c:pt idx="7">
                  <c:v>6</c:v>
                </c:pt>
                <c:pt idx="8">
                  <c:v>6</c:v>
                </c:pt>
                <c:pt idx="9">
                  <c:v>5</c:v>
                </c:pt>
              </c:numCache>
            </c:numRef>
          </c:val>
          <c:extLst>
            <c:ext xmlns:c16="http://schemas.microsoft.com/office/drawing/2014/chart" uri="{C3380CC4-5D6E-409C-BE32-E72D297353CC}">
              <c16:uniqueId val="{00000003-2D02-428A-8F50-06D488EEC0F0}"/>
            </c:ext>
          </c:extLst>
        </c:ser>
        <c:ser>
          <c:idx val="4"/>
          <c:order val="4"/>
          <c:tx>
            <c:strRef>
              <c:f>Analysts!$A$6</c:f>
              <c:strCache>
                <c:ptCount val="1"/>
                <c:pt idx="0">
                  <c:v>Strong buy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Analysts!$B$6:$L$6</c:f>
              <c:numCache>
                <c:formatCode>General</c:formatCode>
                <c:ptCount val="11"/>
                <c:pt idx="6">
                  <c:v>4</c:v>
                </c:pt>
                <c:pt idx="7">
                  <c:v>6</c:v>
                </c:pt>
                <c:pt idx="8">
                  <c:v>6</c:v>
                </c:pt>
                <c:pt idx="9">
                  <c:v>6</c:v>
                </c:pt>
              </c:numCache>
            </c:numRef>
          </c:val>
          <c:extLst>
            <c:ext xmlns:c16="http://schemas.microsoft.com/office/drawing/2014/chart" uri="{C3380CC4-5D6E-409C-BE32-E72D297353CC}">
              <c16:uniqueId val="{00000004-2D02-428A-8F50-06D488EEC0F0}"/>
            </c:ext>
          </c:extLst>
        </c:ser>
        <c:dLbls>
          <c:dLblPos val="ctr"/>
          <c:showLegendKey val="0"/>
          <c:showVal val="1"/>
          <c:showCatName val="0"/>
          <c:showSerName val="0"/>
          <c:showPercent val="0"/>
          <c:showBubbleSize val="0"/>
        </c:dLbls>
        <c:gapWidth val="150"/>
        <c:overlap val="100"/>
        <c:axId val="562824575"/>
        <c:axId val="562812095"/>
      </c:barChart>
      <c:dateAx>
        <c:axId val="562824575"/>
        <c:scaling>
          <c:orientation val="minMax"/>
        </c:scaling>
        <c:delete val="0"/>
        <c:axPos val="b"/>
        <c:numFmt formatCode="[$-407]mmm/\ 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de-DE"/>
          </a:p>
        </c:txPr>
        <c:crossAx val="562812095"/>
        <c:crosses val="autoZero"/>
        <c:auto val="1"/>
        <c:lblOffset val="100"/>
        <c:baseTimeUnit val="months"/>
      </c:dateAx>
      <c:valAx>
        <c:axId val="56281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56282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de-DE" b="1">
                <a:solidFill>
                  <a:schemeClr val="bg1"/>
                </a:solidFill>
              </a:rPr>
              <a:t>Price Targets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de-DE"/>
        </a:p>
      </c:txPr>
    </c:title>
    <c:autoTitleDeleted val="0"/>
    <c:plotArea>
      <c:layout/>
      <c:lineChart>
        <c:grouping val="standard"/>
        <c:varyColors val="0"/>
        <c:ser>
          <c:idx val="0"/>
          <c:order val="0"/>
          <c:tx>
            <c:strRef>
              <c:f>Analysts!$A$10</c:f>
              <c:strCache>
                <c:ptCount val="1"/>
                <c:pt idx="0">
                  <c:v>Goldman Sachs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Analysts!$B$10:$L$10</c:f>
              <c:numCache>
                <c:formatCode>General</c:formatCode>
                <c:ptCount val="11"/>
              </c:numCache>
            </c:numRef>
          </c:val>
          <c:smooth val="0"/>
          <c:extLst>
            <c:ext xmlns:c16="http://schemas.microsoft.com/office/drawing/2014/chart" uri="{C3380CC4-5D6E-409C-BE32-E72D297353CC}">
              <c16:uniqueId val="{00000000-9794-4408-B8F2-1850B74C8195}"/>
            </c:ext>
          </c:extLst>
        </c:ser>
        <c:ser>
          <c:idx val="1"/>
          <c:order val="1"/>
          <c:tx>
            <c:strRef>
              <c:f>Analysts!$A$11</c:f>
              <c:strCache>
                <c:ptCount val="1"/>
                <c:pt idx="0">
                  <c:v>Wells Fargo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Analysts!$B$11:$L$11</c:f>
              <c:numCache>
                <c:formatCode>General</c:formatCode>
                <c:ptCount val="11"/>
              </c:numCache>
            </c:numRef>
          </c:val>
          <c:smooth val="0"/>
          <c:extLst>
            <c:ext xmlns:c16="http://schemas.microsoft.com/office/drawing/2014/chart" uri="{C3380CC4-5D6E-409C-BE32-E72D297353CC}">
              <c16:uniqueId val="{00000001-9794-4408-B8F2-1850B74C8195}"/>
            </c:ext>
          </c:extLst>
        </c:ser>
        <c:ser>
          <c:idx val="2"/>
          <c:order val="2"/>
          <c:tx>
            <c:strRef>
              <c:f>Analysts!$A$12</c:f>
              <c:strCache>
                <c:ptCount val="1"/>
                <c:pt idx="0">
                  <c:v>TD Cowen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Analysts!$B$12:$L$12</c:f>
              <c:numCache>
                <c:formatCode>General</c:formatCode>
                <c:ptCount val="11"/>
              </c:numCache>
            </c:numRef>
          </c:val>
          <c:smooth val="0"/>
          <c:extLst>
            <c:ext xmlns:c16="http://schemas.microsoft.com/office/drawing/2014/chart" uri="{C3380CC4-5D6E-409C-BE32-E72D297353CC}">
              <c16:uniqueId val="{00000002-9794-4408-B8F2-1850B74C8195}"/>
            </c:ext>
          </c:extLst>
        </c:ser>
        <c:dLbls>
          <c:showLegendKey val="0"/>
          <c:showVal val="0"/>
          <c:showCatName val="0"/>
          <c:showSerName val="0"/>
          <c:showPercent val="0"/>
          <c:showBubbleSize val="0"/>
        </c:dLbls>
        <c:marker val="1"/>
        <c:smooth val="0"/>
        <c:axId val="616931375"/>
        <c:axId val="616948175"/>
      </c:lineChart>
      <c:dateAx>
        <c:axId val="616931375"/>
        <c:scaling>
          <c:orientation val="minMax"/>
        </c:scaling>
        <c:delete val="0"/>
        <c:axPos val="b"/>
        <c:numFmt formatCode="[$-407]mmm/\ 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de-DE"/>
          </a:p>
        </c:txPr>
        <c:crossAx val="616948175"/>
        <c:crosses val="autoZero"/>
        <c:auto val="1"/>
        <c:lblOffset val="100"/>
        <c:baseTimeUnit val="months"/>
      </c:dateAx>
      <c:valAx>
        <c:axId val="616948175"/>
        <c:scaling>
          <c:orientation val="minMax"/>
        </c:scaling>
        <c:delete val="0"/>
        <c:axPos val="l"/>
        <c:majorGridlines>
          <c:spPr>
            <a:ln w="9525" cap="flat" cmpd="sng" algn="ctr">
              <a:solidFill>
                <a:schemeClr val="bg1">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crossAx val="61693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Model!$B$10</c:f>
              <c:strCache>
                <c:ptCount val="1"/>
                <c:pt idx="0">
                  <c:v>Revenue</c:v>
                </c:pt>
              </c:strCache>
            </c:strRef>
          </c:tx>
          <c:spPr>
            <a:solidFill>
              <a:schemeClr val="accent2"/>
            </a:solidFill>
            <a:ln>
              <a:noFill/>
            </a:ln>
            <a:effectLst/>
          </c:spPr>
          <c:invertIfNegative val="0"/>
          <c:dPt>
            <c:idx val="11"/>
            <c:invertIfNegative val="0"/>
            <c:bubble3D val="0"/>
            <c:spPr>
              <a:solidFill>
                <a:schemeClr val="accent2"/>
              </a:solidFill>
              <a:ln>
                <a:noFill/>
              </a:ln>
              <a:effectLst/>
            </c:spPr>
            <c:extLst>
              <c:ext xmlns:c16="http://schemas.microsoft.com/office/drawing/2014/chart" uri="{C3380CC4-5D6E-409C-BE32-E72D297353CC}">
                <c16:uniqueId val="{00000001-E309-400E-9279-09DE67BBD1C5}"/>
              </c:ext>
            </c:extLst>
          </c:dPt>
          <c:dPt>
            <c:idx val="12"/>
            <c:invertIfNegative val="0"/>
            <c:bubble3D val="0"/>
            <c:spPr>
              <a:solidFill>
                <a:schemeClr val="accent2"/>
              </a:solidFill>
              <a:ln>
                <a:noFill/>
              </a:ln>
              <a:effectLst/>
            </c:spPr>
            <c:extLst>
              <c:ext xmlns:c16="http://schemas.microsoft.com/office/drawing/2014/chart" uri="{C3380CC4-5D6E-409C-BE32-E72D297353CC}">
                <c16:uniqueId val="{00000003-E309-400E-9279-09DE67BBD1C5}"/>
              </c:ext>
            </c:extLst>
          </c:dPt>
          <c:dPt>
            <c:idx val="16"/>
            <c:invertIfNegative val="0"/>
            <c:bubble3D val="0"/>
            <c:spPr>
              <a:solidFill>
                <a:schemeClr val="bg2">
                  <a:lumMod val="90000"/>
                </a:schemeClr>
              </a:solidFill>
              <a:ln>
                <a:noFill/>
              </a:ln>
              <a:effectLst/>
            </c:spPr>
            <c:extLst>
              <c:ext xmlns:c16="http://schemas.microsoft.com/office/drawing/2014/chart" uri="{C3380CC4-5D6E-409C-BE32-E72D297353CC}">
                <c16:uniqueId val="{00000005-470A-40C1-A0E8-5A4428757219}"/>
              </c:ext>
            </c:extLst>
          </c:dPt>
          <c:dPt>
            <c:idx val="17"/>
            <c:invertIfNegative val="0"/>
            <c:bubble3D val="0"/>
            <c:spPr>
              <a:solidFill>
                <a:schemeClr val="bg2">
                  <a:lumMod val="90000"/>
                </a:schemeClr>
              </a:solidFill>
              <a:ln>
                <a:noFill/>
              </a:ln>
              <a:effectLst/>
            </c:spPr>
            <c:extLst>
              <c:ext xmlns:c16="http://schemas.microsoft.com/office/drawing/2014/chart" uri="{C3380CC4-5D6E-409C-BE32-E72D297353CC}">
                <c16:uniqueId val="{00000004-470A-40C1-A0E8-5A4428757219}"/>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Model!$N$2:$AE$2</c:f>
              <c:strCache>
                <c:ptCount val="18"/>
                <c:pt idx="0">
                  <c:v>Q121</c:v>
                </c:pt>
                <c:pt idx="1">
                  <c:v>Q221</c:v>
                </c:pt>
                <c:pt idx="2">
                  <c:v>Q321</c:v>
                </c:pt>
                <c:pt idx="3">
                  <c:v>Q421</c:v>
                </c:pt>
                <c:pt idx="4">
                  <c:v>Q122</c:v>
                </c:pt>
                <c:pt idx="5">
                  <c:v>Q222</c:v>
                </c:pt>
                <c:pt idx="6">
                  <c:v>Q322</c:v>
                </c:pt>
                <c:pt idx="7">
                  <c:v>Q422</c:v>
                </c:pt>
                <c:pt idx="8">
                  <c:v>Q123</c:v>
                </c:pt>
                <c:pt idx="9">
                  <c:v>Q223</c:v>
                </c:pt>
                <c:pt idx="10">
                  <c:v>Q323</c:v>
                </c:pt>
                <c:pt idx="11">
                  <c:v>Q423</c:v>
                </c:pt>
                <c:pt idx="12">
                  <c:v>Q124</c:v>
                </c:pt>
                <c:pt idx="13">
                  <c:v>Q224</c:v>
                </c:pt>
                <c:pt idx="14">
                  <c:v>Q324</c:v>
                </c:pt>
                <c:pt idx="15">
                  <c:v>Q424</c:v>
                </c:pt>
                <c:pt idx="16">
                  <c:v>Q125</c:v>
                </c:pt>
                <c:pt idx="17">
                  <c:v>Q225</c:v>
                </c:pt>
              </c:strCache>
            </c:strRef>
          </c:cat>
          <c:val>
            <c:numRef>
              <c:f>Model!$N$10:$AE$10</c:f>
              <c:numCache>
                <c:formatCode>#,##0</c:formatCode>
                <c:ptCount val="18"/>
                <c:pt idx="0">
                  <c:v>522</c:v>
                </c:pt>
                <c:pt idx="1">
                  <c:v>565</c:v>
                </c:pt>
                <c:pt idx="2">
                  <c:v>355</c:v>
                </c:pt>
                <c:pt idx="3">
                  <c:v>373</c:v>
                </c:pt>
                <c:pt idx="4">
                  <c:v>299</c:v>
                </c:pt>
                <c:pt idx="5">
                  <c:v>318</c:v>
                </c:pt>
                <c:pt idx="6">
                  <c:v>361</c:v>
                </c:pt>
                <c:pt idx="7">
                  <c:v>380</c:v>
                </c:pt>
                <c:pt idx="8">
                  <c:v>441</c:v>
                </c:pt>
                <c:pt idx="9">
                  <c:v>486</c:v>
                </c:pt>
                <c:pt idx="10">
                  <c:v>467</c:v>
                </c:pt>
                <c:pt idx="11">
                  <c:v>471</c:v>
                </c:pt>
                <c:pt idx="12">
                  <c:v>618</c:v>
                </c:pt>
                <c:pt idx="13">
                  <c:v>682</c:v>
                </c:pt>
                <c:pt idx="14">
                  <c:v>637</c:v>
                </c:pt>
                <c:pt idx="15">
                  <c:v>1014</c:v>
                </c:pt>
                <c:pt idx="16">
                  <c:v>927</c:v>
                </c:pt>
                <c:pt idx="17">
                  <c:v>989</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Model!$B$29</c:f>
              <c:strCache>
                <c:ptCount val="1"/>
                <c:pt idx="0">
                  <c:v>Revenue y/y</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Model!$N$29:$AE$29</c:f>
              <c:numCache>
                <c:formatCode>0%</c:formatCode>
                <c:ptCount val="18"/>
                <c:pt idx="4">
                  <c:v>-0.42720306513409967</c:v>
                </c:pt>
                <c:pt idx="5">
                  <c:v>-0.43716814159292039</c:v>
                </c:pt>
                <c:pt idx="6">
                  <c:v>1.6901408450704203E-2</c:v>
                </c:pt>
                <c:pt idx="7">
                  <c:v>1.8766756032171594E-2</c:v>
                </c:pt>
                <c:pt idx="8">
                  <c:v>0.47491638795986613</c:v>
                </c:pt>
                <c:pt idx="9">
                  <c:v>0.52830188679245293</c:v>
                </c:pt>
                <c:pt idx="10">
                  <c:v>0.29362880886426601</c:v>
                </c:pt>
                <c:pt idx="11">
                  <c:v>0.23947368421052628</c:v>
                </c:pt>
                <c:pt idx="12">
                  <c:v>0.40136054421768708</c:v>
                </c:pt>
                <c:pt idx="13">
                  <c:v>0.40329218106995879</c:v>
                </c:pt>
                <c:pt idx="14">
                  <c:v>0.3640256959314776</c:v>
                </c:pt>
                <c:pt idx="15">
                  <c:v>1.1528662420382165</c:v>
                </c:pt>
                <c:pt idx="16">
                  <c:v>0.5</c:v>
                </c:pt>
                <c:pt idx="17">
                  <c:v>0.45014662756598245</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Model!$B$10</c:f>
              <c:strCache>
                <c:ptCount val="1"/>
                <c:pt idx="0">
                  <c:v>Revenue</c:v>
                </c:pt>
              </c:strCache>
            </c:strRef>
          </c:tx>
          <c:spPr>
            <a:solidFill>
              <a:schemeClr val="accent2"/>
            </a:solidFill>
            <a:ln>
              <a:noFill/>
            </a:ln>
            <a:effectLst/>
          </c:spPr>
          <c:invertIfNegative val="0"/>
          <c:dPt>
            <c:idx val="4"/>
            <c:invertIfNegative val="0"/>
            <c:bubble3D val="0"/>
            <c:spPr>
              <a:solidFill>
                <a:schemeClr val="accent2"/>
              </a:solidFill>
              <a:ln>
                <a:noFill/>
              </a:ln>
              <a:effectLst/>
            </c:spPr>
            <c:extLst>
              <c:ext xmlns:c16="http://schemas.microsoft.com/office/drawing/2014/chart" uri="{C3380CC4-5D6E-409C-BE32-E72D297353CC}">
                <c16:uniqueId val="{00000001-21CC-452E-9D1B-EA54FE60E683}"/>
              </c:ext>
            </c:extLst>
          </c:dPt>
          <c:dPt>
            <c:idx val="5"/>
            <c:invertIfNegative val="0"/>
            <c:bubble3D val="0"/>
            <c:spPr>
              <a:solidFill>
                <a:schemeClr val="bg2">
                  <a:lumMod val="90000"/>
                </a:schemeClr>
              </a:solidFill>
              <a:ln>
                <a:noFill/>
              </a:ln>
              <a:effectLst/>
            </c:spPr>
            <c:extLst>
              <c:ext xmlns:c16="http://schemas.microsoft.com/office/drawing/2014/chart" uri="{C3380CC4-5D6E-409C-BE32-E72D297353CC}">
                <c16:uniqueId val="{00000001-8FA1-4450-8EE0-3FE2DAE0EFFF}"/>
              </c:ext>
            </c:extLst>
          </c:dPt>
          <c:dPt>
            <c:idx val="6"/>
            <c:invertIfNegative val="0"/>
            <c:bubble3D val="0"/>
            <c:spPr>
              <a:solidFill>
                <a:schemeClr val="bg2"/>
              </a:solidFill>
              <a:ln>
                <a:noFill/>
              </a:ln>
              <a:effectLst/>
            </c:spPr>
            <c:extLst>
              <c:ext xmlns:c16="http://schemas.microsoft.com/office/drawing/2014/chart" uri="{C3380CC4-5D6E-409C-BE32-E72D297353CC}">
                <c16:uniqueId val="{00000004-FBD5-4661-905D-F1F01CD0D039}"/>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Model!$C$2:$I$2</c:f>
              <c:strCache>
                <c:ptCount val="7"/>
                <c:pt idx="0">
                  <c:v>FY19</c:v>
                </c:pt>
                <c:pt idx="1">
                  <c:v>FY20</c:v>
                </c:pt>
                <c:pt idx="2">
                  <c:v>FY21</c:v>
                </c:pt>
                <c:pt idx="3">
                  <c:v>FY22</c:v>
                </c:pt>
                <c:pt idx="4">
                  <c:v>FY23</c:v>
                </c:pt>
                <c:pt idx="5">
                  <c:v>FY24</c:v>
                </c:pt>
                <c:pt idx="6">
                  <c:v>FY25</c:v>
                </c:pt>
              </c:strCache>
            </c:strRef>
          </c:cat>
          <c:val>
            <c:numRef>
              <c:f>Model!$C$10:$I$10</c:f>
              <c:numCache>
                <c:formatCode>#,##0</c:formatCode>
                <c:ptCount val="7"/>
                <c:pt idx="0">
                  <c:v>277.53299999999996</c:v>
                </c:pt>
                <c:pt idx="1">
                  <c:v>958.83300000000008</c:v>
                </c:pt>
                <c:pt idx="2">
                  <c:v>1815</c:v>
                </c:pt>
                <c:pt idx="3">
                  <c:v>1358</c:v>
                </c:pt>
                <c:pt idx="4">
                  <c:v>1865</c:v>
                </c:pt>
                <c:pt idx="5">
                  <c:v>2951</c:v>
                </c:pt>
                <c:pt idx="6">
                  <c:v>4470</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Model!$B$29</c:f>
              <c:strCache>
                <c:ptCount val="1"/>
                <c:pt idx="0">
                  <c:v>Revenue y/y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Model!$C$29:$I$29</c:f>
              <c:numCache>
                <c:formatCode>0%</c:formatCode>
                <c:ptCount val="7"/>
                <c:pt idx="1">
                  <c:v>2.4548432078347449</c:v>
                </c:pt>
                <c:pt idx="2">
                  <c:v>0.89292608827606035</c:v>
                </c:pt>
                <c:pt idx="3">
                  <c:v>-0.25179063360881537</c:v>
                </c:pt>
                <c:pt idx="4">
                  <c:v>0.37334315169366716</c:v>
                </c:pt>
                <c:pt idx="5">
                  <c:v>0.58230563002680968</c:v>
                </c:pt>
                <c:pt idx="6">
                  <c:v>0.5147407658420875</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Net Income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Model!$B$23</c:f>
              <c:strCache>
                <c:ptCount val="1"/>
                <c:pt idx="0">
                  <c:v>Net Income</c:v>
                </c:pt>
              </c:strCache>
            </c:strRef>
          </c:tx>
          <c:spPr>
            <a:solidFill>
              <a:schemeClr val="accent1"/>
            </a:solidFill>
            <a:ln>
              <a:noFill/>
            </a:ln>
            <a:effectLst/>
          </c:spPr>
          <c:invertIfNegative val="0"/>
          <c:dPt>
            <c:idx val="11"/>
            <c:invertIfNegative val="0"/>
            <c:bubble3D val="0"/>
            <c:spPr>
              <a:solidFill>
                <a:schemeClr val="accent2"/>
              </a:solidFill>
              <a:ln>
                <a:noFill/>
              </a:ln>
              <a:effectLst/>
            </c:spPr>
            <c:extLst>
              <c:ext xmlns:c16="http://schemas.microsoft.com/office/drawing/2014/chart" uri="{C3380CC4-5D6E-409C-BE32-E72D297353CC}">
                <c16:uniqueId val="{00000001-C0F4-4607-8C78-36F0EE07B767}"/>
              </c:ext>
            </c:extLst>
          </c:dPt>
          <c:dPt>
            <c:idx val="12"/>
            <c:invertIfNegative val="0"/>
            <c:bubble3D val="0"/>
            <c:spPr>
              <a:solidFill>
                <a:schemeClr val="bg2">
                  <a:lumMod val="90000"/>
                </a:schemeClr>
              </a:solidFill>
              <a:ln>
                <a:noFill/>
              </a:ln>
              <a:effectLst/>
            </c:spPr>
            <c:extLst>
              <c:ext xmlns:c16="http://schemas.microsoft.com/office/drawing/2014/chart" uri="{C3380CC4-5D6E-409C-BE32-E72D297353CC}">
                <c16:uniqueId val="{00000003-C0F4-4607-8C78-36F0EE07B767}"/>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Model!$N$2:$Z$2</c:f>
              <c:strCache>
                <c:ptCount val="13"/>
                <c:pt idx="0">
                  <c:v>Q121</c:v>
                </c:pt>
                <c:pt idx="1">
                  <c:v>Q221</c:v>
                </c:pt>
                <c:pt idx="2">
                  <c:v>Q321</c:v>
                </c:pt>
                <c:pt idx="3">
                  <c:v>Q421</c:v>
                </c:pt>
                <c:pt idx="4">
                  <c:v>Q122</c:v>
                </c:pt>
                <c:pt idx="5">
                  <c:v>Q222</c:v>
                </c:pt>
                <c:pt idx="6">
                  <c:v>Q322</c:v>
                </c:pt>
                <c:pt idx="7">
                  <c:v>Q422</c:v>
                </c:pt>
                <c:pt idx="8">
                  <c:v>Q123</c:v>
                </c:pt>
                <c:pt idx="9">
                  <c:v>Q223</c:v>
                </c:pt>
                <c:pt idx="10">
                  <c:v>Q323</c:v>
                </c:pt>
                <c:pt idx="11">
                  <c:v>Q423</c:v>
                </c:pt>
                <c:pt idx="12">
                  <c:v>Q124</c:v>
                </c:pt>
              </c:strCache>
            </c:strRef>
          </c:cat>
          <c:val>
            <c:numRef>
              <c:f>Model!$N$23:$Z$23</c:f>
              <c:numCache>
                <c:formatCode>#,##0</c:formatCode>
                <c:ptCount val="13"/>
                <c:pt idx="0">
                  <c:v>-1445</c:v>
                </c:pt>
                <c:pt idx="1">
                  <c:v>-502</c:v>
                </c:pt>
                <c:pt idx="2">
                  <c:v>-1327</c:v>
                </c:pt>
                <c:pt idx="3">
                  <c:v>-415</c:v>
                </c:pt>
                <c:pt idx="4">
                  <c:v>-392</c:v>
                </c:pt>
                <c:pt idx="5">
                  <c:v>-295</c:v>
                </c:pt>
                <c:pt idx="6">
                  <c:v>-175</c:v>
                </c:pt>
                <c:pt idx="7">
                  <c:v>-134</c:v>
                </c:pt>
                <c:pt idx="8">
                  <c:v>-511</c:v>
                </c:pt>
                <c:pt idx="9">
                  <c:v>25</c:v>
                </c:pt>
                <c:pt idx="10">
                  <c:v>-85</c:v>
                </c:pt>
                <c:pt idx="11">
                  <c:v>24</c:v>
                </c:pt>
                <c:pt idx="12">
                  <c:v>157</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Model!$B$27</c:f>
              <c:strCache>
                <c:ptCount val="1"/>
                <c:pt idx="0">
                  <c:v>Gross Margin</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Model!$N$27:$Z$27</c:f>
              <c:numCache>
                <c:formatCode>0%</c:formatCode>
                <c:ptCount val="13"/>
                <c:pt idx="0">
                  <c:v>0.69731800766283525</c:v>
                </c:pt>
                <c:pt idx="1">
                  <c:v>0.6566371681415929</c:v>
                </c:pt>
                <c:pt idx="3">
                  <c:v>0.15013404825737264</c:v>
                </c:pt>
                <c:pt idx="4">
                  <c:v>0</c:v>
                </c:pt>
                <c:pt idx="5">
                  <c:v>0.13522012578616349</c:v>
                </c:pt>
                <c:pt idx="6">
                  <c:v>0.39612188365650969</c:v>
                </c:pt>
                <c:pt idx="7">
                  <c:v>0.30263157894736847</c:v>
                </c:pt>
                <c:pt idx="8">
                  <c:v>0.46712018140589573</c:v>
                </c:pt>
                <c:pt idx="9">
                  <c:v>0.49382716049382713</c:v>
                </c:pt>
                <c:pt idx="10">
                  <c:v>0.48394004282655245</c:v>
                </c:pt>
                <c:pt idx="11">
                  <c:v>0.5138004246284501</c:v>
                </c:pt>
                <c:pt idx="12">
                  <c:v>0.62621359223300965</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Net Income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Model!$B$23</c:f>
              <c:strCache>
                <c:ptCount val="1"/>
                <c:pt idx="0">
                  <c:v>Net Income</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Model!$C$2:$I$2</c:f>
              <c:strCache>
                <c:ptCount val="7"/>
                <c:pt idx="0">
                  <c:v>FY19</c:v>
                </c:pt>
                <c:pt idx="1">
                  <c:v>FY20</c:v>
                </c:pt>
                <c:pt idx="2">
                  <c:v>FY21</c:v>
                </c:pt>
                <c:pt idx="3">
                  <c:v>FY22</c:v>
                </c:pt>
                <c:pt idx="4">
                  <c:v>FY23</c:v>
                </c:pt>
                <c:pt idx="5">
                  <c:v>FY24</c:v>
                </c:pt>
                <c:pt idx="6">
                  <c:v>FY25</c:v>
                </c:pt>
              </c:strCache>
            </c:strRef>
          </c:cat>
          <c:val>
            <c:numRef>
              <c:f>Model!$C$23:$I$23</c:f>
              <c:numCache>
                <c:formatCode>#,##0</c:formatCode>
                <c:ptCount val="7"/>
                <c:pt idx="0">
                  <c:v>-106.56900000000006</c:v>
                </c:pt>
                <c:pt idx="1">
                  <c:v>7.4490000000002006</c:v>
                </c:pt>
                <c:pt idx="2">
                  <c:v>403</c:v>
                </c:pt>
                <c:pt idx="3">
                  <c:v>-1028</c:v>
                </c:pt>
                <c:pt idx="4">
                  <c:v>-541</c:v>
                </c:pt>
                <c:pt idx="5">
                  <c:v>1411</c:v>
                </c:pt>
                <c:pt idx="6">
                  <c:v>1790.9099999999999</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Model!$B$35</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Model!$C$35:$I$35</c:f>
              <c:numCache>
                <c:formatCode>0%</c:formatCode>
                <c:ptCount val="7"/>
                <c:pt idx="1">
                  <c:v>1.0698983757002525</c:v>
                </c:pt>
                <c:pt idx="2">
                  <c:v>-53.101221640487196</c:v>
                </c:pt>
                <c:pt idx="3">
                  <c:v>-3.5508684863523574</c:v>
                </c:pt>
                <c:pt idx="4">
                  <c:v>-0.47373540856031127</c:v>
                </c:pt>
                <c:pt idx="5">
                  <c:v>-3.6081330868761552</c:v>
                </c:pt>
                <c:pt idx="6">
                  <c:v>0.29086089513819968</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Operations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Model!$N$2:$X$2</c:f>
              <c:strCache>
                <c:ptCount val="11"/>
                <c:pt idx="0">
                  <c:v>Q121</c:v>
                </c:pt>
                <c:pt idx="1">
                  <c:v>Q221</c:v>
                </c:pt>
                <c:pt idx="2">
                  <c:v>Q321</c:v>
                </c:pt>
                <c:pt idx="3">
                  <c:v>Q421</c:v>
                </c:pt>
                <c:pt idx="4">
                  <c:v>Q122</c:v>
                </c:pt>
                <c:pt idx="5">
                  <c:v>Q222</c:v>
                </c:pt>
                <c:pt idx="6">
                  <c:v>Q322</c:v>
                </c:pt>
                <c:pt idx="7">
                  <c:v>Q422</c:v>
                </c:pt>
                <c:pt idx="8">
                  <c:v>Q123</c:v>
                </c:pt>
                <c:pt idx="9">
                  <c:v>Q223</c:v>
                </c:pt>
                <c:pt idx="10">
                  <c:v>Q323</c:v>
                </c:pt>
              </c:strCache>
            </c:strRef>
          </c:cat>
          <c:val>
            <c:numRef>
              <c:f>Model!$N$30:$X$30</c:f>
              <c:numCache>
                <c:formatCode>0%</c:formatCode>
                <c:ptCount val="11"/>
                <c:pt idx="0">
                  <c:v>0.12835249042145594</c:v>
                </c:pt>
                <c:pt idx="1">
                  <c:v>0.17876106194690267</c:v>
                </c:pt>
                <c:pt idx="2">
                  <c:v>0.30422535211267604</c:v>
                </c:pt>
                <c:pt idx="3">
                  <c:v>0.24664879356568364</c:v>
                </c:pt>
                <c:pt idx="4">
                  <c:v>0.30434782608695654</c:v>
                </c:pt>
                <c:pt idx="5">
                  <c:v>0.27044025157232704</c:v>
                </c:pt>
                <c:pt idx="6">
                  <c:v>0.18005540166204986</c:v>
                </c:pt>
                <c:pt idx="7">
                  <c:v>0.11315789473684211</c:v>
                </c:pt>
                <c:pt idx="8">
                  <c:v>9.5238095238095233E-2</c:v>
                </c:pt>
                <c:pt idx="9">
                  <c:v>7.407407407407407E-2</c:v>
                </c:pt>
                <c:pt idx="10">
                  <c:v>8.7794432548179868E-2</c:v>
                </c:pt>
              </c:numCache>
            </c:numRef>
          </c:val>
          <c:smooth val="0"/>
          <c:extLst>
            <c:ext xmlns:c16="http://schemas.microsoft.com/office/drawing/2014/chart" uri="{C3380CC4-5D6E-409C-BE32-E72D297353CC}">
              <c16:uniqueId val="{00000001-35FE-4BEB-944F-3D772460C6A2}"/>
            </c:ext>
          </c:extLst>
        </c:ser>
        <c:ser>
          <c:idx val="0"/>
          <c:order val="1"/>
          <c:tx>
            <c:strRef>
              <c:f>Model!$B$31</c:f>
              <c:strCache>
                <c:ptCount val="1"/>
                <c:pt idx="0">
                  <c:v>Marketing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Model!$N$31:$Y$31</c:f>
              <c:numCache>
                <c:formatCode>0%</c:formatCode>
                <c:ptCount val="12"/>
                <c:pt idx="0">
                  <c:v>0.19540229885057472</c:v>
                </c:pt>
                <c:pt idx="1">
                  <c:v>0.1663716814159292</c:v>
                </c:pt>
                <c:pt idx="2">
                  <c:v>0.24507042253521127</c:v>
                </c:pt>
                <c:pt idx="3">
                  <c:v>0.1126005361930295</c:v>
                </c:pt>
                <c:pt idx="4">
                  <c:v>0.10702341137123746</c:v>
                </c:pt>
                <c:pt idx="5">
                  <c:v>7.2327044025157231E-2</c:v>
                </c:pt>
                <c:pt idx="6">
                  <c:v>5.2631578947368418E-2</c:v>
                </c:pt>
                <c:pt idx="7">
                  <c:v>7.6315789473684212E-2</c:v>
                </c:pt>
                <c:pt idx="8">
                  <c:v>5.8956916099773243E-2</c:v>
                </c:pt>
                <c:pt idx="9">
                  <c:v>5.1440329218106998E-2</c:v>
                </c:pt>
                <c:pt idx="10">
                  <c:v>5.9957173447537475E-2</c:v>
                </c:pt>
                <c:pt idx="11">
                  <c:v>9.1295116772823773E-2</c:v>
                </c:pt>
              </c:numCache>
            </c:numRef>
          </c:val>
          <c:smooth val="0"/>
          <c:extLst>
            <c:ext xmlns:c16="http://schemas.microsoft.com/office/drawing/2014/chart" uri="{C3380CC4-5D6E-409C-BE32-E72D297353CC}">
              <c16:uniqueId val="{00000000-1CAA-4791-8C2B-1B9112E1C867}"/>
            </c:ext>
          </c:extLst>
        </c:ser>
        <c:ser>
          <c:idx val="2"/>
          <c:order val="2"/>
          <c:tx>
            <c:strRef>
              <c:f>Model!$B$32</c:f>
              <c:strCache>
                <c:ptCount val="1"/>
                <c:pt idx="0">
                  <c:v>G&amp;A / REV</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Model!$N$32:$Y$32</c:f>
              <c:numCache>
                <c:formatCode>0%</c:formatCode>
                <c:ptCount val="12"/>
                <c:pt idx="0">
                  <c:v>0.26245210727969348</c:v>
                </c:pt>
                <c:pt idx="1">
                  <c:v>0.19823008849557522</c:v>
                </c:pt>
                <c:pt idx="3">
                  <c:v>0.89008042895442363</c:v>
                </c:pt>
                <c:pt idx="4">
                  <c:v>0.89632107023411367</c:v>
                </c:pt>
                <c:pt idx="5">
                  <c:v>0.71069182389937102</c:v>
                </c:pt>
                <c:pt idx="6">
                  <c:v>0.64542936288088648</c:v>
                </c:pt>
                <c:pt idx="7">
                  <c:v>0.51842105263157889</c:v>
                </c:pt>
                <c:pt idx="9">
                  <c:v>0.3271604938271605</c:v>
                </c:pt>
                <c:pt idx="10">
                  <c:v>0.49250535331905781</c:v>
                </c:pt>
                <c:pt idx="11">
                  <c:v>0.28237791932059447</c:v>
                </c:pt>
              </c:numCache>
            </c:numRef>
          </c:val>
          <c:smooth val="0"/>
          <c:extLst>
            <c:ext xmlns:c16="http://schemas.microsoft.com/office/drawing/2014/chart" uri="{C3380CC4-5D6E-409C-BE32-E72D297353CC}">
              <c16:uniqueId val="{00000001-1CAA-4791-8C2B-1B9112E1C867}"/>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Operations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FY19</c:v>
                </c:pt>
                <c:pt idx="1">
                  <c:v>FY20</c:v>
                </c:pt>
                <c:pt idx="2">
                  <c:v>FY21</c:v>
                </c:pt>
                <c:pt idx="3">
                  <c:v>FY22</c:v>
                </c:pt>
                <c:pt idx="4">
                  <c:v>FY23</c:v>
                </c:pt>
              </c:strCache>
            </c:strRef>
          </c:cat>
          <c:val>
            <c:numRef>
              <c:f>Model!$C$30:$G$30</c:f>
              <c:numCache>
                <c:formatCode>0%</c:formatCode>
                <c:ptCount val="5"/>
                <c:pt idx="0">
                  <c:v>0.12203593806862609</c:v>
                </c:pt>
                <c:pt idx="1">
                  <c:v>0.14382588000204413</c:v>
                </c:pt>
                <c:pt idx="2">
                  <c:v>0.20275482093663913</c:v>
                </c:pt>
                <c:pt idx="3">
                  <c:v>0.20986745213549338</c:v>
                </c:pt>
                <c:pt idx="4">
                  <c:v>8.5254691689008039E-2</c:v>
                </c:pt>
              </c:numCache>
            </c:numRef>
          </c:val>
          <c:smooth val="0"/>
          <c:extLst>
            <c:ext xmlns:c16="http://schemas.microsoft.com/office/drawing/2014/chart" uri="{C3380CC4-5D6E-409C-BE32-E72D297353CC}">
              <c16:uniqueId val="{00000000-E79C-46D7-BBD0-0EABFCB1E143}"/>
            </c:ext>
          </c:extLst>
        </c:ser>
        <c:ser>
          <c:idx val="0"/>
          <c:order val="1"/>
          <c:tx>
            <c:strRef>
              <c:f>Model!$B$31</c:f>
              <c:strCache>
                <c:ptCount val="1"/>
                <c:pt idx="0">
                  <c:v>Marketing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FY19</c:v>
                </c:pt>
                <c:pt idx="1">
                  <c:v>FY20</c:v>
                </c:pt>
                <c:pt idx="2">
                  <c:v>FY21</c:v>
                </c:pt>
                <c:pt idx="3">
                  <c:v>FY22</c:v>
                </c:pt>
                <c:pt idx="4">
                  <c:v>FY23</c:v>
                </c:pt>
              </c:strCache>
            </c:strRef>
          </c:cat>
          <c:val>
            <c:numRef>
              <c:f>Model!$C$31:$G$31</c:f>
              <c:numCache>
                <c:formatCode>0%</c:formatCode>
                <c:ptCount val="5"/>
                <c:pt idx="0">
                  <c:v>0.44931233402874621</c:v>
                </c:pt>
                <c:pt idx="1">
                  <c:v>0.19371569397382027</c:v>
                </c:pt>
                <c:pt idx="2">
                  <c:v>0.1790633608815427</c:v>
                </c:pt>
                <c:pt idx="3">
                  <c:v>7.5846833578792336E-2</c:v>
                </c:pt>
                <c:pt idx="4">
                  <c:v>6.5415549597855227E-2</c:v>
                </c:pt>
              </c:numCache>
            </c:numRef>
          </c:val>
          <c:smooth val="0"/>
          <c:extLst>
            <c:ext xmlns:c16="http://schemas.microsoft.com/office/drawing/2014/chart" uri="{C3380CC4-5D6E-409C-BE32-E72D297353CC}">
              <c16:uniqueId val="{00000001-E79C-46D7-BBD0-0EABFCB1E143}"/>
            </c:ext>
          </c:extLst>
        </c:ser>
        <c:ser>
          <c:idx val="2"/>
          <c:order val="2"/>
          <c:tx>
            <c:strRef>
              <c:f>Model!$B$32</c:f>
              <c:strCache>
                <c:ptCount val="1"/>
                <c:pt idx="0">
                  <c:v>G&amp;A / REV</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FY19</c:v>
                </c:pt>
                <c:pt idx="1">
                  <c:v>FY20</c:v>
                </c:pt>
                <c:pt idx="2">
                  <c:v>FY21</c:v>
                </c:pt>
                <c:pt idx="3">
                  <c:v>FY22</c:v>
                </c:pt>
                <c:pt idx="4">
                  <c:v>FY23</c:v>
                </c:pt>
              </c:strCache>
            </c:strRef>
          </c:cat>
          <c:val>
            <c:numRef>
              <c:f>Model!$C$32:$G$32</c:f>
              <c:numCache>
                <c:formatCode>0%</c:formatCode>
                <c:ptCount val="5"/>
                <c:pt idx="0">
                  <c:v>0.30808588528211067</c:v>
                </c:pt>
                <c:pt idx="1">
                  <c:v>0.30734653479803054</c:v>
                </c:pt>
                <c:pt idx="2">
                  <c:v>0.75537190082644623</c:v>
                </c:pt>
                <c:pt idx="3">
                  <c:v>0.68041237113402064</c:v>
                </c:pt>
                <c:pt idx="4">
                  <c:v>0.62680965147453083</c:v>
                </c:pt>
              </c:numCache>
            </c:numRef>
          </c:val>
          <c:smooth val="0"/>
          <c:extLst>
            <c:ext xmlns:c16="http://schemas.microsoft.com/office/drawing/2014/chart" uri="{C3380CC4-5D6E-409C-BE32-E72D297353CC}">
              <c16:uniqueId val="{00000002-E79C-46D7-BBD0-0EABFCB1E143}"/>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numRef>
              <c:f>Catalysts!$B$2:$B$10000</c:f>
              <c:numCache>
                <c:formatCode>m/d/yyyy</c:formatCode>
                <c:ptCount val="9999"/>
                <c:pt idx="0">
                  <c:v>45411</c:v>
                </c:pt>
                <c:pt idx="1">
                  <c:v>45404</c:v>
                </c:pt>
                <c:pt idx="2">
                  <c:v>45397</c:v>
                </c:pt>
                <c:pt idx="3">
                  <c:v>45390</c:v>
                </c:pt>
                <c:pt idx="4">
                  <c:v>45383</c:v>
                </c:pt>
                <c:pt idx="5">
                  <c:v>45376</c:v>
                </c:pt>
                <c:pt idx="6">
                  <c:v>45369</c:v>
                </c:pt>
                <c:pt idx="7">
                  <c:v>45362</c:v>
                </c:pt>
                <c:pt idx="8">
                  <c:v>45355</c:v>
                </c:pt>
                <c:pt idx="9">
                  <c:v>45348</c:v>
                </c:pt>
                <c:pt idx="10">
                  <c:v>45341</c:v>
                </c:pt>
                <c:pt idx="11">
                  <c:v>45334</c:v>
                </c:pt>
                <c:pt idx="12">
                  <c:v>45327</c:v>
                </c:pt>
                <c:pt idx="13">
                  <c:v>45320</c:v>
                </c:pt>
                <c:pt idx="14">
                  <c:v>45313</c:v>
                </c:pt>
                <c:pt idx="15">
                  <c:v>45306</c:v>
                </c:pt>
                <c:pt idx="16">
                  <c:v>45299</c:v>
                </c:pt>
                <c:pt idx="17">
                  <c:v>45292</c:v>
                </c:pt>
                <c:pt idx="18">
                  <c:v>45285</c:v>
                </c:pt>
                <c:pt idx="19">
                  <c:v>45278</c:v>
                </c:pt>
                <c:pt idx="20">
                  <c:v>45271</c:v>
                </c:pt>
                <c:pt idx="21">
                  <c:v>45264</c:v>
                </c:pt>
                <c:pt idx="22">
                  <c:v>45257</c:v>
                </c:pt>
                <c:pt idx="23">
                  <c:v>45250</c:v>
                </c:pt>
                <c:pt idx="24">
                  <c:v>45243</c:v>
                </c:pt>
                <c:pt idx="25">
                  <c:v>45236</c:v>
                </c:pt>
                <c:pt idx="26">
                  <c:v>45229</c:v>
                </c:pt>
                <c:pt idx="27">
                  <c:v>45222</c:v>
                </c:pt>
                <c:pt idx="28">
                  <c:v>45215</c:v>
                </c:pt>
                <c:pt idx="29">
                  <c:v>45208</c:v>
                </c:pt>
                <c:pt idx="30">
                  <c:v>45201</c:v>
                </c:pt>
                <c:pt idx="31">
                  <c:v>45194</c:v>
                </c:pt>
                <c:pt idx="32">
                  <c:v>45187</c:v>
                </c:pt>
                <c:pt idx="33">
                  <c:v>45180</c:v>
                </c:pt>
                <c:pt idx="34">
                  <c:v>45173</c:v>
                </c:pt>
                <c:pt idx="35">
                  <c:v>45166</c:v>
                </c:pt>
                <c:pt idx="36">
                  <c:v>45159</c:v>
                </c:pt>
                <c:pt idx="37">
                  <c:v>45152</c:v>
                </c:pt>
                <c:pt idx="38">
                  <c:v>45145</c:v>
                </c:pt>
                <c:pt idx="39">
                  <c:v>45138</c:v>
                </c:pt>
                <c:pt idx="40">
                  <c:v>45131</c:v>
                </c:pt>
                <c:pt idx="41">
                  <c:v>45124</c:v>
                </c:pt>
                <c:pt idx="42">
                  <c:v>45117</c:v>
                </c:pt>
                <c:pt idx="43">
                  <c:v>45110</c:v>
                </c:pt>
                <c:pt idx="44">
                  <c:v>45103</c:v>
                </c:pt>
                <c:pt idx="45">
                  <c:v>45096</c:v>
                </c:pt>
                <c:pt idx="46">
                  <c:v>45089</c:v>
                </c:pt>
                <c:pt idx="47">
                  <c:v>45082</c:v>
                </c:pt>
                <c:pt idx="48">
                  <c:v>45075</c:v>
                </c:pt>
                <c:pt idx="49">
                  <c:v>45068</c:v>
                </c:pt>
                <c:pt idx="50">
                  <c:v>45061</c:v>
                </c:pt>
                <c:pt idx="51">
                  <c:v>45054</c:v>
                </c:pt>
                <c:pt idx="52">
                  <c:v>45047</c:v>
                </c:pt>
                <c:pt idx="53">
                  <c:v>45040</c:v>
                </c:pt>
                <c:pt idx="54">
                  <c:v>45033</c:v>
                </c:pt>
                <c:pt idx="55">
                  <c:v>45026</c:v>
                </c:pt>
                <c:pt idx="56">
                  <c:v>45019</c:v>
                </c:pt>
                <c:pt idx="57">
                  <c:v>45012</c:v>
                </c:pt>
                <c:pt idx="58">
                  <c:v>45005</c:v>
                </c:pt>
                <c:pt idx="59">
                  <c:v>44998</c:v>
                </c:pt>
                <c:pt idx="60">
                  <c:v>44991</c:v>
                </c:pt>
                <c:pt idx="61">
                  <c:v>44984</c:v>
                </c:pt>
                <c:pt idx="62">
                  <c:v>44977</c:v>
                </c:pt>
                <c:pt idx="63">
                  <c:v>44970</c:v>
                </c:pt>
                <c:pt idx="64">
                  <c:v>44963</c:v>
                </c:pt>
                <c:pt idx="65">
                  <c:v>44956</c:v>
                </c:pt>
                <c:pt idx="66">
                  <c:v>44949</c:v>
                </c:pt>
                <c:pt idx="67">
                  <c:v>44942</c:v>
                </c:pt>
                <c:pt idx="68">
                  <c:v>44935</c:v>
                </c:pt>
                <c:pt idx="69">
                  <c:v>44928</c:v>
                </c:pt>
                <c:pt idx="70">
                  <c:v>44921</c:v>
                </c:pt>
                <c:pt idx="71">
                  <c:v>44914</c:v>
                </c:pt>
                <c:pt idx="72">
                  <c:v>44907</c:v>
                </c:pt>
                <c:pt idx="73">
                  <c:v>44900</c:v>
                </c:pt>
                <c:pt idx="74">
                  <c:v>44893</c:v>
                </c:pt>
                <c:pt idx="75">
                  <c:v>44886</c:v>
                </c:pt>
                <c:pt idx="76">
                  <c:v>44879</c:v>
                </c:pt>
                <c:pt idx="77">
                  <c:v>44872</c:v>
                </c:pt>
                <c:pt idx="78">
                  <c:v>44865</c:v>
                </c:pt>
                <c:pt idx="79">
                  <c:v>44858</c:v>
                </c:pt>
                <c:pt idx="80">
                  <c:v>44851</c:v>
                </c:pt>
                <c:pt idx="81">
                  <c:v>44844</c:v>
                </c:pt>
                <c:pt idx="82">
                  <c:v>44837</c:v>
                </c:pt>
                <c:pt idx="83">
                  <c:v>44830</c:v>
                </c:pt>
                <c:pt idx="84">
                  <c:v>44823</c:v>
                </c:pt>
                <c:pt idx="85">
                  <c:v>44816</c:v>
                </c:pt>
                <c:pt idx="86">
                  <c:v>44809</c:v>
                </c:pt>
                <c:pt idx="87">
                  <c:v>44802</c:v>
                </c:pt>
                <c:pt idx="88">
                  <c:v>44795</c:v>
                </c:pt>
                <c:pt idx="89">
                  <c:v>44788</c:v>
                </c:pt>
                <c:pt idx="90">
                  <c:v>44781</c:v>
                </c:pt>
                <c:pt idx="91">
                  <c:v>44774</c:v>
                </c:pt>
                <c:pt idx="92">
                  <c:v>44767</c:v>
                </c:pt>
                <c:pt idx="93">
                  <c:v>44760</c:v>
                </c:pt>
                <c:pt idx="94">
                  <c:v>44753</c:v>
                </c:pt>
                <c:pt idx="95">
                  <c:v>44746</c:v>
                </c:pt>
                <c:pt idx="96">
                  <c:v>44739</c:v>
                </c:pt>
                <c:pt idx="97">
                  <c:v>44732</c:v>
                </c:pt>
                <c:pt idx="98">
                  <c:v>44725</c:v>
                </c:pt>
                <c:pt idx="99">
                  <c:v>44718</c:v>
                </c:pt>
                <c:pt idx="100">
                  <c:v>44711</c:v>
                </c:pt>
                <c:pt idx="101">
                  <c:v>44704</c:v>
                </c:pt>
                <c:pt idx="102">
                  <c:v>44697</c:v>
                </c:pt>
                <c:pt idx="103">
                  <c:v>44690</c:v>
                </c:pt>
                <c:pt idx="104">
                  <c:v>44683</c:v>
                </c:pt>
                <c:pt idx="105">
                  <c:v>44676</c:v>
                </c:pt>
                <c:pt idx="106">
                  <c:v>44669</c:v>
                </c:pt>
                <c:pt idx="107">
                  <c:v>44662</c:v>
                </c:pt>
                <c:pt idx="108">
                  <c:v>44655</c:v>
                </c:pt>
                <c:pt idx="109">
                  <c:v>44648</c:v>
                </c:pt>
                <c:pt idx="110">
                  <c:v>44641</c:v>
                </c:pt>
                <c:pt idx="111">
                  <c:v>44634</c:v>
                </c:pt>
                <c:pt idx="112">
                  <c:v>44627</c:v>
                </c:pt>
                <c:pt idx="113">
                  <c:v>44620</c:v>
                </c:pt>
                <c:pt idx="114">
                  <c:v>44613</c:v>
                </c:pt>
                <c:pt idx="115">
                  <c:v>44606</c:v>
                </c:pt>
                <c:pt idx="116">
                  <c:v>44599</c:v>
                </c:pt>
                <c:pt idx="117">
                  <c:v>44592</c:v>
                </c:pt>
                <c:pt idx="118">
                  <c:v>44585</c:v>
                </c:pt>
                <c:pt idx="119">
                  <c:v>44578</c:v>
                </c:pt>
                <c:pt idx="120">
                  <c:v>44571</c:v>
                </c:pt>
                <c:pt idx="121">
                  <c:v>44564</c:v>
                </c:pt>
                <c:pt idx="122">
                  <c:v>44557</c:v>
                </c:pt>
                <c:pt idx="123">
                  <c:v>44550</c:v>
                </c:pt>
                <c:pt idx="124">
                  <c:v>44543</c:v>
                </c:pt>
                <c:pt idx="125">
                  <c:v>44536</c:v>
                </c:pt>
                <c:pt idx="126">
                  <c:v>44529</c:v>
                </c:pt>
                <c:pt idx="127">
                  <c:v>44522</c:v>
                </c:pt>
                <c:pt idx="128">
                  <c:v>44515</c:v>
                </c:pt>
                <c:pt idx="129">
                  <c:v>44508</c:v>
                </c:pt>
                <c:pt idx="130">
                  <c:v>44501</c:v>
                </c:pt>
                <c:pt idx="131">
                  <c:v>44494</c:v>
                </c:pt>
                <c:pt idx="132">
                  <c:v>44487</c:v>
                </c:pt>
                <c:pt idx="133">
                  <c:v>44480</c:v>
                </c:pt>
                <c:pt idx="134">
                  <c:v>44473</c:v>
                </c:pt>
                <c:pt idx="135">
                  <c:v>44466</c:v>
                </c:pt>
                <c:pt idx="136">
                  <c:v>44459</c:v>
                </c:pt>
                <c:pt idx="137">
                  <c:v>44452</c:v>
                </c:pt>
                <c:pt idx="138">
                  <c:v>44445</c:v>
                </c:pt>
                <c:pt idx="139">
                  <c:v>44438</c:v>
                </c:pt>
                <c:pt idx="140">
                  <c:v>44431</c:v>
                </c:pt>
                <c:pt idx="141">
                  <c:v>44424</c:v>
                </c:pt>
                <c:pt idx="142">
                  <c:v>44417</c:v>
                </c:pt>
                <c:pt idx="143">
                  <c:v>44410</c:v>
                </c:pt>
                <c:pt idx="144">
                  <c:v>44403</c:v>
                </c:pt>
              </c:numCache>
            </c:numRef>
          </c:cat>
          <c:val>
            <c:numRef>
              <c:f>Catalysts!$C$2:$C$10000</c:f>
              <c:numCache>
                <c:formatCode>0.00</c:formatCode>
                <c:ptCount val="9999"/>
                <c:pt idx="0">
                  <c:v>17.610001</c:v>
                </c:pt>
                <c:pt idx="1">
                  <c:v>17.879999000000002</c:v>
                </c:pt>
                <c:pt idx="2">
                  <c:v>16.629999000000002</c:v>
                </c:pt>
                <c:pt idx="3">
                  <c:v>17.969999000000001</c:v>
                </c:pt>
                <c:pt idx="4">
                  <c:v>18.399999999999999</c:v>
                </c:pt>
                <c:pt idx="5">
                  <c:v>20.129999000000002</c:v>
                </c:pt>
                <c:pt idx="6">
                  <c:v>18.299999</c:v>
                </c:pt>
                <c:pt idx="7">
                  <c:v>18.149999999999999</c:v>
                </c:pt>
                <c:pt idx="8">
                  <c:v>17</c:v>
                </c:pt>
                <c:pt idx="9">
                  <c:v>16.579999999999998</c:v>
                </c:pt>
                <c:pt idx="10">
                  <c:v>14.48</c:v>
                </c:pt>
                <c:pt idx="11">
                  <c:v>14</c:v>
                </c:pt>
                <c:pt idx="12">
                  <c:v>11.55</c:v>
                </c:pt>
                <c:pt idx="13">
                  <c:v>10.92</c:v>
                </c:pt>
                <c:pt idx="14">
                  <c:v>10.79</c:v>
                </c:pt>
                <c:pt idx="15">
                  <c:v>10.71</c:v>
                </c:pt>
                <c:pt idx="16">
                  <c:v>11.02</c:v>
                </c:pt>
                <c:pt idx="17">
                  <c:v>11.89</c:v>
                </c:pt>
                <c:pt idx="18">
                  <c:v>12.74</c:v>
                </c:pt>
                <c:pt idx="19">
                  <c:v>12.95</c:v>
                </c:pt>
                <c:pt idx="20">
                  <c:v>11.69</c:v>
                </c:pt>
                <c:pt idx="21">
                  <c:v>11.73</c:v>
                </c:pt>
                <c:pt idx="22">
                  <c:v>9.32</c:v>
                </c:pt>
                <c:pt idx="23">
                  <c:v>8.2899999999999991</c:v>
                </c:pt>
                <c:pt idx="24">
                  <c:v>8.1</c:v>
                </c:pt>
                <c:pt idx="25">
                  <c:v>8.23</c:v>
                </c:pt>
                <c:pt idx="26">
                  <c:v>9.69</c:v>
                </c:pt>
                <c:pt idx="27">
                  <c:v>8.9</c:v>
                </c:pt>
                <c:pt idx="28">
                  <c:v>9.1300000000000008</c:v>
                </c:pt>
                <c:pt idx="29">
                  <c:v>9.14</c:v>
                </c:pt>
                <c:pt idx="30">
                  <c:v>9.93</c:v>
                </c:pt>
                <c:pt idx="31">
                  <c:v>9.81</c:v>
                </c:pt>
                <c:pt idx="32">
                  <c:v>9.6999999999999993</c:v>
                </c:pt>
                <c:pt idx="33">
                  <c:v>10.67</c:v>
                </c:pt>
                <c:pt idx="34">
                  <c:v>10.74</c:v>
                </c:pt>
                <c:pt idx="35">
                  <c:v>11.11</c:v>
                </c:pt>
                <c:pt idx="36">
                  <c:v>10.54</c:v>
                </c:pt>
                <c:pt idx="37">
                  <c:v>10.25</c:v>
                </c:pt>
                <c:pt idx="38">
                  <c:v>10.72</c:v>
                </c:pt>
                <c:pt idx="39">
                  <c:v>11.28</c:v>
                </c:pt>
                <c:pt idx="40">
                  <c:v>12.73</c:v>
                </c:pt>
                <c:pt idx="41">
                  <c:v>12.76</c:v>
                </c:pt>
                <c:pt idx="42">
                  <c:v>12.38</c:v>
                </c:pt>
                <c:pt idx="43">
                  <c:v>10.79</c:v>
                </c:pt>
                <c:pt idx="44">
                  <c:v>9.98</c:v>
                </c:pt>
                <c:pt idx="45">
                  <c:v>9.49</c:v>
                </c:pt>
                <c:pt idx="46">
                  <c:v>10.029999999999999</c:v>
                </c:pt>
                <c:pt idx="47">
                  <c:v>9.41</c:v>
                </c:pt>
                <c:pt idx="48">
                  <c:v>9.34</c:v>
                </c:pt>
                <c:pt idx="49">
                  <c:v>8.82</c:v>
                </c:pt>
                <c:pt idx="50">
                  <c:v>8.4700000000000006</c:v>
                </c:pt>
                <c:pt idx="51">
                  <c:v>8.74</c:v>
                </c:pt>
                <c:pt idx="52">
                  <c:v>8.85</c:v>
                </c:pt>
                <c:pt idx="53">
                  <c:v>8.85</c:v>
                </c:pt>
                <c:pt idx="54">
                  <c:v>9.64</c:v>
                </c:pt>
                <c:pt idx="55">
                  <c:v>10</c:v>
                </c:pt>
                <c:pt idx="56">
                  <c:v>10.01</c:v>
                </c:pt>
                <c:pt idx="57">
                  <c:v>9.7100000000000009</c:v>
                </c:pt>
                <c:pt idx="58">
                  <c:v>8.68</c:v>
                </c:pt>
                <c:pt idx="59">
                  <c:v>9.19</c:v>
                </c:pt>
                <c:pt idx="60">
                  <c:v>9.01</c:v>
                </c:pt>
                <c:pt idx="61">
                  <c:v>9.9</c:v>
                </c:pt>
                <c:pt idx="62">
                  <c:v>9.59</c:v>
                </c:pt>
                <c:pt idx="63">
                  <c:v>10.35</c:v>
                </c:pt>
                <c:pt idx="64">
                  <c:v>9.98</c:v>
                </c:pt>
                <c:pt idx="65">
                  <c:v>10.74</c:v>
                </c:pt>
                <c:pt idx="66">
                  <c:v>10.39</c:v>
                </c:pt>
                <c:pt idx="67">
                  <c:v>9.52</c:v>
                </c:pt>
                <c:pt idx="68">
                  <c:v>9.32</c:v>
                </c:pt>
                <c:pt idx="69">
                  <c:v>8.25</c:v>
                </c:pt>
                <c:pt idx="70">
                  <c:v>8.14</c:v>
                </c:pt>
                <c:pt idx="71">
                  <c:v>7.95</c:v>
                </c:pt>
                <c:pt idx="72">
                  <c:v>8.61</c:v>
                </c:pt>
                <c:pt idx="73">
                  <c:v>9.31</c:v>
                </c:pt>
                <c:pt idx="74">
                  <c:v>9.99</c:v>
                </c:pt>
                <c:pt idx="75">
                  <c:v>9.39</c:v>
                </c:pt>
                <c:pt idx="76">
                  <c:v>9.19</c:v>
                </c:pt>
                <c:pt idx="77">
                  <c:v>10.47</c:v>
                </c:pt>
                <c:pt idx="78">
                  <c:v>12.28</c:v>
                </c:pt>
                <c:pt idx="79">
                  <c:v>11.5</c:v>
                </c:pt>
                <c:pt idx="80">
                  <c:v>10.14</c:v>
                </c:pt>
                <c:pt idx="81">
                  <c:v>9.89</c:v>
                </c:pt>
                <c:pt idx="82">
                  <c:v>10.8</c:v>
                </c:pt>
                <c:pt idx="83">
                  <c:v>10.1</c:v>
                </c:pt>
                <c:pt idx="84">
                  <c:v>9.44</c:v>
                </c:pt>
                <c:pt idx="85">
                  <c:v>10.25</c:v>
                </c:pt>
                <c:pt idx="86">
                  <c:v>10.6</c:v>
                </c:pt>
                <c:pt idx="87">
                  <c:v>9.4499999999999993</c:v>
                </c:pt>
                <c:pt idx="88">
                  <c:v>9.3800000000000008</c:v>
                </c:pt>
                <c:pt idx="89">
                  <c:v>9.26</c:v>
                </c:pt>
                <c:pt idx="90">
                  <c:v>10.93</c:v>
                </c:pt>
                <c:pt idx="91">
                  <c:v>10.4</c:v>
                </c:pt>
                <c:pt idx="92">
                  <c:v>9.0500000000000007</c:v>
                </c:pt>
                <c:pt idx="93">
                  <c:v>9.08</c:v>
                </c:pt>
                <c:pt idx="94">
                  <c:v>8.41</c:v>
                </c:pt>
                <c:pt idx="95">
                  <c:v>9</c:v>
                </c:pt>
                <c:pt idx="96">
                  <c:v>8.18</c:v>
                </c:pt>
                <c:pt idx="97">
                  <c:v>8</c:v>
                </c:pt>
                <c:pt idx="98">
                  <c:v>7.19</c:v>
                </c:pt>
                <c:pt idx="99">
                  <c:v>7.81</c:v>
                </c:pt>
                <c:pt idx="100">
                  <c:v>9.17</c:v>
                </c:pt>
                <c:pt idx="101">
                  <c:v>10.38</c:v>
                </c:pt>
                <c:pt idx="102">
                  <c:v>10.08</c:v>
                </c:pt>
                <c:pt idx="103">
                  <c:v>10.69</c:v>
                </c:pt>
                <c:pt idx="104">
                  <c:v>10.119999999999999</c:v>
                </c:pt>
                <c:pt idx="105">
                  <c:v>9.8049999999999997</c:v>
                </c:pt>
                <c:pt idx="106">
                  <c:v>10.26</c:v>
                </c:pt>
                <c:pt idx="107">
                  <c:v>11.38</c:v>
                </c:pt>
                <c:pt idx="108">
                  <c:v>11.24</c:v>
                </c:pt>
                <c:pt idx="109">
                  <c:v>13.5</c:v>
                </c:pt>
                <c:pt idx="110">
                  <c:v>12.39</c:v>
                </c:pt>
                <c:pt idx="111">
                  <c:v>13.44</c:v>
                </c:pt>
                <c:pt idx="112">
                  <c:v>11.02</c:v>
                </c:pt>
                <c:pt idx="113">
                  <c:v>10.96</c:v>
                </c:pt>
                <c:pt idx="114">
                  <c:v>11.61</c:v>
                </c:pt>
                <c:pt idx="115">
                  <c:v>11.81</c:v>
                </c:pt>
                <c:pt idx="116">
                  <c:v>13.32</c:v>
                </c:pt>
                <c:pt idx="117">
                  <c:v>15.18</c:v>
                </c:pt>
                <c:pt idx="118">
                  <c:v>12.73</c:v>
                </c:pt>
                <c:pt idx="119">
                  <c:v>12.98</c:v>
                </c:pt>
                <c:pt idx="120">
                  <c:v>15.17</c:v>
                </c:pt>
                <c:pt idx="121">
                  <c:v>15.89</c:v>
                </c:pt>
                <c:pt idx="122">
                  <c:v>17.760000000000002</c:v>
                </c:pt>
                <c:pt idx="123">
                  <c:v>18.899999999999999</c:v>
                </c:pt>
                <c:pt idx="124">
                  <c:v>19.100000000000001</c:v>
                </c:pt>
                <c:pt idx="125">
                  <c:v>20.129999000000002</c:v>
                </c:pt>
                <c:pt idx="126">
                  <c:v>21.549999</c:v>
                </c:pt>
                <c:pt idx="127">
                  <c:v>27.92</c:v>
                </c:pt>
                <c:pt idx="128">
                  <c:v>28.99</c:v>
                </c:pt>
                <c:pt idx="129">
                  <c:v>35.209999000000003</c:v>
                </c:pt>
                <c:pt idx="130">
                  <c:v>37.009998000000003</c:v>
                </c:pt>
                <c:pt idx="131">
                  <c:v>34.970001000000003</c:v>
                </c:pt>
                <c:pt idx="132">
                  <c:v>39.590000000000003</c:v>
                </c:pt>
                <c:pt idx="133">
                  <c:v>41.029998999999997</c:v>
                </c:pt>
                <c:pt idx="134">
                  <c:v>41.779998999999997</c:v>
                </c:pt>
                <c:pt idx="135">
                  <c:v>41.900002000000001</c:v>
                </c:pt>
                <c:pt idx="136">
                  <c:v>44.91</c:v>
                </c:pt>
                <c:pt idx="137">
                  <c:v>42.380001</c:v>
                </c:pt>
                <c:pt idx="138">
                  <c:v>41.169998</c:v>
                </c:pt>
                <c:pt idx="139">
                  <c:v>43.349997999999999</c:v>
                </c:pt>
                <c:pt idx="140">
                  <c:v>46.869999</c:v>
                </c:pt>
                <c:pt idx="141">
                  <c:v>42.639999000000003</c:v>
                </c:pt>
                <c:pt idx="142">
                  <c:v>50.630001</c:v>
                </c:pt>
                <c:pt idx="143">
                  <c:v>55.009998000000003</c:v>
                </c:pt>
                <c:pt idx="144">
                  <c:v>35.150002000000001</c:v>
                </c:pt>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dateAx>
        <c:axId val="693983327"/>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Offset val="100"/>
        <c:baseTimeUnit val="days"/>
      </c:dateAx>
      <c:valAx>
        <c:axId val="7375222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strRef>
              <c:f>DoR!$K$4:$K$15</c:f>
              <c:strCache>
                <c:ptCount val="12"/>
                <c:pt idx="0">
                  <c:v>Less than -29,19%</c:v>
                </c:pt>
                <c:pt idx="1">
                  <c:v>-29,19% to -23,36%</c:v>
                </c:pt>
                <c:pt idx="2">
                  <c:v>-23,36% to -17,53%</c:v>
                </c:pt>
                <c:pt idx="3">
                  <c:v>-17,53% to -11,70%</c:v>
                </c:pt>
                <c:pt idx="4">
                  <c:v>-11,70% to -5,87%</c:v>
                </c:pt>
                <c:pt idx="5">
                  <c:v>-5,87% to -0,04%</c:v>
                </c:pt>
                <c:pt idx="6">
                  <c:v>-0,04% to 5,79%</c:v>
                </c:pt>
                <c:pt idx="7">
                  <c:v>5,79% to 11,62%</c:v>
                </c:pt>
                <c:pt idx="8">
                  <c:v>11,62% to 17,45%</c:v>
                </c:pt>
                <c:pt idx="9">
                  <c:v>17,45% to 23,28%</c:v>
                </c:pt>
                <c:pt idx="10">
                  <c:v>23,28% to 29,11%</c:v>
                </c:pt>
                <c:pt idx="11">
                  <c:v>Greater than 29,11%</c:v>
                </c:pt>
              </c:strCache>
            </c:strRef>
          </c:cat>
          <c:val>
            <c:numRef>
              <c:f>DoR!$J$4:$J$15</c:f>
              <c:numCache>
                <c:formatCode>General</c:formatCode>
                <c:ptCount val="12"/>
                <c:pt idx="0">
                  <c:v>0</c:v>
                </c:pt>
                <c:pt idx="1">
                  <c:v>0</c:v>
                </c:pt>
                <c:pt idx="2">
                  <c:v>2</c:v>
                </c:pt>
                <c:pt idx="3">
                  <c:v>9</c:v>
                </c:pt>
                <c:pt idx="4">
                  <c:v>29</c:v>
                </c:pt>
                <c:pt idx="5">
                  <c:v>35</c:v>
                </c:pt>
                <c:pt idx="6">
                  <c:v>36</c:v>
                </c:pt>
                <c:pt idx="7">
                  <c:v>20</c:v>
                </c:pt>
                <c:pt idx="8">
                  <c:v>8</c:v>
                </c:pt>
                <c:pt idx="9">
                  <c:v>3</c:v>
                </c:pt>
                <c:pt idx="10">
                  <c:v>1</c:v>
                </c:pt>
                <c:pt idx="11">
                  <c:v>1</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_xlchart.v1.3</cx:f>
      </cx:numDim>
    </cx:data>
    <cx:data id="1">
      <cx:strDim type="cat">
        <cx:f dir="row">_xlchart.v1.4</cx:f>
      </cx:strDim>
      <cx:numDim type="val">
        <cx:f dir="row">_xlchart.v1.2</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_xlchart.v1.1</cx:f>
              <cx:v>EPS exp.</cx:v>
            </cx:txData>
          </cx:tx>
          <cx:spPr>
            <a:ln w="19050">
              <a:solidFill>
                <a:schemeClr val="accent1"/>
              </a:solidFill>
            </a:ln>
          </cx:spPr>
          <cx:dataId val="0"/>
          <cx:layoutPr>
            <cx:visibility meanLine="1" meanMarker="1" nonoutliers="0" outliers="1"/>
            <cx:statistics quartileMethod="exclusive"/>
          </cx:layoutPr>
        </cx:series>
        <cx:series layoutId="boxWhisker" uniqueId="{C8A70830-D21B-405F-8F13-72F0AC678416}">
          <cx:tx>
            <cx:txData>
              <cx:f>_xlchart.v1.0</cx:f>
              <cx:v>EPS</cx:v>
            </cx:txData>
          </cx:tx>
          <cx:dataId val="1"/>
          <cx:layoutPr>
            <cx:visibility meanLine="1"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_xlchart.v1.9</cx:f>
      </cx:strDim>
      <cx:numDim type="val">
        <cx:f dir="row">_xlchart.v1.8</cx:f>
      </cx:numDim>
    </cx:data>
    <cx:data id="1">
      <cx:strDim type="cat">
        <cx:f dir="row">_xlchart.v1.9</cx:f>
      </cx:strDim>
      <cx:numDim type="val">
        <cx:f dir="row">_xlchart.v1.7</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_xlchart.v1.6</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_xlchart.v1.5</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5.xml"/><Relationship Id="rId7"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200024</xdr:colOff>
      <xdr:row>13</xdr:row>
      <xdr:rowOff>123825</xdr:rowOff>
    </xdr:from>
    <xdr:to>
      <xdr:col>7</xdr:col>
      <xdr:colOff>609599</xdr:colOff>
      <xdr:row>30</xdr:row>
      <xdr:rowOff>19050</xdr:rowOff>
    </xdr:to>
    <xdr:graphicFrame macro="">
      <xdr:nvGraphicFramePr>
        <xdr:cNvPr id="2" name="Chart 1">
          <a:extLst>
            <a:ext uri="{FF2B5EF4-FFF2-40B4-BE49-F238E27FC236}">
              <a16:creationId xmlns:a16="http://schemas.microsoft.com/office/drawing/2014/main" id="{AC8898B0-EFA2-43FF-911B-806BEC6845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13</xdr:row>
      <xdr:rowOff>109536</xdr:rowOff>
    </xdr:from>
    <xdr:to>
      <xdr:col>16</xdr:col>
      <xdr:colOff>123825</xdr:colOff>
      <xdr:row>30</xdr:row>
      <xdr:rowOff>0</xdr:rowOff>
    </xdr:to>
    <xdr:graphicFrame macro="">
      <xdr:nvGraphicFramePr>
        <xdr:cNvPr id="3" name="Chart 2">
          <a:extLst>
            <a:ext uri="{FF2B5EF4-FFF2-40B4-BE49-F238E27FC236}">
              <a16:creationId xmlns:a16="http://schemas.microsoft.com/office/drawing/2014/main" id="{6AD4A8DD-5AFA-432B-88A9-A017101A1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228600</xdr:colOff>
      <xdr:row>30</xdr:row>
      <xdr:rowOff>42862</xdr:rowOff>
    </xdr:from>
    <xdr:to>
      <xdr:col>11</xdr:col>
      <xdr:colOff>0</xdr:colOff>
      <xdr:row>47</xdr:row>
      <xdr:rowOff>9525</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47</xdr:row>
      <xdr:rowOff>9525</xdr:rowOff>
    </xdr:from>
    <xdr:to>
      <xdr:col>10</xdr:col>
      <xdr:colOff>600075</xdr:colOff>
      <xdr:row>64</xdr:row>
      <xdr:rowOff>61913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47</xdr:row>
      <xdr:rowOff>9525</xdr:rowOff>
    </xdr:from>
    <xdr:to>
      <xdr:col>20</xdr:col>
      <xdr:colOff>419100</xdr:colOff>
      <xdr:row>64</xdr:row>
      <xdr:rowOff>61913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xdr:colOff>
      <xdr:row>30</xdr:row>
      <xdr:rowOff>57150</xdr:rowOff>
    </xdr:from>
    <xdr:to>
      <xdr:col>20</xdr:col>
      <xdr:colOff>390525</xdr:colOff>
      <xdr:row>47</xdr:row>
      <xdr:rowOff>23813</xdr:rowOff>
    </xdr:to>
    <xdr:graphicFrame macro="">
      <xdr:nvGraphicFramePr>
        <xdr:cNvPr id="7" name="Chart 6">
          <a:extLst>
            <a:ext uri="{FF2B5EF4-FFF2-40B4-BE49-F238E27FC236}">
              <a16:creationId xmlns:a16="http://schemas.microsoft.com/office/drawing/2014/main" id="{95AB5FA5-CC68-4269-BD2C-424BEF6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41"/>
  <sheetViews>
    <sheetView tabSelected="1" workbookViewId="0">
      <selection activeCell="H16" sqref="H16"/>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4" t="s">
        <v>239</v>
      </c>
      <c r="C2" s="19"/>
      <c r="E2" s="24" t="s">
        <v>49</v>
      </c>
      <c r="F2" s="53" t="s">
        <v>50</v>
      </c>
      <c r="G2" s="25"/>
      <c r="H2" s="26" t="s">
        <v>57</v>
      </c>
      <c r="I2" s="26" t="s">
        <v>1</v>
      </c>
      <c r="J2" s="27" t="s">
        <v>50</v>
      </c>
      <c r="L2" s="30" t="s">
        <v>43</v>
      </c>
      <c r="M2" s="31" t="s">
        <v>59</v>
      </c>
      <c r="N2" s="32" t="s">
        <v>58</v>
      </c>
    </row>
    <row r="3" spans="2:14" x14ac:dyDescent="0.25">
      <c r="B3" s="5" t="s">
        <v>42</v>
      </c>
      <c r="C3" s="20">
        <v>45967</v>
      </c>
      <c r="E3" s="5" t="s">
        <v>151</v>
      </c>
      <c r="F3" s="28" t="s">
        <v>152</v>
      </c>
      <c r="H3" t="s">
        <v>171</v>
      </c>
      <c r="I3" s="10">
        <v>81817</v>
      </c>
      <c r="J3" s="38"/>
      <c r="L3" s="5" t="s">
        <v>131</v>
      </c>
      <c r="M3" t="s">
        <v>132</v>
      </c>
      <c r="N3" s="37"/>
    </row>
    <row r="4" spans="2:14" x14ac:dyDescent="0.25">
      <c r="B4" s="5"/>
      <c r="C4" s="21">
        <v>0.71666666666666667</v>
      </c>
      <c r="E4" s="5" t="s">
        <v>153</v>
      </c>
      <c r="F4" s="28" t="s">
        <v>154</v>
      </c>
      <c r="H4" t="s">
        <v>172</v>
      </c>
      <c r="I4" s="10">
        <v>867495</v>
      </c>
      <c r="J4" s="38"/>
      <c r="L4" s="5" t="s">
        <v>133</v>
      </c>
      <c r="M4" t="s">
        <v>134</v>
      </c>
      <c r="N4" s="13"/>
    </row>
    <row r="5" spans="2:14" x14ac:dyDescent="0.25">
      <c r="B5" s="5"/>
      <c r="C5" s="13"/>
      <c r="E5" s="5" t="s">
        <v>155</v>
      </c>
      <c r="F5" s="28" t="s">
        <v>156</v>
      </c>
      <c r="H5" t="s">
        <v>173</v>
      </c>
      <c r="I5" s="10">
        <v>43731000</v>
      </c>
      <c r="J5" s="38"/>
      <c r="L5" s="5" t="s">
        <v>135</v>
      </c>
      <c r="M5" t="s">
        <v>136</v>
      </c>
      <c r="N5" s="13"/>
    </row>
    <row r="6" spans="2:14" x14ac:dyDescent="0.25">
      <c r="B6" s="5" t="s">
        <v>0</v>
      </c>
      <c r="C6" s="13">
        <v>129.86000000000001</v>
      </c>
      <c r="E6" s="5" t="s">
        <v>157</v>
      </c>
      <c r="F6" s="28" t="s">
        <v>158</v>
      </c>
      <c r="H6" t="s">
        <v>174</v>
      </c>
      <c r="I6" s="10">
        <v>423647</v>
      </c>
      <c r="J6" s="38"/>
      <c r="L6" s="5" t="s">
        <v>137</v>
      </c>
      <c r="M6" t="s">
        <v>138</v>
      </c>
      <c r="N6" s="13"/>
    </row>
    <row r="7" spans="2:14" x14ac:dyDescent="0.25">
      <c r="B7" s="5" t="s">
        <v>1</v>
      </c>
      <c r="C7" s="15">
        <f>Model!G24</f>
        <v>890.85765900000001</v>
      </c>
      <c r="E7" s="5" t="s">
        <v>159</v>
      </c>
      <c r="F7" s="28" t="s">
        <v>160</v>
      </c>
      <c r="H7" t="s">
        <v>175</v>
      </c>
      <c r="I7" s="10">
        <v>14524</v>
      </c>
      <c r="J7" s="38"/>
      <c r="L7" s="5" t="s">
        <v>139</v>
      </c>
      <c r="M7" t="s">
        <v>140</v>
      </c>
      <c r="N7" s="13"/>
    </row>
    <row r="8" spans="2:14" x14ac:dyDescent="0.25">
      <c r="B8" s="5" t="s">
        <v>2</v>
      </c>
      <c r="C8" s="15">
        <f>C6*C7</f>
        <v>115686.77559774001</v>
      </c>
      <c r="E8" s="5" t="s">
        <v>161</v>
      </c>
      <c r="F8" s="28" t="s">
        <v>162</v>
      </c>
      <c r="H8" t="s">
        <v>176</v>
      </c>
      <c r="I8" s="10">
        <v>39491</v>
      </c>
      <c r="J8" s="38"/>
      <c r="L8" s="5" t="s">
        <v>141</v>
      </c>
      <c r="M8" t="s">
        <v>142</v>
      </c>
      <c r="N8" s="13"/>
    </row>
    <row r="9" spans="2:14" x14ac:dyDescent="0.25">
      <c r="B9" s="5" t="s">
        <v>3</v>
      </c>
      <c r="C9" s="15">
        <f>Model!AF41+Model!AF42</f>
        <v>12774</v>
      </c>
      <c r="E9" s="5" t="s">
        <v>163</v>
      </c>
      <c r="F9" s="28" t="s">
        <v>164</v>
      </c>
      <c r="H9" t="s">
        <v>177</v>
      </c>
      <c r="I9" s="10">
        <v>56204</v>
      </c>
      <c r="J9" s="38"/>
      <c r="L9" s="5" t="s">
        <v>143</v>
      </c>
      <c r="M9" t="s">
        <v>144</v>
      </c>
      <c r="N9" s="13"/>
    </row>
    <row r="10" spans="2:14" x14ac:dyDescent="0.25">
      <c r="B10" s="5" t="s">
        <v>4</v>
      </c>
      <c r="C10" s="15">
        <v>0</v>
      </c>
      <c r="E10" s="5" t="s">
        <v>165</v>
      </c>
      <c r="F10" s="28" t="s">
        <v>166</v>
      </c>
      <c r="H10" t="s">
        <v>178</v>
      </c>
      <c r="I10" s="10">
        <v>997407</v>
      </c>
      <c r="J10" s="38"/>
      <c r="L10" s="5" t="s">
        <v>145</v>
      </c>
      <c r="M10" t="s">
        <v>146</v>
      </c>
      <c r="N10" s="13"/>
    </row>
    <row r="11" spans="2:14" x14ac:dyDescent="0.25">
      <c r="B11" s="5" t="s">
        <v>37</v>
      </c>
      <c r="C11" s="15">
        <f>C9-C10</f>
        <v>12774</v>
      </c>
      <c r="E11" s="5" t="s">
        <v>167</v>
      </c>
      <c r="F11" s="28" t="s">
        <v>168</v>
      </c>
      <c r="H11" t="s">
        <v>179</v>
      </c>
      <c r="I11">
        <v>71818</v>
      </c>
      <c r="J11" s="38"/>
      <c r="L11" s="5" t="s">
        <v>147</v>
      </c>
      <c r="M11" t="s">
        <v>148</v>
      </c>
      <c r="N11" s="13"/>
    </row>
    <row r="12" spans="2:14" x14ac:dyDescent="0.25">
      <c r="B12" s="5" t="s">
        <v>5</v>
      </c>
      <c r="C12" s="15">
        <f>C8-C9+C10</f>
        <v>102912.77559774001</v>
      </c>
      <c r="E12" s="5" t="s">
        <v>169</v>
      </c>
      <c r="F12" s="28" t="s">
        <v>170</v>
      </c>
      <c r="J12" s="13"/>
      <c r="L12" s="5" t="s">
        <v>149</v>
      </c>
      <c r="M12" t="s">
        <v>150</v>
      </c>
      <c r="N12" s="13"/>
    </row>
    <row r="13" spans="2:14" x14ac:dyDescent="0.25">
      <c r="B13" s="5" t="s">
        <v>48</v>
      </c>
      <c r="C13" s="36">
        <f>C6/Model!H25</f>
        <v>83.398604896839132</v>
      </c>
      <c r="E13" s="5"/>
      <c r="J13" s="13"/>
      <c r="L13" s="5"/>
      <c r="N13" s="13"/>
    </row>
    <row r="14" spans="2:14" x14ac:dyDescent="0.25">
      <c r="B14" s="5" t="s">
        <v>46</v>
      </c>
      <c r="C14" s="36">
        <f>C6/Model!I26</f>
        <v>64.606965174129371</v>
      </c>
      <c r="E14" s="22"/>
      <c r="F14" s="29"/>
      <c r="G14" s="29"/>
      <c r="H14" s="29"/>
      <c r="I14" s="29"/>
      <c r="J14" s="23"/>
      <c r="L14" s="22"/>
      <c r="M14" s="29"/>
      <c r="N14" s="23"/>
    </row>
    <row r="15" spans="2:14" x14ac:dyDescent="0.25">
      <c r="B15" s="5" t="s">
        <v>47</v>
      </c>
      <c r="C15" s="36">
        <f>C6/Model!J26</f>
        <v>58.233183856502251</v>
      </c>
    </row>
    <row r="16" spans="2:14" x14ac:dyDescent="0.25">
      <c r="B16" s="5" t="s">
        <v>44</v>
      </c>
      <c r="C16" s="6">
        <f>Model!I26/Model!H25-1</f>
        <v>0.29086089513819968</v>
      </c>
    </row>
    <row r="17" spans="2:14" x14ac:dyDescent="0.25">
      <c r="B17" s="5" t="s">
        <v>45</v>
      </c>
      <c r="C17" s="6">
        <f>Model!J26/Model!I26-1</f>
        <v>0.10945273631840813</v>
      </c>
      <c r="E17" s="33" t="s">
        <v>55</v>
      </c>
      <c r="L17" s="132" t="s">
        <v>240</v>
      </c>
      <c r="M17" s="133"/>
      <c r="N17" s="134"/>
    </row>
    <row r="18" spans="2:14" x14ac:dyDescent="0.25">
      <c r="B18" s="5" t="s">
        <v>68</v>
      </c>
      <c r="C18" s="46">
        <f>C14/(C16*100)</f>
        <v>2.22123242601698</v>
      </c>
      <c r="L18" s="135"/>
      <c r="M18" s="136"/>
      <c r="N18" s="137"/>
    </row>
    <row r="19" spans="2:14" x14ac:dyDescent="0.25">
      <c r="B19" s="5" t="s">
        <v>69</v>
      </c>
      <c r="C19" s="46">
        <f>C15/(C17*100)</f>
        <v>5.3203954341622426</v>
      </c>
      <c r="L19" s="135"/>
      <c r="M19" s="136"/>
      <c r="N19" s="137"/>
    </row>
    <row r="20" spans="2:14" x14ac:dyDescent="0.25">
      <c r="B20" s="5" t="s">
        <v>76</v>
      </c>
      <c r="C20" s="6">
        <f>Model!I11/Model!H10-1</f>
        <v>0.5147407658420875</v>
      </c>
      <c r="L20" s="135"/>
      <c r="M20" s="136"/>
      <c r="N20" s="137"/>
    </row>
    <row r="21" spans="2:14" x14ac:dyDescent="0.25">
      <c r="B21" s="5" t="s">
        <v>77</v>
      </c>
      <c r="C21" s="6">
        <f>Model!J11/Model!I11-1</f>
        <v>0.15659955257270686</v>
      </c>
      <c r="L21" s="135"/>
      <c r="M21" s="136"/>
      <c r="N21" s="137"/>
    </row>
    <row r="22" spans="2:14" x14ac:dyDescent="0.25">
      <c r="B22" s="5" t="s">
        <v>70</v>
      </c>
      <c r="C22" s="15"/>
      <c r="L22" s="135"/>
      <c r="M22" s="136"/>
      <c r="N22" s="137"/>
    </row>
    <row r="23" spans="2:14" x14ac:dyDescent="0.25">
      <c r="B23" s="5" t="s">
        <v>19</v>
      </c>
      <c r="C23" s="15">
        <f>Model!H18</f>
        <v>1054</v>
      </c>
      <c r="L23" s="135"/>
      <c r="M23" s="136"/>
      <c r="N23" s="137"/>
    </row>
    <row r="24" spans="2:14" x14ac:dyDescent="0.25">
      <c r="B24" s="5" t="s">
        <v>30</v>
      </c>
      <c r="C24" s="7">
        <f>Model!AF27</f>
        <v>0.77001569858712715</v>
      </c>
      <c r="L24" s="135"/>
      <c r="M24" s="136"/>
      <c r="N24" s="137"/>
    </row>
    <row r="25" spans="2:14" x14ac:dyDescent="0.25">
      <c r="B25" s="5" t="s">
        <v>31</v>
      </c>
      <c r="C25" s="7">
        <f>Model!AF28</f>
        <v>0.43642072213500788</v>
      </c>
      <c r="L25" s="135"/>
      <c r="M25" s="136"/>
      <c r="N25" s="137"/>
    </row>
    <row r="26" spans="2:14" x14ac:dyDescent="0.25">
      <c r="B26" s="5" t="s">
        <v>71</v>
      </c>
      <c r="C26" s="36">
        <f>C12/C23</f>
        <v>97.640204551935497</v>
      </c>
      <c r="L26" s="135"/>
      <c r="M26" s="136"/>
      <c r="N26" s="137"/>
    </row>
    <row r="27" spans="2:14" x14ac:dyDescent="0.25">
      <c r="B27" s="5" t="s">
        <v>78</v>
      </c>
      <c r="C27" s="113">
        <v>0</v>
      </c>
      <c r="E27" t="s">
        <v>72</v>
      </c>
      <c r="L27" s="135"/>
      <c r="M27" s="136"/>
      <c r="N27" s="137"/>
    </row>
    <row r="28" spans="2:14" x14ac:dyDescent="0.25">
      <c r="B28" s="5" t="s">
        <v>79</v>
      </c>
      <c r="C28" s="36">
        <v>0</v>
      </c>
      <c r="L28" s="138"/>
      <c r="M28" s="139"/>
      <c r="N28" s="140"/>
    </row>
    <row r="29" spans="2:14" x14ac:dyDescent="0.25">
      <c r="B29" s="5" t="s">
        <v>80</v>
      </c>
      <c r="C29" s="36">
        <f>Model!AF52/Model!AF66</f>
        <v>1.2202856968439044</v>
      </c>
    </row>
    <row r="30" spans="2:14" x14ac:dyDescent="0.25">
      <c r="B30" s="5" t="s">
        <v>81</v>
      </c>
      <c r="C30" s="36">
        <f>(Model!AF41+Model!AF42)/Model!AF66</f>
        <v>0.38990293632867346</v>
      </c>
    </row>
    <row r="31" spans="2:14" x14ac:dyDescent="0.25">
      <c r="B31" s="5" t="s">
        <v>82</v>
      </c>
      <c r="C31" s="6"/>
    </row>
    <row r="32" spans="2:14" x14ac:dyDescent="0.25">
      <c r="B32" s="5" t="s">
        <v>83</v>
      </c>
      <c r="C32" s="36">
        <f>(Model!AF59-Model!AF68)/C7</f>
        <v>9.616575570127079</v>
      </c>
    </row>
    <row r="33" spans="2:9" x14ac:dyDescent="0.25">
      <c r="B33" s="5" t="s">
        <v>84</v>
      </c>
      <c r="C33" s="36"/>
    </row>
    <row r="34" spans="2:9" x14ac:dyDescent="0.25">
      <c r="B34" s="5" t="s">
        <v>85</v>
      </c>
      <c r="C34" s="38"/>
    </row>
    <row r="35" spans="2:9" x14ac:dyDescent="0.25">
      <c r="B35" s="5" t="s">
        <v>86</v>
      </c>
      <c r="C35" s="38"/>
    </row>
    <row r="36" spans="2:9" x14ac:dyDescent="0.25">
      <c r="B36" s="22" t="s">
        <v>87</v>
      </c>
      <c r="C36" s="23"/>
    </row>
    <row r="41" spans="2:9" x14ac:dyDescent="0.25">
      <c r="E41" s="51"/>
      <c r="F41" s="51"/>
      <c r="G41" s="52"/>
      <c r="H41" s="52"/>
      <c r="I41" s="52"/>
    </row>
  </sheetData>
  <mergeCells count="1">
    <mergeCell ref="L17:N2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AI90"/>
  <sheetViews>
    <sheetView zoomScaleNormal="100" workbookViewId="0">
      <pane xSplit="2" ySplit="2" topLeftCell="AA3" activePane="bottomRight" state="frozen"/>
      <selection pane="topRight" activeCell="B1" sqref="B1"/>
      <selection pane="bottomLeft" activeCell="A3" sqref="A3"/>
      <selection pane="bottomRight" activeCell="AH1" sqref="AH1"/>
    </sheetView>
  </sheetViews>
  <sheetFormatPr defaultColWidth="11.42578125" defaultRowHeight="15" x14ac:dyDescent="0.25"/>
  <cols>
    <col min="1" max="1" width="4.7109375" customWidth="1"/>
    <col min="2" max="2" width="27.28515625" customWidth="1"/>
    <col min="8" max="8" width="11.42578125" style="13"/>
    <col min="29" max="29" width="11.42578125" style="152"/>
    <col min="32" max="32" width="11.42578125" style="13"/>
  </cols>
  <sheetData>
    <row r="1" spans="1:35" x14ac:dyDescent="0.25">
      <c r="A1" s="8" t="s">
        <v>38</v>
      </c>
    </row>
    <row r="2" spans="1:35" x14ac:dyDescent="0.25">
      <c r="C2" t="s">
        <v>35</v>
      </c>
      <c r="D2" t="s">
        <v>18</v>
      </c>
      <c r="E2" t="s">
        <v>14</v>
      </c>
      <c r="F2" t="s">
        <v>15</v>
      </c>
      <c r="G2" t="s">
        <v>16</v>
      </c>
      <c r="H2" s="13" t="s">
        <v>33</v>
      </c>
      <c r="I2" t="s">
        <v>67</v>
      </c>
      <c r="J2" t="s">
        <v>242</v>
      </c>
      <c r="N2" t="s">
        <v>34</v>
      </c>
      <c r="O2" t="s">
        <v>10</v>
      </c>
      <c r="P2" t="s">
        <v>11</v>
      </c>
      <c r="Q2" t="s">
        <v>12</v>
      </c>
      <c r="R2" t="s">
        <v>13</v>
      </c>
      <c r="S2" t="s">
        <v>6</v>
      </c>
      <c r="T2" t="s">
        <v>7</v>
      </c>
      <c r="U2" t="s">
        <v>8</v>
      </c>
      <c r="V2" t="s">
        <v>9</v>
      </c>
      <c r="W2" t="s">
        <v>36</v>
      </c>
      <c r="X2" t="s">
        <v>40</v>
      </c>
      <c r="Y2" t="s">
        <v>41</v>
      </c>
      <c r="Z2" t="s">
        <v>63</v>
      </c>
      <c r="AA2" t="s">
        <v>66</v>
      </c>
      <c r="AB2" t="s">
        <v>224</v>
      </c>
      <c r="AC2" s="152" t="s">
        <v>225</v>
      </c>
      <c r="AD2" t="s">
        <v>228</v>
      </c>
      <c r="AE2" t="s">
        <v>229</v>
      </c>
      <c r="AF2" s="13" t="s">
        <v>247</v>
      </c>
      <c r="AG2" t="s">
        <v>248</v>
      </c>
      <c r="AH2" t="s">
        <v>249</v>
      </c>
      <c r="AI2" t="s">
        <v>250</v>
      </c>
    </row>
    <row r="3" spans="1:35" x14ac:dyDescent="0.25">
      <c r="B3" t="s">
        <v>188</v>
      </c>
      <c r="Q3">
        <v>163</v>
      </c>
      <c r="R3">
        <v>127</v>
      </c>
      <c r="S3">
        <v>113</v>
      </c>
      <c r="T3">
        <v>124</v>
      </c>
      <c r="U3">
        <v>124</v>
      </c>
      <c r="V3">
        <v>133</v>
      </c>
      <c r="W3">
        <v>127</v>
      </c>
      <c r="X3">
        <v>124</v>
      </c>
      <c r="Y3">
        <v>121</v>
      </c>
      <c r="Z3">
        <v>154</v>
      </c>
      <c r="AA3">
        <v>182</v>
      </c>
      <c r="AB3">
        <v>202</v>
      </c>
      <c r="AC3" s="152">
        <v>222</v>
      </c>
      <c r="AD3" s="162">
        <v>240</v>
      </c>
      <c r="AE3" s="162">
        <v>265</v>
      </c>
      <c r="AF3" s="13">
        <v>304</v>
      </c>
    </row>
    <row r="4" spans="1:35" x14ac:dyDescent="0.25">
      <c r="B4" t="s">
        <v>189</v>
      </c>
      <c r="Q4">
        <v>48</v>
      </c>
      <c r="R4">
        <v>54</v>
      </c>
      <c r="S4">
        <v>58</v>
      </c>
      <c r="T4">
        <v>51</v>
      </c>
      <c r="U4">
        <v>39</v>
      </c>
      <c r="V4">
        <v>38</v>
      </c>
      <c r="W4">
        <v>31</v>
      </c>
      <c r="X4">
        <v>23</v>
      </c>
      <c r="Y4">
        <v>43</v>
      </c>
      <c r="Z4">
        <v>126</v>
      </c>
      <c r="AA4">
        <v>81</v>
      </c>
      <c r="AB4">
        <v>61</v>
      </c>
      <c r="AC4" s="152">
        <v>358</v>
      </c>
      <c r="AD4" s="162">
        <v>252</v>
      </c>
      <c r="AE4" s="162">
        <v>160</v>
      </c>
      <c r="AF4" s="13">
        <v>268</v>
      </c>
    </row>
    <row r="5" spans="1:35" x14ac:dyDescent="0.25">
      <c r="B5" t="s">
        <v>245</v>
      </c>
      <c r="Q5">
        <v>52</v>
      </c>
      <c r="R5">
        <v>36</v>
      </c>
      <c r="S5">
        <v>29</v>
      </c>
      <c r="T5">
        <v>31</v>
      </c>
      <c r="U5">
        <v>21</v>
      </c>
      <c r="V5">
        <v>27</v>
      </c>
      <c r="W5">
        <v>25</v>
      </c>
      <c r="X5">
        <v>27</v>
      </c>
      <c r="Y5">
        <v>25</v>
      </c>
      <c r="Z5">
        <v>39</v>
      </c>
      <c r="AA5">
        <v>40</v>
      </c>
      <c r="AB5">
        <v>37</v>
      </c>
      <c r="AC5" s="152">
        <v>61</v>
      </c>
      <c r="AD5" s="162">
        <v>56</v>
      </c>
      <c r="AE5" s="162">
        <v>66</v>
      </c>
      <c r="AF5" s="13">
        <v>86</v>
      </c>
    </row>
    <row r="6" spans="1:35" x14ac:dyDescent="0.25">
      <c r="B6" t="s">
        <v>25</v>
      </c>
      <c r="Q6">
        <v>1</v>
      </c>
      <c r="R6">
        <v>1</v>
      </c>
      <c r="S6">
        <v>2</v>
      </c>
      <c r="T6">
        <v>2</v>
      </c>
      <c r="U6">
        <v>2</v>
      </c>
      <c r="V6">
        <v>9</v>
      </c>
      <c r="W6">
        <v>10</v>
      </c>
      <c r="X6">
        <v>11</v>
      </c>
      <c r="Y6">
        <v>11</v>
      </c>
      <c r="Z6">
        <v>10</v>
      </c>
      <c r="AA6">
        <v>24</v>
      </c>
      <c r="AB6">
        <v>19</v>
      </c>
      <c r="AC6" s="152">
        <v>31</v>
      </c>
      <c r="AD6" s="162">
        <v>35</v>
      </c>
      <c r="AE6" s="162">
        <v>48</v>
      </c>
      <c r="AF6" s="13">
        <v>72</v>
      </c>
    </row>
    <row r="7" spans="1:35" x14ac:dyDescent="0.25">
      <c r="B7" s="9" t="s">
        <v>246</v>
      </c>
      <c r="C7" s="10">
        <v>170.83099999999999</v>
      </c>
      <c r="D7" s="10">
        <v>720.13300000000004</v>
      </c>
      <c r="E7" s="10">
        <v>1402</v>
      </c>
      <c r="F7" s="10">
        <v>814</v>
      </c>
      <c r="G7" s="10">
        <v>785</v>
      </c>
      <c r="H7" s="15">
        <v>1647</v>
      </c>
      <c r="N7">
        <v>420</v>
      </c>
      <c r="O7">
        <v>451</v>
      </c>
      <c r="P7">
        <v>267</v>
      </c>
      <c r="Q7" s="40">
        <f>SUM(Q3:Q6)</f>
        <v>264</v>
      </c>
      <c r="R7" s="40">
        <f t="shared" ref="R7:AH7" si="0">SUM(R3:R6)</f>
        <v>218</v>
      </c>
      <c r="S7" s="40">
        <f t="shared" si="0"/>
        <v>202</v>
      </c>
      <c r="T7" s="40">
        <f t="shared" si="0"/>
        <v>208</v>
      </c>
      <c r="U7" s="40">
        <f t="shared" si="0"/>
        <v>186</v>
      </c>
      <c r="V7" s="40">
        <f t="shared" si="0"/>
        <v>207</v>
      </c>
      <c r="W7" s="40">
        <f t="shared" si="0"/>
        <v>193</v>
      </c>
      <c r="X7" s="40">
        <f t="shared" si="0"/>
        <v>185</v>
      </c>
      <c r="Y7" s="40">
        <f t="shared" si="0"/>
        <v>200</v>
      </c>
      <c r="Z7" s="40">
        <f t="shared" si="0"/>
        <v>329</v>
      </c>
      <c r="AA7" s="40">
        <f t="shared" si="0"/>
        <v>327</v>
      </c>
      <c r="AB7" s="40">
        <f t="shared" si="0"/>
        <v>319</v>
      </c>
      <c r="AC7" s="153">
        <f t="shared" si="0"/>
        <v>672</v>
      </c>
      <c r="AD7" s="40">
        <f t="shared" si="0"/>
        <v>583</v>
      </c>
      <c r="AE7" s="40">
        <f t="shared" si="0"/>
        <v>539</v>
      </c>
      <c r="AF7" s="125">
        <f t="shared" si="0"/>
        <v>730</v>
      </c>
      <c r="AG7" s="40">
        <f t="shared" si="0"/>
        <v>0</v>
      </c>
      <c r="AH7" s="40">
        <f t="shared" si="0"/>
        <v>0</v>
      </c>
    </row>
    <row r="8" spans="1:35" x14ac:dyDescent="0.25">
      <c r="B8" s="9" t="s">
        <v>214</v>
      </c>
      <c r="C8" s="10">
        <v>70.638999999999996</v>
      </c>
      <c r="D8" s="10">
        <v>177.43700000000001</v>
      </c>
      <c r="E8" s="10">
        <v>256</v>
      </c>
      <c r="F8" s="10">
        <v>424</v>
      </c>
      <c r="G8" s="10">
        <v>929</v>
      </c>
      <c r="H8" s="15">
        <v>1109</v>
      </c>
      <c r="N8">
        <v>62</v>
      </c>
      <c r="O8">
        <v>68</v>
      </c>
      <c r="P8">
        <v>63</v>
      </c>
      <c r="Q8" s="10">
        <f t="shared" ref="Q8:Q9" si="1">E8-P8-O8-N8</f>
        <v>63</v>
      </c>
      <c r="R8">
        <v>55</v>
      </c>
      <c r="S8">
        <v>74</v>
      </c>
      <c r="T8">
        <v>128</v>
      </c>
      <c r="U8" s="10">
        <f t="shared" ref="U8:U9" si="2">F8-T8-S8-R8</f>
        <v>167</v>
      </c>
      <c r="V8">
        <v>208</v>
      </c>
      <c r="W8">
        <v>234</v>
      </c>
      <c r="X8">
        <v>251</v>
      </c>
      <c r="Y8" s="10">
        <f t="shared" ref="Y8:Y9" si="3">G8-X8-W8-V8</f>
        <v>236</v>
      </c>
      <c r="Z8">
        <v>254</v>
      </c>
      <c r="AA8">
        <v>285</v>
      </c>
      <c r="AB8">
        <v>274</v>
      </c>
      <c r="AC8" s="154">
        <f t="shared" ref="AC8:AC9" si="4">H8-AB8-AA8-Z8</f>
        <v>296</v>
      </c>
      <c r="AD8" s="162">
        <v>290</v>
      </c>
      <c r="AE8" s="162">
        <v>357</v>
      </c>
      <c r="AF8" s="13">
        <v>456</v>
      </c>
    </row>
    <row r="9" spans="1:35" x14ac:dyDescent="0.25">
      <c r="B9" s="9" t="s">
        <v>25</v>
      </c>
      <c r="C9" s="10">
        <v>36.063000000000002</v>
      </c>
      <c r="D9" s="10">
        <v>61.262999999999998</v>
      </c>
      <c r="E9" s="10">
        <v>157</v>
      </c>
      <c r="F9" s="10">
        <v>120</v>
      </c>
      <c r="G9" s="10">
        <v>151</v>
      </c>
      <c r="H9" s="15">
        <v>195</v>
      </c>
      <c r="N9">
        <v>40</v>
      </c>
      <c r="O9">
        <v>46</v>
      </c>
      <c r="P9">
        <v>25</v>
      </c>
      <c r="Q9" s="10">
        <f t="shared" si="1"/>
        <v>46</v>
      </c>
      <c r="R9">
        <v>26</v>
      </c>
      <c r="S9">
        <v>42</v>
      </c>
      <c r="T9">
        <v>25</v>
      </c>
      <c r="U9" s="10">
        <f t="shared" si="2"/>
        <v>27</v>
      </c>
      <c r="V9">
        <v>26</v>
      </c>
      <c r="W9">
        <v>59</v>
      </c>
      <c r="X9">
        <v>31</v>
      </c>
      <c r="Y9" s="10">
        <f t="shared" si="3"/>
        <v>35</v>
      </c>
      <c r="Z9">
        <v>35</v>
      </c>
      <c r="AA9">
        <v>70</v>
      </c>
      <c r="AB9">
        <v>44</v>
      </c>
      <c r="AC9" s="154">
        <f t="shared" si="4"/>
        <v>46</v>
      </c>
      <c r="AD9" s="162">
        <v>54</v>
      </c>
      <c r="AE9" s="162">
        <v>93</v>
      </c>
      <c r="AF9" s="13">
        <v>88</v>
      </c>
    </row>
    <row r="10" spans="1:35" s="1" customFormat="1" x14ac:dyDescent="0.25">
      <c r="B10" s="1" t="s">
        <v>17</v>
      </c>
      <c r="C10" s="11">
        <f t="shared" ref="C10:H10" si="5">SUM(C7:C9)</f>
        <v>277.53299999999996</v>
      </c>
      <c r="D10" s="11">
        <f t="shared" si="5"/>
        <v>958.83300000000008</v>
      </c>
      <c r="E10" s="11">
        <f t="shared" si="5"/>
        <v>1815</v>
      </c>
      <c r="F10" s="11">
        <f t="shared" si="5"/>
        <v>1358</v>
      </c>
      <c r="G10" s="11">
        <f t="shared" si="5"/>
        <v>1865</v>
      </c>
      <c r="H10" s="123">
        <f t="shared" si="5"/>
        <v>2951</v>
      </c>
      <c r="I10" s="43">
        <f>I11</f>
        <v>4470</v>
      </c>
      <c r="J10" s="43">
        <f>J11</f>
        <v>5170</v>
      </c>
      <c r="N10" s="11">
        <f>SUM(N7:N9)</f>
        <v>522</v>
      </c>
      <c r="O10" s="11">
        <f t="shared" ref="O10:AC10" si="6">SUM(O7:O9)</f>
        <v>565</v>
      </c>
      <c r="P10" s="11">
        <f t="shared" si="6"/>
        <v>355</v>
      </c>
      <c r="Q10" s="11">
        <f t="shared" si="6"/>
        <v>373</v>
      </c>
      <c r="R10" s="11">
        <f t="shared" si="6"/>
        <v>299</v>
      </c>
      <c r="S10" s="11">
        <f t="shared" si="6"/>
        <v>318</v>
      </c>
      <c r="T10" s="11">
        <f t="shared" si="6"/>
        <v>361</v>
      </c>
      <c r="U10" s="11">
        <f t="shared" si="6"/>
        <v>380</v>
      </c>
      <c r="V10" s="11">
        <f t="shared" si="6"/>
        <v>441</v>
      </c>
      <c r="W10" s="11">
        <f t="shared" si="6"/>
        <v>486</v>
      </c>
      <c r="X10" s="11">
        <f t="shared" si="6"/>
        <v>467</v>
      </c>
      <c r="Y10" s="11">
        <f t="shared" si="6"/>
        <v>471</v>
      </c>
      <c r="Z10" s="11">
        <f t="shared" si="6"/>
        <v>618</v>
      </c>
      <c r="AA10" s="11">
        <f t="shared" si="6"/>
        <v>682</v>
      </c>
      <c r="AB10" s="11">
        <f t="shared" si="6"/>
        <v>637</v>
      </c>
      <c r="AC10" s="155">
        <f>SUM(AC7:AC9)</f>
        <v>1014</v>
      </c>
      <c r="AD10" s="155">
        <f t="shared" ref="AD10:AI10" si="7">SUM(AD7:AD9)</f>
        <v>927</v>
      </c>
      <c r="AE10" s="155">
        <f t="shared" si="7"/>
        <v>989</v>
      </c>
      <c r="AF10" s="14">
        <f t="shared" si="7"/>
        <v>1274</v>
      </c>
      <c r="AG10" s="155">
        <f t="shared" si="7"/>
        <v>0</v>
      </c>
      <c r="AH10" s="155">
        <f t="shared" si="7"/>
        <v>0</v>
      </c>
      <c r="AI10" s="155">
        <f t="shared" si="7"/>
        <v>0</v>
      </c>
    </row>
    <row r="11" spans="1:35" x14ac:dyDescent="0.25">
      <c r="B11" s="9" t="s">
        <v>65</v>
      </c>
      <c r="C11" s="10"/>
      <c r="D11" s="10"/>
      <c r="E11" s="10"/>
      <c r="F11" s="10"/>
      <c r="G11" s="10"/>
      <c r="H11" s="124">
        <v>2620</v>
      </c>
      <c r="I11" s="42">
        <v>4470</v>
      </c>
      <c r="J11">
        <v>5170</v>
      </c>
      <c r="N11" s="40"/>
      <c r="O11" s="40"/>
      <c r="P11" s="40"/>
      <c r="Q11" s="40"/>
      <c r="R11" s="40"/>
      <c r="S11" s="40"/>
      <c r="T11" s="40"/>
      <c r="U11" s="40"/>
      <c r="V11" s="40"/>
      <c r="W11" s="40"/>
      <c r="X11" s="40"/>
      <c r="Y11" s="10"/>
      <c r="Z11" s="119">
        <v>548.61</v>
      </c>
      <c r="AA11" s="122">
        <v>595.92999999999995</v>
      </c>
      <c r="AB11">
        <v>650.86</v>
      </c>
      <c r="AC11" s="152">
        <v>642.91</v>
      </c>
      <c r="AD11">
        <v>925</v>
      </c>
      <c r="AE11">
        <v>931.27</v>
      </c>
      <c r="AG11" s="162">
        <v>1280</v>
      </c>
      <c r="AH11" s="162">
        <v>1270</v>
      </c>
    </row>
    <row r="12" spans="1:35" x14ac:dyDescent="0.25">
      <c r="B12" t="s">
        <v>215</v>
      </c>
      <c r="C12" s="10">
        <v>45.459000000000003</v>
      </c>
      <c r="D12" s="10">
        <v>111.083</v>
      </c>
      <c r="E12" s="10">
        <v>158</v>
      </c>
      <c r="F12" s="10">
        <v>179</v>
      </c>
      <c r="G12" s="10">
        <v>146</v>
      </c>
      <c r="H12" s="15">
        <v>164</v>
      </c>
      <c r="I12" s="10"/>
      <c r="N12" s="10">
        <v>41</v>
      </c>
      <c r="O12" s="10">
        <v>38</v>
      </c>
      <c r="P12" s="10">
        <v>44</v>
      </c>
      <c r="Q12" s="10">
        <f t="shared" ref="Q12:Q13" si="8">E12-P12-O12-N12</f>
        <v>35</v>
      </c>
      <c r="R12" s="10">
        <v>31</v>
      </c>
      <c r="S12" s="10">
        <v>30</v>
      </c>
      <c r="T12" s="10">
        <v>33</v>
      </c>
      <c r="U12" s="10">
        <f t="shared" ref="U12:U13" si="9">F12-T12-S12-R12</f>
        <v>85</v>
      </c>
      <c r="V12" s="10">
        <v>36</v>
      </c>
      <c r="W12" s="10">
        <v>39</v>
      </c>
      <c r="X12" s="10">
        <v>39</v>
      </c>
      <c r="Y12" s="10">
        <f t="shared" ref="Y12:Y13" si="10">G12-X12-W12-V12</f>
        <v>32</v>
      </c>
      <c r="Z12" s="10">
        <v>35</v>
      </c>
      <c r="AA12" s="10">
        <v>40</v>
      </c>
      <c r="AB12" s="10">
        <v>39</v>
      </c>
      <c r="AC12" s="154">
        <f t="shared" ref="AC12:AC13" si="11">H12-AB12-AA12-Z12</f>
        <v>50</v>
      </c>
      <c r="AD12" s="161">
        <v>50</v>
      </c>
      <c r="AE12" s="161">
        <v>48</v>
      </c>
      <c r="AF12" s="13">
        <v>56</v>
      </c>
    </row>
    <row r="13" spans="1:35" x14ac:dyDescent="0.25">
      <c r="B13" t="s">
        <v>216</v>
      </c>
      <c r="C13" s="10">
        <v>94.932000000000002</v>
      </c>
      <c r="D13" s="10">
        <v>215.63</v>
      </c>
      <c r="E13" s="10">
        <v>1234</v>
      </c>
      <c r="F13" s="10">
        <v>878</v>
      </c>
      <c r="G13" s="10">
        <v>805</v>
      </c>
      <c r="H13" s="15">
        <v>818</v>
      </c>
      <c r="I13" s="10"/>
      <c r="N13" s="10">
        <v>117</v>
      </c>
      <c r="O13" s="10">
        <v>156</v>
      </c>
      <c r="P13" s="10">
        <v>679</v>
      </c>
      <c r="Q13" s="10">
        <f t="shared" si="8"/>
        <v>282</v>
      </c>
      <c r="R13" s="10">
        <v>268</v>
      </c>
      <c r="S13" s="10">
        <v>245</v>
      </c>
      <c r="T13" s="10">
        <v>185</v>
      </c>
      <c r="U13" s="10">
        <f t="shared" si="9"/>
        <v>180</v>
      </c>
      <c r="V13" s="10">
        <v>199</v>
      </c>
      <c r="W13" s="10">
        <v>207</v>
      </c>
      <c r="X13" s="10">
        <v>202</v>
      </c>
      <c r="Y13" s="10">
        <f t="shared" si="10"/>
        <v>197</v>
      </c>
      <c r="Z13" s="10">
        <v>196</v>
      </c>
      <c r="AA13" s="10">
        <v>209</v>
      </c>
      <c r="AB13" s="10">
        <v>205</v>
      </c>
      <c r="AC13" s="154">
        <f t="shared" si="11"/>
        <v>208</v>
      </c>
      <c r="AD13" s="161">
        <v>214</v>
      </c>
      <c r="AE13" s="161">
        <v>214</v>
      </c>
      <c r="AF13" s="13">
        <v>237</v>
      </c>
    </row>
    <row r="14" spans="1:35" s="1" customFormat="1" x14ac:dyDescent="0.25">
      <c r="B14" s="1" t="s">
        <v>60</v>
      </c>
      <c r="C14" s="11">
        <f t="shared" ref="C14:J14" si="12">SUM(C12:C13)</f>
        <v>140.39100000000002</v>
      </c>
      <c r="D14" s="11">
        <f t="shared" si="12"/>
        <v>326.71299999999997</v>
      </c>
      <c r="E14" s="11">
        <f t="shared" si="12"/>
        <v>1392</v>
      </c>
      <c r="F14" s="11">
        <f t="shared" si="12"/>
        <v>1057</v>
      </c>
      <c r="G14" s="11">
        <f t="shared" si="12"/>
        <v>951</v>
      </c>
      <c r="H14" s="14">
        <f t="shared" si="12"/>
        <v>982</v>
      </c>
      <c r="I14" s="11">
        <f t="shared" si="12"/>
        <v>0</v>
      </c>
      <c r="J14" s="11">
        <f t="shared" si="12"/>
        <v>0</v>
      </c>
      <c r="N14" s="11">
        <f t="shared" ref="N14:AI14" si="13">SUM(N12:N13)</f>
        <v>158</v>
      </c>
      <c r="O14" s="11">
        <f t="shared" si="13"/>
        <v>194</v>
      </c>
      <c r="P14" s="11">
        <f>SUM(P12:P13)</f>
        <v>723</v>
      </c>
      <c r="Q14" s="11">
        <f t="shared" si="13"/>
        <v>317</v>
      </c>
      <c r="R14" s="11">
        <f t="shared" si="13"/>
        <v>299</v>
      </c>
      <c r="S14" s="11">
        <f t="shared" si="13"/>
        <v>275</v>
      </c>
      <c r="T14" s="11">
        <f t="shared" si="13"/>
        <v>218</v>
      </c>
      <c r="U14" s="11">
        <f t="shared" si="13"/>
        <v>265</v>
      </c>
      <c r="V14" s="11">
        <f t="shared" si="13"/>
        <v>235</v>
      </c>
      <c r="W14" s="11">
        <f t="shared" si="13"/>
        <v>246</v>
      </c>
      <c r="X14" s="11">
        <f t="shared" si="13"/>
        <v>241</v>
      </c>
      <c r="Y14" s="11">
        <f t="shared" si="13"/>
        <v>229</v>
      </c>
      <c r="Z14" s="11">
        <f t="shared" si="13"/>
        <v>231</v>
      </c>
      <c r="AA14" s="11">
        <f t="shared" si="13"/>
        <v>249</v>
      </c>
      <c r="AB14" s="11">
        <f t="shared" si="13"/>
        <v>244</v>
      </c>
      <c r="AC14" s="155">
        <f t="shared" si="13"/>
        <v>258</v>
      </c>
      <c r="AD14" s="155">
        <f t="shared" si="13"/>
        <v>264</v>
      </c>
      <c r="AE14" s="155">
        <f t="shared" si="13"/>
        <v>262</v>
      </c>
      <c r="AF14" s="14">
        <f t="shared" si="13"/>
        <v>293</v>
      </c>
      <c r="AG14" s="155">
        <f t="shared" si="13"/>
        <v>0</v>
      </c>
      <c r="AH14" s="155">
        <f t="shared" si="13"/>
        <v>0</v>
      </c>
      <c r="AI14" s="155">
        <f t="shared" si="13"/>
        <v>0</v>
      </c>
    </row>
    <row r="15" spans="1:35" x14ac:dyDescent="0.25">
      <c r="B15" t="s">
        <v>217</v>
      </c>
      <c r="C15" s="10">
        <v>33.869</v>
      </c>
      <c r="D15" s="10">
        <v>137.905</v>
      </c>
      <c r="E15" s="10">
        <v>368</v>
      </c>
      <c r="F15" s="10">
        <v>285</v>
      </c>
      <c r="G15" s="10">
        <v>159</v>
      </c>
      <c r="H15" s="125">
        <v>112</v>
      </c>
      <c r="I15" s="40"/>
      <c r="N15" s="10">
        <v>67</v>
      </c>
      <c r="O15" s="10">
        <v>101</v>
      </c>
      <c r="P15" s="10">
        <v>108</v>
      </c>
      <c r="Q15" s="10">
        <f t="shared" ref="Q15:Q17" si="14">E15-P15-O15-N15</f>
        <v>92</v>
      </c>
      <c r="R15" s="10">
        <v>91</v>
      </c>
      <c r="S15" s="10">
        <v>86</v>
      </c>
      <c r="T15" s="10">
        <v>65</v>
      </c>
      <c r="U15" s="10">
        <f t="shared" ref="U15:U17" si="15">F15-T15-S15-R15</f>
        <v>43</v>
      </c>
      <c r="V15" s="10">
        <v>42</v>
      </c>
      <c r="W15" s="10">
        <v>36</v>
      </c>
      <c r="X15" s="10">
        <v>41</v>
      </c>
      <c r="Y15" s="10">
        <f t="shared" ref="Y15:Y17" si="16">G15-X15-W15-V15</f>
        <v>40</v>
      </c>
      <c r="Z15" s="10">
        <v>44</v>
      </c>
      <c r="AA15">
        <v>46</v>
      </c>
      <c r="AB15" s="10">
        <v>50</v>
      </c>
      <c r="AC15" s="154">
        <f t="shared" ref="AC15:AC17" si="17">H15-AB15-AA15-Z15</f>
        <v>-28</v>
      </c>
      <c r="AD15" s="161">
        <f>31+24</f>
        <v>55</v>
      </c>
      <c r="AE15">
        <f>29+28</f>
        <v>57</v>
      </c>
      <c r="AF15" s="13">
        <f>33+26</f>
        <v>59</v>
      </c>
    </row>
    <row r="16" spans="1:35" x14ac:dyDescent="0.25">
      <c r="B16" t="s">
        <v>218</v>
      </c>
      <c r="C16" s="10">
        <v>124.699</v>
      </c>
      <c r="D16" s="10">
        <v>185.74100000000001</v>
      </c>
      <c r="E16" s="10">
        <v>325</v>
      </c>
      <c r="F16" s="10">
        <v>103</v>
      </c>
      <c r="G16" s="10">
        <v>122</v>
      </c>
      <c r="H16" s="125">
        <f>76+272</f>
        <v>348</v>
      </c>
      <c r="I16" s="40"/>
      <c r="N16" s="10">
        <v>102</v>
      </c>
      <c r="O16" s="10">
        <v>94</v>
      </c>
      <c r="P16" s="10">
        <v>87</v>
      </c>
      <c r="Q16" s="10">
        <f t="shared" si="14"/>
        <v>42</v>
      </c>
      <c r="R16" s="10">
        <v>32</v>
      </c>
      <c r="S16" s="10">
        <v>23</v>
      </c>
      <c r="T16" s="10">
        <v>19</v>
      </c>
      <c r="U16" s="10">
        <f t="shared" si="15"/>
        <v>29</v>
      </c>
      <c r="V16" s="10">
        <v>26</v>
      </c>
      <c r="W16" s="10">
        <v>25</v>
      </c>
      <c r="X16" s="10">
        <v>28</v>
      </c>
      <c r="Y16" s="10">
        <f t="shared" si="16"/>
        <v>43</v>
      </c>
      <c r="Z16" s="10">
        <v>67</v>
      </c>
      <c r="AA16">
        <v>64</v>
      </c>
      <c r="AB16" s="10">
        <v>59</v>
      </c>
      <c r="AC16" s="154">
        <f t="shared" si="17"/>
        <v>158</v>
      </c>
      <c r="AD16" s="161">
        <v>105</v>
      </c>
      <c r="AE16" s="161">
        <v>99</v>
      </c>
      <c r="AF16" s="13">
        <v>102</v>
      </c>
    </row>
    <row r="17" spans="2:35" x14ac:dyDescent="0.25">
      <c r="B17" t="s">
        <v>129</v>
      </c>
      <c r="C17" s="10">
        <v>85.504000000000005</v>
      </c>
      <c r="D17" s="10">
        <v>294.69400000000002</v>
      </c>
      <c r="E17" s="10">
        <v>1371</v>
      </c>
      <c r="F17" s="10">
        <v>924</v>
      </c>
      <c r="G17" s="10">
        <v>1169</v>
      </c>
      <c r="H17" s="15">
        <v>455</v>
      </c>
      <c r="I17" s="10"/>
      <c r="N17" s="10">
        <v>137</v>
      </c>
      <c r="O17" s="10">
        <v>112</v>
      </c>
      <c r="P17" s="10">
        <v>790</v>
      </c>
      <c r="Q17" s="10">
        <f t="shared" si="14"/>
        <v>332</v>
      </c>
      <c r="R17" s="10">
        <v>268</v>
      </c>
      <c r="S17" s="10">
        <v>226</v>
      </c>
      <c r="T17" s="10">
        <v>233</v>
      </c>
      <c r="U17" s="10">
        <f t="shared" si="15"/>
        <v>197</v>
      </c>
      <c r="V17" s="10">
        <v>647</v>
      </c>
      <c r="W17" s="10">
        <v>159</v>
      </c>
      <c r="X17" s="10">
        <v>230</v>
      </c>
      <c r="Y17" s="10">
        <f t="shared" si="16"/>
        <v>133</v>
      </c>
      <c r="Z17" s="10">
        <v>118</v>
      </c>
      <c r="AA17">
        <v>134</v>
      </c>
      <c r="AB17" s="10">
        <v>133</v>
      </c>
      <c r="AC17" s="154">
        <f t="shared" si="17"/>
        <v>70</v>
      </c>
      <c r="AD17" s="161">
        <v>133</v>
      </c>
      <c r="AE17" s="161">
        <v>132</v>
      </c>
      <c r="AF17" s="13">
        <v>185</v>
      </c>
    </row>
    <row r="18" spans="2:35" s="1" customFormat="1" x14ac:dyDescent="0.25">
      <c r="B18" s="1" t="s">
        <v>23</v>
      </c>
      <c r="C18" s="11">
        <f t="shared" ref="C18:J18" si="18">C10-SUM(C14:C17)</f>
        <v>-106.93000000000006</v>
      </c>
      <c r="D18" s="11">
        <f t="shared" si="18"/>
        <v>13.7800000000002</v>
      </c>
      <c r="E18" s="11">
        <f t="shared" si="18"/>
        <v>-1641</v>
      </c>
      <c r="F18" s="11">
        <f t="shared" si="18"/>
        <v>-1011</v>
      </c>
      <c r="G18" s="11">
        <f t="shared" si="18"/>
        <v>-536</v>
      </c>
      <c r="H18" s="14">
        <f t="shared" si="18"/>
        <v>1054</v>
      </c>
      <c r="I18" s="11">
        <f t="shared" si="18"/>
        <v>4470</v>
      </c>
      <c r="J18" s="11">
        <f t="shared" si="18"/>
        <v>5170</v>
      </c>
      <c r="K18" s="11"/>
      <c r="L18" s="11"/>
      <c r="M18" s="11"/>
      <c r="N18" s="11">
        <f t="shared" ref="N18:AI18" si="19">N10-SUM(N14:N17)</f>
        <v>58</v>
      </c>
      <c r="O18" s="11">
        <f t="shared" si="19"/>
        <v>64</v>
      </c>
      <c r="P18" s="11">
        <f t="shared" si="19"/>
        <v>-1353</v>
      </c>
      <c r="Q18" s="11">
        <f t="shared" si="19"/>
        <v>-410</v>
      </c>
      <c r="R18" s="11">
        <f t="shared" si="19"/>
        <v>-391</v>
      </c>
      <c r="S18" s="11">
        <f t="shared" si="19"/>
        <v>-292</v>
      </c>
      <c r="T18" s="11">
        <f t="shared" si="19"/>
        <v>-174</v>
      </c>
      <c r="U18" s="11">
        <f t="shared" si="19"/>
        <v>-154</v>
      </c>
      <c r="V18" s="11">
        <f t="shared" si="19"/>
        <v>-509</v>
      </c>
      <c r="W18" s="11">
        <f t="shared" si="19"/>
        <v>20</v>
      </c>
      <c r="X18" s="11">
        <f t="shared" si="19"/>
        <v>-73</v>
      </c>
      <c r="Y18" s="11">
        <f t="shared" si="19"/>
        <v>26</v>
      </c>
      <c r="Z18" s="11">
        <f t="shared" si="19"/>
        <v>158</v>
      </c>
      <c r="AA18" s="11">
        <f t="shared" si="19"/>
        <v>189</v>
      </c>
      <c r="AB18" s="11">
        <f t="shared" si="19"/>
        <v>151</v>
      </c>
      <c r="AC18" s="155">
        <f t="shared" si="19"/>
        <v>556</v>
      </c>
      <c r="AD18" s="155">
        <f t="shared" si="19"/>
        <v>370</v>
      </c>
      <c r="AE18" s="155">
        <f t="shared" si="19"/>
        <v>439</v>
      </c>
      <c r="AF18" s="14">
        <f t="shared" si="19"/>
        <v>635</v>
      </c>
      <c r="AG18" s="155">
        <f t="shared" si="19"/>
        <v>0</v>
      </c>
      <c r="AH18" s="155">
        <f t="shared" si="19"/>
        <v>0</v>
      </c>
      <c r="AI18" s="155">
        <f t="shared" si="19"/>
        <v>0</v>
      </c>
    </row>
    <row r="19" spans="2:35" x14ac:dyDescent="0.25">
      <c r="B19" t="s">
        <v>223</v>
      </c>
      <c r="C19" s="10"/>
      <c r="D19" s="10"/>
      <c r="E19" s="10">
        <v>2045</v>
      </c>
      <c r="F19" s="10"/>
      <c r="G19" s="10"/>
      <c r="H19" s="125"/>
      <c r="I19" s="40"/>
      <c r="N19" s="10">
        <v>1492</v>
      </c>
      <c r="O19" s="10">
        <v>528</v>
      </c>
      <c r="P19" s="10">
        <v>25</v>
      </c>
      <c r="Q19" s="10">
        <f t="shared" ref="Q19:Q20" si="20">E19-P19-O19-N19</f>
        <v>0</v>
      </c>
      <c r="R19" s="10"/>
      <c r="S19" s="10"/>
      <c r="T19" s="10"/>
      <c r="U19" s="10">
        <f t="shared" ref="U19:U20" si="21">F19-T19-S19-R19</f>
        <v>0</v>
      </c>
      <c r="V19" s="10"/>
      <c r="W19" s="10"/>
      <c r="X19" s="10"/>
      <c r="Y19" s="10"/>
      <c r="AC19" s="154">
        <f t="shared" ref="AC19:AC20" si="22">H19-AB19-AA19-Z19</f>
        <v>0</v>
      </c>
    </row>
    <row r="20" spans="2:35" x14ac:dyDescent="0.25">
      <c r="B20" t="s">
        <v>25</v>
      </c>
      <c r="C20" s="10">
        <v>-0.65700000000000003</v>
      </c>
      <c r="D20" s="10">
        <v>0.05</v>
      </c>
      <c r="E20" s="10">
        <v>1</v>
      </c>
      <c r="F20" s="10">
        <v>-16</v>
      </c>
      <c r="G20" s="10">
        <v>3</v>
      </c>
      <c r="H20" s="125">
        <v>10</v>
      </c>
      <c r="I20" s="40"/>
      <c r="N20" s="10">
        <v>-1</v>
      </c>
      <c r="O20" s="10"/>
      <c r="P20" s="10">
        <v>-1</v>
      </c>
      <c r="Q20" s="10">
        <f t="shared" si="20"/>
        <v>3</v>
      </c>
      <c r="R20" s="10"/>
      <c r="S20" s="10">
        <v>2</v>
      </c>
      <c r="T20" s="10"/>
      <c r="U20" s="10">
        <f t="shared" si="21"/>
        <v>-18</v>
      </c>
      <c r="V20" s="10"/>
      <c r="W20" s="10">
        <v>-2</v>
      </c>
      <c r="X20" s="10">
        <v>2</v>
      </c>
      <c r="Y20" s="10">
        <f>G20-X20-W20-V20</f>
        <v>3</v>
      </c>
      <c r="Z20" s="10">
        <v>-4</v>
      </c>
      <c r="AA20">
        <v>2</v>
      </c>
      <c r="AB20" s="10">
        <v>2</v>
      </c>
      <c r="AC20" s="154">
        <f t="shared" si="22"/>
        <v>10</v>
      </c>
      <c r="AD20" s="161">
        <v>1</v>
      </c>
      <c r="AE20" s="161">
        <v>3</v>
      </c>
      <c r="AF20" s="13">
        <v>-1</v>
      </c>
    </row>
    <row r="21" spans="2:35" s="1" customFormat="1" x14ac:dyDescent="0.25">
      <c r="B21" s="1" t="s">
        <v>130</v>
      </c>
      <c r="C21" s="11">
        <f>C18+SUM(C19:C20)</f>
        <v>-107.58700000000006</v>
      </c>
      <c r="D21" s="11">
        <f t="shared" ref="D21:G21" si="23">D18+SUM(D19:D20)</f>
        <v>13.830000000000201</v>
      </c>
      <c r="E21" s="11">
        <f t="shared" si="23"/>
        <v>405</v>
      </c>
      <c r="F21" s="11">
        <f t="shared" si="23"/>
        <v>-1027</v>
      </c>
      <c r="G21" s="11">
        <f t="shared" si="23"/>
        <v>-533</v>
      </c>
      <c r="H21" s="14">
        <f>H18+SUM(H19:H20)</f>
        <v>1064</v>
      </c>
      <c r="I21" s="11">
        <f>I18-SUM(I19:I20)</f>
        <v>4470</v>
      </c>
      <c r="J21" s="11">
        <f>J18-SUM(J19:J20)</f>
        <v>5170</v>
      </c>
      <c r="N21" s="11">
        <f>N18-SUM(N19:N20)</f>
        <v>-1433</v>
      </c>
      <c r="O21" s="11">
        <f t="shared" ref="O21:Z21" si="24">O18-SUM(O19:O20)</f>
        <v>-464</v>
      </c>
      <c r="P21" s="11">
        <f>P18-SUM(P19:P20)</f>
        <v>-1377</v>
      </c>
      <c r="Q21" s="11">
        <f t="shared" si="24"/>
        <v>-413</v>
      </c>
      <c r="R21" s="11">
        <f t="shared" si="24"/>
        <v>-391</v>
      </c>
      <c r="S21" s="11">
        <f t="shared" si="24"/>
        <v>-294</v>
      </c>
      <c r="T21" s="11">
        <f t="shared" si="24"/>
        <v>-174</v>
      </c>
      <c r="U21" s="11">
        <f t="shared" si="24"/>
        <v>-136</v>
      </c>
      <c r="V21" s="11">
        <f t="shared" si="24"/>
        <v>-509</v>
      </c>
      <c r="W21" s="11">
        <f t="shared" si="24"/>
        <v>22</v>
      </c>
      <c r="X21" s="11">
        <f t="shared" si="24"/>
        <v>-75</v>
      </c>
      <c r="Y21" s="11">
        <f t="shared" si="24"/>
        <v>23</v>
      </c>
      <c r="Z21" s="11">
        <f t="shared" si="24"/>
        <v>162</v>
      </c>
      <c r="AA21" s="11">
        <f>AA18+SUM(AA19:AA20)</f>
        <v>191</v>
      </c>
      <c r="AB21" s="11">
        <f t="shared" ref="AB21:AI21" si="25">AB18+SUM(AB19:AB20)</f>
        <v>153</v>
      </c>
      <c r="AC21" s="155">
        <f t="shared" si="25"/>
        <v>566</v>
      </c>
      <c r="AD21" s="155">
        <f t="shared" si="25"/>
        <v>371</v>
      </c>
      <c r="AE21" s="155">
        <f t="shared" si="25"/>
        <v>442</v>
      </c>
      <c r="AF21" s="14">
        <f t="shared" si="25"/>
        <v>634</v>
      </c>
      <c r="AG21" s="155">
        <f t="shared" si="25"/>
        <v>0</v>
      </c>
      <c r="AH21" s="155">
        <f t="shared" si="25"/>
        <v>0</v>
      </c>
      <c r="AI21" s="155">
        <f t="shared" si="25"/>
        <v>0</v>
      </c>
    </row>
    <row r="22" spans="2:35" x14ac:dyDescent="0.25">
      <c r="B22" t="s">
        <v>20</v>
      </c>
      <c r="C22" s="10">
        <v>-1.018</v>
      </c>
      <c r="D22" s="10">
        <v>6.3810000000000002</v>
      </c>
      <c r="E22" s="10">
        <v>2</v>
      </c>
      <c r="F22" s="10">
        <v>1</v>
      </c>
      <c r="G22" s="10">
        <v>8</v>
      </c>
      <c r="H22" s="125">
        <v>-347</v>
      </c>
      <c r="I22" s="40"/>
      <c r="N22" s="10">
        <v>12</v>
      </c>
      <c r="O22" s="10">
        <v>38</v>
      </c>
      <c r="P22" s="10">
        <v>-50</v>
      </c>
      <c r="Q22" s="10">
        <f>E22-P22-O22-N22</f>
        <v>2</v>
      </c>
      <c r="R22" s="10">
        <v>1</v>
      </c>
      <c r="S22" s="10">
        <v>1</v>
      </c>
      <c r="T22" s="10">
        <v>1</v>
      </c>
      <c r="U22" s="10">
        <f>F22-T22-S22-R22</f>
        <v>-2</v>
      </c>
      <c r="V22" s="10">
        <v>2</v>
      </c>
      <c r="W22" s="10">
        <v>-3</v>
      </c>
      <c r="X22" s="10">
        <v>10</v>
      </c>
      <c r="Y22" s="10">
        <f>G22-X22-W22-V22</f>
        <v>-1</v>
      </c>
      <c r="Z22" s="10">
        <v>5</v>
      </c>
      <c r="AA22">
        <v>3</v>
      </c>
      <c r="AB22" s="10">
        <v>3</v>
      </c>
      <c r="AC22" s="154">
        <f>H22-AB22-AA22-Z22</f>
        <v>-358</v>
      </c>
      <c r="AD22" s="161">
        <v>35</v>
      </c>
      <c r="AE22" s="161">
        <v>56</v>
      </c>
      <c r="AF22" s="13">
        <v>78</v>
      </c>
    </row>
    <row r="23" spans="2:35" s="1" customFormat="1" x14ac:dyDescent="0.25">
      <c r="B23" s="1" t="s">
        <v>21</v>
      </c>
      <c r="C23" s="11">
        <f t="shared" ref="C23:H23" si="26">C21-SUM(C22:C22)</f>
        <v>-106.56900000000006</v>
      </c>
      <c r="D23" s="11">
        <f t="shared" si="26"/>
        <v>7.4490000000002006</v>
      </c>
      <c r="E23" s="11">
        <f t="shared" si="26"/>
        <v>403</v>
      </c>
      <c r="F23" s="11">
        <f t="shared" si="26"/>
        <v>-1028</v>
      </c>
      <c r="G23" s="11">
        <f t="shared" si="26"/>
        <v>-541</v>
      </c>
      <c r="H23" s="14">
        <f t="shared" si="26"/>
        <v>1411</v>
      </c>
      <c r="I23" s="50">
        <f>I26*I24</f>
        <v>1790.9099999999999</v>
      </c>
      <c r="J23" s="50">
        <f>J26*J24</f>
        <v>0</v>
      </c>
      <c r="N23" s="11">
        <f t="shared" ref="N23:AI23" si="27">N21-SUM(N22:N22)</f>
        <v>-1445</v>
      </c>
      <c r="O23" s="11">
        <f t="shared" si="27"/>
        <v>-502</v>
      </c>
      <c r="P23" s="11">
        <f t="shared" si="27"/>
        <v>-1327</v>
      </c>
      <c r="Q23" s="11">
        <f t="shared" si="27"/>
        <v>-415</v>
      </c>
      <c r="R23" s="11">
        <f t="shared" si="27"/>
        <v>-392</v>
      </c>
      <c r="S23" s="11">
        <f t="shared" si="27"/>
        <v>-295</v>
      </c>
      <c r="T23" s="11">
        <f t="shared" si="27"/>
        <v>-175</v>
      </c>
      <c r="U23" s="11">
        <f t="shared" si="27"/>
        <v>-134</v>
      </c>
      <c r="V23" s="11">
        <f t="shared" si="27"/>
        <v>-511</v>
      </c>
      <c r="W23" s="11">
        <f t="shared" si="27"/>
        <v>25</v>
      </c>
      <c r="X23" s="11">
        <f t="shared" si="27"/>
        <v>-85</v>
      </c>
      <c r="Y23" s="11">
        <f t="shared" si="27"/>
        <v>24</v>
      </c>
      <c r="Z23" s="11">
        <f t="shared" si="27"/>
        <v>157</v>
      </c>
      <c r="AA23" s="11">
        <f t="shared" si="27"/>
        <v>188</v>
      </c>
      <c r="AB23" s="11">
        <f t="shared" si="27"/>
        <v>150</v>
      </c>
      <c r="AC23" s="155">
        <f t="shared" si="27"/>
        <v>924</v>
      </c>
      <c r="AD23" s="155">
        <f t="shared" si="27"/>
        <v>336</v>
      </c>
      <c r="AE23" s="155">
        <f t="shared" si="27"/>
        <v>386</v>
      </c>
      <c r="AF23" s="14">
        <f t="shared" si="27"/>
        <v>556</v>
      </c>
      <c r="AG23" s="155">
        <f t="shared" si="27"/>
        <v>0</v>
      </c>
      <c r="AH23" s="155">
        <f t="shared" si="27"/>
        <v>0</v>
      </c>
      <c r="AI23" s="155">
        <f t="shared" si="27"/>
        <v>0</v>
      </c>
    </row>
    <row r="24" spans="2:35" x14ac:dyDescent="0.25">
      <c r="B24" t="s">
        <v>241</v>
      </c>
      <c r="C24" s="10">
        <v>221.66461000000001</v>
      </c>
      <c r="D24" s="10">
        <v>244.997388</v>
      </c>
      <c r="E24" s="10">
        <v>492.38119</v>
      </c>
      <c r="F24" s="10">
        <v>878.63002400000005</v>
      </c>
      <c r="G24" s="10">
        <v>890.85765900000001</v>
      </c>
      <c r="H24" s="125">
        <v>906.17150400000003</v>
      </c>
      <c r="I24" s="40">
        <v>891</v>
      </c>
      <c r="N24" s="10">
        <v>230.685464</v>
      </c>
      <c r="O24" s="10">
        <v>232.22301899999999</v>
      </c>
      <c r="P24" s="10">
        <v>638.16818799999999</v>
      </c>
      <c r="Q24" s="10">
        <v>638.16818799999999</v>
      </c>
      <c r="R24" s="10">
        <v>867.76916800000004</v>
      </c>
      <c r="S24" s="10">
        <v>874.87330099999997</v>
      </c>
      <c r="T24" s="10">
        <v>882.35657500000002</v>
      </c>
      <c r="U24" s="10">
        <v>882.35657500000002</v>
      </c>
      <c r="V24" s="10">
        <v>896.92469500000004</v>
      </c>
      <c r="W24" s="10">
        <v>904.98486300000002</v>
      </c>
      <c r="X24" s="10">
        <v>895.10879</v>
      </c>
      <c r="Y24" s="10">
        <v>895.10879</v>
      </c>
      <c r="Z24" s="10">
        <v>895.779</v>
      </c>
      <c r="AA24" s="10">
        <v>904.49</v>
      </c>
      <c r="AB24" s="10">
        <v>905.54475000000002</v>
      </c>
      <c r="AC24" s="154">
        <f>H24</f>
        <v>906.17150400000003</v>
      </c>
      <c r="AD24" s="161">
        <v>909.24161900000001</v>
      </c>
      <c r="AE24" s="161">
        <v>909.127658</v>
      </c>
      <c r="AF24" s="13">
        <v>917.94065999999998</v>
      </c>
    </row>
    <row r="25" spans="2:35" s="1" customFormat="1" x14ac:dyDescent="0.25">
      <c r="B25" s="1" t="s">
        <v>22</v>
      </c>
      <c r="C25" s="2">
        <f t="shared" ref="C25:H25" si="28">C23/C24</f>
        <v>-0.48076686666401125</v>
      </c>
      <c r="D25" s="2">
        <f t="shared" si="28"/>
        <v>3.0404405780849388E-2</v>
      </c>
      <c r="E25" s="2">
        <f t="shared" si="28"/>
        <v>0.81847155859061149</v>
      </c>
      <c r="F25" s="2">
        <f t="shared" si="28"/>
        <v>-1.1700032686340343</v>
      </c>
      <c r="G25" s="2">
        <f t="shared" si="28"/>
        <v>-0.60727995604514418</v>
      </c>
      <c r="H25" s="35">
        <f t="shared" si="28"/>
        <v>1.557100387478086</v>
      </c>
      <c r="I25" s="48"/>
      <c r="J25" s="48"/>
      <c r="N25" s="2">
        <f>N23/N24</f>
        <v>-6.2639404102202123</v>
      </c>
      <c r="O25" s="2">
        <f t="shared" ref="O25:Y25" si="29">O23/O24</f>
        <v>-2.1617150709766633</v>
      </c>
      <c r="P25" s="2">
        <f t="shared" si="29"/>
        <v>-2.0793891405943916</v>
      </c>
      <c r="Q25" s="2">
        <f t="shared" si="29"/>
        <v>-0.65029878925898454</v>
      </c>
      <c r="R25" s="2">
        <f t="shared" si="29"/>
        <v>-0.45173303506906803</v>
      </c>
      <c r="S25" s="2">
        <f t="shared" si="29"/>
        <v>-0.33719168211306522</v>
      </c>
      <c r="T25" s="2">
        <f t="shared" si="29"/>
        <v>-0.1983325165339194</v>
      </c>
      <c r="U25" s="2">
        <f t="shared" si="29"/>
        <v>-0.15186604123168684</v>
      </c>
      <c r="V25" s="2">
        <f t="shared" si="29"/>
        <v>-0.56972452966076481</v>
      </c>
      <c r="W25" s="2">
        <f t="shared" si="29"/>
        <v>2.7624771443276616E-2</v>
      </c>
      <c r="X25" s="2">
        <f t="shared" si="29"/>
        <v>-9.4960524295599869E-2</v>
      </c>
      <c r="Y25" s="2">
        <f t="shared" si="29"/>
        <v>2.6812383330522317E-2</v>
      </c>
      <c r="Z25" s="2">
        <f>Z23/Z24</f>
        <v>0.17526644406711925</v>
      </c>
      <c r="AA25" s="2">
        <f>AA23/AA24</f>
        <v>0.20785193866156618</v>
      </c>
      <c r="AB25" s="2">
        <f t="shared" ref="AB25:AI25" si="30">AB23/AB24</f>
        <v>0.16564614835434693</v>
      </c>
      <c r="AC25" s="156">
        <f t="shared" si="30"/>
        <v>1.0196745273066985</v>
      </c>
      <c r="AD25" s="156">
        <f t="shared" si="30"/>
        <v>0.36953873753550648</v>
      </c>
      <c r="AE25" s="156">
        <f t="shared" si="30"/>
        <v>0.42458283674832387</v>
      </c>
      <c r="AF25" s="35">
        <f t="shared" si="30"/>
        <v>0.60570364101749241</v>
      </c>
      <c r="AG25" s="156" t="e">
        <f t="shared" si="30"/>
        <v>#DIV/0!</v>
      </c>
      <c r="AH25" s="156" t="e">
        <f t="shared" si="30"/>
        <v>#DIV/0!</v>
      </c>
      <c r="AI25" s="156" t="e">
        <f t="shared" si="30"/>
        <v>#DIV/0!</v>
      </c>
    </row>
    <row r="26" spans="2:35" s="1" customFormat="1" x14ac:dyDescent="0.25">
      <c r="B26" s="9" t="s">
        <v>64</v>
      </c>
      <c r="C26" s="2"/>
      <c r="D26" s="2"/>
      <c r="E26" s="2"/>
      <c r="F26" s="2"/>
      <c r="G26" s="2"/>
      <c r="H26" s="126">
        <v>0.72</v>
      </c>
      <c r="I26" s="44">
        <v>2.0099999999999998</v>
      </c>
      <c r="J26" s="44">
        <v>2.23</v>
      </c>
      <c r="N26" s="45"/>
      <c r="O26" s="45"/>
      <c r="P26" s="45"/>
      <c r="Q26" s="45"/>
      <c r="R26" s="45"/>
      <c r="S26" s="45"/>
      <c r="T26" s="45"/>
      <c r="U26" s="45"/>
      <c r="V26" s="45"/>
      <c r="W26" s="45"/>
      <c r="X26" s="45"/>
      <c r="Y26" s="117"/>
      <c r="Z26" s="120">
        <v>0.05</v>
      </c>
      <c r="AA26" s="120">
        <v>0.09</v>
      </c>
      <c r="AB26" s="1">
        <v>0.18</v>
      </c>
      <c r="AC26" s="157">
        <v>0.17</v>
      </c>
      <c r="AD26" s="1">
        <v>0.44</v>
      </c>
      <c r="AE26" s="1">
        <v>0.42</v>
      </c>
      <c r="AF26" s="16"/>
      <c r="AG26" s="1">
        <v>0.59</v>
      </c>
      <c r="AH26" s="1">
        <v>0.54</v>
      </c>
    </row>
    <row r="27" spans="2:35" s="1" customFormat="1" x14ac:dyDescent="0.25">
      <c r="B27" t="s">
        <v>30</v>
      </c>
      <c r="C27" s="3">
        <f>1-C14/C10</f>
        <v>0.49414664202094871</v>
      </c>
      <c r="D27" s="3">
        <f>1-D14/D10</f>
        <v>0.65925974596201842</v>
      </c>
      <c r="E27" s="3">
        <f>1-E14/E10</f>
        <v>0.23305785123966938</v>
      </c>
      <c r="F27" s="3">
        <f>1-F14/F10</f>
        <v>0.22164948453608246</v>
      </c>
      <c r="G27" s="39">
        <f>1-G14/G10</f>
        <v>0.49008042895442361</v>
      </c>
      <c r="H27" s="6">
        <f t="shared" ref="H27:J27" si="31">1-H14/H10</f>
        <v>0.66723144696712977</v>
      </c>
      <c r="I27" s="39">
        <f t="shared" si="31"/>
        <v>1</v>
      </c>
      <c r="J27" s="39">
        <f t="shared" si="31"/>
        <v>1</v>
      </c>
      <c r="N27" s="3">
        <f t="shared" ref="N27:Y27" si="32">1-N14/N10</f>
        <v>0.69731800766283525</v>
      </c>
      <c r="O27" s="3">
        <f t="shared" si="32"/>
        <v>0.6566371681415929</v>
      </c>
      <c r="P27" s="3"/>
      <c r="Q27" s="3">
        <f>1-Q14/Q10</f>
        <v>0.15013404825737264</v>
      </c>
      <c r="R27" s="3">
        <f t="shared" si="32"/>
        <v>0</v>
      </c>
      <c r="S27" s="3">
        <f t="shared" si="32"/>
        <v>0.13522012578616349</v>
      </c>
      <c r="T27" s="3">
        <f t="shared" si="32"/>
        <v>0.39612188365650969</v>
      </c>
      <c r="U27" s="3">
        <f t="shared" si="32"/>
        <v>0.30263157894736847</v>
      </c>
      <c r="V27" s="3">
        <f t="shared" si="32"/>
        <v>0.46712018140589573</v>
      </c>
      <c r="W27" s="3">
        <f t="shared" si="32"/>
        <v>0.49382716049382713</v>
      </c>
      <c r="X27" s="3">
        <f t="shared" si="32"/>
        <v>0.48394004282655245</v>
      </c>
      <c r="Y27" s="39">
        <f t="shared" si="32"/>
        <v>0.5138004246284501</v>
      </c>
      <c r="Z27" s="39">
        <f t="shared" ref="Z27:AA27" si="33">1-Z14/Z10</f>
        <v>0.62621359223300965</v>
      </c>
      <c r="AA27" s="39">
        <f t="shared" si="33"/>
        <v>0.63489736070381231</v>
      </c>
      <c r="AB27" s="39">
        <f t="shared" ref="AB27:AC27" si="34">1-AB14/AB10</f>
        <v>0.61695447409733117</v>
      </c>
      <c r="AC27" s="39">
        <f t="shared" si="34"/>
        <v>0.74556213017751483</v>
      </c>
      <c r="AD27" s="39">
        <f t="shared" ref="AD27:AI27" si="35">1-AD14/AD10</f>
        <v>0.71521035598705507</v>
      </c>
      <c r="AE27" s="39">
        <f t="shared" si="35"/>
        <v>0.73508594539939331</v>
      </c>
      <c r="AF27" s="6">
        <f t="shared" si="35"/>
        <v>0.77001569858712715</v>
      </c>
      <c r="AG27" s="39" t="e">
        <f t="shared" si="35"/>
        <v>#DIV/0!</v>
      </c>
      <c r="AH27" s="39" t="e">
        <f t="shared" si="35"/>
        <v>#DIV/0!</v>
      </c>
      <c r="AI27" s="39" t="e">
        <f t="shared" si="35"/>
        <v>#DIV/0!</v>
      </c>
    </row>
    <row r="28" spans="2:35" x14ac:dyDescent="0.25">
      <c r="B28" t="s">
        <v>31</v>
      </c>
      <c r="C28" s="4">
        <f>C23/C10</f>
        <v>-0.3839867691409673</v>
      </c>
      <c r="D28" s="4">
        <f>D23/D10</f>
        <v>7.7688189705612965E-3</v>
      </c>
      <c r="E28" s="4">
        <f>E23/E10</f>
        <v>0.22203856749311296</v>
      </c>
      <c r="F28" s="4">
        <f>F23/F10</f>
        <v>-0.75699558173784975</v>
      </c>
      <c r="G28" s="4">
        <f>G23/G10</f>
        <v>-0.2900804289544236</v>
      </c>
      <c r="H28" s="7">
        <f t="shared" ref="H28:J28" si="36">H23/H10</f>
        <v>0.47814300237207724</v>
      </c>
      <c r="I28" s="4">
        <f t="shared" si="36"/>
        <v>0.40065100671140935</v>
      </c>
      <c r="J28" s="4">
        <f t="shared" si="36"/>
        <v>0</v>
      </c>
      <c r="N28" s="4">
        <f t="shared" ref="N28:Y28" si="37">N23/N10</f>
        <v>-2.7681992337164751</v>
      </c>
      <c r="O28" s="4">
        <f t="shared" si="37"/>
        <v>-0.8884955752212389</v>
      </c>
      <c r="P28" s="4">
        <f t="shared" si="37"/>
        <v>-3.7380281690140844</v>
      </c>
      <c r="Q28" s="4">
        <f t="shared" si="37"/>
        <v>-1.1126005361930296</v>
      </c>
      <c r="R28" s="4">
        <f t="shared" si="37"/>
        <v>-1.3110367892976589</v>
      </c>
      <c r="S28" s="4">
        <f t="shared" si="37"/>
        <v>-0.92767295597484278</v>
      </c>
      <c r="T28" s="4">
        <f t="shared" si="37"/>
        <v>-0.48476454293628807</v>
      </c>
      <c r="U28" s="4">
        <f t="shared" si="37"/>
        <v>-0.35263157894736841</v>
      </c>
      <c r="V28" s="4">
        <f t="shared" si="37"/>
        <v>-1.1587301587301588</v>
      </c>
      <c r="W28" s="4">
        <f t="shared" si="37"/>
        <v>5.1440329218106998E-2</v>
      </c>
      <c r="X28" s="4">
        <f t="shared" si="37"/>
        <v>-0.18201284796573874</v>
      </c>
      <c r="Y28" s="4">
        <f t="shared" si="37"/>
        <v>5.0955414012738856E-2</v>
      </c>
      <c r="Z28" s="4">
        <f t="shared" ref="Z28:AA28" si="38">Z23/Z10</f>
        <v>0.25404530744336568</v>
      </c>
      <c r="AA28" s="4">
        <f t="shared" si="38"/>
        <v>0.2756598240469208</v>
      </c>
      <c r="AB28" s="4">
        <f t="shared" ref="AB28" si="39">AB23/AB10</f>
        <v>0.23547880690737832</v>
      </c>
      <c r="AC28" s="158">
        <f>AC23/AC10</f>
        <v>0.91124260355029585</v>
      </c>
      <c r="AD28" s="158">
        <f t="shared" ref="AD28:AI28" si="40">AD23/AD10</f>
        <v>0.36245954692556637</v>
      </c>
      <c r="AE28" s="158">
        <f t="shared" si="40"/>
        <v>0.39029322548028311</v>
      </c>
      <c r="AF28" s="7">
        <f t="shared" si="40"/>
        <v>0.43642072213500788</v>
      </c>
      <c r="AG28" s="158" t="e">
        <f t="shared" si="40"/>
        <v>#DIV/0!</v>
      </c>
      <c r="AH28" s="158" t="e">
        <f t="shared" si="40"/>
        <v>#DIV/0!</v>
      </c>
      <c r="AI28" s="158" t="e">
        <f t="shared" si="40"/>
        <v>#DIV/0!</v>
      </c>
    </row>
    <row r="29" spans="2:35" x14ac:dyDescent="0.25">
      <c r="B29" t="s">
        <v>32</v>
      </c>
      <c r="C29" s="3"/>
      <c r="D29" s="3">
        <f>D10/C10-1</f>
        <v>2.4548432078347449</v>
      </c>
      <c r="E29" s="3">
        <f>E10/D10-1</f>
        <v>0.89292608827606035</v>
      </c>
      <c r="F29" s="39">
        <f>F10/E10-1</f>
        <v>-0.25179063360881537</v>
      </c>
      <c r="G29" s="39">
        <f>G10/F10-1</f>
        <v>0.37334315169366716</v>
      </c>
      <c r="H29" s="6">
        <f t="shared" ref="H29:I29" si="41">H10/G10-1</f>
        <v>0.58230563002680968</v>
      </c>
      <c r="I29" s="39">
        <f t="shared" si="41"/>
        <v>0.5147407658420875</v>
      </c>
      <c r="J29" s="39">
        <f>J11/I11-1</f>
        <v>0.15659955257270686</v>
      </c>
      <c r="N29" s="4"/>
      <c r="O29" s="4"/>
      <c r="P29" s="4"/>
      <c r="Q29" s="4"/>
      <c r="R29" s="4">
        <f t="shared" ref="R29:Y29" si="42">R10/N10-1</f>
        <v>-0.42720306513409967</v>
      </c>
      <c r="S29" s="4">
        <f t="shared" si="42"/>
        <v>-0.43716814159292039</v>
      </c>
      <c r="T29" s="4">
        <f t="shared" si="42"/>
        <v>1.6901408450704203E-2</v>
      </c>
      <c r="U29" s="4">
        <f t="shared" si="42"/>
        <v>1.8766756032171594E-2</v>
      </c>
      <c r="V29" s="4">
        <f t="shared" si="42"/>
        <v>0.47491638795986613</v>
      </c>
      <c r="W29" s="4">
        <f t="shared" si="42"/>
        <v>0.52830188679245293</v>
      </c>
      <c r="X29" s="4">
        <f t="shared" si="42"/>
        <v>0.29362880886426601</v>
      </c>
      <c r="Y29" s="4">
        <f t="shared" si="42"/>
        <v>0.23947368421052628</v>
      </c>
      <c r="Z29" s="4">
        <f t="shared" ref="Z29" si="43">Z10/V10-1</f>
        <v>0.40136054421768708</v>
      </c>
      <c r="AA29" s="4">
        <f t="shared" ref="AA29" si="44">AA10/W10-1</f>
        <v>0.40329218106995879</v>
      </c>
      <c r="AB29" s="4">
        <f t="shared" ref="AB29" si="45">AB10/X10-1</f>
        <v>0.3640256959314776</v>
      </c>
      <c r="AC29" s="158">
        <f t="shared" ref="AC29" si="46">AC10/Y10-1</f>
        <v>1.1528662420382165</v>
      </c>
      <c r="AD29" s="158">
        <f t="shared" ref="AD29" si="47">AD10/Z10-1</f>
        <v>0.5</v>
      </c>
      <c r="AE29" s="158">
        <f t="shared" ref="AE29" si="48">AE10/AA10-1</f>
        <v>0.45014662756598245</v>
      </c>
      <c r="AF29" s="7">
        <f>AF10/AB10-1</f>
        <v>1</v>
      </c>
      <c r="AG29" s="158">
        <f t="shared" ref="AG29" si="49">AG10/AC10-1</f>
        <v>-1</v>
      </c>
      <c r="AH29" s="158">
        <f t="shared" ref="AH29" si="50">AH10/AD10-1</f>
        <v>-1</v>
      </c>
      <c r="AI29" s="158">
        <f t="shared" ref="AI29" si="51">AI10/AE10-1</f>
        <v>-1</v>
      </c>
    </row>
    <row r="30" spans="2:35" x14ac:dyDescent="0.25">
      <c r="B30" t="s">
        <v>219</v>
      </c>
      <c r="C30" s="4">
        <f>C15/C10</f>
        <v>0.12203593806862609</v>
      </c>
      <c r="D30" s="4">
        <f>D15/D10</f>
        <v>0.14382588000204413</v>
      </c>
      <c r="E30" s="4">
        <f>E15/E10</f>
        <v>0.20275482093663913</v>
      </c>
      <c r="F30" s="4">
        <f>F15/F10</f>
        <v>0.20986745213549338</v>
      </c>
      <c r="G30" s="4">
        <f>G15/G10</f>
        <v>8.5254691689008039E-2</v>
      </c>
      <c r="H30" s="7">
        <f t="shared" ref="H30:J30" si="52">H15/H10</f>
        <v>3.7953236191121655E-2</v>
      </c>
      <c r="I30" s="4">
        <f t="shared" si="52"/>
        <v>0</v>
      </c>
      <c r="J30" s="4">
        <f t="shared" si="52"/>
        <v>0</v>
      </c>
      <c r="N30" s="4">
        <f>N15/N10</f>
        <v>0.12835249042145594</v>
      </c>
      <c r="O30" s="4">
        <f t="shared" ref="O30:Y30" si="53">O15/O10</f>
        <v>0.17876106194690267</v>
      </c>
      <c r="P30" s="4">
        <f t="shared" si="53"/>
        <v>0.30422535211267604</v>
      </c>
      <c r="Q30" s="4">
        <f t="shared" si="53"/>
        <v>0.24664879356568364</v>
      </c>
      <c r="R30" s="4">
        <f t="shared" si="53"/>
        <v>0.30434782608695654</v>
      </c>
      <c r="S30" s="4">
        <f t="shared" si="53"/>
        <v>0.27044025157232704</v>
      </c>
      <c r="T30" s="4">
        <f t="shared" si="53"/>
        <v>0.18005540166204986</v>
      </c>
      <c r="U30" s="4">
        <f t="shared" si="53"/>
        <v>0.11315789473684211</v>
      </c>
      <c r="V30" s="4">
        <f t="shared" si="53"/>
        <v>9.5238095238095233E-2</v>
      </c>
      <c r="W30" s="4">
        <f t="shared" si="53"/>
        <v>7.407407407407407E-2</v>
      </c>
      <c r="X30" s="4">
        <f t="shared" si="53"/>
        <v>8.7794432548179868E-2</v>
      </c>
      <c r="Y30" s="4">
        <f t="shared" si="53"/>
        <v>8.4925690021231418E-2</v>
      </c>
      <c r="Z30" s="4">
        <f t="shared" ref="Z30" si="54">Z15/Z10</f>
        <v>7.1197411003236247E-2</v>
      </c>
      <c r="AA30" s="4">
        <f>AA15/AA10</f>
        <v>6.7448680351906154E-2</v>
      </c>
      <c r="AB30" s="4">
        <f t="shared" ref="AB30:AC30" si="55">AB15/AB10</f>
        <v>7.8492935635792779E-2</v>
      </c>
      <c r="AC30" s="158">
        <f t="shared" si="55"/>
        <v>-2.7613412228796843E-2</v>
      </c>
      <c r="AD30" s="158">
        <f t="shared" ref="AD30:AI30" si="56">AD15/AD10</f>
        <v>5.9331175836030203E-2</v>
      </c>
      <c r="AE30" s="158">
        <f t="shared" si="56"/>
        <v>5.7633973710819006E-2</v>
      </c>
      <c r="AF30" s="7">
        <f t="shared" si="56"/>
        <v>4.6310832025117737E-2</v>
      </c>
      <c r="AG30" s="158" t="e">
        <f t="shared" si="56"/>
        <v>#DIV/0!</v>
      </c>
      <c r="AH30" s="158" t="e">
        <f t="shared" si="56"/>
        <v>#DIV/0!</v>
      </c>
      <c r="AI30" s="158" t="e">
        <f t="shared" si="56"/>
        <v>#DIV/0!</v>
      </c>
    </row>
    <row r="31" spans="2:35" x14ac:dyDescent="0.25">
      <c r="B31" t="s">
        <v>220</v>
      </c>
      <c r="C31" s="4">
        <f>C16/C10</f>
        <v>0.44931233402874621</v>
      </c>
      <c r="D31" s="4">
        <f>D16/D10</f>
        <v>0.19371569397382027</v>
      </c>
      <c r="E31" s="4">
        <f>E16/E10</f>
        <v>0.1790633608815427</v>
      </c>
      <c r="F31" s="4">
        <f>F16/F10</f>
        <v>7.5846833578792336E-2</v>
      </c>
      <c r="G31" s="4">
        <f>G16/G10</f>
        <v>6.5415549597855227E-2</v>
      </c>
      <c r="H31" s="7">
        <f t="shared" ref="H31:J31" si="57">H16/H10</f>
        <v>0.11792612673669943</v>
      </c>
      <c r="I31" s="4">
        <f t="shared" si="57"/>
        <v>0</v>
      </c>
      <c r="J31" s="4">
        <f t="shared" si="57"/>
        <v>0</v>
      </c>
      <c r="N31" s="4">
        <f>N16/N10</f>
        <v>0.19540229885057472</v>
      </c>
      <c r="O31" s="4">
        <f t="shared" ref="O31:Y31" si="58">O16/O10</f>
        <v>0.1663716814159292</v>
      </c>
      <c r="P31" s="4">
        <f t="shared" si="58"/>
        <v>0.24507042253521127</v>
      </c>
      <c r="Q31" s="4">
        <f t="shared" si="58"/>
        <v>0.1126005361930295</v>
      </c>
      <c r="R31" s="4">
        <f t="shared" si="58"/>
        <v>0.10702341137123746</v>
      </c>
      <c r="S31" s="4">
        <f t="shared" si="58"/>
        <v>7.2327044025157231E-2</v>
      </c>
      <c r="T31" s="4">
        <f t="shared" si="58"/>
        <v>5.2631578947368418E-2</v>
      </c>
      <c r="U31" s="4">
        <f t="shared" si="58"/>
        <v>7.6315789473684212E-2</v>
      </c>
      <c r="V31" s="4">
        <f t="shared" si="58"/>
        <v>5.8956916099773243E-2</v>
      </c>
      <c r="W31" s="4">
        <f t="shared" si="58"/>
        <v>5.1440329218106998E-2</v>
      </c>
      <c r="X31" s="4">
        <f t="shared" si="58"/>
        <v>5.9957173447537475E-2</v>
      </c>
      <c r="Y31" s="4">
        <f t="shared" si="58"/>
        <v>9.1295116772823773E-2</v>
      </c>
      <c r="Z31" s="4">
        <f t="shared" ref="Z31" si="59">Z16/Z10</f>
        <v>0.10841423948220065</v>
      </c>
      <c r="AA31" s="4">
        <f>AA16/AA10</f>
        <v>9.3841642228739003E-2</v>
      </c>
      <c r="AB31" s="4">
        <f t="shared" ref="AB31:AC31" si="60">AB16/AB10</f>
        <v>9.2621664050235475E-2</v>
      </c>
      <c r="AC31" s="158">
        <f t="shared" si="60"/>
        <v>0.15581854043392504</v>
      </c>
      <c r="AD31" s="158">
        <f t="shared" ref="AD31:AI31" si="61">AD16/AD10</f>
        <v>0.11326860841423948</v>
      </c>
      <c r="AE31" s="158">
        <f t="shared" si="61"/>
        <v>0.10010111223458039</v>
      </c>
      <c r="AF31" s="7">
        <f t="shared" si="61"/>
        <v>8.0062794348508631E-2</v>
      </c>
      <c r="AG31" s="158" t="e">
        <f t="shared" si="61"/>
        <v>#DIV/0!</v>
      </c>
      <c r="AH31" s="158" t="e">
        <f t="shared" si="61"/>
        <v>#DIV/0!</v>
      </c>
      <c r="AI31" s="158" t="e">
        <f t="shared" si="61"/>
        <v>#DIV/0!</v>
      </c>
    </row>
    <row r="32" spans="2:35" x14ac:dyDescent="0.25">
      <c r="B32" t="s">
        <v>128</v>
      </c>
      <c r="C32" s="4">
        <f>C17/C10</f>
        <v>0.30808588528211067</v>
      </c>
      <c r="D32" s="4">
        <f>D17/D10</f>
        <v>0.30734653479803054</v>
      </c>
      <c r="E32" s="4">
        <f>E17/E10</f>
        <v>0.75537190082644623</v>
      </c>
      <c r="F32" s="4">
        <f>F17/F10</f>
        <v>0.68041237113402064</v>
      </c>
      <c r="G32" s="4">
        <f>G17/G10</f>
        <v>0.62680965147453083</v>
      </c>
      <c r="H32" s="7">
        <f t="shared" ref="H32:J32" si="62">H17/H10</f>
        <v>0.15418502202643172</v>
      </c>
      <c r="I32" s="4">
        <f t="shared" si="62"/>
        <v>0</v>
      </c>
      <c r="J32" s="4">
        <f t="shared" si="62"/>
        <v>0</v>
      </c>
      <c r="N32" s="4">
        <f>N17/N10</f>
        <v>0.26245210727969348</v>
      </c>
      <c r="O32" s="4">
        <f t="shared" ref="O32:Y32" si="63">O17/O10</f>
        <v>0.19823008849557522</v>
      </c>
      <c r="P32" s="4"/>
      <c r="Q32" s="4">
        <f t="shared" si="63"/>
        <v>0.89008042895442363</v>
      </c>
      <c r="R32" s="4">
        <f t="shared" si="63"/>
        <v>0.89632107023411367</v>
      </c>
      <c r="S32" s="4">
        <f t="shared" si="63"/>
        <v>0.71069182389937102</v>
      </c>
      <c r="T32" s="4">
        <f t="shared" si="63"/>
        <v>0.64542936288088648</v>
      </c>
      <c r="U32" s="4">
        <f t="shared" si="63"/>
        <v>0.51842105263157889</v>
      </c>
      <c r="V32" s="4"/>
      <c r="W32" s="4">
        <f t="shared" si="63"/>
        <v>0.3271604938271605</v>
      </c>
      <c r="X32" s="4">
        <f t="shared" si="63"/>
        <v>0.49250535331905781</v>
      </c>
      <c r="Y32" s="4">
        <f t="shared" si="63"/>
        <v>0.28237791932059447</v>
      </c>
      <c r="Z32" s="4">
        <f t="shared" ref="Z32" si="64">Z17/Z10</f>
        <v>0.19093851132686085</v>
      </c>
      <c r="AA32" s="4">
        <f>AA17/AA10</f>
        <v>0.19648093841642228</v>
      </c>
      <c r="AB32" s="4">
        <f t="shared" ref="AB32:AC32" si="65">AB17/AB10</f>
        <v>0.2087912087912088</v>
      </c>
      <c r="AC32" s="158">
        <f t="shared" si="65"/>
        <v>6.9033530571992116E-2</v>
      </c>
      <c r="AD32" s="158">
        <f t="shared" ref="AD32:AI32" si="66">AD17/AD10</f>
        <v>0.14347357065803668</v>
      </c>
      <c r="AE32" s="158">
        <f t="shared" si="66"/>
        <v>0.13346814964610718</v>
      </c>
      <c r="AF32" s="7">
        <f t="shared" si="66"/>
        <v>0.14521193092621665</v>
      </c>
      <c r="AG32" s="158" t="e">
        <f t="shared" si="66"/>
        <v>#DIV/0!</v>
      </c>
      <c r="AH32" s="158" t="e">
        <f t="shared" si="66"/>
        <v>#DIV/0!</v>
      </c>
      <c r="AI32" s="158" t="e">
        <f t="shared" si="66"/>
        <v>#DIV/0!</v>
      </c>
    </row>
    <row r="33" spans="2:35" x14ac:dyDescent="0.25">
      <c r="B33" t="s">
        <v>221</v>
      </c>
      <c r="C33" s="4"/>
      <c r="D33" s="4"/>
      <c r="E33" s="4">
        <f t="shared" ref="E33:G34" si="67">E7/D7-1</f>
        <v>0.94686259343760093</v>
      </c>
      <c r="F33" s="4">
        <f t="shared" si="67"/>
        <v>-0.41940085592011411</v>
      </c>
      <c r="G33" s="4">
        <f t="shared" si="67"/>
        <v>-3.5626535626535616E-2</v>
      </c>
      <c r="H33" s="7">
        <f t="shared" ref="H33:H34" si="68">H7/G7-1</f>
        <v>1.0980891719745225</v>
      </c>
      <c r="I33" s="4">
        <f t="shared" ref="I33:I34" si="69">I7/H7-1</f>
        <v>-1</v>
      </c>
      <c r="J33" s="4" t="e">
        <f t="shared" ref="J33:J34" si="70">J7/I7-1</f>
        <v>#DIV/0!</v>
      </c>
      <c r="N33" s="4"/>
      <c r="O33" s="4"/>
      <c r="P33" s="4"/>
      <c r="Q33" s="4"/>
      <c r="R33" s="4">
        <f t="shared" ref="R33:W33" si="71">R7/N7-1</f>
        <v>-0.48095238095238091</v>
      </c>
      <c r="S33" s="4">
        <f t="shared" si="71"/>
        <v>-0.55210643015521066</v>
      </c>
      <c r="T33" s="4">
        <f t="shared" si="71"/>
        <v>-0.22097378277153557</v>
      </c>
      <c r="U33" s="4">
        <f t="shared" si="71"/>
        <v>-0.29545454545454541</v>
      </c>
      <c r="V33" s="4">
        <f t="shared" si="71"/>
        <v>-5.0458715596330306E-2</v>
      </c>
      <c r="W33" s="4">
        <f t="shared" si="71"/>
        <v>-4.4554455445544594E-2</v>
      </c>
      <c r="X33" s="4">
        <f>X7/T7-1</f>
        <v>-0.11057692307692313</v>
      </c>
      <c r="Y33" s="4">
        <f>Y7/U7-1</f>
        <v>7.5268817204301008E-2</v>
      </c>
      <c r="Z33" s="4">
        <f t="shared" ref="Z33" si="72">Z7/V7-1</f>
        <v>0.58937198067632846</v>
      </c>
      <c r="AA33" s="4">
        <f>AA7/W7-1</f>
        <v>0.69430051813471505</v>
      </c>
      <c r="AB33" s="4">
        <f t="shared" ref="AB33:AC34" si="73">AB7/X7-1</f>
        <v>0.72432432432432425</v>
      </c>
      <c r="AC33" s="158">
        <f t="shared" si="73"/>
        <v>2.36</v>
      </c>
      <c r="AD33" s="158">
        <f t="shared" ref="AD33:AD34" si="74">AD7/Z7-1</f>
        <v>0.77203647416413368</v>
      </c>
      <c r="AE33" s="158">
        <f t="shared" ref="AE33:AE34" si="75">AE7/AA7-1</f>
        <v>0.64831804281345562</v>
      </c>
      <c r="AF33" s="7">
        <f t="shared" ref="AF33:AF34" si="76">AF7/AB7-1</f>
        <v>1.2884012539184955</v>
      </c>
      <c r="AG33" s="158">
        <f t="shared" ref="AG33:AG34" si="77">AG7/AC7-1</f>
        <v>-1</v>
      </c>
      <c r="AH33" s="158">
        <f t="shared" ref="AH33:AH34" si="78">AH7/AD7-1</f>
        <v>-1</v>
      </c>
      <c r="AI33" s="158">
        <f t="shared" ref="AI33:AI34" si="79">AI7/AE7-1</f>
        <v>-1</v>
      </c>
    </row>
    <row r="34" spans="2:35" x14ac:dyDescent="0.25">
      <c r="B34" t="s">
        <v>222</v>
      </c>
      <c r="C34" s="4"/>
      <c r="D34" s="4"/>
      <c r="E34" s="4">
        <f t="shared" si="67"/>
        <v>0.44276560131201492</v>
      </c>
      <c r="F34" s="4">
        <f t="shared" si="67"/>
        <v>0.65625</v>
      </c>
      <c r="G34" s="4">
        <f t="shared" si="67"/>
        <v>1.1910377358490565</v>
      </c>
      <c r="H34" s="7">
        <f t="shared" si="68"/>
        <v>0.19375672766415497</v>
      </c>
      <c r="I34" s="4">
        <f t="shared" si="69"/>
        <v>-1</v>
      </c>
      <c r="J34" s="4" t="e">
        <f t="shared" si="70"/>
        <v>#DIV/0!</v>
      </c>
      <c r="N34" s="4"/>
      <c r="O34" s="4"/>
      <c r="P34" s="4"/>
      <c r="Q34" s="4"/>
      <c r="R34" s="4">
        <f t="shared" ref="R34:W34" si="80">R8/N8-1</f>
        <v>-0.11290322580645162</v>
      </c>
      <c r="S34" s="4">
        <f t="shared" si="80"/>
        <v>8.8235294117646967E-2</v>
      </c>
      <c r="T34" s="4">
        <f t="shared" si="80"/>
        <v>1.0317460317460316</v>
      </c>
      <c r="U34" s="4">
        <f t="shared" si="80"/>
        <v>1.6507936507936507</v>
      </c>
      <c r="V34" s="4">
        <f t="shared" si="80"/>
        <v>2.7818181818181817</v>
      </c>
      <c r="W34" s="4">
        <f t="shared" si="80"/>
        <v>2.1621621621621623</v>
      </c>
      <c r="X34" s="4">
        <f>X8/T8-1</f>
        <v>0.9609375</v>
      </c>
      <c r="Y34" s="4">
        <f>Y8/U8-1</f>
        <v>0.41317365269461082</v>
      </c>
      <c r="Z34" s="4">
        <f t="shared" ref="Z34:AA34" si="81">Z8/V8-1</f>
        <v>0.22115384615384626</v>
      </c>
      <c r="AA34" s="4">
        <f t="shared" si="81"/>
        <v>0.21794871794871784</v>
      </c>
      <c r="AB34" s="4">
        <f t="shared" si="73"/>
        <v>9.1633466135458086E-2</v>
      </c>
      <c r="AC34" s="158">
        <f t="shared" si="73"/>
        <v>0.25423728813559321</v>
      </c>
      <c r="AD34" s="158">
        <f t="shared" si="74"/>
        <v>0.1417322834645669</v>
      </c>
      <c r="AE34" s="158">
        <f t="shared" si="75"/>
        <v>0.25263157894736832</v>
      </c>
      <c r="AF34" s="7">
        <f t="shared" si="76"/>
        <v>0.66423357664233573</v>
      </c>
      <c r="AG34" s="158">
        <f t="shared" si="77"/>
        <v>-1</v>
      </c>
      <c r="AH34" s="158">
        <f t="shared" si="78"/>
        <v>-1</v>
      </c>
      <c r="AI34" s="158">
        <f t="shared" si="79"/>
        <v>-1</v>
      </c>
    </row>
    <row r="35" spans="2:35" x14ac:dyDescent="0.25">
      <c r="B35" t="s">
        <v>227</v>
      </c>
      <c r="C35" s="3"/>
      <c r="D35" s="3">
        <f>-(D23/C23-1)</f>
        <v>1.0698983757002525</v>
      </c>
      <c r="E35" s="3">
        <f>-(E23/D23-1)</f>
        <v>-53.101221640487196</v>
      </c>
      <c r="F35" s="39">
        <f>F23/E23-1</f>
        <v>-3.5508684863523574</v>
      </c>
      <c r="G35" s="39">
        <f>G23/F23-1</f>
        <v>-0.47373540856031127</v>
      </c>
      <c r="H35" s="6">
        <f t="shared" ref="H35" si="82">H23/G23-1</f>
        <v>-3.6081330868761552</v>
      </c>
      <c r="I35" s="39">
        <f>I26/H25-1</f>
        <v>0.29086089513819968</v>
      </c>
      <c r="J35" s="39">
        <f>J26/I26-1</f>
        <v>0.10945273631840813</v>
      </c>
      <c r="N35" s="4"/>
      <c r="O35" s="4"/>
      <c r="P35" s="4"/>
      <c r="Q35" s="4"/>
      <c r="R35" s="4"/>
      <c r="S35" s="4"/>
      <c r="T35" s="4"/>
      <c r="U35" s="4"/>
      <c r="V35" s="4"/>
      <c r="W35" s="4"/>
      <c r="X35" s="4"/>
      <c r="Y35" s="4">
        <f>Y25/U25-1</f>
        <v>-1.1765528561425878</v>
      </c>
      <c r="Z35" s="4">
        <f>Z25/V25-1</f>
        <v>-1.3076336631871537</v>
      </c>
      <c r="AA35" s="4">
        <f t="shared" ref="AA35" si="83">AA25/W25-1</f>
        <v>6.5241143293568742</v>
      </c>
      <c r="AB35" s="4">
        <f t="shared" ref="AB35" si="84">AB25/X25-1</f>
        <v>-2.7443685108425879</v>
      </c>
      <c r="AC35" s="158">
        <f t="shared" ref="AC35" si="85">AC25/Y25-1</f>
        <v>37.029984680471699</v>
      </c>
      <c r="AD35" s="158">
        <f t="shared" ref="AD35" si="86">AD25/Z25-1</f>
        <v>1.1084397501326015</v>
      </c>
      <c r="AE35" s="158">
        <f t="shared" ref="AE35" si="87">AE25/AA25-1</f>
        <v>1.0427177128217631</v>
      </c>
      <c r="AF35" s="7">
        <f t="shared" ref="AF35" si="88">AF25/AB25-1</f>
        <v>2.6566116811951659</v>
      </c>
      <c r="AG35" s="158" t="e">
        <f t="shared" ref="AG35" si="89">AG25/AC25-1</f>
        <v>#DIV/0!</v>
      </c>
      <c r="AH35" s="158" t="e">
        <f t="shared" ref="AH35" si="90">AH25/AD25-1</f>
        <v>#DIV/0!</v>
      </c>
      <c r="AI35" s="158" t="e">
        <f t="shared" ref="AI35" si="91">AI25/AE25-1</f>
        <v>#DIV/0!</v>
      </c>
    </row>
    <row r="36" spans="2:35" x14ac:dyDescent="0.25">
      <c r="C36" s="3"/>
      <c r="D36" s="3"/>
      <c r="E36" s="3"/>
      <c r="F36" s="39"/>
      <c r="G36" s="39"/>
      <c r="H36" s="127"/>
      <c r="I36" s="49"/>
      <c r="N36" s="4"/>
      <c r="O36" s="4"/>
      <c r="P36" s="4"/>
      <c r="Q36" s="4"/>
      <c r="R36" s="4"/>
      <c r="S36" s="4"/>
      <c r="T36" s="4"/>
      <c r="U36" s="4"/>
      <c r="V36" s="4"/>
      <c r="W36" s="4"/>
      <c r="X36" s="4"/>
      <c r="Y36" s="4"/>
      <c r="Z36" s="4"/>
    </row>
    <row r="37" spans="2:35" x14ac:dyDescent="0.25">
      <c r="C37" s="3"/>
      <c r="D37" s="3"/>
      <c r="E37" s="3"/>
      <c r="F37" s="39"/>
      <c r="G37" s="39"/>
      <c r="H37" s="127"/>
      <c r="I37" s="49"/>
      <c r="N37" s="4"/>
      <c r="O37" s="4"/>
      <c r="P37" s="4"/>
      <c r="Q37" s="4"/>
      <c r="R37" s="4"/>
      <c r="S37" s="4"/>
      <c r="T37" s="4"/>
      <c r="U37" s="4"/>
      <c r="V37" s="4"/>
      <c r="W37" s="4"/>
      <c r="X37" s="4"/>
      <c r="Y37" s="4"/>
      <c r="Z37" s="4"/>
      <c r="AB37" s="141" t="s">
        <v>243</v>
      </c>
    </row>
    <row r="38" spans="2:35" x14ac:dyDescent="0.25">
      <c r="AB38" s="141"/>
    </row>
    <row r="39" spans="2:35" x14ac:dyDescent="0.25">
      <c r="AB39" s="141"/>
      <c r="AC39" s="152" t="s">
        <v>244</v>
      </c>
    </row>
    <row r="40" spans="2:35" s="1" customFormat="1" x14ac:dyDescent="0.25">
      <c r="B40" s="1" t="s">
        <v>39</v>
      </c>
      <c r="C40" s="11">
        <f t="shared" ref="C40:F40" si="92">C41+C42</f>
        <v>0</v>
      </c>
      <c r="D40" s="11">
        <f t="shared" si="92"/>
        <v>6317.2889999999998</v>
      </c>
      <c r="E40" s="11">
        <f t="shared" si="92"/>
        <v>10245.896000000001</v>
      </c>
      <c r="F40" s="11">
        <f t="shared" si="92"/>
        <v>9334</v>
      </c>
      <c r="G40" s="11">
        <f>G41+G42</f>
        <v>9283</v>
      </c>
      <c r="H40" s="14">
        <f t="shared" ref="H40:J40" si="93">H41+H42</f>
        <v>9056</v>
      </c>
      <c r="I40" s="11">
        <f t="shared" si="93"/>
        <v>0</v>
      </c>
      <c r="J40" s="11">
        <f t="shared" si="93"/>
        <v>0</v>
      </c>
      <c r="N40" s="11">
        <f t="shared" ref="N40" si="94">N41+N42</f>
        <v>0</v>
      </c>
      <c r="O40" s="11">
        <f t="shared" ref="O40" si="95">O41+O42</f>
        <v>0</v>
      </c>
      <c r="P40" s="11">
        <f t="shared" ref="P40" si="96">P41+P42</f>
        <v>0</v>
      </c>
      <c r="Q40" s="11">
        <f t="shared" ref="Q40" si="97">Q41+Q42</f>
        <v>10245.896000000001</v>
      </c>
      <c r="R40" s="11">
        <f t="shared" ref="R40" si="98">R41+R42</f>
        <v>10649</v>
      </c>
      <c r="S40" s="11">
        <f t="shared" ref="S40" si="99">S41+S42</f>
        <v>9382</v>
      </c>
      <c r="T40" s="11">
        <f t="shared" ref="T40" si="100">T41+T42</f>
        <v>9141</v>
      </c>
      <c r="U40" s="11">
        <f t="shared" ref="U40" si="101">U41+U42</f>
        <v>9334</v>
      </c>
      <c r="V40" s="11">
        <f t="shared" ref="V40" si="102">V41+V42</f>
        <v>9672</v>
      </c>
      <c r="W40" s="11">
        <f t="shared" ref="W40" si="103">W41+W42</f>
        <v>10049</v>
      </c>
      <c r="X40" s="11">
        <f t="shared" ref="X40" si="104">X41+X42</f>
        <v>8337</v>
      </c>
      <c r="Y40" s="11">
        <f t="shared" ref="Y40" si="105">Y41+Y42</f>
        <v>9283</v>
      </c>
      <c r="Z40" s="11">
        <f t="shared" ref="Z40" si="106">Z41+Z42</f>
        <v>9238</v>
      </c>
      <c r="AA40" s="11">
        <f t="shared" ref="AA40:AI40" si="107">AA41+AA42</f>
        <v>9108</v>
      </c>
      <c r="AB40" s="128">
        <f t="shared" si="107"/>
        <v>10158</v>
      </c>
      <c r="AC40" s="155">
        <f t="shared" si="107"/>
        <v>9056</v>
      </c>
      <c r="AD40" s="11">
        <f t="shared" si="107"/>
        <v>8858</v>
      </c>
      <c r="AE40" s="11">
        <f t="shared" si="107"/>
        <v>13101</v>
      </c>
      <c r="AF40" s="14">
        <f t="shared" si="107"/>
        <v>12774</v>
      </c>
      <c r="AG40" s="11">
        <f t="shared" si="107"/>
        <v>0</v>
      </c>
      <c r="AH40" s="11">
        <f t="shared" si="107"/>
        <v>0</v>
      </c>
      <c r="AI40" s="11">
        <f t="shared" si="107"/>
        <v>0</v>
      </c>
    </row>
    <row r="41" spans="2:35" x14ac:dyDescent="0.25">
      <c r="B41" t="s">
        <v>24</v>
      </c>
      <c r="C41" s="10"/>
      <c r="D41" s="10">
        <v>1402.6289999999999</v>
      </c>
      <c r="E41" s="10">
        <v>6253.4769999999999</v>
      </c>
      <c r="F41" s="10">
        <v>6339</v>
      </c>
      <c r="G41" s="10">
        <v>4835</v>
      </c>
      <c r="H41" s="15">
        <f>AC41</f>
        <v>4332</v>
      </c>
      <c r="N41" s="10"/>
      <c r="O41" s="10"/>
      <c r="P41" s="10"/>
      <c r="Q41" s="10">
        <f>E41</f>
        <v>6253.4769999999999</v>
      </c>
      <c r="R41" s="10">
        <v>6191</v>
      </c>
      <c r="S41" s="10">
        <v>5962</v>
      </c>
      <c r="T41" s="10">
        <v>6187</v>
      </c>
      <c r="U41" s="10">
        <f>F41</f>
        <v>6339</v>
      </c>
      <c r="V41" s="10">
        <v>5459</v>
      </c>
      <c r="W41" s="10">
        <v>5829</v>
      </c>
      <c r="X41" s="10">
        <v>4889</v>
      </c>
      <c r="Y41" s="10">
        <f>G41</f>
        <v>4835</v>
      </c>
      <c r="Z41" s="10">
        <v>4717</v>
      </c>
      <c r="AA41">
        <v>4524</v>
      </c>
      <c r="AB41" s="129">
        <v>4611</v>
      </c>
      <c r="AC41" s="154">
        <v>4332</v>
      </c>
      <c r="AD41" s="161">
        <v>4416</v>
      </c>
      <c r="AE41" s="161">
        <v>4162</v>
      </c>
      <c r="AF41" s="15">
        <v>4331</v>
      </c>
    </row>
    <row r="42" spans="2:35" x14ac:dyDescent="0.25">
      <c r="B42" t="s">
        <v>197</v>
      </c>
      <c r="C42" s="10"/>
      <c r="D42" s="10">
        <v>4914.66</v>
      </c>
      <c r="E42" s="10">
        <v>3992.4189999999999</v>
      </c>
      <c r="F42" s="10">
        <v>2995</v>
      </c>
      <c r="G42" s="10">
        <v>4448</v>
      </c>
      <c r="H42" s="15">
        <f t="shared" ref="H42:H51" si="108">AC42</f>
        <v>4724</v>
      </c>
      <c r="N42" s="10"/>
      <c r="O42" s="10"/>
      <c r="P42" s="10"/>
      <c r="Q42" s="10">
        <f t="shared" ref="Q42:Q51" si="109">E42</f>
        <v>3992.4189999999999</v>
      </c>
      <c r="R42" s="10">
        <v>4458</v>
      </c>
      <c r="S42" s="10">
        <v>3420</v>
      </c>
      <c r="T42" s="10">
        <v>2954</v>
      </c>
      <c r="U42" s="10">
        <f t="shared" ref="U42:U51" si="110">F42</f>
        <v>2995</v>
      </c>
      <c r="V42" s="10">
        <v>4213</v>
      </c>
      <c r="W42" s="10">
        <v>4220</v>
      </c>
      <c r="X42" s="10">
        <v>3448</v>
      </c>
      <c r="Y42" s="10">
        <f t="shared" ref="Y42:Y51" si="111">G42</f>
        <v>4448</v>
      </c>
      <c r="Z42" s="10">
        <v>4521</v>
      </c>
      <c r="AA42">
        <v>4584</v>
      </c>
      <c r="AB42" s="129">
        <v>5547</v>
      </c>
      <c r="AC42" s="154">
        <v>4724</v>
      </c>
      <c r="AD42" s="161">
        <v>4442</v>
      </c>
      <c r="AE42" s="161">
        <v>8939</v>
      </c>
      <c r="AF42" s="15">
        <v>8443</v>
      </c>
    </row>
    <row r="43" spans="2:35" x14ac:dyDescent="0.25">
      <c r="B43" t="s">
        <v>198</v>
      </c>
      <c r="C43" s="10"/>
      <c r="D43" s="10">
        <v>124.501</v>
      </c>
      <c r="E43" s="10">
        <v>88.325999999999993</v>
      </c>
      <c r="F43" s="10">
        <v>76</v>
      </c>
      <c r="G43" s="10">
        <v>89</v>
      </c>
      <c r="H43" s="15">
        <f t="shared" si="108"/>
        <v>471</v>
      </c>
      <c r="N43" s="10"/>
      <c r="O43" s="10"/>
      <c r="P43" s="10"/>
      <c r="Q43" s="10">
        <f t="shared" si="109"/>
        <v>88.325999999999993</v>
      </c>
      <c r="R43" s="10">
        <v>124</v>
      </c>
      <c r="S43" s="10">
        <v>89</v>
      </c>
      <c r="T43" s="10">
        <v>75</v>
      </c>
      <c r="U43" s="10">
        <f t="shared" si="110"/>
        <v>76</v>
      </c>
      <c r="V43" s="10">
        <v>112</v>
      </c>
      <c r="W43" s="10">
        <v>117</v>
      </c>
      <c r="X43" s="10">
        <v>63</v>
      </c>
      <c r="Y43" s="10">
        <f t="shared" si="111"/>
        <v>89</v>
      </c>
      <c r="Z43" s="10">
        <v>207</v>
      </c>
      <c r="AA43">
        <v>149</v>
      </c>
      <c r="AB43" s="129">
        <v>139</v>
      </c>
      <c r="AC43" s="154">
        <v>471</v>
      </c>
      <c r="AD43" s="161">
        <v>267</v>
      </c>
      <c r="AE43" s="161">
        <v>374</v>
      </c>
      <c r="AF43" s="15">
        <v>482</v>
      </c>
    </row>
    <row r="44" spans="2:35" x14ac:dyDescent="0.25">
      <c r="B44" t="s">
        <v>199</v>
      </c>
      <c r="C44" s="10"/>
      <c r="D44" s="10">
        <v>3354.1419999999998</v>
      </c>
      <c r="E44" s="10">
        <v>6638.9</v>
      </c>
      <c r="F44" s="10">
        <v>3218</v>
      </c>
      <c r="G44" s="10">
        <v>3495</v>
      </c>
      <c r="H44" s="15">
        <f t="shared" si="108"/>
        <v>8239</v>
      </c>
      <c r="N44" s="10"/>
      <c r="O44" s="10"/>
      <c r="P44" s="10"/>
      <c r="Q44" s="10">
        <f t="shared" si="109"/>
        <v>6638.9</v>
      </c>
      <c r="R44" s="10">
        <v>5215</v>
      </c>
      <c r="S44" s="10">
        <v>4146</v>
      </c>
      <c r="T44" s="10">
        <v>4046</v>
      </c>
      <c r="U44" s="10">
        <f t="shared" si="110"/>
        <v>3218</v>
      </c>
      <c r="V44" s="10">
        <v>3152</v>
      </c>
      <c r="W44" s="10">
        <v>3313</v>
      </c>
      <c r="X44" s="10">
        <v>3704</v>
      </c>
      <c r="Y44" s="10">
        <f t="shared" si="111"/>
        <v>3495</v>
      </c>
      <c r="Z44" s="10">
        <v>4303</v>
      </c>
      <c r="AA44">
        <v>5040</v>
      </c>
      <c r="AB44" s="129">
        <v>5546</v>
      </c>
      <c r="AC44" s="154">
        <v>8239</v>
      </c>
      <c r="AD44" s="161">
        <v>9167</v>
      </c>
      <c r="AE44" s="161">
        <v>9685</v>
      </c>
      <c r="AF44" s="15">
        <v>14390</v>
      </c>
    </row>
    <row r="45" spans="2:35" x14ac:dyDescent="0.25">
      <c r="B45" t="s">
        <v>200</v>
      </c>
      <c r="C45" s="10"/>
      <c r="D45" s="10"/>
      <c r="E45" s="10"/>
      <c r="F45" s="10">
        <v>517</v>
      </c>
      <c r="G45" s="10">
        <v>1602</v>
      </c>
      <c r="H45" s="15">
        <f t="shared" si="108"/>
        <v>3236</v>
      </c>
      <c r="N45" s="10"/>
      <c r="O45" s="10"/>
      <c r="P45" s="10"/>
      <c r="Q45" s="10">
        <f t="shared" si="109"/>
        <v>0</v>
      </c>
      <c r="R45" s="10"/>
      <c r="S45" s="10">
        <v>289</v>
      </c>
      <c r="T45" s="10">
        <v>139</v>
      </c>
      <c r="U45" s="10">
        <f t="shared" si="110"/>
        <v>517</v>
      </c>
      <c r="V45" s="10">
        <v>884</v>
      </c>
      <c r="W45" s="10">
        <v>960</v>
      </c>
      <c r="X45" s="10">
        <v>1204</v>
      </c>
      <c r="Y45" s="10">
        <f t="shared" si="111"/>
        <v>1602</v>
      </c>
      <c r="Z45" s="10">
        <v>2107</v>
      </c>
      <c r="AA45">
        <v>2217</v>
      </c>
      <c r="AB45" s="129">
        <v>3704</v>
      </c>
      <c r="AC45" s="154">
        <v>3236</v>
      </c>
      <c r="AD45" s="161">
        <v>4114</v>
      </c>
      <c r="AE45" s="161">
        <v>6159</v>
      </c>
      <c r="AF45" s="15">
        <v>6607</v>
      </c>
    </row>
    <row r="46" spans="2:35" x14ac:dyDescent="0.25">
      <c r="B46" t="s">
        <v>201</v>
      </c>
      <c r="C46" s="10"/>
      <c r="D46" s="10">
        <v>225.51400000000001</v>
      </c>
      <c r="E46" s="10">
        <v>327.91699999999997</v>
      </c>
      <c r="F46" s="10">
        <v>186</v>
      </c>
      <c r="G46" s="10">
        <v>338</v>
      </c>
      <c r="H46" s="15">
        <f t="shared" si="108"/>
        <v>489</v>
      </c>
      <c r="N46" s="10"/>
      <c r="O46" s="10"/>
      <c r="P46" s="10"/>
      <c r="Q46" s="10">
        <f t="shared" si="109"/>
        <v>327.91699999999997</v>
      </c>
      <c r="R46" s="10">
        <v>294</v>
      </c>
      <c r="S46" s="10">
        <v>8593</v>
      </c>
      <c r="T46" s="10">
        <v>201</v>
      </c>
      <c r="U46" s="10">
        <f t="shared" si="110"/>
        <v>186</v>
      </c>
      <c r="V46" s="10">
        <v>247</v>
      </c>
      <c r="W46" s="10">
        <v>223</v>
      </c>
      <c r="X46" s="10">
        <v>275</v>
      </c>
      <c r="Y46" s="10">
        <f t="shared" si="111"/>
        <v>338</v>
      </c>
      <c r="Z46" s="10">
        <v>585</v>
      </c>
      <c r="AA46">
        <v>551</v>
      </c>
      <c r="AB46" s="129">
        <v>464</v>
      </c>
      <c r="AC46" s="154">
        <v>489</v>
      </c>
      <c r="AD46" s="161">
        <v>641</v>
      </c>
      <c r="AE46" s="161">
        <v>720</v>
      </c>
      <c r="AF46" s="15">
        <v>1440</v>
      </c>
    </row>
    <row r="47" spans="2:35" x14ac:dyDescent="0.25">
      <c r="B47" t="s">
        <v>202</v>
      </c>
      <c r="C47" s="10"/>
      <c r="D47" s="10"/>
      <c r="E47" s="10"/>
      <c r="F47" s="10">
        <v>8431</v>
      </c>
      <c r="G47" s="10">
        <v>14708</v>
      </c>
      <c r="H47" s="15">
        <f t="shared" si="108"/>
        <v>0</v>
      </c>
      <c r="N47" s="10"/>
      <c r="O47" s="10"/>
      <c r="P47" s="10"/>
      <c r="Q47" s="10">
        <f t="shared" si="109"/>
        <v>0</v>
      </c>
      <c r="R47" s="10"/>
      <c r="S47" s="10">
        <v>1297</v>
      </c>
      <c r="T47" s="10">
        <v>9361</v>
      </c>
      <c r="U47" s="10">
        <f t="shared" si="110"/>
        <v>8431</v>
      </c>
      <c r="V47" s="10">
        <v>11489</v>
      </c>
      <c r="W47" s="10">
        <v>11503</v>
      </c>
      <c r="X47" s="10">
        <v>10183</v>
      </c>
      <c r="Y47" s="10">
        <f t="shared" si="111"/>
        <v>14708</v>
      </c>
      <c r="Z47" s="10">
        <v>26223</v>
      </c>
      <c r="AA47">
        <v>20643</v>
      </c>
      <c r="AB47" s="129">
        <v>19456</v>
      </c>
      <c r="AC47" s="154"/>
      <c r="AF47" s="15"/>
    </row>
    <row r="48" spans="2:35" x14ac:dyDescent="0.25">
      <c r="B48" t="s">
        <v>203</v>
      </c>
      <c r="C48" s="10"/>
      <c r="D48" s="10">
        <v>802.48299999999995</v>
      </c>
      <c r="E48" s="10">
        <v>1834.479</v>
      </c>
      <c r="F48" s="10">
        <v>997</v>
      </c>
      <c r="G48" s="10">
        <v>1592</v>
      </c>
      <c r="H48" s="15">
        <f t="shared" si="108"/>
        <v>2530</v>
      </c>
      <c r="N48" s="10"/>
      <c r="O48" s="10"/>
      <c r="P48" s="10"/>
      <c r="Q48" s="10">
        <f t="shared" si="109"/>
        <v>1834.479</v>
      </c>
      <c r="R48" s="10">
        <v>1929</v>
      </c>
      <c r="S48" s="10">
        <v>46</v>
      </c>
      <c r="T48" s="10">
        <v>1029</v>
      </c>
      <c r="U48" s="10">
        <f t="shared" si="110"/>
        <v>997</v>
      </c>
      <c r="V48" s="10">
        <v>1217</v>
      </c>
      <c r="W48" s="10">
        <v>1409</v>
      </c>
      <c r="X48" s="10">
        <v>1396</v>
      </c>
      <c r="Y48" s="10">
        <f t="shared" si="111"/>
        <v>1592</v>
      </c>
      <c r="Z48" s="10">
        <v>1975</v>
      </c>
      <c r="AA48">
        <v>2011</v>
      </c>
      <c r="AB48" s="129">
        <v>2201</v>
      </c>
      <c r="AC48" s="154">
        <v>2530</v>
      </c>
      <c r="AD48" s="161">
        <v>2531</v>
      </c>
      <c r="AE48" s="161">
        <v>3083</v>
      </c>
      <c r="AF48" s="15">
        <v>3618</v>
      </c>
    </row>
    <row r="49" spans="2:35" x14ac:dyDescent="0.25">
      <c r="B49" t="s">
        <v>204</v>
      </c>
      <c r="C49" s="10"/>
      <c r="D49" s="10"/>
      <c r="E49" s="10">
        <v>27.189</v>
      </c>
      <c r="F49" s="10"/>
      <c r="G49" s="10">
        <v>413</v>
      </c>
      <c r="H49" s="15">
        <f t="shared" si="108"/>
        <v>75</v>
      </c>
      <c r="N49" s="10"/>
      <c r="O49" s="10"/>
      <c r="P49" s="10"/>
      <c r="Q49" s="10">
        <f t="shared" si="109"/>
        <v>27.189</v>
      </c>
      <c r="R49" s="10">
        <v>40</v>
      </c>
      <c r="S49" s="10">
        <v>88</v>
      </c>
      <c r="T49" s="10">
        <v>32</v>
      </c>
      <c r="U49" s="10">
        <f t="shared" si="110"/>
        <v>0</v>
      </c>
      <c r="V49" s="10">
        <v>290</v>
      </c>
      <c r="W49" s="10">
        <v>321</v>
      </c>
      <c r="X49" s="10">
        <v>372</v>
      </c>
      <c r="Y49" s="10">
        <f t="shared" si="111"/>
        <v>413</v>
      </c>
      <c r="Z49" s="10">
        <v>495</v>
      </c>
      <c r="AA49">
        <v>503</v>
      </c>
      <c r="AB49" s="129">
        <v>527</v>
      </c>
      <c r="AC49" s="154">
        <v>75</v>
      </c>
      <c r="AD49" s="161">
        <v>192</v>
      </c>
      <c r="AE49" s="161">
        <v>134</v>
      </c>
      <c r="AF49" s="15">
        <v>53</v>
      </c>
    </row>
    <row r="50" spans="2:35" x14ac:dyDescent="0.25">
      <c r="B50" t="s">
        <v>73</v>
      </c>
      <c r="C50" s="10"/>
      <c r="D50" s="10"/>
      <c r="E50" s="10"/>
      <c r="F50" s="10">
        <v>86</v>
      </c>
      <c r="G50" s="10">
        <v>63</v>
      </c>
      <c r="H50" s="15">
        <f t="shared" si="108"/>
        <v>100</v>
      </c>
      <c r="N50" s="10"/>
      <c r="O50" s="10"/>
      <c r="P50" s="10"/>
      <c r="Q50" s="10">
        <f t="shared" si="109"/>
        <v>0</v>
      </c>
      <c r="R50" s="10">
        <v>75</v>
      </c>
      <c r="S50" s="10"/>
      <c r="T50" s="10">
        <v>80</v>
      </c>
      <c r="U50" s="10">
        <f t="shared" si="110"/>
        <v>86</v>
      </c>
      <c r="V50" s="10">
        <v>90</v>
      </c>
      <c r="W50" s="10">
        <v>88</v>
      </c>
      <c r="X50" s="10">
        <v>75</v>
      </c>
      <c r="Y50" s="10">
        <f t="shared" si="111"/>
        <v>63</v>
      </c>
      <c r="Z50" s="10">
        <v>64</v>
      </c>
      <c r="AA50">
        <v>65</v>
      </c>
      <c r="AB50" s="129">
        <v>86</v>
      </c>
      <c r="AC50" s="154">
        <v>100</v>
      </c>
      <c r="AD50" s="161">
        <v>89</v>
      </c>
      <c r="AE50" s="161">
        <v>108</v>
      </c>
      <c r="AF50" s="15">
        <v>128</v>
      </c>
    </row>
    <row r="51" spans="2:35" x14ac:dyDescent="0.25">
      <c r="B51" t="s">
        <v>205</v>
      </c>
      <c r="C51" s="10"/>
      <c r="D51" s="10">
        <v>48.655000000000001</v>
      </c>
      <c r="E51" s="10">
        <v>120.83499999999999</v>
      </c>
      <c r="F51" s="10">
        <v>72</v>
      </c>
      <c r="G51" s="10">
        <v>207</v>
      </c>
      <c r="H51" s="15">
        <f t="shared" si="108"/>
        <v>509</v>
      </c>
      <c r="N51" s="10"/>
      <c r="O51" s="10"/>
      <c r="P51" s="10"/>
      <c r="Q51" s="10">
        <f t="shared" si="109"/>
        <v>120.83499999999999</v>
      </c>
      <c r="R51" s="10">
        <v>29</v>
      </c>
      <c r="S51" s="10">
        <v>115</v>
      </c>
      <c r="T51" s="10">
        <v>41</v>
      </c>
      <c r="U51" s="10">
        <f t="shared" si="110"/>
        <v>72</v>
      </c>
      <c r="V51" s="10">
        <v>75</v>
      </c>
      <c r="W51" s="10">
        <v>123</v>
      </c>
      <c r="X51" s="10">
        <v>130</v>
      </c>
      <c r="Y51" s="10">
        <f t="shared" si="111"/>
        <v>207</v>
      </c>
      <c r="Z51" s="10">
        <v>348</v>
      </c>
      <c r="AA51">
        <f>67+352</f>
        <v>419</v>
      </c>
      <c r="AB51" s="130">
        <f>73+251</f>
        <v>324</v>
      </c>
      <c r="AC51" s="154">
        <v>509</v>
      </c>
      <c r="AD51">
        <f>243+113</f>
        <v>356</v>
      </c>
      <c r="AE51">
        <f>124+345</f>
        <v>469</v>
      </c>
      <c r="AF51" s="15">
        <f>161+326</f>
        <v>487</v>
      </c>
    </row>
    <row r="52" spans="2:35" s="1" customFormat="1" x14ac:dyDescent="0.25">
      <c r="B52" s="1" t="s">
        <v>61</v>
      </c>
      <c r="C52" s="11">
        <f>SUM(C41:C51)</f>
        <v>0</v>
      </c>
      <c r="D52" s="11">
        <f>SUM(D41:D51)</f>
        <v>10872.584000000001</v>
      </c>
      <c r="E52" s="11">
        <f>SUM(E41:E51)</f>
        <v>19283.541999999998</v>
      </c>
      <c r="F52" s="11">
        <f>SUM(F41:F51)</f>
        <v>22917</v>
      </c>
      <c r="G52" s="11">
        <f>SUM(G41:G51)</f>
        <v>31790</v>
      </c>
      <c r="H52" s="14">
        <f t="shared" ref="H52:J52" si="112">SUM(H41:H51)</f>
        <v>24705</v>
      </c>
      <c r="I52" s="11">
        <f t="shared" si="112"/>
        <v>0</v>
      </c>
      <c r="J52" s="11">
        <f t="shared" si="112"/>
        <v>0</v>
      </c>
      <c r="N52" s="11">
        <f t="shared" ref="N52:Y52" si="113">SUM(N41:N51)</f>
        <v>0</v>
      </c>
      <c r="O52" s="11">
        <f t="shared" si="113"/>
        <v>0</v>
      </c>
      <c r="P52" s="11">
        <f t="shared" si="113"/>
        <v>0</v>
      </c>
      <c r="Q52" s="11">
        <f t="shared" si="113"/>
        <v>19283.541999999998</v>
      </c>
      <c r="R52" s="11">
        <f t="shared" si="113"/>
        <v>18355</v>
      </c>
      <c r="S52" s="11">
        <f t="shared" si="113"/>
        <v>24045</v>
      </c>
      <c r="T52" s="11">
        <f t="shared" si="113"/>
        <v>24145</v>
      </c>
      <c r="U52" s="11">
        <f t="shared" si="113"/>
        <v>22917</v>
      </c>
      <c r="V52" s="11">
        <f t="shared" si="113"/>
        <v>27228</v>
      </c>
      <c r="W52" s="11">
        <f t="shared" si="113"/>
        <v>28106</v>
      </c>
      <c r="X52" s="11">
        <f t="shared" si="113"/>
        <v>25739</v>
      </c>
      <c r="Y52" s="11">
        <f t="shared" si="113"/>
        <v>31790</v>
      </c>
      <c r="Z52" s="11">
        <f t="shared" ref="Z52" si="114">SUM(Z41:Z51)</f>
        <v>45545</v>
      </c>
      <c r="AA52" s="11">
        <f t="shared" ref="AA52" si="115">SUM(AA41:AA51)</f>
        <v>40706</v>
      </c>
      <c r="AB52" s="128">
        <f t="shared" ref="AB52:AI52" si="116">SUM(AB41:AB51)</f>
        <v>42605</v>
      </c>
      <c r="AC52" s="155">
        <f t="shared" si="116"/>
        <v>24705</v>
      </c>
      <c r="AD52" s="11">
        <f t="shared" si="116"/>
        <v>26215</v>
      </c>
      <c r="AE52" s="11">
        <f t="shared" si="116"/>
        <v>33833</v>
      </c>
      <c r="AF52" s="14">
        <f t="shared" si="116"/>
        <v>39979</v>
      </c>
      <c r="AG52" s="11">
        <f t="shared" si="116"/>
        <v>0</v>
      </c>
      <c r="AH52" s="11">
        <f t="shared" si="116"/>
        <v>0</v>
      </c>
      <c r="AI52" s="11">
        <f t="shared" si="116"/>
        <v>0</v>
      </c>
    </row>
    <row r="53" spans="2:35" x14ac:dyDescent="0.25">
      <c r="B53" t="s">
        <v>74</v>
      </c>
      <c r="C53" s="10"/>
      <c r="D53" s="10">
        <v>45.834000000000003</v>
      </c>
      <c r="E53" s="10">
        <v>146.41900000000001</v>
      </c>
      <c r="F53" s="10">
        <v>146</v>
      </c>
      <c r="G53" s="10">
        <v>120</v>
      </c>
      <c r="H53" s="15">
        <f t="shared" ref="H53:H58" si="117">AC53</f>
        <v>139</v>
      </c>
      <c r="N53" s="10"/>
      <c r="O53" s="10"/>
      <c r="P53" s="10"/>
      <c r="Q53" s="10">
        <f t="shared" ref="Q53:Q58" si="118">E53</f>
        <v>146.41900000000001</v>
      </c>
      <c r="R53" s="10">
        <v>166</v>
      </c>
      <c r="S53" s="10">
        <v>170</v>
      </c>
      <c r="T53" s="10">
        <v>151</v>
      </c>
      <c r="U53" s="10">
        <f t="shared" ref="U53:U58" si="119">F53</f>
        <v>146</v>
      </c>
      <c r="V53" s="10">
        <v>137</v>
      </c>
      <c r="W53" s="10">
        <v>131</v>
      </c>
      <c r="X53" s="10">
        <v>123</v>
      </c>
      <c r="Y53" s="10">
        <f t="shared" ref="Y53:Y58" si="120">G53</f>
        <v>120</v>
      </c>
      <c r="Z53" s="10">
        <v>122</v>
      </c>
      <c r="AA53" s="10">
        <v>123</v>
      </c>
      <c r="AB53" s="129">
        <v>133</v>
      </c>
      <c r="AC53" s="154">
        <v>139</v>
      </c>
      <c r="AD53" s="161">
        <v>140</v>
      </c>
      <c r="AE53" s="161">
        <v>149</v>
      </c>
      <c r="AF53" s="15">
        <v>150</v>
      </c>
    </row>
    <row r="54" spans="2:35" x14ac:dyDescent="0.25">
      <c r="B54" t="s">
        <v>26</v>
      </c>
      <c r="C54" s="10"/>
      <c r="D54" s="10"/>
      <c r="E54" s="10">
        <v>100.521</v>
      </c>
      <c r="F54" s="10">
        <v>100</v>
      </c>
      <c r="G54" s="10">
        <v>175</v>
      </c>
      <c r="H54" s="15">
        <f t="shared" si="117"/>
        <v>179</v>
      </c>
      <c r="N54" s="10"/>
      <c r="O54" s="10"/>
      <c r="P54" s="10"/>
      <c r="Q54" s="10">
        <f t="shared" si="118"/>
        <v>100.521</v>
      </c>
      <c r="R54" s="10">
        <v>100</v>
      </c>
      <c r="S54" s="10">
        <v>100</v>
      </c>
      <c r="T54" s="10">
        <v>100</v>
      </c>
      <c r="U54" s="10">
        <f t="shared" si="119"/>
        <v>100</v>
      </c>
      <c r="V54" s="10">
        <v>100</v>
      </c>
      <c r="W54" s="10">
        <v>100</v>
      </c>
      <c r="X54" s="10">
        <v>164</v>
      </c>
      <c r="Y54" s="10">
        <f t="shared" si="120"/>
        <v>175</v>
      </c>
      <c r="Z54" s="10">
        <v>175</v>
      </c>
      <c r="AA54" s="10">
        <v>179</v>
      </c>
      <c r="AB54" s="129">
        <v>179</v>
      </c>
      <c r="AC54" s="154">
        <v>179</v>
      </c>
      <c r="AD54" s="161">
        <v>292</v>
      </c>
      <c r="AE54" s="161">
        <v>383</v>
      </c>
      <c r="AF54" s="15">
        <v>386</v>
      </c>
    </row>
    <row r="55" spans="2:35" x14ac:dyDescent="0.25">
      <c r="B55" t="s">
        <v>206</v>
      </c>
      <c r="C55" s="10"/>
      <c r="D55" s="10">
        <v>0.185</v>
      </c>
      <c r="E55" s="10">
        <v>34.106999999999999</v>
      </c>
      <c r="F55" s="10">
        <v>25</v>
      </c>
      <c r="G55" s="10">
        <v>48</v>
      </c>
      <c r="H55" s="15">
        <f t="shared" si="117"/>
        <v>38</v>
      </c>
      <c r="N55" s="10"/>
      <c r="O55" s="10"/>
      <c r="P55" s="10"/>
      <c r="Q55" s="10">
        <f t="shared" si="118"/>
        <v>34.106999999999999</v>
      </c>
      <c r="R55" s="10">
        <v>32</v>
      </c>
      <c r="S55" s="10">
        <v>30</v>
      </c>
      <c r="T55" s="10">
        <v>27</v>
      </c>
      <c r="U55" s="10">
        <f t="shared" si="119"/>
        <v>25</v>
      </c>
      <c r="V55" s="10">
        <v>23</v>
      </c>
      <c r="W55" s="10">
        <v>21</v>
      </c>
      <c r="X55" s="10">
        <v>53</v>
      </c>
      <c r="Y55" s="10">
        <f t="shared" si="120"/>
        <v>48</v>
      </c>
      <c r="Z55" s="10">
        <v>46</v>
      </c>
      <c r="AA55" s="10">
        <v>45</v>
      </c>
      <c r="AB55" s="129">
        <v>39</v>
      </c>
      <c r="AC55" s="154">
        <v>38</v>
      </c>
      <c r="AD55" s="161">
        <v>109</v>
      </c>
      <c r="AE55" s="161">
        <v>191</v>
      </c>
      <c r="AF55" s="15">
        <v>172</v>
      </c>
    </row>
    <row r="56" spans="2:35" x14ac:dyDescent="0.25">
      <c r="B56" t="s">
        <v>207</v>
      </c>
      <c r="C56" s="10"/>
      <c r="D56" s="10">
        <v>7.3639999999999999</v>
      </c>
      <c r="E56" s="10">
        <v>23.773</v>
      </c>
      <c r="F56" s="10"/>
      <c r="G56" s="10">
        <v>73</v>
      </c>
      <c r="H56" s="15">
        <f t="shared" si="117"/>
        <v>0</v>
      </c>
      <c r="N56" s="10"/>
      <c r="O56" s="10"/>
      <c r="P56" s="10"/>
      <c r="Q56" s="10">
        <f t="shared" si="118"/>
        <v>23.773</v>
      </c>
      <c r="R56" s="10">
        <v>24</v>
      </c>
      <c r="S56" s="10">
        <f>22+128</f>
        <v>150</v>
      </c>
      <c r="T56" s="10">
        <f>22+100</f>
        <v>122</v>
      </c>
      <c r="U56" s="10">
        <f t="shared" si="119"/>
        <v>0</v>
      </c>
      <c r="V56" s="10">
        <v>195</v>
      </c>
      <c r="W56" s="10">
        <v>165</v>
      </c>
      <c r="X56" s="10">
        <v>118</v>
      </c>
      <c r="Y56" s="10">
        <f t="shared" si="120"/>
        <v>73</v>
      </c>
      <c r="Z56" s="10">
        <v>10</v>
      </c>
      <c r="AA56" s="10">
        <v>2</v>
      </c>
      <c r="AB56" s="129">
        <v>0</v>
      </c>
      <c r="AC56" s="154"/>
      <c r="AD56" s="161"/>
      <c r="AF56" s="15"/>
    </row>
    <row r="57" spans="2:35" s="1" customFormat="1" x14ac:dyDescent="0.25">
      <c r="B57" t="s">
        <v>208</v>
      </c>
      <c r="C57" s="10"/>
      <c r="D57" s="10"/>
      <c r="E57" s="10"/>
      <c r="F57" s="10">
        <v>17</v>
      </c>
      <c r="G57" s="10">
        <v>4</v>
      </c>
      <c r="H57" s="15">
        <f t="shared" si="117"/>
        <v>195</v>
      </c>
      <c r="N57" s="10"/>
      <c r="O57" s="10"/>
      <c r="P57" s="10"/>
      <c r="Q57" s="10">
        <f t="shared" si="118"/>
        <v>0</v>
      </c>
      <c r="R57" s="10">
        <f>155+35</f>
        <v>190</v>
      </c>
      <c r="S57" s="10">
        <v>37</v>
      </c>
      <c r="T57" s="10">
        <v>27</v>
      </c>
      <c r="U57" s="10">
        <f t="shared" si="119"/>
        <v>17</v>
      </c>
      <c r="V57" s="10">
        <v>11</v>
      </c>
      <c r="W57" s="10">
        <v>6</v>
      </c>
      <c r="X57" s="10">
        <v>3</v>
      </c>
      <c r="Y57" s="10">
        <f t="shared" si="120"/>
        <v>4</v>
      </c>
      <c r="Z57" s="10"/>
      <c r="AA57" s="10">
        <v>159</v>
      </c>
      <c r="AB57" s="129">
        <v>159</v>
      </c>
      <c r="AC57" s="154">
        <v>195</v>
      </c>
      <c r="AD57" s="161">
        <v>238</v>
      </c>
      <c r="AE57" s="163">
        <v>267</v>
      </c>
      <c r="AF57" s="15">
        <v>360</v>
      </c>
    </row>
    <row r="58" spans="2:35" s="1" customFormat="1" x14ac:dyDescent="0.25">
      <c r="B58" t="s">
        <v>25</v>
      </c>
      <c r="C58" s="10"/>
      <c r="D58" s="10">
        <v>62.506999999999998</v>
      </c>
      <c r="E58" s="10">
        <v>180.81700000000001</v>
      </c>
      <c r="F58" s="10">
        <v>132</v>
      </c>
      <c r="G58" s="10">
        <v>122</v>
      </c>
      <c r="H58" s="15">
        <f t="shared" si="117"/>
        <v>533</v>
      </c>
      <c r="N58" s="10"/>
      <c r="O58" s="10"/>
      <c r="P58" s="10"/>
      <c r="Q58" s="10">
        <f t="shared" si="118"/>
        <v>180.81700000000001</v>
      </c>
      <c r="R58" s="10">
        <v>5</v>
      </c>
      <c r="S58" s="10">
        <v>16</v>
      </c>
      <c r="T58" s="10">
        <v>29</v>
      </c>
      <c r="U58" s="10">
        <f t="shared" si="119"/>
        <v>132</v>
      </c>
      <c r="V58" s="10">
        <v>131</v>
      </c>
      <c r="W58" s="10">
        <v>131</v>
      </c>
      <c r="X58" s="10">
        <v>118</v>
      </c>
      <c r="Y58" s="10">
        <f t="shared" si="120"/>
        <v>122</v>
      </c>
      <c r="Z58" s="10">
        <v>190</v>
      </c>
      <c r="AA58" s="10">
        <v>132</v>
      </c>
      <c r="AB58" s="129">
        <v>130</v>
      </c>
      <c r="AC58" s="154">
        <v>533</v>
      </c>
      <c r="AD58" s="163">
        <v>523</v>
      </c>
      <c r="AE58" s="163">
        <v>501</v>
      </c>
      <c r="AF58" s="14">
        <v>405</v>
      </c>
    </row>
    <row r="59" spans="2:35" x14ac:dyDescent="0.25">
      <c r="B59" s="1" t="s">
        <v>27</v>
      </c>
      <c r="C59" s="11">
        <f>SUM(C52:C58)</f>
        <v>0</v>
      </c>
      <c r="D59" s="11">
        <f>SUM(D52:D58)</f>
        <v>10988.474</v>
      </c>
      <c r="E59" s="11">
        <f>SUM(E52:E58)</f>
        <v>19769.179</v>
      </c>
      <c r="F59" s="11">
        <f>SUM(F52:F58)</f>
        <v>23337</v>
      </c>
      <c r="G59" s="11">
        <f>SUM(G52:G58)</f>
        <v>32332</v>
      </c>
      <c r="H59" s="14">
        <f t="shared" ref="H59:J59" si="121">SUM(H52:H58)</f>
        <v>25789</v>
      </c>
      <c r="I59" s="11">
        <f t="shared" si="121"/>
        <v>0</v>
      </c>
      <c r="J59" s="11">
        <f t="shared" si="121"/>
        <v>0</v>
      </c>
      <c r="N59" s="11">
        <f t="shared" ref="N59:Y59" si="122">SUM(N52:N58)</f>
        <v>0</v>
      </c>
      <c r="O59" s="11">
        <f t="shared" si="122"/>
        <v>0</v>
      </c>
      <c r="P59" s="11">
        <f t="shared" si="122"/>
        <v>0</v>
      </c>
      <c r="Q59" s="11">
        <f t="shared" si="122"/>
        <v>19769.179</v>
      </c>
      <c r="R59" s="11">
        <f t="shared" si="122"/>
        <v>18872</v>
      </c>
      <c r="S59" s="11">
        <f t="shared" si="122"/>
        <v>24548</v>
      </c>
      <c r="T59" s="11">
        <f t="shared" si="122"/>
        <v>24601</v>
      </c>
      <c r="U59" s="11">
        <f t="shared" si="122"/>
        <v>23337</v>
      </c>
      <c r="V59" s="11">
        <f t="shared" si="122"/>
        <v>27825</v>
      </c>
      <c r="W59" s="11">
        <f t="shared" si="122"/>
        <v>28660</v>
      </c>
      <c r="X59" s="11">
        <f t="shared" si="122"/>
        <v>26318</v>
      </c>
      <c r="Y59" s="11">
        <f t="shared" si="122"/>
        <v>32332</v>
      </c>
      <c r="Z59" s="11">
        <f t="shared" ref="Z59:AI59" si="123">SUM(Z52:Z58)</f>
        <v>46088</v>
      </c>
      <c r="AA59" s="11">
        <f t="shared" si="123"/>
        <v>41346</v>
      </c>
      <c r="AB59" s="128">
        <f t="shared" si="123"/>
        <v>43245</v>
      </c>
      <c r="AC59" s="155">
        <f t="shared" si="123"/>
        <v>25789</v>
      </c>
      <c r="AD59" s="11">
        <f t="shared" si="123"/>
        <v>27517</v>
      </c>
      <c r="AE59" s="11">
        <f t="shared" si="123"/>
        <v>35324</v>
      </c>
      <c r="AF59" s="14">
        <f t="shared" si="123"/>
        <v>41452</v>
      </c>
      <c r="AG59" s="11">
        <f t="shared" si="123"/>
        <v>0</v>
      </c>
      <c r="AH59" s="11">
        <f t="shared" si="123"/>
        <v>0</v>
      </c>
      <c r="AI59" s="11">
        <f t="shared" si="123"/>
        <v>0</v>
      </c>
    </row>
    <row r="60" spans="2:35" x14ac:dyDescent="0.25">
      <c r="B60" t="s">
        <v>29</v>
      </c>
      <c r="C60" s="10"/>
      <c r="D60" s="10">
        <v>104.649</v>
      </c>
      <c r="E60" s="10">
        <v>252.31299999999999</v>
      </c>
      <c r="F60" s="10">
        <v>185</v>
      </c>
      <c r="G60" s="10">
        <v>384</v>
      </c>
      <c r="H60" s="15">
        <f t="shared" ref="H60:H65" si="124">AC60</f>
        <v>397</v>
      </c>
      <c r="N60" s="10"/>
      <c r="O60" s="10"/>
      <c r="P60" s="10"/>
      <c r="Q60" s="10">
        <f t="shared" ref="Q60:Q65" si="125">E60</f>
        <v>252.31299999999999</v>
      </c>
      <c r="R60" s="10">
        <v>249</v>
      </c>
      <c r="S60" s="10">
        <v>243</v>
      </c>
      <c r="T60" s="10">
        <v>203</v>
      </c>
      <c r="U60" s="10">
        <f t="shared" ref="U60:U65" si="126">F60</f>
        <v>185</v>
      </c>
      <c r="V60" s="10">
        <v>203</v>
      </c>
      <c r="W60" s="10">
        <v>236</v>
      </c>
      <c r="X60" s="10">
        <v>373</v>
      </c>
      <c r="Y60" s="10">
        <f t="shared" ref="Y60:Y65" si="127">G60</f>
        <v>384</v>
      </c>
      <c r="Z60" s="10">
        <v>351</v>
      </c>
      <c r="AA60" s="10">
        <v>386</v>
      </c>
      <c r="AB60" s="129">
        <v>443</v>
      </c>
      <c r="AC60" s="154">
        <v>397</v>
      </c>
      <c r="AD60" s="161">
        <v>319</v>
      </c>
      <c r="AE60" s="164">
        <v>369</v>
      </c>
      <c r="AF60" s="15">
        <v>399</v>
      </c>
    </row>
    <row r="61" spans="2:35" x14ac:dyDescent="0.25">
      <c r="B61" t="s">
        <v>209</v>
      </c>
      <c r="C61" s="10"/>
      <c r="D61" s="10">
        <v>5897.2420000000002</v>
      </c>
      <c r="E61" s="10">
        <v>6475.7280000000001</v>
      </c>
      <c r="F61" s="10">
        <v>4701</v>
      </c>
      <c r="G61" s="10">
        <v>5097</v>
      </c>
      <c r="H61" s="15">
        <f t="shared" si="124"/>
        <v>7448</v>
      </c>
      <c r="N61" s="10"/>
      <c r="O61" s="10"/>
      <c r="P61" s="10"/>
      <c r="Q61" s="10">
        <f t="shared" si="125"/>
        <v>6475.7280000000001</v>
      </c>
      <c r="R61" s="10">
        <v>7149</v>
      </c>
      <c r="S61" s="10">
        <v>5795</v>
      </c>
      <c r="T61" s="10">
        <v>5396</v>
      </c>
      <c r="U61" s="10">
        <f t="shared" si="126"/>
        <v>4701</v>
      </c>
      <c r="V61" s="10">
        <v>4986</v>
      </c>
      <c r="W61" s="10">
        <v>5111</v>
      </c>
      <c r="X61" s="10">
        <v>4325</v>
      </c>
      <c r="Y61" s="10">
        <f t="shared" si="127"/>
        <v>5097</v>
      </c>
      <c r="Z61" s="10">
        <v>6074</v>
      </c>
      <c r="AA61" s="10">
        <v>5789</v>
      </c>
      <c r="AB61" s="129">
        <v>6264</v>
      </c>
      <c r="AC61" s="154">
        <v>7448</v>
      </c>
      <c r="AD61" s="161">
        <v>7116</v>
      </c>
      <c r="AE61" s="164">
        <v>10511</v>
      </c>
      <c r="AF61" s="15">
        <v>12317</v>
      </c>
    </row>
    <row r="62" spans="2:35" x14ac:dyDescent="0.25">
      <c r="B62" t="s">
        <v>210</v>
      </c>
      <c r="C62" s="10"/>
      <c r="D62" s="10">
        <v>1921.1179999999999</v>
      </c>
      <c r="E62" s="10">
        <v>3651.0349999999999</v>
      </c>
      <c r="F62" s="10">
        <v>1834</v>
      </c>
      <c r="G62" s="10">
        <v>3547</v>
      </c>
      <c r="H62" s="15">
        <f t="shared" si="124"/>
        <v>7463</v>
      </c>
      <c r="N62" s="10"/>
      <c r="O62" s="10"/>
      <c r="P62" s="10"/>
      <c r="Q62" s="10">
        <f t="shared" si="125"/>
        <v>3651.0349999999999</v>
      </c>
      <c r="R62" s="10">
        <v>2151</v>
      </c>
      <c r="S62" s="10">
        <v>1367</v>
      </c>
      <c r="T62" s="10">
        <v>1423</v>
      </c>
      <c r="U62" s="10">
        <f t="shared" si="126"/>
        <v>1834</v>
      </c>
      <c r="V62" s="10">
        <v>2609</v>
      </c>
      <c r="W62" s="10">
        <v>2982</v>
      </c>
      <c r="X62" s="10">
        <v>3245</v>
      </c>
      <c r="Y62" s="10">
        <f t="shared" si="127"/>
        <v>3547</v>
      </c>
      <c r="Z62" s="10">
        <v>4215</v>
      </c>
      <c r="AA62" s="10">
        <v>5091</v>
      </c>
      <c r="AB62" s="129">
        <v>7306</v>
      </c>
      <c r="AC62" s="154">
        <v>7463</v>
      </c>
      <c r="AD62" s="161">
        <v>9098</v>
      </c>
      <c r="AE62" s="161">
        <v>12640</v>
      </c>
      <c r="AF62" s="15">
        <v>15666</v>
      </c>
    </row>
    <row r="63" spans="2:35" x14ac:dyDescent="0.25">
      <c r="B63" t="s">
        <v>211</v>
      </c>
      <c r="C63" s="10"/>
      <c r="D63" s="10"/>
      <c r="E63" s="10"/>
      <c r="F63" s="10">
        <v>8431</v>
      </c>
      <c r="G63" s="10">
        <v>14708</v>
      </c>
      <c r="H63" s="15">
        <f t="shared" si="124"/>
        <v>0</v>
      </c>
      <c r="N63" s="10"/>
      <c r="O63" s="10"/>
      <c r="P63" s="10"/>
      <c r="Q63" s="10">
        <f t="shared" si="125"/>
        <v>0</v>
      </c>
      <c r="R63" s="10">
        <v>1929</v>
      </c>
      <c r="S63" s="10">
        <v>8593</v>
      </c>
      <c r="T63" s="10">
        <v>9361</v>
      </c>
      <c r="U63" s="10">
        <f t="shared" si="126"/>
        <v>8431</v>
      </c>
      <c r="V63" s="10">
        <v>11489</v>
      </c>
      <c r="W63" s="10">
        <v>11503</v>
      </c>
      <c r="X63" s="10">
        <v>10183</v>
      </c>
      <c r="Y63" s="10">
        <f t="shared" si="127"/>
        <v>14708</v>
      </c>
      <c r="Z63" s="10">
        <v>26223</v>
      </c>
      <c r="AA63" s="10">
        <v>20643</v>
      </c>
      <c r="AB63" s="129">
        <v>19456</v>
      </c>
      <c r="AC63" s="154"/>
      <c r="AE63" s="161">
        <v>0</v>
      </c>
      <c r="AF63" s="15"/>
    </row>
    <row r="64" spans="2:35" x14ac:dyDescent="0.25">
      <c r="B64" t="s">
        <v>212</v>
      </c>
      <c r="C64" s="10"/>
      <c r="D64" s="10">
        <v>802.48299999999995</v>
      </c>
      <c r="E64" s="10">
        <v>1834.479</v>
      </c>
      <c r="F64" s="10">
        <v>997</v>
      </c>
      <c r="G64" s="10">
        <v>1592</v>
      </c>
      <c r="H64" s="15">
        <f t="shared" si="124"/>
        <v>2530</v>
      </c>
      <c r="N64" s="10"/>
      <c r="O64" s="10"/>
      <c r="P64" s="10"/>
      <c r="Q64" s="10">
        <f t="shared" si="125"/>
        <v>1834.479</v>
      </c>
      <c r="R64" s="10">
        <v>23</v>
      </c>
      <c r="S64" s="10">
        <v>1297</v>
      </c>
      <c r="T64" s="10">
        <v>1029</v>
      </c>
      <c r="U64" s="10">
        <f t="shared" si="126"/>
        <v>997</v>
      </c>
      <c r="V64" s="10">
        <v>1217</v>
      </c>
      <c r="W64" s="10">
        <v>1409</v>
      </c>
      <c r="X64" s="10">
        <v>1396</v>
      </c>
      <c r="Y64" s="10">
        <f t="shared" si="127"/>
        <v>1592</v>
      </c>
      <c r="Z64" s="10">
        <v>1975</v>
      </c>
      <c r="AA64" s="10">
        <v>2011</v>
      </c>
      <c r="AB64" s="129">
        <v>2201</v>
      </c>
      <c r="AC64" s="154">
        <v>2530</v>
      </c>
      <c r="AD64" s="161">
        <v>2531</v>
      </c>
      <c r="AE64" s="161">
        <v>3083</v>
      </c>
      <c r="AF64" s="15">
        <v>3618</v>
      </c>
    </row>
    <row r="65" spans="2:35" x14ac:dyDescent="0.25">
      <c r="B65" t="s">
        <v>205</v>
      </c>
      <c r="C65" s="10"/>
      <c r="D65" s="10">
        <v>90.552999999999997</v>
      </c>
      <c r="E65" s="10">
        <v>133.78700000000001</v>
      </c>
      <c r="F65" s="10">
        <v>105</v>
      </c>
      <c r="G65" s="10">
        <v>217</v>
      </c>
      <c r="H65" s="15">
        <f t="shared" si="124"/>
        <v>266</v>
      </c>
      <c r="N65" s="10"/>
      <c r="O65" s="10"/>
      <c r="P65" s="10"/>
      <c r="Q65" s="10">
        <f t="shared" si="125"/>
        <v>133.78700000000001</v>
      </c>
      <c r="R65" s="10">
        <v>80</v>
      </c>
      <c r="S65" s="10">
        <f>22+82</f>
        <v>104</v>
      </c>
      <c r="T65" s="10">
        <f>22+75</f>
        <v>97</v>
      </c>
      <c r="U65" s="10">
        <f t="shared" si="126"/>
        <v>105</v>
      </c>
      <c r="V65" s="10">
        <v>113</v>
      </c>
      <c r="W65" s="10">
        <v>115</v>
      </c>
      <c r="X65" s="10">
        <v>126</v>
      </c>
      <c r="Y65" s="10">
        <f t="shared" si="127"/>
        <v>217</v>
      </c>
      <c r="Z65" s="10">
        <v>275</v>
      </c>
      <c r="AA65" s="10">
        <v>220</v>
      </c>
      <c r="AB65" s="129">
        <v>288</v>
      </c>
      <c r="AC65" s="154">
        <v>266</v>
      </c>
      <c r="AD65" s="161">
        <v>367</v>
      </c>
      <c r="AE65" s="161">
        <v>519</v>
      </c>
      <c r="AF65" s="15">
        <v>762</v>
      </c>
    </row>
    <row r="66" spans="2:35" s="1" customFormat="1" x14ac:dyDescent="0.25">
      <c r="B66" s="1" t="s">
        <v>62</v>
      </c>
      <c r="C66" s="11">
        <f>SUM(C60:C65)</f>
        <v>0</v>
      </c>
      <c r="D66" s="11">
        <f>SUM(D60:D65)</f>
        <v>8816.0450000000001</v>
      </c>
      <c r="E66" s="11">
        <f>SUM(E60:E65)</f>
        <v>12347.342000000001</v>
      </c>
      <c r="F66" s="11">
        <f>SUM(F60:F65)</f>
        <v>16253</v>
      </c>
      <c r="G66" s="11">
        <f>SUM(G60:G65)</f>
        <v>25545</v>
      </c>
      <c r="H66" s="14">
        <f t="shared" ref="H66:J66" si="128">SUM(H60:H65)</f>
        <v>18104</v>
      </c>
      <c r="I66" s="11">
        <f t="shared" si="128"/>
        <v>0</v>
      </c>
      <c r="J66" s="11">
        <f t="shared" si="128"/>
        <v>0</v>
      </c>
      <c r="N66" s="11">
        <f t="shared" ref="N66:Y66" si="129">SUM(N60:N65)</f>
        <v>0</v>
      </c>
      <c r="O66" s="11">
        <f t="shared" si="129"/>
        <v>0</v>
      </c>
      <c r="P66" s="11">
        <f t="shared" si="129"/>
        <v>0</v>
      </c>
      <c r="Q66" s="11">
        <f t="shared" si="129"/>
        <v>12347.342000000001</v>
      </c>
      <c r="R66" s="11">
        <f t="shared" si="129"/>
        <v>11581</v>
      </c>
      <c r="S66" s="11">
        <f t="shared" si="129"/>
        <v>17399</v>
      </c>
      <c r="T66" s="11">
        <f t="shared" si="129"/>
        <v>17509</v>
      </c>
      <c r="U66" s="11">
        <f t="shared" si="129"/>
        <v>16253</v>
      </c>
      <c r="V66" s="11">
        <f t="shared" si="129"/>
        <v>20617</v>
      </c>
      <c r="W66" s="11">
        <f t="shared" si="129"/>
        <v>21356</v>
      </c>
      <c r="X66" s="11">
        <f t="shared" si="129"/>
        <v>19648</v>
      </c>
      <c r="Y66" s="11">
        <f t="shared" si="129"/>
        <v>25545</v>
      </c>
      <c r="Z66" s="11">
        <f t="shared" ref="Z66" si="130">SUM(Z60:Z65)</f>
        <v>39113</v>
      </c>
      <c r="AA66" s="11">
        <f t="shared" ref="AA66" si="131">SUM(AA60:AA65)</f>
        <v>34140</v>
      </c>
      <c r="AB66" s="128">
        <f t="shared" ref="AB66:AI66" si="132">SUM(AB60:AB65)</f>
        <v>35958</v>
      </c>
      <c r="AC66" s="155">
        <f t="shared" si="132"/>
        <v>18104</v>
      </c>
      <c r="AD66" s="11">
        <f t="shared" si="132"/>
        <v>19431</v>
      </c>
      <c r="AE66" s="11">
        <f t="shared" si="132"/>
        <v>27122</v>
      </c>
      <c r="AF66" s="14">
        <f t="shared" si="132"/>
        <v>32762</v>
      </c>
      <c r="AG66" s="11">
        <f t="shared" si="132"/>
        <v>0</v>
      </c>
      <c r="AH66" s="11">
        <f t="shared" si="132"/>
        <v>0</v>
      </c>
      <c r="AI66" s="11">
        <f t="shared" si="132"/>
        <v>0</v>
      </c>
    </row>
    <row r="67" spans="2:35" x14ac:dyDescent="0.25">
      <c r="B67" t="s">
        <v>213</v>
      </c>
      <c r="C67" s="10"/>
      <c r="D67" s="10">
        <v>48.012</v>
      </c>
      <c r="E67" s="10">
        <v>128.745</v>
      </c>
      <c r="F67" s="10">
        <v>128</v>
      </c>
      <c r="G67" s="10">
        <v>91</v>
      </c>
      <c r="H67" s="15">
        <f>AC67</f>
        <v>111</v>
      </c>
      <c r="N67" s="10"/>
      <c r="O67" s="10"/>
      <c r="P67" s="10"/>
      <c r="Q67" s="10">
        <f>E67</f>
        <v>128.745</v>
      </c>
      <c r="R67" s="10">
        <v>160</v>
      </c>
      <c r="S67" s="10">
        <v>132</v>
      </c>
      <c r="T67" s="10">
        <v>138</v>
      </c>
      <c r="U67" s="10">
        <f>F67</f>
        <v>128</v>
      </c>
      <c r="V67" s="10">
        <v>122</v>
      </c>
      <c r="W67" s="10">
        <v>117</v>
      </c>
      <c r="X67" s="10">
        <v>96</v>
      </c>
      <c r="Y67" s="10">
        <f>G67</f>
        <v>91</v>
      </c>
      <c r="Z67" s="10">
        <v>90</v>
      </c>
      <c r="AA67" s="10">
        <v>84</v>
      </c>
      <c r="AB67" s="129">
        <v>79</v>
      </c>
      <c r="AC67" s="154">
        <v>111</v>
      </c>
      <c r="AD67" s="161">
        <v>113</v>
      </c>
      <c r="AE67" s="161">
        <v>130</v>
      </c>
      <c r="AF67" s="13">
        <v>123</v>
      </c>
    </row>
    <row r="68" spans="2:35" x14ac:dyDescent="0.25">
      <c r="B68" s="1" t="s">
        <v>28</v>
      </c>
      <c r="C68" s="11">
        <f>SUM(C66:C67)</f>
        <v>0</v>
      </c>
      <c r="D68" s="11">
        <f>SUM(D66:D67)</f>
        <v>8864.0570000000007</v>
      </c>
      <c r="E68" s="11">
        <f>SUM(E66:E67)</f>
        <v>12476.087000000001</v>
      </c>
      <c r="F68" s="11">
        <f>SUM(F66:F67)</f>
        <v>16381</v>
      </c>
      <c r="G68" s="11">
        <f>SUM(G66:G67)</f>
        <v>25636</v>
      </c>
      <c r="H68" s="14">
        <f t="shared" ref="H68:J68" si="133">SUM(H66:H67)</f>
        <v>18215</v>
      </c>
      <c r="I68" s="11">
        <f t="shared" si="133"/>
        <v>0</v>
      </c>
      <c r="J68" s="11">
        <f t="shared" si="133"/>
        <v>0</v>
      </c>
      <c r="N68" s="11">
        <f t="shared" ref="N68:Y68" si="134">SUM(N66:N67)</f>
        <v>0</v>
      </c>
      <c r="O68" s="11">
        <f t="shared" si="134"/>
        <v>0</v>
      </c>
      <c r="P68" s="11">
        <f t="shared" si="134"/>
        <v>0</v>
      </c>
      <c r="Q68" s="11">
        <f t="shared" si="134"/>
        <v>12476.087000000001</v>
      </c>
      <c r="R68" s="11">
        <f t="shared" si="134"/>
        <v>11741</v>
      </c>
      <c r="S68" s="11">
        <f t="shared" si="134"/>
        <v>17531</v>
      </c>
      <c r="T68" s="11">
        <f t="shared" si="134"/>
        <v>17647</v>
      </c>
      <c r="U68" s="11">
        <f t="shared" si="134"/>
        <v>16381</v>
      </c>
      <c r="V68" s="11">
        <f t="shared" si="134"/>
        <v>20739</v>
      </c>
      <c r="W68" s="11">
        <f t="shared" si="134"/>
        <v>21473</v>
      </c>
      <c r="X68" s="11">
        <f t="shared" si="134"/>
        <v>19744</v>
      </c>
      <c r="Y68" s="11">
        <f t="shared" si="134"/>
        <v>25636</v>
      </c>
      <c r="Z68" s="11">
        <f t="shared" ref="Z68" si="135">SUM(Z66:Z67)</f>
        <v>39203</v>
      </c>
      <c r="AA68" s="11">
        <f t="shared" ref="AA68" si="136">SUM(AA66:AA67)</f>
        <v>34224</v>
      </c>
      <c r="AB68" s="128">
        <f t="shared" ref="AB68:AE68" si="137">SUM(AB66:AB67)</f>
        <v>36037</v>
      </c>
      <c r="AC68" s="155">
        <f t="shared" si="137"/>
        <v>18215</v>
      </c>
      <c r="AD68" s="11">
        <f t="shared" si="137"/>
        <v>19544</v>
      </c>
      <c r="AE68" s="11">
        <f t="shared" ref="AE68:AI68" si="138">SUM(AE66:AE67)</f>
        <v>27252</v>
      </c>
      <c r="AF68" s="14">
        <f t="shared" si="138"/>
        <v>32885</v>
      </c>
      <c r="AG68" s="11">
        <f t="shared" si="138"/>
        <v>0</v>
      </c>
      <c r="AH68" s="11">
        <f t="shared" si="138"/>
        <v>0</v>
      </c>
      <c r="AI68" s="11">
        <f t="shared" si="138"/>
        <v>0</v>
      </c>
    </row>
    <row r="69" spans="2:35" x14ac:dyDescent="0.25">
      <c r="B69" t="s">
        <v>75</v>
      </c>
      <c r="C69" s="10">
        <f>C59-C68</f>
        <v>0</v>
      </c>
      <c r="D69" s="10">
        <f>D59-D68</f>
        <v>2124.4169999999995</v>
      </c>
      <c r="E69" s="10">
        <f>E59-E68</f>
        <v>7293.0919999999987</v>
      </c>
      <c r="F69" s="10">
        <f>F59-F68</f>
        <v>6956</v>
      </c>
      <c r="G69" s="10">
        <f>G59-G68</f>
        <v>6696</v>
      </c>
      <c r="H69" s="15">
        <f t="shared" ref="H69:J69" si="139">H59-H68</f>
        <v>7574</v>
      </c>
      <c r="I69" s="10">
        <f t="shared" si="139"/>
        <v>0</v>
      </c>
      <c r="J69" s="10">
        <f t="shared" si="139"/>
        <v>0</v>
      </c>
      <c r="N69" s="10">
        <f t="shared" ref="N69:Y69" si="140">N59-N68</f>
        <v>0</v>
      </c>
      <c r="O69" s="10">
        <f t="shared" si="140"/>
        <v>0</v>
      </c>
      <c r="P69" s="10">
        <f t="shared" si="140"/>
        <v>0</v>
      </c>
      <c r="Q69" s="10">
        <f t="shared" si="140"/>
        <v>7293.0919999999987</v>
      </c>
      <c r="R69" s="10">
        <f t="shared" si="140"/>
        <v>7131</v>
      </c>
      <c r="S69" s="10">
        <f t="shared" si="140"/>
        <v>7017</v>
      </c>
      <c r="T69" s="10">
        <f t="shared" si="140"/>
        <v>6954</v>
      </c>
      <c r="U69" s="10">
        <f t="shared" si="140"/>
        <v>6956</v>
      </c>
      <c r="V69" s="10">
        <f t="shared" si="140"/>
        <v>7086</v>
      </c>
      <c r="W69" s="10">
        <f t="shared" si="140"/>
        <v>7187</v>
      </c>
      <c r="X69" s="10">
        <f t="shared" si="140"/>
        <v>6574</v>
      </c>
      <c r="Y69" s="10">
        <f t="shared" si="140"/>
        <v>6696</v>
      </c>
      <c r="Z69" s="10">
        <f t="shared" ref="Z69" si="141">Z59-Z68</f>
        <v>6885</v>
      </c>
      <c r="AA69" s="10">
        <f t="shared" ref="AA69" si="142">AA59-AA68</f>
        <v>7122</v>
      </c>
      <c r="AB69" s="129">
        <f t="shared" ref="AB69:AE69" si="143">AB59-AB68</f>
        <v>7208</v>
      </c>
      <c r="AC69" s="154">
        <f t="shared" si="143"/>
        <v>7574</v>
      </c>
      <c r="AD69" s="10">
        <f t="shared" si="143"/>
        <v>7973</v>
      </c>
      <c r="AE69" s="10">
        <f t="shared" ref="AE69:AI69" si="144">AE59-AE68</f>
        <v>8072</v>
      </c>
      <c r="AF69" s="15">
        <f t="shared" si="144"/>
        <v>8567</v>
      </c>
      <c r="AG69" s="10">
        <f t="shared" si="144"/>
        <v>0</v>
      </c>
      <c r="AH69" s="10">
        <f t="shared" si="144"/>
        <v>0</v>
      </c>
      <c r="AI69" s="10">
        <f t="shared" si="144"/>
        <v>0</v>
      </c>
    </row>
    <row r="70" spans="2:35" x14ac:dyDescent="0.25">
      <c r="AB70" s="130"/>
    </row>
    <row r="71" spans="2:35" s="1" customFormat="1" x14ac:dyDescent="0.25">
      <c r="B71" s="1" t="s">
        <v>251</v>
      </c>
      <c r="C71" s="47"/>
      <c r="D71" s="47"/>
      <c r="E71" s="47"/>
      <c r="F71" s="47"/>
      <c r="G71" s="121"/>
      <c r="H71" s="16"/>
      <c r="U71" s="121">
        <f>(U41+U42)/(Q41+Q42)-1</f>
        <v>-8.9001098586204752E-2</v>
      </c>
      <c r="V71" s="121">
        <f t="shared" ref="V71:Z71" si="145">(V41+V42)/(R41+R42)-1</f>
        <v>-9.1745703821955127E-2</v>
      </c>
      <c r="W71" s="121">
        <f t="shared" si="145"/>
        <v>7.1093583457684906E-2</v>
      </c>
      <c r="X71" s="121">
        <f t="shared" si="145"/>
        <v>-8.7955365933705232E-2</v>
      </c>
      <c r="Y71" s="121">
        <f t="shared" si="145"/>
        <v>-5.4638954360403114E-3</v>
      </c>
      <c r="Z71" s="121">
        <f t="shared" si="145"/>
        <v>-4.4871794871794823E-2</v>
      </c>
      <c r="AA71" s="121">
        <f>(AA41+AA42)/(W41+W42)-1</f>
        <v>-9.3641158324211382E-2</v>
      </c>
      <c r="AB71" s="131">
        <f>(AB41+AB42)/(X41+X42)-1</f>
        <v>0.21842389348686586</v>
      </c>
      <c r="AC71" s="121">
        <f t="shared" ref="AC71:AE71" si="146">(AC41+AC42)/(Y41+Y42)-1</f>
        <v>-2.4453301734353117E-2</v>
      </c>
      <c r="AD71" s="121">
        <f>(AD41+AD42)/(Z41+Z42)-1</f>
        <v>-4.1134444684996718E-2</v>
      </c>
      <c r="AE71" s="121">
        <f t="shared" ref="AE71" si="147">(AE41+AE42)/(AA41+AA42)-1</f>
        <v>0.43840579710144922</v>
      </c>
      <c r="AF71" s="160">
        <f t="shared" ref="AF71" si="148">(AF41+AF42)/(AB41+AB42)-1</f>
        <v>0.25753101004134682</v>
      </c>
      <c r="AG71" s="121">
        <f t="shared" ref="AG71" si="149">(AG41+AG42)/(AC41+AC42)-1</f>
        <v>-1</v>
      </c>
      <c r="AH71" s="121">
        <f t="shared" ref="AH71" si="150">(AH41+AH42)/(AD41+AD42)-1</f>
        <v>-1</v>
      </c>
      <c r="AI71" s="121">
        <f t="shared" ref="AI71" si="151">(AI41+AI42)/(AE41+AE42)-1</f>
        <v>-1</v>
      </c>
    </row>
    <row r="89" spans="8:32" s="9" customFormat="1" x14ac:dyDescent="0.25">
      <c r="H89" s="41"/>
      <c r="AC89" s="159"/>
      <c r="AF89" s="41"/>
    </row>
    <row r="90" spans="8:32" s="1" customFormat="1" x14ac:dyDescent="0.25">
      <c r="H90" s="16"/>
      <c r="AC90" s="157"/>
      <c r="AF90" s="16"/>
    </row>
  </sheetData>
  <mergeCells count="1">
    <mergeCell ref="AB37:AB39"/>
  </mergeCells>
  <phoneticPr fontId="3" type="noConversion"/>
  <conditionalFormatting sqref="N27:AI27">
    <cfRule type="colorScale" priority="3">
      <colorScale>
        <cfvo type="min"/>
        <cfvo type="percentile" val="50"/>
        <cfvo type="max"/>
        <color rgb="FFF8696B"/>
        <color rgb="FFFFEB84"/>
        <color rgb="FF63BE7B"/>
      </colorScale>
    </cfRule>
  </conditionalFormatting>
  <conditionalFormatting sqref="N30:AI32">
    <cfRule type="colorScale" priority="2">
      <colorScale>
        <cfvo type="min"/>
        <cfvo type="percentile" val="50"/>
        <cfvo type="max"/>
        <color rgb="FF63BE7B"/>
        <color rgb="FFFFEB84"/>
        <color rgb="FFF8696B"/>
      </colorScale>
    </cfRule>
  </conditionalFormatting>
  <conditionalFormatting sqref="V29:AI29">
    <cfRule type="colorScale" priority="1">
      <colorScale>
        <cfvo type="min"/>
        <cfvo type="percentile" val="50"/>
        <cfvo type="max"/>
        <color rgb="FFF8696B"/>
        <color rgb="FFFFEB84"/>
        <color rgb="FF63BE7B"/>
      </colorScale>
    </cfRule>
  </conditionalFormatting>
  <hyperlinks>
    <hyperlink ref="A1" location="Main!A1" display="Main" xr:uid="{A5C06EBA-D952-421E-93A2-3BF49E6344BF}"/>
  </hyperlinks>
  <pageMargins left="0.7" right="0.7" top="0.78740157499999996" bottom="0.78740157499999996" header="0.3" footer="0.3"/>
  <pageSetup paperSize="9" orientation="portrait" r:id="rId1"/>
  <ignoredErrors>
    <ignoredError sqref="C66"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CBCA-9BF7-405A-AC66-7DBD67360530}">
  <dimension ref="A1:L12"/>
  <sheetViews>
    <sheetView workbookViewId="0">
      <selection activeCell="F7" sqref="F7"/>
    </sheetView>
  </sheetViews>
  <sheetFormatPr defaultRowHeight="15" x14ac:dyDescent="0.25"/>
  <sheetData>
    <row r="1" spans="1:12" x14ac:dyDescent="0.25">
      <c r="B1" s="118">
        <v>45413</v>
      </c>
      <c r="C1" s="118">
        <v>45444</v>
      </c>
      <c r="D1" s="118">
        <v>45474</v>
      </c>
      <c r="E1" s="118">
        <v>45505</v>
      </c>
      <c r="F1" s="118">
        <v>45536</v>
      </c>
      <c r="G1" s="118">
        <v>45566</v>
      </c>
      <c r="H1" s="118">
        <v>45597</v>
      </c>
      <c r="I1" s="118">
        <v>45627</v>
      </c>
      <c r="J1" s="118">
        <v>45658</v>
      </c>
      <c r="K1" s="118">
        <v>45689</v>
      </c>
      <c r="L1" s="118">
        <v>45717</v>
      </c>
    </row>
    <row r="2" spans="1:12" x14ac:dyDescent="0.25">
      <c r="A2" t="s">
        <v>230</v>
      </c>
      <c r="H2">
        <v>1</v>
      </c>
      <c r="I2">
        <v>1</v>
      </c>
    </row>
    <row r="3" spans="1:12" x14ac:dyDescent="0.25">
      <c r="A3" t="s">
        <v>231</v>
      </c>
    </row>
    <row r="4" spans="1:12" x14ac:dyDescent="0.25">
      <c r="A4" t="s">
        <v>232</v>
      </c>
      <c r="H4">
        <v>6</v>
      </c>
      <c r="I4">
        <v>4</v>
      </c>
      <c r="J4">
        <v>5</v>
      </c>
      <c r="K4">
        <v>7</v>
      </c>
    </row>
    <row r="5" spans="1:12" x14ac:dyDescent="0.25">
      <c r="A5" t="s">
        <v>233</v>
      </c>
      <c r="H5">
        <v>6</v>
      </c>
      <c r="I5">
        <v>6</v>
      </c>
      <c r="J5">
        <v>6</v>
      </c>
      <c r="K5">
        <v>5</v>
      </c>
    </row>
    <row r="6" spans="1:12" x14ac:dyDescent="0.25">
      <c r="A6" t="s">
        <v>234</v>
      </c>
      <c r="H6">
        <v>4</v>
      </c>
      <c r="I6">
        <v>6</v>
      </c>
      <c r="J6">
        <v>6</v>
      </c>
      <c r="K6">
        <v>6</v>
      </c>
    </row>
    <row r="9" spans="1:12" x14ac:dyDescent="0.25">
      <c r="A9" s="1" t="s">
        <v>235</v>
      </c>
    </row>
    <row r="10" spans="1:12" x14ac:dyDescent="0.25">
      <c r="A10" t="s">
        <v>236</v>
      </c>
    </row>
    <row r="11" spans="1:12" x14ac:dyDescent="0.25">
      <c r="A11" t="s">
        <v>237</v>
      </c>
    </row>
    <row r="12" spans="1:12" x14ac:dyDescent="0.25">
      <c r="A12" t="s">
        <v>238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AU27"/>
  <sheetViews>
    <sheetView zoomScale="90" zoomScaleNormal="90" workbookViewId="0">
      <pane xSplit="1" ySplit="1" topLeftCell="T2" activePane="bottomRight" state="frozen"/>
      <selection pane="topRight" activeCell="B1" sqref="B1"/>
      <selection pane="bottomLeft" activeCell="A2" sqref="A2"/>
      <selection pane="bottomRight" activeCell="AP30" sqref="AP30"/>
    </sheetView>
  </sheetViews>
  <sheetFormatPr defaultRowHeight="15" x14ac:dyDescent="0.25"/>
  <cols>
    <col min="1" max="1" width="42.5703125" customWidth="1"/>
    <col min="2" max="7" width="8.42578125" bestFit="1" customWidth="1"/>
    <col min="8" max="8" width="7.85546875" bestFit="1" customWidth="1"/>
    <col min="9" max="9" width="8.85546875" bestFit="1" customWidth="1"/>
    <col min="10" max="10" width="8.7109375" bestFit="1" customWidth="1"/>
    <col min="11" max="11" width="8.5703125" bestFit="1" customWidth="1"/>
    <col min="12" max="12" width="9" bestFit="1" customWidth="1"/>
    <col min="13" max="13" width="8.7109375" bestFit="1" customWidth="1"/>
    <col min="14" max="14" width="7.140625" bestFit="1" customWidth="1"/>
    <col min="15" max="15" width="8.7109375" bestFit="1" customWidth="1"/>
    <col min="16" max="16" width="9.140625" bestFit="1" customWidth="1"/>
    <col min="17" max="17" width="8.5703125" bestFit="1" customWidth="1"/>
    <col min="18" max="18" width="8.7109375" bestFit="1" customWidth="1"/>
    <col min="19" max="19" width="8.42578125" bestFit="1" customWidth="1"/>
    <col min="20" max="20" width="7.85546875" bestFit="1" customWidth="1"/>
    <col min="21" max="21" width="8.85546875" bestFit="1" customWidth="1"/>
    <col min="22" max="22" width="8.7109375" bestFit="1" customWidth="1"/>
    <col min="23" max="23" width="8.5703125" bestFit="1" customWidth="1"/>
    <col min="24" max="24" width="9" bestFit="1" customWidth="1"/>
    <col min="25" max="25" width="8.7109375" bestFit="1" customWidth="1"/>
    <col min="26" max="26" width="8.28515625" bestFit="1" customWidth="1"/>
    <col min="27" max="28" width="8.7109375" bestFit="1" customWidth="1"/>
    <col min="29" max="29" width="8.5703125" bestFit="1" customWidth="1"/>
    <col min="30" max="30" width="8.7109375" bestFit="1" customWidth="1"/>
    <col min="31" max="31" width="8.42578125" bestFit="1" customWidth="1"/>
    <col min="32" max="32" width="7.85546875" bestFit="1" customWidth="1"/>
    <col min="33" max="33" width="8.85546875" bestFit="1" customWidth="1"/>
    <col min="34" max="34" width="8.7109375" bestFit="1" customWidth="1"/>
    <col min="35" max="35" width="8.5703125" bestFit="1" customWidth="1"/>
  </cols>
  <sheetData>
    <row r="1" spans="1:47" s="118" customFormat="1" x14ac:dyDescent="0.25">
      <c r="B1" s="118">
        <v>44562</v>
      </c>
      <c r="C1" s="118">
        <v>44593</v>
      </c>
      <c r="D1" s="118">
        <v>44621</v>
      </c>
      <c r="E1" s="118">
        <v>44652</v>
      </c>
      <c r="F1" s="118">
        <v>44682</v>
      </c>
      <c r="G1" s="118">
        <v>44713</v>
      </c>
      <c r="H1" s="118">
        <v>44743</v>
      </c>
      <c r="I1" s="118">
        <v>44774</v>
      </c>
      <c r="J1" s="118">
        <v>44805</v>
      </c>
      <c r="K1" s="118">
        <v>44835</v>
      </c>
      <c r="L1" s="118">
        <v>44866</v>
      </c>
      <c r="M1" s="118">
        <v>44896</v>
      </c>
      <c r="N1" s="118">
        <v>44927</v>
      </c>
      <c r="O1" s="118">
        <v>44958</v>
      </c>
      <c r="P1" s="118">
        <v>44986</v>
      </c>
      <c r="Q1" s="118">
        <v>45017</v>
      </c>
      <c r="R1" s="118">
        <v>45047</v>
      </c>
      <c r="S1" s="118">
        <v>45078</v>
      </c>
      <c r="T1" s="118">
        <v>45108</v>
      </c>
      <c r="U1" s="118">
        <v>45139</v>
      </c>
      <c r="V1" s="118">
        <v>45170</v>
      </c>
      <c r="W1" s="118">
        <v>45200</v>
      </c>
      <c r="X1" s="118">
        <v>45231</v>
      </c>
      <c r="Y1" s="118">
        <v>45261</v>
      </c>
      <c r="Z1" s="118">
        <v>45292</v>
      </c>
      <c r="AA1" s="118">
        <v>45323</v>
      </c>
      <c r="AB1" s="118">
        <v>45352</v>
      </c>
      <c r="AC1" s="118">
        <v>45383</v>
      </c>
      <c r="AD1" s="118">
        <v>45413</v>
      </c>
      <c r="AE1" s="118">
        <v>45444</v>
      </c>
      <c r="AF1" s="118">
        <v>45474</v>
      </c>
      <c r="AG1" s="118">
        <v>45505</v>
      </c>
      <c r="AH1" s="118">
        <v>45536</v>
      </c>
      <c r="AI1" s="118">
        <v>45566</v>
      </c>
      <c r="AJ1" s="118">
        <v>45597</v>
      </c>
      <c r="AK1" s="118">
        <v>45627</v>
      </c>
      <c r="AL1" s="118">
        <v>45658</v>
      </c>
      <c r="AM1" s="118">
        <v>45689</v>
      </c>
      <c r="AN1" s="118">
        <v>45717</v>
      </c>
      <c r="AO1" s="118">
        <v>45748</v>
      </c>
      <c r="AP1" s="118">
        <v>45778</v>
      </c>
      <c r="AQ1" s="118">
        <v>45809</v>
      </c>
      <c r="AR1" s="118">
        <v>45839</v>
      </c>
      <c r="AS1" s="118">
        <v>45870</v>
      </c>
      <c r="AT1" s="118">
        <v>45901</v>
      </c>
      <c r="AU1" s="118">
        <v>45931</v>
      </c>
    </row>
    <row r="2" spans="1:47" x14ac:dyDescent="0.25">
      <c r="A2" t="s">
        <v>180</v>
      </c>
      <c r="B2">
        <v>22.7</v>
      </c>
      <c r="C2">
        <v>22.8</v>
      </c>
      <c r="D2">
        <v>22.8</v>
      </c>
      <c r="E2">
        <v>22.8</v>
      </c>
      <c r="F2">
        <v>22.8</v>
      </c>
      <c r="G2">
        <v>22.9</v>
      </c>
      <c r="H2">
        <v>22.9</v>
      </c>
      <c r="I2">
        <v>22.9</v>
      </c>
      <c r="J2">
        <v>22.9</v>
      </c>
      <c r="K2">
        <v>22.9</v>
      </c>
      <c r="L2">
        <v>23</v>
      </c>
      <c r="M2">
        <v>23</v>
      </c>
      <c r="N2">
        <v>23</v>
      </c>
      <c r="O2">
        <v>23.1</v>
      </c>
      <c r="P2">
        <v>23.1</v>
      </c>
      <c r="Q2">
        <v>23.1</v>
      </c>
      <c r="R2">
        <v>23.1</v>
      </c>
      <c r="S2">
        <v>23.2</v>
      </c>
      <c r="T2">
        <v>23.2</v>
      </c>
      <c r="U2">
        <v>23.2</v>
      </c>
      <c r="V2">
        <v>23.3</v>
      </c>
      <c r="W2">
        <v>23.3</v>
      </c>
      <c r="X2">
        <v>23.3</v>
      </c>
      <c r="Y2">
        <v>23.4</v>
      </c>
      <c r="Z2">
        <v>23.5</v>
      </c>
      <c r="AA2">
        <v>23.6</v>
      </c>
      <c r="AB2">
        <v>23.9</v>
      </c>
      <c r="AC2">
        <v>24</v>
      </c>
      <c r="AD2">
        <v>24.1</v>
      </c>
      <c r="AE2">
        <v>24.2</v>
      </c>
      <c r="AF2">
        <v>24.3</v>
      </c>
      <c r="AG2">
        <v>24.2</v>
      </c>
      <c r="AH2">
        <v>24.3</v>
      </c>
      <c r="AI2">
        <v>24.4</v>
      </c>
      <c r="AJ2">
        <v>24.8</v>
      </c>
      <c r="AK2">
        <v>25.2</v>
      </c>
      <c r="AL2">
        <v>25.5</v>
      </c>
      <c r="AM2">
        <v>25.6</v>
      </c>
      <c r="AN2">
        <v>25.8</v>
      </c>
      <c r="AO2">
        <v>25.9</v>
      </c>
      <c r="AP2">
        <v>25.9</v>
      </c>
      <c r="AQ2">
        <v>26.5</v>
      </c>
      <c r="AR2">
        <v>26.7</v>
      </c>
      <c r="AS2">
        <v>26.7</v>
      </c>
      <c r="AT2">
        <v>26.8</v>
      </c>
    </row>
    <row r="4" spans="1:47" x14ac:dyDescent="0.25">
      <c r="A4" s="1" t="s">
        <v>196</v>
      </c>
    </row>
    <row r="5" spans="1:47" x14ac:dyDescent="0.25">
      <c r="A5" t="s">
        <v>181</v>
      </c>
      <c r="B5">
        <v>86.8</v>
      </c>
      <c r="C5">
        <v>86.9</v>
      </c>
      <c r="D5">
        <v>93.1</v>
      </c>
      <c r="E5">
        <v>78.5</v>
      </c>
      <c r="F5">
        <v>73.900000000000006</v>
      </c>
      <c r="G5">
        <v>64.2</v>
      </c>
      <c r="H5">
        <v>74.599999999999994</v>
      </c>
      <c r="I5">
        <v>71</v>
      </c>
      <c r="J5">
        <v>64.599999999999994</v>
      </c>
      <c r="K5">
        <v>70.2</v>
      </c>
      <c r="L5">
        <v>70.2</v>
      </c>
      <c r="M5">
        <v>62.2</v>
      </c>
      <c r="N5">
        <v>74.7</v>
      </c>
      <c r="O5">
        <v>74.7</v>
      </c>
      <c r="P5">
        <v>78.400000000000006</v>
      </c>
      <c r="Q5">
        <v>77.400000000000006</v>
      </c>
      <c r="R5">
        <v>81.8</v>
      </c>
      <c r="S5">
        <v>88.8</v>
      </c>
      <c r="T5">
        <v>94.5</v>
      </c>
      <c r="U5">
        <v>89.7</v>
      </c>
      <c r="V5">
        <v>86.5</v>
      </c>
      <c r="W5">
        <v>84.6</v>
      </c>
      <c r="X5">
        <v>94.4</v>
      </c>
      <c r="Y5">
        <v>102.6</v>
      </c>
      <c r="Z5">
        <v>102.4</v>
      </c>
      <c r="AA5">
        <v>118.7</v>
      </c>
      <c r="AB5">
        <v>129.6</v>
      </c>
      <c r="AC5">
        <v>123.3</v>
      </c>
      <c r="AD5">
        <v>135</v>
      </c>
      <c r="AE5">
        <v>139.69999999999999</v>
      </c>
      <c r="AF5">
        <v>144.5</v>
      </c>
      <c r="AG5">
        <v>143.6</v>
      </c>
      <c r="AH5">
        <v>152.19999999999999</v>
      </c>
      <c r="AI5">
        <v>159.69999999999999</v>
      </c>
      <c r="AJ5">
        <v>194.6</v>
      </c>
      <c r="AK5">
        <v>192.9</v>
      </c>
      <c r="AL5">
        <v>203.7</v>
      </c>
      <c r="AM5">
        <v>187.4</v>
      </c>
      <c r="AN5">
        <v>220.6</v>
      </c>
      <c r="AO5">
        <v>232.3</v>
      </c>
      <c r="AP5">
        <v>255.3</v>
      </c>
      <c r="AQ5">
        <v>278.60000000000002</v>
      </c>
      <c r="AR5">
        <v>298</v>
      </c>
      <c r="AS5">
        <v>303.89999999999998</v>
      </c>
      <c r="AT5">
        <v>332.7</v>
      </c>
    </row>
    <row r="6" spans="1:47" x14ac:dyDescent="0.25">
      <c r="A6" t="s">
        <v>182</v>
      </c>
      <c r="B6">
        <v>2.9</v>
      </c>
      <c r="C6">
        <v>1.6</v>
      </c>
      <c r="D6">
        <v>1.2</v>
      </c>
      <c r="E6">
        <v>1.2</v>
      </c>
      <c r="F6">
        <v>2.5</v>
      </c>
      <c r="G6">
        <v>1.5</v>
      </c>
      <c r="H6">
        <v>0.7</v>
      </c>
      <c r="I6">
        <v>0.8</v>
      </c>
      <c r="J6">
        <v>1.3</v>
      </c>
      <c r="K6">
        <v>1.6</v>
      </c>
      <c r="L6">
        <v>1.7</v>
      </c>
      <c r="M6">
        <v>1.6</v>
      </c>
      <c r="N6">
        <v>1.4</v>
      </c>
      <c r="O6">
        <v>1.5</v>
      </c>
      <c r="P6">
        <v>1.5</v>
      </c>
      <c r="Q6">
        <v>1.4</v>
      </c>
      <c r="R6">
        <v>1.6</v>
      </c>
      <c r="S6">
        <v>1.1000000000000001</v>
      </c>
      <c r="T6">
        <v>1.4</v>
      </c>
      <c r="U6">
        <v>1.6</v>
      </c>
      <c r="V6">
        <v>1</v>
      </c>
      <c r="W6">
        <v>1</v>
      </c>
      <c r="X6">
        <v>1.4</v>
      </c>
      <c r="Y6">
        <v>2.2000000000000002</v>
      </c>
      <c r="Z6">
        <v>3.8</v>
      </c>
      <c r="AA6">
        <v>3.6</v>
      </c>
      <c r="AB6">
        <v>3.8</v>
      </c>
      <c r="AC6">
        <v>4.9000000000000004</v>
      </c>
      <c r="AD6">
        <v>3.6</v>
      </c>
      <c r="AE6">
        <v>4.7</v>
      </c>
      <c r="AF6">
        <v>4.2</v>
      </c>
      <c r="AG6">
        <v>3.3</v>
      </c>
      <c r="AH6">
        <v>2.5</v>
      </c>
      <c r="AI6">
        <v>5.2</v>
      </c>
      <c r="AJ6">
        <v>5.6</v>
      </c>
      <c r="AK6">
        <v>5.3</v>
      </c>
      <c r="AL6">
        <v>5.6</v>
      </c>
      <c r="AM6">
        <v>4.8</v>
      </c>
      <c r="AN6">
        <v>7.6</v>
      </c>
      <c r="AO6">
        <v>6.8</v>
      </c>
      <c r="AP6">
        <v>3.5</v>
      </c>
      <c r="AQ6">
        <v>3.5</v>
      </c>
      <c r="AR6">
        <v>6.4</v>
      </c>
      <c r="AS6">
        <v>4.8</v>
      </c>
      <c r="AT6">
        <v>9.1999999999999993</v>
      </c>
    </row>
    <row r="8" spans="1:47" x14ac:dyDescent="0.25">
      <c r="A8" s="1" t="s">
        <v>183</v>
      </c>
    </row>
    <row r="9" spans="1:47" x14ac:dyDescent="0.25">
      <c r="A9" t="s">
        <v>184</v>
      </c>
      <c r="B9">
        <v>60.5</v>
      </c>
      <c r="C9">
        <v>56.9</v>
      </c>
      <c r="D9">
        <v>71.400000000000006</v>
      </c>
      <c r="E9">
        <v>54.7</v>
      </c>
      <c r="F9">
        <v>58.2</v>
      </c>
      <c r="G9">
        <v>50.1</v>
      </c>
      <c r="H9">
        <v>48.8</v>
      </c>
      <c r="I9">
        <v>66</v>
      </c>
      <c r="J9">
        <v>46.5</v>
      </c>
      <c r="K9">
        <v>46.7</v>
      </c>
      <c r="L9">
        <v>44.7</v>
      </c>
      <c r="M9">
        <v>38.6</v>
      </c>
      <c r="N9">
        <v>46</v>
      </c>
      <c r="O9">
        <v>57.3</v>
      </c>
      <c r="P9">
        <v>56.8</v>
      </c>
      <c r="Q9">
        <v>38.9</v>
      </c>
      <c r="R9">
        <v>49.4</v>
      </c>
      <c r="S9">
        <v>66.900000000000006</v>
      </c>
      <c r="T9">
        <v>69.2</v>
      </c>
      <c r="U9">
        <v>59.8</v>
      </c>
      <c r="V9">
        <v>44.2</v>
      </c>
      <c r="W9">
        <v>50.8</v>
      </c>
      <c r="X9">
        <v>52.9</v>
      </c>
      <c r="Y9">
        <v>63.2</v>
      </c>
      <c r="Z9">
        <v>59.3</v>
      </c>
      <c r="AA9">
        <v>80.900000000000006</v>
      </c>
      <c r="AB9">
        <v>84.7</v>
      </c>
      <c r="AC9">
        <v>70.7</v>
      </c>
      <c r="AD9">
        <v>86.8</v>
      </c>
      <c r="AE9">
        <v>86.1</v>
      </c>
      <c r="AF9">
        <v>104.4</v>
      </c>
      <c r="AG9">
        <v>96.2</v>
      </c>
      <c r="AH9">
        <v>85.5</v>
      </c>
      <c r="AI9">
        <v>126.4</v>
      </c>
      <c r="AJ9">
        <v>147.1</v>
      </c>
      <c r="AK9">
        <v>149.80000000000001</v>
      </c>
      <c r="AL9">
        <v>144.69999999999999</v>
      </c>
      <c r="AM9">
        <v>142.9</v>
      </c>
      <c r="AN9">
        <v>125.6</v>
      </c>
      <c r="AO9">
        <v>157.80000000000001</v>
      </c>
      <c r="AP9">
        <v>180.5</v>
      </c>
      <c r="AQ9">
        <v>179.1</v>
      </c>
      <c r="AR9">
        <v>209.1</v>
      </c>
      <c r="AS9">
        <v>199.2</v>
      </c>
      <c r="AT9">
        <v>238.8</v>
      </c>
    </row>
    <row r="10" spans="1:47" x14ac:dyDescent="0.25">
      <c r="A10" t="s">
        <v>185</v>
      </c>
      <c r="B10">
        <v>78</v>
      </c>
      <c r="C10">
        <v>72.3</v>
      </c>
      <c r="D10">
        <v>86.6</v>
      </c>
      <c r="E10">
        <v>70.400000000000006</v>
      </c>
      <c r="F10">
        <v>71.900000000000006</v>
      </c>
      <c r="G10">
        <v>68.3</v>
      </c>
      <c r="H10">
        <v>67</v>
      </c>
      <c r="I10">
        <v>89.9</v>
      </c>
      <c r="J10">
        <v>78.2</v>
      </c>
      <c r="K10">
        <v>78.7</v>
      </c>
      <c r="L10">
        <v>81.8</v>
      </c>
      <c r="M10">
        <v>75.3</v>
      </c>
      <c r="N10">
        <v>82.9</v>
      </c>
      <c r="O10">
        <v>89.4</v>
      </c>
      <c r="P10">
        <v>100.1</v>
      </c>
      <c r="Q10">
        <v>75.3</v>
      </c>
      <c r="R10">
        <v>97.5</v>
      </c>
      <c r="S10">
        <v>110.5</v>
      </c>
      <c r="T10">
        <v>106.1</v>
      </c>
      <c r="U10">
        <v>107.3</v>
      </c>
      <c r="V10">
        <v>87.3</v>
      </c>
      <c r="W10">
        <v>96.6</v>
      </c>
      <c r="X10">
        <v>95.3</v>
      </c>
      <c r="Y10">
        <v>104.5</v>
      </c>
      <c r="Z10">
        <v>106.2</v>
      </c>
      <c r="AA10">
        <v>119.1</v>
      </c>
      <c r="AB10">
        <v>118.2</v>
      </c>
      <c r="AC10">
        <v>126.6</v>
      </c>
      <c r="AD10">
        <v>131.9</v>
      </c>
      <c r="AE10">
        <v>131.1</v>
      </c>
      <c r="AF10">
        <v>160.5</v>
      </c>
      <c r="AG10">
        <v>146.9</v>
      </c>
      <c r="AH10">
        <v>136.1</v>
      </c>
      <c r="AI10">
        <v>158</v>
      </c>
      <c r="AJ10">
        <v>155.5</v>
      </c>
      <c r="AK10">
        <v>163.69999999999999</v>
      </c>
      <c r="AL10">
        <v>166.6</v>
      </c>
      <c r="AM10">
        <v>165.6</v>
      </c>
      <c r="AN10">
        <v>167.9</v>
      </c>
      <c r="AO10">
        <v>167.5</v>
      </c>
      <c r="AP10">
        <v>179.8</v>
      </c>
      <c r="AQ10">
        <v>168.1</v>
      </c>
      <c r="AR10">
        <v>195.8</v>
      </c>
      <c r="AS10">
        <v>195.5</v>
      </c>
      <c r="AT10">
        <v>218.8</v>
      </c>
    </row>
    <row r="11" spans="1:47" x14ac:dyDescent="0.25">
      <c r="A11" t="s">
        <v>186</v>
      </c>
      <c r="B11">
        <v>9.1</v>
      </c>
      <c r="C11">
        <v>7.2</v>
      </c>
      <c r="D11">
        <v>7.2</v>
      </c>
      <c r="E11">
        <v>6.9</v>
      </c>
      <c r="F11">
        <v>6.6</v>
      </c>
      <c r="G11">
        <v>5.5</v>
      </c>
      <c r="H11">
        <v>5.5</v>
      </c>
      <c r="I11">
        <v>5.3</v>
      </c>
      <c r="J11">
        <v>3.6</v>
      </c>
      <c r="K11">
        <v>3.5</v>
      </c>
      <c r="L11">
        <v>5.7</v>
      </c>
      <c r="M11">
        <v>1.9</v>
      </c>
      <c r="N11">
        <v>3.7</v>
      </c>
      <c r="O11">
        <v>3.5</v>
      </c>
      <c r="P11">
        <v>3.9</v>
      </c>
      <c r="Q11">
        <v>3.7</v>
      </c>
      <c r="R11">
        <v>2.1</v>
      </c>
      <c r="S11">
        <v>3.3</v>
      </c>
      <c r="T11">
        <v>3.4</v>
      </c>
      <c r="U11">
        <v>2.2000000000000002</v>
      </c>
      <c r="V11">
        <v>1.2</v>
      </c>
      <c r="W11">
        <v>2.2999999999999998</v>
      </c>
      <c r="X11">
        <v>4</v>
      </c>
      <c r="Y11">
        <v>6.5</v>
      </c>
      <c r="Z11">
        <v>5.9</v>
      </c>
      <c r="AA11">
        <v>6.5</v>
      </c>
      <c r="AB11">
        <v>23.6</v>
      </c>
      <c r="AC11">
        <v>10.1</v>
      </c>
      <c r="AD11">
        <v>7.1</v>
      </c>
      <c r="AE11">
        <v>4.3</v>
      </c>
      <c r="AF11">
        <v>5.4</v>
      </c>
      <c r="AG11">
        <v>5.3</v>
      </c>
      <c r="AH11">
        <v>3.7</v>
      </c>
      <c r="AI11">
        <v>5.6</v>
      </c>
      <c r="AJ11">
        <v>35.200000000000003</v>
      </c>
      <c r="AK11">
        <v>30.2</v>
      </c>
      <c r="AL11">
        <v>20.399999999999999</v>
      </c>
      <c r="AM11">
        <v>14.4</v>
      </c>
      <c r="AN11">
        <v>11.3</v>
      </c>
      <c r="AO11">
        <v>8.6</v>
      </c>
      <c r="AP11">
        <v>11.7</v>
      </c>
      <c r="AQ11">
        <v>8</v>
      </c>
      <c r="AR11">
        <v>16.8</v>
      </c>
      <c r="AS11">
        <v>13.7</v>
      </c>
      <c r="AT11">
        <v>9.3000000000000007</v>
      </c>
    </row>
    <row r="13" spans="1:47" x14ac:dyDescent="0.25">
      <c r="A13" s="1" t="s">
        <v>187</v>
      </c>
    </row>
    <row r="14" spans="1:47" x14ac:dyDescent="0.25">
      <c r="A14" t="s">
        <v>75</v>
      </c>
      <c r="B14">
        <v>1.9</v>
      </c>
      <c r="C14">
        <v>1.7</v>
      </c>
      <c r="D14">
        <v>1.8</v>
      </c>
      <c r="E14">
        <v>1.6</v>
      </c>
      <c r="F14">
        <v>1.6</v>
      </c>
      <c r="G14">
        <v>1.5</v>
      </c>
      <c r="H14">
        <v>1.3</v>
      </c>
      <c r="I14">
        <v>1.6</v>
      </c>
      <c r="J14">
        <v>1.5</v>
      </c>
      <c r="K14">
        <v>1.3</v>
      </c>
      <c r="L14">
        <v>1.3</v>
      </c>
      <c r="M14">
        <v>1.4</v>
      </c>
      <c r="N14">
        <v>1.5</v>
      </c>
      <c r="O14">
        <v>1.6</v>
      </c>
      <c r="P14">
        <v>1.4</v>
      </c>
      <c r="Q14">
        <v>1.6</v>
      </c>
      <c r="R14">
        <v>1.5</v>
      </c>
      <c r="S14">
        <v>1.4</v>
      </c>
      <c r="T14">
        <v>1.7</v>
      </c>
      <c r="U14">
        <v>1.5</v>
      </c>
      <c r="V14">
        <v>1.5</v>
      </c>
      <c r="W14">
        <v>1.4</v>
      </c>
      <c r="X14">
        <v>1.4</v>
      </c>
      <c r="Y14">
        <v>1.8</v>
      </c>
      <c r="Z14">
        <v>1.7</v>
      </c>
      <c r="AA14">
        <v>1.9</v>
      </c>
      <c r="AB14">
        <v>2.2000000000000002</v>
      </c>
      <c r="AC14">
        <v>1.8</v>
      </c>
      <c r="AD14">
        <v>2</v>
      </c>
      <c r="AE14">
        <v>2.2000000000000002</v>
      </c>
      <c r="AF14">
        <v>2.1</v>
      </c>
      <c r="AG14">
        <v>2.1</v>
      </c>
      <c r="AH14">
        <v>2</v>
      </c>
      <c r="AI14">
        <v>2</v>
      </c>
      <c r="AJ14">
        <v>2.5</v>
      </c>
      <c r="AK14">
        <v>2.8</v>
      </c>
      <c r="AL14">
        <v>2.6</v>
      </c>
      <c r="AM14">
        <v>2.4</v>
      </c>
      <c r="AN14">
        <v>2.2999999999999998</v>
      </c>
      <c r="AO14">
        <v>2.2999999999999998</v>
      </c>
      <c r="AP14">
        <v>2.2999999999999998</v>
      </c>
      <c r="AQ14">
        <v>2.6</v>
      </c>
      <c r="AR14">
        <v>2.7</v>
      </c>
      <c r="AS14">
        <v>2.5</v>
      </c>
      <c r="AT14">
        <v>3</v>
      </c>
    </row>
    <row r="15" spans="1:47" x14ac:dyDescent="0.25">
      <c r="A15" t="s">
        <v>188</v>
      </c>
      <c r="B15">
        <v>0.7</v>
      </c>
      <c r="C15">
        <v>0.7</v>
      </c>
      <c r="D15">
        <v>0.6</v>
      </c>
      <c r="E15">
        <v>0.6</v>
      </c>
      <c r="F15">
        <v>0.6</v>
      </c>
      <c r="G15">
        <v>0.5</v>
      </c>
      <c r="H15">
        <v>0.5</v>
      </c>
      <c r="I15">
        <v>0.6</v>
      </c>
      <c r="J15">
        <v>0.5</v>
      </c>
      <c r="K15">
        <v>0.6</v>
      </c>
      <c r="L15">
        <v>0.6</v>
      </c>
      <c r="M15">
        <v>0.5</v>
      </c>
      <c r="N15">
        <v>0.6</v>
      </c>
      <c r="O15">
        <v>0.7</v>
      </c>
      <c r="P15">
        <v>0.5</v>
      </c>
      <c r="Q15">
        <v>0.6</v>
      </c>
      <c r="R15">
        <v>0.6</v>
      </c>
      <c r="S15">
        <v>0.5</v>
      </c>
      <c r="T15">
        <v>0.7</v>
      </c>
      <c r="U15">
        <v>0.6</v>
      </c>
      <c r="V15">
        <v>0.6</v>
      </c>
      <c r="W15">
        <v>0.6</v>
      </c>
      <c r="X15">
        <v>0.6</v>
      </c>
      <c r="Y15">
        <v>0.6</v>
      </c>
      <c r="Z15">
        <v>0.7</v>
      </c>
      <c r="AA15">
        <v>0.8</v>
      </c>
      <c r="AB15">
        <v>0.8</v>
      </c>
      <c r="AC15">
        <v>0.8</v>
      </c>
      <c r="AD15">
        <v>0.8</v>
      </c>
      <c r="AE15">
        <v>0.9</v>
      </c>
      <c r="AF15">
        <v>0.9</v>
      </c>
      <c r="AG15">
        <v>0.9</v>
      </c>
      <c r="AH15">
        <v>0.9</v>
      </c>
      <c r="AI15">
        <v>0.9</v>
      </c>
      <c r="AJ15">
        <v>1</v>
      </c>
      <c r="AK15">
        <v>1</v>
      </c>
      <c r="AL15">
        <v>1.1000000000000001</v>
      </c>
      <c r="AM15">
        <v>1.2</v>
      </c>
      <c r="AN15">
        <v>1.1000000000000001</v>
      </c>
      <c r="AO15">
        <v>1.2</v>
      </c>
      <c r="AP15">
        <v>1.2</v>
      </c>
      <c r="AQ15">
        <v>1.1000000000000001</v>
      </c>
      <c r="AR15">
        <v>1.1000000000000001</v>
      </c>
      <c r="AS15">
        <v>1.2</v>
      </c>
      <c r="AT15">
        <v>1.3</v>
      </c>
    </row>
    <row r="16" spans="1:47" x14ac:dyDescent="0.25">
      <c r="A16" t="s">
        <v>189</v>
      </c>
      <c r="B16">
        <v>0.4</v>
      </c>
      <c r="C16">
        <v>0.3</v>
      </c>
      <c r="D16">
        <v>0.3</v>
      </c>
      <c r="E16">
        <v>0.4</v>
      </c>
      <c r="F16">
        <v>0.4</v>
      </c>
      <c r="G16">
        <v>0.4</v>
      </c>
      <c r="H16">
        <v>0.3</v>
      </c>
      <c r="I16">
        <v>0.3</v>
      </c>
      <c r="J16">
        <v>0.3</v>
      </c>
      <c r="K16">
        <v>0.2</v>
      </c>
      <c r="L16">
        <v>0.3</v>
      </c>
      <c r="M16">
        <v>0.2</v>
      </c>
      <c r="N16">
        <v>0.3</v>
      </c>
      <c r="O16">
        <v>0.2</v>
      </c>
      <c r="P16">
        <v>0.2</v>
      </c>
      <c r="Q16">
        <v>0.2</v>
      </c>
      <c r="R16">
        <v>0.2</v>
      </c>
      <c r="S16">
        <v>0.2</v>
      </c>
      <c r="T16">
        <v>0.2</v>
      </c>
      <c r="U16">
        <v>0.2</v>
      </c>
      <c r="V16">
        <v>0.1</v>
      </c>
      <c r="W16">
        <v>0.2</v>
      </c>
      <c r="X16">
        <v>0.2</v>
      </c>
      <c r="Y16">
        <v>0.3</v>
      </c>
      <c r="Z16">
        <v>0.3</v>
      </c>
      <c r="AA16">
        <v>0.3</v>
      </c>
      <c r="AB16">
        <v>0.7</v>
      </c>
      <c r="AC16">
        <v>0.4</v>
      </c>
      <c r="AD16">
        <v>0.3</v>
      </c>
      <c r="AE16">
        <v>0.3</v>
      </c>
      <c r="AF16">
        <v>0.3</v>
      </c>
      <c r="AG16">
        <v>0.3</v>
      </c>
      <c r="AH16">
        <v>0.2</v>
      </c>
      <c r="AI16">
        <v>0.2</v>
      </c>
      <c r="AJ16">
        <v>1</v>
      </c>
      <c r="AK16">
        <v>1</v>
      </c>
      <c r="AL16">
        <v>0.9</v>
      </c>
      <c r="AM16">
        <v>0.7</v>
      </c>
      <c r="AN16">
        <v>0.6</v>
      </c>
      <c r="AO16">
        <v>0.5</v>
      </c>
      <c r="AP16">
        <v>0.5</v>
      </c>
      <c r="AQ16">
        <v>0.5</v>
      </c>
      <c r="AR16">
        <v>0.7</v>
      </c>
      <c r="AS16">
        <v>0.6</v>
      </c>
      <c r="AT16">
        <v>0.5</v>
      </c>
    </row>
    <row r="18" spans="1:46" x14ac:dyDescent="0.25">
      <c r="A18" s="1" t="s">
        <v>190</v>
      </c>
    </row>
    <row r="19" spans="1:46" x14ac:dyDescent="0.25">
      <c r="A19" t="s">
        <v>191</v>
      </c>
      <c r="B19">
        <v>5.5</v>
      </c>
      <c r="C19">
        <v>5.3</v>
      </c>
      <c r="D19">
        <v>5.3</v>
      </c>
      <c r="E19">
        <v>5.2</v>
      </c>
      <c r="F19">
        <v>4.2</v>
      </c>
      <c r="G19">
        <v>4.0999999999999996</v>
      </c>
      <c r="H19">
        <v>4</v>
      </c>
      <c r="I19">
        <v>4.2</v>
      </c>
      <c r="J19">
        <v>4.0999999999999996</v>
      </c>
      <c r="K19">
        <v>3.8</v>
      </c>
      <c r="L19">
        <v>3.5</v>
      </c>
      <c r="M19">
        <v>3.1</v>
      </c>
      <c r="N19">
        <v>3</v>
      </c>
      <c r="O19">
        <v>3.3</v>
      </c>
      <c r="P19">
        <v>3.1</v>
      </c>
      <c r="Q19">
        <v>3.1</v>
      </c>
      <c r="R19">
        <v>3.1</v>
      </c>
      <c r="S19">
        <v>3.3</v>
      </c>
      <c r="T19">
        <v>3.4</v>
      </c>
      <c r="U19">
        <v>3.5</v>
      </c>
      <c r="V19">
        <v>3.6</v>
      </c>
      <c r="W19">
        <v>3.5</v>
      </c>
      <c r="X19">
        <v>3.4</v>
      </c>
      <c r="Y19">
        <v>3.5</v>
      </c>
      <c r="Z19">
        <v>3.6</v>
      </c>
      <c r="AA19">
        <v>3.8</v>
      </c>
      <c r="AB19">
        <v>4.0999999999999996</v>
      </c>
      <c r="AC19">
        <v>4.0999999999999996</v>
      </c>
      <c r="AD19">
        <v>4.5</v>
      </c>
      <c r="AE19">
        <v>5</v>
      </c>
      <c r="AF19">
        <v>5.4</v>
      </c>
      <c r="AG19">
        <v>5.5</v>
      </c>
      <c r="AH19">
        <v>5.5</v>
      </c>
      <c r="AI19">
        <v>6.2</v>
      </c>
      <c r="AJ19">
        <v>6.8</v>
      </c>
      <c r="AK19">
        <v>7.9</v>
      </c>
      <c r="AL19">
        <v>8.3000000000000007</v>
      </c>
      <c r="AM19">
        <v>8.6999999999999993</v>
      </c>
      <c r="AN19">
        <v>8.8000000000000007</v>
      </c>
      <c r="AO19">
        <v>8.4</v>
      </c>
      <c r="AP19">
        <v>9</v>
      </c>
      <c r="AQ19">
        <v>9.5</v>
      </c>
      <c r="AR19">
        <v>11.4</v>
      </c>
      <c r="AS19">
        <v>12.5</v>
      </c>
      <c r="AT19">
        <v>13.9</v>
      </c>
    </row>
    <row r="21" spans="1:46" x14ac:dyDescent="0.25">
      <c r="A21" t="s">
        <v>192</v>
      </c>
      <c r="J21">
        <v>1.5</v>
      </c>
      <c r="K21">
        <v>2.5</v>
      </c>
      <c r="L21">
        <v>3.9</v>
      </c>
      <c r="M21">
        <v>4.8</v>
      </c>
      <c r="N21">
        <v>6</v>
      </c>
      <c r="O21">
        <v>7.1</v>
      </c>
      <c r="P21">
        <v>8</v>
      </c>
      <c r="Q21">
        <v>8.8000000000000007</v>
      </c>
      <c r="R21">
        <v>10.4</v>
      </c>
      <c r="S21">
        <v>11.1</v>
      </c>
      <c r="T21">
        <v>11.9</v>
      </c>
      <c r="U21">
        <v>12.6</v>
      </c>
      <c r="V21">
        <v>12.9</v>
      </c>
      <c r="W21">
        <v>13.2</v>
      </c>
      <c r="X21">
        <v>14.5</v>
      </c>
      <c r="Y21">
        <v>15.7</v>
      </c>
      <c r="Z21">
        <v>16.100000000000001</v>
      </c>
      <c r="AA21">
        <v>17.399999999999999</v>
      </c>
      <c r="AB21">
        <v>18.2</v>
      </c>
      <c r="AC21">
        <v>18.399999999999999</v>
      </c>
      <c r="AD21">
        <v>19.600000000000001</v>
      </c>
      <c r="AE21">
        <v>20.3</v>
      </c>
      <c r="AF21">
        <v>21.2</v>
      </c>
      <c r="AG21">
        <v>22.2</v>
      </c>
      <c r="AH21">
        <v>23.9</v>
      </c>
      <c r="AI21">
        <v>24.8</v>
      </c>
      <c r="AJ21">
        <v>25.7</v>
      </c>
      <c r="AK21">
        <v>25.4</v>
      </c>
      <c r="AL21">
        <v>25.6</v>
      </c>
      <c r="AM21">
        <v>25.5</v>
      </c>
      <c r="AN21">
        <v>26.4</v>
      </c>
      <c r="AO21">
        <v>26.9</v>
      </c>
      <c r="AP21">
        <v>28.8</v>
      </c>
      <c r="AQ21">
        <v>30.7</v>
      </c>
      <c r="AR21">
        <v>31.7</v>
      </c>
      <c r="AS21">
        <v>32.299999999999997</v>
      </c>
      <c r="AT21">
        <v>33.5</v>
      </c>
    </row>
    <row r="22" spans="1:46" x14ac:dyDescent="0.25">
      <c r="A22" t="s">
        <v>193</v>
      </c>
      <c r="E22">
        <v>1.9</v>
      </c>
      <c r="F22">
        <v>2.2999999999999998</v>
      </c>
      <c r="G22">
        <v>2.2999999999999998</v>
      </c>
      <c r="H22">
        <v>2.5</v>
      </c>
      <c r="I22">
        <v>2.6</v>
      </c>
      <c r="J22">
        <v>1.5</v>
      </c>
      <c r="K22">
        <v>1.4</v>
      </c>
      <c r="L22">
        <v>1.1000000000000001</v>
      </c>
      <c r="M22">
        <v>1</v>
      </c>
      <c r="N22">
        <v>1.1000000000000001</v>
      </c>
      <c r="O22">
        <v>1</v>
      </c>
      <c r="P22">
        <v>0.9</v>
      </c>
      <c r="Q22">
        <v>0.8</v>
      </c>
      <c r="R22">
        <v>0.8</v>
      </c>
      <c r="S22">
        <v>0.8</v>
      </c>
      <c r="T22">
        <v>0.8</v>
      </c>
      <c r="U22">
        <v>0.7</v>
      </c>
      <c r="V22">
        <v>0.7</v>
      </c>
      <c r="W22">
        <v>0.7</v>
      </c>
      <c r="X22">
        <v>0.7</v>
      </c>
      <c r="Y22">
        <v>0.7</v>
      </c>
      <c r="Z22">
        <v>0.7</v>
      </c>
      <c r="AA22">
        <v>0.7</v>
      </c>
      <c r="AB22">
        <v>0.8</v>
      </c>
      <c r="AC22">
        <v>0.7</v>
      </c>
      <c r="AD22">
        <v>0.7</v>
      </c>
      <c r="AE22">
        <v>0.6</v>
      </c>
      <c r="AF22">
        <v>0.6</v>
      </c>
      <c r="AG22">
        <v>0.6</v>
      </c>
      <c r="AH22">
        <v>0.6</v>
      </c>
      <c r="AI22">
        <v>0.7</v>
      </c>
      <c r="AJ22">
        <v>0.8</v>
      </c>
      <c r="AK22">
        <v>0.7</v>
      </c>
      <c r="AL22">
        <v>0.7</v>
      </c>
      <c r="AM22">
        <v>0.7</v>
      </c>
      <c r="AN22">
        <v>1.8</v>
      </c>
      <c r="AO22">
        <v>2</v>
      </c>
      <c r="AP22">
        <v>2</v>
      </c>
      <c r="AQ22">
        <v>2</v>
      </c>
      <c r="AR22">
        <v>1.9</v>
      </c>
      <c r="AS22">
        <v>1.8</v>
      </c>
      <c r="AT22">
        <v>1.9</v>
      </c>
    </row>
    <row r="23" spans="1:46" s="1" customFormat="1" x14ac:dyDescent="0.25">
      <c r="A23" s="1" t="s">
        <v>194</v>
      </c>
      <c r="B23" s="1">
        <v>2.1</v>
      </c>
      <c r="C23" s="1">
        <v>2.1</v>
      </c>
      <c r="D23" s="1">
        <v>2.2999999999999998</v>
      </c>
      <c r="E23" s="1">
        <f t="shared" ref="E23:H23" si="0">SUM(E21:E22)</f>
        <v>1.9</v>
      </c>
      <c r="F23" s="1">
        <f t="shared" si="0"/>
        <v>2.2999999999999998</v>
      </c>
      <c r="G23" s="1">
        <f t="shared" si="0"/>
        <v>2.2999999999999998</v>
      </c>
      <c r="H23" s="1">
        <f t="shared" si="0"/>
        <v>2.5</v>
      </c>
      <c r="I23" s="1">
        <f t="shared" ref="I23:Y23" si="1">SUM(I21:I22)</f>
        <v>2.6</v>
      </c>
      <c r="J23" s="1">
        <f t="shared" si="1"/>
        <v>3</v>
      </c>
      <c r="K23" s="1">
        <f t="shared" si="1"/>
        <v>3.9</v>
      </c>
      <c r="L23" s="1">
        <f t="shared" si="1"/>
        <v>5</v>
      </c>
      <c r="M23" s="1">
        <f t="shared" si="1"/>
        <v>5.8</v>
      </c>
      <c r="N23" s="1">
        <f t="shared" si="1"/>
        <v>7.1</v>
      </c>
      <c r="O23" s="1">
        <f t="shared" si="1"/>
        <v>8.1</v>
      </c>
      <c r="P23" s="1">
        <f t="shared" si="1"/>
        <v>8.9</v>
      </c>
      <c r="Q23" s="1">
        <f t="shared" si="1"/>
        <v>9.6000000000000014</v>
      </c>
      <c r="R23" s="1">
        <f t="shared" si="1"/>
        <v>11.200000000000001</v>
      </c>
      <c r="S23" s="1">
        <f t="shared" si="1"/>
        <v>11.9</v>
      </c>
      <c r="T23" s="1">
        <f t="shared" si="1"/>
        <v>12.700000000000001</v>
      </c>
      <c r="U23" s="1">
        <f t="shared" si="1"/>
        <v>13.299999999999999</v>
      </c>
      <c r="V23" s="1">
        <f t="shared" si="1"/>
        <v>13.6</v>
      </c>
      <c r="W23" s="1">
        <f t="shared" si="1"/>
        <v>13.899999999999999</v>
      </c>
      <c r="X23" s="1">
        <f t="shared" si="1"/>
        <v>15.2</v>
      </c>
      <c r="Y23" s="1">
        <f t="shared" si="1"/>
        <v>16.399999999999999</v>
      </c>
      <c r="Z23" s="1">
        <f>SUM(Z21:Z22)</f>
        <v>16.8</v>
      </c>
      <c r="AA23" s="1">
        <f t="shared" ref="AA23:AT23" si="2">SUM(AA21:AA22)</f>
        <v>18.099999999999998</v>
      </c>
      <c r="AB23" s="1">
        <f t="shared" si="2"/>
        <v>19</v>
      </c>
      <c r="AC23" s="1">
        <f t="shared" si="2"/>
        <v>19.099999999999998</v>
      </c>
      <c r="AD23" s="1">
        <f t="shared" si="2"/>
        <v>20.3</v>
      </c>
      <c r="AE23" s="1">
        <f t="shared" si="2"/>
        <v>20.900000000000002</v>
      </c>
      <c r="AF23" s="1">
        <f t="shared" si="2"/>
        <v>21.8</v>
      </c>
      <c r="AG23" s="1">
        <f t="shared" si="2"/>
        <v>22.8</v>
      </c>
      <c r="AH23" s="1">
        <f t="shared" si="2"/>
        <v>24.5</v>
      </c>
      <c r="AI23" s="1">
        <f t="shared" si="2"/>
        <v>25.5</v>
      </c>
      <c r="AJ23" s="1">
        <f t="shared" si="2"/>
        <v>26.5</v>
      </c>
      <c r="AK23" s="1">
        <f t="shared" si="2"/>
        <v>26.099999999999998</v>
      </c>
      <c r="AL23" s="1">
        <f t="shared" si="2"/>
        <v>26.3</v>
      </c>
      <c r="AM23" s="1">
        <f t="shared" si="2"/>
        <v>26.2</v>
      </c>
      <c r="AN23" s="1">
        <f t="shared" si="2"/>
        <v>28.2</v>
      </c>
      <c r="AO23" s="1">
        <f t="shared" si="2"/>
        <v>28.9</v>
      </c>
      <c r="AP23" s="1">
        <f t="shared" si="2"/>
        <v>30.8</v>
      </c>
      <c r="AQ23" s="1">
        <f t="shared" si="2"/>
        <v>32.700000000000003</v>
      </c>
      <c r="AR23" s="1">
        <f t="shared" si="2"/>
        <v>33.6</v>
      </c>
      <c r="AS23" s="1">
        <f t="shared" si="2"/>
        <v>34.099999999999994</v>
      </c>
      <c r="AT23" s="1">
        <f t="shared" si="2"/>
        <v>35.4</v>
      </c>
    </row>
    <row r="25" spans="1:46" x14ac:dyDescent="0.25">
      <c r="A25" t="s">
        <v>195</v>
      </c>
      <c r="N25">
        <v>13</v>
      </c>
      <c r="O25">
        <v>17</v>
      </c>
      <c r="Y25">
        <v>12</v>
      </c>
      <c r="Z25">
        <v>12</v>
      </c>
      <c r="AA25">
        <v>13</v>
      </c>
      <c r="AB25">
        <v>17</v>
      </c>
      <c r="AC25">
        <v>21</v>
      </c>
      <c r="AD25">
        <v>23</v>
      </c>
      <c r="AE25">
        <v>21</v>
      </c>
      <c r="AF25">
        <v>21</v>
      </c>
      <c r="AG25">
        <v>20</v>
      </c>
      <c r="AH25">
        <v>18</v>
      </c>
      <c r="AI25">
        <v>19</v>
      </c>
      <c r="AJ25">
        <v>23</v>
      </c>
      <c r="AK25">
        <v>28</v>
      </c>
      <c r="AL25">
        <v>25</v>
      </c>
      <c r="AM25">
        <v>22</v>
      </c>
      <c r="AN25">
        <v>24</v>
      </c>
      <c r="AO25">
        <v>25</v>
      </c>
      <c r="AP25">
        <v>33</v>
      </c>
      <c r="AQ25">
        <v>54</v>
      </c>
      <c r="AR25">
        <v>61</v>
      </c>
      <c r="AS25">
        <v>53</v>
      </c>
      <c r="AT25">
        <v>59</v>
      </c>
    </row>
    <row r="27" spans="1:46" x14ac:dyDescent="0.25">
      <c r="A27" t="s">
        <v>226</v>
      </c>
      <c r="B27" s="1">
        <v>17.3</v>
      </c>
      <c r="C27" s="1">
        <v>16.7</v>
      </c>
      <c r="D27" s="1">
        <v>15.9</v>
      </c>
      <c r="E27" s="1">
        <v>15.7</v>
      </c>
      <c r="F27" s="1">
        <v>14.6</v>
      </c>
      <c r="G27" s="1">
        <v>14</v>
      </c>
      <c r="H27" s="1">
        <v>13.2</v>
      </c>
      <c r="I27" s="1">
        <v>13.3</v>
      </c>
      <c r="J27" s="1">
        <v>12.2</v>
      </c>
      <c r="K27" s="1">
        <v>12.5</v>
      </c>
      <c r="L27" s="1">
        <v>12.5</v>
      </c>
      <c r="M27" s="1">
        <v>11.4</v>
      </c>
      <c r="N27" s="1">
        <v>12</v>
      </c>
      <c r="O27" s="1">
        <v>12</v>
      </c>
      <c r="P27" s="1">
        <v>11.8</v>
      </c>
      <c r="Q27" s="1">
        <v>11.5</v>
      </c>
      <c r="R27" s="1">
        <v>10.6</v>
      </c>
      <c r="S27" s="1">
        <v>10.8</v>
      </c>
      <c r="T27" s="1">
        <v>11</v>
      </c>
      <c r="U27" s="1">
        <v>10.6</v>
      </c>
      <c r="V27" s="1">
        <v>10.3</v>
      </c>
      <c r="W27" s="1"/>
      <c r="X27" s="1"/>
      <c r="Y27" s="1"/>
      <c r="Z27" s="1"/>
      <c r="AA27" s="1"/>
      <c r="AB27" s="1"/>
      <c r="AC27" s="1"/>
      <c r="AD27" s="1"/>
      <c r="AE27" s="1"/>
      <c r="AF27" s="1"/>
      <c r="AG27" s="1"/>
    </row>
  </sheetData>
  <conditionalFormatting sqref="B10:AG10">
    <cfRule type="colorScale" priority="10">
      <colorScale>
        <cfvo type="min"/>
        <cfvo type="percentile" val="50"/>
        <cfvo type="max"/>
        <color rgb="FFF8696B"/>
        <color rgb="FFFFEB84"/>
        <color rgb="FF63BE7B"/>
      </colorScale>
    </cfRule>
  </conditionalFormatting>
  <conditionalFormatting sqref="B27:AG27">
    <cfRule type="colorScale" priority="1">
      <colorScale>
        <cfvo type="min"/>
        <cfvo type="percentile" val="50"/>
        <cfvo type="max"/>
        <color rgb="FFF8696B"/>
        <color rgb="FFFFEB84"/>
        <color rgb="FF63BE7B"/>
      </colorScale>
    </cfRule>
  </conditionalFormatting>
  <conditionalFormatting sqref="B2:AT2">
    <cfRule type="colorScale" priority="24">
      <colorScale>
        <cfvo type="min"/>
        <cfvo type="percentile" val="50"/>
        <cfvo type="max"/>
        <color rgb="FFF8696B"/>
        <color rgb="FFFFEB84"/>
        <color rgb="FF63BE7B"/>
      </colorScale>
    </cfRule>
  </conditionalFormatting>
  <conditionalFormatting sqref="B5:AT5">
    <cfRule type="colorScale" priority="13">
      <colorScale>
        <cfvo type="min"/>
        <cfvo type="percentile" val="50"/>
        <cfvo type="max"/>
        <color rgb="FFF8696B"/>
        <color rgb="FFFFEB84"/>
        <color rgb="FF63BE7B"/>
      </colorScale>
    </cfRule>
  </conditionalFormatting>
  <conditionalFormatting sqref="B6:AT6">
    <cfRule type="colorScale" priority="12">
      <colorScale>
        <cfvo type="min"/>
        <cfvo type="percentile" val="50"/>
        <cfvo type="max"/>
        <color rgb="FFF8696B"/>
        <color rgb="FFFFEB84"/>
        <color rgb="FF63BE7B"/>
      </colorScale>
    </cfRule>
  </conditionalFormatting>
  <conditionalFormatting sqref="B9:AT9 AH10:AT10">
    <cfRule type="colorScale" priority="11">
      <colorScale>
        <cfvo type="min"/>
        <cfvo type="percentile" val="50"/>
        <cfvo type="max"/>
        <color rgb="FFF8696B"/>
        <color rgb="FFFFEB84"/>
        <color rgb="FF63BE7B"/>
      </colorScale>
    </cfRule>
  </conditionalFormatting>
  <conditionalFormatting sqref="B11:AT11">
    <cfRule type="colorScale" priority="9">
      <colorScale>
        <cfvo type="min"/>
        <cfvo type="percentile" val="50"/>
        <cfvo type="max"/>
        <color rgb="FFF8696B"/>
        <color rgb="FFFFEB84"/>
        <color rgb="FF63BE7B"/>
      </colorScale>
    </cfRule>
  </conditionalFormatting>
  <conditionalFormatting sqref="B14:AT14">
    <cfRule type="colorScale" priority="8">
      <colorScale>
        <cfvo type="min"/>
        <cfvo type="percentile" val="50"/>
        <cfvo type="max"/>
        <color rgb="FFF8696B"/>
        <color rgb="FFFFEB84"/>
        <color rgb="FF63BE7B"/>
      </colorScale>
    </cfRule>
  </conditionalFormatting>
  <conditionalFormatting sqref="B15:AT15">
    <cfRule type="colorScale" priority="7">
      <colorScale>
        <cfvo type="min"/>
        <cfvo type="percentile" val="50"/>
        <cfvo type="max"/>
        <color rgb="FFF8696B"/>
        <color rgb="FFFFEB84"/>
        <color rgb="FF63BE7B"/>
      </colorScale>
    </cfRule>
  </conditionalFormatting>
  <conditionalFormatting sqref="B16:AT16">
    <cfRule type="colorScale" priority="6">
      <colorScale>
        <cfvo type="min"/>
        <cfvo type="percentile" val="50"/>
        <cfvo type="max"/>
        <color rgb="FFF8696B"/>
        <color rgb="FFFFEB84"/>
        <color rgb="FF63BE7B"/>
      </colorScale>
    </cfRule>
  </conditionalFormatting>
  <conditionalFormatting sqref="B19:AT19">
    <cfRule type="colorScale" priority="5">
      <colorScale>
        <cfvo type="min"/>
        <cfvo type="percentile" val="50"/>
        <cfvo type="max"/>
        <color rgb="FFF8696B"/>
        <color rgb="FFFFEB84"/>
        <color rgb="FF63BE7B"/>
      </colorScale>
    </cfRule>
  </conditionalFormatting>
  <conditionalFormatting sqref="B21:AT21">
    <cfRule type="colorScale" priority="4">
      <colorScale>
        <cfvo type="min"/>
        <cfvo type="percentile" val="50"/>
        <cfvo type="max"/>
        <color rgb="FFF8696B"/>
        <color rgb="FFFFEB84"/>
        <color rgb="FF63BE7B"/>
      </colorScale>
    </cfRule>
  </conditionalFormatting>
  <conditionalFormatting sqref="B22:AT22">
    <cfRule type="colorScale" priority="3">
      <colorScale>
        <cfvo type="min"/>
        <cfvo type="percentile" val="50"/>
        <cfvo type="max"/>
        <color rgb="FFF8696B"/>
        <color rgb="FFFFEB84"/>
        <color rgb="FF63BE7B"/>
      </colorScale>
    </cfRule>
  </conditionalFormatting>
  <conditionalFormatting sqref="B23:AT23">
    <cfRule type="colorScale" priority="2">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workbookViewId="0">
      <selection activeCell="U9" sqref="U9"/>
    </sheetView>
  </sheetViews>
  <sheetFormatPr defaultRowHeight="15" x14ac:dyDescent="0.25"/>
  <sheetData>
    <row r="1" spans="1:1" x14ac:dyDescent="0.25">
      <c r="A1" s="8" t="s">
        <v>38</v>
      </c>
    </row>
  </sheetData>
  <hyperlinks>
    <hyperlink ref="A1" location="Main!A1" display="Main" xr:uid="{58C3B527-2D5B-414E-8D16-78915C434B11}"/>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topLeftCell="A13" workbookViewId="0">
      <selection activeCell="F47" sqref="F47"/>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38</v>
      </c>
      <c r="B1" t="s">
        <v>51</v>
      </c>
      <c r="C1" s="17" t="s">
        <v>52</v>
      </c>
    </row>
    <row r="2" spans="1:13" x14ac:dyDescent="0.25">
      <c r="B2" s="12">
        <v>45411</v>
      </c>
      <c r="C2" s="18">
        <v>17.610001</v>
      </c>
      <c r="E2" t="s">
        <v>51</v>
      </c>
      <c r="F2" t="s">
        <v>53</v>
      </c>
      <c r="M2" t="s">
        <v>54</v>
      </c>
    </row>
    <row r="3" spans="1:13" x14ac:dyDescent="0.25">
      <c r="B3" s="12">
        <v>45404</v>
      </c>
      <c r="C3" s="18">
        <v>17.879999000000002</v>
      </c>
      <c r="E3" s="12">
        <v>45328</v>
      </c>
      <c r="F3" t="s">
        <v>56</v>
      </c>
      <c r="M3" s="12"/>
    </row>
    <row r="4" spans="1:13" x14ac:dyDescent="0.25">
      <c r="B4" s="12">
        <v>45397</v>
      </c>
      <c r="C4" s="18">
        <v>16.629999000000002</v>
      </c>
      <c r="E4" s="12">
        <v>45302</v>
      </c>
      <c r="F4" t="s">
        <v>56</v>
      </c>
      <c r="M4" s="12"/>
    </row>
    <row r="5" spans="1:13" x14ac:dyDescent="0.25">
      <c r="B5" s="12">
        <v>45390</v>
      </c>
      <c r="C5" s="18">
        <v>17.969999000000001</v>
      </c>
      <c r="M5" s="12"/>
    </row>
    <row r="6" spans="1:13" x14ac:dyDescent="0.25">
      <c r="B6" s="12">
        <v>45383</v>
      </c>
      <c r="C6" s="18">
        <v>18.399999999999999</v>
      </c>
      <c r="M6" s="12"/>
    </row>
    <row r="7" spans="1:13" x14ac:dyDescent="0.25">
      <c r="B7" s="12">
        <v>45376</v>
      </c>
      <c r="C7" s="18">
        <v>20.129999000000002</v>
      </c>
      <c r="M7" s="12"/>
    </row>
    <row r="8" spans="1:13" x14ac:dyDescent="0.25">
      <c r="B8" s="12">
        <v>45369</v>
      </c>
      <c r="C8" s="18">
        <v>18.299999</v>
      </c>
      <c r="M8" s="12"/>
    </row>
    <row r="9" spans="1:13" x14ac:dyDescent="0.25">
      <c r="B9" s="12">
        <v>45362</v>
      </c>
      <c r="C9" s="18">
        <v>18.149999999999999</v>
      </c>
      <c r="M9" s="12"/>
    </row>
    <row r="10" spans="1:13" x14ac:dyDescent="0.25">
      <c r="B10" s="12">
        <v>45355</v>
      </c>
      <c r="C10" s="18">
        <v>17</v>
      </c>
      <c r="M10" s="12"/>
    </row>
    <row r="11" spans="1:13" x14ac:dyDescent="0.25">
      <c r="B11" s="12">
        <v>45348</v>
      </c>
      <c r="C11" s="18">
        <v>16.579999999999998</v>
      </c>
      <c r="M11" s="12"/>
    </row>
    <row r="12" spans="1:13" x14ac:dyDescent="0.25">
      <c r="B12" s="12">
        <v>45341</v>
      </c>
      <c r="C12" s="18">
        <v>14.48</v>
      </c>
      <c r="M12" s="12"/>
    </row>
    <row r="13" spans="1:13" x14ac:dyDescent="0.25">
      <c r="B13" s="12">
        <v>45334</v>
      </c>
      <c r="C13" s="18">
        <v>14</v>
      </c>
    </row>
    <row r="14" spans="1:13" x14ac:dyDescent="0.25">
      <c r="B14" s="12">
        <v>45327</v>
      </c>
      <c r="C14" s="18">
        <v>11.55</v>
      </c>
    </row>
    <row r="15" spans="1:13" x14ac:dyDescent="0.25">
      <c r="B15" s="12">
        <v>45320</v>
      </c>
      <c r="C15" s="18">
        <v>10.92</v>
      </c>
    </row>
    <row r="16" spans="1:13" x14ac:dyDescent="0.25">
      <c r="B16" s="12">
        <v>45313</v>
      </c>
      <c r="C16" s="18">
        <v>10.79</v>
      </c>
    </row>
    <row r="17" spans="2:3" x14ac:dyDescent="0.25">
      <c r="B17" s="12">
        <v>45306</v>
      </c>
      <c r="C17" s="18">
        <v>10.71</v>
      </c>
    </row>
    <row r="18" spans="2:3" x14ac:dyDescent="0.25">
      <c r="B18" s="12">
        <v>45299</v>
      </c>
      <c r="C18" s="18">
        <v>11.02</v>
      </c>
    </row>
    <row r="19" spans="2:3" x14ac:dyDescent="0.25">
      <c r="B19" s="12">
        <v>45292</v>
      </c>
      <c r="C19" s="18">
        <v>11.89</v>
      </c>
    </row>
    <row r="20" spans="2:3" x14ac:dyDescent="0.25">
      <c r="B20" s="12">
        <v>45285</v>
      </c>
      <c r="C20" s="18">
        <v>12.74</v>
      </c>
    </row>
    <row r="21" spans="2:3" x14ac:dyDescent="0.25">
      <c r="B21" s="12">
        <v>45278</v>
      </c>
      <c r="C21" s="18">
        <v>12.95</v>
      </c>
    </row>
    <row r="22" spans="2:3" x14ac:dyDescent="0.25">
      <c r="B22" s="12">
        <v>45271</v>
      </c>
      <c r="C22" s="18">
        <v>11.69</v>
      </c>
    </row>
    <row r="23" spans="2:3" x14ac:dyDescent="0.25">
      <c r="B23" s="12">
        <v>45264</v>
      </c>
      <c r="C23" s="18">
        <v>11.73</v>
      </c>
    </row>
    <row r="24" spans="2:3" x14ac:dyDescent="0.25">
      <c r="B24" s="12">
        <v>45257</v>
      </c>
      <c r="C24" s="18">
        <v>9.32</v>
      </c>
    </row>
    <row r="25" spans="2:3" x14ac:dyDescent="0.25">
      <c r="B25" s="12">
        <v>45250</v>
      </c>
      <c r="C25" s="18">
        <v>8.2899999999999991</v>
      </c>
    </row>
    <row r="26" spans="2:3" x14ac:dyDescent="0.25">
      <c r="B26" s="12">
        <v>45243</v>
      </c>
      <c r="C26" s="18">
        <v>8.1</v>
      </c>
    </row>
    <row r="27" spans="2:3" x14ac:dyDescent="0.25">
      <c r="B27" s="12">
        <v>45236</v>
      </c>
      <c r="C27" s="18">
        <v>8.23</v>
      </c>
    </row>
    <row r="28" spans="2:3" x14ac:dyDescent="0.25">
      <c r="B28" s="12">
        <v>45229</v>
      </c>
      <c r="C28" s="18">
        <v>9.69</v>
      </c>
    </row>
    <row r="29" spans="2:3" x14ac:dyDescent="0.25">
      <c r="B29" s="12">
        <v>45222</v>
      </c>
      <c r="C29" s="18">
        <v>8.9</v>
      </c>
    </row>
    <row r="30" spans="2:3" x14ac:dyDescent="0.25">
      <c r="B30" s="12">
        <v>45215</v>
      </c>
      <c r="C30" s="18">
        <v>9.1300000000000008</v>
      </c>
    </row>
    <row r="31" spans="2:3" x14ac:dyDescent="0.25">
      <c r="B31" s="12">
        <v>45208</v>
      </c>
      <c r="C31" s="18">
        <v>9.14</v>
      </c>
    </row>
    <row r="32" spans="2:3" x14ac:dyDescent="0.25">
      <c r="B32" s="12">
        <v>45201</v>
      </c>
      <c r="C32" s="18">
        <v>9.93</v>
      </c>
    </row>
    <row r="33" spans="2:3" x14ac:dyDescent="0.25">
      <c r="B33" s="12">
        <v>45194</v>
      </c>
      <c r="C33" s="18">
        <v>9.81</v>
      </c>
    </row>
    <row r="34" spans="2:3" x14ac:dyDescent="0.25">
      <c r="B34" s="12">
        <v>45187</v>
      </c>
      <c r="C34" s="18">
        <v>9.6999999999999993</v>
      </c>
    </row>
    <row r="35" spans="2:3" x14ac:dyDescent="0.25">
      <c r="B35" s="12">
        <v>45180</v>
      </c>
      <c r="C35" s="18">
        <v>10.67</v>
      </c>
    </row>
    <row r="36" spans="2:3" x14ac:dyDescent="0.25">
      <c r="B36" s="12">
        <v>45173</v>
      </c>
      <c r="C36" s="18">
        <v>10.74</v>
      </c>
    </row>
    <row r="37" spans="2:3" x14ac:dyDescent="0.25">
      <c r="B37" s="12">
        <v>45166</v>
      </c>
      <c r="C37" s="18">
        <v>11.11</v>
      </c>
    </row>
    <row r="38" spans="2:3" x14ac:dyDescent="0.25">
      <c r="B38" s="12">
        <v>45159</v>
      </c>
      <c r="C38" s="18">
        <v>10.54</v>
      </c>
    </row>
    <row r="39" spans="2:3" x14ac:dyDescent="0.25">
      <c r="B39" s="12">
        <v>45152</v>
      </c>
      <c r="C39" s="18">
        <v>10.25</v>
      </c>
    </row>
    <row r="40" spans="2:3" x14ac:dyDescent="0.25">
      <c r="B40" s="12">
        <v>45145</v>
      </c>
      <c r="C40" s="18">
        <v>10.72</v>
      </c>
    </row>
    <row r="41" spans="2:3" x14ac:dyDescent="0.25">
      <c r="B41" s="12">
        <v>45138</v>
      </c>
      <c r="C41" s="18">
        <v>11.28</v>
      </c>
    </row>
    <row r="42" spans="2:3" x14ac:dyDescent="0.25">
      <c r="B42" s="12">
        <v>45131</v>
      </c>
      <c r="C42" s="18">
        <v>12.73</v>
      </c>
    </row>
    <row r="43" spans="2:3" x14ac:dyDescent="0.25">
      <c r="B43" s="12">
        <v>45124</v>
      </c>
      <c r="C43" s="18">
        <v>12.76</v>
      </c>
    </row>
    <row r="44" spans="2:3" x14ac:dyDescent="0.25">
      <c r="B44" s="12">
        <v>45117</v>
      </c>
      <c r="C44" s="18">
        <v>12.38</v>
      </c>
    </row>
    <row r="45" spans="2:3" x14ac:dyDescent="0.25">
      <c r="B45" s="12">
        <v>45110</v>
      </c>
      <c r="C45" s="18">
        <v>10.79</v>
      </c>
    </row>
    <row r="46" spans="2:3" x14ac:dyDescent="0.25">
      <c r="B46" s="12">
        <v>45103</v>
      </c>
      <c r="C46" s="18">
        <v>9.98</v>
      </c>
    </row>
    <row r="47" spans="2:3" x14ac:dyDescent="0.25">
      <c r="B47" s="12">
        <v>45096</v>
      </c>
      <c r="C47" s="18">
        <v>9.49</v>
      </c>
    </row>
    <row r="48" spans="2:3" x14ac:dyDescent="0.25">
      <c r="B48" s="12">
        <v>45089</v>
      </c>
      <c r="C48" s="18">
        <v>10.029999999999999</v>
      </c>
    </row>
    <row r="49" spans="2:3" x14ac:dyDescent="0.25">
      <c r="B49" s="12">
        <v>45082</v>
      </c>
      <c r="C49" s="18">
        <v>9.41</v>
      </c>
    </row>
    <row r="50" spans="2:3" x14ac:dyDescent="0.25">
      <c r="B50" s="12">
        <v>45075</v>
      </c>
      <c r="C50" s="18">
        <v>9.34</v>
      </c>
    </row>
    <row r="51" spans="2:3" x14ac:dyDescent="0.25">
      <c r="B51" s="12">
        <v>45068</v>
      </c>
      <c r="C51" s="18">
        <v>8.82</v>
      </c>
    </row>
    <row r="52" spans="2:3" x14ac:dyDescent="0.25">
      <c r="B52" s="12">
        <v>45061</v>
      </c>
      <c r="C52" s="18">
        <v>8.4700000000000006</v>
      </c>
    </row>
    <row r="53" spans="2:3" x14ac:dyDescent="0.25">
      <c r="B53" s="12">
        <v>45054</v>
      </c>
      <c r="C53" s="18">
        <v>8.74</v>
      </c>
    </row>
    <row r="54" spans="2:3" x14ac:dyDescent="0.25">
      <c r="B54" s="12">
        <v>45047</v>
      </c>
      <c r="C54" s="18">
        <v>8.85</v>
      </c>
    </row>
    <row r="55" spans="2:3" x14ac:dyDescent="0.25">
      <c r="B55" s="12">
        <v>45040</v>
      </c>
      <c r="C55" s="18">
        <v>8.85</v>
      </c>
    </row>
    <row r="56" spans="2:3" x14ac:dyDescent="0.25">
      <c r="B56" s="12">
        <v>45033</v>
      </c>
      <c r="C56" s="18">
        <v>9.64</v>
      </c>
    </row>
    <row r="57" spans="2:3" x14ac:dyDescent="0.25">
      <c r="B57" s="12">
        <v>45026</v>
      </c>
      <c r="C57" s="18">
        <v>10</v>
      </c>
    </row>
    <row r="58" spans="2:3" x14ac:dyDescent="0.25">
      <c r="B58" s="12">
        <v>45019</v>
      </c>
      <c r="C58" s="18">
        <v>10.01</v>
      </c>
    </row>
    <row r="59" spans="2:3" x14ac:dyDescent="0.25">
      <c r="B59" s="12">
        <v>45012</v>
      </c>
      <c r="C59" s="18">
        <v>9.7100000000000009</v>
      </c>
    </row>
    <row r="60" spans="2:3" x14ac:dyDescent="0.25">
      <c r="B60" s="12">
        <v>45005</v>
      </c>
      <c r="C60" s="18">
        <v>8.68</v>
      </c>
    </row>
    <row r="61" spans="2:3" x14ac:dyDescent="0.25">
      <c r="B61" s="12">
        <v>44998</v>
      </c>
      <c r="C61" s="18">
        <v>9.19</v>
      </c>
    </row>
    <row r="62" spans="2:3" x14ac:dyDescent="0.25">
      <c r="B62" s="12">
        <v>44991</v>
      </c>
      <c r="C62" s="18">
        <v>9.01</v>
      </c>
    </row>
    <row r="63" spans="2:3" x14ac:dyDescent="0.25">
      <c r="B63" s="12">
        <v>44984</v>
      </c>
      <c r="C63" s="18">
        <v>9.9</v>
      </c>
    </row>
    <row r="64" spans="2:3" x14ac:dyDescent="0.25">
      <c r="B64" s="12">
        <v>44977</v>
      </c>
      <c r="C64" s="18">
        <v>9.59</v>
      </c>
    </row>
    <row r="65" spans="2:3" x14ac:dyDescent="0.25">
      <c r="B65" s="12">
        <v>44970</v>
      </c>
      <c r="C65" s="18">
        <v>10.35</v>
      </c>
    </row>
    <row r="66" spans="2:3" x14ac:dyDescent="0.25">
      <c r="B66" s="12">
        <v>44963</v>
      </c>
      <c r="C66" s="18">
        <v>9.98</v>
      </c>
    </row>
    <row r="67" spans="2:3" x14ac:dyDescent="0.25">
      <c r="B67" s="12">
        <v>44956</v>
      </c>
      <c r="C67" s="18">
        <v>10.74</v>
      </c>
    </row>
    <row r="68" spans="2:3" x14ac:dyDescent="0.25">
      <c r="B68" s="12">
        <v>44949</v>
      </c>
      <c r="C68" s="18">
        <v>10.39</v>
      </c>
    </row>
    <row r="69" spans="2:3" x14ac:dyDescent="0.25">
      <c r="B69" s="12">
        <v>44942</v>
      </c>
      <c r="C69" s="18">
        <v>9.52</v>
      </c>
    </row>
    <row r="70" spans="2:3" x14ac:dyDescent="0.25">
      <c r="B70" s="12">
        <v>44935</v>
      </c>
      <c r="C70" s="18">
        <v>9.32</v>
      </c>
    </row>
    <row r="71" spans="2:3" x14ac:dyDescent="0.25">
      <c r="B71" s="12">
        <v>44928</v>
      </c>
      <c r="C71" s="18">
        <v>8.25</v>
      </c>
    </row>
    <row r="72" spans="2:3" x14ac:dyDescent="0.25">
      <c r="B72" s="12">
        <v>44921</v>
      </c>
      <c r="C72" s="18">
        <v>8.14</v>
      </c>
    </row>
    <row r="73" spans="2:3" x14ac:dyDescent="0.25">
      <c r="B73" s="12">
        <v>44914</v>
      </c>
      <c r="C73" s="18">
        <v>7.95</v>
      </c>
    </row>
    <row r="74" spans="2:3" x14ac:dyDescent="0.25">
      <c r="B74" s="12">
        <v>44907</v>
      </c>
      <c r="C74" s="18">
        <v>8.61</v>
      </c>
    </row>
    <row r="75" spans="2:3" x14ac:dyDescent="0.25">
      <c r="B75" s="12">
        <v>44900</v>
      </c>
      <c r="C75" s="18">
        <v>9.31</v>
      </c>
    </row>
    <row r="76" spans="2:3" x14ac:dyDescent="0.25">
      <c r="B76" s="12">
        <v>44893</v>
      </c>
      <c r="C76" s="18">
        <v>9.99</v>
      </c>
    </row>
    <row r="77" spans="2:3" x14ac:dyDescent="0.25">
      <c r="B77" s="12">
        <v>44886</v>
      </c>
      <c r="C77" s="18">
        <v>9.39</v>
      </c>
    </row>
    <row r="78" spans="2:3" x14ac:dyDescent="0.25">
      <c r="B78" s="12">
        <v>44879</v>
      </c>
      <c r="C78" s="18">
        <v>9.19</v>
      </c>
    </row>
    <row r="79" spans="2:3" x14ac:dyDescent="0.25">
      <c r="B79" s="12">
        <v>44872</v>
      </c>
      <c r="C79" s="18">
        <v>10.47</v>
      </c>
    </row>
    <row r="80" spans="2:3" x14ac:dyDescent="0.25">
      <c r="B80" s="12">
        <v>44865</v>
      </c>
      <c r="C80" s="18">
        <v>12.28</v>
      </c>
    </row>
    <row r="81" spans="2:3" x14ac:dyDescent="0.25">
      <c r="B81" s="12">
        <v>44858</v>
      </c>
      <c r="C81" s="18">
        <v>11.5</v>
      </c>
    </row>
    <row r="82" spans="2:3" x14ac:dyDescent="0.25">
      <c r="B82" s="12">
        <v>44851</v>
      </c>
      <c r="C82" s="18">
        <v>10.14</v>
      </c>
    </row>
    <row r="83" spans="2:3" x14ac:dyDescent="0.25">
      <c r="B83" s="12">
        <v>44844</v>
      </c>
      <c r="C83" s="18">
        <v>9.89</v>
      </c>
    </row>
    <row r="84" spans="2:3" x14ac:dyDescent="0.25">
      <c r="B84" s="12">
        <v>44837</v>
      </c>
      <c r="C84" s="18">
        <v>10.8</v>
      </c>
    </row>
    <row r="85" spans="2:3" x14ac:dyDescent="0.25">
      <c r="B85" s="12">
        <v>44830</v>
      </c>
      <c r="C85" s="18">
        <v>10.1</v>
      </c>
    </row>
    <row r="86" spans="2:3" x14ac:dyDescent="0.25">
      <c r="B86" s="12">
        <v>44823</v>
      </c>
      <c r="C86" s="18">
        <v>9.44</v>
      </c>
    </row>
    <row r="87" spans="2:3" x14ac:dyDescent="0.25">
      <c r="B87" s="12">
        <v>44816</v>
      </c>
      <c r="C87" s="18">
        <v>10.25</v>
      </c>
    </row>
    <row r="88" spans="2:3" x14ac:dyDescent="0.25">
      <c r="B88" s="12">
        <v>44809</v>
      </c>
      <c r="C88" s="18">
        <v>10.6</v>
      </c>
    </row>
    <row r="89" spans="2:3" x14ac:dyDescent="0.25">
      <c r="B89" s="12">
        <v>44802</v>
      </c>
      <c r="C89" s="18">
        <v>9.4499999999999993</v>
      </c>
    </row>
    <row r="90" spans="2:3" x14ac:dyDescent="0.25">
      <c r="B90" s="12">
        <v>44795</v>
      </c>
      <c r="C90" s="18">
        <v>9.3800000000000008</v>
      </c>
    </row>
    <row r="91" spans="2:3" x14ac:dyDescent="0.25">
      <c r="B91" s="12">
        <v>44788</v>
      </c>
      <c r="C91" s="18">
        <v>9.26</v>
      </c>
    </row>
    <row r="92" spans="2:3" x14ac:dyDescent="0.25">
      <c r="B92" s="12">
        <v>44781</v>
      </c>
      <c r="C92" s="18">
        <v>10.93</v>
      </c>
    </row>
    <row r="93" spans="2:3" x14ac:dyDescent="0.25">
      <c r="B93" s="12">
        <v>44774</v>
      </c>
      <c r="C93" s="18">
        <v>10.4</v>
      </c>
    </row>
    <row r="94" spans="2:3" x14ac:dyDescent="0.25">
      <c r="B94" s="12">
        <v>44767</v>
      </c>
      <c r="C94" s="18">
        <v>9.0500000000000007</v>
      </c>
    </row>
    <row r="95" spans="2:3" x14ac:dyDescent="0.25">
      <c r="B95" s="12">
        <v>44760</v>
      </c>
      <c r="C95" s="18">
        <v>9.08</v>
      </c>
    </row>
    <row r="96" spans="2:3" x14ac:dyDescent="0.25">
      <c r="B96" s="12">
        <v>44753</v>
      </c>
      <c r="C96" s="18">
        <v>8.41</v>
      </c>
    </row>
    <row r="97" spans="2:3" x14ac:dyDescent="0.25">
      <c r="B97" s="12">
        <v>44746</v>
      </c>
      <c r="C97" s="18">
        <v>9</v>
      </c>
    </row>
    <row r="98" spans="2:3" x14ac:dyDescent="0.25">
      <c r="B98" s="12">
        <v>44739</v>
      </c>
      <c r="C98" s="18">
        <v>8.18</v>
      </c>
    </row>
    <row r="99" spans="2:3" x14ac:dyDescent="0.25">
      <c r="B99" s="12">
        <v>44732</v>
      </c>
      <c r="C99" s="18">
        <v>8</v>
      </c>
    </row>
    <row r="100" spans="2:3" x14ac:dyDescent="0.25">
      <c r="B100" s="12">
        <v>44725</v>
      </c>
      <c r="C100" s="18">
        <v>7.19</v>
      </c>
    </row>
    <row r="101" spans="2:3" x14ac:dyDescent="0.25">
      <c r="B101" s="12">
        <v>44718</v>
      </c>
      <c r="C101" s="18">
        <v>7.81</v>
      </c>
    </row>
    <row r="102" spans="2:3" x14ac:dyDescent="0.25">
      <c r="B102" s="12">
        <v>44711</v>
      </c>
      <c r="C102" s="18">
        <v>9.17</v>
      </c>
    </row>
    <row r="103" spans="2:3" x14ac:dyDescent="0.25">
      <c r="B103" s="12">
        <v>44704</v>
      </c>
      <c r="C103" s="18">
        <v>10.38</v>
      </c>
    </row>
    <row r="104" spans="2:3" x14ac:dyDescent="0.25">
      <c r="B104" s="12">
        <v>44697</v>
      </c>
      <c r="C104" s="18">
        <v>10.08</v>
      </c>
    </row>
    <row r="105" spans="2:3" x14ac:dyDescent="0.25">
      <c r="B105" s="12">
        <v>44690</v>
      </c>
      <c r="C105" s="18">
        <v>10.69</v>
      </c>
    </row>
    <row r="106" spans="2:3" x14ac:dyDescent="0.25">
      <c r="B106" s="12">
        <v>44683</v>
      </c>
      <c r="C106" s="18">
        <v>10.119999999999999</v>
      </c>
    </row>
    <row r="107" spans="2:3" x14ac:dyDescent="0.25">
      <c r="B107" s="12">
        <v>44676</v>
      </c>
      <c r="C107" s="18">
        <v>9.8049999999999997</v>
      </c>
    </row>
    <row r="108" spans="2:3" x14ac:dyDescent="0.25">
      <c r="B108" s="12">
        <v>44669</v>
      </c>
      <c r="C108" s="18">
        <v>10.26</v>
      </c>
    </row>
    <row r="109" spans="2:3" x14ac:dyDescent="0.25">
      <c r="B109" s="12">
        <v>44662</v>
      </c>
      <c r="C109" s="18">
        <v>11.38</v>
      </c>
    </row>
    <row r="110" spans="2:3" x14ac:dyDescent="0.25">
      <c r="B110" s="12">
        <v>44655</v>
      </c>
      <c r="C110" s="18">
        <v>11.24</v>
      </c>
    </row>
    <row r="111" spans="2:3" x14ac:dyDescent="0.25">
      <c r="B111" s="12">
        <v>44648</v>
      </c>
      <c r="C111" s="18">
        <v>13.5</v>
      </c>
    </row>
    <row r="112" spans="2:3" x14ac:dyDescent="0.25">
      <c r="B112" s="12">
        <v>44641</v>
      </c>
      <c r="C112" s="18">
        <v>12.39</v>
      </c>
    </row>
    <row r="113" spans="2:3" x14ac:dyDescent="0.25">
      <c r="B113" s="12">
        <v>44634</v>
      </c>
      <c r="C113" s="18">
        <v>13.44</v>
      </c>
    </row>
    <row r="114" spans="2:3" x14ac:dyDescent="0.25">
      <c r="B114" s="12">
        <v>44627</v>
      </c>
      <c r="C114" s="18">
        <v>11.02</v>
      </c>
    </row>
    <row r="115" spans="2:3" x14ac:dyDescent="0.25">
      <c r="B115" s="12">
        <v>44620</v>
      </c>
      <c r="C115" s="18">
        <v>10.96</v>
      </c>
    </row>
    <row r="116" spans="2:3" x14ac:dyDescent="0.25">
      <c r="B116" s="12">
        <v>44613</v>
      </c>
      <c r="C116" s="18">
        <v>11.61</v>
      </c>
    </row>
    <row r="117" spans="2:3" x14ac:dyDescent="0.25">
      <c r="B117" s="12">
        <v>44606</v>
      </c>
      <c r="C117" s="18">
        <v>11.81</v>
      </c>
    </row>
    <row r="118" spans="2:3" x14ac:dyDescent="0.25">
      <c r="B118" s="12">
        <v>44599</v>
      </c>
      <c r="C118" s="18">
        <v>13.32</v>
      </c>
    </row>
    <row r="119" spans="2:3" x14ac:dyDescent="0.25">
      <c r="B119" s="12">
        <v>44592</v>
      </c>
      <c r="C119" s="18">
        <v>15.18</v>
      </c>
    </row>
    <row r="120" spans="2:3" x14ac:dyDescent="0.25">
      <c r="B120" s="12">
        <v>44585</v>
      </c>
      <c r="C120" s="18">
        <v>12.73</v>
      </c>
    </row>
    <row r="121" spans="2:3" x14ac:dyDescent="0.25">
      <c r="B121" s="12">
        <v>44578</v>
      </c>
      <c r="C121" s="18">
        <v>12.98</v>
      </c>
    </row>
    <row r="122" spans="2:3" x14ac:dyDescent="0.25">
      <c r="B122" s="12">
        <v>44571</v>
      </c>
      <c r="C122" s="18">
        <v>15.17</v>
      </c>
    </row>
    <row r="123" spans="2:3" x14ac:dyDescent="0.25">
      <c r="B123" s="12">
        <v>44564</v>
      </c>
      <c r="C123" s="18">
        <v>15.89</v>
      </c>
    </row>
    <row r="124" spans="2:3" x14ac:dyDescent="0.25">
      <c r="B124" s="12">
        <v>44557</v>
      </c>
      <c r="C124" s="18">
        <v>17.760000000000002</v>
      </c>
    </row>
    <row r="125" spans="2:3" x14ac:dyDescent="0.25">
      <c r="B125" s="12">
        <v>44550</v>
      </c>
      <c r="C125" s="18">
        <v>18.899999999999999</v>
      </c>
    </row>
    <row r="126" spans="2:3" x14ac:dyDescent="0.25">
      <c r="B126" s="12">
        <v>44543</v>
      </c>
      <c r="C126" s="18">
        <v>19.100000000000001</v>
      </c>
    </row>
    <row r="127" spans="2:3" x14ac:dyDescent="0.25">
      <c r="B127" s="12">
        <v>44536</v>
      </c>
      <c r="C127" s="18">
        <v>20.129999000000002</v>
      </c>
    </row>
    <row r="128" spans="2:3" x14ac:dyDescent="0.25">
      <c r="B128" s="12">
        <v>44529</v>
      </c>
      <c r="C128" s="18">
        <v>21.549999</v>
      </c>
    </row>
    <row r="129" spans="2:3" x14ac:dyDescent="0.25">
      <c r="B129" s="12">
        <v>44522</v>
      </c>
      <c r="C129" s="18">
        <v>27.92</v>
      </c>
    </row>
    <row r="130" spans="2:3" x14ac:dyDescent="0.25">
      <c r="B130" s="12">
        <v>44515</v>
      </c>
      <c r="C130" s="18">
        <v>28.99</v>
      </c>
    </row>
    <row r="131" spans="2:3" x14ac:dyDescent="0.25">
      <c r="B131" s="12">
        <v>44508</v>
      </c>
      <c r="C131" s="18">
        <v>35.209999000000003</v>
      </c>
    </row>
    <row r="132" spans="2:3" x14ac:dyDescent="0.25">
      <c r="B132" s="12">
        <v>44501</v>
      </c>
      <c r="C132" s="18">
        <v>37.009998000000003</v>
      </c>
    </row>
    <row r="133" spans="2:3" x14ac:dyDescent="0.25">
      <c r="B133" s="12">
        <v>44494</v>
      </c>
      <c r="C133" s="18">
        <v>34.970001000000003</v>
      </c>
    </row>
    <row r="134" spans="2:3" x14ac:dyDescent="0.25">
      <c r="B134" s="12">
        <v>44487</v>
      </c>
      <c r="C134" s="18">
        <v>39.590000000000003</v>
      </c>
    </row>
    <row r="135" spans="2:3" x14ac:dyDescent="0.25">
      <c r="B135" s="12">
        <v>44480</v>
      </c>
      <c r="C135" s="18">
        <v>41.029998999999997</v>
      </c>
    </row>
    <row r="136" spans="2:3" x14ac:dyDescent="0.25">
      <c r="B136" s="12">
        <v>44473</v>
      </c>
      <c r="C136" s="18">
        <v>41.779998999999997</v>
      </c>
    </row>
    <row r="137" spans="2:3" x14ac:dyDescent="0.25">
      <c r="B137" s="12">
        <v>44466</v>
      </c>
      <c r="C137" s="18">
        <v>41.900002000000001</v>
      </c>
    </row>
    <row r="138" spans="2:3" x14ac:dyDescent="0.25">
      <c r="B138" s="12">
        <v>44459</v>
      </c>
      <c r="C138" s="18">
        <v>44.91</v>
      </c>
    </row>
    <row r="139" spans="2:3" x14ac:dyDescent="0.25">
      <c r="B139" s="12">
        <v>44452</v>
      </c>
      <c r="C139" s="18">
        <v>42.380001</v>
      </c>
    </row>
    <row r="140" spans="2:3" x14ac:dyDescent="0.25">
      <c r="B140" s="12">
        <v>44445</v>
      </c>
      <c r="C140" s="18">
        <v>41.169998</v>
      </c>
    </row>
    <row r="141" spans="2:3" x14ac:dyDescent="0.25">
      <c r="B141" s="12">
        <v>44438</v>
      </c>
      <c r="C141" s="18">
        <v>43.349997999999999</v>
      </c>
    </row>
    <row r="142" spans="2:3" x14ac:dyDescent="0.25">
      <c r="B142" s="12">
        <v>44431</v>
      </c>
      <c r="C142" s="18">
        <v>46.869999</v>
      </c>
    </row>
    <row r="143" spans="2:3" x14ac:dyDescent="0.25">
      <c r="B143" s="12">
        <v>44424</v>
      </c>
      <c r="C143" s="18">
        <v>42.639999000000003</v>
      </c>
    </row>
    <row r="144" spans="2:3" x14ac:dyDescent="0.25">
      <c r="B144" s="12">
        <v>44417</v>
      </c>
      <c r="C144" s="18">
        <v>50.630001</v>
      </c>
    </row>
    <row r="145" spans="2:3" x14ac:dyDescent="0.25">
      <c r="B145" s="12">
        <v>44410</v>
      </c>
      <c r="C145" s="18">
        <v>55.009998000000003</v>
      </c>
    </row>
    <row r="146" spans="2:3" x14ac:dyDescent="0.25">
      <c r="B146" s="12">
        <v>44403</v>
      </c>
      <c r="C146" s="18">
        <v>35.150002000000001</v>
      </c>
    </row>
    <row r="147" spans="2:3" x14ac:dyDescent="0.25">
      <c r="B147" s="12"/>
      <c r="C147" s="18"/>
    </row>
    <row r="148" spans="2:3" x14ac:dyDescent="0.25">
      <c r="B148" s="12"/>
      <c r="C148" s="18"/>
    </row>
    <row r="149" spans="2:3" x14ac:dyDescent="0.25">
      <c r="B149" s="12"/>
      <c r="C149" s="18"/>
    </row>
    <row r="150" spans="2:3" x14ac:dyDescent="0.25">
      <c r="B150" s="12"/>
      <c r="C150" s="18"/>
    </row>
    <row r="151" spans="2:3" x14ac:dyDescent="0.25">
      <c r="B151" s="12"/>
      <c r="C151" s="18"/>
    </row>
    <row r="152" spans="2:3" x14ac:dyDescent="0.25">
      <c r="B152" s="12"/>
      <c r="C152" s="18"/>
    </row>
    <row r="153" spans="2:3" x14ac:dyDescent="0.25">
      <c r="B153" s="12"/>
      <c r="C153" s="18"/>
    </row>
    <row r="154" spans="2:3" x14ac:dyDescent="0.25">
      <c r="B154" s="12"/>
      <c r="C154" s="18"/>
    </row>
    <row r="155" spans="2:3" x14ac:dyDescent="0.25">
      <c r="B155" s="12"/>
      <c r="C155" s="18"/>
    </row>
    <row r="156" spans="2:3" x14ac:dyDescent="0.25">
      <c r="B156" s="12"/>
      <c r="C156" s="18"/>
    </row>
    <row r="157" spans="2:3" x14ac:dyDescent="0.25">
      <c r="B157" s="12"/>
      <c r="C157" s="18"/>
    </row>
    <row r="158" spans="2:3" x14ac:dyDescent="0.25">
      <c r="B158" s="12"/>
      <c r="C158" s="18"/>
    </row>
    <row r="159" spans="2:3" x14ac:dyDescent="0.25">
      <c r="B159" s="12"/>
      <c r="C159" s="18"/>
    </row>
    <row r="160" spans="2:3" x14ac:dyDescent="0.25">
      <c r="B160" s="12"/>
      <c r="C160" s="18"/>
    </row>
    <row r="161" spans="2:3" x14ac:dyDescent="0.25">
      <c r="B161" s="12"/>
      <c r="C161" s="18"/>
    </row>
    <row r="162" spans="2:3" x14ac:dyDescent="0.25">
      <c r="B162" s="12"/>
      <c r="C162" s="18"/>
    </row>
    <row r="163" spans="2:3" x14ac:dyDescent="0.25">
      <c r="B163" s="12"/>
      <c r="C163" s="18"/>
    </row>
    <row r="164" spans="2:3" x14ac:dyDescent="0.25">
      <c r="B164" s="12"/>
      <c r="C164" s="18"/>
    </row>
    <row r="165" spans="2:3" x14ac:dyDescent="0.25">
      <c r="B165" s="12"/>
      <c r="C165" s="18"/>
    </row>
    <row r="166" spans="2:3" x14ac:dyDescent="0.25">
      <c r="B166" s="12"/>
      <c r="C166" s="18"/>
    </row>
    <row r="167" spans="2:3" x14ac:dyDescent="0.25">
      <c r="B167" s="12"/>
      <c r="C167" s="18"/>
    </row>
    <row r="168" spans="2:3" x14ac:dyDescent="0.25">
      <c r="B168" s="12"/>
      <c r="C168" s="18"/>
    </row>
    <row r="169" spans="2:3" x14ac:dyDescent="0.25">
      <c r="B169" s="12"/>
      <c r="C169" s="18"/>
    </row>
    <row r="170" spans="2:3" x14ac:dyDescent="0.25">
      <c r="B170" s="12"/>
      <c r="C170" s="18"/>
    </row>
    <row r="171" spans="2:3" x14ac:dyDescent="0.25">
      <c r="B171" s="12"/>
      <c r="C171" s="18"/>
    </row>
    <row r="172" spans="2:3" x14ac:dyDescent="0.25">
      <c r="B172" s="12"/>
      <c r="C172" s="18"/>
    </row>
    <row r="173" spans="2:3" x14ac:dyDescent="0.25">
      <c r="B173" s="12"/>
      <c r="C173" s="18"/>
    </row>
    <row r="174" spans="2:3" x14ac:dyDescent="0.25">
      <c r="B174" s="12"/>
      <c r="C174" s="18"/>
    </row>
    <row r="175" spans="2:3" x14ac:dyDescent="0.25">
      <c r="B175" s="12"/>
      <c r="C175" s="18"/>
    </row>
    <row r="176" spans="2:3" x14ac:dyDescent="0.25">
      <c r="B176" s="12"/>
      <c r="C176" s="18"/>
    </row>
    <row r="177" spans="2:3" x14ac:dyDescent="0.25">
      <c r="B177" s="12"/>
      <c r="C177" s="18"/>
    </row>
    <row r="178" spans="2:3" x14ac:dyDescent="0.25">
      <c r="B178" s="12"/>
      <c r="C178" s="18"/>
    </row>
    <row r="179" spans="2:3" x14ac:dyDescent="0.25">
      <c r="B179" s="12"/>
      <c r="C179" s="18"/>
    </row>
    <row r="180" spans="2:3" x14ac:dyDescent="0.25">
      <c r="B180" s="12"/>
      <c r="C180" s="18"/>
    </row>
    <row r="181" spans="2:3" x14ac:dyDescent="0.25">
      <c r="B181" s="12"/>
      <c r="C181" s="18"/>
    </row>
    <row r="182" spans="2:3" x14ac:dyDescent="0.25">
      <c r="B182" s="12"/>
      <c r="C182" s="18"/>
    </row>
    <row r="183" spans="2:3" x14ac:dyDescent="0.25">
      <c r="B183" s="12"/>
      <c r="C183" s="18"/>
    </row>
    <row r="184" spans="2:3" x14ac:dyDescent="0.25">
      <c r="B184" s="12"/>
      <c r="C184" s="18"/>
    </row>
    <row r="185" spans="2:3" x14ac:dyDescent="0.25">
      <c r="B185" s="12"/>
      <c r="C185" s="18"/>
    </row>
    <row r="186" spans="2:3" x14ac:dyDescent="0.25">
      <c r="B186" s="12"/>
      <c r="C186" s="18"/>
    </row>
    <row r="187" spans="2:3" x14ac:dyDescent="0.25">
      <c r="B187" s="12"/>
      <c r="C187" s="18"/>
    </row>
    <row r="188" spans="2:3" x14ac:dyDescent="0.25">
      <c r="B188" s="12"/>
      <c r="C188" s="18"/>
    </row>
    <row r="189" spans="2:3" x14ac:dyDescent="0.25">
      <c r="B189" s="12"/>
      <c r="C189" s="18"/>
    </row>
    <row r="190" spans="2:3" x14ac:dyDescent="0.25">
      <c r="B190" s="12"/>
      <c r="C190" s="18"/>
    </row>
    <row r="191" spans="2:3" x14ac:dyDescent="0.25">
      <c r="B191" s="12"/>
      <c r="C191" s="18"/>
    </row>
    <row r="192" spans="2:3" x14ac:dyDescent="0.25">
      <c r="B192" s="12"/>
      <c r="C192" s="18"/>
    </row>
    <row r="193" spans="2:3" x14ac:dyDescent="0.25">
      <c r="B193" s="12"/>
      <c r="C193" s="18"/>
    </row>
    <row r="194" spans="2:3" x14ac:dyDescent="0.25">
      <c r="B194" s="12"/>
      <c r="C194" s="18"/>
    </row>
    <row r="195" spans="2:3" x14ac:dyDescent="0.25">
      <c r="B195" s="12"/>
      <c r="C195" s="18"/>
    </row>
    <row r="196" spans="2:3" x14ac:dyDescent="0.25">
      <c r="B196" s="12"/>
      <c r="C196" s="18"/>
    </row>
    <row r="197" spans="2:3" x14ac:dyDescent="0.25">
      <c r="B197" s="12"/>
      <c r="C197" s="18"/>
    </row>
    <row r="198" spans="2:3" x14ac:dyDescent="0.25">
      <c r="B198" s="12"/>
      <c r="C198" s="18"/>
    </row>
    <row r="199" spans="2:3" x14ac:dyDescent="0.25">
      <c r="B199" s="12"/>
      <c r="C199" s="18"/>
    </row>
    <row r="200" spans="2:3" x14ac:dyDescent="0.25">
      <c r="B200" s="12"/>
      <c r="C200" s="18"/>
    </row>
    <row r="201" spans="2:3" x14ac:dyDescent="0.25">
      <c r="B201" s="12"/>
      <c r="C201" s="18"/>
    </row>
    <row r="202" spans="2:3" x14ac:dyDescent="0.25">
      <c r="B202" s="12"/>
      <c r="C202" s="18"/>
    </row>
    <row r="203" spans="2:3" x14ac:dyDescent="0.25">
      <c r="B203" s="12"/>
      <c r="C203" s="18"/>
    </row>
    <row r="204" spans="2:3" x14ac:dyDescent="0.25">
      <c r="B204" s="12"/>
      <c r="C204" s="18"/>
    </row>
    <row r="205" spans="2:3" x14ac:dyDescent="0.25">
      <c r="B205" s="12"/>
      <c r="C205" s="18"/>
    </row>
    <row r="206" spans="2:3" x14ac:dyDescent="0.25">
      <c r="B206" s="12"/>
      <c r="C206" s="18"/>
    </row>
    <row r="207" spans="2:3" x14ac:dyDescent="0.25">
      <c r="B207" s="12"/>
      <c r="C207" s="18"/>
    </row>
    <row r="208" spans="2:3" x14ac:dyDescent="0.25">
      <c r="B208" s="12"/>
      <c r="C208" s="18"/>
    </row>
    <row r="209" spans="2:3" x14ac:dyDescent="0.25">
      <c r="B209" s="12"/>
      <c r="C209" s="18"/>
    </row>
    <row r="210" spans="2:3" x14ac:dyDescent="0.25">
      <c r="B210" s="12"/>
      <c r="C210" s="18"/>
    </row>
    <row r="211" spans="2:3" x14ac:dyDescent="0.25">
      <c r="B211" s="12"/>
      <c r="C211" s="18"/>
    </row>
    <row r="212" spans="2:3" x14ac:dyDescent="0.25">
      <c r="B212" s="12"/>
      <c r="C212" s="18"/>
    </row>
    <row r="213" spans="2:3" x14ac:dyDescent="0.25">
      <c r="B213" s="12"/>
      <c r="C213" s="18"/>
    </row>
    <row r="214" spans="2:3" x14ac:dyDescent="0.25">
      <c r="B214" s="12"/>
      <c r="C214" s="18"/>
    </row>
    <row r="215" spans="2:3" x14ac:dyDescent="0.25">
      <c r="B215" s="12"/>
      <c r="C215" s="18"/>
    </row>
    <row r="216" spans="2:3" x14ac:dyDescent="0.25">
      <c r="B216" s="12"/>
      <c r="C216" s="18"/>
    </row>
    <row r="217" spans="2:3" x14ac:dyDescent="0.25">
      <c r="B217" s="12"/>
      <c r="C217" s="18"/>
    </row>
    <row r="218" spans="2:3" x14ac:dyDescent="0.25">
      <c r="B218" s="12"/>
      <c r="C218" s="18"/>
    </row>
    <row r="219" spans="2:3" x14ac:dyDescent="0.25">
      <c r="B219" s="12"/>
      <c r="C219" s="18"/>
    </row>
    <row r="220" spans="2:3" x14ac:dyDescent="0.25">
      <c r="B220" s="12"/>
      <c r="C220" s="18"/>
    </row>
    <row r="221" spans="2:3" x14ac:dyDescent="0.25">
      <c r="B221" s="12"/>
      <c r="C221" s="18"/>
    </row>
    <row r="222" spans="2:3" x14ac:dyDescent="0.25">
      <c r="B222" s="12"/>
      <c r="C222" s="18"/>
    </row>
    <row r="223" spans="2:3" x14ac:dyDescent="0.25">
      <c r="B223" s="12"/>
      <c r="C223" s="18"/>
    </row>
    <row r="224" spans="2:3" x14ac:dyDescent="0.25">
      <c r="B224" s="12"/>
      <c r="C224" s="18"/>
    </row>
    <row r="225" spans="2:3" x14ac:dyDescent="0.25">
      <c r="B225" s="12"/>
      <c r="C225" s="18"/>
    </row>
    <row r="226" spans="2:3" x14ac:dyDescent="0.25">
      <c r="B226" s="12"/>
      <c r="C226" s="18"/>
    </row>
    <row r="227" spans="2:3" x14ac:dyDescent="0.25">
      <c r="B227" s="12"/>
      <c r="C227" s="18"/>
    </row>
    <row r="228" spans="2:3" x14ac:dyDescent="0.25">
      <c r="B228" s="12"/>
      <c r="C228" s="18"/>
    </row>
    <row r="229" spans="2:3" x14ac:dyDescent="0.25">
      <c r="B229" s="12"/>
      <c r="C229" s="18"/>
    </row>
    <row r="230" spans="2:3" x14ac:dyDescent="0.25">
      <c r="B230" s="12"/>
      <c r="C230" s="18"/>
    </row>
    <row r="231" spans="2:3" x14ac:dyDescent="0.25">
      <c r="B231" s="12"/>
      <c r="C231" s="18"/>
    </row>
    <row r="232" spans="2:3" x14ac:dyDescent="0.25">
      <c r="B232" s="12"/>
      <c r="C232" s="18"/>
    </row>
    <row r="233" spans="2:3" x14ac:dyDescent="0.25">
      <c r="B233" s="12"/>
      <c r="C233" s="18"/>
    </row>
    <row r="234" spans="2:3" x14ac:dyDescent="0.25">
      <c r="B234" s="12"/>
      <c r="C234" s="18"/>
    </row>
    <row r="235" spans="2:3" x14ac:dyDescent="0.25">
      <c r="B235" s="12"/>
      <c r="C235" s="18"/>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146"/>
  <sheetViews>
    <sheetView workbookViewId="0">
      <selection activeCell="D1" sqref="D1"/>
    </sheetView>
  </sheetViews>
  <sheetFormatPr defaultRowHeight="15" x14ac:dyDescent="0.25"/>
  <cols>
    <col min="1" max="1" width="5.5703125" customWidth="1"/>
    <col min="2" max="2" width="12.85546875"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38</v>
      </c>
      <c r="B1" s="1" t="s">
        <v>51</v>
      </c>
      <c r="C1" s="1" t="s">
        <v>0</v>
      </c>
      <c r="D1" s="1" t="s">
        <v>88</v>
      </c>
      <c r="H1" s="142" t="s">
        <v>89</v>
      </c>
      <c r="I1" s="143"/>
      <c r="J1" s="143"/>
      <c r="K1" s="143"/>
      <c r="L1" s="143"/>
      <c r="M1" s="144"/>
    </row>
    <row r="2" spans="1:13" ht="15.75" thickBot="1" x14ac:dyDescent="0.3">
      <c r="B2" s="12">
        <v>45411</v>
      </c>
      <c r="C2" s="18">
        <v>17.610001</v>
      </c>
      <c r="D2" s="116">
        <f>C2/C3-1</f>
        <v>-1.5100560128666785E-2</v>
      </c>
      <c r="H2" s="54"/>
      <c r="I2" s="55"/>
      <c r="J2" s="55"/>
      <c r="K2" s="55"/>
      <c r="L2" s="55"/>
      <c r="M2" s="56"/>
    </row>
    <row r="3" spans="1:13" ht="15.75" thickBot="1" x14ac:dyDescent="0.3">
      <c r="B3" s="12">
        <v>45404</v>
      </c>
      <c r="C3" s="18">
        <v>17.879999000000002</v>
      </c>
      <c r="D3" s="116">
        <f t="shared" ref="D3:D66" si="0">C3/C4-1</f>
        <v>7.5165368320226689E-2</v>
      </c>
      <c r="H3" s="57" t="s">
        <v>90</v>
      </c>
      <c r="I3" s="58" t="s">
        <v>91</v>
      </c>
      <c r="J3" s="59" t="s">
        <v>92</v>
      </c>
      <c r="K3" s="60" t="s">
        <v>93</v>
      </c>
      <c r="L3" s="60" t="s">
        <v>94</v>
      </c>
      <c r="M3" s="61" t="s">
        <v>95</v>
      </c>
    </row>
    <row r="4" spans="1:13" x14ac:dyDescent="0.25">
      <c r="B4" s="12">
        <v>45397</v>
      </c>
      <c r="C4" s="18">
        <v>16.629999000000002</v>
      </c>
      <c r="D4" s="116">
        <f t="shared" si="0"/>
        <v>-7.456872980349083E-2</v>
      </c>
      <c r="H4" s="62">
        <f>$I$19-3*$I$23</f>
        <v>-0.29192372132421729</v>
      </c>
      <c r="I4" s="63">
        <f>H4</f>
        <v>-0.29192372132421729</v>
      </c>
      <c r="J4" s="64">
        <f>COUNTIF(D:D,"&lt;="&amp;H4)</f>
        <v>0</v>
      </c>
      <c r="K4" s="64" t="str">
        <f>"Less than "&amp;TEXT(H4,"0,00%")</f>
        <v>Less than -29,19%</v>
      </c>
      <c r="L4" s="65">
        <f>J4/$I$31</f>
        <v>0</v>
      </c>
      <c r="M4" s="66">
        <f>L4</f>
        <v>0</v>
      </c>
    </row>
    <row r="5" spans="1:13" x14ac:dyDescent="0.25">
      <c r="B5" s="12">
        <v>45390</v>
      </c>
      <c r="C5" s="18">
        <v>17.969999000000001</v>
      </c>
      <c r="D5" s="116">
        <f t="shared" si="0"/>
        <v>-2.3369619565217215E-2</v>
      </c>
      <c r="H5" s="67">
        <f>$I$19-2.4*$I$23</f>
        <v>-0.23361699174156278</v>
      </c>
      <c r="I5" s="68">
        <f>H5</f>
        <v>-0.23361699174156278</v>
      </c>
      <c r="J5" s="69">
        <f>COUNTIFS(D:D,"&lt;="&amp;H5,D:D,"&gt;"&amp;H4)</f>
        <v>0</v>
      </c>
      <c r="K5" s="70" t="str">
        <f t="shared" ref="K5:K14" si="1">TEXT(H4,"0,00%")&amp;" to "&amp;TEXT(H5,"0,00%")</f>
        <v>-29,19% to -23,36%</v>
      </c>
      <c r="L5" s="71">
        <f>J5/$I$31</f>
        <v>0</v>
      </c>
      <c r="M5" s="72">
        <f>M4+L5</f>
        <v>0</v>
      </c>
    </row>
    <row r="6" spans="1:13" x14ac:dyDescent="0.25">
      <c r="B6" s="12">
        <v>45383</v>
      </c>
      <c r="C6" s="18">
        <v>18.399999999999999</v>
      </c>
      <c r="D6" s="116">
        <f t="shared" si="0"/>
        <v>-8.5941335615565717E-2</v>
      </c>
      <c r="H6" s="67">
        <f>$I$19-1.8*$I$23</f>
        <v>-0.17531026215890833</v>
      </c>
      <c r="I6" s="68">
        <f t="shared" ref="I6:I14" si="2">H6</f>
        <v>-0.17531026215890833</v>
      </c>
      <c r="J6" s="69">
        <f t="shared" ref="J6:J14" si="3">COUNTIFS(D:D,"&lt;="&amp;H6,D:D,"&gt;"&amp;H5)</f>
        <v>2</v>
      </c>
      <c r="K6" s="70" t="str">
        <f t="shared" si="1"/>
        <v>-23,36% to -17,53%</v>
      </c>
      <c r="L6" s="71">
        <f t="shared" ref="L6:L15" si="4">J6/$I$31</f>
        <v>1.3888888888888888E-2</v>
      </c>
      <c r="M6" s="72">
        <f t="shared" ref="M6:M15" si="5">M5+L6</f>
        <v>1.3888888888888888E-2</v>
      </c>
    </row>
    <row r="7" spans="1:13" x14ac:dyDescent="0.25">
      <c r="B7" s="12">
        <v>45376</v>
      </c>
      <c r="C7" s="18">
        <v>20.129999000000002</v>
      </c>
      <c r="D7" s="116">
        <f t="shared" si="0"/>
        <v>0.10000000546448118</v>
      </c>
      <c r="H7" s="67">
        <f>$I$19-1.2*$I$23</f>
        <v>-0.11700353257625384</v>
      </c>
      <c r="I7" s="68">
        <f t="shared" si="2"/>
        <v>-0.11700353257625384</v>
      </c>
      <c r="J7" s="69">
        <f t="shared" si="3"/>
        <v>9</v>
      </c>
      <c r="K7" s="70" t="str">
        <f t="shared" si="1"/>
        <v>-17,53% to -11,70%</v>
      </c>
      <c r="L7" s="71">
        <f t="shared" si="4"/>
        <v>6.25E-2</v>
      </c>
      <c r="M7" s="72">
        <f t="shared" si="5"/>
        <v>7.6388888888888895E-2</v>
      </c>
    </row>
    <row r="8" spans="1:13" x14ac:dyDescent="0.25">
      <c r="B8" s="12">
        <v>45369</v>
      </c>
      <c r="C8" s="18">
        <v>18.299999</v>
      </c>
      <c r="D8" s="116">
        <f t="shared" si="0"/>
        <v>8.2644077134987892E-3</v>
      </c>
      <c r="H8" s="67">
        <f>$I$19-0.6*$I$23</f>
        <v>-5.8696802993599362E-2</v>
      </c>
      <c r="I8" s="68">
        <f t="shared" si="2"/>
        <v>-5.8696802993599362E-2</v>
      </c>
      <c r="J8" s="69">
        <f t="shared" si="3"/>
        <v>29</v>
      </c>
      <c r="K8" s="70" t="str">
        <f t="shared" si="1"/>
        <v>-11,70% to -5,87%</v>
      </c>
      <c r="L8" s="71">
        <f t="shared" si="4"/>
        <v>0.2013888888888889</v>
      </c>
      <c r="M8" s="72">
        <f t="shared" si="5"/>
        <v>0.27777777777777779</v>
      </c>
    </row>
    <row r="9" spans="1:13" x14ac:dyDescent="0.25">
      <c r="B9" s="12">
        <v>45362</v>
      </c>
      <c r="C9" s="18">
        <v>18.149999999999999</v>
      </c>
      <c r="D9" s="116">
        <f t="shared" si="0"/>
        <v>6.7647058823529393E-2</v>
      </c>
      <c r="H9" s="67">
        <f>$I$19</f>
        <v>-3.9007341094488696E-4</v>
      </c>
      <c r="I9" s="68">
        <f t="shared" si="2"/>
        <v>-3.9007341094488696E-4</v>
      </c>
      <c r="J9" s="69">
        <f t="shared" si="3"/>
        <v>35</v>
      </c>
      <c r="K9" s="70" t="str">
        <f t="shared" si="1"/>
        <v>-5,87% to -0,04%</v>
      </c>
      <c r="L9" s="71">
        <f t="shared" si="4"/>
        <v>0.24305555555555555</v>
      </c>
      <c r="M9" s="72">
        <f t="shared" si="5"/>
        <v>0.52083333333333337</v>
      </c>
    </row>
    <row r="10" spans="1:13" x14ac:dyDescent="0.25">
      <c r="B10" s="12">
        <v>45355</v>
      </c>
      <c r="C10" s="18">
        <v>17</v>
      </c>
      <c r="D10" s="116">
        <f t="shared" si="0"/>
        <v>2.5331724969843261E-2</v>
      </c>
      <c r="H10" s="67">
        <f>$I$19+0.6*$I$23</f>
        <v>5.7916656171709588E-2</v>
      </c>
      <c r="I10" s="68">
        <f t="shared" si="2"/>
        <v>5.7916656171709588E-2</v>
      </c>
      <c r="J10" s="69">
        <f t="shared" si="3"/>
        <v>36</v>
      </c>
      <c r="K10" s="70" t="str">
        <f t="shared" si="1"/>
        <v>-0,04% to 5,79%</v>
      </c>
      <c r="L10" s="71">
        <f t="shared" si="4"/>
        <v>0.25</v>
      </c>
      <c r="M10" s="72">
        <f t="shared" si="5"/>
        <v>0.77083333333333337</v>
      </c>
    </row>
    <row r="11" spans="1:13" x14ac:dyDescent="0.25">
      <c r="B11" s="12">
        <v>45348</v>
      </c>
      <c r="C11" s="18">
        <v>16.579999999999998</v>
      </c>
      <c r="D11" s="116">
        <f t="shared" si="0"/>
        <v>0.1450276243093922</v>
      </c>
      <c r="H11" s="67">
        <f>$I$19+1.2*$I$23</f>
        <v>0.11622338575436406</v>
      </c>
      <c r="I11" s="68">
        <f t="shared" si="2"/>
        <v>0.11622338575436406</v>
      </c>
      <c r="J11" s="69">
        <f t="shared" si="3"/>
        <v>20</v>
      </c>
      <c r="K11" s="70" t="str">
        <f t="shared" si="1"/>
        <v>5,79% to 11,62%</v>
      </c>
      <c r="L11" s="71">
        <f t="shared" si="4"/>
        <v>0.1388888888888889</v>
      </c>
      <c r="M11" s="72">
        <f t="shared" si="5"/>
        <v>0.90972222222222232</v>
      </c>
    </row>
    <row r="12" spans="1:13" x14ac:dyDescent="0.25">
      <c r="B12" s="12">
        <v>45341</v>
      </c>
      <c r="C12" s="18">
        <v>14.48</v>
      </c>
      <c r="D12" s="116">
        <f t="shared" si="0"/>
        <v>3.4285714285714253E-2</v>
      </c>
      <c r="H12" s="67">
        <f>$I$19+1.8*$I$23</f>
        <v>0.17453011533701857</v>
      </c>
      <c r="I12" s="68">
        <f t="shared" si="2"/>
        <v>0.17453011533701857</v>
      </c>
      <c r="J12" s="69">
        <f t="shared" si="3"/>
        <v>8</v>
      </c>
      <c r="K12" s="70" t="str">
        <f t="shared" si="1"/>
        <v>11,62% to 17,45%</v>
      </c>
      <c r="L12" s="71">
        <f t="shared" si="4"/>
        <v>5.5555555555555552E-2</v>
      </c>
      <c r="M12" s="72">
        <f t="shared" si="5"/>
        <v>0.9652777777777779</v>
      </c>
    </row>
    <row r="13" spans="1:13" x14ac:dyDescent="0.25">
      <c r="B13" s="12">
        <v>45334</v>
      </c>
      <c r="C13" s="18">
        <v>14</v>
      </c>
      <c r="D13" s="116">
        <f t="shared" si="0"/>
        <v>0.21212121212121215</v>
      </c>
      <c r="H13" s="67">
        <f>$I$19+2.4*$I$23</f>
        <v>0.23283684491967302</v>
      </c>
      <c r="I13" s="68">
        <f t="shared" si="2"/>
        <v>0.23283684491967302</v>
      </c>
      <c r="J13" s="69">
        <f t="shared" si="3"/>
        <v>3</v>
      </c>
      <c r="K13" s="70" t="str">
        <f t="shared" si="1"/>
        <v>17,45% to 23,28%</v>
      </c>
      <c r="L13" s="71">
        <f t="shared" si="4"/>
        <v>2.0833333333333332E-2</v>
      </c>
      <c r="M13" s="72">
        <f t="shared" si="5"/>
        <v>0.98611111111111127</v>
      </c>
    </row>
    <row r="14" spans="1:13" x14ac:dyDescent="0.25">
      <c r="B14" s="12">
        <v>45327</v>
      </c>
      <c r="C14" s="18">
        <v>11.55</v>
      </c>
      <c r="D14" s="116">
        <f t="shared" si="0"/>
        <v>5.7692307692307709E-2</v>
      </c>
      <c r="H14" s="67">
        <f>$I$19+3*$I$23</f>
        <v>0.29114357450232753</v>
      </c>
      <c r="I14" s="68">
        <f t="shared" si="2"/>
        <v>0.29114357450232753</v>
      </c>
      <c r="J14" s="69">
        <f t="shared" si="3"/>
        <v>1</v>
      </c>
      <c r="K14" s="70" t="str">
        <f t="shared" si="1"/>
        <v>23,28% to 29,11%</v>
      </c>
      <c r="L14" s="71">
        <f t="shared" si="4"/>
        <v>6.9444444444444441E-3</v>
      </c>
      <c r="M14" s="72">
        <f t="shared" si="5"/>
        <v>0.99305555555555569</v>
      </c>
    </row>
    <row r="15" spans="1:13" ht="15.75" thickBot="1" x14ac:dyDescent="0.3">
      <c r="B15" s="12">
        <v>45320</v>
      </c>
      <c r="C15" s="18">
        <v>10.92</v>
      </c>
      <c r="D15" s="116">
        <f t="shared" si="0"/>
        <v>1.2048192771084487E-2</v>
      </c>
      <c r="H15" s="73"/>
      <c r="I15" s="74" t="s">
        <v>96</v>
      </c>
      <c r="J15" s="74">
        <f>COUNTIF(D:D,"&gt;"&amp;H14)</f>
        <v>1</v>
      </c>
      <c r="K15" s="74" t="str">
        <f>"Greater than "&amp;TEXT(H14,"0,00%")</f>
        <v>Greater than 29,11%</v>
      </c>
      <c r="L15" s="75">
        <f t="shared" si="4"/>
        <v>6.9444444444444441E-3</v>
      </c>
      <c r="M15" s="75">
        <f t="shared" si="5"/>
        <v>1.0000000000000002</v>
      </c>
    </row>
    <row r="16" spans="1:13" ht="15.75" thickBot="1" x14ac:dyDescent="0.3">
      <c r="B16" s="12">
        <v>45313</v>
      </c>
      <c r="C16" s="18">
        <v>10.79</v>
      </c>
      <c r="D16" s="116">
        <f t="shared" si="0"/>
        <v>7.4696545284778093E-3</v>
      </c>
      <c r="H16" s="76"/>
      <c r="M16" s="77"/>
    </row>
    <row r="17" spans="2:13" x14ac:dyDescent="0.25">
      <c r="B17" s="12">
        <v>45306</v>
      </c>
      <c r="C17" s="18">
        <v>10.71</v>
      </c>
      <c r="D17" s="116">
        <f t="shared" si="0"/>
        <v>-2.8130671506351956E-2</v>
      </c>
      <c r="H17" s="145" t="s">
        <v>127</v>
      </c>
      <c r="I17" s="146"/>
      <c r="M17" s="77"/>
    </row>
    <row r="18" spans="2:13" x14ac:dyDescent="0.25">
      <c r="B18" s="12">
        <v>45299</v>
      </c>
      <c r="C18" s="18">
        <v>11.02</v>
      </c>
      <c r="D18" s="116">
        <f t="shared" si="0"/>
        <v>-7.3170731707317138E-2</v>
      </c>
      <c r="H18" s="147"/>
      <c r="I18" s="148"/>
      <c r="M18" s="77"/>
    </row>
    <row r="19" spans="2:13" x14ac:dyDescent="0.25">
      <c r="B19" s="12">
        <v>45292</v>
      </c>
      <c r="C19" s="18">
        <v>11.89</v>
      </c>
      <c r="D19" s="116">
        <f t="shared" si="0"/>
        <v>-6.6718995290423799E-2</v>
      </c>
      <c r="H19" s="78" t="s">
        <v>97</v>
      </c>
      <c r="I19" s="114">
        <f>AVERAGE(D:D)</f>
        <v>-3.9007341094488696E-4</v>
      </c>
      <c r="M19" s="77"/>
    </row>
    <row r="20" spans="2:13" x14ac:dyDescent="0.25">
      <c r="B20" s="12">
        <v>45285</v>
      </c>
      <c r="C20" s="18">
        <v>12.74</v>
      </c>
      <c r="D20" s="116">
        <f t="shared" si="0"/>
        <v>-1.6216216216216162E-2</v>
      </c>
      <c r="H20" s="78" t="s">
        <v>98</v>
      </c>
      <c r="I20" s="114">
        <f>_xlfn.STDEV.S(D:D)/SQRT(COUNT(D:D))</f>
        <v>8.0981568864797893E-3</v>
      </c>
      <c r="M20" s="77"/>
    </row>
    <row r="21" spans="2:13" x14ac:dyDescent="0.25">
      <c r="B21" s="12">
        <v>45278</v>
      </c>
      <c r="C21" s="18">
        <v>12.95</v>
      </c>
      <c r="D21" s="116">
        <f t="shared" si="0"/>
        <v>0.10778443113772451</v>
      </c>
      <c r="H21" s="78" t="s">
        <v>99</v>
      </c>
      <c r="I21" s="114">
        <f>MEDIAN(D:D)</f>
        <v>-2.6075652274316075E-3</v>
      </c>
      <c r="M21" s="77"/>
    </row>
    <row r="22" spans="2:13" x14ac:dyDescent="0.25">
      <c r="B22" s="12">
        <v>45271</v>
      </c>
      <c r="C22" s="18">
        <v>11.69</v>
      </c>
      <c r="D22" s="116">
        <f t="shared" si="0"/>
        <v>-3.4100596760444635E-3</v>
      </c>
      <c r="H22" s="78" t="s">
        <v>100</v>
      </c>
      <c r="I22" s="114" t="e">
        <f>MODE(D:D)</f>
        <v>#N/A</v>
      </c>
      <c r="M22" s="77"/>
    </row>
    <row r="23" spans="2:13" x14ac:dyDescent="0.25">
      <c r="B23" s="12">
        <v>45264</v>
      </c>
      <c r="C23" s="18">
        <v>11.73</v>
      </c>
      <c r="D23" s="116">
        <f t="shared" si="0"/>
        <v>0.25858369098712441</v>
      </c>
      <c r="H23" s="78" t="s">
        <v>101</v>
      </c>
      <c r="I23" s="114">
        <f>_xlfn.STDEV.S(D:D)</f>
        <v>9.7177882637757465E-2</v>
      </c>
      <c r="M23" s="77"/>
    </row>
    <row r="24" spans="2:13" x14ac:dyDescent="0.25">
      <c r="B24" s="12">
        <v>45257</v>
      </c>
      <c r="C24" s="18">
        <v>9.32</v>
      </c>
      <c r="D24" s="116">
        <f t="shared" si="0"/>
        <v>0.12424607961399281</v>
      </c>
      <c r="H24" s="78" t="s">
        <v>102</v>
      </c>
      <c r="I24" s="114">
        <f>_xlfn.VAR.S(D:D)</f>
        <v>9.4435408739577641E-3</v>
      </c>
      <c r="M24" s="77"/>
    </row>
    <row r="25" spans="2:13" x14ac:dyDescent="0.25">
      <c r="B25" s="12">
        <v>45250</v>
      </c>
      <c r="C25" s="18">
        <v>8.2899999999999991</v>
      </c>
      <c r="D25" s="116">
        <f t="shared" si="0"/>
        <v>2.3456790123456805E-2</v>
      </c>
      <c r="H25" s="78" t="s">
        <v>103</v>
      </c>
      <c r="I25" s="115">
        <f>KURT(D:D)</f>
        <v>7.2394190538589944</v>
      </c>
      <c r="M25" s="77"/>
    </row>
    <row r="26" spans="2:13" x14ac:dyDescent="0.25">
      <c r="B26" s="12">
        <v>45243</v>
      </c>
      <c r="C26" s="18">
        <v>8.1</v>
      </c>
      <c r="D26" s="116">
        <f t="shared" si="0"/>
        <v>-1.5795868772782606E-2</v>
      </c>
      <c r="H26" s="78" t="s">
        <v>104</v>
      </c>
      <c r="I26" s="115">
        <f>SKEW(D:D)</f>
        <v>1.4890731434546625</v>
      </c>
      <c r="M26" s="77"/>
    </row>
    <row r="27" spans="2:13" x14ac:dyDescent="0.25">
      <c r="B27" s="12">
        <v>45236</v>
      </c>
      <c r="C27" s="18">
        <v>8.23</v>
      </c>
      <c r="D27" s="116">
        <f t="shared" si="0"/>
        <v>-0.15067079463364286</v>
      </c>
      <c r="H27" s="78" t="s">
        <v>93</v>
      </c>
      <c r="I27" s="114">
        <f>I29-I28</f>
        <v>0.79315886470999364</v>
      </c>
      <c r="M27" s="77"/>
    </row>
    <row r="28" spans="2:13" x14ac:dyDescent="0.25">
      <c r="B28" s="12">
        <v>45229</v>
      </c>
      <c r="C28" s="18">
        <v>9.69</v>
      </c>
      <c r="D28" s="116">
        <f t="shared" si="0"/>
        <v>8.8764044943820064E-2</v>
      </c>
      <c r="H28" s="78" t="s">
        <v>105</v>
      </c>
      <c r="I28" s="114">
        <f>MIN(D:D)</f>
        <v>-0.2281518982808024</v>
      </c>
      <c r="M28" s="77"/>
    </row>
    <row r="29" spans="2:13" x14ac:dyDescent="0.25">
      <c r="B29" s="12">
        <v>45222</v>
      </c>
      <c r="C29" s="18">
        <v>8.9</v>
      </c>
      <c r="D29" s="116">
        <f t="shared" si="0"/>
        <v>-2.5191675794085433E-2</v>
      </c>
      <c r="H29" s="78" t="s">
        <v>106</v>
      </c>
      <c r="I29" s="114">
        <f>MAX(D:D)</f>
        <v>0.56500696642919124</v>
      </c>
      <c r="M29" s="77"/>
    </row>
    <row r="30" spans="2:13" x14ac:dyDescent="0.25">
      <c r="B30" s="12">
        <v>45215</v>
      </c>
      <c r="C30" s="18">
        <v>9.1300000000000008</v>
      </c>
      <c r="D30" s="116">
        <f t="shared" si="0"/>
        <v>-1.094091903719896E-3</v>
      </c>
      <c r="H30" s="78" t="s">
        <v>107</v>
      </c>
      <c r="I30" s="115">
        <f>SUM(D:D)</f>
        <v>-5.6170571176063722E-2</v>
      </c>
      <c r="M30" s="77"/>
    </row>
    <row r="31" spans="2:13" ht="15.75" thickBot="1" x14ac:dyDescent="0.3">
      <c r="B31" s="12">
        <v>45208</v>
      </c>
      <c r="C31" s="18">
        <v>9.14</v>
      </c>
      <c r="D31" s="116">
        <f t="shared" si="0"/>
        <v>-7.9556898288016042E-2</v>
      </c>
      <c r="H31" s="79" t="s">
        <v>108</v>
      </c>
      <c r="I31" s="56">
        <f>COUNT(D:D)</f>
        <v>144</v>
      </c>
      <c r="M31" s="77"/>
    </row>
    <row r="32" spans="2:13" ht="15.75" thickBot="1" x14ac:dyDescent="0.3">
      <c r="B32" s="12">
        <v>45201</v>
      </c>
      <c r="C32" s="18">
        <v>9.93</v>
      </c>
      <c r="D32" s="116">
        <f t="shared" si="0"/>
        <v>1.2232415902140525E-2</v>
      </c>
      <c r="H32" s="81"/>
      <c r="M32" s="77"/>
    </row>
    <row r="33" spans="2:13" x14ac:dyDescent="0.25">
      <c r="B33" s="12">
        <v>45194</v>
      </c>
      <c r="C33" s="18">
        <v>9.81</v>
      </c>
      <c r="D33" s="116">
        <f t="shared" si="0"/>
        <v>1.1340206185567192E-2</v>
      </c>
      <c r="H33" s="82"/>
      <c r="I33" s="83" t="s">
        <v>109</v>
      </c>
      <c r="J33" s="83" t="s">
        <v>108</v>
      </c>
      <c r="K33" s="83" t="s">
        <v>110</v>
      </c>
      <c r="L33" s="84" t="s">
        <v>111</v>
      </c>
      <c r="M33" s="77"/>
    </row>
    <row r="34" spans="2:13" x14ac:dyDescent="0.25">
      <c r="B34" s="12">
        <v>45187</v>
      </c>
      <c r="C34" s="18">
        <v>9.6999999999999993</v>
      </c>
      <c r="D34" s="116">
        <f t="shared" si="0"/>
        <v>-9.0909090909090939E-2</v>
      </c>
      <c r="H34" s="85" t="s">
        <v>112</v>
      </c>
      <c r="I34" s="71">
        <f>AVERAGEIF(D:D,"&gt;0")</f>
        <v>7.426133683854004E-2</v>
      </c>
      <c r="J34" s="69">
        <f>COUNTIF(D:D,"&gt;0")</f>
        <v>68</v>
      </c>
      <c r="K34" s="71">
        <f>J34/$I$31</f>
        <v>0.47222222222222221</v>
      </c>
      <c r="L34" s="72">
        <f>K34*I34</f>
        <v>3.5067853507088353E-2</v>
      </c>
      <c r="M34" s="77"/>
    </row>
    <row r="35" spans="2:13" x14ac:dyDescent="0.25">
      <c r="B35" s="12">
        <v>45180</v>
      </c>
      <c r="C35" s="18">
        <v>10.67</v>
      </c>
      <c r="D35" s="116">
        <f t="shared" si="0"/>
        <v>-6.5176908752327956E-3</v>
      </c>
      <c r="H35" s="85" t="s">
        <v>113</v>
      </c>
      <c r="I35" s="71">
        <f>AVERAGEIF(D:D,"&lt;0")</f>
        <v>-6.8079219682623815E-2</v>
      </c>
      <c r="J35" s="69">
        <f>COUNTIF(D:D,"&lt;0")</f>
        <v>75</v>
      </c>
      <c r="K35" s="71">
        <f>J35/$I$31</f>
        <v>0.52083333333333337</v>
      </c>
      <c r="L35" s="72">
        <f t="shared" ref="L35:L36" si="6">K35*I35</f>
        <v>-3.545792691803324E-2</v>
      </c>
      <c r="M35" s="77"/>
    </row>
    <row r="36" spans="2:13" ht="15.75" thickBot="1" x14ac:dyDescent="0.3">
      <c r="B36" s="12">
        <v>45173</v>
      </c>
      <c r="C36" s="18">
        <v>10.74</v>
      </c>
      <c r="D36" s="116">
        <f t="shared" si="0"/>
        <v>-3.3303330333033232E-2</v>
      </c>
      <c r="H36" s="86" t="s">
        <v>114</v>
      </c>
      <c r="I36" s="74">
        <v>0</v>
      </c>
      <c r="J36" s="74">
        <f>COUNTIF(D:D,"0")</f>
        <v>1</v>
      </c>
      <c r="K36" s="87">
        <f>J36/$I$31</f>
        <v>6.9444444444444441E-3</v>
      </c>
      <c r="L36" s="75">
        <f t="shared" si="6"/>
        <v>0</v>
      </c>
      <c r="M36" s="77"/>
    </row>
    <row r="37" spans="2:13" ht="15.75" thickBot="1" x14ac:dyDescent="0.3">
      <c r="B37" s="12">
        <v>45166</v>
      </c>
      <c r="C37" s="18">
        <v>11.11</v>
      </c>
      <c r="D37" s="116">
        <f t="shared" si="0"/>
        <v>5.4079696394687016E-2</v>
      </c>
      <c r="H37" s="81"/>
      <c r="I37" s="88"/>
      <c r="J37" s="88"/>
      <c r="K37" s="88"/>
      <c r="L37" s="88"/>
      <c r="M37" s="77"/>
    </row>
    <row r="38" spans="2:13" x14ac:dyDescent="0.25">
      <c r="B38" s="12">
        <v>45159</v>
      </c>
      <c r="C38" s="18">
        <v>10.54</v>
      </c>
      <c r="D38" s="116">
        <f t="shared" si="0"/>
        <v>2.8292682926829293E-2</v>
      </c>
      <c r="H38" s="62" t="s">
        <v>115</v>
      </c>
      <c r="I38" s="83" t="s">
        <v>116</v>
      </c>
      <c r="J38" s="83" t="s">
        <v>117</v>
      </c>
      <c r="K38" s="83" t="s">
        <v>118</v>
      </c>
      <c r="L38" s="83" t="s">
        <v>119</v>
      </c>
      <c r="M38" s="84" t="s">
        <v>120</v>
      </c>
    </row>
    <row r="39" spans="2:13" x14ac:dyDescent="0.25">
      <c r="B39" s="12">
        <v>45152</v>
      </c>
      <c r="C39" s="18">
        <v>10.25</v>
      </c>
      <c r="D39" s="116">
        <f t="shared" si="0"/>
        <v>-4.3843283582089554E-2</v>
      </c>
      <c r="H39" s="89">
        <v>1</v>
      </c>
      <c r="I39" s="71">
        <f>$I$19+($H39*$I$23)</f>
        <v>9.6787809226812571E-2</v>
      </c>
      <c r="J39" s="71">
        <f>$I$19-($H39*$I$23)</f>
        <v>-9.7567956048702359E-2</v>
      </c>
      <c r="K39" s="69">
        <f>COUNTIFS(D:D,"&lt;"&amp;I39,D:D,"&gt;"&amp;J39)</f>
        <v>109</v>
      </c>
      <c r="L39" s="71">
        <f>K39/$I$31</f>
        <v>0.75694444444444442</v>
      </c>
      <c r="M39" s="72">
        <v>0.68269999999999997</v>
      </c>
    </row>
    <row r="40" spans="2:13" x14ac:dyDescent="0.25">
      <c r="B40" s="12">
        <v>45145</v>
      </c>
      <c r="C40" s="18">
        <v>10.72</v>
      </c>
      <c r="D40" s="116">
        <f t="shared" si="0"/>
        <v>-4.9645390070921835E-2</v>
      </c>
      <c r="H40" s="89">
        <v>2</v>
      </c>
      <c r="I40" s="71">
        <f>$I$19+($H40*$I$23)</f>
        <v>0.19396569186457005</v>
      </c>
      <c r="J40" s="71">
        <f>$I$19-($H40*$I$23)</f>
        <v>-0.19474583868645981</v>
      </c>
      <c r="K40" s="69">
        <f>COUNTIFS(D:D,"&lt;"&amp;I40,D:D,"&gt;"&amp;J40)</f>
        <v>139</v>
      </c>
      <c r="L40" s="71">
        <f>K40/$I$31</f>
        <v>0.96527777777777779</v>
      </c>
      <c r="M40" s="72">
        <v>0.95450000000000002</v>
      </c>
    </row>
    <row r="41" spans="2:13" x14ac:dyDescent="0.25">
      <c r="B41" s="12">
        <v>45138</v>
      </c>
      <c r="C41" s="18">
        <v>11.28</v>
      </c>
      <c r="D41" s="116">
        <f t="shared" si="0"/>
        <v>-0.11390416339355858</v>
      </c>
      <c r="H41" s="89">
        <v>3</v>
      </c>
      <c r="I41" s="71">
        <f>$I$19+($H41*$I$23)</f>
        <v>0.29114357450232753</v>
      </c>
      <c r="J41" s="71">
        <f>$I$19-($H41*$I$23)</f>
        <v>-0.29192372132421729</v>
      </c>
      <c r="K41" s="69">
        <f>COUNTIFS(D:D,"&lt;"&amp;I41,D:D,"&gt;"&amp;J41)</f>
        <v>143</v>
      </c>
      <c r="L41" s="71">
        <f>K41/$I$31</f>
        <v>0.99305555555555558</v>
      </c>
      <c r="M41" s="90">
        <v>0.99729999999999996</v>
      </c>
    </row>
    <row r="42" spans="2:13" ht="15.75" thickBot="1" x14ac:dyDescent="0.3">
      <c r="B42" s="12">
        <v>45131</v>
      </c>
      <c r="C42" s="18">
        <v>12.73</v>
      </c>
      <c r="D42" s="116">
        <f t="shared" si="0"/>
        <v>-2.3510971786833146E-3</v>
      </c>
      <c r="H42" s="67"/>
      <c r="M42" s="90"/>
    </row>
    <row r="43" spans="2:13" ht="15.75" thickBot="1" x14ac:dyDescent="0.3">
      <c r="B43" s="12">
        <v>45124</v>
      </c>
      <c r="C43" s="18">
        <v>12.76</v>
      </c>
      <c r="D43" s="116">
        <f t="shared" si="0"/>
        <v>3.0694668820678395E-2</v>
      </c>
      <c r="H43" s="149" t="s">
        <v>121</v>
      </c>
      <c r="I43" s="150"/>
      <c r="J43" s="150"/>
      <c r="K43" s="150"/>
      <c r="L43" s="150"/>
      <c r="M43" s="151"/>
    </row>
    <row r="44" spans="2:13" x14ac:dyDescent="0.25">
      <c r="B44" s="12">
        <v>45117</v>
      </c>
      <c r="C44" s="18">
        <v>12.38</v>
      </c>
      <c r="D44" s="116">
        <f t="shared" si="0"/>
        <v>0.14735866543095466</v>
      </c>
      <c r="H44" s="91">
        <v>0.01</v>
      </c>
      <c r="I44" s="92">
        <f t="shared" ref="I44:I58" si="7">_xlfn.PERCENTILE.INC(D:D,H44)</f>
        <v>-0.17267815680384388</v>
      </c>
      <c r="J44" s="93">
        <v>0.2</v>
      </c>
      <c r="K44" s="92">
        <f t="shared" ref="K44:K56" si="8">_xlfn.PERCENTILE.INC(D:D,J44)</f>
        <v>-7.5136008218715578E-2</v>
      </c>
      <c r="L44" s="93">
        <v>0.85</v>
      </c>
      <c r="M44" s="94">
        <f t="shared" ref="M44:M58" si="9">_xlfn.PERCENTILE.INC(D:D,L44)</f>
        <v>8.0489456916210511E-2</v>
      </c>
    </row>
    <row r="45" spans="2:13" x14ac:dyDescent="0.25">
      <c r="B45" s="12">
        <v>45110</v>
      </c>
      <c r="C45" s="18">
        <v>10.79</v>
      </c>
      <c r="D45" s="116">
        <f t="shared" si="0"/>
        <v>8.1162324649298512E-2</v>
      </c>
      <c r="H45" s="95">
        <v>0.02</v>
      </c>
      <c r="I45" s="96">
        <f t="shared" si="7"/>
        <v>-0.15915502211074847</v>
      </c>
      <c r="J45" s="97">
        <v>0.25</v>
      </c>
      <c r="K45" s="96">
        <f t="shared" si="8"/>
        <v>-6.679496902404139E-2</v>
      </c>
      <c r="L45" s="97">
        <v>0.86</v>
      </c>
      <c r="M45" s="98">
        <f t="shared" si="9"/>
        <v>8.8612010537929664E-2</v>
      </c>
    </row>
    <row r="46" spans="2:13" x14ac:dyDescent="0.25">
      <c r="B46" s="12">
        <v>45103</v>
      </c>
      <c r="C46" s="18">
        <v>9.98</v>
      </c>
      <c r="D46" s="116">
        <f t="shared" si="0"/>
        <v>5.163329820864071E-2</v>
      </c>
      <c r="H46" s="95">
        <v>0.03</v>
      </c>
      <c r="I46" s="96">
        <f t="shared" si="7"/>
        <v>-0.15217577472554963</v>
      </c>
      <c r="J46" s="97">
        <v>0.3</v>
      </c>
      <c r="K46" s="96">
        <f t="shared" si="8"/>
        <v>-5.4004146429047953E-2</v>
      </c>
      <c r="L46" s="97">
        <v>0.87</v>
      </c>
      <c r="M46" s="98">
        <f t="shared" si="9"/>
        <v>9.0325630252100914E-2</v>
      </c>
    </row>
    <row r="47" spans="2:13" x14ac:dyDescent="0.25">
      <c r="B47" s="12">
        <v>45096</v>
      </c>
      <c r="C47" s="18">
        <v>9.49</v>
      </c>
      <c r="D47" s="116">
        <f t="shared" si="0"/>
        <v>-5.3838484546360865E-2</v>
      </c>
      <c r="H47" s="95">
        <v>0.04</v>
      </c>
      <c r="I47" s="96">
        <f t="shared" si="7"/>
        <v>-0.14897081050178212</v>
      </c>
      <c r="J47" s="97">
        <v>0.35</v>
      </c>
      <c r="K47" s="96">
        <f t="shared" si="8"/>
        <v>-4.3496583356072364E-2</v>
      </c>
      <c r="L47" s="97">
        <v>0.88</v>
      </c>
      <c r="M47" s="98">
        <f t="shared" si="9"/>
        <v>9.7952057072755852E-2</v>
      </c>
    </row>
    <row r="48" spans="2:13" x14ac:dyDescent="0.25">
      <c r="B48" s="12">
        <v>45089</v>
      </c>
      <c r="C48" s="18">
        <v>10.029999999999999</v>
      </c>
      <c r="D48" s="116">
        <f t="shared" si="0"/>
        <v>6.5887353878852251E-2</v>
      </c>
      <c r="H48" s="95">
        <v>0.05</v>
      </c>
      <c r="I48" s="96">
        <f t="shared" si="7"/>
        <v>-0.1469395976973239</v>
      </c>
      <c r="J48" s="97">
        <v>0.4</v>
      </c>
      <c r="K48" s="96">
        <f t="shared" si="8"/>
        <v>-2.7542872363898643E-2</v>
      </c>
      <c r="L48" s="97">
        <v>0.89</v>
      </c>
      <c r="M48" s="98">
        <f t="shared" si="9"/>
        <v>0.10006601865899793</v>
      </c>
    </row>
    <row r="49" spans="2:13" x14ac:dyDescent="0.25">
      <c r="B49" s="12">
        <v>45082</v>
      </c>
      <c r="C49" s="18">
        <v>9.41</v>
      </c>
      <c r="D49" s="116">
        <f t="shared" si="0"/>
        <v>7.4946466809422407E-3</v>
      </c>
      <c r="H49" s="95">
        <v>0.06</v>
      </c>
      <c r="I49" s="96">
        <f t="shared" si="7"/>
        <v>-0.13170002162579042</v>
      </c>
      <c r="J49" s="97">
        <v>0.45</v>
      </c>
      <c r="K49" s="96">
        <f t="shared" si="8"/>
        <v>-1.5552510747342064E-2</v>
      </c>
      <c r="L49" s="97">
        <v>0.9</v>
      </c>
      <c r="M49" s="98">
        <f t="shared" si="9"/>
        <v>0.10552245142965914</v>
      </c>
    </row>
    <row r="50" spans="2:13" x14ac:dyDescent="0.25">
      <c r="B50" s="12">
        <v>45075</v>
      </c>
      <c r="C50" s="18">
        <v>9.34</v>
      </c>
      <c r="D50" s="116">
        <f t="shared" si="0"/>
        <v>5.895691609977316E-2</v>
      </c>
      <c r="H50" s="95">
        <v>7.0000000000000007E-2</v>
      </c>
      <c r="I50" s="96">
        <f t="shared" si="7"/>
        <v>-0.12219847972593008</v>
      </c>
      <c r="J50" s="97">
        <v>0.5</v>
      </c>
      <c r="K50" s="96">
        <f t="shared" si="8"/>
        <v>-2.6075652274316075E-3</v>
      </c>
      <c r="L50" s="97">
        <v>0.91</v>
      </c>
      <c r="M50" s="98">
        <f t="shared" si="9"/>
        <v>0.1134373938457791</v>
      </c>
    </row>
    <row r="51" spans="2:13" x14ac:dyDescent="0.25">
      <c r="B51" s="12">
        <v>45068</v>
      </c>
      <c r="C51" s="18">
        <v>8.82</v>
      </c>
      <c r="D51" s="116">
        <f t="shared" si="0"/>
        <v>4.1322314049586639E-2</v>
      </c>
      <c r="H51" s="95">
        <v>0.08</v>
      </c>
      <c r="I51" s="96">
        <f t="shared" si="7"/>
        <v>-0.11664076579545353</v>
      </c>
      <c r="J51" s="97">
        <v>0.55000000000000004</v>
      </c>
      <c r="K51" s="96">
        <f t="shared" si="8"/>
        <v>7.4858994275796903E-3</v>
      </c>
      <c r="L51" s="97">
        <v>0.92</v>
      </c>
      <c r="M51" s="98">
        <f t="shared" si="9"/>
        <v>0.12036012971496847</v>
      </c>
    </row>
    <row r="52" spans="2:13" x14ac:dyDescent="0.25">
      <c r="B52" s="12">
        <v>45061</v>
      </c>
      <c r="C52" s="18">
        <v>8.4700000000000006</v>
      </c>
      <c r="D52" s="116">
        <f t="shared" si="0"/>
        <v>-3.0892448512585768E-2</v>
      </c>
      <c r="H52" s="95">
        <v>0.09</v>
      </c>
      <c r="I52" s="96">
        <f t="shared" si="7"/>
        <v>-0.11425076473428422</v>
      </c>
      <c r="J52" s="97">
        <v>0.6</v>
      </c>
      <c r="K52" s="96">
        <f t="shared" si="8"/>
        <v>1.3402603467398187E-2</v>
      </c>
      <c r="L52" s="97">
        <v>0.93</v>
      </c>
      <c r="M52" s="98">
        <f t="shared" si="9"/>
        <v>0.12422055003478412</v>
      </c>
    </row>
    <row r="53" spans="2:13" x14ac:dyDescent="0.25">
      <c r="B53" s="12">
        <v>45054</v>
      </c>
      <c r="C53" s="18">
        <v>8.74</v>
      </c>
      <c r="D53" s="116">
        <f t="shared" si="0"/>
        <v>-1.2429378531073398E-2</v>
      </c>
      <c r="H53" s="95">
        <v>0.1</v>
      </c>
      <c r="I53" s="96">
        <f t="shared" si="7"/>
        <v>-0.1109421921921922</v>
      </c>
      <c r="J53" s="97">
        <v>0.65</v>
      </c>
      <c r="K53" s="96">
        <f t="shared" si="8"/>
        <v>2.5209124266300346E-2</v>
      </c>
      <c r="L53" s="97">
        <v>0.94</v>
      </c>
      <c r="M53" s="98">
        <f t="shared" si="9"/>
        <v>0.1315556033709879</v>
      </c>
    </row>
    <row r="54" spans="2:13" x14ac:dyDescent="0.25">
      <c r="B54" s="12">
        <v>45047</v>
      </c>
      <c r="C54" s="18">
        <v>8.85</v>
      </c>
      <c r="D54" s="116">
        <f t="shared" si="0"/>
        <v>0</v>
      </c>
      <c r="H54" s="95">
        <v>0.11</v>
      </c>
      <c r="I54" s="96">
        <f t="shared" si="7"/>
        <v>-0.10027439676055674</v>
      </c>
      <c r="J54" s="97">
        <v>0.7</v>
      </c>
      <c r="K54" s="96">
        <f t="shared" si="8"/>
        <v>3.2146353369325344E-2</v>
      </c>
      <c r="L54" s="97">
        <v>0.95</v>
      </c>
      <c r="M54" s="98">
        <f t="shared" si="9"/>
        <v>0.14339182385824958</v>
      </c>
    </row>
    <row r="55" spans="2:13" x14ac:dyDescent="0.25">
      <c r="B55" s="12">
        <v>45040</v>
      </c>
      <c r="C55" s="18">
        <v>8.85</v>
      </c>
      <c r="D55" s="116">
        <f t="shared" si="0"/>
        <v>-8.195020746887971E-2</v>
      </c>
      <c r="H55" s="95">
        <v>0.12</v>
      </c>
      <c r="I55" s="96">
        <f t="shared" si="7"/>
        <v>-9.0747474747474771E-2</v>
      </c>
      <c r="J55" s="97">
        <v>0.75</v>
      </c>
      <c r="K55" s="96">
        <f t="shared" si="8"/>
        <v>5.2244897755152286E-2</v>
      </c>
      <c r="L55" s="97">
        <v>0.96</v>
      </c>
      <c r="M55" s="98">
        <f t="shared" si="9"/>
        <v>0.14786619491139233</v>
      </c>
    </row>
    <row r="56" spans="2:13" x14ac:dyDescent="0.25">
      <c r="B56" s="12">
        <v>45033</v>
      </c>
      <c r="C56" s="18">
        <v>9.64</v>
      </c>
      <c r="D56" s="116">
        <f t="shared" si="0"/>
        <v>-3.5999999999999921E-2</v>
      </c>
      <c r="H56" s="95">
        <v>0.13</v>
      </c>
      <c r="I56" s="96">
        <f t="shared" si="7"/>
        <v>-8.7563973871769646E-2</v>
      </c>
      <c r="J56" s="97">
        <v>0.8</v>
      </c>
      <c r="K56" s="96">
        <f t="shared" si="8"/>
        <v>6.469359969850573E-2</v>
      </c>
      <c r="L56" s="97">
        <v>0.97</v>
      </c>
      <c r="M56" s="98">
        <f t="shared" si="9"/>
        <v>0.17990538728283584</v>
      </c>
    </row>
    <row r="57" spans="2:13" x14ac:dyDescent="0.25">
      <c r="B57" s="12">
        <v>45026</v>
      </c>
      <c r="C57" s="18">
        <v>10</v>
      </c>
      <c r="D57" s="116">
        <f t="shared" si="0"/>
        <v>-9.9900099900096517E-4</v>
      </c>
      <c r="H57" s="95">
        <v>0.14000000000000001</v>
      </c>
      <c r="I57" s="96">
        <f t="shared" si="7"/>
        <v>-8.4213078223451657E-2</v>
      </c>
      <c r="J57" s="97"/>
      <c r="K57" s="96"/>
      <c r="L57" s="97">
        <v>0.98</v>
      </c>
      <c r="M57" s="98">
        <f t="shared" si="9"/>
        <v>0.21316834405763618</v>
      </c>
    </row>
    <row r="58" spans="2:13" ht="15.75" thickBot="1" x14ac:dyDescent="0.3">
      <c r="B58" s="12">
        <v>45019</v>
      </c>
      <c r="C58" s="18">
        <v>10.01</v>
      </c>
      <c r="D58" s="116">
        <f t="shared" si="0"/>
        <v>3.0895983522142068E-2</v>
      </c>
      <c r="H58" s="99">
        <v>0.15</v>
      </c>
      <c r="I58" s="100">
        <f t="shared" si="7"/>
        <v>-8.0902439987899324E-2</v>
      </c>
      <c r="J58" s="101"/>
      <c r="K58" s="80"/>
      <c r="L58" s="102">
        <v>0.99</v>
      </c>
      <c r="M58" s="103">
        <f t="shared" si="9"/>
        <v>0.24182101602237024</v>
      </c>
    </row>
    <row r="59" spans="2:13" ht="15.75" thickBot="1" x14ac:dyDescent="0.3">
      <c r="B59" s="12">
        <v>45012</v>
      </c>
      <c r="C59" s="18">
        <v>9.7100000000000009</v>
      </c>
      <c r="D59" s="116">
        <f t="shared" si="0"/>
        <v>0.11866359447004626</v>
      </c>
    </row>
    <row r="60" spans="2:13" x14ac:dyDescent="0.25">
      <c r="B60" s="12">
        <v>45005</v>
      </c>
      <c r="C60" s="18">
        <v>8.68</v>
      </c>
      <c r="D60" s="116">
        <f t="shared" si="0"/>
        <v>-5.5495103373231713E-2</v>
      </c>
      <c r="H60" s="104" t="s">
        <v>122</v>
      </c>
      <c r="I60" s="105"/>
    </row>
    <row r="61" spans="2:13" ht="15.75" thickBot="1" x14ac:dyDescent="0.3">
      <c r="B61" s="12">
        <v>44998</v>
      </c>
      <c r="C61" s="18">
        <v>9.19</v>
      </c>
      <c r="D61" s="116">
        <f t="shared" si="0"/>
        <v>1.9977802441731418E-2</v>
      </c>
      <c r="H61" s="106" t="s">
        <v>123</v>
      </c>
      <c r="I61" s="107"/>
    </row>
    <row r="62" spans="2:13" ht="15.75" thickBot="1" x14ac:dyDescent="0.3">
      <c r="B62" s="12">
        <v>44991</v>
      </c>
      <c r="C62" s="18">
        <v>9.01</v>
      </c>
      <c r="D62" s="116">
        <f t="shared" si="0"/>
        <v>-8.9898989898989923E-2</v>
      </c>
      <c r="H62" s="108"/>
    </row>
    <row r="63" spans="2:13" x14ac:dyDescent="0.25">
      <c r="B63" s="12">
        <v>44984</v>
      </c>
      <c r="C63" s="18">
        <v>9.9</v>
      </c>
      <c r="D63" s="116">
        <f t="shared" si="0"/>
        <v>3.2325338894682032E-2</v>
      </c>
      <c r="H63" s="104" t="s">
        <v>124</v>
      </c>
      <c r="I63" s="109"/>
    </row>
    <row r="64" spans="2:13" x14ac:dyDescent="0.25">
      <c r="B64" s="12">
        <v>44977</v>
      </c>
      <c r="C64" s="18">
        <v>9.59</v>
      </c>
      <c r="D64" s="116">
        <f t="shared" si="0"/>
        <v>-7.3429951690821227E-2</v>
      </c>
      <c r="H64" s="110" t="s">
        <v>125</v>
      </c>
      <c r="I64" s="111">
        <f>I63*(1-I60)</f>
        <v>0</v>
      </c>
    </row>
    <row r="65" spans="2:9" ht="15.75" thickBot="1" x14ac:dyDescent="0.3">
      <c r="B65" s="12">
        <v>44970</v>
      </c>
      <c r="C65" s="18">
        <v>10.35</v>
      </c>
      <c r="D65" s="116">
        <f t="shared" si="0"/>
        <v>3.7074148296593057E-2</v>
      </c>
      <c r="H65" s="106" t="s">
        <v>126</v>
      </c>
      <c r="I65" s="112">
        <f>I63*(1+I61)</f>
        <v>0</v>
      </c>
    </row>
    <row r="66" spans="2:9" x14ac:dyDescent="0.25">
      <c r="B66" s="12">
        <v>44963</v>
      </c>
      <c r="C66" s="18">
        <v>9.98</v>
      </c>
      <c r="D66" s="116">
        <f t="shared" si="0"/>
        <v>-7.0763500931098622E-2</v>
      </c>
    </row>
    <row r="67" spans="2:9" x14ac:dyDescent="0.25">
      <c r="B67" s="12">
        <v>44956</v>
      </c>
      <c r="C67" s="18">
        <v>10.74</v>
      </c>
      <c r="D67" s="116">
        <f t="shared" ref="D67:D130" si="10">C67/C68-1</f>
        <v>3.3686236766121258E-2</v>
      </c>
    </row>
    <row r="68" spans="2:9" x14ac:dyDescent="0.25">
      <c r="B68" s="12">
        <v>44949</v>
      </c>
      <c r="C68" s="18">
        <v>10.39</v>
      </c>
      <c r="D68" s="116">
        <f t="shared" si="10"/>
        <v>9.1386554621848859E-2</v>
      </c>
    </row>
    <row r="69" spans="2:9" x14ac:dyDescent="0.25">
      <c r="B69" s="12">
        <v>44942</v>
      </c>
      <c r="C69" s="18">
        <v>9.52</v>
      </c>
      <c r="D69" s="116">
        <f t="shared" si="10"/>
        <v>2.1459227467811148E-2</v>
      </c>
    </row>
    <row r="70" spans="2:9" x14ac:dyDescent="0.25">
      <c r="B70" s="12">
        <v>44935</v>
      </c>
      <c r="C70" s="18">
        <v>9.32</v>
      </c>
      <c r="D70" s="116">
        <f t="shared" si="10"/>
        <v>0.12969696969696964</v>
      </c>
    </row>
    <row r="71" spans="2:9" x14ac:dyDescent="0.25">
      <c r="B71" s="12">
        <v>44928</v>
      </c>
      <c r="C71" s="18">
        <v>8.25</v>
      </c>
      <c r="D71" s="116">
        <f t="shared" si="10"/>
        <v>1.3513513513513375E-2</v>
      </c>
    </row>
    <row r="72" spans="2:9" x14ac:dyDescent="0.25">
      <c r="B72" s="12">
        <v>44921</v>
      </c>
      <c r="C72" s="18">
        <v>8.14</v>
      </c>
      <c r="D72" s="116">
        <f t="shared" si="10"/>
        <v>2.3899371069182385E-2</v>
      </c>
    </row>
    <row r="73" spans="2:9" x14ac:dyDescent="0.25">
      <c r="B73" s="12">
        <v>44914</v>
      </c>
      <c r="C73" s="18">
        <v>7.95</v>
      </c>
      <c r="D73" s="116">
        <f t="shared" si="10"/>
        <v>-7.6655052264808288E-2</v>
      </c>
    </row>
    <row r="74" spans="2:9" x14ac:dyDescent="0.25">
      <c r="B74" s="12">
        <v>44907</v>
      </c>
      <c r="C74" s="18">
        <v>8.61</v>
      </c>
      <c r="D74" s="116">
        <f t="shared" si="10"/>
        <v>-7.5187969924812137E-2</v>
      </c>
    </row>
    <row r="75" spans="2:9" x14ac:dyDescent="0.25">
      <c r="B75" s="12">
        <v>44900</v>
      </c>
      <c r="C75" s="18">
        <v>9.31</v>
      </c>
      <c r="D75" s="116">
        <f t="shared" si="10"/>
        <v>-6.8068068068068088E-2</v>
      </c>
    </row>
    <row r="76" spans="2:9" x14ac:dyDescent="0.25">
      <c r="B76" s="12">
        <v>44893</v>
      </c>
      <c r="C76" s="18">
        <v>9.99</v>
      </c>
      <c r="D76" s="116">
        <f t="shared" si="10"/>
        <v>6.3897763578274702E-2</v>
      </c>
    </row>
    <row r="77" spans="2:9" x14ac:dyDescent="0.25">
      <c r="B77" s="12">
        <v>44886</v>
      </c>
      <c r="C77" s="18">
        <v>9.39</v>
      </c>
      <c r="D77" s="116">
        <f t="shared" si="10"/>
        <v>2.1762785636561643E-2</v>
      </c>
    </row>
    <row r="78" spans="2:9" x14ac:dyDescent="0.25">
      <c r="B78" s="12">
        <v>44879</v>
      </c>
      <c r="C78" s="18">
        <v>9.19</v>
      </c>
      <c r="D78" s="116">
        <f t="shared" si="10"/>
        <v>-0.12225405921680998</v>
      </c>
    </row>
    <row r="79" spans="2:9" x14ac:dyDescent="0.25">
      <c r="B79" s="12">
        <v>44872</v>
      </c>
      <c r="C79" s="18">
        <v>10.47</v>
      </c>
      <c r="D79" s="116">
        <f t="shared" si="10"/>
        <v>-0.14739413680781754</v>
      </c>
    </row>
    <row r="80" spans="2:9" x14ac:dyDescent="0.25">
      <c r="B80" s="12">
        <v>44865</v>
      </c>
      <c r="C80" s="18">
        <v>12.28</v>
      </c>
      <c r="D80" s="116">
        <f t="shared" si="10"/>
        <v>6.7826086956521703E-2</v>
      </c>
    </row>
    <row r="81" spans="2:4" x14ac:dyDescent="0.25">
      <c r="B81" s="12">
        <v>44858</v>
      </c>
      <c r="C81" s="18">
        <v>11.5</v>
      </c>
      <c r="D81" s="116">
        <f t="shared" si="10"/>
        <v>0.13412228796844183</v>
      </c>
    </row>
    <row r="82" spans="2:4" x14ac:dyDescent="0.25">
      <c r="B82" s="12">
        <v>44851</v>
      </c>
      <c r="C82" s="18">
        <v>10.14</v>
      </c>
      <c r="D82" s="116">
        <f t="shared" si="10"/>
        <v>2.5278058645096024E-2</v>
      </c>
    </row>
    <row r="83" spans="2:4" x14ac:dyDescent="0.25">
      <c r="B83" s="12">
        <v>44844</v>
      </c>
      <c r="C83" s="18">
        <v>9.89</v>
      </c>
      <c r="D83" s="116">
        <f t="shared" si="10"/>
        <v>-8.4259259259259256E-2</v>
      </c>
    </row>
    <row r="84" spans="2:4" x14ac:dyDescent="0.25">
      <c r="B84" s="12">
        <v>44837</v>
      </c>
      <c r="C84" s="18">
        <v>10.8</v>
      </c>
      <c r="D84" s="116">
        <f t="shared" si="10"/>
        <v>6.9306930693069368E-2</v>
      </c>
    </row>
    <row r="85" spans="2:4" x14ac:dyDescent="0.25">
      <c r="B85" s="12">
        <v>44830</v>
      </c>
      <c r="C85" s="18">
        <v>10.1</v>
      </c>
      <c r="D85" s="116">
        <f t="shared" si="10"/>
        <v>6.991525423728806E-2</v>
      </c>
    </row>
    <row r="86" spans="2:4" x14ac:dyDescent="0.25">
      <c r="B86" s="12">
        <v>44823</v>
      </c>
      <c r="C86" s="18">
        <v>9.44</v>
      </c>
      <c r="D86" s="116">
        <f t="shared" si="10"/>
        <v>-7.9024390243902509E-2</v>
      </c>
    </row>
    <row r="87" spans="2:4" x14ac:dyDescent="0.25">
      <c r="B87" s="12">
        <v>44816</v>
      </c>
      <c r="C87" s="18">
        <v>10.25</v>
      </c>
      <c r="D87" s="116">
        <f t="shared" si="10"/>
        <v>-3.3018867924528239E-2</v>
      </c>
    </row>
    <row r="88" spans="2:4" x14ac:dyDescent="0.25">
      <c r="B88" s="12">
        <v>44809</v>
      </c>
      <c r="C88" s="18">
        <v>10.6</v>
      </c>
      <c r="D88" s="116">
        <f t="shared" si="10"/>
        <v>0.12169312169312163</v>
      </c>
    </row>
    <row r="89" spans="2:4" x14ac:dyDescent="0.25">
      <c r="B89" s="12">
        <v>44802</v>
      </c>
      <c r="C89" s="18">
        <v>9.4499999999999993</v>
      </c>
      <c r="D89" s="116">
        <f t="shared" si="10"/>
        <v>7.4626865671640896E-3</v>
      </c>
    </row>
    <row r="90" spans="2:4" x14ac:dyDescent="0.25">
      <c r="B90" s="12">
        <v>44795</v>
      </c>
      <c r="C90" s="18">
        <v>9.3800000000000008</v>
      </c>
      <c r="D90" s="116">
        <f t="shared" si="10"/>
        <v>1.2958963282937441E-2</v>
      </c>
    </row>
    <row r="91" spans="2:4" x14ac:dyDescent="0.25">
      <c r="B91" s="12">
        <v>44788</v>
      </c>
      <c r="C91" s="18">
        <v>9.26</v>
      </c>
      <c r="D91" s="116">
        <f t="shared" si="10"/>
        <v>-0.1527904849039341</v>
      </c>
    </row>
    <row r="92" spans="2:4" x14ac:dyDescent="0.25">
      <c r="B92" s="12">
        <v>44781</v>
      </c>
      <c r="C92" s="18">
        <v>10.93</v>
      </c>
      <c r="D92" s="116">
        <f t="shared" si="10"/>
        <v>5.0961538461538503E-2</v>
      </c>
    </row>
    <row r="93" spans="2:4" x14ac:dyDescent="0.25">
      <c r="B93" s="12">
        <v>44774</v>
      </c>
      <c r="C93" s="18">
        <v>10.4</v>
      </c>
      <c r="D93" s="116">
        <f t="shared" si="10"/>
        <v>0.149171270718232</v>
      </c>
    </row>
    <row r="94" spans="2:4" x14ac:dyDescent="0.25">
      <c r="B94" s="12">
        <v>44767</v>
      </c>
      <c r="C94" s="18">
        <v>9.0500000000000007</v>
      </c>
      <c r="D94" s="116">
        <f t="shared" si="10"/>
        <v>-3.3039647577092213E-3</v>
      </c>
    </row>
    <row r="95" spans="2:4" x14ac:dyDescent="0.25">
      <c r="B95" s="12">
        <v>44760</v>
      </c>
      <c r="C95" s="18">
        <v>9.08</v>
      </c>
      <c r="D95" s="116">
        <f t="shared" si="10"/>
        <v>7.9667063020214091E-2</v>
      </c>
    </row>
    <row r="96" spans="2:4" x14ac:dyDescent="0.25">
      <c r="B96" s="12">
        <v>44753</v>
      </c>
      <c r="C96" s="18">
        <v>8.41</v>
      </c>
      <c r="D96" s="116">
        <f t="shared" si="10"/>
        <v>-6.5555555555555589E-2</v>
      </c>
    </row>
    <row r="97" spans="2:4" x14ac:dyDescent="0.25">
      <c r="B97" s="12">
        <v>44746</v>
      </c>
      <c r="C97" s="18">
        <v>9</v>
      </c>
      <c r="D97" s="116">
        <f t="shared" si="10"/>
        <v>0.10024449877750619</v>
      </c>
    </row>
    <row r="98" spans="2:4" x14ac:dyDescent="0.25">
      <c r="B98" s="12">
        <v>44739</v>
      </c>
      <c r="C98" s="18">
        <v>8.18</v>
      </c>
      <c r="D98" s="116">
        <f t="shared" si="10"/>
        <v>2.2499999999999964E-2</v>
      </c>
    </row>
    <row r="99" spans="2:4" x14ac:dyDescent="0.25">
      <c r="B99" s="12">
        <v>44732</v>
      </c>
      <c r="C99" s="18">
        <v>8</v>
      </c>
      <c r="D99" s="116">
        <f t="shared" si="10"/>
        <v>0.11265646731571621</v>
      </c>
    </row>
    <row r="100" spans="2:4" x14ac:dyDescent="0.25">
      <c r="B100" s="12">
        <v>44725</v>
      </c>
      <c r="C100" s="18">
        <v>7.19</v>
      </c>
      <c r="D100" s="116">
        <f t="shared" si="10"/>
        <v>-7.9385403329065185E-2</v>
      </c>
    </row>
    <row r="101" spans="2:4" x14ac:dyDescent="0.25">
      <c r="B101" s="12">
        <v>44718</v>
      </c>
      <c r="C101" s="18">
        <v>7.81</v>
      </c>
      <c r="D101" s="116">
        <f t="shared" si="10"/>
        <v>-0.14830970556161405</v>
      </c>
    </row>
    <row r="102" spans="2:4" x14ac:dyDescent="0.25">
      <c r="B102" s="12">
        <v>44711</v>
      </c>
      <c r="C102" s="18">
        <v>9.17</v>
      </c>
      <c r="D102" s="116">
        <f t="shared" si="10"/>
        <v>-0.11657032755298657</v>
      </c>
    </row>
    <row r="103" spans="2:4" x14ac:dyDescent="0.25">
      <c r="B103" s="12">
        <v>44704</v>
      </c>
      <c r="C103" s="18">
        <v>10.38</v>
      </c>
      <c r="D103" s="116">
        <f t="shared" si="10"/>
        <v>2.9761904761904878E-2</v>
      </c>
    </row>
    <row r="104" spans="2:4" x14ac:dyDescent="0.25">
      <c r="B104" s="12">
        <v>44697</v>
      </c>
      <c r="C104" s="18">
        <v>10.08</v>
      </c>
      <c r="D104" s="116">
        <f t="shared" si="10"/>
        <v>-5.7062675397567819E-2</v>
      </c>
    </row>
    <row r="105" spans="2:4" x14ac:dyDescent="0.25">
      <c r="B105" s="12">
        <v>44690</v>
      </c>
      <c r="C105" s="18">
        <v>10.69</v>
      </c>
      <c r="D105" s="116">
        <f t="shared" si="10"/>
        <v>5.6324110671936767E-2</v>
      </c>
    </row>
    <row r="106" spans="2:4" x14ac:dyDescent="0.25">
      <c r="B106" s="12">
        <v>44683</v>
      </c>
      <c r="C106" s="18">
        <v>10.119999999999999</v>
      </c>
      <c r="D106" s="116">
        <f t="shared" si="10"/>
        <v>3.2126466088730155E-2</v>
      </c>
    </row>
    <row r="107" spans="2:4" x14ac:dyDescent="0.25">
      <c r="B107" s="12">
        <v>44676</v>
      </c>
      <c r="C107" s="18">
        <v>9.8049999999999997</v>
      </c>
      <c r="D107" s="116">
        <f t="shared" si="10"/>
        <v>-4.4346978557504912E-2</v>
      </c>
    </row>
    <row r="108" spans="2:4" x14ac:dyDescent="0.25">
      <c r="B108" s="12">
        <v>44669</v>
      </c>
      <c r="C108" s="18">
        <v>10.26</v>
      </c>
      <c r="D108" s="116">
        <f t="shared" si="10"/>
        <v>-9.8418277680140664E-2</v>
      </c>
    </row>
    <row r="109" spans="2:4" x14ac:dyDescent="0.25">
      <c r="B109" s="12">
        <v>44662</v>
      </c>
      <c r="C109" s="18">
        <v>11.38</v>
      </c>
      <c r="D109" s="116">
        <f t="shared" si="10"/>
        <v>1.2455516014235002E-2</v>
      </c>
    </row>
    <row r="110" spans="2:4" x14ac:dyDescent="0.25">
      <c r="B110" s="12">
        <v>44655</v>
      </c>
      <c r="C110" s="18">
        <v>11.24</v>
      </c>
      <c r="D110" s="116">
        <f t="shared" si="10"/>
        <v>-0.16740740740740734</v>
      </c>
    </row>
    <row r="111" spans="2:4" x14ac:dyDescent="0.25">
      <c r="B111" s="12">
        <v>44648</v>
      </c>
      <c r="C111" s="18">
        <v>13.5</v>
      </c>
      <c r="D111" s="116">
        <f t="shared" si="10"/>
        <v>8.9588377723970991E-2</v>
      </c>
    </row>
    <row r="112" spans="2:4" x14ac:dyDescent="0.25">
      <c r="B112" s="12">
        <v>44641</v>
      </c>
      <c r="C112" s="18">
        <v>12.39</v>
      </c>
      <c r="D112" s="116">
        <f t="shared" si="10"/>
        <v>-7.8124999999999889E-2</v>
      </c>
    </row>
    <row r="113" spans="2:4" x14ac:dyDescent="0.25">
      <c r="B113" s="12">
        <v>44634</v>
      </c>
      <c r="C113" s="18">
        <v>13.44</v>
      </c>
      <c r="D113" s="116">
        <f t="shared" si="10"/>
        <v>0.21960072595281299</v>
      </c>
    </row>
    <row r="114" spans="2:4" x14ac:dyDescent="0.25">
      <c r="B114" s="12">
        <v>44627</v>
      </c>
      <c r="C114" s="18">
        <v>11.02</v>
      </c>
      <c r="D114" s="116">
        <f t="shared" si="10"/>
        <v>5.4744525547443246E-3</v>
      </c>
    </row>
    <row r="115" spans="2:4" x14ac:dyDescent="0.25">
      <c r="B115" s="12">
        <v>44620</v>
      </c>
      <c r="C115" s="18">
        <v>10.96</v>
      </c>
      <c r="D115" s="116">
        <f t="shared" si="10"/>
        <v>-5.5986218776916341E-2</v>
      </c>
    </row>
    <row r="116" spans="2:4" x14ac:dyDescent="0.25">
      <c r="B116" s="12">
        <v>44613</v>
      </c>
      <c r="C116" s="18">
        <v>11.61</v>
      </c>
      <c r="D116" s="116">
        <f t="shared" si="10"/>
        <v>-1.693480101608813E-2</v>
      </c>
    </row>
    <row r="117" spans="2:4" x14ac:dyDescent="0.25">
      <c r="B117" s="12">
        <v>44606</v>
      </c>
      <c r="C117" s="18">
        <v>11.81</v>
      </c>
      <c r="D117" s="116">
        <f t="shared" si="10"/>
        <v>-0.11336336336336339</v>
      </c>
    </row>
    <row r="118" spans="2:4" x14ac:dyDescent="0.25">
      <c r="B118" s="12">
        <v>44599</v>
      </c>
      <c r="C118" s="18">
        <v>13.32</v>
      </c>
      <c r="D118" s="116">
        <f t="shared" si="10"/>
        <v>-0.12252964426877466</v>
      </c>
    </row>
    <row r="119" spans="2:4" x14ac:dyDescent="0.25">
      <c r="B119" s="12">
        <v>44592</v>
      </c>
      <c r="C119" s="18">
        <v>15.18</v>
      </c>
      <c r="D119" s="116">
        <f t="shared" si="10"/>
        <v>0.19245875883739183</v>
      </c>
    </row>
    <row r="120" spans="2:4" x14ac:dyDescent="0.25">
      <c r="B120" s="12">
        <v>44585</v>
      </c>
      <c r="C120" s="18">
        <v>12.73</v>
      </c>
      <c r="D120" s="116">
        <f t="shared" si="10"/>
        <v>-1.9260400616332829E-2</v>
      </c>
    </row>
    <row r="121" spans="2:4" x14ac:dyDescent="0.25">
      <c r="B121" s="12">
        <v>44578</v>
      </c>
      <c r="C121" s="18">
        <v>12.98</v>
      </c>
      <c r="D121" s="116">
        <f t="shared" si="10"/>
        <v>-0.14436387607119316</v>
      </c>
    </row>
    <row r="122" spans="2:4" x14ac:dyDescent="0.25">
      <c r="B122" s="12">
        <v>44571</v>
      </c>
      <c r="C122" s="18">
        <v>15.17</v>
      </c>
      <c r="D122" s="116">
        <f t="shared" si="10"/>
        <v>-4.5311516677155494E-2</v>
      </c>
    </row>
    <row r="123" spans="2:4" x14ac:dyDescent="0.25">
      <c r="B123" s="12">
        <v>44564</v>
      </c>
      <c r="C123" s="18">
        <v>15.89</v>
      </c>
      <c r="D123" s="116">
        <f t="shared" si="10"/>
        <v>-0.1052927927927928</v>
      </c>
    </row>
    <row r="124" spans="2:4" x14ac:dyDescent="0.25">
      <c r="B124" s="12">
        <v>44557</v>
      </c>
      <c r="C124" s="18">
        <v>17.760000000000002</v>
      </c>
      <c r="D124" s="116">
        <f t="shared" si="10"/>
        <v>-6.0317460317460214E-2</v>
      </c>
    </row>
    <row r="125" spans="2:4" x14ac:dyDescent="0.25">
      <c r="B125" s="12">
        <v>44550</v>
      </c>
      <c r="C125" s="18">
        <v>18.899999999999999</v>
      </c>
      <c r="D125" s="116">
        <f t="shared" si="10"/>
        <v>-1.0471204188481797E-2</v>
      </c>
    </row>
    <row r="126" spans="2:4" x14ac:dyDescent="0.25">
      <c r="B126" s="12">
        <v>44543</v>
      </c>
      <c r="C126" s="18">
        <v>19.100000000000001</v>
      </c>
      <c r="D126" s="116">
        <f t="shared" si="10"/>
        <v>-5.1167364687896955E-2</v>
      </c>
    </row>
    <row r="127" spans="2:4" x14ac:dyDescent="0.25">
      <c r="B127" s="12">
        <v>44536</v>
      </c>
      <c r="C127" s="18">
        <v>20.129999000000002</v>
      </c>
      <c r="D127" s="116">
        <f t="shared" si="10"/>
        <v>-6.5893274519409406E-2</v>
      </c>
    </row>
    <row r="128" spans="2:4" x14ac:dyDescent="0.25">
      <c r="B128" s="12">
        <v>44529</v>
      </c>
      <c r="C128" s="18">
        <v>21.549999</v>
      </c>
      <c r="D128" s="116">
        <f t="shared" si="10"/>
        <v>-0.2281518982808024</v>
      </c>
    </row>
    <row r="129" spans="2:4" x14ac:dyDescent="0.25">
      <c r="B129" s="12">
        <v>44522</v>
      </c>
      <c r="C129" s="18">
        <v>27.92</v>
      </c>
      <c r="D129" s="116">
        <f t="shared" si="10"/>
        <v>-3.6909279061745348E-2</v>
      </c>
    </row>
    <row r="130" spans="2:4" x14ac:dyDescent="0.25">
      <c r="B130" s="12">
        <v>44515</v>
      </c>
      <c r="C130" s="18">
        <v>28.99</v>
      </c>
      <c r="D130" s="116">
        <f t="shared" si="10"/>
        <v>-0.17665433617308546</v>
      </c>
    </row>
    <row r="131" spans="2:4" x14ac:dyDescent="0.25">
      <c r="B131" s="12">
        <v>44508</v>
      </c>
      <c r="C131" s="18">
        <v>35.209999000000003</v>
      </c>
      <c r="D131" s="116">
        <f t="shared" ref="D131:D145" si="11">C131/C132-1</f>
        <v>-4.8635479526370151E-2</v>
      </c>
    </row>
    <row r="132" spans="2:4" x14ac:dyDescent="0.25">
      <c r="B132" s="12">
        <v>44501</v>
      </c>
      <c r="C132" s="18">
        <v>37.009998000000003</v>
      </c>
      <c r="D132" s="116">
        <f t="shared" si="11"/>
        <v>5.8335628872301148E-2</v>
      </c>
    </row>
    <row r="133" spans="2:4" x14ac:dyDescent="0.25">
      <c r="B133" s="12">
        <v>44494</v>
      </c>
      <c r="C133" s="18">
        <v>34.970001000000003</v>
      </c>
      <c r="D133" s="116">
        <f t="shared" si="11"/>
        <v>-0.11669611012882042</v>
      </c>
    </row>
    <row r="134" spans="2:4" x14ac:dyDescent="0.25">
      <c r="B134" s="12">
        <v>44487</v>
      </c>
      <c r="C134" s="18">
        <v>39.590000000000003</v>
      </c>
      <c r="D134" s="116">
        <f t="shared" si="11"/>
        <v>-3.5096247504173506E-2</v>
      </c>
    </row>
    <row r="135" spans="2:4" x14ac:dyDescent="0.25">
      <c r="B135" s="12">
        <v>44480</v>
      </c>
      <c r="C135" s="18">
        <v>41.029998999999997</v>
      </c>
      <c r="D135" s="116">
        <f t="shared" si="11"/>
        <v>-1.7951173239616369E-2</v>
      </c>
    </row>
    <row r="136" spans="2:4" x14ac:dyDescent="0.25">
      <c r="B136" s="12">
        <v>44473</v>
      </c>
      <c r="C136" s="18">
        <v>41.779998999999997</v>
      </c>
      <c r="D136" s="116">
        <f t="shared" si="11"/>
        <v>-2.8640332761799003E-3</v>
      </c>
    </row>
    <row r="137" spans="2:4" x14ac:dyDescent="0.25">
      <c r="B137" s="12">
        <v>44466</v>
      </c>
      <c r="C137" s="18">
        <v>41.900002000000001</v>
      </c>
      <c r="D137" s="116">
        <f t="shared" si="11"/>
        <v>-6.702289022489416E-2</v>
      </c>
    </row>
    <row r="138" spans="2:4" x14ac:dyDescent="0.25">
      <c r="B138" s="12">
        <v>44459</v>
      </c>
      <c r="C138" s="18">
        <v>44.91</v>
      </c>
      <c r="D138" s="116">
        <f t="shared" si="11"/>
        <v>5.9697945736244762E-2</v>
      </c>
    </row>
    <row r="139" spans="2:4" x14ac:dyDescent="0.25">
      <c r="B139" s="12">
        <v>44452</v>
      </c>
      <c r="C139" s="18">
        <v>42.380001</v>
      </c>
      <c r="D139" s="116">
        <f t="shared" si="11"/>
        <v>2.9390407062929613E-2</v>
      </c>
    </row>
    <row r="140" spans="2:4" x14ac:dyDescent="0.25">
      <c r="B140" s="12">
        <v>44445</v>
      </c>
      <c r="C140" s="18">
        <v>41.169998</v>
      </c>
      <c r="D140" s="116">
        <f t="shared" si="11"/>
        <v>-5.0288352954479976E-2</v>
      </c>
    </row>
    <row r="141" spans="2:4" x14ac:dyDescent="0.25">
      <c r="B141" s="12">
        <v>44438</v>
      </c>
      <c r="C141" s="18">
        <v>43.349997999999999</v>
      </c>
      <c r="D141" s="116">
        <f t="shared" si="11"/>
        <v>-7.5101367081317871E-2</v>
      </c>
    </row>
    <row r="142" spans="2:4" x14ac:dyDescent="0.25">
      <c r="B142" s="12">
        <v>44431</v>
      </c>
      <c r="C142" s="18">
        <v>46.869999</v>
      </c>
      <c r="D142" s="116">
        <f t="shared" si="11"/>
        <v>9.9202628968166673E-2</v>
      </c>
    </row>
    <row r="143" spans="2:4" x14ac:dyDescent="0.25">
      <c r="B143" s="12">
        <v>44424</v>
      </c>
      <c r="C143" s="18">
        <v>42.639999000000003</v>
      </c>
      <c r="D143" s="116">
        <f t="shared" si="11"/>
        <v>-0.15781161055082726</v>
      </c>
    </row>
    <row r="144" spans="2:4" x14ac:dyDescent="0.25">
      <c r="B144" s="12">
        <v>44417</v>
      </c>
      <c r="C144" s="18">
        <v>50.630001</v>
      </c>
      <c r="D144" s="116">
        <f t="shared" si="11"/>
        <v>-7.9621835288923304E-2</v>
      </c>
    </row>
    <row r="145" spans="2:4" x14ac:dyDescent="0.25">
      <c r="B145" s="12">
        <v>44410</v>
      </c>
      <c r="C145" s="18">
        <v>55.009998000000003</v>
      </c>
      <c r="D145" s="116">
        <f t="shared" si="11"/>
        <v>0.56500696642919124</v>
      </c>
    </row>
    <row r="146" spans="2:4" x14ac:dyDescent="0.25">
      <c r="B146" s="12">
        <v>44403</v>
      </c>
      <c r="C146" s="18">
        <v>35.150002000000001</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Analysts</vt:lpstr>
      <vt:lpstr>KPIs</vt:lpstr>
      <vt:lpstr>Model-graph</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2025-11-06T17:06:17Z</dcterms:modified>
</cp:coreProperties>
</file>