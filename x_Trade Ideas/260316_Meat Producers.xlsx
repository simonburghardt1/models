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imon\Documents\models\x_Trade Ideas\"/>
    </mc:Choice>
  </mc:AlternateContent>
  <xr:revisionPtr revIDLastSave="0" documentId="13_ncr:1_{218D57C5-E0CF-413C-9CBE-DF5AD929AEFE}" xr6:coauthVersionLast="47" xr6:coauthVersionMax="47" xr10:uidLastSave="{00000000-0000-0000-0000-000000000000}"/>
  <bookViews>
    <workbookView xWindow="1905" yWindow="1905" windowWidth="21600" windowHeight="11295" activeTab="1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" l="1"/>
  <c r="AG5" i="1"/>
  <c r="AF5" i="1"/>
  <c r="AC5" i="1"/>
  <c r="AB5" i="1"/>
  <c r="AA5" i="1"/>
  <c r="Z5" i="1"/>
  <c r="X5" i="1"/>
  <c r="Y5" i="1" s="1"/>
  <c r="W5" i="1"/>
  <c r="V5" i="1"/>
  <c r="AH4" i="1"/>
  <c r="AG4" i="1"/>
  <c r="AF4" i="1"/>
  <c r="AC4" i="1"/>
  <c r="AB4" i="1"/>
  <c r="AA4" i="1"/>
  <c r="Z4" i="1"/>
  <c r="X4" i="1"/>
  <c r="Y4" i="1" s="1"/>
  <c r="W4" i="1"/>
  <c r="V4" i="1"/>
  <c r="AH3" i="1"/>
  <c r="AG3" i="1"/>
  <c r="AF3" i="1"/>
  <c r="AC3" i="1"/>
  <c r="AB3" i="1"/>
  <c r="AA3" i="1"/>
  <c r="Z3" i="1"/>
  <c r="X3" i="1"/>
  <c r="Y3" i="1" s="1"/>
  <c r="W3" i="1"/>
  <c r="V3" i="1"/>
  <c r="AH2" i="1"/>
  <c r="AG2" i="1"/>
  <c r="AF2" i="1"/>
  <c r="AC2" i="1"/>
  <c r="AB2" i="1"/>
  <c r="AA2" i="1"/>
  <c r="Z2" i="1"/>
  <c r="X2" i="1"/>
  <c r="Y2" i="1" s="1"/>
  <c r="W2" i="1"/>
  <c r="V2" i="1"/>
</calcChain>
</file>

<file path=xl/sharedStrings.xml><?xml version="1.0" encoding="utf-8"?>
<sst xmlns="http://schemas.openxmlformats.org/spreadsheetml/2006/main" count="109" uniqueCount="98">
  <si>
    <t>Company Name</t>
  </si>
  <si>
    <t>Ticker</t>
  </si>
  <si>
    <t>Exchange</t>
  </si>
  <si>
    <t>Sector</t>
  </si>
  <si>
    <t>Industry</t>
  </si>
  <si>
    <t>MC</t>
  </si>
  <si>
    <t>Month of Fiscal Yr End</t>
  </si>
  <si>
    <t>s/o</t>
  </si>
  <si>
    <t>Price</t>
  </si>
  <si>
    <t>EPS0</t>
  </si>
  <si>
    <t>EPS1</t>
  </si>
  <si>
    <t>EPS2</t>
  </si>
  <si>
    <t>PE1</t>
  </si>
  <si>
    <t>PE2</t>
  </si>
  <si>
    <t>EG1</t>
  </si>
  <si>
    <t>EG2</t>
  </si>
  <si>
    <t>PEG1</t>
  </si>
  <si>
    <t>PEG2</t>
  </si>
  <si>
    <t>RG1</t>
  </si>
  <si>
    <t>Beta</t>
  </si>
  <si>
    <t>Hormel Foods</t>
  </si>
  <si>
    <t>HRL</t>
  </si>
  <si>
    <t>NYSE</t>
  </si>
  <si>
    <t>Consumer Staples</t>
  </si>
  <si>
    <t>Food - Meat Products</t>
  </si>
  <si>
    <t>10</t>
  </si>
  <si>
    <t>550.28</t>
  </si>
  <si>
    <t>Pilgrim's Pride</t>
  </si>
  <si>
    <t>PPC</t>
  </si>
  <si>
    <t>NSDQ</t>
  </si>
  <si>
    <t>12</t>
  </si>
  <si>
    <t>237.55</t>
  </si>
  <si>
    <t>Smithfield Foods</t>
  </si>
  <si>
    <t>SFD</t>
  </si>
  <si>
    <t>393.11</t>
  </si>
  <si>
    <t>Tyson Foods</t>
  </si>
  <si>
    <t>TSN</t>
  </si>
  <si>
    <t>9</t>
  </si>
  <si>
    <t>352.08</t>
  </si>
  <si>
    <t>CALM</t>
  </si>
  <si>
    <t>RG2</t>
  </si>
  <si>
    <t>Gross Margin</t>
  </si>
  <si>
    <t>Net Margin</t>
  </si>
  <si>
    <t>EV</t>
  </si>
  <si>
    <t>EV/Ebitda</t>
  </si>
  <si>
    <t>Debt/Eq</t>
  </si>
  <si>
    <t>Interest Coverage Ratio</t>
  </si>
  <si>
    <t>Current Ratio</t>
  </si>
  <si>
    <t>Quick Ratio</t>
  </si>
  <si>
    <t>WC/Total Assets</t>
  </si>
  <si>
    <t>BVPS</t>
  </si>
  <si>
    <t>Sales/Assets</t>
  </si>
  <si>
    <t>RoA</t>
  </si>
  <si>
    <t>RoE</t>
  </si>
  <si>
    <t>FCF Yield</t>
  </si>
  <si>
    <t>CalMaine Foods</t>
  </si>
  <si>
    <t>Basic Materials</t>
  </si>
  <si>
    <t>Agriculture - Products</t>
  </si>
  <si>
    <t>5</t>
  </si>
  <si>
    <t>47.65</t>
  </si>
  <si>
    <t>Poultry Market Early-Warning Dashboard</t>
  </si>
  <si>
    <t>Indicator</t>
  </si>
  <si>
    <t>Why it matters</t>
  </si>
  <si>
    <t>Bullish signal for poultry stocks</t>
  </si>
  <si>
    <t>Bearish signal</t>
  </si>
  <si>
    <t>1. Corn futures</t>
  </si>
  <si>
    <t>Largest feed input (~50–60% of feed)</t>
  </si>
  <si>
    <t>Falling corn prices</t>
  </si>
  <si>
    <t>Rising corn prices</t>
  </si>
  <si>
    <t>2. Soybean meal futures</t>
  </si>
  <si>
    <t>Key protein feed component</t>
  </si>
  <si>
    <t>Declining soybean meal</t>
  </si>
  <si>
    <t>Rapid spike in soybean meal</t>
  </si>
  <si>
    <t>3. Chicken breast prices (boneless/skinless)</t>
  </si>
  <si>
    <t>Benchmark wholesale chicken price</t>
  </si>
  <si>
    <t>Rising breast prices</t>
  </si>
  <si>
    <t>Falling breast prices</t>
  </si>
  <si>
    <t>4. Wing prices</t>
  </si>
  <si>
    <t>Important for restaurant demand</t>
  </si>
  <si>
    <t>Strong wing demand</t>
  </si>
  <si>
    <t>Weak wing demand</t>
  </si>
  <si>
    <t>5. USDA broiler chick placements</t>
  </si>
  <si>
    <t>Predicts supply 6–8 weeks ahead</t>
  </si>
  <si>
    <t>Falling placements</t>
  </si>
  <si>
    <t>Rising placements</t>
  </si>
  <si>
    <t>6. Cold storage chicken inventories</t>
  </si>
  <si>
    <t>Indicates oversupply</t>
  </si>
  <si>
    <t>Declining inventories</t>
  </si>
  <si>
    <t>Rising inventories</t>
  </si>
  <si>
    <t>7. Restaurant traffic / foodservice demand</t>
  </si>
  <si>
    <t>Chicken consumption indicator</t>
  </si>
  <si>
    <t>Strong restaurant demand</t>
  </si>
  <si>
    <t>Weak traffic</t>
  </si>
  <si>
    <t>8. Export demand (Mexico / China)</t>
  </si>
  <si>
    <t>Global price support</t>
  </si>
  <si>
    <t>Strong exports</t>
  </si>
  <si>
    <t>Export restrictions</t>
  </si>
  <si>
    <t>https://www.nass.usda.gov/Surveys/Guide_to_NASS_Surveys/Broiler_Hatchery/index.php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</si>
</sst>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" fontId="0" fillId="0" borderId="0" xfId="0" applyNumberFormat="1"/>
    <xf numFmtId="2" fontId="0" fillId="2" borderId="0" xfId="0" applyNumberFormat="1" applyFill="1"/>
    <xf numFmtId="10" fontId="0" fillId="2" borderId="0" xfId="1" applyNumberFormat="1" applyFont="1" applyFill="1"/>
    <xf numFmtId="9" fontId="0" fillId="0" borderId="0" xfId="1" applyFont="1"/>
    <xf numFmtId="10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3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ss.usda.gov/Surveys/Guide_to_NASS_Surveys/Broiler_Hatchery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workbookViewId="0">
      <selection activeCell="G15" sqref="G15"/>
    </sheetView>
  </sheetViews>
  <sheetFormatPr defaultRowHeight="15" x14ac:dyDescent="0.25"/>
  <cols>
    <col min="1" max="1" width="15.7109375" customWidth="1"/>
    <col min="2" max="2" width="6.140625" customWidth="1"/>
    <col min="3" max="3" width="6.7109375" customWidth="1"/>
    <col min="5" max="5" width="19.85546875" customWidth="1"/>
    <col min="7" max="7" width="4.5703125" customWidth="1"/>
    <col min="8" max="8" width="6.5703125" bestFit="1" customWidth="1"/>
    <col min="9" max="9" width="5.5703125" bestFit="1" customWidth="1"/>
    <col min="10" max="12" width="5.140625" bestFit="1" customWidth="1"/>
    <col min="13" max="14" width="5.5703125" bestFit="1" customWidth="1"/>
    <col min="15" max="15" width="7.85546875" bestFit="1" customWidth="1"/>
    <col min="16" max="16" width="7.140625" bestFit="1" customWidth="1"/>
    <col min="17" max="18" width="5.42578125" bestFit="1" customWidth="1"/>
    <col min="19" max="19" width="4.5703125" bestFit="1" customWidth="1"/>
    <col min="20" max="20" width="5.85546875" customWidth="1"/>
    <col min="21" max="21" width="5" bestFit="1" customWidth="1"/>
    <col min="22" max="22" width="6.5703125" customWidth="1"/>
    <col min="23" max="23" width="6.28515625" customWidth="1"/>
    <col min="25" max="25" width="7.5703125" customWidth="1"/>
    <col min="26" max="26" width="6.140625" customWidth="1"/>
    <col min="27" max="27" width="7.85546875" customWidth="1"/>
    <col min="28" max="28" width="7.28515625" customWidth="1"/>
    <col min="32" max="32" width="7.5703125" customWidth="1"/>
    <col min="33" max="33" width="8" customWidth="1"/>
    <col min="34" max="34" width="7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40</v>
      </c>
      <c r="U1" s="1" t="s">
        <v>19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</row>
    <row r="2" spans="1:35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>
        <v>13140.79</v>
      </c>
      <c r="G2" s="1" t="s">
        <v>25</v>
      </c>
      <c r="H2" s="1" t="s">
        <v>26</v>
      </c>
      <c r="I2" s="3">
        <v>23.88</v>
      </c>
      <c r="J2" s="3">
        <v>1.37</v>
      </c>
      <c r="K2" s="3">
        <v>1.43</v>
      </c>
      <c r="L2" s="3">
        <v>1.55</v>
      </c>
      <c r="M2" s="4">
        <v>16.6993006993007</v>
      </c>
      <c r="N2" s="4">
        <v>15.406451612903224</v>
      </c>
      <c r="O2" s="5">
        <v>4.3795620437956151E-2</v>
      </c>
      <c r="P2" s="5">
        <v>8.3916083916083961E-2</v>
      </c>
      <c r="Q2" s="4">
        <v>3.8130069930069976</v>
      </c>
      <c r="R2" s="4">
        <v>1.8359354838709663</v>
      </c>
      <c r="S2" s="4">
        <v>1.55</v>
      </c>
      <c r="U2" s="3">
        <v>0.32</v>
      </c>
      <c r="V2" s="6">
        <f>(3027.317-2557.742)/3027.317</f>
        <v>0.15511259640136787</v>
      </c>
      <c r="W2" s="6">
        <f>181.769/3027.317</f>
        <v>6.0042935708417719E-2</v>
      </c>
      <c r="X2" s="3">
        <f>F2-867.906-33.302+2851.007</f>
        <v>15090.589000000002</v>
      </c>
      <c r="Y2" s="3">
        <f>X2/718.603</f>
        <v>20.999897022417109</v>
      </c>
      <c r="Z2" s="3">
        <f>2851.007/7953.207</f>
        <v>0.35847262619972042</v>
      </c>
      <c r="AA2" s="8">
        <f>243.697/19.728</f>
        <v>12.352848742903486</v>
      </c>
      <c r="AB2" s="8">
        <f>3388.24/1272.917</f>
        <v>2.6617917743262129</v>
      </c>
      <c r="AC2" s="9">
        <f>(867.906+33.302+696.252)/1272.917</f>
        <v>1.2549600641675773</v>
      </c>
      <c r="AF2" s="8">
        <f>12106.16/13316.433</f>
        <v>0.90911432513496659</v>
      </c>
      <c r="AG2" s="7">
        <f>477.764/13393.119</f>
        <v>3.5672347867587828E-2</v>
      </c>
      <c r="AH2" s="7">
        <f>477.764/7915.815</f>
        <v>6.0355629837230917E-2</v>
      </c>
    </row>
    <row r="3" spans="1:35" x14ac:dyDescent="0.25">
      <c r="A3" s="1" t="s">
        <v>27</v>
      </c>
      <c r="B3" s="1" t="s">
        <v>28</v>
      </c>
      <c r="C3" s="1" t="s">
        <v>29</v>
      </c>
      <c r="D3" s="1" t="s">
        <v>23</v>
      </c>
      <c r="E3" s="1" t="s">
        <v>24</v>
      </c>
      <c r="F3">
        <v>9437.76</v>
      </c>
      <c r="G3" s="1" t="s">
        <v>30</v>
      </c>
      <c r="H3" s="1" t="s">
        <v>31</v>
      </c>
      <c r="I3" s="3">
        <v>39.729999999999997</v>
      </c>
      <c r="J3" s="3">
        <v>5.17</v>
      </c>
      <c r="K3" s="3">
        <v>4.3</v>
      </c>
      <c r="L3" s="3">
        <v>4.09</v>
      </c>
      <c r="M3" s="4">
        <v>9.2395348837209301</v>
      </c>
      <c r="N3" s="4">
        <v>9.7139364303178475</v>
      </c>
      <c r="O3" s="5">
        <v>-0.16827852998065762</v>
      </c>
      <c r="P3" s="5">
        <v>-4.8837209302325602E-2</v>
      </c>
      <c r="Q3" s="4">
        <v>-0.54906201550387601</v>
      </c>
      <c r="R3" s="4">
        <v>-1.9890441262079395</v>
      </c>
      <c r="S3" s="4">
        <v>3.46</v>
      </c>
      <c r="U3" s="3">
        <v>0.41</v>
      </c>
      <c r="V3" s="6">
        <f>2358.143/18497.553</f>
        <v>0.12748405153914141</v>
      </c>
      <c r="W3" s="6">
        <f>1083.344/18497.553</f>
        <v>5.8566881792418708E-2</v>
      </c>
      <c r="X3" s="3">
        <f>F3-640.235+3093.113</f>
        <v>11890.637999999999</v>
      </c>
      <c r="Y3" s="3">
        <f>X3/1613.539</f>
        <v>7.3692907329788735</v>
      </c>
      <c r="Z3" s="3">
        <f>3093.113/3693.731</f>
        <v>0.83739530572204623</v>
      </c>
      <c r="AA3" s="8">
        <f>1083.344/161.388</f>
        <v>6.7126676084962948</v>
      </c>
      <c r="AB3" s="8">
        <f>4237.363/2890.258</f>
        <v>1.4660846886333332</v>
      </c>
      <c r="AC3" s="9">
        <f>(640.235+1164.903)/2890.258</f>
        <v>0.62455946839347909</v>
      </c>
      <c r="AF3" s="8">
        <f>18497.553/10343.53</f>
        <v>1.78832110507728</v>
      </c>
      <c r="AG3" s="7">
        <f>1083.344/10343.53</f>
        <v>0.10473639076794866</v>
      </c>
      <c r="AH3" s="7">
        <f>1083.344/3693.731</f>
        <v>0.29329260847636168</v>
      </c>
    </row>
    <row r="4" spans="1:35" x14ac:dyDescent="0.25">
      <c r="A4" s="1" t="s">
        <v>32</v>
      </c>
      <c r="B4" s="1" t="s">
        <v>33</v>
      </c>
      <c r="C4" s="1" t="s">
        <v>29</v>
      </c>
      <c r="D4" s="1" t="s">
        <v>23</v>
      </c>
      <c r="E4" s="1" t="s">
        <v>24</v>
      </c>
      <c r="F4">
        <v>9532.98</v>
      </c>
      <c r="G4" s="1" t="s">
        <v>30</v>
      </c>
      <c r="H4" s="1" t="s">
        <v>34</v>
      </c>
      <c r="I4" s="3">
        <v>24.25</v>
      </c>
      <c r="J4" s="3">
        <v>1.88</v>
      </c>
      <c r="K4" s="3">
        <v>2.4500000000000002</v>
      </c>
      <c r="L4" s="3">
        <v>2.57</v>
      </c>
      <c r="M4" s="4">
        <v>9.8979591836734695</v>
      </c>
      <c r="N4" s="4">
        <v>9.43579766536965</v>
      </c>
      <c r="O4" s="5">
        <v>0.30319148936170226</v>
      </c>
      <c r="P4" s="5">
        <v>4.8979591836734615E-2</v>
      </c>
      <c r="Q4" s="4">
        <v>0.32645900465449323</v>
      </c>
      <c r="R4" s="4">
        <v>1.92647535667964</v>
      </c>
      <c r="S4" s="4"/>
      <c r="U4" s="3">
        <v>0.12</v>
      </c>
      <c r="V4" s="6">
        <f>1.897/14.142</f>
        <v>0.13413944279451281</v>
      </c>
      <c r="W4" s="6">
        <f>0.97/14.142</f>
        <v>6.8590015556498379E-2</v>
      </c>
      <c r="X4" s="3">
        <f>F4-932+1999+286</f>
        <v>10885.98</v>
      </c>
      <c r="Y4" s="3">
        <f>X4/1118</f>
        <v>9.7370125223613595</v>
      </c>
      <c r="Z4" s="3">
        <f>+(1.999+0.286)/5.834</f>
        <v>0.39166952348303058</v>
      </c>
      <c r="AA4" s="8">
        <f>1.118/0.066</f>
        <v>16.939393939393941</v>
      </c>
      <c r="AB4" s="8">
        <f>4.202/1.706</f>
        <v>2.4630715123094959</v>
      </c>
      <c r="AC4" s="9">
        <f>(0.943+0.558)/1.706</f>
        <v>0.87983587338804214</v>
      </c>
      <c r="AF4" s="8">
        <f>14.142/11.054</f>
        <v>1.2793558892708521</v>
      </c>
      <c r="AG4" s="7">
        <f>0.97/11.054</f>
        <v>8.7751040347385553E-2</v>
      </c>
      <c r="AH4" s="7">
        <f>0.97/5.834</f>
        <v>0.16626671237572849</v>
      </c>
    </row>
    <row r="5" spans="1:35" x14ac:dyDescent="0.25">
      <c r="A5" s="1" t="s">
        <v>35</v>
      </c>
      <c r="B5" s="1" t="s">
        <v>36</v>
      </c>
      <c r="C5" s="1" t="s">
        <v>22</v>
      </c>
      <c r="D5" s="1" t="s">
        <v>23</v>
      </c>
      <c r="E5" s="1" t="s">
        <v>24</v>
      </c>
      <c r="F5">
        <v>21593</v>
      </c>
      <c r="G5" s="1" t="s">
        <v>37</v>
      </c>
      <c r="H5" s="1" t="s">
        <v>38</v>
      </c>
      <c r="I5" s="3">
        <v>61.33</v>
      </c>
      <c r="J5" s="3">
        <v>4.12</v>
      </c>
      <c r="K5" s="3">
        <v>3.88</v>
      </c>
      <c r="L5" s="3">
        <v>4.55</v>
      </c>
      <c r="M5" s="4">
        <v>15.806701030927835</v>
      </c>
      <c r="N5" s="4">
        <v>13.479120879120879</v>
      </c>
      <c r="O5" s="5">
        <v>-5.8252427184466105E-2</v>
      </c>
      <c r="P5" s="5">
        <v>0.17268041237113407</v>
      </c>
      <c r="Q5" s="4">
        <v>-2.7134836769759412</v>
      </c>
      <c r="R5" s="4">
        <v>0.78058192553714911</v>
      </c>
      <c r="S5" s="4">
        <v>2.12</v>
      </c>
      <c r="U5" s="3">
        <v>0.47</v>
      </c>
      <c r="V5" s="6">
        <f>3.562/54.441</f>
        <v>6.5428629158171228E-2</v>
      </c>
      <c r="W5" s="6">
        <f>0.507/54.441</f>
        <v>9.312834077257949E-3</v>
      </c>
      <c r="X5" s="3">
        <f>F5-1229+909+7921</f>
        <v>29194</v>
      </c>
      <c r="Y5" s="3">
        <f>X5/1098</f>
        <v>26.588342440801458</v>
      </c>
      <c r="Z5" s="3">
        <f>(0.909+7.921)/18.227</f>
        <v>0.48444615131398472</v>
      </c>
      <c r="AA5" s="8">
        <f>1098/449</f>
        <v>2.44543429844098</v>
      </c>
      <c r="AB5" s="8">
        <f>9.916/6.389</f>
        <v>1.5520425731726404</v>
      </c>
      <c r="AC5">
        <f>(1.229+2.524)/6.389</f>
        <v>0.58741587102832993</v>
      </c>
      <c r="AF5" s="8">
        <f>54.441/36.658</f>
        <v>1.4851055704075509</v>
      </c>
      <c r="AG5" s="7">
        <f>0.507/36.658</f>
        <v>1.3830541764417044E-2</v>
      </c>
      <c r="AH5" s="7">
        <f>0.507/18.227</f>
        <v>2.7815877544302408E-2</v>
      </c>
    </row>
    <row r="6" spans="1:35" x14ac:dyDescent="0.25">
      <c r="B6" s="1"/>
    </row>
    <row r="7" spans="1:35" x14ac:dyDescent="0.25">
      <c r="B7" s="1"/>
    </row>
    <row r="8" spans="1:35" x14ac:dyDescent="0.25">
      <c r="A8" t="s">
        <v>55</v>
      </c>
      <c r="B8" s="1" t="s">
        <v>39</v>
      </c>
      <c r="C8" t="s">
        <v>29</v>
      </c>
      <c r="D8" t="s">
        <v>56</v>
      </c>
      <c r="E8" t="s">
        <v>57</v>
      </c>
      <c r="F8">
        <v>4184.03</v>
      </c>
      <c r="G8" t="s">
        <v>58</v>
      </c>
      <c r="H8" t="s">
        <v>59</v>
      </c>
      <c r="I8">
        <v>87.8</v>
      </c>
      <c r="J8">
        <v>24.95</v>
      </c>
      <c r="S8">
        <v>83.19</v>
      </c>
      <c r="U8">
        <v>0.26</v>
      </c>
    </row>
    <row r="9" spans="1:35" x14ac:dyDescent="0.25">
      <c r="B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A135-ED6B-4366-A894-2AA85EFFB9BC}">
  <dimension ref="A1:G11"/>
  <sheetViews>
    <sheetView tabSelected="1" workbookViewId="0">
      <selection activeCell="A8" sqref="A8"/>
    </sheetView>
  </sheetViews>
  <sheetFormatPr defaultRowHeight="15" x14ac:dyDescent="0.25"/>
  <cols>
    <col min="1" max="1" width="40.42578125" bestFit="1" customWidth="1"/>
    <col min="2" max="2" width="34.140625" bestFit="1" customWidth="1"/>
    <col min="3" max="3" width="28.85546875" bestFit="1" customWidth="1"/>
    <col min="4" max="4" width="26.5703125" bestFit="1" customWidth="1"/>
  </cols>
  <sheetData>
    <row r="1" spans="1:7" x14ac:dyDescent="0.25">
      <c r="A1" t="s">
        <v>60</v>
      </c>
    </row>
    <row r="3" spans="1:7" x14ac:dyDescent="0.25">
      <c r="A3" s="10" t="s">
        <v>61</v>
      </c>
      <c r="B3" s="10" t="s">
        <v>62</v>
      </c>
      <c r="C3" s="10" t="s">
        <v>63</v>
      </c>
      <c r="D3" s="10" t="s">
        <v>64</v>
      </c>
    </row>
    <row r="4" spans="1:7" x14ac:dyDescent="0.25">
      <c r="A4" t="s">
        <v>65</v>
      </c>
      <c r="B4" t="s">
        <v>66</v>
      </c>
      <c r="C4" t="s">
        <v>67</v>
      </c>
      <c r="D4" t="s">
        <v>68</v>
      </c>
    </row>
    <row r="5" spans="1:7" x14ac:dyDescent="0.25">
      <c r="A5" t="s">
        <v>69</v>
      </c>
      <c r="B5" t="s">
        <v>70</v>
      </c>
      <c r="C5" t="s">
        <v>71</v>
      </c>
      <c r="D5" t="s">
        <v>72</v>
      </c>
    </row>
    <row r="6" spans="1:7" x14ac:dyDescent="0.25">
      <c r="A6" t="s">
        <v>73</v>
      </c>
      <c r="B6" t="s">
        <v>74</v>
      </c>
      <c r="C6" t="s">
        <v>75</v>
      </c>
      <c r="D6" t="s">
        <v>76</v>
      </c>
    </row>
    <row r="7" spans="1:7" x14ac:dyDescent="0.25">
      <c r="A7" t="s">
        <v>77</v>
      </c>
      <c r="B7" t="s">
        <v>78</v>
      </c>
      <c r="C7" t="s">
        <v>79</v>
      </c>
      <c r="D7" t="s">
        <v>80</v>
      </c>
    </row>
    <row r="8" spans="1:7" x14ac:dyDescent="0.25">
      <c r="A8" t="s">
        <v>81</v>
      </c>
      <c r="B8" t="s">
        <v>82</v>
      </c>
      <c r="C8" t="s">
        <v>83</v>
      </c>
      <c r="D8" t="s">
        <v>84</v>
      </c>
      <c r="E8" s="11" t="s">
        <v>97</v>
      </c>
      <c r="G8" t="s">
        <v>97</v>
      </c>
    </row>
    <row r="9" spans="1:7" x14ac:dyDescent="0.25">
      <c r="A9" t="s">
        <v>85</v>
      </c>
      <c r="B9" t="s">
        <v>86</v>
      </c>
      <c r="C9" t="s">
        <v>87</v>
      </c>
      <c r="D9" t="s">
        <v>88</v>
      </c>
    </row>
    <row r="10" spans="1:7" x14ac:dyDescent="0.25">
      <c r="A10" t="s">
        <v>89</v>
      </c>
      <c r="B10" t="s">
        <v>90</v>
      </c>
      <c r="C10" t="s">
        <v>91</v>
      </c>
      <c r="D10" t="s">
        <v>92</v>
      </c>
    </row>
    <row r="11" spans="1:7" x14ac:dyDescent="0.25">
      <c r="A11" t="s">
        <v>93</v>
      </c>
      <c r="B11" t="s">
        <v>94</v>
      </c>
      <c r="C11" t="s">
        <v>95</v>
      </c>
      <c r="D11" t="s">
        <v>96</v>
      </c>
    </row>
  </sheetData>
  <hyperlinks>
    <hyperlink ref="E8" r:id="rId1" xr:uid="{CED34B58-B76C-411D-9527-FF4E3E8FA2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2015-06-05T18:19:34Z</dcterms:created>
  <dcterms:modified xsi:type="dcterms:W3CDTF">2026-03-16T19:58:53Z</dcterms:modified>
</cp:coreProperties>
</file>