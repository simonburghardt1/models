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imon\Documents\models\Computer and Technology - Sattelite Communication\"/>
    </mc:Choice>
  </mc:AlternateContent>
  <xr:revisionPtr revIDLastSave="0" documentId="13_ncr:1_{DB1F4429-51F6-4B11-8EF0-9C4B6CE15DD7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Catalysts" sheetId="4" r:id="rId6"/>
    <sheet name="DoR" sheetId="5" r:id="rId7"/>
  </sheets>
  <definedNames>
    <definedName name="_xlchart.v1.0" hidden="1">Model!$B$12</definedName>
    <definedName name="_xlchart.v1.1" hidden="1">Model!$B$13</definedName>
    <definedName name="_xlchart.v1.2" hidden="1">Model!$K$12:$X$12</definedName>
    <definedName name="_xlchart.v1.3" hidden="1">Model!$K$13:$X$13</definedName>
    <definedName name="_xlchart.v1.4" hidden="1">Model!$K$2:$T$2</definedName>
    <definedName name="_xlchart.v1.5" hidden="1">Model!$B$29</definedName>
    <definedName name="_xlchart.v1.6" hidden="1">Model!$B$30</definedName>
    <definedName name="_xlchart.v1.7" hidden="1">Model!$K$29:$X$29</definedName>
    <definedName name="_xlchart.v1.8" hidden="1">Model!$K$2:$T$2</definedName>
    <definedName name="_xlchart.v1.9" hidden="1">Model!$K$30:$X$30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6" i="2" l="1"/>
  <c r="V29" i="2"/>
  <c r="V41" i="2"/>
  <c r="R28" i="2"/>
  <c r="R26" i="2"/>
  <c r="R24" i="2"/>
  <c r="R23" i="2"/>
  <c r="R22" i="2"/>
  <c r="R20" i="2"/>
  <c r="S36" i="2" s="1"/>
  <c r="R19" i="2"/>
  <c r="R18" i="2"/>
  <c r="R14" i="2"/>
  <c r="R11" i="2"/>
  <c r="R12" i="2" s="1"/>
  <c r="R34" i="2" s="1"/>
  <c r="R10" i="2"/>
  <c r="R9" i="2"/>
  <c r="R6" i="2"/>
  <c r="R5" i="2"/>
  <c r="R38" i="2" s="1"/>
  <c r="R4" i="2"/>
  <c r="V37" i="2" s="1"/>
  <c r="R3" i="2"/>
  <c r="V26" i="2"/>
  <c r="V24" i="2"/>
  <c r="V23" i="2"/>
  <c r="V22" i="2"/>
  <c r="V20" i="2"/>
  <c r="V36" i="2" s="1"/>
  <c r="V19" i="2"/>
  <c r="V18" i="2"/>
  <c r="V21" i="2"/>
  <c r="V14" i="2"/>
  <c r="V17" i="2" s="1"/>
  <c r="V11" i="2"/>
  <c r="V10" i="2"/>
  <c r="V12" i="2" s="1"/>
  <c r="V9" i="2"/>
  <c r="V6" i="2"/>
  <c r="V5" i="2"/>
  <c r="V38" i="2" s="1"/>
  <c r="V4" i="2"/>
  <c r="V3" i="2"/>
  <c r="T40" i="2"/>
  <c r="S40" i="2"/>
  <c r="R40" i="2"/>
  <c r="Q40" i="2"/>
  <c r="T39" i="2"/>
  <c r="S39" i="2"/>
  <c r="R39" i="2"/>
  <c r="Q39" i="2"/>
  <c r="T38" i="2"/>
  <c r="S38" i="2"/>
  <c r="Q38" i="2"/>
  <c r="T37" i="2"/>
  <c r="S37" i="2"/>
  <c r="Q37" i="2"/>
  <c r="T36" i="2"/>
  <c r="Q36" i="2"/>
  <c r="X36" i="2"/>
  <c r="W37" i="2"/>
  <c r="X37" i="2"/>
  <c r="W38" i="2"/>
  <c r="X38" i="2"/>
  <c r="V39" i="2"/>
  <c r="W39" i="2"/>
  <c r="X39" i="2"/>
  <c r="V40" i="2"/>
  <c r="W40" i="2"/>
  <c r="X40" i="2"/>
  <c r="U40" i="2"/>
  <c r="U39" i="2"/>
  <c r="U38" i="2"/>
  <c r="U37" i="2"/>
  <c r="U34" i="2"/>
  <c r="U36" i="2"/>
  <c r="U35" i="2"/>
  <c r="F45" i="2"/>
  <c r="G45" i="2"/>
  <c r="E45" i="2"/>
  <c r="D45" i="2"/>
  <c r="C45" i="2"/>
  <c r="T45" i="2"/>
  <c r="S45" i="2"/>
  <c r="R45" i="2"/>
  <c r="Q45" i="2"/>
  <c r="P45" i="2"/>
  <c r="O45" i="2"/>
  <c r="N45" i="2"/>
  <c r="M45" i="2"/>
  <c r="L45" i="2"/>
  <c r="K45" i="2"/>
  <c r="V45" i="2"/>
  <c r="U45" i="2"/>
  <c r="P22" i="2"/>
  <c r="T22" i="2"/>
  <c r="Q22" i="2"/>
  <c r="U22" i="2"/>
  <c r="D36" i="2"/>
  <c r="D39" i="2"/>
  <c r="D38" i="2"/>
  <c r="D37" i="2"/>
  <c r="F38" i="2"/>
  <c r="F37" i="2"/>
  <c r="E38" i="2"/>
  <c r="E37" i="2"/>
  <c r="E36" i="2"/>
  <c r="F36" i="2"/>
  <c r="F40" i="2"/>
  <c r="F39" i="2"/>
  <c r="E22" i="2"/>
  <c r="F22" i="2"/>
  <c r="D12" i="2"/>
  <c r="E12" i="2"/>
  <c r="E35" i="2" s="1"/>
  <c r="F12" i="2"/>
  <c r="F35" i="2" s="1"/>
  <c r="E74" i="2"/>
  <c r="E73" i="2"/>
  <c r="E72" i="2"/>
  <c r="E71" i="2"/>
  <c r="E70" i="2"/>
  <c r="E69" i="2"/>
  <c r="E68" i="2"/>
  <c r="E66" i="2"/>
  <c r="E65" i="2"/>
  <c r="E64" i="2"/>
  <c r="E63" i="2"/>
  <c r="E62" i="2"/>
  <c r="E61" i="2"/>
  <c r="E59" i="2"/>
  <c r="E58" i="2"/>
  <c r="E57" i="2"/>
  <c r="E56" i="2"/>
  <c r="E55" i="2"/>
  <c r="E54" i="2"/>
  <c r="E53" i="2"/>
  <c r="E51" i="2"/>
  <c r="E50" i="2"/>
  <c r="E49" i="2"/>
  <c r="E48" i="2"/>
  <c r="E47" i="2"/>
  <c r="E46" i="2"/>
  <c r="X45" i="2"/>
  <c r="W45" i="2"/>
  <c r="T52" i="2"/>
  <c r="T60" i="2" s="1"/>
  <c r="S52" i="2"/>
  <c r="S60" i="2" s="1"/>
  <c r="N52" i="2"/>
  <c r="N60" i="2" s="1"/>
  <c r="F74" i="2"/>
  <c r="F73" i="2"/>
  <c r="F72" i="2"/>
  <c r="F71" i="2"/>
  <c r="F70" i="2"/>
  <c r="F69" i="2"/>
  <c r="F68" i="2"/>
  <c r="F66" i="2"/>
  <c r="F65" i="2"/>
  <c r="F64" i="2"/>
  <c r="F63" i="2"/>
  <c r="F62" i="2"/>
  <c r="F61" i="2"/>
  <c r="F59" i="2"/>
  <c r="F58" i="2"/>
  <c r="F57" i="2"/>
  <c r="F56" i="2"/>
  <c r="F55" i="2"/>
  <c r="F54" i="2"/>
  <c r="F53" i="2"/>
  <c r="F51" i="2"/>
  <c r="F50" i="2"/>
  <c r="F49" i="2"/>
  <c r="F48" i="2"/>
  <c r="F47" i="2"/>
  <c r="F46" i="2"/>
  <c r="U12" i="2"/>
  <c r="W12" i="2"/>
  <c r="W35" i="2" s="1"/>
  <c r="X12" i="2"/>
  <c r="X35" i="2" s="1"/>
  <c r="U17" i="2"/>
  <c r="W17" i="2"/>
  <c r="X17" i="2"/>
  <c r="U52" i="2"/>
  <c r="U60" i="2" s="1"/>
  <c r="V52" i="2"/>
  <c r="V60" i="2" s="1"/>
  <c r="W52" i="2"/>
  <c r="W60" i="2" s="1"/>
  <c r="X52" i="2"/>
  <c r="X60" i="2" s="1"/>
  <c r="U67" i="2"/>
  <c r="U75" i="2" s="1"/>
  <c r="V67" i="2"/>
  <c r="V75" i="2" s="1"/>
  <c r="W67" i="2"/>
  <c r="W75" i="2" s="1"/>
  <c r="X67" i="2"/>
  <c r="X75" i="2" s="1"/>
  <c r="S12" i="2"/>
  <c r="T12" i="2"/>
  <c r="R17" i="2"/>
  <c r="S17" i="2"/>
  <c r="T17" i="2"/>
  <c r="R52" i="2"/>
  <c r="R60" i="2" s="1"/>
  <c r="R67" i="2"/>
  <c r="R75" i="2" s="1"/>
  <c r="S67" i="2"/>
  <c r="S75" i="2" s="1"/>
  <c r="T67" i="2"/>
  <c r="T75" i="2" s="1"/>
  <c r="G52" i="2"/>
  <c r="G60" i="2" s="1"/>
  <c r="G67" i="2"/>
  <c r="G75" i="2" s="1"/>
  <c r="E39" i="2"/>
  <c r="G39" i="2"/>
  <c r="E40" i="2"/>
  <c r="G40" i="2"/>
  <c r="G12" i="2"/>
  <c r="G17" i="2"/>
  <c r="Q67" i="2"/>
  <c r="Q75" i="2" s="1"/>
  <c r="P67" i="2"/>
  <c r="P75" i="2" s="1"/>
  <c r="O67" i="2"/>
  <c r="O75" i="2" s="1"/>
  <c r="N67" i="2"/>
  <c r="N75" i="2" s="1"/>
  <c r="Q52" i="2"/>
  <c r="Q60" i="2" s="1"/>
  <c r="P52" i="2"/>
  <c r="P60" i="2" s="1"/>
  <c r="O52" i="2"/>
  <c r="O60" i="2" s="1"/>
  <c r="Q17" i="2"/>
  <c r="P17" i="2"/>
  <c r="O17" i="2"/>
  <c r="N17" i="2"/>
  <c r="Q12" i="2"/>
  <c r="Q35" i="2" s="1"/>
  <c r="P12" i="2"/>
  <c r="P35" i="2" s="1"/>
  <c r="O12" i="2"/>
  <c r="O34" i="2" s="1"/>
  <c r="N12" i="2"/>
  <c r="N34" i="2" s="1"/>
  <c r="K12" i="2"/>
  <c r="K35" i="2" s="1"/>
  <c r="L12" i="2"/>
  <c r="M12" i="2"/>
  <c r="M35" i="2" s="1"/>
  <c r="C21" i="1"/>
  <c r="C2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K17" i="2"/>
  <c r="L17" i="2"/>
  <c r="M17" i="2"/>
  <c r="C17" i="2"/>
  <c r="D17" i="2"/>
  <c r="E17" i="2"/>
  <c r="F17" i="2"/>
  <c r="R36" i="2" l="1"/>
  <c r="R37" i="2"/>
  <c r="W36" i="2"/>
  <c r="V35" i="2"/>
  <c r="V34" i="2"/>
  <c r="E52" i="2"/>
  <c r="E60" i="2" s="1"/>
  <c r="E67" i="2"/>
  <c r="E75" i="2" s="1"/>
  <c r="W21" i="2"/>
  <c r="W25" i="2" s="1"/>
  <c r="W27" i="2" s="1"/>
  <c r="W32" i="2" s="1"/>
  <c r="F67" i="2"/>
  <c r="F75" i="2" s="1"/>
  <c r="F52" i="2"/>
  <c r="F60" i="2" s="1"/>
  <c r="X21" i="2"/>
  <c r="X25" i="2" s="1"/>
  <c r="X27" i="2" s="1"/>
  <c r="X32" i="2" s="1"/>
  <c r="U21" i="2"/>
  <c r="U25" i="2" s="1"/>
  <c r="U27" i="2" s="1"/>
  <c r="U29" i="2" s="1"/>
  <c r="V25" i="2"/>
  <c r="V27" i="2" s="1"/>
  <c r="X34" i="2"/>
  <c r="W34" i="2"/>
  <c r="R31" i="2"/>
  <c r="E31" i="2"/>
  <c r="V33" i="2"/>
  <c r="T34" i="2"/>
  <c r="W76" i="2"/>
  <c r="U33" i="2"/>
  <c r="T76" i="2"/>
  <c r="X76" i="2"/>
  <c r="X31" i="2"/>
  <c r="F21" i="2"/>
  <c r="F25" i="2" s="1"/>
  <c r="F27" i="2" s="1"/>
  <c r="F29" i="2" s="1"/>
  <c r="F34" i="2"/>
  <c r="V31" i="2"/>
  <c r="G34" i="2"/>
  <c r="E34" i="2"/>
  <c r="T21" i="2"/>
  <c r="T25" i="2" s="1"/>
  <c r="T27" i="2" s="1"/>
  <c r="T29" i="2" s="1"/>
  <c r="U31" i="2"/>
  <c r="S31" i="2"/>
  <c r="U76" i="2"/>
  <c r="F31" i="2"/>
  <c r="G21" i="2"/>
  <c r="G25" i="2" s="1"/>
  <c r="G27" i="2" s="1"/>
  <c r="X33" i="2"/>
  <c r="W33" i="2"/>
  <c r="W31" i="2"/>
  <c r="L21" i="2"/>
  <c r="L25" i="2" s="1"/>
  <c r="L27" i="2" s="1"/>
  <c r="L29" i="2" s="1"/>
  <c r="E21" i="2"/>
  <c r="G31" i="2"/>
  <c r="Q31" i="2"/>
  <c r="G33" i="2"/>
  <c r="F33" i="2"/>
  <c r="T35" i="2"/>
  <c r="G35" i="2"/>
  <c r="S76" i="2"/>
  <c r="T33" i="2"/>
  <c r="G76" i="2"/>
  <c r="S33" i="2"/>
  <c r="R76" i="2"/>
  <c r="S35" i="2"/>
  <c r="S21" i="2"/>
  <c r="S25" i="2" s="1"/>
  <c r="S27" i="2" s="1"/>
  <c r="R35" i="2"/>
  <c r="R21" i="2"/>
  <c r="R25" i="2" s="1"/>
  <c r="R27" i="2" s="1"/>
  <c r="S34" i="2"/>
  <c r="T31" i="2"/>
  <c r="N76" i="2"/>
  <c r="Q76" i="2"/>
  <c r="K21" i="2"/>
  <c r="K25" i="2" s="1"/>
  <c r="K27" i="2" s="1"/>
  <c r="K29" i="2" s="1"/>
  <c r="N31" i="2"/>
  <c r="L35" i="2"/>
  <c r="P31" i="2"/>
  <c r="P34" i="2"/>
  <c r="P76" i="2"/>
  <c r="O76" i="2"/>
  <c r="Q34" i="2"/>
  <c r="N21" i="2"/>
  <c r="N25" i="2" s="1"/>
  <c r="N27" i="2" s="1"/>
  <c r="N35" i="2"/>
  <c r="O21" i="2"/>
  <c r="O25" i="2" s="1"/>
  <c r="O27" i="2" s="1"/>
  <c r="O35" i="2"/>
  <c r="P21" i="2"/>
  <c r="P25" i="2" s="1"/>
  <c r="P27" i="2" s="1"/>
  <c r="Q21" i="2"/>
  <c r="Q25" i="2" s="1"/>
  <c r="Q27" i="2" s="1"/>
  <c r="O31" i="2"/>
  <c r="M21" i="2"/>
  <c r="M25" i="2" s="1"/>
  <c r="M27" i="2" s="1"/>
  <c r="M29" i="2" s="1"/>
  <c r="C31" i="1"/>
  <c r="C22" i="1"/>
  <c r="C28" i="1" s="1"/>
  <c r="C13" i="1"/>
  <c r="C35" i="1"/>
  <c r="C29" i="1"/>
  <c r="C27" i="1"/>
  <c r="C25" i="1"/>
  <c r="C24" i="1"/>
  <c r="C23" i="1"/>
  <c r="C10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X29" i="2" l="1"/>
  <c r="W29" i="2"/>
  <c r="F76" i="2"/>
  <c r="E76" i="2"/>
  <c r="W41" i="2"/>
  <c r="U32" i="2"/>
  <c r="U41" i="2"/>
  <c r="V32" i="2"/>
  <c r="F32" i="2"/>
  <c r="X41" i="2"/>
  <c r="T32" i="2"/>
  <c r="T41" i="2"/>
  <c r="E25" i="2"/>
  <c r="E27" i="2" s="1"/>
  <c r="G29" i="2"/>
  <c r="G41" i="2" s="1"/>
  <c r="G32" i="2"/>
  <c r="R32" i="2"/>
  <c r="R41" i="2"/>
  <c r="R29" i="2"/>
  <c r="S29" i="2"/>
  <c r="S41" i="2"/>
  <c r="S32" i="2"/>
  <c r="P41" i="2"/>
  <c r="P32" i="2"/>
  <c r="P29" i="2"/>
  <c r="N29" i="2"/>
  <c r="N32" i="2"/>
  <c r="Q32" i="2"/>
  <c r="Q29" i="2"/>
  <c r="Q41" i="2"/>
  <c r="O41" i="2"/>
  <c r="O32" i="2"/>
  <c r="O29" i="2"/>
  <c r="I27" i="5"/>
  <c r="C33" i="1"/>
  <c r="C34" i="1"/>
  <c r="C32" i="1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21" i="2"/>
  <c r="C25" i="2" s="1"/>
  <c r="C27" i="2" s="1"/>
  <c r="K31" i="2"/>
  <c r="L31" i="2"/>
  <c r="M31" i="2"/>
  <c r="K34" i="2"/>
  <c r="L34" i="2"/>
  <c r="M34" i="2"/>
  <c r="K52" i="2"/>
  <c r="K60" i="2" s="1"/>
  <c r="L52" i="2"/>
  <c r="L60" i="2" s="1"/>
  <c r="M52" i="2"/>
  <c r="M60" i="2" s="1"/>
  <c r="K67" i="2"/>
  <c r="K75" i="2" s="1"/>
  <c r="L67" i="2"/>
  <c r="L75" i="2" s="1"/>
  <c r="M67" i="2"/>
  <c r="M75" i="2" s="1"/>
  <c r="D40" i="2"/>
  <c r="E29" i="2" l="1"/>
  <c r="E32" i="2"/>
  <c r="D21" i="2"/>
  <c r="D25" i="2" s="1"/>
  <c r="D27" i="2" s="1"/>
  <c r="E33" i="2"/>
  <c r="K76" i="2"/>
  <c r="M76" i="2"/>
  <c r="L76" i="2"/>
  <c r="K11" i="5"/>
  <c r="D34" i="2"/>
  <c r="D35" i="2"/>
  <c r="C35" i="2"/>
  <c r="C15" i="1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K32" i="2"/>
  <c r="M32" i="2"/>
  <c r="L32" i="2"/>
  <c r="C30" i="1"/>
  <c r="C31" i="2"/>
  <c r="C34" i="2"/>
  <c r="D31" i="2"/>
  <c r="D33" i="2"/>
  <c r="D67" i="2"/>
  <c r="D75" i="2" s="1"/>
  <c r="D52" i="2"/>
  <c r="D60" i="2" s="1"/>
  <c r="C52" i="2"/>
  <c r="C60" i="2" s="1"/>
  <c r="F41" i="2" l="1"/>
  <c r="D76" i="2"/>
  <c r="C16" i="1"/>
  <c r="C14" i="1"/>
  <c r="C17" i="1"/>
  <c r="C19" i="1" s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67" i="2"/>
  <c r="C75" i="2" s="1"/>
  <c r="C76" i="2" s="1"/>
  <c r="C18" i="1" l="1"/>
  <c r="D29" i="2"/>
  <c r="E41" i="2" s="1"/>
  <c r="D32" i="2"/>
  <c r="C29" i="2" l="1"/>
  <c r="C41" i="2" s="1"/>
  <c r="C32" i="2"/>
  <c r="C9" i="1" s="1"/>
  <c r="C11" i="1" s="1"/>
  <c r="D41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<sst xmlns="http://schemas.openxmlformats.org/spreadsheetml/2006/main" count="198" uniqueCount="178">
  <si>
    <t>Price</t>
  </si>
  <si>
    <t>Shares</t>
  </si>
  <si>
    <t>MC</t>
  </si>
  <si>
    <t>CASH</t>
  </si>
  <si>
    <t>DEBT</t>
  </si>
  <si>
    <t>EV</t>
  </si>
  <si>
    <t>Q123</t>
  </si>
  <si>
    <t>FY22</t>
  </si>
  <si>
    <t>FY23</t>
  </si>
  <si>
    <t>Revenue</t>
  </si>
  <si>
    <t>EBITDA</t>
  </si>
  <si>
    <t>Income Tax</t>
  </si>
  <si>
    <t>Net Income</t>
  </si>
  <si>
    <t>EPS</t>
  </si>
  <si>
    <t>Operational Income</t>
  </si>
  <si>
    <t>Cash</t>
  </si>
  <si>
    <t>AR</t>
  </si>
  <si>
    <t>Other</t>
  </si>
  <si>
    <t>Goodwill</t>
  </si>
  <si>
    <t>Total Assets</t>
  </si>
  <si>
    <t>Total Liablities</t>
  </si>
  <si>
    <t>AP</t>
  </si>
  <si>
    <t>Gross Margin</t>
  </si>
  <si>
    <t>Net Margin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</si>
  <si>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</si>
  <si>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</si>
  <si>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</si>
  <si>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</si>
  <si>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</si>
  <si>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</si>
  <si>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</si>
  <si>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</si>
  <si>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</si>
  <si>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</si>
  <si>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</si>
  <si>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</si>
  <si>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</si>
  <si>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</si>
  <si>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</si>
  <si>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</si>
  <si>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</si>
  <si>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</si>
  <si>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</si>
  <si>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</si>
  <si>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</si>
  <si>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</si>
  <si>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</si>
  <si>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</si>
  <si>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</si>
  <si>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</si>
  <si>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Current Assets</t>
  </si>
  <si>
    <t>Total Current Liabilities</t>
  </si>
  <si>
    <t>Gains on Equity</t>
  </si>
  <si>
    <t>Q124</t>
  </si>
  <si>
    <t>EPS exp.</t>
  </si>
  <si>
    <t>Rev. Exp.</t>
  </si>
  <si>
    <t>Q224</t>
  </si>
  <si>
    <t>Interest Collect (exp)</t>
  </si>
  <si>
    <t>FY25</t>
  </si>
  <si>
    <t>PEG1</t>
  </si>
  <si>
    <t>PEG2</t>
  </si>
  <si>
    <t>EBIT</t>
  </si>
  <si>
    <t>EV/EBITDA</t>
  </si>
  <si>
    <t>R&amp;D</t>
  </si>
  <si>
    <t>Notes</t>
  </si>
  <si>
    <t>Restricted Cash</t>
  </si>
  <si>
    <t>Prepaid Expense</t>
  </si>
  <si>
    <t>PP&amp;E</t>
  </si>
  <si>
    <t>Intangible Asset</t>
  </si>
  <si>
    <t>Equity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</si>
  <si>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</si>
  <si>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</si>
  <si>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</si>
  <si>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</si>
  <si>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</si>
  <si>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</si>
  <si>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</si>
  <si>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</si>
  <si>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</si>
  <si>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</si>
  <si>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</si>
  <si>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</si>
  <si>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</si>
  <si>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</si>
  <si>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</si>
  <si>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</si>
  <si>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</si>
  <si>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</si>
  <si>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</si>
  <si>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</si>
  <si>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</si>
  <si>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</si>
  <si>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</si>
  <si>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</si>
  <si>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</si>
  <si>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</si>
  <si>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</si>
  <si>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</si>
  <si>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</si>
  <si>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</si>
  <si>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</si>
  <si>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</si>
  <si>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</si>
  <si>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</si>
  <si>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</si>
  <si>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</si>
  <si>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</si>
  <si>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</si>
  <si>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</si>
  <si>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</si>
  <si>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</si>
  <si>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</si>
  <si>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</si>
  <si>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</si>
  <si>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</si>
  <si>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</si>
  <si>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</si>
  <si>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</si>
  <si>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</si>
  <si>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</si>
  <si>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</si>
  <si>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</si>
  <si>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</si>
  <si>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COGS Prod1</t>
  </si>
  <si>
    <t>COGS Prod3</t>
  </si>
  <si>
    <t>COGS Prod2</t>
  </si>
  <si>
    <t>R&amp;D / REV</t>
  </si>
  <si>
    <t>G&amp;A / REV</t>
  </si>
  <si>
    <t>G&amp;A</t>
  </si>
  <si>
    <t>Net Income before Tax</t>
  </si>
  <si>
    <t>Q324</t>
  </si>
  <si>
    <t>Q424</t>
  </si>
  <si>
    <t>EPS Growth</t>
  </si>
  <si>
    <t>Revenue Growth</t>
  </si>
  <si>
    <t>Sell</t>
  </si>
  <si>
    <t>Hold</t>
  </si>
  <si>
    <t>Buy</t>
  </si>
  <si>
    <t>Strong buy</t>
  </si>
  <si>
    <t>Price Targets</t>
  </si>
  <si>
    <t>FY26</t>
  </si>
  <si>
    <t>Q125</t>
  </si>
  <si>
    <t>Q225</t>
  </si>
  <si>
    <t>Q325</t>
  </si>
  <si>
    <t>Q425</t>
  </si>
  <si>
    <t>Q126</t>
  </si>
  <si>
    <t>Q226</t>
  </si>
  <si>
    <t>PL</t>
  </si>
  <si>
    <t>Short-term investments</t>
  </si>
  <si>
    <t>Inventorys</t>
  </si>
  <si>
    <t>Capitalized internal use-software</t>
  </si>
  <si>
    <t>operating lease</t>
  </si>
  <si>
    <t>other</t>
  </si>
  <si>
    <t>Accrued and other current</t>
  </si>
  <si>
    <t>Deferred revenue</t>
  </si>
  <si>
    <t>Liab from stock options</t>
  </si>
  <si>
    <t>warrant liab</t>
  </si>
  <si>
    <t>deferred hosting costs</t>
  </si>
  <si>
    <t>contingent considerations</t>
  </si>
  <si>
    <t>convertible notes</t>
  </si>
  <si>
    <t>Government Revenue flat</t>
  </si>
  <si>
    <t>Germany and Sweden ocntracts</t>
  </si>
  <si>
    <t>Civil Government</t>
  </si>
  <si>
    <t>Commercial</t>
  </si>
  <si>
    <t>Defense &amp; Intelligence</t>
  </si>
  <si>
    <t>North America</t>
  </si>
  <si>
    <t>Asia Pacific &amp; Japan</t>
  </si>
  <si>
    <t>Europe, Middle East &amp; Afrika</t>
  </si>
  <si>
    <t>Latin America</t>
  </si>
  <si>
    <t>S&amp;M</t>
  </si>
  <si>
    <t>S&amp;M / REV</t>
  </si>
  <si>
    <t>Civil Government Revenue y/y</t>
  </si>
  <si>
    <t>Defense Revenue y/y</t>
  </si>
  <si>
    <t>Asia Rev y/y</t>
  </si>
  <si>
    <t>Europe Rev y/y</t>
  </si>
  <si>
    <t>9 Figure Satellite Services Deal</t>
  </si>
  <si>
    <t>Share Price</t>
  </si>
  <si>
    <t>Consensus</t>
  </si>
  <si>
    <t>FY27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</si>
</sst>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0.0000"/>
    <numFmt numFmtId="167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8" borderId="9" applyNumberFormat="0" applyAlignment="0" applyProtection="0"/>
  </cellStyleXfs>
  <cellXfs count="144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2" fontId="5" fillId="0" borderId="0" xfId="0" applyNumberFormat="1" applyFont="1"/>
    <xf numFmtId="0" fontId="0" fillId="7" borderId="0" xfId="0" applyFill="1"/>
    <xf numFmtId="2" fontId="0" fillId="0" borderId="2" xfId="0" applyNumberFormat="1" applyBorder="1"/>
    <xf numFmtId="10" fontId="2" fillId="0" borderId="0" xfId="1" applyNumberFormat="1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0" borderId="13" xfId="0" applyFont="1" applyFill="1" applyBorder="1"/>
    <xf numFmtId="0" fontId="12" fillId="10" borderId="14" xfId="0" applyFont="1" applyFill="1" applyBorder="1"/>
    <xf numFmtId="0" fontId="12" fillId="10" borderId="15" xfId="0" applyFont="1" applyFill="1" applyBorder="1"/>
    <xf numFmtId="0" fontId="12" fillId="10" borderId="16" xfId="0" applyFont="1" applyFill="1" applyBorder="1"/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12" fillId="10" borderId="19" xfId="0" applyFont="1" applyFill="1" applyBorder="1"/>
    <xf numFmtId="0" fontId="12" fillId="10" borderId="20" xfId="0" applyFont="1" applyFill="1" applyBorder="1"/>
    <xf numFmtId="166" fontId="12" fillId="10" borderId="21" xfId="0" applyNumberFormat="1" applyFont="1" applyFill="1" applyBorder="1"/>
    <xf numFmtId="166" fontId="12" fillId="10" borderId="22" xfId="0" applyNumberFormat="1" applyFont="1" applyFill="1" applyBorder="1"/>
    <xf numFmtId="0" fontId="12" fillId="10" borderId="22" xfId="0" applyFont="1" applyFill="1" applyBorder="1"/>
    <xf numFmtId="10" fontId="12" fillId="10" borderId="22" xfId="0" applyNumberFormat="1" applyFont="1" applyFill="1" applyBorder="1"/>
    <xf numFmtId="10" fontId="12" fillId="10" borderId="23" xfId="0" applyNumberFormat="1" applyFont="1" applyFill="1" applyBorder="1"/>
    <xf numFmtId="166" fontId="12" fillId="10" borderId="24" xfId="0" applyNumberFormat="1" applyFont="1" applyFill="1" applyBorder="1"/>
    <xf numFmtId="166" fontId="12" fillId="10" borderId="25" xfId="0" applyNumberFormat="1" applyFont="1" applyFill="1" applyBorder="1"/>
    <xf numFmtId="0" fontId="12" fillId="10" borderId="25" xfId="0" applyFont="1" applyFill="1" applyBorder="1"/>
    <xf numFmtId="0" fontId="12" fillId="10" borderId="25" xfId="0" quotePrefix="1" applyFont="1" applyFill="1" applyBorder="1"/>
    <xf numFmtId="10" fontId="12" fillId="10" borderId="25" xfId="0" applyNumberFormat="1" applyFont="1" applyFill="1" applyBorder="1"/>
    <xf numFmtId="10" fontId="12" fillId="10" borderId="26" xfId="0" applyNumberFormat="1" applyFont="1" applyFill="1" applyBorder="1"/>
    <xf numFmtId="0" fontId="12" fillId="10" borderId="27" xfId="0" applyFont="1" applyFill="1" applyBorder="1"/>
    <xf numFmtId="0" fontId="12" fillId="10" borderId="28" xfId="0" applyFont="1" applyFill="1" applyBorder="1"/>
    <xf numFmtId="10" fontId="12" fillId="10" borderId="29" xfId="0" applyNumberFormat="1" applyFont="1" applyFill="1" applyBorder="1"/>
    <xf numFmtId="166" fontId="12" fillId="10" borderId="30" xfId="0" applyNumberFormat="1" applyFont="1" applyFill="1" applyBorder="1"/>
    <xf numFmtId="0" fontId="12" fillId="10" borderId="31" xfId="0" applyFont="1" applyFill="1" applyBorder="1"/>
    <xf numFmtId="166" fontId="12" fillId="10" borderId="34" xfId="0" applyNumberFormat="1" applyFont="1" applyFill="1" applyBorder="1"/>
    <xf numFmtId="166" fontId="12" fillId="10" borderId="13" xfId="0" applyNumberFormat="1" applyFont="1" applyFill="1" applyBorder="1"/>
    <xf numFmtId="0" fontId="0" fillId="10" borderId="35" xfId="0" applyFill="1" applyBorder="1"/>
    <xf numFmtId="166" fontId="12" fillId="10" borderId="36" xfId="0" applyNumberFormat="1" applyFont="1" applyFill="1" applyBorder="1"/>
    <xf numFmtId="166" fontId="12" fillId="10" borderId="37" xfId="0" applyNumberFormat="1" applyFont="1" applyFill="1" applyBorder="1"/>
    <xf numFmtId="0" fontId="14" fillId="10" borderId="22" xfId="0" applyFont="1" applyFill="1" applyBorder="1"/>
    <xf numFmtId="0" fontId="14" fillId="10" borderId="23" xfId="0" applyFont="1" applyFill="1" applyBorder="1"/>
    <xf numFmtId="166" fontId="14" fillId="10" borderId="24" xfId="0" applyNumberFormat="1" applyFont="1" applyFill="1" applyBorder="1"/>
    <xf numFmtId="166" fontId="14" fillId="10" borderId="30" xfId="0" applyNumberFormat="1" applyFont="1" applyFill="1" applyBorder="1"/>
    <xf numFmtId="10" fontId="12" fillId="10" borderId="28" xfId="0" applyNumberFormat="1" applyFont="1" applyFill="1" applyBorder="1"/>
    <xf numFmtId="0" fontId="12" fillId="10" borderId="0" xfId="0" applyFont="1" applyFill="1"/>
    <xf numFmtId="1" fontId="12" fillId="10" borderId="24" xfId="0" applyNumberFormat="1" applyFont="1" applyFill="1" applyBorder="1"/>
    <xf numFmtId="10" fontId="12" fillId="10" borderId="38" xfId="0" applyNumberFormat="1" applyFont="1" applyFill="1" applyBorder="1"/>
    <xf numFmtId="9" fontId="14" fillId="10" borderId="39" xfId="0" applyNumberFormat="1" applyFont="1" applyFill="1" applyBorder="1"/>
    <xf numFmtId="10" fontId="0" fillId="10" borderId="41" xfId="0" applyNumberFormat="1" applyFill="1" applyBorder="1" applyAlignment="1">
      <alignment horizontal="centerContinuous"/>
    </xf>
    <xf numFmtId="9" fontId="14" fillId="10" borderId="42" xfId="0" applyNumberFormat="1" applyFont="1" applyFill="1" applyBorder="1"/>
    <xf numFmtId="10" fontId="0" fillId="10" borderId="40" xfId="0" applyNumberFormat="1" applyFill="1" applyBorder="1" applyAlignment="1">
      <alignment horizontal="centerContinuous"/>
    </xf>
    <xf numFmtId="9" fontId="14" fillId="10" borderId="34" xfId="0" applyNumberFormat="1" applyFont="1" applyFill="1" applyBorder="1"/>
    <xf numFmtId="10" fontId="0" fillId="10" borderId="2" xfId="0" applyNumberFormat="1" applyFill="1" applyBorder="1" applyAlignment="1">
      <alignment horizontal="centerContinuous"/>
    </xf>
    <xf numFmtId="9" fontId="14" fillId="10" borderId="1" xfId="0" applyNumberFormat="1" applyFont="1" applyFill="1" applyBorder="1"/>
    <xf numFmtId="10" fontId="0" fillId="10" borderId="31" xfId="0" applyNumberFormat="1" applyFill="1" applyBorder="1" applyAlignment="1">
      <alignment horizontal="centerContinuous"/>
    </xf>
    <xf numFmtId="9" fontId="14" fillId="10" borderId="13" xfId="0" applyNumberFormat="1" applyFont="1" applyFill="1" applyBorder="1"/>
    <xf numFmtId="10" fontId="0" fillId="10" borderId="35" xfId="0" applyNumberFormat="1" applyFill="1" applyBorder="1" applyAlignment="1">
      <alignment horizontal="centerContinuous"/>
    </xf>
    <xf numFmtId="0" fontId="12" fillId="10" borderId="43" xfId="0" applyFont="1" applyFill="1" applyBorder="1"/>
    <xf numFmtId="9" fontId="14" fillId="10" borderId="43" xfId="0" applyNumberFormat="1" applyFont="1" applyFill="1" applyBorder="1"/>
    <xf numFmtId="10" fontId="0" fillId="10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8" borderId="23" xfId="3" applyNumberFormat="1" applyBorder="1"/>
    <xf numFmtId="0" fontId="14" fillId="0" borderId="27" xfId="0" applyFont="1" applyBorder="1"/>
    <xf numFmtId="9" fontId="10" fillId="8" borderId="29" xfId="3" applyNumberFormat="1" applyBorder="1"/>
    <xf numFmtId="0" fontId="12" fillId="0" borderId="0" xfId="0" applyFont="1"/>
    <xf numFmtId="2" fontId="10" fillId="8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0" borderId="31" xfId="0" applyNumberFormat="1" applyFont="1" applyFill="1" applyBorder="1"/>
    <xf numFmtId="2" fontId="12" fillId="10" borderId="31" xfId="0" applyNumberFormat="1" applyFont="1" applyFill="1" applyBorder="1"/>
    <xf numFmtId="3" fontId="5" fillId="0" borderId="2" xfId="0" applyNumberFormat="1" applyFont="1" applyBorder="1"/>
    <xf numFmtId="2" fontId="5" fillId="0" borderId="2" xfId="0" applyNumberFormat="1" applyFont="1" applyBorder="1"/>
    <xf numFmtId="167" fontId="0" fillId="0" borderId="0" xfId="0" applyNumberFormat="1"/>
    <xf numFmtId="2" fontId="2" fillId="3" borderId="0" xfId="0" applyNumberFormat="1" applyFont="1" applyFill="1"/>
    <xf numFmtId="10" fontId="2" fillId="0" borderId="0" xfId="1" applyNumberFormat="1" applyFont="1" applyBorder="1"/>
    <xf numFmtId="0" fontId="0" fillId="6" borderId="0" xfId="0" applyFill="1"/>
    <xf numFmtId="2" fontId="6" fillId="0" borderId="0" xfId="0" applyNumberFormat="1" applyFont="1"/>
    <xf numFmtId="0" fontId="0" fillId="7" borderId="3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/>
    </xf>
    <xf numFmtId="0" fontId="11" fillId="9" borderId="11" xfId="0" applyFont="1" applyFill="1" applyBorder="1" applyAlignment="1">
      <alignment horizontal="center"/>
    </xf>
    <xf numFmtId="0" fontId="11" fillId="9" borderId="12" xfId="0" applyFont="1" applyFill="1" applyBorder="1" applyAlignment="1">
      <alignment horizontal="center"/>
    </xf>
    <xf numFmtId="166" fontId="12" fillId="10" borderId="32" xfId="0" applyNumberFormat="1" applyFont="1" applyFill="1" applyBorder="1" applyAlignment="1">
      <alignment horizontal="center"/>
    </xf>
    <xf numFmtId="166" fontId="12" fillId="10" borderId="44" xfId="0" applyNumberFormat="1" applyFont="1" applyFill="1" applyBorder="1" applyAlignment="1">
      <alignment horizontal="center"/>
    </xf>
    <xf numFmtId="166" fontId="12" fillId="10" borderId="33" xfId="0" applyNumberFormat="1" applyFont="1" applyFill="1" applyBorder="1" applyAlignment="1">
      <alignment horizontal="center"/>
    </xf>
    <xf numFmtId="166" fontId="12" fillId="10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3" fontId="0" fillId="7" borderId="0" xfId="0" applyNumberFormat="1" applyFill="1"/>
    <xf numFmtId="3" fontId="5" fillId="0" borderId="2" xfId="0" applyNumberFormat="1" applyFont="1" applyFill="1" applyBorder="1"/>
    <xf numFmtId="0" fontId="0" fillId="0" borderId="0" xfId="0" applyFill="1"/>
    <xf numFmtId="0" fontId="2" fillId="6" borderId="0" xfId="0" applyFont="1" applyFill="1"/>
    <xf numFmtId="0" fontId="6" fillId="0" borderId="2" xfId="0" applyFont="1" applyFill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00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Analysts!$B$2:$X$2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C-4350-B83D-5F2E75DDA864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Analysts!$B$3:$X$3</c:f>
              <c:numCache>
                <c:formatCode>General</c:formatCode>
                <c:ptCount val="2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C-4350-B83D-5F2E75DDA864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Analysts!$B$4:$X$4</c:f>
              <c:numCache>
                <c:formatCode>General</c:formatCode>
                <c:ptCount val="2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8</c:v>
                </c:pt>
                <c:pt idx="19">
                  <c:v>8</c:v>
                </c:pt>
                <c:pt idx="20">
                  <c:v>7</c:v>
                </c:pt>
                <c:pt idx="21">
                  <c:v>7</c:v>
                </c:pt>
                <c:pt idx="2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C-4350-B83D-5F2E75DDA864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Analysts!$B$5:$X$5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C-4350-B83D-5F2E75DDA8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Analysts!$B$9:$X$9</c:f>
              <c:numCache>
                <c:formatCode>General</c:formatCode>
                <c:ptCount val="23"/>
                <c:pt idx="0">
                  <c:v>1.85</c:v>
                </c:pt>
                <c:pt idx="1">
                  <c:v>1.91</c:v>
                </c:pt>
                <c:pt idx="2">
                  <c:v>1.9</c:v>
                </c:pt>
                <c:pt idx="3">
                  <c:v>2.2400000000000002</c:v>
                </c:pt>
                <c:pt idx="4">
                  <c:v>2.41</c:v>
                </c:pt>
                <c:pt idx="5">
                  <c:v>2.19</c:v>
                </c:pt>
                <c:pt idx="6">
                  <c:v>2.44</c:v>
                </c:pt>
                <c:pt idx="7">
                  <c:v>3.8</c:v>
                </c:pt>
                <c:pt idx="8">
                  <c:v>4.04</c:v>
                </c:pt>
                <c:pt idx="9">
                  <c:v>5.54</c:v>
                </c:pt>
                <c:pt idx="10">
                  <c:v>4.68</c:v>
                </c:pt>
                <c:pt idx="11">
                  <c:v>3.53</c:v>
                </c:pt>
                <c:pt idx="12">
                  <c:v>3.44</c:v>
                </c:pt>
                <c:pt idx="13">
                  <c:v>4.5199999999999996</c:v>
                </c:pt>
                <c:pt idx="14">
                  <c:v>6.02</c:v>
                </c:pt>
                <c:pt idx="15">
                  <c:v>6.54</c:v>
                </c:pt>
                <c:pt idx="16">
                  <c:v>7.59</c:v>
                </c:pt>
                <c:pt idx="17">
                  <c:v>13.31</c:v>
                </c:pt>
                <c:pt idx="18">
                  <c:v>12.84</c:v>
                </c:pt>
                <c:pt idx="19">
                  <c:v>13.13</c:v>
                </c:pt>
                <c:pt idx="20">
                  <c:v>21.38</c:v>
                </c:pt>
                <c:pt idx="21">
                  <c:v>24.7</c:v>
                </c:pt>
                <c:pt idx="22">
                  <c:v>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B-4CCB-ADAE-0606DD7B1945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Consensus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Analysts!$B$1:$X$1</c:f>
              <c:numCache>
                <c:formatCode>[$-407]mmm/\ yy;@</c:formatCode>
                <c:ptCount val="23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  <c:pt idx="11">
                  <c:v>45748</c:v>
                </c:pt>
                <c:pt idx="12">
                  <c:v>45778</c:v>
                </c:pt>
                <c:pt idx="13">
                  <c:v>45809</c:v>
                </c:pt>
                <c:pt idx="14">
                  <c:v>45839</c:v>
                </c:pt>
                <c:pt idx="15">
                  <c:v>45870</c:v>
                </c:pt>
                <c:pt idx="16">
                  <c:v>45901</c:v>
                </c:pt>
                <c:pt idx="17">
                  <c:v>45931</c:v>
                </c:pt>
                <c:pt idx="18">
                  <c:v>45962</c:v>
                </c:pt>
                <c:pt idx="19">
                  <c:v>45992</c:v>
                </c:pt>
                <c:pt idx="20">
                  <c:v>46023</c:v>
                </c:pt>
                <c:pt idx="21">
                  <c:v>46054</c:v>
                </c:pt>
                <c:pt idx="22">
                  <c:v>46082</c:v>
                </c:pt>
              </c:numCache>
            </c:numRef>
          </c:cat>
          <c:val>
            <c:numRef>
              <c:f>Analysts!$B$10:$X$10</c:f>
              <c:numCache>
                <c:formatCode>General</c:formatCode>
                <c:ptCount val="23"/>
                <c:pt idx="0">
                  <c:v>4.68</c:v>
                </c:pt>
                <c:pt idx="1">
                  <c:v>4.68</c:v>
                </c:pt>
                <c:pt idx="2">
                  <c:v>4.3</c:v>
                </c:pt>
                <c:pt idx="3">
                  <c:v>4.3</c:v>
                </c:pt>
                <c:pt idx="4">
                  <c:v>4.3899999999999997</c:v>
                </c:pt>
                <c:pt idx="5">
                  <c:v>3.93</c:v>
                </c:pt>
                <c:pt idx="6">
                  <c:v>3.93</c:v>
                </c:pt>
                <c:pt idx="7">
                  <c:v>3.93</c:v>
                </c:pt>
                <c:pt idx="8">
                  <c:v>4.33</c:v>
                </c:pt>
                <c:pt idx="9">
                  <c:v>5.64</c:v>
                </c:pt>
                <c:pt idx="10">
                  <c:v>6.27</c:v>
                </c:pt>
                <c:pt idx="11">
                  <c:v>6.27</c:v>
                </c:pt>
                <c:pt idx="12">
                  <c:v>5.98</c:v>
                </c:pt>
                <c:pt idx="13">
                  <c:v>5.98</c:v>
                </c:pt>
                <c:pt idx="14">
                  <c:v>6.71</c:v>
                </c:pt>
                <c:pt idx="15">
                  <c:v>6.86</c:v>
                </c:pt>
                <c:pt idx="16">
                  <c:v>6.86</c:v>
                </c:pt>
                <c:pt idx="17">
                  <c:v>7.56</c:v>
                </c:pt>
                <c:pt idx="18">
                  <c:v>11.26</c:v>
                </c:pt>
                <c:pt idx="19">
                  <c:v>11.26</c:v>
                </c:pt>
                <c:pt idx="20">
                  <c:v>14.74</c:v>
                </c:pt>
                <c:pt idx="21">
                  <c:v>20.64</c:v>
                </c:pt>
                <c:pt idx="22">
                  <c:v>21.88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B-4CCB-ADAE-0606DD7B1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Model!$K$2:$X$2</c:f>
              <c:strCache>
                <c:ptCount val="14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  <c:pt idx="10">
                  <c:v>Q325</c:v>
                </c:pt>
                <c:pt idx="11">
                  <c:v>Q425</c:v>
                </c:pt>
                <c:pt idx="12">
                  <c:v>Q126</c:v>
                </c:pt>
                <c:pt idx="13">
                  <c:v>Q226</c:v>
                </c:pt>
              </c:strCache>
            </c:strRef>
          </c:cat>
          <c:val>
            <c:numRef>
              <c:f>Model!$K$12:$X$12</c:f>
              <c:numCache>
                <c:formatCode>#,##0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60.44</c:v>
                </c:pt>
                <c:pt idx="5">
                  <c:v>61.091999999999999</c:v>
                </c:pt>
                <c:pt idx="6">
                  <c:v>61.266000000000005</c:v>
                </c:pt>
                <c:pt idx="7">
                  <c:v>61.554000000000016</c:v>
                </c:pt>
                <c:pt idx="8">
                  <c:v>66.265000000000001</c:v>
                </c:pt>
                <c:pt idx="9">
                  <c:v>73.385999999999996</c:v>
                </c:pt>
                <c:pt idx="10">
                  <c:v>81.254000000000005</c:v>
                </c:pt>
                <c:pt idx="11">
                  <c:v>86.821999999999989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Model!$K$33:$X$33</c:f>
              <c:numCache>
                <c:formatCode>0%</c:formatCode>
                <c:ptCount val="14"/>
                <c:pt idx="8">
                  <c:v>9.6376571806750633E-2</c:v>
                </c:pt>
                <c:pt idx="9">
                  <c:v>0.20123747790218016</c:v>
                </c:pt>
                <c:pt idx="10">
                  <c:v>0.32624946952632783</c:v>
                </c:pt>
                <c:pt idx="11">
                  <c:v>0.41050134840952612</c:v>
                </c:pt>
                <c:pt idx="12">
                  <c:v>-1</c:v>
                </c:pt>
                <c:pt idx="13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FF0-459B-A546-819F3C5FC9B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F0-459B-A546-819F3C5FC9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Model!$C$12:$G$12</c:f>
              <c:numCache>
                <c:formatCode>#,##0</c:formatCode>
                <c:ptCount val="5"/>
                <c:pt idx="1">
                  <c:v>220.696</c:v>
                </c:pt>
                <c:pt idx="2">
                  <c:v>244.352</c:v>
                </c:pt>
                <c:pt idx="3">
                  <c:v>307.72699999999998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Model!$B$33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Model!$C$33:$G$33</c:f>
              <c:numCache>
                <c:formatCode>0%</c:formatCode>
                <c:ptCount val="5"/>
                <c:pt idx="1">
                  <c:v>0</c:v>
                </c:pt>
                <c:pt idx="2">
                  <c:v>0.10718816834016032</c:v>
                </c:pt>
                <c:pt idx="3">
                  <c:v>0.25935944866422189</c:v>
                </c:pt>
                <c:pt idx="4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Model!$K$29:$X$29</c:f>
              <c:numCache>
                <c:formatCode>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-0.10161699196233981</c:v>
                </c:pt>
                <c:pt idx="5">
                  <c:v>-0.1331706324426177</c:v>
                </c:pt>
                <c:pt idx="6">
                  <c:v>-6.8457023218770494E-2</c:v>
                </c:pt>
                <c:pt idx="7">
                  <c:v>-0.12033918808894936</c:v>
                </c:pt>
                <c:pt idx="8">
                  <c:v>-4.2055770240841471E-2</c:v>
                </c:pt>
                <c:pt idx="9">
                  <c:v>-7.428421770373618E-2</c:v>
                </c:pt>
                <c:pt idx="10">
                  <c:v>-0.19138346158515165</c:v>
                </c:pt>
                <c:pt idx="11">
                  <c:v>-0.4953063200014306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Model!$B$41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Model!$K$41:$X$41</c:f>
              <c:numCache>
                <c:formatCode>0%</c:formatCode>
                <c:ptCount val="14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-0.56890724746526422</c:v>
                </c:pt>
                <c:pt idx="9">
                  <c:v>-0.41574428467983882</c:v>
                </c:pt>
                <c:pt idx="10">
                  <c:v>1.9473133808077279</c:v>
                </c:pt>
                <c:pt idx="11">
                  <c:v>3.3367753313989903</c:v>
                </c:pt>
                <c:pt idx="12">
                  <c:v>-1</c:v>
                </c:pt>
                <c:pt idx="13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Model!$B$29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Model!$C$29:$G$29</c:f>
              <c:numCache>
                <c:formatCode>0.00</c:formatCode>
                <c:ptCount val="5"/>
                <c:pt idx="0">
                  <c:v>0</c:v>
                </c:pt>
                <c:pt idx="1">
                  <c:v>-0.50256147222523528</c:v>
                </c:pt>
                <c:pt idx="2">
                  <c:v>-0.42172460077960439</c:v>
                </c:pt>
                <c:pt idx="3">
                  <c:v>-0.80201579584502403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Model!$B$41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Model!$C$41:$G$41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-0.16084971871739873</c:v>
                </c:pt>
                <c:pt idx="3">
                  <c:v>0.90175245732027354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Model!$B$34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Model!$K$34:$X$34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0.42337855724685636</c:v>
                </c:pt>
                <c:pt idx="5">
                  <c:v>0.44604858246578932</c:v>
                </c:pt>
                <c:pt idx="6">
                  <c:v>0.41158228054712237</c:v>
                </c:pt>
                <c:pt idx="7">
                  <c:v>0.37285960295025483</c:v>
                </c:pt>
                <c:pt idx="8">
                  <c:v>0.34820795291632084</c:v>
                </c:pt>
                <c:pt idx="9">
                  <c:v>0.3291499741095032</c:v>
                </c:pt>
                <c:pt idx="10">
                  <c:v>0.33631575060920077</c:v>
                </c:pt>
                <c:pt idx="11">
                  <c:v>0.37079311695192463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Model!$B$35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Model!$K$35:$X$35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0.35547650562541366</c:v>
                </c:pt>
                <c:pt idx="5">
                  <c:v>0.38847967000589279</c:v>
                </c:pt>
                <c:pt idx="6">
                  <c:v>0.27413247151764436</c:v>
                </c:pt>
                <c:pt idx="7">
                  <c:v>0.25475192513890232</c:v>
                </c:pt>
                <c:pt idx="8">
                  <c:v>0.24619331472119521</c:v>
                </c:pt>
                <c:pt idx="9">
                  <c:v>0.23947346905404304</c:v>
                </c:pt>
                <c:pt idx="10">
                  <c:v>0.33631575060920077</c:v>
                </c:pt>
                <c:pt idx="11">
                  <c:v>0.37079311695192463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Model!$B$36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Model!$K$2:$T$2</c:f>
              <c:strCache>
                <c:ptCount val="10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  <c:pt idx="5">
                  <c:v>Q224</c:v>
                </c:pt>
                <c:pt idx="6">
                  <c:v>Q324</c:v>
                </c:pt>
                <c:pt idx="7">
                  <c:v>Q424</c:v>
                </c:pt>
                <c:pt idx="8">
                  <c:v>Q125</c:v>
                </c:pt>
                <c:pt idx="9">
                  <c:v>Q225</c:v>
                </c:pt>
              </c:strCache>
            </c:strRef>
          </c:cat>
          <c:val>
            <c:numRef>
              <c:f>Model!$K$36:$X$36</c:f>
              <c:numCache>
                <c:formatCode>0%</c:formatCode>
                <c:ptCount val="14"/>
                <c:pt idx="6">
                  <c:v>-0.13346727898966704</c:v>
                </c:pt>
                <c:pt idx="7">
                  <c:v>4.609694159213884E-2</c:v>
                </c:pt>
                <c:pt idx="8">
                  <c:v>5.4725843052403578E-2</c:v>
                </c:pt>
                <c:pt idx="9">
                  <c:v>-7.4402081457019986E-2</c:v>
                </c:pt>
                <c:pt idx="10">
                  <c:v>1.7027947456619286E-2</c:v>
                </c:pt>
                <c:pt idx="11">
                  <c:v>0.63888593600510224</c:v>
                </c:pt>
                <c:pt idx="12">
                  <c:v>-1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Model!$B$34</c:f>
              <c:strCache>
                <c:ptCount val="1"/>
                <c:pt idx="0">
                  <c:v>R&amp;D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Model!$C$34:$G$34</c:f>
              <c:numCache>
                <c:formatCode>0%</c:formatCode>
                <c:ptCount val="5"/>
                <c:pt idx="0">
                  <c:v>0</c:v>
                </c:pt>
                <c:pt idx="1">
                  <c:v>0.5271459383042737</c:v>
                </c:pt>
                <c:pt idx="2">
                  <c:v>0.41336268988999475</c:v>
                </c:pt>
                <c:pt idx="3">
                  <c:v>0.34689513757323864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Model!$B$35</c:f>
              <c:strCache>
                <c:ptCount val="1"/>
                <c:pt idx="0">
                  <c:v>S&amp;M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Model!$C$35:$F$35</c:f>
              <c:numCache>
                <c:formatCode>0%</c:formatCode>
                <c:ptCount val="4"/>
                <c:pt idx="0">
                  <c:v>0</c:v>
                </c:pt>
                <c:pt idx="1">
                  <c:v>0.39105375720448038</c:v>
                </c:pt>
                <c:pt idx="2">
                  <c:v>0.41336268988999475</c:v>
                </c:pt>
                <c:pt idx="3">
                  <c:v>0.23617037179058065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Model!$B$36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Model!$C$2:$G$2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</c:v>
                </c:pt>
              </c:strCache>
            </c:strRef>
          </c:cat>
          <c:val>
            <c:numRef>
              <c:f>Model!$C$36:$F$36</c:f>
              <c:numCache>
                <c:formatCode>0%</c:formatCode>
                <c:ptCount val="4"/>
                <c:pt idx="1">
                  <c:v>0</c:v>
                </c:pt>
                <c:pt idx="2">
                  <c:v>-3.6325026544250849E-2</c:v>
                </c:pt>
                <c:pt idx="3">
                  <c:v>0.14240346351769984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_xlchart.v1.8</cx:f>
      </cx:strDim>
      <cx:numDim type="val">
        <cx:f dir="row">_xlchart.v1.9</cx:f>
      </cx:numDim>
    </cx:data>
    <cx:data id="1">
      <cx:strDim type="cat">
        <cx:f dir="row">_xlchart.v1.8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12</xdr:row>
      <xdr:rowOff>123825</xdr:rowOff>
    </xdr:from>
    <xdr:to>
      <xdr:col>7</xdr:col>
      <xdr:colOff>609599</xdr:colOff>
      <xdr:row>29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02B15D-726B-473F-90BD-9DE5AEBE5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12</xdr:row>
      <xdr:rowOff>109536</xdr:rowOff>
    </xdr:from>
    <xdr:to>
      <xdr:col>16</xdr:col>
      <xdr:colOff>123825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8602F0-0E7E-4D3A-B594-2B15361E1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4"/>
  <sheetViews>
    <sheetView workbookViewId="0">
      <selection activeCell="E31" sqref="E31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4" t="s">
        <v>146</v>
      </c>
      <c r="C2" s="19"/>
      <c r="E2" s="24" t="s">
        <v>38</v>
      </c>
      <c r="F2" s="50" t="s">
        <v>39</v>
      </c>
      <c r="G2" s="25"/>
      <c r="H2" s="26" t="s">
        <v>46</v>
      </c>
      <c r="I2" s="26" t="s">
        <v>1</v>
      </c>
      <c r="J2" s="27" t="s">
        <v>39</v>
      </c>
      <c r="L2" s="30" t="s">
        <v>32</v>
      </c>
      <c r="M2" s="31" t="s">
        <v>48</v>
      </c>
      <c r="N2" s="32" t="s">
        <v>47</v>
      </c>
    </row>
    <row r="3" spans="2:14" x14ac:dyDescent="0.25">
      <c r="B3" s="5" t="s">
        <v>31</v>
      </c>
      <c r="C3" s="20">
        <v>45971</v>
      </c>
      <c r="E3" s="5"/>
      <c r="F3" s="28"/>
      <c r="I3" s="10"/>
      <c r="J3" s="38"/>
      <c r="L3" s="5"/>
      <c r="N3" s="37"/>
    </row>
    <row r="4" spans="2:14" x14ac:dyDescent="0.25">
      <c r="B4" s="5"/>
      <c r="C4" s="21">
        <v>0.60555555555555551</v>
      </c>
      <c r="E4" s="5"/>
      <c r="F4" s="28"/>
      <c r="I4" s="10"/>
      <c r="J4" s="38"/>
      <c r="L4" s="5"/>
      <c r="N4" s="13"/>
    </row>
    <row r="5" spans="2:14" x14ac:dyDescent="0.25">
      <c r="B5" s="5"/>
      <c r="C5" s="13"/>
      <c r="E5" s="5"/>
      <c r="F5" s="28"/>
      <c r="I5" s="10"/>
      <c r="J5" s="38"/>
      <c r="L5" s="5"/>
      <c r="N5" s="13"/>
    </row>
    <row r="6" spans="2:14" x14ac:dyDescent="0.25">
      <c r="B6" s="5" t="s">
        <v>0</v>
      </c>
      <c r="C6" s="13"/>
      <c r="E6" s="5"/>
      <c r="F6" s="28"/>
      <c r="I6" s="10"/>
      <c r="J6" s="38"/>
      <c r="L6" s="5"/>
      <c r="N6" s="13"/>
    </row>
    <row r="7" spans="2:14" x14ac:dyDescent="0.25">
      <c r="B7" s="5" t="s">
        <v>1</v>
      </c>
      <c r="C7" s="15"/>
      <c r="E7" s="5"/>
      <c r="F7" s="28"/>
      <c r="I7" s="10"/>
      <c r="J7" s="38"/>
      <c r="L7" s="5"/>
      <c r="N7" s="13"/>
    </row>
    <row r="8" spans="2:14" x14ac:dyDescent="0.25">
      <c r="B8" s="5" t="s">
        <v>2</v>
      </c>
      <c r="C8" s="15">
        <f>C6*C7</f>
        <v>0</v>
      </c>
      <c r="E8" s="5"/>
      <c r="F8" s="28"/>
      <c r="I8" s="10"/>
      <c r="J8" s="38"/>
      <c r="L8" s="5"/>
      <c r="N8" s="13"/>
    </row>
    <row r="9" spans="2:14" x14ac:dyDescent="0.25">
      <c r="B9" s="5" t="s">
        <v>3</v>
      </c>
      <c r="C9" s="15" t="e">
        <f>Model!C32</f>
        <v>#DIV/0!</v>
      </c>
      <c r="E9" s="5"/>
      <c r="F9" s="28"/>
      <c r="I9" s="10"/>
      <c r="J9" s="38"/>
      <c r="L9" s="5"/>
      <c r="N9" s="13"/>
    </row>
    <row r="10" spans="2:14" x14ac:dyDescent="0.25">
      <c r="B10" s="5" t="s">
        <v>4</v>
      </c>
      <c r="C10" s="15">
        <f>Model!C46+Model!C50</f>
        <v>0</v>
      </c>
      <c r="E10" s="5"/>
      <c r="F10" s="28"/>
      <c r="I10" s="10"/>
      <c r="J10" s="38"/>
      <c r="L10" s="5"/>
      <c r="N10" s="13"/>
    </row>
    <row r="11" spans="2:14" x14ac:dyDescent="0.25">
      <c r="B11" s="5" t="s">
        <v>26</v>
      </c>
      <c r="C11" s="15" t="e">
        <f>C9-C10</f>
        <v>#DIV/0!</v>
      </c>
      <c r="E11" s="5"/>
      <c r="F11" s="28"/>
      <c r="I11" s="10"/>
      <c r="J11" s="38"/>
      <c r="L11" s="5"/>
      <c r="N11" s="13"/>
    </row>
    <row r="12" spans="2:14" x14ac:dyDescent="0.25">
      <c r="B12" s="5" t="s">
        <v>5</v>
      </c>
      <c r="C12" s="15" t="e">
        <f>C8-C9+C10</f>
        <v>#DIV/0!</v>
      </c>
      <c r="E12" s="5"/>
      <c r="F12" s="28"/>
      <c r="J12" s="13"/>
      <c r="L12" s="5"/>
      <c r="N12" s="13"/>
    </row>
    <row r="13" spans="2:14" x14ac:dyDescent="0.25">
      <c r="B13" s="5" t="s">
        <v>37</v>
      </c>
      <c r="C13" s="36" t="e">
        <f>C6/Model!#REF!</f>
        <v>#REF!</v>
      </c>
      <c r="E13" s="5"/>
      <c r="J13" s="13"/>
      <c r="L13" s="5"/>
      <c r="N13" s="13"/>
    </row>
    <row r="14" spans="2:14" x14ac:dyDescent="0.25">
      <c r="B14" s="5" t="s">
        <v>35</v>
      </c>
      <c r="C14" s="36">
        <f>C6/Model!D21</f>
        <v>0</v>
      </c>
      <c r="E14" s="22"/>
      <c r="F14" s="29"/>
      <c r="G14" s="29"/>
      <c r="H14" s="29"/>
      <c r="I14" s="29"/>
      <c r="J14" s="23"/>
      <c r="L14" s="22"/>
      <c r="M14" s="29"/>
      <c r="N14" s="23"/>
    </row>
    <row r="15" spans="2:14" x14ac:dyDescent="0.25">
      <c r="B15" s="5" t="s">
        <v>36</v>
      </c>
      <c r="C15" s="36">
        <f>C6/Model!E21</f>
        <v>0</v>
      </c>
    </row>
    <row r="16" spans="2:14" x14ac:dyDescent="0.25">
      <c r="B16" s="5" t="s">
        <v>33</v>
      </c>
      <c r="C16" s="6" t="e">
        <f>Model!D21/Model!#REF!-1</f>
        <v>#REF!</v>
      </c>
    </row>
    <row r="17" spans="2:14" x14ac:dyDescent="0.25">
      <c r="B17" s="5" t="s">
        <v>34</v>
      </c>
      <c r="C17" s="6">
        <f>Model!E21/Model!D21-1</f>
        <v>-0.31591535688196637</v>
      </c>
      <c r="E17" s="33" t="s">
        <v>44</v>
      </c>
      <c r="L17" s="120"/>
      <c r="M17" s="121"/>
      <c r="N17" s="122"/>
    </row>
    <row r="18" spans="2:14" x14ac:dyDescent="0.25">
      <c r="B18" s="5" t="s">
        <v>59</v>
      </c>
      <c r="C18" s="44" t="e">
        <f>C14/(C16*100)</f>
        <v>#REF!</v>
      </c>
      <c r="L18" s="123"/>
      <c r="M18" s="124"/>
      <c r="N18" s="125"/>
    </row>
    <row r="19" spans="2:14" x14ac:dyDescent="0.25">
      <c r="B19" s="5" t="s">
        <v>60</v>
      </c>
      <c r="C19" s="44">
        <f>C15/(C17*100)</f>
        <v>0</v>
      </c>
      <c r="L19" s="123"/>
      <c r="M19" s="124"/>
      <c r="N19" s="125"/>
    </row>
    <row r="20" spans="2:14" x14ac:dyDescent="0.25">
      <c r="B20" s="5" t="s">
        <v>71</v>
      </c>
      <c r="C20" s="6" t="e">
        <f>Model!D10/Model!C9-1</f>
        <v>#DIV/0!</v>
      </c>
      <c r="L20" s="123"/>
      <c r="M20" s="124"/>
      <c r="N20" s="125"/>
    </row>
    <row r="21" spans="2:14" x14ac:dyDescent="0.25">
      <c r="B21" s="5" t="s">
        <v>72</v>
      </c>
      <c r="C21" s="6" t="e">
        <f>Model!D11/Model!C10-1</f>
        <v>#DIV/0!</v>
      </c>
      <c r="L21" s="123"/>
      <c r="M21" s="124"/>
      <c r="N21" s="125"/>
    </row>
    <row r="22" spans="2:14" x14ac:dyDescent="0.25">
      <c r="B22" s="5" t="s">
        <v>61</v>
      </c>
      <c r="C22" s="15">
        <f>Model!C18+Model!C16</f>
        <v>0</v>
      </c>
      <c r="L22" s="123"/>
      <c r="M22" s="124"/>
      <c r="N22" s="125"/>
    </row>
    <row r="23" spans="2:14" x14ac:dyDescent="0.25">
      <c r="B23" s="5" t="s">
        <v>10</v>
      </c>
      <c r="C23" s="15">
        <f>Model!C18</f>
        <v>0</v>
      </c>
      <c r="L23" s="123"/>
      <c r="M23" s="124"/>
      <c r="N23" s="125"/>
    </row>
    <row r="24" spans="2:14" x14ac:dyDescent="0.25">
      <c r="B24" s="5" t="s">
        <v>22</v>
      </c>
      <c r="C24" s="7">
        <f>Model!C22</f>
        <v>0</v>
      </c>
      <c r="L24" s="123"/>
      <c r="M24" s="124"/>
      <c r="N24" s="125"/>
    </row>
    <row r="25" spans="2:14" x14ac:dyDescent="0.25">
      <c r="B25" s="5" t="s">
        <v>23</v>
      </c>
      <c r="C25" s="7">
        <f>Model!C23</f>
        <v>0</v>
      </c>
      <c r="L25" s="123"/>
      <c r="M25" s="124"/>
      <c r="N25" s="125"/>
    </row>
    <row r="26" spans="2:14" x14ac:dyDescent="0.25">
      <c r="B26" s="5" t="s">
        <v>62</v>
      </c>
      <c r="C26" s="36" t="e">
        <f>C12/C23</f>
        <v>#DIV/0!</v>
      </c>
      <c r="L26" s="123"/>
      <c r="M26" s="124"/>
      <c r="N26" s="125"/>
    </row>
    <row r="27" spans="2:14" x14ac:dyDescent="0.25">
      <c r="B27" s="5" t="s">
        <v>73</v>
      </c>
      <c r="C27" s="110" t="e">
        <f>Model!#REF!/Model!#REF!</f>
        <v>#REF!</v>
      </c>
      <c r="E27" t="s">
        <v>64</v>
      </c>
      <c r="L27" s="123"/>
      <c r="M27" s="124"/>
      <c r="N27" s="125"/>
    </row>
    <row r="28" spans="2:14" x14ac:dyDescent="0.25">
      <c r="B28" s="5" t="s">
        <v>74</v>
      </c>
      <c r="C28" s="36" t="e">
        <f>C22/-Model!C16</f>
        <v>#DIV/0!</v>
      </c>
      <c r="E28" t="s">
        <v>159</v>
      </c>
      <c r="L28" s="126"/>
      <c r="M28" s="127"/>
      <c r="N28" s="128"/>
    </row>
    <row r="29" spans="2:14" x14ac:dyDescent="0.25">
      <c r="B29" s="5" t="s">
        <v>75</v>
      </c>
      <c r="C29" s="36" t="e">
        <f>Model!#REF!/Model!#REF!</f>
        <v>#REF!</v>
      </c>
      <c r="E29" t="s">
        <v>160</v>
      </c>
    </row>
    <row r="30" spans="2:14" x14ac:dyDescent="0.25">
      <c r="B30" s="5" t="s">
        <v>76</v>
      </c>
      <c r="C30" s="36" t="e">
        <f>(Model!#REF!+Model!#REF!)/Model!#REF!</f>
        <v>#REF!</v>
      </c>
      <c r="E30" t="s">
        <v>174</v>
      </c>
    </row>
    <row r="31" spans="2:14" x14ac:dyDescent="0.25">
      <c r="B31" s="5" t="s">
        <v>77</v>
      </c>
      <c r="C31" s="6" t="e">
        <f>(Model!#REF!-Model!#REF!)/Model!#REF!</f>
        <v>#REF!</v>
      </c>
    </row>
    <row r="32" spans="2:14" x14ac:dyDescent="0.25">
      <c r="B32" s="5" t="s">
        <v>78</v>
      </c>
      <c r="C32" s="36" t="e">
        <f>(Model!#REF!-Model!#REF!)/Main!C7</f>
        <v>#REF!</v>
      </c>
    </row>
    <row r="33" spans="2:9" x14ac:dyDescent="0.25">
      <c r="B33" s="5" t="s">
        <v>79</v>
      </c>
      <c r="C33" s="36" t="e">
        <f>Model!#REF!/Model!#REF!</f>
        <v>#REF!</v>
      </c>
    </row>
    <row r="34" spans="2:9" x14ac:dyDescent="0.25">
      <c r="B34" s="5" t="s">
        <v>80</v>
      </c>
      <c r="C34" s="38" t="e">
        <f>Model!#REF!/Model!#REF!</f>
        <v>#REF!</v>
      </c>
    </row>
    <row r="35" spans="2:9" x14ac:dyDescent="0.25">
      <c r="B35" s="5" t="s">
        <v>81</v>
      </c>
      <c r="C35" s="38" t="e">
        <f>Model!#REF!/Model!#REF!</f>
        <v>#REF!</v>
      </c>
    </row>
    <row r="36" spans="2:9" x14ac:dyDescent="0.25">
      <c r="B36" s="22" t="s">
        <v>82</v>
      </c>
      <c r="C36" s="23"/>
    </row>
    <row r="41" spans="2:9" x14ac:dyDescent="0.25">
      <c r="E41" s="46"/>
      <c r="F41" s="46"/>
      <c r="G41" s="49"/>
      <c r="H41" s="49"/>
      <c r="I41" s="49"/>
    </row>
    <row r="42" spans="2:9" x14ac:dyDescent="0.25">
      <c r="E42" s="46"/>
      <c r="F42" s="46"/>
      <c r="G42" s="49"/>
      <c r="H42" s="49"/>
      <c r="I42" s="49"/>
    </row>
    <row r="43" spans="2:9" x14ac:dyDescent="0.25">
      <c r="E43" s="46"/>
      <c r="F43" s="46"/>
      <c r="G43" s="49"/>
      <c r="H43" s="49"/>
      <c r="I43" s="49"/>
    </row>
    <row r="44" spans="2:9" x14ac:dyDescent="0.25">
      <c r="E44" s="46"/>
      <c r="F44" s="46"/>
      <c r="G44" s="49"/>
      <c r="H44" s="49"/>
      <c r="I44" s="49"/>
    </row>
    <row r="45" spans="2:9" x14ac:dyDescent="0.25">
      <c r="E45" s="46"/>
      <c r="F45" s="46"/>
      <c r="G45" s="49"/>
      <c r="H45" s="49"/>
      <c r="I45" s="49"/>
    </row>
    <row r="46" spans="2:9" x14ac:dyDescent="0.25">
      <c r="E46" s="46"/>
      <c r="F46" s="46"/>
      <c r="G46" s="49"/>
      <c r="H46" s="49"/>
      <c r="I46" s="49"/>
    </row>
    <row r="47" spans="2:9" x14ac:dyDescent="0.25">
      <c r="E47" s="46"/>
      <c r="F47" s="46"/>
      <c r="G47" s="49"/>
      <c r="H47" s="49"/>
      <c r="I47" s="49"/>
    </row>
    <row r="48" spans="2:9" x14ac:dyDescent="0.25">
      <c r="E48" s="46"/>
      <c r="F48" s="46"/>
      <c r="G48" s="49"/>
      <c r="H48" s="49"/>
      <c r="I48" s="49"/>
    </row>
    <row r="49" spans="5:9" x14ac:dyDescent="0.25">
      <c r="E49" s="46"/>
      <c r="F49" s="46"/>
      <c r="G49" s="49"/>
      <c r="H49" s="49"/>
      <c r="I49" s="49"/>
    </row>
    <row r="50" spans="5:9" x14ac:dyDescent="0.25">
      <c r="E50" s="46"/>
      <c r="F50" s="46"/>
      <c r="G50" s="49"/>
      <c r="H50" s="49"/>
      <c r="I50" s="49"/>
    </row>
    <row r="51" spans="5:9" x14ac:dyDescent="0.25">
      <c r="E51" s="46"/>
      <c r="F51" s="46"/>
      <c r="G51" s="49"/>
      <c r="H51" s="49"/>
      <c r="I51" s="49"/>
    </row>
    <row r="52" spans="5:9" x14ac:dyDescent="0.25">
      <c r="E52" s="47"/>
      <c r="F52" s="48"/>
      <c r="G52" s="48"/>
    </row>
    <row r="53" spans="5:9" x14ac:dyDescent="0.25">
      <c r="E53" s="47"/>
      <c r="F53" s="48"/>
      <c r="G53" s="48"/>
    </row>
    <row r="54" spans="5:9" x14ac:dyDescent="0.25">
      <c r="E54" s="47"/>
      <c r="F54" s="48"/>
      <c r="G54" s="48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X97"/>
  <sheetViews>
    <sheetView tabSelected="1" zoomScaleNormal="100" workbookViewId="0">
      <pane xSplit="2" ySplit="2" topLeftCell="Q3" activePane="bottomRight" state="frozen"/>
      <selection pane="topRight" activeCell="B1" sqref="B1"/>
      <selection pane="bottomLeft" activeCell="A3" sqref="A3"/>
      <selection pane="bottomRight" activeCell="S8" sqref="S8"/>
    </sheetView>
  </sheetViews>
  <sheetFormatPr defaultColWidth="11.42578125" defaultRowHeight="15" x14ac:dyDescent="0.25"/>
  <cols>
    <col min="1" max="1" width="4.7109375" customWidth="1"/>
    <col min="2" max="2" width="27.28515625" customWidth="1"/>
    <col min="6" max="6" width="11.42578125" style="13"/>
    <col min="22" max="22" width="11.42578125" style="13"/>
  </cols>
  <sheetData>
    <row r="1" spans="1:24" x14ac:dyDescent="0.25">
      <c r="A1" s="8" t="s">
        <v>27</v>
      </c>
    </row>
    <row r="2" spans="1:24" x14ac:dyDescent="0.25">
      <c r="C2" t="s">
        <v>7</v>
      </c>
      <c r="D2" t="s">
        <v>8</v>
      </c>
      <c r="E2" t="s">
        <v>24</v>
      </c>
      <c r="F2" s="13" t="s">
        <v>58</v>
      </c>
      <c r="G2" t="s">
        <v>139</v>
      </c>
      <c r="H2" t="s">
        <v>177</v>
      </c>
      <c r="K2" t="s">
        <v>6</v>
      </c>
      <c r="L2" t="s">
        <v>25</v>
      </c>
      <c r="M2" t="s">
        <v>29</v>
      </c>
      <c r="N2" t="s">
        <v>30</v>
      </c>
      <c r="O2" t="s">
        <v>53</v>
      </c>
      <c r="P2" t="s">
        <v>56</v>
      </c>
      <c r="Q2" t="s">
        <v>130</v>
      </c>
      <c r="R2" t="s">
        <v>131</v>
      </c>
      <c r="S2" t="s">
        <v>140</v>
      </c>
      <c r="T2" t="s">
        <v>141</v>
      </c>
      <c r="U2" t="s">
        <v>142</v>
      </c>
      <c r="V2" s="13" t="s">
        <v>143</v>
      </c>
      <c r="W2" t="s">
        <v>144</v>
      </c>
      <c r="X2" t="s">
        <v>145</v>
      </c>
    </row>
    <row r="3" spans="1:24" x14ac:dyDescent="0.25">
      <c r="B3" t="s">
        <v>164</v>
      </c>
      <c r="D3" s="10">
        <v>113.526</v>
      </c>
      <c r="E3" s="10">
        <v>119.35</v>
      </c>
      <c r="F3" s="15">
        <v>132.01</v>
      </c>
      <c r="O3" s="10">
        <v>32.713000000000001</v>
      </c>
      <c r="P3" s="10">
        <v>30.797000000000001</v>
      </c>
      <c r="Q3" s="10">
        <v>27.038</v>
      </c>
      <c r="R3" s="10">
        <f>E3-Q3-P3-O3</f>
        <v>28.802</v>
      </c>
      <c r="S3" s="10">
        <v>29.533000000000001</v>
      </c>
      <c r="T3" s="10">
        <v>31.093</v>
      </c>
      <c r="U3" s="10">
        <v>35.148000000000003</v>
      </c>
      <c r="V3" s="15">
        <f>F3-U3-T3-S3</f>
        <v>36.23599999999999</v>
      </c>
    </row>
    <row r="4" spans="1:24" x14ac:dyDescent="0.25">
      <c r="B4" t="s">
        <v>165</v>
      </c>
      <c r="D4" s="10">
        <v>37.433999999999997</v>
      </c>
      <c r="E4" s="10">
        <v>42.401000000000003</v>
      </c>
      <c r="F4" s="15">
        <v>59.813000000000002</v>
      </c>
      <c r="O4" s="10">
        <v>11.141999999999999</v>
      </c>
      <c r="P4" s="10">
        <v>10.298</v>
      </c>
      <c r="Q4" s="10">
        <v>10.334</v>
      </c>
      <c r="R4" s="10">
        <f t="shared" ref="R4:R11" si="0">E4-Q4-P4-O4</f>
        <v>10.627000000000006</v>
      </c>
      <c r="S4" s="10">
        <v>15.307</v>
      </c>
      <c r="T4" s="10">
        <v>16.149999999999999</v>
      </c>
      <c r="U4" s="10">
        <v>14.324</v>
      </c>
      <c r="V4" s="15">
        <f t="shared" ref="V4:V11" si="1">F4-U4-T4-S4</f>
        <v>14.032000000000005</v>
      </c>
    </row>
    <row r="5" spans="1:24" x14ac:dyDescent="0.25">
      <c r="B5" t="s">
        <v>166</v>
      </c>
      <c r="D5" s="10">
        <v>60.176000000000002</v>
      </c>
      <c r="E5" s="10">
        <v>70.084999999999994</v>
      </c>
      <c r="F5" s="15">
        <v>103.67400000000001</v>
      </c>
      <c r="O5" s="10">
        <v>13.694000000000001</v>
      </c>
      <c r="P5" s="10">
        <v>17.225999999999999</v>
      </c>
      <c r="Q5" s="10">
        <v>20.010999999999999</v>
      </c>
      <c r="R5" s="10">
        <f t="shared" si="0"/>
        <v>19.153999999999996</v>
      </c>
      <c r="S5" s="10">
        <v>18.849</v>
      </c>
      <c r="T5" s="10">
        <v>23.466999999999999</v>
      </c>
      <c r="U5" s="10">
        <v>27.613</v>
      </c>
      <c r="V5" s="15">
        <f t="shared" si="1"/>
        <v>33.745000000000005</v>
      </c>
    </row>
    <row r="6" spans="1:24" x14ac:dyDescent="0.25">
      <c r="B6" t="s">
        <v>167</v>
      </c>
      <c r="D6" s="10">
        <v>9.56</v>
      </c>
      <c r="E6" s="10">
        <v>12.516</v>
      </c>
      <c r="F6" s="15">
        <v>12.23</v>
      </c>
      <c r="O6" s="10">
        <v>2.891</v>
      </c>
      <c r="P6" s="10">
        <v>2.7709999999999999</v>
      </c>
      <c r="Q6" s="10">
        <v>3.883</v>
      </c>
      <c r="R6" s="10">
        <f t="shared" si="0"/>
        <v>2.9709999999999992</v>
      </c>
      <c r="S6" s="10">
        <v>2.5760000000000001</v>
      </c>
      <c r="T6" s="10">
        <v>2.6760000000000002</v>
      </c>
      <c r="U6" s="10">
        <v>4.1689999999999996</v>
      </c>
      <c r="V6" s="15">
        <f t="shared" si="1"/>
        <v>2.8089999999999997</v>
      </c>
    </row>
    <row r="7" spans="1:24" x14ac:dyDescent="0.25">
      <c r="D7" s="10"/>
      <c r="E7" s="10"/>
      <c r="F7" s="15"/>
      <c r="O7" s="10"/>
      <c r="P7" s="10"/>
      <c r="R7" s="10"/>
      <c r="S7" s="10"/>
      <c r="T7" s="10"/>
      <c r="U7" s="10"/>
      <c r="V7" s="15"/>
    </row>
    <row r="8" spans="1:24" x14ac:dyDescent="0.25">
      <c r="D8" s="10"/>
      <c r="E8" s="10"/>
      <c r="F8" s="15"/>
      <c r="O8" s="10"/>
      <c r="P8" s="10"/>
      <c r="R8" s="10"/>
      <c r="S8" s="10"/>
      <c r="T8" s="10"/>
      <c r="U8" s="10"/>
      <c r="V8" s="15"/>
    </row>
    <row r="9" spans="1:24" x14ac:dyDescent="0.25">
      <c r="B9" s="9" t="s">
        <v>161</v>
      </c>
      <c r="D9" s="10">
        <v>60.6</v>
      </c>
      <c r="E9" s="10">
        <v>71.887</v>
      </c>
      <c r="F9" s="15">
        <v>71.91</v>
      </c>
      <c r="O9" s="10">
        <v>18.048999999999999</v>
      </c>
      <c r="P9" s="10">
        <v>17.178999999999998</v>
      </c>
      <c r="Q9" s="10">
        <v>18.552</v>
      </c>
      <c r="R9" s="10">
        <f t="shared" si="0"/>
        <v>18.107000000000006</v>
      </c>
      <c r="S9" s="10">
        <v>16.28</v>
      </c>
      <c r="T9" s="10">
        <v>16.425999999999998</v>
      </c>
      <c r="U9" s="10">
        <v>18.827999999999999</v>
      </c>
      <c r="V9" s="15">
        <f t="shared" si="1"/>
        <v>20.375999999999991</v>
      </c>
    </row>
    <row r="10" spans="1:24" x14ac:dyDescent="0.25">
      <c r="B10" s="9" t="s">
        <v>162</v>
      </c>
      <c r="D10" s="10">
        <v>65.540999999999997</v>
      </c>
      <c r="E10" s="10">
        <v>56.183999999999997</v>
      </c>
      <c r="F10" s="15">
        <v>55.585000000000001</v>
      </c>
      <c r="O10" s="10">
        <v>12.776999999999999</v>
      </c>
      <c r="P10" s="10">
        <v>14.231999999999999</v>
      </c>
      <c r="Q10" s="10">
        <v>14.173</v>
      </c>
      <c r="R10" s="10">
        <f t="shared" si="0"/>
        <v>15.001999999999997</v>
      </c>
      <c r="S10" s="10">
        <v>13.337999999999999</v>
      </c>
      <c r="T10" s="10">
        <v>15.051</v>
      </c>
      <c r="U10" s="10">
        <v>13.061</v>
      </c>
      <c r="V10" s="15">
        <f t="shared" si="1"/>
        <v>14.135</v>
      </c>
    </row>
    <row r="11" spans="1:24" x14ac:dyDescent="0.25">
      <c r="B11" s="9" t="s">
        <v>163</v>
      </c>
      <c r="C11" s="43"/>
      <c r="D11" s="139">
        <v>94.555000000000007</v>
      </c>
      <c r="E11" s="139">
        <v>116.28100000000001</v>
      </c>
      <c r="F11" s="15">
        <v>180.232</v>
      </c>
      <c r="O11" s="10">
        <v>29.614000000000001</v>
      </c>
      <c r="P11" s="10">
        <v>29.681000000000001</v>
      </c>
      <c r="Q11" s="10">
        <v>28.541</v>
      </c>
      <c r="R11" s="10">
        <f t="shared" si="0"/>
        <v>28.445000000000011</v>
      </c>
      <c r="S11" s="10">
        <v>36.646999999999998</v>
      </c>
      <c r="T11" s="10">
        <v>41.908999999999999</v>
      </c>
      <c r="U11" s="10">
        <v>49.365000000000002</v>
      </c>
      <c r="V11" s="15">
        <f t="shared" si="1"/>
        <v>52.311</v>
      </c>
    </row>
    <row r="12" spans="1:24" s="1" customFormat="1" x14ac:dyDescent="0.25">
      <c r="B12" s="1" t="s">
        <v>9</v>
      </c>
      <c r="C12" s="11"/>
      <c r="D12" s="11">
        <f>SUM(D9:D11)</f>
        <v>220.696</v>
      </c>
      <c r="E12" s="11">
        <f>SUM(E9:E11)</f>
        <v>244.352</v>
      </c>
      <c r="F12" s="14">
        <f t="shared" ref="F12" si="2">SUM(F9:F11)</f>
        <v>307.72699999999998</v>
      </c>
      <c r="G12" s="11">
        <f t="shared" ref="G12" si="3">SUM(G9:G11)</f>
        <v>0</v>
      </c>
      <c r="K12" s="11">
        <f t="shared" ref="K12:M12" si="4">SUM(K9:K11)</f>
        <v>0</v>
      </c>
      <c r="L12" s="11">
        <f t="shared" si="4"/>
        <v>0</v>
      </c>
      <c r="M12" s="11">
        <f t="shared" si="4"/>
        <v>0</v>
      </c>
      <c r="N12" s="11">
        <f t="shared" ref="N12:Q12" si="5">SUM(N9:N11)</f>
        <v>0</v>
      </c>
      <c r="O12" s="11">
        <f t="shared" si="5"/>
        <v>60.44</v>
      </c>
      <c r="P12" s="11">
        <f t="shared" si="5"/>
        <v>61.091999999999999</v>
      </c>
      <c r="Q12" s="11">
        <f t="shared" si="5"/>
        <v>61.266000000000005</v>
      </c>
      <c r="R12" s="11">
        <f t="shared" ref="R12:T12" si="6">SUM(R9:R11)</f>
        <v>61.554000000000016</v>
      </c>
      <c r="S12" s="11">
        <f t="shared" si="6"/>
        <v>66.265000000000001</v>
      </c>
      <c r="T12" s="11">
        <f t="shared" si="6"/>
        <v>73.385999999999996</v>
      </c>
      <c r="U12" s="11">
        <f t="shared" ref="U12:X12" si="7">SUM(U9:U11)</f>
        <v>81.254000000000005</v>
      </c>
      <c r="V12" s="14">
        <f t="shared" si="7"/>
        <v>86.821999999999989</v>
      </c>
      <c r="W12" s="11">
        <f t="shared" si="7"/>
        <v>0</v>
      </c>
      <c r="X12" s="11">
        <f t="shared" si="7"/>
        <v>0</v>
      </c>
    </row>
    <row r="13" spans="1:24" x14ac:dyDescent="0.25">
      <c r="B13" s="9" t="s">
        <v>55</v>
      </c>
      <c r="C13" s="10"/>
      <c r="D13" s="10"/>
      <c r="E13" s="40"/>
      <c r="F13" s="140"/>
      <c r="G13" s="118">
        <v>415.49</v>
      </c>
      <c r="H13" s="118">
        <v>553.5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113"/>
      <c r="W13" s="40">
        <v>90.1</v>
      </c>
      <c r="X13" s="40">
        <v>101.34</v>
      </c>
    </row>
    <row r="14" spans="1:24" x14ac:dyDescent="0.25">
      <c r="B14" s="9" t="s">
        <v>123</v>
      </c>
      <c r="C14" s="10"/>
      <c r="D14" s="10">
        <v>107.746</v>
      </c>
      <c r="E14" s="10">
        <v>104.627</v>
      </c>
      <c r="F14" s="140">
        <v>135.24199999999999</v>
      </c>
      <c r="G14" s="141"/>
      <c r="K14" s="40"/>
      <c r="L14" s="40"/>
      <c r="M14" s="40"/>
      <c r="N14" s="40"/>
      <c r="O14" s="40">
        <v>28.757000000000001</v>
      </c>
      <c r="P14" s="40">
        <v>28.782</v>
      </c>
      <c r="Q14" s="40">
        <v>23.748999999999999</v>
      </c>
      <c r="R14" s="10">
        <f t="shared" ref="R14" si="8">E14-Q14-P14-O14</f>
        <v>23.339000000000002</v>
      </c>
      <c r="S14" s="40">
        <v>29.661999999999999</v>
      </c>
      <c r="T14" s="40">
        <v>31.117999999999999</v>
      </c>
      <c r="U14" s="40">
        <v>34.67</v>
      </c>
      <c r="V14" s="15">
        <f t="shared" ref="V14" si="9">F14-U14-T14-S14</f>
        <v>39.791999999999994</v>
      </c>
      <c r="W14" s="40"/>
      <c r="X14" s="40"/>
    </row>
    <row r="15" spans="1:24" x14ac:dyDescent="0.25">
      <c r="B15" s="9" t="s">
        <v>125</v>
      </c>
      <c r="C15" s="10"/>
      <c r="D15" s="10"/>
      <c r="E15" s="40"/>
      <c r="F15" s="140"/>
      <c r="G15" s="141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113"/>
      <c r="W15" s="40"/>
      <c r="X15" s="40"/>
    </row>
    <row r="16" spans="1:24" x14ac:dyDescent="0.25">
      <c r="B16" s="9" t="s">
        <v>124</v>
      </c>
      <c r="C16" s="10"/>
      <c r="D16" s="10"/>
      <c r="E16" s="40"/>
      <c r="F16" s="140"/>
      <c r="G16" s="141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113"/>
      <c r="W16" s="40"/>
      <c r="X16" s="40"/>
    </row>
    <row r="17" spans="2:24" s="1" customFormat="1" x14ac:dyDescent="0.25">
      <c r="B17" s="1" t="s">
        <v>49</v>
      </c>
      <c r="C17" s="11">
        <f t="shared" ref="C17:G17" si="10">SUM(C14:C16)</f>
        <v>0</v>
      </c>
      <c r="D17" s="11">
        <f t="shared" si="10"/>
        <v>107.746</v>
      </c>
      <c r="E17" s="11">
        <f t="shared" si="10"/>
        <v>104.627</v>
      </c>
      <c r="F17" s="14">
        <f t="shared" si="10"/>
        <v>135.24199999999999</v>
      </c>
      <c r="G17" s="11">
        <f t="shared" si="10"/>
        <v>0</v>
      </c>
      <c r="K17" s="11">
        <f t="shared" ref="K17" si="11">SUM(K14:K16)</f>
        <v>0</v>
      </c>
      <c r="L17" s="11">
        <f t="shared" ref="L17" si="12">SUM(L14:L16)</f>
        <v>0</v>
      </c>
      <c r="M17" s="11">
        <f t="shared" ref="M17:Q17" si="13">SUM(M14:M16)</f>
        <v>0</v>
      </c>
      <c r="N17" s="11">
        <f t="shared" si="13"/>
        <v>0</v>
      </c>
      <c r="O17" s="11">
        <f t="shared" si="13"/>
        <v>28.757000000000001</v>
      </c>
      <c r="P17" s="11">
        <f t="shared" si="13"/>
        <v>28.782</v>
      </c>
      <c r="Q17" s="11">
        <f t="shared" si="13"/>
        <v>23.748999999999999</v>
      </c>
      <c r="R17" s="11">
        <f t="shared" ref="R17:T17" si="14">SUM(R14:R16)</f>
        <v>23.339000000000002</v>
      </c>
      <c r="S17" s="11">
        <f t="shared" si="14"/>
        <v>29.661999999999999</v>
      </c>
      <c r="T17" s="11">
        <f t="shared" si="14"/>
        <v>31.117999999999999</v>
      </c>
      <c r="U17" s="11">
        <f t="shared" ref="U17:X17" si="15">SUM(U14:U16)</f>
        <v>34.67</v>
      </c>
      <c r="V17" s="14">
        <f t="shared" si="15"/>
        <v>39.791999999999994</v>
      </c>
      <c r="W17" s="11">
        <f t="shared" si="15"/>
        <v>0</v>
      </c>
      <c r="X17" s="11">
        <f t="shared" si="15"/>
        <v>0</v>
      </c>
    </row>
    <row r="18" spans="2:24" x14ac:dyDescent="0.25">
      <c r="B18" t="s">
        <v>63</v>
      </c>
      <c r="C18" s="10"/>
      <c r="D18" s="10">
        <v>116.339</v>
      </c>
      <c r="E18" s="10">
        <v>101.006</v>
      </c>
      <c r="F18" s="113">
        <v>106.749</v>
      </c>
      <c r="K18" s="10"/>
      <c r="L18" s="10"/>
      <c r="M18" s="10"/>
      <c r="N18" s="10"/>
      <c r="O18" s="10">
        <v>25.588999999999999</v>
      </c>
      <c r="P18" s="10">
        <v>27.25</v>
      </c>
      <c r="Q18" s="10">
        <v>25.216000000000001</v>
      </c>
      <c r="R18" s="10">
        <f t="shared" ref="R18:R20" si="16">E18-Q18-P18-O18</f>
        <v>22.950999999999993</v>
      </c>
      <c r="S18" s="10">
        <v>23.074000000000002</v>
      </c>
      <c r="T18" s="10">
        <v>24.155000000000001</v>
      </c>
      <c r="U18" s="10">
        <v>27.327000000000002</v>
      </c>
      <c r="V18" s="15">
        <f t="shared" ref="V18:V20" si="17">F18-U18-T18-S18</f>
        <v>32.192999999999998</v>
      </c>
      <c r="W18" s="10"/>
      <c r="X18" s="10"/>
    </row>
    <row r="19" spans="2:24" x14ac:dyDescent="0.25">
      <c r="B19" t="s">
        <v>168</v>
      </c>
      <c r="C19" s="10"/>
      <c r="D19" s="10">
        <v>86.304000000000002</v>
      </c>
      <c r="E19" s="10">
        <v>77.694000000000003</v>
      </c>
      <c r="F19" s="113">
        <v>72.676000000000002</v>
      </c>
      <c r="K19" s="10"/>
      <c r="L19" s="10"/>
      <c r="M19" s="10"/>
      <c r="N19" s="10"/>
      <c r="O19" s="10">
        <v>21.484999999999999</v>
      </c>
      <c r="P19" s="10">
        <v>23.733000000000001</v>
      </c>
      <c r="Q19" s="10">
        <v>16.795000000000002</v>
      </c>
      <c r="R19" s="10">
        <f t="shared" si="16"/>
        <v>15.680999999999997</v>
      </c>
      <c r="S19" s="10">
        <v>16.314</v>
      </c>
      <c r="T19" s="10">
        <v>17.574000000000002</v>
      </c>
      <c r="U19" s="10">
        <v>18.783000000000001</v>
      </c>
      <c r="V19" s="15">
        <f t="shared" si="17"/>
        <v>20.005000000000003</v>
      </c>
      <c r="W19" s="10"/>
      <c r="X19" s="10"/>
    </row>
    <row r="20" spans="2:24" x14ac:dyDescent="0.25">
      <c r="B20" t="s">
        <v>128</v>
      </c>
      <c r="C20" s="10"/>
      <c r="D20" s="10">
        <v>80.055000000000007</v>
      </c>
      <c r="E20" s="10">
        <v>77.147000000000006</v>
      </c>
      <c r="F20" s="15">
        <v>88.132999999999996</v>
      </c>
      <c r="K20" s="10"/>
      <c r="L20" s="10"/>
      <c r="M20" s="10"/>
      <c r="N20" s="10"/>
      <c r="O20" s="10">
        <v>19.18</v>
      </c>
      <c r="P20" s="10">
        <v>20.904</v>
      </c>
      <c r="Q20" s="10">
        <v>18.114000000000001</v>
      </c>
      <c r="R20" s="10">
        <f t="shared" si="16"/>
        <v>18.949000000000005</v>
      </c>
      <c r="S20" s="10">
        <v>19.986000000000001</v>
      </c>
      <c r="T20" s="10">
        <v>18.498999999999999</v>
      </c>
      <c r="U20" s="10">
        <v>18.814</v>
      </c>
      <c r="V20" s="15">
        <f t="shared" si="17"/>
        <v>30.833999999999993</v>
      </c>
      <c r="W20" s="10"/>
      <c r="X20" s="10"/>
    </row>
    <row r="21" spans="2:24" s="1" customFormat="1" x14ac:dyDescent="0.25">
      <c r="B21" s="1" t="s">
        <v>14</v>
      </c>
      <c r="C21" s="11">
        <f>C12-SUM(C17:C20)</f>
        <v>0</v>
      </c>
      <c r="D21" s="11">
        <f>D12-SUM(D17:D20)</f>
        <v>-169.74800000000002</v>
      </c>
      <c r="E21" s="11">
        <f>E12-SUM(E17:E20)</f>
        <v>-116.12199999999999</v>
      </c>
      <c r="F21" s="14">
        <f>F12-SUM(F17:F20)</f>
        <v>-95.072999999999979</v>
      </c>
      <c r="G21" s="11">
        <f>G12-SUM(G17:G20)</f>
        <v>0</v>
      </c>
      <c r="H21" s="11"/>
      <c r="I21" s="11"/>
      <c r="J21" s="11"/>
      <c r="K21" s="11">
        <f t="shared" ref="K21:X21" si="18">K12-SUM(K17:K20)</f>
        <v>0</v>
      </c>
      <c r="L21" s="11">
        <f t="shared" si="18"/>
        <v>0</v>
      </c>
      <c r="M21" s="11">
        <f t="shared" si="18"/>
        <v>0</v>
      </c>
      <c r="N21" s="11">
        <f t="shared" si="18"/>
        <v>0</v>
      </c>
      <c r="O21" s="11">
        <f t="shared" si="18"/>
        <v>-34.570999999999998</v>
      </c>
      <c r="P21" s="11">
        <f t="shared" si="18"/>
        <v>-39.576999999999998</v>
      </c>
      <c r="Q21" s="11">
        <f t="shared" si="18"/>
        <v>-22.608000000000004</v>
      </c>
      <c r="R21" s="11">
        <f t="shared" si="18"/>
        <v>-19.365999999999971</v>
      </c>
      <c r="S21" s="11">
        <f t="shared" si="18"/>
        <v>-22.771000000000015</v>
      </c>
      <c r="T21" s="11">
        <f t="shared" si="18"/>
        <v>-17.959999999999994</v>
      </c>
      <c r="U21" s="11">
        <f t="shared" si="18"/>
        <v>-18.339999999999989</v>
      </c>
      <c r="V21" s="14">
        <f t="shared" si="18"/>
        <v>-36.001999999999981</v>
      </c>
      <c r="W21" s="11">
        <f t="shared" si="18"/>
        <v>0</v>
      </c>
      <c r="X21" s="11">
        <f t="shared" si="18"/>
        <v>0</v>
      </c>
    </row>
    <row r="22" spans="2:24" x14ac:dyDescent="0.25">
      <c r="B22" t="s">
        <v>57</v>
      </c>
      <c r="C22" s="10"/>
      <c r="D22" s="10">
        <v>15.414</v>
      </c>
      <c r="E22" s="10">
        <f>10.257-0.832</f>
        <v>9.4249999999999989</v>
      </c>
      <c r="F22" s="15">
        <f>14.329-3.436</f>
        <v>10.893000000000001</v>
      </c>
      <c r="G22" s="10"/>
      <c r="K22" s="10"/>
      <c r="L22" s="10"/>
      <c r="M22" s="10"/>
      <c r="N22" s="10"/>
      <c r="O22" s="10">
        <v>3.1070000000000002</v>
      </c>
      <c r="P22" s="10">
        <f>2.771-0.602</f>
        <v>2.169</v>
      </c>
      <c r="Q22" s="10">
        <f>2.414-0.277</f>
        <v>2.137</v>
      </c>
      <c r="R22" s="10">
        <f t="shared" ref="R22:R24" si="19">E22-Q22-P22-O22</f>
        <v>2.0119999999999978</v>
      </c>
      <c r="S22" s="10">
        <v>1.8839999999999999</v>
      </c>
      <c r="T22" s="10">
        <f>2.172-5.679</f>
        <v>-3.5070000000000001</v>
      </c>
      <c r="U22" s="10">
        <f>4.414-1.02</f>
        <v>3.3939999999999997</v>
      </c>
      <c r="V22" s="15">
        <f t="shared" ref="V22:V24" si="20">F22-U22-T22-S22</f>
        <v>9.1219999999999999</v>
      </c>
      <c r="W22" s="10"/>
      <c r="X22" s="10"/>
    </row>
    <row r="23" spans="2:24" x14ac:dyDescent="0.25">
      <c r="B23" t="s">
        <v>52</v>
      </c>
      <c r="C23" s="10"/>
      <c r="D23" s="10">
        <v>13.709</v>
      </c>
      <c r="E23" s="10">
        <v>-15.116</v>
      </c>
      <c r="F23" s="15">
        <v>-161.4</v>
      </c>
      <c r="G23" s="10"/>
      <c r="K23" s="10"/>
      <c r="L23" s="10"/>
      <c r="M23" s="10"/>
      <c r="N23" s="10"/>
      <c r="O23" s="10">
        <v>1.53</v>
      </c>
      <c r="P23" s="10"/>
      <c r="Q23" s="10">
        <v>0.19800000000000001</v>
      </c>
      <c r="R23" s="10">
        <f t="shared" si="19"/>
        <v>-16.844000000000001</v>
      </c>
      <c r="S23" s="10">
        <v>10.387</v>
      </c>
      <c r="T23" s="10"/>
      <c r="U23" s="10">
        <v>-43.472999999999999</v>
      </c>
      <c r="V23" s="15">
        <f t="shared" si="20"/>
        <v>-128.31400000000002</v>
      </c>
      <c r="W23" s="10"/>
      <c r="X23" s="10"/>
    </row>
    <row r="24" spans="2:24" x14ac:dyDescent="0.25">
      <c r="B24" t="s">
        <v>17</v>
      </c>
      <c r="C24" s="10"/>
      <c r="D24" s="10">
        <v>0.93100000000000005</v>
      </c>
      <c r="E24" s="10">
        <v>1.077</v>
      </c>
      <c r="F24" s="15">
        <v>3.375</v>
      </c>
      <c r="G24" s="10"/>
      <c r="K24" s="10"/>
      <c r="L24" s="10"/>
      <c r="M24" s="10"/>
      <c r="N24" s="10"/>
      <c r="O24" s="10">
        <v>1.083</v>
      </c>
      <c r="P24" s="10">
        <v>-0.36299999999999999</v>
      </c>
      <c r="Q24" s="10">
        <v>0.217</v>
      </c>
      <c r="R24" s="10">
        <f t="shared" si="19"/>
        <v>0.1399999999999999</v>
      </c>
      <c r="S24" s="10">
        <v>-1.2</v>
      </c>
      <c r="T24" s="10">
        <v>-0.628</v>
      </c>
      <c r="U24" s="10">
        <v>1.7999999999999999E-2</v>
      </c>
      <c r="V24" s="15">
        <f t="shared" si="20"/>
        <v>5.1850000000000005</v>
      </c>
      <c r="W24" s="10"/>
      <c r="X24" s="10"/>
    </row>
    <row r="25" spans="2:24" s="1" customFormat="1" x14ac:dyDescent="0.25">
      <c r="B25" s="1" t="s">
        <v>129</v>
      </c>
      <c r="C25" s="11">
        <f t="shared" ref="C25:D25" si="21">C21+SUM(C22:C24)</f>
        <v>0</v>
      </c>
      <c r="D25" s="11">
        <f t="shared" si="21"/>
        <v>-139.69400000000002</v>
      </c>
      <c r="E25" s="11">
        <f t="shared" ref="E25:G25" si="22">E21+SUM(E22:E24)</f>
        <v>-120.73599999999999</v>
      </c>
      <c r="F25" s="14">
        <f t="shared" si="22"/>
        <v>-242.20499999999998</v>
      </c>
      <c r="G25" s="11">
        <f t="shared" si="22"/>
        <v>0</v>
      </c>
      <c r="K25" s="11">
        <f t="shared" ref="K25" si="23">K21+SUM(K22:K24)</f>
        <v>0</v>
      </c>
      <c r="L25" s="11">
        <f t="shared" ref="L25" si="24">L21+SUM(L22:L24)</f>
        <v>0</v>
      </c>
      <c r="M25" s="11">
        <f t="shared" ref="M25:Q25" si="25">M21+SUM(M22:M24)</f>
        <v>0</v>
      </c>
      <c r="N25" s="11">
        <f t="shared" si="25"/>
        <v>0</v>
      </c>
      <c r="O25" s="11">
        <f t="shared" si="25"/>
        <v>-28.850999999999999</v>
      </c>
      <c r="P25" s="11">
        <f t="shared" si="25"/>
        <v>-37.771000000000001</v>
      </c>
      <c r="Q25" s="11">
        <f t="shared" si="25"/>
        <v>-20.056000000000004</v>
      </c>
      <c r="R25" s="11">
        <f t="shared" ref="R25:T25" si="26">R21+SUM(R22:R24)</f>
        <v>-34.057999999999979</v>
      </c>
      <c r="S25" s="11">
        <f t="shared" si="26"/>
        <v>-11.700000000000014</v>
      </c>
      <c r="T25" s="11">
        <f t="shared" si="26"/>
        <v>-22.094999999999992</v>
      </c>
      <c r="U25" s="11">
        <f t="shared" ref="U25:X25" si="27">U21+SUM(U22:U24)</f>
        <v>-58.400999999999989</v>
      </c>
      <c r="V25" s="14">
        <f t="shared" si="27"/>
        <v>-150.00900000000001</v>
      </c>
      <c r="W25" s="11">
        <f t="shared" si="27"/>
        <v>0</v>
      </c>
      <c r="X25" s="11">
        <f t="shared" si="27"/>
        <v>0</v>
      </c>
    </row>
    <row r="26" spans="2:24" x14ac:dyDescent="0.25">
      <c r="B26" t="s">
        <v>11</v>
      </c>
      <c r="C26" s="10"/>
      <c r="D26" s="10">
        <v>0.81499999999999995</v>
      </c>
      <c r="E26" s="10">
        <v>2.46</v>
      </c>
      <c r="F26" s="15">
        <v>4.6550000000000002</v>
      </c>
      <c r="G26" s="10"/>
      <c r="K26" s="10"/>
      <c r="L26" s="10"/>
      <c r="M26" s="10"/>
      <c r="N26" s="10"/>
      <c r="O26" s="10">
        <v>0.442</v>
      </c>
      <c r="P26" s="10">
        <v>0.89700000000000002</v>
      </c>
      <c r="Q26" s="10">
        <v>2.5000000000000001E-2</v>
      </c>
      <c r="R26" s="10">
        <f t="shared" ref="R26" si="28">E26-Q26-P26-O26</f>
        <v>1.0960000000000001</v>
      </c>
      <c r="S26" s="10">
        <v>0.92800000000000005</v>
      </c>
      <c r="T26" s="10">
        <v>0.497</v>
      </c>
      <c r="U26" s="10">
        <v>0.78400000000000003</v>
      </c>
      <c r="V26" s="15">
        <f t="shared" ref="V26" si="29">F26-U26-T26-S26</f>
        <v>2.4460000000000006</v>
      </c>
      <c r="W26" s="10"/>
      <c r="X26" s="10"/>
    </row>
    <row r="27" spans="2:24" s="1" customFormat="1" x14ac:dyDescent="0.25">
      <c r="B27" s="1" t="s">
        <v>12</v>
      </c>
      <c r="C27" s="11">
        <f>C25-SUM(C26:C26)</f>
        <v>0</v>
      </c>
      <c r="D27" s="11">
        <f>D25-SUM(D26:D26)</f>
        <v>-140.50900000000001</v>
      </c>
      <c r="E27" s="11">
        <f>E25-SUM(E26:E26)</f>
        <v>-123.19599999999998</v>
      </c>
      <c r="F27" s="14">
        <f>F25-SUM(F26:F26)</f>
        <v>-246.85999999999999</v>
      </c>
      <c r="G27" s="11">
        <f>G25-SUM(G26:G26)</f>
        <v>0</v>
      </c>
      <c r="K27" s="11">
        <f t="shared" ref="K27:X27" si="30">K25-SUM(K26:K26)</f>
        <v>0</v>
      </c>
      <c r="L27" s="11">
        <f t="shared" si="30"/>
        <v>0</v>
      </c>
      <c r="M27" s="11">
        <f t="shared" si="30"/>
        <v>0</v>
      </c>
      <c r="N27" s="11">
        <f t="shared" si="30"/>
        <v>0</v>
      </c>
      <c r="O27" s="11">
        <f t="shared" si="30"/>
        <v>-29.292999999999999</v>
      </c>
      <c r="P27" s="11">
        <f t="shared" si="30"/>
        <v>-38.667999999999999</v>
      </c>
      <c r="Q27" s="11">
        <f t="shared" si="30"/>
        <v>-20.081000000000003</v>
      </c>
      <c r="R27" s="11">
        <f t="shared" si="30"/>
        <v>-35.153999999999982</v>
      </c>
      <c r="S27" s="11">
        <f t="shared" si="30"/>
        <v>-12.628000000000014</v>
      </c>
      <c r="T27" s="11">
        <f t="shared" si="30"/>
        <v>-22.591999999999992</v>
      </c>
      <c r="U27" s="11">
        <f t="shared" si="30"/>
        <v>-59.184999999999988</v>
      </c>
      <c r="V27" s="14">
        <f t="shared" si="30"/>
        <v>-152.45500000000001</v>
      </c>
      <c r="W27" s="11">
        <f t="shared" si="30"/>
        <v>0</v>
      </c>
      <c r="X27" s="11">
        <f t="shared" si="30"/>
        <v>0</v>
      </c>
    </row>
    <row r="28" spans="2:24" x14ac:dyDescent="0.25">
      <c r="B28" t="s">
        <v>1</v>
      </c>
      <c r="C28" s="10"/>
      <c r="D28" s="10">
        <v>279.58569799999998</v>
      </c>
      <c r="E28" s="10">
        <v>292.12429100000003</v>
      </c>
      <c r="F28" s="15">
        <v>307.79942399999999</v>
      </c>
      <c r="G28" s="10"/>
      <c r="K28" s="10"/>
      <c r="L28" s="10"/>
      <c r="M28" s="10"/>
      <c r="N28" s="10"/>
      <c r="O28" s="10">
        <v>288.26871799999998</v>
      </c>
      <c r="P28" s="10">
        <v>290.36431900000002</v>
      </c>
      <c r="Q28" s="10">
        <v>293.33732400000002</v>
      </c>
      <c r="R28" s="10">
        <f>E28</f>
        <v>292.12429100000003</v>
      </c>
      <c r="S28" s="10">
        <v>300.26795199999998</v>
      </c>
      <c r="T28" s="10">
        <v>304.12920400000002</v>
      </c>
      <c r="U28" s="10">
        <v>309.24824699999999</v>
      </c>
      <c r="V28" s="15">
        <v>307.79942399999999</v>
      </c>
      <c r="W28" s="10"/>
      <c r="X28" s="10"/>
    </row>
    <row r="29" spans="2:24" s="1" customFormat="1" x14ac:dyDescent="0.25">
      <c r="B29" s="1" t="s">
        <v>13</v>
      </c>
      <c r="C29" s="2" t="e">
        <f>C27/C28</f>
        <v>#DIV/0!</v>
      </c>
      <c r="D29" s="116">
        <f>D27/D28</f>
        <v>-0.50256147222523528</v>
      </c>
      <c r="E29" s="2">
        <f t="shared" ref="E29:G29" si="31">E27/E28</f>
        <v>-0.42172460077960439</v>
      </c>
      <c r="F29" s="35">
        <f t="shared" si="31"/>
        <v>-0.80201579584502403</v>
      </c>
      <c r="G29" s="2" t="e">
        <f t="shared" si="31"/>
        <v>#DIV/0!</v>
      </c>
      <c r="K29" s="2" t="e">
        <f t="shared" ref="K29:M29" si="32">K27/K28</f>
        <v>#DIV/0!</v>
      </c>
      <c r="L29" s="2" t="e">
        <f t="shared" si="32"/>
        <v>#DIV/0!</v>
      </c>
      <c r="M29" s="2" t="e">
        <f t="shared" si="32"/>
        <v>#DIV/0!</v>
      </c>
      <c r="N29" s="2" t="e">
        <f t="shared" ref="N29:Q29" si="33">N27/N28</f>
        <v>#DIV/0!</v>
      </c>
      <c r="O29" s="2">
        <f t="shared" si="33"/>
        <v>-0.10161699196233981</v>
      </c>
      <c r="P29" s="2">
        <f t="shared" si="33"/>
        <v>-0.1331706324426177</v>
      </c>
      <c r="Q29" s="2">
        <f t="shared" si="33"/>
        <v>-6.8457023218770494E-2</v>
      </c>
      <c r="R29" s="2">
        <f t="shared" ref="R29:T29" si="34">R27/R28</f>
        <v>-0.12033918808894936</v>
      </c>
      <c r="S29" s="2">
        <f t="shared" si="34"/>
        <v>-4.2055770240841471E-2</v>
      </c>
      <c r="T29" s="2">
        <f t="shared" si="34"/>
        <v>-7.428421770373618E-2</v>
      </c>
      <c r="U29" s="2">
        <f t="shared" ref="U29:X29" si="35">U27/U28</f>
        <v>-0.19138346158515165</v>
      </c>
      <c r="V29" s="35">
        <f>V27/V28</f>
        <v>-0.4953063200014306</v>
      </c>
      <c r="W29" s="2" t="e">
        <f t="shared" si="35"/>
        <v>#DIV/0!</v>
      </c>
      <c r="X29" s="2" t="e">
        <f t="shared" si="35"/>
        <v>#DIV/0!</v>
      </c>
    </row>
    <row r="30" spans="2:24" s="1" customFormat="1" x14ac:dyDescent="0.25">
      <c r="B30" s="9" t="s">
        <v>54</v>
      </c>
      <c r="C30" s="2"/>
      <c r="D30" s="2"/>
      <c r="E30" s="119"/>
      <c r="F30" s="143"/>
      <c r="G30" s="142">
        <v>-0.11</v>
      </c>
      <c r="H30" s="142">
        <v>-0.02</v>
      </c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114"/>
      <c r="W30" s="42">
        <v>0.05</v>
      </c>
      <c r="X30" s="42"/>
    </row>
    <row r="31" spans="2:24" s="1" customFormat="1" x14ac:dyDescent="0.25">
      <c r="B31" t="s">
        <v>22</v>
      </c>
      <c r="C31" s="3" t="e">
        <f>1-C17/C12</f>
        <v>#DIV/0!</v>
      </c>
      <c r="D31" s="39">
        <f>1-D17/D12</f>
        <v>0.51178997353826072</v>
      </c>
      <c r="E31" s="39">
        <f>1-E17/E12</f>
        <v>0.57181852409638556</v>
      </c>
      <c r="F31" s="6">
        <f>1-F17/F12</f>
        <v>0.56051305215336966</v>
      </c>
      <c r="G31" s="39" t="e">
        <f>1-G17/G12</f>
        <v>#DIV/0!</v>
      </c>
      <c r="K31" s="3" t="e">
        <f t="shared" ref="K31:X31" si="36">1-K17/K12</f>
        <v>#DIV/0!</v>
      </c>
      <c r="L31" s="3" t="e">
        <f t="shared" si="36"/>
        <v>#DIV/0!</v>
      </c>
      <c r="M31" s="3" t="e">
        <f t="shared" si="36"/>
        <v>#DIV/0!</v>
      </c>
      <c r="N31" s="3" t="e">
        <f t="shared" si="36"/>
        <v>#DIV/0!</v>
      </c>
      <c r="O31" s="3">
        <f t="shared" si="36"/>
        <v>0.52420582395764392</v>
      </c>
      <c r="P31" s="39">
        <f t="shared" si="36"/>
        <v>0.52887448438420748</v>
      </c>
      <c r="Q31" s="3">
        <f t="shared" si="36"/>
        <v>0.61236248490190315</v>
      </c>
      <c r="R31" s="39">
        <f t="shared" si="36"/>
        <v>0.6208369886603633</v>
      </c>
      <c r="S31" s="3">
        <f t="shared" si="36"/>
        <v>0.55237304761186146</v>
      </c>
      <c r="T31" s="3">
        <f t="shared" si="36"/>
        <v>0.57596816831548248</v>
      </c>
      <c r="U31" s="39">
        <f t="shared" si="36"/>
        <v>0.57331331380608952</v>
      </c>
      <c r="V31" s="6">
        <f t="shared" si="36"/>
        <v>0.54168298357559141</v>
      </c>
      <c r="W31" s="3" t="e">
        <f t="shared" si="36"/>
        <v>#DIV/0!</v>
      </c>
      <c r="X31" s="3" t="e">
        <f t="shared" si="36"/>
        <v>#DIV/0!</v>
      </c>
    </row>
    <row r="32" spans="2:24" x14ac:dyDescent="0.25">
      <c r="B32" t="s">
        <v>23</v>
      </c>
      <c r="C32" s="4" t="e">
        <f>C27/C12</f>
        <v>#DIV/0!</v>
      </c>
      <c r="D32" s="4">
        <f>D27/D12</f>
        <v>-0.63666310218581224</v>
      </c>
      <c r="E32" s="4">
        <f>E27/E12</f>
        <v>-0.50417430591932944</v>
      </c>
      <c r="F32" s="7">
        <f>F27/F12</f>
        <v>-0.80220455143682556</v>
      </c>
      <c r="G32" s="4" t="e">
        <f>G27/G12</f>
        <v>#DIV/0!</v>
      </c>
      <c r="K32" s="4" t="e">
        <f t="shared" ref="K32:X32" si="37">K27/K12</f>
        <v>#DIV/0!</v>
      </c>
      <c r="L32" s="4" t="e">
        <f t="shared" si="37"/>
        <v>#DIV/0!</v>
      </c>
      <c r="M32" s="4" t="e">
        <f t="shared" si="37"/>
        <v>#DIV/0!</v>
      </c>
      <c r="N32" s="4" t="e">
        <f t="shared" si="37"/>
        <v>#DIV/0!</v>
      </c>
      <c r="O32" s="4">
        <f t="shared" si="37"/>
        <v>-0.48466247518199868</v>
      </c>
      <c r="P32" s="4">
        <f t="shared" si="37"/>
        <v>-0.63294703070778502</v>
      </c>
      <c r="Q32" s="4">
        <f t="shared" si="37"/>
        <v>-0.32776744034211475</v>
      </c>
      <c r="R32" s="4">
        <f t="shared" si="37"/>
        <v>-0.57110829515547279</v>
      </c>
      <c r="S32" s="4">
        <f t="shared" si="37"/>
        <v>-0.19056817324379408</v>
      </c>
      <c r="T32" s="4">
        <f t="shared" si="37"/>
        <v>-0.30785163382661535</v>
      </c>
      <c r="U32" s="4">
        <f t="shared" si="37"/>
        <v>-0.7283949097890563</v>
      </c>
      <c r="V32" s="7">
        <f t="shared" si="37"/>
        <v>-1.7559489530303383</v>
      </c>
      <c r="W32" s="4" t="e">
        <f t="shared" si="37"/>
        <v>#DIV/0!</v>
      </c>
      <c r="X32" s="4" t="e">
        <f t="shared" si="37"/>
        <v>#DIV/0!</v>
      </c>
    </row>
    <row r="33" spans="2:24" x14ac:dyDescent="0.25">
      <c r="B33" t="s">
        <v>133</v>
      </c>
      <c r="C33" s="39"/>
      <c r="D33" s="39" t="e">
        <f>D12/C12-1</f>
        <v>#DIV/0!</v>
      </c>
      <c r="E33" s="39">
        <f>E12/D12-1</f>
        <v>0.10718816834016032</v>
      </c>
      <c r="F33" s="6">
        <f>F12/E12-1</f>
        <v>0.25935944866422189</v>
      </c>
      <c r="G33" s="39">
        <f>G12/F12-1</f>
        <v>-1</v>
      </c>
      <c r="K33" s="4"/>
      <c r="L33" s="4"/>
      <c r="M33" s="4"/>
      <c r="N33" s="4"/>
      <c r="O33" s="4"/>
      <c r="P33" s="4"/>
      <c r="Q33" s="4"/>
      <c r="R33" s="4"/>
      <c r="S33" s="4">
        <f t="shared" ref="O33:X33" si="38">S12/O12-1</f>
        <v>9.6376571806750633E-2</v>
      </c>
      <c r="T33" s="4">
        <f t="shared" si="38"/>
        <v>0.20123747790218016</v>
      </c>
      <c r="U33" s="4">
        <f t="shared" si="38"/>
        <v>0.32624946952632783</v>
      </c>
      <c r="V33" s="7">
        <f t="shared" si="38"/>
        <v>0.41050134840952612</v>
      </c>
      <c r="W33" s="4">
        <f t="shared" si="38"/>
        <v>-1</v>
      </c>
      <c r="X33" s="4">
        <f t="shared" si="38"/>
        <v>-1</v>
      </c>
    </row>
    <row r="34" spans="2:24" x14ac:dyDescent="0.25">
      <c r="B34" t="s">
        <v>126</v>
      </c>
      <c r="C34" s="4" t="e">
        <f>C18/C12</f>
        <v>#DIV/0!</v>
      </c>
      <c r="D34" s="4">
        <f>D18/D12</f>
        <v>0.5271459383042737</v>
      </c>
      <c r="E34" s="4">
        <f>E18/E12</f>
        <v>0.41336268988999475</v>
      </c>
      <c r="F34" s="7">
        <f>F18/F12</f>
        <v>0.34689513757323864</v>
      </c>
      <c r="G34" s="4" t="e">
        <f>G18/G12</f>
        <v>#DIV/0!</v>
      </c>
      <c r="K34" s="4" t="e">
        <f t="shared" ref="K34:X34" si="39">K18/K12</f>
        <v>#DIV/0!</v>
      </c>
      <c r="L34" s="4" t="e">
        <f t="shared" si="39"/>
        <v>#DIV/0!</v>
      </c>
      <c r="M34" s="4" t="e">
        <f t="shared" si="39"/>
        <v>#DIV/0!</v>
      </c>
      <c r="N34" s="4" t="e">
        <f t="shared" si="39"/>
        <v>#DIV/0!</v>
      </c>
      <c r="O34" s="4">
        <f t="shared" si="39"/>
        <v>0.42337855724685636</v>
      </c>
      <c r="P34" s="4">
        <f t="shared" si="39"/>
        <v>0.44604858246578932</v>
      </c>
      <c r="Q34" s="4">
        <f t="shared" si="39"/>
        <v>0.41158228054712237</v>
      </c>
      <c r="R34" s="4">
        <f t="shared" si="39"/>
        <v>0.37285960295025483</v>
      </c>
      <c r="S34" s="4">
        <f t="shared" si="39"/>
        <v>0.34820795291632084</v>
      </c>
      <c r="T34" s="4">
        <f t="shared" si="39"/>
        <v>0.3291499741095032</v>
      </c>
      <c r="U34" s="4">
        <f>U18/U12</f>
        <v>0.33631575060920077</v>
      </c>
      <c r="V34" s="7">
        <f>V18/V12</f>
        <v>0.37079311695192463</v>
      </c>
      <c r="W34" s="4" t="e">
        <f t="shared" si="39"/>
        <v>#DIV/0!</v>
      </c>
      <c r="X34" s="4" t="e">
        <f t="shared" si="39"/>
        <v>#DIV/0!</v>
      </c>
    </row>
    <row r="35" spans="2:24" x14ac:dyDescent="0.25">
      <c r="B35" t="s">
        <v>169</v>
      </c>
      <c r="C35" s="4" t="e">
        <f>C19/C12</f>
        <v>#DIV/0!</v>
      </c>
      <c r="D35" s="4">
        <f>D19/D12</f>
        <v>0.39105375720448038</v>
      </c>
      <c r="E35" s="4">
        <f>E18/E12</f>
        <v>0.41336268988999475</v>
      </c>
      <c r="F35" s="7">
        <f>F19/F12</f>
        <v>0.23617037179058065</v>
      </c>
      <c r="G35" s="4" t="e">
        <f>G19/G12</f>
        <v>#DIV/0!</v>
      </c>
      <c r="K35" s="4" t="e">
        <f t="shared" ref="K35:X35" si="40">K19/K12</f>
        <v>#DIV/0!</v>
      </c>
      <c r="L35" s="4" t="e">
        <f t="shared" si="40"/>
        <v>#DIV/0!</v>
      </c>
      <c r="M35" s="4" t="e">
        <f t="shared" si="40"/>
        <v>#DIV/0!</v>
      </c>
      <c r="N35" s="4" t="e">
        <f t="shared" si="40"/>
        <v>#DIV/0!</v>
      </c>
      <c r="O35" s="4">
        <f t="shared" si="40"/>
        <v>0.35547650562541366</v>
      </c>
      <c r="P35" s="4">
        <f t="shared" si="40"/>
        <v>0.38847967000589279</v>
      </c>
      <c r="Q35" s="4">
        <f t="shared" si="40"/>
        <v>0.27413247151764436</v>
      </c>
      <c r="R35" s="4">
        <f t="shared" si="40"/>
        <v>0.25475192513890232</v>
      </c>
      <c r="S35" s="4">
        <f t="shared" si="40"/>
        <v>0.24619331472119521</v>
      </c>
      <c r="T35" s="4">
        <f t="shared" si="40"/>
        <v>0.23947346905404304</v>
      </c>
      <c r="U35" s="4">
        <f>U18/U12</f>
        <v>0.33631575060920077</v>
      </c>
      <c r="V35" s="7">
        <f>V18/V12</f>
        <v>0.37079311695192463</v>
      </c>
      <c r="W35" s="4" t="e">
        <f t="shared" si="40"/>
        <v>#DIV/0!</v>
      </c>
      <c r="X35" s="4" t="e">
        <f t="shared" si="40"/>
        <v>#DIV/0!</v>
      </c>
    </row>
    <row r="36" spans="2:24" x14ac:dyDescent="0.25">
      <c r="B36" t="s">
        <v>127</v>
      </c>
      <c r="C36" s="4"/>
      <c r="D36" s="4" t="e">
        <f>D20/C20-1</f>
        <v>#DIV/0!</v>
      </c>
      <c r="E36" s="4">
        <f t="shared" ref="E36" si="41">E20/D20-1</f>
        <v>-3.6325026544250849E-2</v>
      </c>
      <c r="F36" s="7">
        <f>F20/E20-1</f>
        <v>0.14240346351769984</v>
      </c>
      <c r="G36" s="4"/>
      <c r="K36" s="4"/>
      <c r="L36" s="4"/>
      <c r="M36" s="4"/>
      <c r="N36" s="4"/>
      <c r="O36" s="4"/>
      <c r="P36" s="4"/>
      <c r="Q36" s="4">
        <f t="shared" ref="Q36" si="42">Q20/P20-1</f>
        <v>-0.13346727898966704</v>
      </c>
      <c r="R36" s="4">
        <f t="shared" ref="R36" si="43">R20/Q20-1</f>
        <v>4.609694159213884E-2</v>
      </c>
      <c r="S36" s="4">
        <f t="shared" ref="S36" si="44">S20/R20-1</f>
        <v>5.4725843052403578E-2</v>
      </c>
      <c r="T36" s="4">
        <f t="shared" ref="T36" si="45">T20/S20-1</f>
        <v>-7.4402081457019986E-2</v>
      </c>
      <c r="U36" s="4">
        <f t="shared" ref="U36" si="46">U20/T20-1</f>
        <v>1.7027947456619286E-2</v>
      </c>
      <c r="V36" s="7">
        <f t="shared" ref="V36" si="47">V20/U20-1</f>
        <v>0.63888593600510224</v>
      </c>
      <c r="W36" s="4">
        <f t="shared" ref="W36" si="48">W20/V20-1</f>
        <v>-1</v>
      </c>
      <c r="X36" s="4" t="e">
        <f t="shared" ref="X36" si="49">X20/W20-1</f>
        <v>#DIV/0!</v>
      </c>
    </row>
    <row r="37" spans="2:24" x14ac:dyDescent="0.25">
      <c r="B37" t="s">
        <v>172</v>
      </c>
      <c r="C37" s="4"/>
      <c r="D37" s="4" t="e">
        <f t="shared" ref="D37:F38" si="50">D4/C4-1</f>
        <v>#DIV/0!</v>
      </c>
      <c r="E37" s="4">
        <f t="shared" si="50"/>
        <v>0.1326868622108246</v>
      </c>
      <c r="F37" s="7">
        <f t="shared" si="50"/>
        <v>0.41065069220065564</v>
      </c>
      <c r="G37" s="4"/>
      <c r="K37" s="4"/>
      <c r="L37" s="4"/>
      <c r="M37" s="4"/>
      <c r="N37" s="4"/>
      <c r="O37" s="4"/>
      <c r="P37" s="4"/>
      <c r="Q37" s="4" t="e">
        <f t="shared" ref="Q37:T37" si="51">Q4/M4-1</f>
        <v>#DIV/0!</v>
      </c>
      <c r="R37" s="4" t="e">
        <f t="shared" si="51"/>
        <v>#DIV/0!</v>
      </c>
      <c r="S37" s="4">
        <f t="shared" si="51"/>
        <v>0.37381080595943295</v>
      </c>
      <c r="T37" s="4">
        <f t="shared" si="51"/>
        <v>0.56826568265682642</v>
      </c>
      <c r="U37" s="4">
        <f>U4/Q4-1</f>
        <v>0.38610412231468949</v>
      </c>
      <c r="V37" s="7">
        <f t="shared" ref="V37:X37" si="52">V4/R4-1</f>
        <v>0.32041027571280667</v>
      </c>
      <c r="W37" s="4">
        <f t="shared" si="52"/>
        <v>-1</v>
      </c>
      <c r="X37" s="4">
        <f t="shared" si="52"/>
        <v>-1</v>
      </c>
    </row>
    <row r="38" spans="2:24" x14ac:dyDescent="0.25">
      <c r="B38" t="s">
        <v>173</v>
      </c>
      <c r="C38" s="4"/>
      <c r="D38" s="4" t="e">
        <f t="shared" si="50"/>
        <v>#DIV/0!</v>
      </c>
      <c r="E38" s="4">
        <f t="shared" si="50"/>
        <v>0.16466697686785414</v>
      </c>
      <c r="F38" s="7">
        <f t="shared" si="50"/>
        <v>0.4792608974816297</v>
      </c>
      <c r="G38" s="4"/>
      <c r="K38" s="4"/>
      <c r="L38" s="4"/>
      <c r="M38" s="4"/>
      <c r="N38" s="4"/>
      <c r="O38" s="4"/>
      <c r="P38" s="4"/>
      <c r="Q38" s="4" t="e">
        <f t="shared" ref="Q38:T38" si="53">Q5/M5-1</f>
        <v>#DIV/0!</v>
      </c>
      <c r="R38" s="4" t="e">
        <f t="shared" si="53"/>
        <v>#DIV/0!</v>
      </c>
      <c r="S38" s="4">
        <f t="shared" si="53"/>
        <v>0.37644223747626682</v>
      </c>
      <c r="T38" s="4">
        <f t="shared" si="53"/>
        <v>0.36230117264600015</v>
      </c>
      <c r="U38" s="4">
        <f>U5/Q5-1</f>
        <v>0.37989105991704575</v>
      </c>
      <c r="V38" s="7">
        <f t="shared" ref="V38:X38" si="54">V5/R5-1</f>
        <v>0.76177299780724717</v>
      </c>
      <c r="W38" s="4">
        <f t="shared" si="54"/>
        <v>-1</v>
      </c>
      <c r="X38" s="4">
        <f t="shared" si="54"/>
        <v>-1</v>
      </c>
    </row>
    <row r="39" spans="2:24" x14ac:dyDescent="0.25">
      <c r="B39" t="s">
        <v>170</v>
      </c>
      <c r="C39" s="4"/>
      <c r="D39" s="4" t="e">
        <f>D9/C9-1</f>
        <v>#DIV/0!</v>
      </c>
      <c r="E39" s="4">
        <f>E9/D9-1</f>
        <v>0.18625412541254116</v>
      </c>
      <c r="F39" s="7">
        <f>F9/E9-1</f>
        <v>3.1994658283140964E-4</v>
      </c>
      <c r="G39" s="4">
        <f>G9/F9-1</f>
        <v>-1</v>
      </c>
      <c r="K39" s="4"/>
      <c r="L39" s="4"/>
      <c r="M39" s="4"/>
      <c r="N39" s="4"/>
      <c r="O39" s="4"/>
      <c r="P39" s="4"/>
      <c r="Q39" s="4" t="e">
        <f t="shared" ref="Q39:T39" si="55">Q9/M9-1</f>
        <v>#DIV/0!</v>
      </c>
      <c r="R39" s="4" t="e">
        <f t="shared" si="55"/>
        <v>#DIV/0!</v>
      </c>
      <c r="S39" s="4">
        <f t="shared" si="55"/>
        <v>-9.8010970136849562E-2</v>
      </c>
      <c r="T39" s="4">
        <f t="shared" si="55"/>
        <v>-4.3832586297223419E-2</v>
      </c>
      <c r="U39" s="4">
        <f>U9/Q9-1</f>
        <v>1.487710219922378E-2</v>
      </c>
      <c r="V39" s="7">
        <f t="shared" ref="V39:X39" si="56">V9/R9-1</f>
        <v>0.1253106533384869</v>
      </c>
      <c r="W39" s="4">
        <f t="shared" si="56"/>
        <v>-1</v>
      </c>
      <c r="X39" s="4">
        <f t="shared" si="56"/>
        <v>-1</v>
      </c>
    </row>
    <row r="40" spans="2:24" x14ac:dyDescent="0.25">
      <c r="B40" t="s">
        <v>171</v>
      </c>
      <c r="C40" s="4"/>
      <c r="D40" s="4" t="e">
        <f>D10/C10-1</f>
        <v>#DIV/0!</v>
      </c>
      <c r="E40" s="4">
        <f>E10/D10-1</f>
        <v>-0.14276559710715431</v>
      </c>
      <c r="F40" s="7">
        <f>F11/E11-1</f>
        <v>0.54996947050678946</v>
      </c>
      <c r="G40" s="4">
        <f>G10/F10-1</f>
        <v>-1</v>
      </c>
      <c r="K40" s="4"/>
      <c r="L40" s="4"/>
      <c r="M40" s="4"/>
      <c r="N40" s="4"/>
      <c r="O40" s="4"/>
      <c r="P40" s="4"/>
      <c r="Q40" s="4" t="e">
        <f t="shared" ref="Q40:T40" si="57">Q10/M10-1</f>
        <v>#DIV/0!</v>
      </c>
      <c r="R40" s="4" t="e">
        <f t="shared" si="57"/>
        <v>#DIV/0!</v>
      </c>
      <c r="S40" s="4">
        <f t="shared" si="57"/>
        <v>4.3907020427330412E-2</v>
      </c>
      <c r="T40" s="4">
        <f t="shared" si="57"/>
        <v>5.7546374367622333E-2</v>
      </c>
      <c r="U40" s="4">
        <f>U10/Q10-1</f>
        <v>-7.8459041840118537E-2</v>
      </c>
      <c r="V40" s="7">
        <f t="shared" ref="V40:X40" si="58">V10/R10-1</f>
        <v>-5.7792294360751728E-2</v>
      </c>
      <c r="W40" s="4">
        <f t="shared" si="58"/>
        <v>-1</v>
      </c>
      <c r="X40" s="4">
        <f t="shared" si="58"/>
        <v>-1</v>
      </c>
    </row>
    <row r="41" spans="2:24" x14ac:dyDescent="0.25">
      <c r="B41" t="s">
        <v>132</v>
      </c>
      <c r="C41" s="39" t="e">
        <f>C29/#REF!-1</f>
        <v>#DIV/0!</v>
      </c>
      <c r="D41" s="39" t="e">
        <f>D29/C29-1</f>
        <v>#DIV/0!</v>
      </c>
      <c r="E41" s="39">
        <f t="shared" ref="E41:G41" si="59">E29/D29-1</f>
        <v>-0.16084971871739873</v>
      </c>
      <c r="F41" s="6">
        <f t="shared" si="59"/>
        <v>0.90175245732027354</v>
      </c>
      <c r="G41" s="39" t="e">
        <f t="shared" si="59"/>
        <v>#DIV/0!</v>
      </c>
      <c r="K41" s="4"/>
      <c r="L41" s="4"/>
      <c r="M41" s="4"/>
      <c r="N41" s="4"/>
      <c r="O41" s="4" t="e">
        <f t="shared" ref="O41" si="60">O27/K27-1</f>
        <v>#DIV/0!</v>
      </c>
      <c r="P41" s="4" t="e">
        <f t="shared" ref="P41" si="61">P27/L27-1</f>
        <v>#DIV/0!</v>
      </c>
      <c r="Q41" s="4" t="e">
        <f t="shared" ref="Q41" si="62">Q27/M27-1</f>
        <v>#DIV/0!</v>
      </c>
      <c r="R41" s="4" t="e">
        <f t="shared" ref="R41" si="63">R27/N27-1</f>
        <v>#DIV/0!</v>
      </c>
      <c r="S41" s="4">
        <f t="shared" ref="S41" si="64">S27/O27-1</f>
        <v>-0.56890724746526422</v>
      </c>
      <c r="T41" s="4">
        <f t="shared" ref="T41" si="65">T27/P27-1</f>
        <v>-0.41574428467983882</v>
      </c>
      <c r="U41" s="4">
        <f t="shared" ref="U41" si="66">U27/Q27-1</f>
        <v>1.9473133808077279</v>
      </c>
      <c r="V41" s="7">
        <f>V27/R27-1</f>
        <v>3.3367753313989903</v>
      </c>
      <c r="W41" s="4">
        <f t="shared" ref="W41" si="67">W27/S27-1</f>
        <v>-1</v>
      </c>
      <c r="X41" s="4">
        <f t="shared" ref="X41" si="68">X27/T27-1</f>
        <v>-1</v>
      </c>
    </row>
    <row r="42" spans="2:24" x14ac:dyDescent="0.25">
      <c r="C42" s="39"/>
      <c r="D42" s="39"/>
      <c r="E42" s="39"/>
      <c r="F42" s="6"/>
      <c r="G42" s="39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7"/>
      <c r="W42" s="4"/>
      <c r="X42" s="4"/>
    </row>
    <row r="45" spans="2:24" s="1" customFormat="1" x14ac:dyDescent="0.25">
      <c r="B45" s="1" t="s">
        <v>28</v>
      </c>
      <c r="C45" s="11">
        <f t="shared" ref="C45:G45" si="69">C46+C48-C73</f>
        <v>0</v>
      </c>
      <c r="D45" s="11">
        <f t="shared" si="69"/>
        <v>0</v>
      </c>
      <c r="E45" s="11">
        <f t="shared" si="69"/>
        <v>222.07499999999999</v>
      </c>
      <c r="F45" s="11">
        <f>F46+F48-F73</f>
        <v>193.20600000000002</v>
      </c>
      <c r="G45" s="11">
        <f t="shared" si="69"/>
        <v>0</v>
      </c>
      <c r="K45" s="11">
        <f t="shared" ref="K45:T45" si="70">K46+K48-K73</f>
        <v>0</v>
      </c>
      <c r="L45" s="11">
        <f t="shared" si="70"/>
        <v>0</v>
      </c>
      <c r="M45" s="11">
        <f t="shared" si="70"/>
        <v>0</v>
      </c>
      <c r="N45" s="11">
        <f t="shared" si="70"/>
        <v>0</v>
      </c>
      <c r="O45" s="11">
        <f t="shared" si="70"/>
        <v>0</v>
      </c>
      <c r="P45" s="11">
        <f t="shared" si="70"/>
        <v>0</v>
      </c>
      <c r="Q45" s="11">
        <f t="shared" si="70"/>
        <v>0</v>
      </c>
      <c r="R45" s="11">
        <f t="shared" si="70"/>
        <v>222.07499999999999</v>
      </c>
      <c r="S45" s="11">
        <f t="shared" si="70"/>
        <v>226.095</v>
      </c>
      <c r="T45" s="11">
        <f t="shared" si="70"/>
        <v>271.53699999999998</v>
      </c>
      <c r="U45" s="11">
        <f>U46+U48-U73</f>
        <v>231.12299999999993</v>
      </c>
      <c r="V45" s="11">
        <f>V46+V48-V73</f>
        <v>193.20600000000002</v>
      </c>
      <c r="W45" s="14">
        <f t="shared" ref="W45:X45" si="71">W46+W47-W61</f>
        <v>0</v>
      </c>
      <c r="X45" s="14">
        <f t="shared" si="71"/>
        <v>0</v>
      </c>
    </row>
    <row r="46" spans="2:24" x14ac:dyDescent="0.25">
      <c r="B46" t="s">
        <v>15</v>
      </c>
      <c r="C46" s="10"/>
      <c r="D46" s="10"/>
      <c r="E46" s="10">
        <f>R46</f>
        <v>118.048</v>
      </c>
      <c r="F46" s="15">
        <f>V46</f>
        <v>229.441</v>
      </c>
      <c r="K46" s="10"/>
      <c r="L46" s="10"/>
      <c r="M46" s="10"/>
      <c r="N46" s="10"/>
      <c r="O46" s="10"/>
      <c r="P46" s="10"/>
      <c r="Q46" s="10"/>
      <c r="R46" s="10">
        <v>118.048</v>
      </c>
      <c r="S46" s="10">
        <v>133.471</v>
      </c>
      <c r="T46" s="10">
        <v>181.08699999999999</v>
      </c>
      <c r="U46" s="10">
        <v>443.34899999999999</v>
      </c>
      <c r="V46" s="15">
        <v>229.441</v>
      </c>
      <c r="W46" s="10"/>
      <c r="X46" s="10"/>
    </row>
    <row r="47" spans="2:24" x14ac:dyDescent="0.25">
      <c r="B47" t="s">
        <v>65</v>
      </c>
      <c r="C47" s="10"/>
      <c r="D47" s="10"/>
      <c r="E47" s="10">
        <f t="shared" ref="E47:E51" si="72">R47</f>
        <v>6.5979999999999999</v>
      </c>
      <c r="F47" s="15">
        <f t="shared" ref="F47:F51" si="73">V47</f>
        <v>0.64200000000000002</v>
      </c>
      <c r="K47" s="10"/>
      <c r="L47" s="10"/>
      <c r="M47" s="10"/>
      <c r="N47" s="10"/>
      <c r="O47" s="10"/>
      <c r="P47" s="10"/>
      <c r="Q47" s="10"/>
      <c r="R47" s="10">
        <v>6.5979999999999999</v>
      </c>
      <c r="S47" s="10">
        <v>6.6070000000000002</v>
      </c>
      <c r="T47" s="10">
        <v>6.3159999999999998</v>
      </c>
      <c r="U47" s="10">
        <v>0.90600000000000003</v>
      </c>
      <c r="V47" s="15">
        <v>0.64200000000000002</v>
      </c>
      <c r="W47" s="10"/>
      <c r="X47" s="10"/>
    </row>
    <row r="48" spans="2:24" x14ac:dyDescent="0.25">
      <c r="B48" t="s">
        <v>147</v>
      </c>
      <c r="C48" s="10"/>
      <c r="D48" s="10"/>
      <c r="E48" s="10">
        <f t="shared" si="72"/>
        <v>104.027</v>
      </c>
      <c r="F48" s="15">
        <f t="shared" si="73"/>
        <v>410.649</v>
      </c>
      <c r="K48" s="10"/>
      <c r="L48" s="10"/>
      <c r="M48" s="10"/>
      <c r="N48" s="10"/>
      <c r="O48" s="10"/>
      <c r="P48" s="10"/>
      <c r="Q48" s="10"/>
      <c r="R48" s="10">
        <v>104.027</v>
      </c>
      <c r="S48" s="10">
        <v>92.623999999999995</v>
      </c>
      <c r="T48" s="10">
        <v>90.45</v>
      </c>
      <c r="U48" s="10">
        <v>233.97499999999999</v>
      </c>
      <c r="V48" s="15">
        <v>410.649</v>
      </c>
      <c r="W48" s="10"/>
      <c r="X48" s="10"/>
    </row>
    <row r="49" spans="2:24" x14ac:dyDescent="0.25">
      <c r="B49" t="s">
        <v>16</v>
      </c>
      <c r="C49" s="10"/>
      <c r="D49" s="10"/>
      <c r="E49" s="10">
        <f t="shared" si="72"/>
        <v>55.832999999999998</v>
      </c>
      <c r="F49" s="15">
        <f t="shared" si="73"/>
        <v>83.528000000000006</v>
      </c>
      <c r="K49" s="10"/>
      <c r="L49" s="10"/>
      <c r="M49" s="10"/>
      <c r="N49" s="10"/>
      <c r="O49" s="10"/>
      <c r="P49" s="10"/>
      <c r="Q49" s="10"/>
      <c r="R49" s="10">
        <v>55.832999999999998</v>
      </c>
      <c r="S49" s="10">
        <v>74.662999999999997</v>
      </c>
      <c r="T49" s="10">
        <v>51.662999999999997</v>
      </c>
      <c r="U49" s="10">
        <v>46.332000000000001</v>
      </c>
      <c r="V49" s="15">
        <v>83.528000000000006</v>
      </c>
      <c r="W49" s="10"/>
      <c r="X49" s="10"/>
    </row>
    <row r="50" spans="2:24" x14ac:dyDescent="0.25">
      <c r="B50" t="s">
        <v>148</v>
      </c>
      <c r="C50" s="10"/>
      <c r="D50" s="10"/>
      <c r="E50" s="10">
        <f t="shared" si="72"/>
        <v>0</v>
      </c>
      <c r="F50" s="15">
        <f t="shared" si="73"/>
        <v>6.1180000000000003</v>
      </c>
      <c r="K50" s="10"/>
      <c r="L50" s="10"/>
      <c r="M50" s="10"/>
      <c r="N50" s="10"/>
      <c r="O50" s="10"/>
      <c r="P50" s="10"/>
      <c r="Q50" s="10"/>
      <c r="R50" s="10">
        <v>0</v>
      </c>
      <c r="S50" s="10">
        <v>0</v>
      </c>
      <c r="T50" s="10"/>
      <c r="U50" s="10"/>
      <c r="V50" s="15">
        <v>6.1180000000000003</v>
      </c>
      <c r="W50" s="10"/>
      <c r="X50" s="10"/>
    </row>
    <row r="51" spans="2:24" x14ac:dyDescent="0.25">
      <c r="B51" t="s">
        <v>66</v>
      </c>
      <c r="C51" s="10"/>
      <c r="D51" s="10"/>
      <c r="E51" s="10">
        <f t="shared" si="72"/>
        <v>17.719000000000001</v>
      </c>
      <c r="F51" s="15">
        <f t="shared" si="73"/>
        <v>44.984000000000002</v>
      </c>
      <c r="K51" s="10"/>
      <c r="L51" s="10"/>
      <c r="M51" s="10"/>
      <c r="N51" s="10"/>
      <c r="O51" s="10"/>
      <c r="P51" s="10"/>
      <c r="Q51" s="10"/>
      <c r="R51" s="10">
        <v>17.719000000000001</v>
      </c>
      <c r="S51" s="10">
        <v>17.446999999999999</v>
      </c>
      <c r="T51" s="10">
        <v>25.997</v>
      </c>
      <c r="U51" s="10">
        <v>29.581</v>
      </c>
      <c r="V51" s="15">
        <v>44.984000000000002</v>
      </c>
      <c r="W51" s="10"/>
      <c r="X51" s="10"/>
    </row>
    <row r="52" spans="2:24" s="1" customFormat="1" x14ac:dyDescent="0.25">
      <c r="B52" s="1" t="s">
        <v>50</v>
      </c>
      <c r="C52" s="11">
        <f t="shared" ref="C52:D52" si="74">SUM(C46:C51)</f>
        <v>0</v>
      </c>
      <c r="D52" s="11">
        <f t="shared" si="74"/>
        <v>0</v>
      </c>
      <c r="E52" s="11">
        <f t="shared" ref="E52:G52" si="75">SUM(E46:E51)</f>
        <v>302.22499999999997</v>
      </c>
      <c r="F52" s="14">
        <f t="shared" si="75"/>
        <v>775.36200000000008</v>
      </c>
      <c r="G52" s="11">
        <f t="shared" si="75"/>
        <v>0</v>
      </c>
      <c r="K52" s="11">
        <f t="shared" ref="K52:U52" si="76">SUM(K46:K51)</f>
        <v>0</v>
      </c>
      <c r="L52" s="11">
        <f t="shared" si="76"/>
        <v>0</v>
      </c>
      <c r="M52" s="11">
        <f t="shared" si="76"/>
        <v>0</v>
      </c>
      <c r="N52" s="11">
        <f t="shared" si="76"/>
        <v>0</v>
      </c>
      <c r="O52" s="11">
        <f t="shared" si="76"/>
        <v>0</v>
      </c>
      <c r="P52" s="11">
        <f t="shared" si="76"/>
        <v>0</v>
      </c>
      <c r="Q52" s="11">
        <f t="shared" si="76"/>
        <v>0</v>
      </c>
      <c r="R52" s="11">
        <f t="shared" si="76"/>
        <v>302.22499999999997</v>
      </c>
      <c r="S52" s="11">
        <f t="shared" si="76"/>
        <v>324.81200000000001</v>
      </c>
      <c r="T52" s="11">
        <f t="shared" si="76"/>
        <v>355.51300000000003</v>
      </c>
      <c r="U52" s="11">
        <f t="shared" si="76"/>
        <v>754.14300000000003</v>
      </c>
      <c r="V52" s="14">
        <f t="shared" ref="V52:X52" si="77">SUM(V46:V51)</f>
        <v>775.36200000000008</v>
      </c>
      <c r="W52" s="11">
        <f t="shared" si="77"/>
        <v>0</v>
      </c>
      <c r="X52" s="11">
        <f t="shared" si="77"/>
        <v>0</v>
      </c>
    </row>
    <row r="53" spans="2:24" x14ac:dyDescent="0.25">
      <c r="B53" t="s">
        <v>67</v>
      </c>
      <c r="C53" s="10"/>
      <c r="D53" s="10"/>
      <c r="E53" s="10">
        <f t="shared" ref="E53:E59" si="78">R53</f>
        <v>121.749</v>
      </c>
      <c r="F53" s="15">
        <f t="shared" ref="F53:F59" si="79">V53</f>
        <v>150.57300000000001</v>
      </c>
      <c r="G53" s="10"/>
      <c r="K53" s="10"/>
      <c r="L53" s="10"/>
      <c r="M53" s="10"/>
      <c r="N53" s="10"/>
      <c r="O53" s="10"/>
      <c r="P53" s="10"/>
      <c r="Q53" s="10"/>
      <c r="R53" s="10">
        <v>121.749</v>
      </c>
      <c r="S53" s="10">
        <v>122.473</v>
      </c>
      <c r="T53" s="10">
        <v>131.28800000000001</v>
      </c>
      <c r="U53" s="10">
        <v>145.084</v>
      </c>
      <c r="V53" s="15">
        <v>150.57300000000001</v>
      </c>
      <c r="W53" s="10"/>
      <c r="X53" s="10"/>
    </row>
    <row r="54" spans="2:24" x14ac:dyDescent="0.25">
      <c r="B54" t="s">
        <v>149</v>
      </c>
      <c r="C54" s="10"/>
      <c r="D54" s="10"/>
      <c r="E54" s="10">
        <f t="shared" si="78"/>
        <v>18.974</v>
      </c>
      <c r="F54" s="15">
        <f t="shared" si="79"/>
        <v>21.475000000000001</v>
      </c>
      <c r="G54" s="10"/>
      <c r="K54" s="10"/>
      <c r="L54" s="10"/>
      <c r="M54" s="10"/>
      <c r="N54" s="10"/>
      <c r="O54" s="10"/>
      <c r="P54" s="10"/>
      <c r="Q54" s="10"/>
      <c r="R54" s="10">
        <v>18.974</v>
      </c>
      <c r="S54" s="10">
        <v>19.783000000000001</v>
      </c>
      <c r="T54" s="10">
        <v>20.567</v>
      </c>
      <c r="U54" s="10">
        <v>21.062000000000001</v>
      </c>
      <c r="V54" s="15">
        <v>21.475000000000001</v>
      </c>
      <c r="W54" s="10"/>
      <c r="X54" s="10"/>
    </row>
    <row r="55" spans="2:24" x14ac:dyDescent="0.25">
      <c r="B55" t="s">
        <v>18</v>
      </c>
      <c r="C55" s="10"/>
      <c r="D55" s="10"/>
      <c r="E55" s="10">
        <f t="shared" si="78"/>
        <v>136.34899999999999</v>
      </c>
      <c r="F55" s="15">
        <f t="shared" si="79"/>
        <v>143.452</v>
      </c>
      <c r="G55" s="10"/>
      <c r="K55" s="10"/>
      <c r="L55" s="10"/>
      <c r="M55" s="10"/>
      <c r="N55" s="10"/>
      <c r="O55" s="10"/>
      <c r="P55" s="10"/>
      <c r="Q55" s="10"/>
      <c r="R55" s="10">
        <v>136.34899999999999</v>
      </c>
      <c r="S55" s="10">
        <v>138.49</v>
      </c>
      <c r="T55" s="10">
        <v>138.64400000000001</v>
      </c>
      <c r="U55" s="10">
        <v>138.95400000000001</v>
      </c>
      <c r="V55" s="15">
        <v>143.452</v>
      </c>
      <c r="W55" s="10"/>
      <c r="X55" s="10"/>
    </row>
    <row r="56" spans="2:24" x14ac:dyDescent="0.25">
      <c r="B56" t="s">
        <v>68</v>
      </c>
      <c r="C56" s="10"/>
      <c r="D56" s="10"/>
      <c r="E56" s="10">
        <f t="shared" si="78"/>
        <v>27.452000000000002</v>
      </c>
      <c r="F56" s="15">
        <f t="shared" si="79"/>
        <v>26.632999999999999</v>
      </c>
      <c r="G56" s="10"/>
      <c r="K56" s="10"/>
      <c r="L56" s="10"/>
      <c r="M56" s="10"/>
      <c r="N56" s="10"/>
      <c r="O56" s="10"/>
      <c r="P56" s="10"/>
      <c r="Q56" s="10"/>
      <c r="R56" s="10">
        <v>27.452000000000002</v>
      </c>
      <c r="S56" s="10">
        <v>27.763999999999999</v>
      </c>
      <c r="T56" s="10">
        <v>26.623999999999999</v>
      </c>
      <c r="U56" s="10">
        <v>25.536999999999999</v>
      </c>
      <c r="V56" s="15">
        <v>26.632999999999999</v>
      </c>
      <c r="W56" s="10"/>
      <c r="X56" s="10"/>
    </row>
    <row r="57" spans="2:24" s="1" customFormat="1" x14ac:dyDescent="0.25">
      <c r="B57" t="s">
        <v>65</v>
      </c>
      <c r="C57" s="10"/>
      <c r="D57" s="10"/>
      <c r="E57" s="10">
        <f t="shared" si="78"/>
        <v>5.3479999999999999</v>
      </c>
      <c r="F57" s="15">
        <f t="shared" si="79"/>
        <v>5.4710000000000001</v>
      </c>
      <c r="G57" s="10"/>
      <c r="K57" s="10"/>
      <c r="L57" s="10"/>
      <c r="M57" s="10"/>
      <c r="N57" s="10"/>
      <c r="O57" s="10"/>
      <c r="P57" s="10"/>
      <c r="Q57" s="10"/>
      <c r="R57" s="10">
        <v>5.3479999999999999</v>
      </c>
      <c r="S57" s="10">
        <v>5.5259999999999998</v>
      </c>
      <c r="T57" s="10">
        <v>5.5270000000000001</v>
      </c>
      <c r="U57" s="10">
        <v>5.367</v>
      </c>
      <c r="V57" s="15">
        <v>5.4710000000000001</v>
      </c>
      <c r="W57" s="10"/>
      <c r="X57" s="10"/>
    </row>
    <row r="58" spans="2:24" s="1" customFormat="1" x14ac:dyDescent="0.25">
      <c r="B58" t="s">
        <v>150</v>
      </c>
      <c r="C58" s="10"/>
      <c r="D58" s="10"/>
      <c r="E58" s="10">
        <f t="shared" si="78"/>
        <v>19.751999999999999</v>
      </c>
      <c r="F58" s="15">
        <f t="shared" si="79"/>
        <v>14.587999999999999</v>
      </c>
      <c r="G58" s="10"/>
      <c r="K58" s="10"/>
      <c r="L58" s="10"/>
      <c r="M58" s="10"/>
      <c r="N58" s="10"/>
      <c r="O58" s="10"/>
      <c r="P58" s="10"/>
      <c r="Q58" s="10"/>
      <c r="R58" s="10">
        <v>19.751999999999999</v>
      </c>
      <c r="S58" s="10">
        <v>17.927</v>
      </c>
      <c r="T58" s="10">
        <v>16.099</v>
      </c>
      <c r="U58" s="10">
        <v>13.95</v>
      </c>
      <c r="V58" s="15">
        <v>14.587999999999999</v>
      </c>
      <c r="W58" s="10"/>
      <c r="X58" s="10"/>
    </row>
    <row r="59" spans="2:24" s="1" customFormat="1" x14ac:dyDescent="0.25">
      <c r="B59" t="s">
        <v>151</v>
      </c>
      <c r="C59" s="10"/>
      <c r="D59" s="10"/>
      <c r="E59" s="10">
        <f t="shared" si="78"/>
        <v>1.9470000000000001</v>
      </c>
      <c r="F59" s="15">
        <f t="shared" si="79"/>
        <v>8.1319999999999997</v>
      </c>
      <c r="G59" s="10"/>
      <c r="K59" s="10"/>
      <c r="L59" s="10"/>
      <c r="M59" s="10"/>
      <c r="N59" s="10"/>
      <c r="O59" s="10"/>
      <c r="P59" s="10"/>
      <c r="Q59" s="10"/>
      <c r="R59" s="10">
        <v>1.9470000000000001</v>
      </c>
      <c r="S59" s="10">
        <v>1.615</v>
      </c>
      <c r="T59" s="10">
        <v>2.2130000000000001</v>
      </c>
      <c r="U59" s="10">
        <v>1.9630000000000001</v>
      </c>
      <c r="V59" s="15">
        <v>8.1319999999999997</v>
      </c>
      <c r="W59" s="10"/>
      <c r="X59" s="10"/>
    </row>
    <row r="60" spans="2:24" x14ac:dyDescent="0.25">
      <c r="B60" s="1" t="s">
        <v>19</v>
      </c>
      <c r="C60" s="11">
        <f>SUM(C52:C59)</f>
        <v>0</v>
      </c>
      <c r="D60" s="11">
        <f>SUM(D52:D59)</f>
        <v>0</v>
      </c>
      <c r="E60" s="11">
        <f>SUM(E52:E59)</f>
        <v>633.79599999999982</v>
      </c>
      <c r="F60" s="14">
        <f>SUM(F52:F59)</f>
        <v>1145.6860000000001</v>
      </c>
      <c r="G60" s="11">
        <f>SUM(G52:G59)</f>
        <v>0</v>
      </c>
      <c r="K60" s="11">
        <f t="shared" ref="K60:X60" si="80">SUM(K52:K59)</f>
        <v>0</v>
      </c>
      <c r="L60" s="11">
        <f t="shared" si="80"/>
        <v>0</v>
      </c>
      <c r="M60" s="11">
        <f t="shared" si="80"/>
        <v>0</v>
      </c>
      <c r="N60" s="11">
        <f t="shared" si="80"/>
        <v>0</v>
      </c>
      <c r="O60" s="11">
        <f t="shared" si="80"/>
        <v>0</v>
      </c>
      <c r="P60" s="11">
        <f t="shared" si="80"/>
        <v>0</v>
      </c>
      <c r="Q60" s="11">
        <f t="shared" si="80"/>
        <v>0</v>
      </c>
      <c r="R60" s="11">
        <f t="shared" si="80"/>
        <v>633.79599999999982</v>
      </c>
      <c r="S60" s="11">
        <f t="shared" si="80"/>
        <v>658.39</v>
      </c>
      <c r="T60" s="11">
        <f t="shared" si="80"/>
        <v>696.47500000000014</v>
      </c>
      <c r="U60" s="11">
        <f t="shared" si="80"/>
        <v>1106.0600000000002</v>
      </c>
      <c r="V60" s="14">
        <f t="shared" si="80"/>
        <v>1145.6860000000001</v>
      </c>
      <c r="W60" s="11">
        <f t="shared" si="80"/>
        <v>0</v>
      </c>
      <c r="X60" s="11">
        <f t="shared" si="80"/>
        <v>0</v>
      </c>
    </row>
    <row r="61" spans="2:24" x14ac:dyDescent="0.25">
      <c r="B61" t="s">
        <v>21</v>
      </c>
      <c r="C61" s="10"/>
      <c r="D61" s="10"/>
      <c r="E61" s="10">
        <f t="shared" ref="E61:E66" si="81">R61</f>
        <v>2.6040000000000001</v>
      </c>
      <c r="F61" s="15">
        <f t="shared" ref="F61:F66" si="82">V61</f>
        <v>10.612</v>
      </c>
      <c r="G61" s="10"/>
      <c r="K61" s="10"/>
      <c r="L61" s="10"/>
      <c r="M61" s="10"/>
      <c r="N61" s="10"/>
      <c r="O61" s="10"/>
      <c r="P61" s="10"/>
      <c r="Q61" s="10"/>
      <c r="R61" s="10">
        <v>2.6040000000000001</v>
      </c>
      <c r="S61" s="10">
        <v>4.0970000000000004</v>
      </c>
      <c r="T61" s="10">
        <v>11.053000000000001</v>
      </c>
      <c r="U61" s="10">
        <v>3.448</v>
      </c>
      <c r="V61" s="15">
        <v>10.612</v>
      </c>
      <c r="W61" s="10"/>
      <c r="X61" s="10"/>
    </row>
    <row r="62" spans="2:24" x14ac:dyDescent="0.25">
      <c r="B62" t="s">
        <v>152</v>
      </c>
      <c r="C62" s="10"/>
      <c r="D62" s="10"/>
      <c r="E62" s="10">
        <f t="shared" si="81"/>
        <v>42.6</v>
      </c>
      <c r="F62" s="15">
        <f t="shared" si="82"/>
        <v>55.874000000000002</v>
      </c>
      <c r="G62" s="10"/>
      <c r="K62" s="10"/>
      <c r="L62" s="10"/>
      <c r="M62" s="10"/>
      <c r="N62" s="10"/>
      <c r="O62" s="10"/>
      <c r="P62" s="10"/>
      <c r="Q62" s="10"/>
      <c r="R62" s="10">
        <v>42.6</v>
      </c>
      <c r="S62" s="10">
        <v>28.823</v>
      </c>
      <c r="T62" s="10">
        <v>32.442999999999998</v>
      </c>
      <c r="U62" s="10">
        <v>28.652000000000001</v>
      </c>
      <c r="V62" s="15">
        <v>55.874000000000002</v>
      </c>
      <c r="W62" s="10"/>
      <c r="X62" s="10"/>
    </row>
    <row r="63" spans="2:24" x14ac:dyDescent="0.25">
      <c r="B63" t="s">
        <v>153</v>
      </c>
      <c r="C63" s="10"/>
      <c r="D63" s="10"/>
      <c r="E63" s="10">
        <f t="shared" si="81"/>
        <v>82.275000000000006</v>
      </c>
      <c r="F63" s="15">
        <f t="shared" si="82"/>
        <v>220.572</v>
      </c>
      <c r="G63" s="10"/>
      <c r="K63" s="10"/>
      <c r="L63" s="10"/>
      <c r="M63" s="10"/>
      <c r="N63" s="10"/>
      <c r="O63" s="10"/>
      <c r="P63" s="10"/>
      <c r="Q63" s="10"/>
      <c r="R63" s="10">
        <v>82.275000000000006</v>
      </c>
      <c r="S63" s="10">
        <v>108.336</v>
      </c>
      <c r="T63" s="10">
        <v>148.006</v>
      </c>
      <c r="U63" s="10">
        <v>145.857</v>
      </c>
      <c r="V63" s="15">
        <v>220.572</v>
      </c>
      <c r="W63" s="10"/>
      <c r="X63" s="10"/>
    </row>
    <row r="64" spans="2:24" x14ac:dyDescent="0.25">
      <c r="B64" t="s">
        <v>154</v>
      </c>
      <c r="C64" s="10"/>
      <c r="D64" s="10"/>
      <c r="E64" s="10">
        <f t="shared" si="81"/>
        <v>5.3780000000000001</v>
      </c>
      <c r="F64" s="15">
        <f t="shared" si="82"/>
        <v>1.7929999999999999</v>
      </c>
      <c r="G64" s="10"/>
      <c r="K64" s="10"/>
      <c r="L64" s="10"/>
      <c r="M64" s="10"/>
      <c r="N64" s="10"/>
      <c r="O64" s="10"/>
      <c r="P64" s="10"/>
      <c r="Q64" s="10"/>
      <c r="R64" s="10">
        <v>5.3780000000000001</v>
      </c>
      <c r="S64" s="10">
        <v>4.4820000000000002</v>
      </c>
      <c r="T64" s="10">
        <v>3.5859999999999999</v>
      </c>
      <c r="U64" s="10">
        <v>2.6890000000000001</v>
      </c>
      <c r="V64" s="15">
        <v>1.7929999999999999</v>
      </c>
      <c r="W64" s="10"/>
      <c r="X64" s="10"/>
    </row>
    <row r="65" spans="2:24" x14ac:dyDescent="0.25">
      <c r="B65" t="s">
        <v>150</v>
      </c>
      <c r="C65" s="10"/>
      <c r="D65" s="10"/>
      <c r="E65" s="10">
        <f t="shared" si="81"/>
        <v>9.2210000000000001</v>
      </c>
      <c r="F65" s="15">
        <f t="shared" si="82"/>
        <v>7.2960000000000003</v>
      </c>
      <c r="G65" s="10"/>
      <c r="K65" s="10"/>
      <c r="L65" s="10"/>
      <c r="M65" s="10"/>
      <c r="N65" s="10"/>
      <c r="O65" s="10"/>
      <c r="P65" s="10"/>
      <c r="Q65" s="10"/>
      <c r="R65" s="10">
        <v>9.2210000000000001</v>
      </c>
      <c r="S65" s="10">
        <v>8.8160000000000007</v>
      </c>
      <c r="T65" s="10">
        <v>8.4030000000000005</v>
      </c>
      <c r="U65" s="10">
        <v>7.9429999999999996</v>
      </c>
      <c r="V65" s="15">
        <v>7.2960000000000003</v>
      </c>
      <c r="W65" s="10"/>
      <c r="X65" s="10"/>
    </row>
    <row r="66" spans="2:24" x14ac:dyDescent="0.25">
      <c r="B66" t="s">
        <v>155</v>
      </c>
      <c r="C66" s="10"/>
      <c r="D66" s="10"/>
      <c r="E66" s="10">
        <f t="shared" si="81"/>
        <v>0</v>
      </c>
      <c r="F66" s="15">
        <f t="shared" si="82"/>
        <v>173.30799999999999</v>
      </c>
      <c r="G66" s="10"/>
      <c r="K66" s="10"/>
      <c r="L66" s="10"/>
      <c r="M66" s="10"/>
      <c r="N66" s="10"/>
      <c r="O66" s="10"/>
      <c r="P66" s="10"/>
      <c r="Q66" s="10"/>
      <c r="R66" s="10">
        <v>0</v>
      </c>
      <c r="S66" s="10"/>
      <c r="T66" s="10"/>
      <c r="U66" s="10"/>
      <c r="V66" s="15">
        <v>173.30799999999999</v>
      </c>
      <c r="W66" s="10"/>
      <c r="X66" s="10"/>
    </row>
    <row r="67" spans="2:24" s="1" customFormat="1" x14ac:dyDescent="0.25">
      <c r="B67" s="1" t="s">
        <v>51</v>
      </c>
      <c r="C67" s="11">
        <f>SUM(C61:C66)</f>
        <v>0</v>
      </c>
      <c r="D67" s="11">
        <f>SUM(D61:D66)</f>
        <v>0</v>
      </c>
      <c r="E67" s="11">
        <f>SUM(E61:E66)</f>
        <v>142.07800000000003</v>
      </c>
      <c r="F67" s="14">
        <f>SUM(F61:F66)</f>
        <v>469.45499999999998</v>
      </c>
      <c r="G67" s="11">
        <f>SUM(G61:G66)</f>
        <v>0</v>
      </c>
      <c r="K67" s="11">
        <f t="shared" ref="K67:X67" si="83">SUM(K61:K66)</f>
        <v>0</v>
      </c>
      <c r="L67" s="11">
        <f t="shared" si="83"/>
        <v>0</v>
      </c>
      <c r="M67" s="11">
        <f t="shared" si="83"/>
        <v>0</v>
      </c>
      <c r="N67" s="11">
        <f t="shared" si="83"/>
        <v>0</v>
      </c>
      <c r="O67" s="11">
        <f t="shared" si="83"/>
        <v>0</v>
      </c>
      <c r="P67" s="11">
        <f t="shared" si="83"/>
        <v>0</v>
      </c>
      <c r="Q67" s="11">
        <f t="shared" si="83"/>
        <v>0</v>
      </c>
      <c r="R67" s="11">
        <f t="shared" si="83"/>
        <v>142.07800000000003</v>
      </c>
      <c r="S67" s="11">
        <f t="shared" si="83"/>
        <v>154.554</v>
      </c>
      <c r="T67" s="11">
        <f t="shared" si="83"/>
        <v>203.49100000000001</v>
      </c>
      <c r="U67" s="11">
        <f t="shared" si="83"/>
        <v>188.589</v>
      </c>
      <c r="V67" s="14">
        <f t="shared" si="83"/>
        <v>469.45499999999998</v>
      </c>
      <c r="W67" s="11">
        <f t="shared" si="83"/>
        <v>0</v>
      </c>
      <c r="X67" s="11">
        <f t="shared" si="83"/>
        <v>0</v>
      </c>
    </row>
    <row r="68" spans="2:24" x14ac:dyDescent="0.25">
      <c r="B68" t="s">
        <v>153</v>
      </c>
      <c r="C68" s="10"/>
      <c r="D68" s="10"/>
      <c r="E68" s="10">
        <f t="shared" ref="E68:E74" si="84">R68</f>
        <v>11.182</v>
      </c>
      <c r="F68" s="15">
        <f t="shared" ref="F68:F74" si="85">V68</f>
        <v>27.521999999999998</v>
      </c>
      <c r="G68" s="10"/>
      <c r="K68" s="10"/>
      <c r="L68" s="10"/>
      <c r="M68" s="10"/>
      <c r="N68" s="10"/>
      <c r="O68" s="10"/>
      <c r="P68" s="10"/>
      <c r="Q68" s="10"/>
      <c r="R68" s="10">
        <v>11.182</v>
      </c>
      <c r="S68" s="10">
        <v>29.675999999999998</v>
      </c>
      <c r="T68" s="10">
        <v>25.013000000000002</v>
      </c>
      <c r="U68" s="10">
        <v>48.332000000000001</v>
      </c>
      <c r="V68" s="15">
        <v>27.521999999999998</v>
      </c>
      <c r="W68" s="10"/>
      <c r="X68" s="10"/>
    </row>
    <row r="69" spans="2:24" x14ac:dyDescent="0.25">
      <c r="B69" t="s">
        <v>156</v>
      </c>
      <c r="C69" s="10"/>
      <c r="D69" s="10"/>
      <c r="E69" s="10">
        <f t="shared" si="84"/>
        <v>5.3680000000000003</v>
      </c>
      <c r="F69" s="15">
        <f t="shared" si="85"/>
        <v>4.0339999999999998</v>
      </c>
      <c r="G69" s="10"/>
      <c r="K69" s="10"/>
      <c r="L69" s="10"/>
      <c r="M69" s="10"/>
      <c r="N69" s="10"/>
      <c r="O69" s="10"/>
      <c r="P69" s="10"/>
      <c r="Q69" s="10"/>
      <c r="R69" s="10">
        <v>5.3680000000000003</v>
      </c>
      <c r="S69" s="10">
        <v>7.75</v>
      </c>
      <c r="T69" s="10">
        <v>6.5119999999999996</v>
      </c>
      <c r="U69" s="10">
        <v>5.2729999999999997</v>
      </c>
      <c r="V69" s="15">
        <v>4.0339999999999998</v>
      </c>
      <c r="W69" s="10"/>
      <c r="X69" s="10"/>
    </row>
    <row r="70" spans="2:24" x14ac:dyDescent="0.25">
      <c r="B70" t="s">
        <v>155</v>
      </c>
      <c r="C70" s="10"/>
      <c r="D70" s="10"/>
      <c r="E70" s="10">
        <f t="shared" si="84"/>
        <v>18.077000000000002</v>
      </c>
      <c r="F70" s="15">
        <f t="shared" si="85"/>
        <v>0</v>
      </c>
      <c r="G70" s="10"/>
      <c r="K70" s="10"/>
      <c r="L70" s="10"/>
      <c r="M70" s="10"/>
      <c r="N70" s="10"/>
      <c r="O70" s="10"/>
      <c r="P70" s="10"/>
      <c r="Q70" s="10"/>
      <c r="R70" s="10">
        <v>18.077000000000002</v>
      </c>
      <c r="S70" s="10">
        <v>7.69</v>
      </c>
      <c r="T70" s="10">
        <v>13.369</v>
      </c>
      <c r="U70" s="10">
        <v>56.82</v>
      </c>
      <c r="V70" s="15">
        <v>0</v>
      </c>
      <c r="W70" s="10"/>
      <c r="X70" s="10"/>
    </row>
    <row r="71" spans="2:24" x14ac:dyDescent="0.25">
      <c r="B71" t="s">
        <v>150</v>
      </c>
      <c r="C71" s="10"/>
      <c r="D71" s="10"/>
      <c r="E71" s="10">
        <f t="shared" si="84"/>
        <v>12.391999999999999</v>
      </c>
      <c r="F71" s="15">
        <f t="shared" si="85"/>
        <v>8.3000000000000007</v>
      </c>
      <c r="G71" s="10"/>
      <c r="K71" s="10"/>
      <c r="L71" s="10"/>
      <c r="M71" s="10"/>
      <c r="N71" s="10"/>
      <c r="O71" s="10"/>
      <c r="P71" s="10"/>
      <c r="Q71" s="10"/>
      <c r="R71" s="10">
        <v>12.391999999999999</v>
      </c>
      <c r="S71" s="10">
        <v>10.805999999999999</v>
      </c>
      <c r="T71" s="10">
        <v>9.1389999999999993</v>
      </c>
      <c r="U71" s="10">
        <v>7.2089999999999996</v>
      </c>
      <c r="V71" s="15">
        <v>8.3000000000000007</v>
      </c>
      <c r="W71" s="10"/>
      <c r="X71" s="10"/>
    </row>
    <row r="72" spans="2:24" x14ac:dyDescent="0.25">
      <c r="B72" t="s">
        <v>157</v>
      </c>
      <c r="C72" s="10"/>
      <c r="D72" s="10"/>
      <c r="E72" s="10">
        <f t="shared" si="84"/>
        <v>2.883</v>
      </c>
      <c r="F72" s="15">
        <f t="shared" si="85"/>
        <v>0</v>
      </c>
      <c r="G72" s="10"/>
      <c r="K72" s="10"/>
      <c r="L72" s="10"/>
      <c r="M72" s="10"/>
      <c r="N72" s="10"/>
      <c r="O72" s="10"/>
      <c r="P72" s="10"/>
      <c r="Q72" s="10"/>
      <c r="R72" s="10">
        <v>2.883</v>
      </c>
      <c r="S72" s="10">
        <v>2.6970000000000001</v>
      </c>
      <c r="T72" s="10">
        <v>2.774</v>
      </c>
      <c r="U72" s="10">
        <v>3.601</v>
      </c>
      <c r="V72" s="15">
        <v>0</v>
      </c>
      <c r="W72" s="10"/>
      <c r="X72" s="10"/>
    </row>
    <row r="73" spans="2:24" x14ac:dyDescent="0.25">
      <c r="B73" t="s">
        <v>158</v>
      </c>
      <c r="C73" s="10"/>
      <c r="D73" s="10"/>
      <c r="E73" s="10">
        <f t="shared" si="84"/>
        <v>0</v>
      </c>
      <c r="F73" s="15">
        <f t="shared" si="85"/>
        <v>446.88400000000001</v>
      </c>
      <c r="G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>
        <v>446.20100000000002</v>
      </c>
      <c r="V73" s="15">
        <v>446.88400000000001</v>
      </c>
      <c r="W73" s="10"/>
      <c r="X73" s="10"/>
    </row>
    <row r="74" spans="2:24" x14ac:dyDescent="0.25">
      <c r="B74" t="s">
        <v>151</v>
      </c>
      <c r="C74" s="10"/>
      <c r="D74" s="10"/>
      <c r="E74" s="10">
        <f t="shared" si="84"/>
        <v>0.53</v>
      </c>
      <c r="F74" s="15">
        <f t="shared" si="85"/>
        <v>1.06</v>
      </c>
      <c r="G74" s="10"/>
      <c r="K74" s="10"/>
      <c r="L74" s="10"/>
      <c r="M74" s="10"/>
      <c r="N74" s="10"/>
      <c r="O74" s="10"/>
      <c r="P74" s="10"/>
      <c r="Q74" s="10"/>
      <c r="R74" s="10">
        <v>0.53</v>
      </c>
      <c r="S74" s="10">
        <v>0.41499999999999998</v>
      </c>
      <c r="T74" s="10">
        <v>0.438</v>
      </c>
      <c r="U74" s="10">
        <v>0.47699999999999998</v>
      </c>
      <c r="V74" s="15">
        <v>1.06</v>
      </c>
      <c r="W74" s="10"/>
      <c r="X74" s="10"/>
    </row>
    <row r="75" spans="2:24" x14ac:dyDescent="0.25">
      <c r="B75" s="1" t="s">
        <v>20</v>
      </c>
      <c r="C75" s="11">
        <f>SUM(C67:C74)</f>
        <v>0</v>
      </c>
      <c r="D75" s="11">
        <f>SUM(D67:D74)</f>
        <v>0</v>
      </c>
      <c r="E75" s="11">
        <f>SUM(E67:E74)</f>
        <v>192.51000000000002</v>
      </c>
      <c r="F75" s="14">
        <f>SUM(F67:F74)</f>
        <v>957.25499999999988</v>
      </c>
      <c r="G75" s="11">
        <f>SUM(G67:G74)</f>
        <v>0</v>
      </c>
      <c r="K75" s="11">
        <f t="shared" ref="K75:X75" si="86">SUM(K67:K74)</f>
        <v>0</v>
      </c>
      <c r="L75" s="11">
        <f t="shared" si="86"/>
        <v>0</v>
      </c>
      <c r="M75" s="11">
        <f t="shared" si="86"/>
        <v>0</v>
      </c>
      <c r="N75" s="11">
        <f t="shared" si="86"/>
        <v>0</v>
      </c>
      <c r="O75" s="11">
        <f t="shared" si="86"/>
        <v>0</v>
      </c>
      <c r="P75" s="11">
        <f t="shared" si="86"/>
        <v>0</v>
      </c>
      <c r="Q75" s="11">
        <f t="shared" si="86"/>
        <v>0</v>
      </c>
      <c r="R75" s="11">
        <f t="shared" si="86"/>
        <v>192.51000000000002</v>
      </c>
      <c r="S75" s="11">
        <f t="shared" si="86"/>
        <v>213.58799999999999</v>
      </c>
      <c r="T75" s="11">
        <f t="shared" si="86"/>
        <v>260.73599999999999</v>
      </c>
      <c r="U75" s="11">
        <f t="shared" si="86"/>
        <v>756.50200000000007</v>
      </c>
      <c r="V75" s="14">
        <f t="shared" si="86"/>
        <v>957.25499999999988</v>
      </c>
      <c r="W75" s="11">
        <f t="shared" si="86"/>
        <v>0</v>
      </c>
      <c r="X75" s="11">
        <f t="shared" si="86"/>
        <v>0</v>
      </c>
    </row>
    <row r="76" spans="2:24" x14ac:dyDescent="0.25">
      <c r="B76" t="s">
        <v>69</v>
      </c>
      <c r="C76" s="10">
        <f>C60-C75</f>
        <v>0</v>
      </c>
      <c r="D76" s="10">
        <f>D60-D75</f>
        <v>0</v>
      </c>
      <c r="E76" s="10">
        <f>E60-E75</f>
        <v>441.28599999999983</v>
      </c>
      <c r="F76" s="15">
        <f>F60-F75</f>
        <v>188.43100000000027</v>
      </c>
      <c r="G76" s="10">
        <f>G60-G75</f>
        <v>0</v>
      </c>
      <c r="K76" s="10">
        <f t="shared" ref="K76:X76" si="87">K60-K75</f>
        <v>0</v>
      </c>
      <c r="L76" s="10">
        <f t="shared" si="87"/>
        <v>0</v>
      </c>
      <c r="M76" s="10">
        <f t="shared" si="87"/>
        <v>0</v>
      </c>
      <c r="N76" s="10">
        <f t="shared" si="87"/>
        <v>0</v>
      </c>
      <c r="O76" s="10">
        <f t="shared" si="87"/>
        <v>0</v>
      </c>
      <c r="P76" s="10">
        <f t="shared" si="87"/>
        <v>0</v>
      </c>
      <c r="Q76" s="10">
        <f t="shared" si="87"/>
        <v>0</v>
      </c>
      <c r="R76" s="10">
        <f t="shared" si="87"/>
        <v>441.28599999999983</v>
      </c>
      <c r="S76" s="10">
        <f t="shared" si="87"/>
        <v>444.80200000000002</v>
      </c>
      <c r="T76" s="10">
        <f t="shared" si="87"/>
        <v>435.73900000000015</v>
      </c>
      <c r="U76" s="10">
        <f t="shared" si="87"/>
        <v>349.55800000000011</v>
      </c>
      <c r="V76" s="15">
        <f>V60-V75</f>
        <v>188.43100000000027</v>
      </c>
      <c r="W76" s="10">
        <f t="shared" si="87"/>
        <v>0</v>
      </c>
      <c r="X76" s="10">
        <f t="shared" si="87"/>
        <v>0</v>
      </c>
    </row>
    <row r="78" spans="2:24" s="1" customFormat="1" x14ac:dyDescent="0.25">
      <c r="B78" s="1" t="s">
        <v>70</v>
      </c>
      <c r="C78" s="45"/>
      <c r="D78" s="117"/>
      <c r="F78" s="16"/>
      <c r="V78" s="16"/>
    </row>
    <row r="96" spans="6:22" s="9" customFormat="1" x14ac:dyDescent="0.25">
      <c r="F96" s="41"/>
      <c r="V96" s="41"/>
    </row>
    <row r="97" spans="6:22" s="1" customFormat="1" x14ac:dyDescent="0.25">
      <c r="F97" s="16"/>
      <c r="V97" s="16"/>
    </row>
  </sheetData>
  <phoneticPr fontId="3" type="noConversion"/>
  <conditionalFormatting sqref="S33:V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70AE-D1F2-4470-937E-18BA568AD24E}">
  <dimension ref="A1:Y10"/>
  <sheetViews>
    <sheetView workbookViewId="0">
      <selection activeCell="T16" sqref="T16"/>
    </sheetView>
  </sheetViews>
  <sheetFormatPr defaultRowHeight="15" x14ac:dyDescent="0.25"/>
  <cols>
    <col min="1" max="1" width="14.85546875" customWidth="1"/>
    <col min="23" max="25" width="10.140625" bestFit="1" customWidth="1"/>
  </cols>
  <sheetData>
    <row r="1" spans="1:25" x14ac:dyDescent="0.25">
      <c r="B1" s="115">
        <v>45413</v>
      </c>
      <c r="C1" s="115">
        <v>45444</v>
      </c>
      <c r="D1" s="115">
        <v>45474</v>
      </c>
      <c r="E1" s="115">
        <v>45505</v>
      </c>
      <c r="F1" s="115">
        <v>45536</v>
      </c>
      <c r="G1" s="115">
        <v>45566</v>
      </c>
      <c r="H1" s="115">
        <v>45597</v>
      </c>
      <c r="I1" s="115">
        <v>45627</v>
      </c>
      <c r="J1" s="115">
        <v>45658</v>
      </c>
      <c r="K1" s="115">
        <v>45689</v>
      </c>
      <c r="L1" s="115">
        <v>45717</v>
      </c>
      <c r="M1" s="115">
        <v>45748</v>
      </c>
      <c r="N1" s="115">
        <v>45778</v>
      </c>
      <c r="O1" s="115">
        <v>45809</v>
      </c>
      <c r="P1" s="115">
        <v>45839</v>
      </c>
      <c r="Q1" s="115">
        <v>45870</v>
      </c>
      <c r="R1" s="115">
        <v>45901</v>
      </c>
      <c r="S1" s="115">
        <v>45931</v>
      </c>
      <c r="T1" s="115">
        <v>45962</v>
      </c>
      <c r="U1" s="115">
        <v>45992</v>
      </c>
      <c r="V1" s="115">
        <v>46023</v>
      </c>
      <c r="W1" s="115">
        <v>46054</v>
      </c>
      <c r="X1" s="115">
        <v>46082</v>
      </c>
      <c r="Y1" s="115">
        <v>46113</v>
      </c>
    </row>
    <row r="2" spans="1:25" x14ac:dyDescent="0.25">
      <c r="A2" t="s">
        <v>134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2</v>
      </c>
      <c r="W2">
        <v>2</v>
      </c>
      <c r="X2">
        <v>1</v>
      </c>
    </row>
    <row r="3" spans="1:25" x14ac:dyDescent="0.25">
      <c r="A3" t="s">
        <v>135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0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2</v>
      </c>
      <c r="U3">
        <v>2</v>
      </c>
      <c r="V3">
        <v>3</v>
      </c>
      <c r="W3">
        <v>3</v>
      </c>
      <c r="X3">
        <v>4</v>
      </c>
    </row>
    <row r="4" spans="1:25" x14ac:dyDescent="0.25">
      <c r="A4" t="s">
        <v>136</v>
      </c>
      <c r="B4">
        <v>6</v>
      </c>
      <c r="C4">
        <v>6</v>
      </c>
      <c r="D4">
        <v>6</v>
      </c>
      <c r="E4">
        <v>6</v>
      </c>
      <c r="F4">
        <v>7</v>
      </c>
      <c r="G4">
        <v>6</v>
      </c>
      <c r="H4">
        <v>6</v>
      </c>
      <c r="I4">
        <v>6</v>
      </c>
      <c r="J4">
        <v>7</v>
      </c>
      <c r="K4">
        <v>10</v>
      </c>
      <c r="L4">
        <v>10</v>
      </c>
      <c r="M4">
        <v>10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8</v>
      </c>
      <c r="U4">
        <v>8</v>
      </c>
      <c r="V4">
        <v>7</v>
      </c>
      <c r="W4">
        <v>7</v>
      </c>
      <c r="X4">
        <v>6</v>
      </c>
    </row>
    <row r="5" spans="1:25" x14ac:dyDescent="0.25">
      <c r="A5" t="s">
        <v>137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8" spans="1:25" x14ac:dyDescent="0.25">
      <c r="A8" s="1" t="s">
        <v>138</v>
      </c>
    </row>
    <row r="9" spans="1:25" x14ac:dyDescent="0.25">
      <c r="A9" t="s">
        <v>175</v>
      </c>
      <c r="B9">
        <v>1.85</v>
      </c>
      <c r="C9">
        <v>1.91</v>
      </c>
      <c r="D9">
        <v>1.9</v>
      </c>
      <c r="E9">
        <v>2.2400000000000002</v>
      </c>
      <c r="F9">
        <v>2.41</v>
      </c>
      <c r="G9">
        <v>2.19</v>
      </c>
      <c r="H9">
        <v>2.44</v>
      </c>
      <c r="I9">
        <v>3.8</v>
      </c>
      <c r="J9">
        <v>4.04</v>
      </c>
      <c r="K9">
        <v>5.54</v>
      </c>
      <c r="L9">
        <v>4.68</v>
      </c>
      <c r="M9">
        <v>3.53</v>
      </c>
      <c r="N9">
        <v>3.44</v>
      </c>
      <c r="O9">
        <v>4.5199999999999996</v>
      </c>
      <c r="P9">
        <v>6.02</v>
      </c>
      <c r="Q9">
        <v>6.54</v>
      </c>
      <c r="R9">
        <v>7.59</v>
      </c>
      <c r="S9">
        <v>13.31</v>
      </c>
      <c r="T9">
        <v>12.84</v>
      </c>
      <c r="U9">
        <v>13.13</v>
      </c>
      <c r="V9">
        <v>21.38</v>
      </c>
      <c r="W9">
        <v>24.7</v>
      </c>
      <c r="X9">
        <v>24.5</v>
      </c>
    </row>
    <row r="10" spans="1:25" x14ac:dyDescent="0.25">
      <c r="A10" t="s">
        <v>176</v>
      </c>
      <c r="B10">
        <v>4.68</v>
      </c>
      <c r="C10">
        <v>4.68</v>
      </c>
      <c r="D10">
        <v>4.3</v>
      </c>
      <c r="E10">
        <v>4.3</v>
      </c>
      <c r="F10">
        <v>4.3899999999999997</v>
      </c>
      <c r="G10">
        <v>3.93</v>
      </c>
      <c r="H10">
        <v>3.93</v>
      </c>
      <c r="I10">
        <v>3.93</v>
      </c>
      <c r="J10">
        <v>4.33</v>
      </c>
      <c r="K10">
        <v>5.64</v>
      </c>
      <c r="L10">
        <v>6.27</v>
      </c>
      <c r="M10">
        <v>6.27</v>
      </c>
      <c r="N10">
        <v>5.98</v>
      </c>
      <c r="O10">
        <v>5.98</v>
      </c>
      <c r="P10">
        <v>6.71</v>
      </c>
      <c r="Q10">
        <v>6.86</v>
      </c>
      <c r="R10">
        <v>6.86</v>
      </c>
      <c r="S10">
        <v>7.56</v>
      </c>
      <c r="T10">
        <v>11.26</v>
      </c>
      <c r="U10">
        <v>11.26</v>
      </c>
      <c r="V10">
        <v>14.74</v>
      </c>
      <c r="W10">
        <v>20.64</v>
      </c>
      <c r="X10">
        <v>21.88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A34" workbookViewId="0">
      <selection activeCell="X58" sqref="X58"/>
    </sheetView>
  </sheetViews>
  <sheetFormatPr defaultRowHeight="15" x14ac:dyDescent="0.25"/>
  <sheetData>
    <row r="1" spans="1:1" x14ac:dyDescent="0.25">
      <c r="A1" s="8" t="s">
        <v>27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"/>
  <sheetViews>
    <sheetView workbookViewId="0">
      <selection activeCell="D18" sqref="D18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27</v>
      </c>
      <c r="B1" t="s">
        <v>40</v>
      </c>
      <c r="C1" s="17" t="s">
        <v>41</v>
      </c>
    </row>
    <row r="2" spans="1:13" x14ac:dyDescent="0.25">
      <c r="B2" s="12"/>
      <c r="C2" s="18"/>
      <c r="E2" t="s">
        <v>40</v>
      </c>
      <c r="F2" t="s">
        <v>42</v>
      </c>
      <c r="M2" t="s">
        <v>43</v>
      </c>
    </row>
    <row r="3" spans="1:13" x14ac:dyDescent="0.25">
      <c r="B3" s="12"/>
      <c r="C3" s="18"/>
      <c r="E3" s="12">
        <v>45328</v>
      </c>
      <c r="F3" t="s">
        <v>45</v>
      </c>
      <c r="M3" s="12"/>
    </row>
    <row r="4" spans="1:13" x14ac:dyDescent="0.25">
      <c r="B4" s="12"/>
      <c r="C4" s="18"/>
      <c r="E4" s="12">
        <v>45302</v>
      </c>
      <c r="F4" t="s">
        <v>45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27</v>
      </c>
      <c r="B1" s="1" t="s">
        <v>40</v>
      </c>
      <c r="C1" s="1" t="s">
        <v>0</v>
      </c>
      <c r="D1" s="1" t="s">
        <v>83</v>
      </c>
      <c r="H1" s="129" t="s">
        <v>84</v>
      </c>
      <c r="I1" s="130"/>
      <c r="J1" s="130"/>
      <c r="K1" s="130"/>
      <c r="L1" s="130"/>
      <c r="M1" s="131"/>
    </row>
    <row r="2" spans="1:13" ht="15.75" thickBot="1" x14ac:dyDescent="0.3">
      <c r="D2" t="e">
        <f>C2/C3-1</f>
        <v>#DIV/0!</v>
      </c>
      <c r="H2" s="51"/>
      <c r="I2" s="52"/>
      <c r="J2" s="52"/>
      <c r="K2" s="52"/>
      <c r="L2" s="52"/>
      <c r="M2" s="53"/>
    </row>
    <row r="3" spans="1:13" ht="15.75" thickBot="1" x14ac:dyDescent="0.3">
      <c r="D3" t="e">
        <f t="shared" ref="D3:D66" si="0">C3/C4-1</f>
        <v>#DIV/0!</v>
      </c>
      <c r="H3" s="54" t="s">
        <v>85</v>
      </c>
      <c r="I3" s="55" t="s">
        <v>86</v>
      </c>
      <c r="J3" s="56" t="s">
        <v>87</v>
      </c>
      <c r="K3" s="57" t="s">
        <v>88</v>
      </c>
      <c r="L3" s="57" t="s">
        <v>89</v>
      </c>
      <c r="M3" s="58" t="s">
        <v>90</v>
      </c>
    </row>
    <row r="4" spans="1:13" x14ac:dyDescent="0.25">
      <c r="D4" t="e">
        <f t="shared" si="0"/>
        <v>#DIV/0!</v>
      </c>
      <c r="H4" s="59" t="e">
        <f>$I$19-3*$I$23</f>
        <v>#DIV/0!</v>
      </c>
      <c r="I4" s="60" t="e">
        <f>H4</f>
        <v>#DIV/0!</v>
      </c>
      <c r="J4" s="61">
        <f>COUNTIF(D:D,"&lt;="&amp;H4)</f>
        <v>67</v>
      </c>
      <c r="K4" s="61" t="e">
        <f>"Less than "&amp;TEXT(H4,"0,00%")</f>
        <v>#DIV/0!</v>
      </c>
      <c r="L4" s="62" t="e">
        <f>J4/$I$31</f>
        <v>#DIV/0!</v>
      </c>
      <c r="M4" s="63" t="e">
        <f>L4</f>
        <v>#DIV/0!</v>
      </c>
    </row>
    <row r="5" spans="1:13" x14ac:dyDescent="0.25">
      <c r="D5" t="e">
        <f t="shared" si="0"/>
        <v>#DIV/0!</v>
      </c>
      <c r="H5" s="64" t="e">
        <f>$I$19-2.4*$I$23</f>
        <v>#DIV/0!</v>
      </c>
      <c r="I5" s="65" t="e">
        <f>H5</f>
        <v>#DIV/0!</v>
      </c>
      <c r="J5" s="66">
        <f>COUNTIFS(D:D,"&lt;="&amp;H5,D:D,"&gt;"&amp;H4)</f>
        <v>67</v>
      </c>
      <c r="K5" s="67" t="e">
        <f t="shared" ref="K5:K14" si="1">TEXT(H4,"0,00%")&amp;" to "&amp;TEXT(H5,"0,00%")</f>
        <v>#DIV/0!</v>
      </c>
      <c r="L5" s="68" t="e">
        <f>J5/$I$31</f>
        <v>#DIV/0!</v>
      </c>
      <c r="M5" s="69" t="e">
        <f>M4+L5</f>
        <v>#DIV/0!</v>
      </c>
    </row>
    <row r="6" spans="1:13" x14ac:dyDescent="0.25">
      <c r="D6" t="e">
        <f t="shared" si="0"/>
        <v>#DIV/0!</v>
      </c>
      <c r="H6" s="64" t="e">
        <f>$I$19-1.8*$I$23</f>
        <v>#DIV/0!</v>
      </c>
      <c r="I6" s="65" t="e">
        <f t="shared" ref="I6:I14" si="2">H6</f>
        <v>#DIV/0!</v>
      </c>
      <c r="J6" s="66">
        <f t="shared" ref="J6:J14" si="3">COUNTIFS(D:D,"&lt;="&amp;H6,D:D,"&gt;"&amp;H5)</f>
        <v>67</v>
      </c>
      <c r="K6" s="67" t="e">
        <f t="shared" si="1"/>
        <v>#DIV/0!</v>
      </c>
      <c r="L6" s="68" t="e">
        <f t="shared" ref="L6:L15" si="4">J6/$I$31</f>
        <v>#DIV/0!</v>
      </c>
      <c r="M6" s="69" t="e">
        <f t="shared" ref="M6:M15" si="5">M5+L6</f>
        <v>#DIV/0!</v>
      </c>
    </row>
    <row r="7" spans="1:13" x14ac:dyDescent="0.25">
      <c r="D7" t="e">
        <f t="shared" si="0"/>
        <v>#DIV/0!</v>
      </c>
      <c r="H7" s="64" t="e">
        <f>$I$19-1.2*$I$23</f>
        <v>#DIV/0!</v>
      </c>
      <c r="I7" s="65" t="e">
        <f t="shared" si="2"/>
        <v>#DIV/0!</v>
      </c>
      <c r="J7" s="66">
        <f t="shared" si="3"/>
        <v>67</v>
      </c>
      <c r="K7" s="67" t="e">
        <f t="shared" si="1"/>
        <v>#DIV/0!</v>
      </c>
      <c r="L7" s="68" t="e">
        <f t="shared" si="4"/>
        <v>#DIV/0!</v>
      </c>
      <c r="M7" s="69" t="e">
        <f t="shared" si="5"/>
        <v>#DIV/0!</v>
      </c>
    </row>
    <row r="8" spans="1:13" x14ac:dyDescent="0.25">
      <c r="D8" t="e">
        <f t="shared" si="0"/>
        <v>#DIV/0!</v>
      </c>
      <c r="H8" s="64" t="e">
        <f>$I$19-0.6*$I$23</f>
        <v>#DIV/0!</v>
      </c>
      <c r="I8" s="65" t="e">
        <f t="shared" si="2"/>
        <v>#DIV/0!</v>
      </c>
      <c r="J8" s="66">
        <f t="shared" si="3"/>
        <v>67</v>
      </c>
      <c r="K8" s="67" t="e">
        <f t="shared" si="1"/>
        <v>#DIV/0!</v>
      </c>
      <c r="L8" s="68" t="e">
        <f t="shared" si="4"/>
        <v>#DIV/0!</v>
      </c>
      <c r="M8" s="69" t="e">
        <f t="shared" si="5"/>
        <v>#DIV/0!</v>
      </c>
    </row>
    <row r="9" spans="1:13" x14ac:dyDescent="0.25">
      <c r="D9" t="e">
        <f t="shared" si="0"/>
        <v>#DIV/0!</v>
      </c>
      <c r="H9" s="64" t="e">
        <f>$I$19</f>
        <v>#DIV/0!</v>
      </c>
      <c r="I9" s="65" t="e">
        <f t="shared" si="2"/>
        <v>#DIV/0!</v>
      </c>
      <c r="J9" s="66">
        <f t="shared" si="3"/>
        <v>67</v>
      </c>
      <c r="K9" s="67" t="e">
        <f t="shared" si="1"/>
        <v>#DIV/0!</v>
      </c>
      <c r="L9" s="68" t="e">
        <f t="shared" si="4"/>
        <v>#DIV/0!</v>
      </c>
      <c r="M9" s="69" t="e">
        <f t="shared" si="5"/>
        <v>#DIV/0!</v>
      </c>
    </row>
    <row r="10" spans="1:13" x14ac:dyDescent="0.25">
      <c r="D10" t="e">
        <f t="shared" si="0"/>
        <v>#DIV/0!</v>
      </c>
      <c r="H10" s="64" t="e">
        <f>$I$19+0.6*$I$23</f>
        <v>#DIV/0!</v>
      </c>
      <c r="I10" s="65" t="e">
        <f t="shared" si="2"/>
        <v>#DIV/0!</v>
      </c>
      <c r="J10" s="66">
        <f t="shared" si="3"/>
        <v>67</v>
      </c>
      <c r="K10" s="67" t="e">
        <f t="shared" si="1"/>
        <v>#DIV/0!</v>
      </c>
      <c r="L10" s="68" t="e">
        <f t="shared" si="4"/>
        <v>#DIV/0!</v>
      </c>
      <c r="M10" s="69" t="e">
        <f t="shared" si="5"/>
        <v>#DIV/0!</v>
      </c>
    </row>
    <row r="11" spans="1:13" x14ac:dyDescent="0.25">
      <c r="D11" t="e">
        <f t="shared" si="0"/>
        <v>#DIV/0!</v>
      </c>
      <c r="H11" s="64" t="e">
        <f>$I$19+1.2*$I$23</f>
        <v>#DIV/0!</v>
      </c>
      <c r="I11" s="65" t="e">
        <f t="shared" si="2"/>
        <v>#DIV/0!</v>
      </c>
      <c r="J11" s="66">
        <f t="shared" si="3"/>
        <v>67</v>
      </c>
      <c r="K11" s="67" t="e">
        <f t="shared" si="1"/>
        <v>#DIV/0!</v>
      </c>
      <c r="L11" s="68" t="e">
        <f t="shared" si="4"/>
        <v>#DIV/0!</v>
      </c>
      <c r="M11" s="69" t="e">
        <f t="shared" si="5"/>
        <v>#DIV/0!</v>
      </c>
    </row>
    <row r="12" spans="1:13" x14ac:dyDescent="0.25">
      <c r="D12" t="e">
        <f t="shared" si="0"/>
        <v>#DIV/0!</v>
      </c>
      <c r="H12" s="64" t="e">
        <f>$I$19+1.8*$I$23</f>
        <v>#DIV/0!</v>
      </c>
      <c r="I12" s="65" t="e">
        <f t="shared" si="2"/>
        <v>#DIV/0!</v>
      </c>
      <c r="J12" s="66">
        <f t="shared" si="3"/>
        <v>67</v>
      </c>
      <c r="K12" s="67" t="e">
        <f t="shared" si="1"/>
        <v>#DIV/0!</v>
      </c>
      <c r="L12" s="68" t="e">
        <f t="shared" si="4"/>
        <v>#DIV/0!</v>
      </c>
      <c r="M12" s="69" t="e">
        <f t="shared" si="5"/>
        <v>#DIV/0!</v>
      </c>
    </row>
    <row r="13" spans="1:13" x14ac:dyDescent="0.25">
      <c r="D13" t="e">
        <f t="shared" si="0"/>
        <v>#DIV/0!</v>
      </c>
      <c r="H13" s="64" t="e">
        <f>$I$19+2.4*$I$23</f>
        <v>#DIV/0!</v>
      </c>
      <c r="I13" s="65" t="e">
        <f t="shared" si="2"/>
        <v>#DIV/0!</v>
      </c>
      <c r="J13" s="66">
        <f t="shared" si="3"/>
        <v>67</v>
      </c>
      <c r="K13" s="67" t="e">
        <f t="shared" si="1"/>
        <v>#DIV/0!</v>
      </c>
      <c r="L13" s="68" t="e">
        <f t="shared" si="4"/>
        <v>#DIV/0!</v>
      </c>
      <c r="M13" s="69" t="e">
        <f t="shared" si="5"/>
        <v>#DIV/0!</v>
      </c>
    </row>
    <row r="14" spans="1:13" x14ac:dyDescent="0.25">
      <c r="D14" t="e">
        <f t="shared" si="0"/>
        <v>#DIV/0!</v>
      </c>
      <c r="H14" s="64" t="e">
        <f>$I$19+3*$I$23</f>
        <v>#DIV/0!</v>
      </c>
      <c r="I14" s="65" t="e">
        <f t="shared" si="2"/>
        <v>#DIV/0!</v>
      </c>
      <c r="J14" s="66">
        <f t="shared" si="3"/>
        <v>67</v>
      </c>
      <c r="K14" s="67" t="e">
        <f t="shared" si="1"/>
        <v>#DIV/0!</v>
      </c>
      <c r="L14" s="68" t="e">
        <f t="shared" si="4"/>
        <v>#DIV/0!</v>
      </c>
      <c r="M14" s="69" t="e">
        <f t="shared" si="5"/>
        <v>#DIV/0!</v>
      </c>
    </row>
    <row r="15" spans="1:13" ht="15.75" thickBot="1" x14ac:dyDescent="0.3">
      <c r="D15" t="e">
        <f t="shared" si="0"/>
        <v>#DIV/0!</v>
      </c>
      <c r="H15" s="70"/>
      <c r="I15" s="71" t="s">
        <v>91</v>
      </c>
      <c r="J15" s="71">
        <f>COUNTIF(D:D,"&gt;"&amp;H14)</f>
        <v>67</v>
      </c>
      <c r="K15" s="71" t="e">
        <f>"Greater than "&amp;TEXT(H14,"0,00%")</f>
        <v>#DIV/0!</v>
      </c>
      <c r="L15" s="72" t="e">
        <f t="shared" si="4"/>
        <v>#DIV/0!</v>
      </c>
      <c r="M15" s="72" t="e">
        <f t="shared" si="5"/>
        <v>#DIV/0!</v>
      </c>
    </row>
    <row r="16" spans="1:13" ht="15.75" thickBot="1" x14ac:dyDescent="0.3">
      <c r="D16" t="e">
        <f t="shared" si="0"/>
        <v>#DIV/0!</v>
      </c>
      <c r="H16" s="73"/>
      <c r="M16" s="74"/>
    </row>
    <row r="17" spans="4:13" x14ac:dyDescent="0.25">
      <c r="D17" t="e">
        <f t="shared" si="0"/>
        <v>#DIV/0!</v>
      </c>
      <c r="H17" s="132" t="s">
        <v>122</v>
      </c>
      <c r="I17" s="133"/>
      <c r="M17" s="74"/>
    </row>
    <row r="18" spans="4:13" x14ac:dyDescent="0.25">
      <c r="D18" t="e">
        <f t="shared" si="0"/>
        <v>#DIV/0!</v>
      </c>
      <c r="H18" s="134"/>
      <c r="I18" s="135"/>
      <c r="M18" s="74"/>
    </row>
    <row r="19" spans="4:13" x14ac:dyDescent="0.25">
      <c r="D19" t="e">
        <f t="shared" si="0"/>
        <v>#DIV/0!</v>
      </c>
      <c r="H19" s="75" t="s">
        <v>92</v>
      </c>
      <c r="I19" s="111" t="e">
        <f>AVERAGE(D:D)</f>
        <v>#DIV/0!</v>
      </c>
      <c r="M19" s="74"/>
    </row>
    <row r="20" spans="4:13" x14ac:dyDescent="0.25">
      <c r="D20" t="e">
        <f t="shared" si="0"/>
        <v>#DIV/0!</v>
      </c>
      <c r="H20" s="75" t="s">
        <v>93</v>
      </c>
      <c r="I20" s="111" t="e">
        <f>_xlfn.STDEV.S(D:D)/SQRT(COUNT(D:D))</f>
        <v>#DIV/0!</v>
      </c>
      <c r="M20" s="74"/>
    </row>
    <row r="21" spans="4:13" x14ac:dyDescent="0.25">
      <c r="D21" t="e">
        <f t="shared" si="0"/>
        <v>#DIV/0!</v>
      </c>
      <c r="H21" s="75" t="s">
        <v>94</v>
      </c>
      <c r="I21" s="111" t="e">
        <f>MEDIAN(D:D)</f>
        <v>#DIV/0!</v>
      </c>
      <c r="M21" s="74"/>
    </row>
    <row r="22" spans="4:13" x14ac:dyDescent="0.25">
      <c r="D22" t="e">
        <f t="shared" si="0"/>
        <v>#DIV/0!</v>
      </c>
      <c r="H22" s="75" t="s">
        <v>95</v>
      </c>
      <c r="I22" s="111" t="e">
        <f>MODE(D:D)</f>
        <v>#DIV/0!</v>
      </c>
      <c r="M22" s="74"/>
    </row>
    <row r="23" spans="4:13" x14ac:dyDescent="0.25">
      <c r="D23" t="e">
        <f t="shared" si="0"/>
        <v>#DIV/0!</v>
      </c>
      <c r="H23" s="75" t="s">
        <v>96</v>
      </c>
      <c r="I23" s="111" t="e">
        <f>_xlfn.STDEV.S(D:D)</f>
        <v>#DIV/0!</v>
      </c>
      <c r="M23" s="74"/>
    </row>
    <row r="24" spans="4:13" x14ac:dyDescent="0.25">
      <c r="D24" t="e">
        <f t="shared" si="0"/>
        <v>#DIV/0!</v>
      </c>
      <c r="H24" s="75" t="s">
        <v>97</v>
      </c>
      <c r="I24" s="111" t="e">
        <f>_xlfn.VAR.S(D:D)</f>
        <v>#DIV/0!</v>
      </c>
      <c r="M24" s="74"/>
    </row>
    <row r="25" spans="4:13" x14ac:dyDescent="0.25">
      <c r="D25" t="e">
        <f t="shared" si="0"/>
        <v>#DIV/0!</v>
      </c>
      <c r="H25" s="75" t="s">
        <v>98</v>
      </c>
      <c r="I25" s="112" t="e">
        <f>KURT(D:D)</f>
        <v>#DIV/0!</v>
      </c>
      <c r="M25" s="74"/>
    </row>
    <row r="26" spans="4:13" x14ac:dyDescent="0.25">
      <c r="D26" t="e">
        <f t="shared" si="0"/>
        <v>#DIV/0!</v>
      </c>
      <c r="H26" s="75" t="s">
        <v>99</v>
      </c>
      <c r="I26" s="112" t="e">
        <f>SKEW(D:D)</f>
        <v>#DIV/0!</v>
      </c>
      <c r="M26" s="74"/>
    </row>
    <row r="27" spans="4:13" x14ac:dyDescent="0.25">
      <c r="D27" t="e">
        <f t="shared" si="0"/>
        <v>#DIV/0!</v>
      </c>
      <c r="H27" s="75" t="s">
        <v>88</v>
      </c>
      <c r="I27" s="111" t="e">
        <f>I29-I28</f>
        <v>#DIV/0!</v>
      </c>
      <c r="M27" s="74"/>
    </row>
    <row r="28" spans="4:13" x14ac:dyDescent="0.25">
      <c r="D28" t="e">
        <f t="shared" si="0"/>
        <v>#DIV/0!</v>
      </c>
      <c r="H28" s="75" t="s">
        <v>100</v>
      </c>
      <c r="I28" s="111" t="e">
        <f>MIN(D:D)</f>
        <v>#DIV/0!</v>
      </c>
      <c r="M28" s="74"/>
    </row>
    <row r="29" spans="4:13" x14ac:dyDescent="0.25">
      <c r="D29" t="e">
        <f t="shared" si="0"/>
        <v>#DIV/0!</v>
      </c>
      <c r="H29" s="75" t="s">
        <v>101</v>
      </c>
      <c r="I29" s="111" t="e">
        <f>MAX(D:D)</f>
        <v>#DIV/0!</v>
      </c>
      <c r="M29" s="74"/>
    </row>
    <row r="30" spans="4:13" x14ac:dyDescent="0.25">
      <c r="D30" t="e">
        <f t="shared" si="0"/>
        <v>#DIV/0!</v>
      </c>
      <c r="H30" s="75" t="s">
        <v>102</v>
      </c>
      <c r="I30" s="112" t="e">
        <f>SUM(D:D)</f>
        <v>#DIV/0!</v>
      </c>
      <c r="M30" s="74"/>
    </row>
    <row r="31" spans="4:13" ht="15.75" thickBot="1" x14ac:dyDescent="0.3">
      <c r="D31" t="e">
        <f t="shared" si="0"/>
        <v>#DIV/0!</v>
      </c>
      <c r="H31" s="76" t="s">
        <v>103</v>
      </c>
      <c r="I31" s="53">
        <f>COUNT(D:D)</f>
        <v>0</v>
      </c>
      <c r="M31" s="74"/>
    </row>
    <row r="32" spans="4:13" ht="15.75" thickBot="1" x14ac:dyDescent="0.3">
      <c r="D32" t="e">
        <f t="shared" si="0"/>
        <v>#DIV/0!</v>
      </c>
      <c r="H32" s="78"/>
      <c r="M32" s="74"/>
    </row>
    <row r="33" spans="4:13" x14ac:dyDescent="0.25">
      <c r="D33" t="e">
        <f t="shared" si="0"/>
        <v>#DIV/0!</v>
      </c>
      <c r="H33" s="79"/>
      <c r="I33" s="80" t="s">
        <v>104</v>
      </c>
      <c r="J33" s="80" t="s">
        <v>103</v>
      </c>
      <c r="K33" s="80" t="s">
        <v>105</v>
      </c>
      <c r="L33" s="81" t="s">
        <v>106</v>
      </c>
      <c r="M33" s="74"/>
    </row>
    <row r="34" spans="4:13" x14ac:dyDescent="0.25">
      <c r="D34" t="e">
        <f t="shared" si="0"/>
        <v>#DIV/0!</v>
      </c>
      <c r="H34" s="82" t="s">
        <v>107</v>
      </c>
      <c r="I34" s="68" t="e">
        <f>AVERAGEIF(D:D,"&gt;0")</f>
        <v>#DIV/0!</v>
      </c>
      <c r="J34" s="66">
        <f>COUNTIF(D:D,"&gt;0")</f>
        <v>0</v>
      </c>
      <c r="K34" s="68" t="e">
        <f>J34/$I$31</f>
        <v>#DIV/0!</v>
      </c>
      <c r="L34" s="69" t="e">
        <f>K34*I34</f>
        <v>#DIV/0!</v>
      </c>
      <c r="M34" s="74"/>
    </row>
    <row r="35" spans="4:13" x14ac:dyDescent="0.25">
      <c r="D35" t="e">
        <f t="shared" si="0"/>
        <v>#DIV/0!</v>
      </c>
      <c r="H35" s="82" t="s">
        <v>108</v>
      </c>
      <c r="I35" s="68" t="e">
        <f>AVERAGEIF(D:D,"&lt;0")</f>
        <v>#DIV/0!</v>
      </c>
      <c r="J35" s="66">
        <f>COUNTIF(D:D,"&lt;0")</f>
        <v>0</v>
      </c>
      <c r="K35" s="68" t="e">
        <f>J35/$I$31</f>
        <v>#DIV/0!</v>
      </c>
      <c r="L35" s="69" t="e">
        <f t="shared" ref="L35:L36" si="6">K35*I35</f>
        <v>#DIV/0!</v>
      </c>
      <c r="M35" s="74"/>
    </row>
    <row r="36" spans="4:13" ht="15.75" thickBot="1" x14ac:dyDescent="0.3">
      <c r="D36" t="e">
        <f t="shared" si="0"/>
        <v>#DIV/0!</v>
      </c>
      <c r="H36" s="83" t="s">
        <v>109</v>
      </c>
      <c r="I36" s="71">
        <v>0</v>
      </c>
      <c r="J36" s="71">
        <f>COUNTIF(D:D,"0")</f>
        <v>0</v>
      </c>
      <c r="K36" s="84" t="e">
        <f>J36/$I$31</f>
        <v>#DIV/0!</v>
      </c>
      <c r="L36" s="72" t="e">
        <f t="shared" si="6"/>
        <v>#DIV/0!</v>
      </c>
      <c r="M36" s="74"/>
    </row>
    <row r="37" spans="4:13" ht="15.75" thickBot="1" x14ac:dyDescent="0.3">
      <c r="D37" t="e">
        <f t="shared" si="0"/>
        <v>#DIV/0!</v>
      </c>
      <c r="H37" s="78"/>
      <c r="I37" s="85"/>
      <c r="J37" s="85"/>
      <c r="K37" s="85"/>
      <c r="L37" s="85"/>
      <c r="M37" s="74"/>
    </row>
    <row r="38" spans="4:13" x14ac:dyDescent="0.25">
      <c r="D38" t="e">
        <f t="shared" si="0"/>
        <v>#DIV/0!</v>
      </c>
      <c r="H38" s="59" t="s">
        <v>110</v>
      </c>
      <c r="I38" s="80" t="s">
        <v>111</v>
      </c>
      <c r="J38" s="80" t="s">
        <v>112</v>
      </c>
      <c r="K38" s="80" t="s">
        <v>113</v>
      </c>
      <c r="L38" s="80" t="s">
        <v>114</v>
      </c>
      <c r="M38" s="81" t="s">
        <v>115</v>
      </c>
    </row>
    <row r="39" spans="4:13" x14ac:dyDescent="0.25">
      <c r="D39" t="e">
        <f t="shared" si="0"/>
        <v>#DIV/0!</v>
      </c>
      <c r="H39" s="86">
        <v>1</v>
      </c>
      <c r="I39" s="68" t="e">
        <f>$I$19+($H39*$I$23)</f>
        <v>#DIV/0!</v>
      </c>
      <c r="J39" s="68" t="e">
        <f>$I$19-($H39*$I$23)</f>
        <v>#DIV/0!</v>
      </c>
      <c r="K39" s="66">
        <f>COUNTIFS(D:D,"&lt;"&amp;I39,D:D,"&gt;"&amp;J39)</f>
        <v>67</v>
      </c>
      <c r="L39" s="68" t="e">
        <f>K39/$I$31</f>
        <v>#DIV/0!</v>
      </c>
      <c r="M39" s="69">
        <v>0.68269999999999997</v>
      </c>
    </row>
    <row r="40" spans="4:13" x14ac:dyDescent="0.25">
      <c r="D40" t="e">
        <f t="shared" si="0"/>
        <v>#DIV/0!</v>
      </c>
      <c r="H40" s="86">
        <v>2</v>
      </c>
      <c r="I40" s="68" t="e">
        <f>$I$19+($H40*$I$23)</f>
        <v>#DIV/0!</v>
      </c>
      <c r="J40" s="68" t="e">
        <f>$I$19-($H40*$I$23)</f>
        <v>#DIV/0!</v>
      </c>
      <c r="K40" s="66">
        <f>COUNTIFS(D:D,"&lt;"&amp;I40,D:D,"&gt;"&amp;J40)</f>
        <v>67</v>
      </c>
      <c r="L40" s="68" t="e">
        <f>K40/$I$31</f>
        <v>#DIV/0!</v>
      </c>
      <c r="M40" s="69">
        <v>0.95450000000000002</v>
      </c>
    </row>
    <row r="41" spans="4:13" x14ac:dyDescent="0.25">
      <c r="D41" t="e">
        <f t="shared" si="0"/>
        <v>#DIV/0!</v>
      </c>
      <c r="H41" s="86">
        <v>3</v>
      </c>
      <c r="I41" s="68" t="e">
        <f>$I$19+($H41*$I$23)</f>
        <v>#DIV/0!</v>
      </c>
      <c r="J41" s="68" t="e">
        <f>$I$19-($H41*$I$23)</f>
        <v>#DIV/0!</v>
      </c>
      <c r="K41" s="66">
        <f>COUNTIFS(D:D,"&lt;"&amp;I41,D:D,"&gt;"&amp;J41)</f>
        <v>67</v>
      </c>
      <c r="L41" s="68" t="e">
        <f>K41/$I$31</f>
        <v>#DIV/0!</v>
      </c>
      <c r="M41" s="87">
        <v>0.99729999999999996</v>
      </c>
    </row>
    <row r="42" spans="4:13" ht="15.75" thickBot="1" x14ac:dyDescent="0.3">
      <c r="D42" t="e">
        <f t="shared" si="0"/>
        <v>#DIV/0!</v>
      </c>
      <c r="H42" s="64"/>
      <c r="M42" s="87"/>
    </row>
    <row r="43" spans="4:13" ht="15.75" thickBot="1" x14ac:dyDescent="0.3">
      <c r="D43" t="e">
        <f t="shared" si="0"/>
        <v>#DIV/0!</v>
      </c>
      <c r="H43" s="136" t="s">
        <v>116</v>
      </c>
      <c r="I43" s="137"/>
      <c r="J43" s="137"/>
      <c r="K43" s="137"/>
      <c r="L43" s="137"/>
      <c r="M43" s="138"/>
    </row>
    <row r="44" spans="4:13" x14ac:dyDescent="0.25">
      <c r="D44" t="e">
        <f t="shared" si="0"/>
        <v>#DIV/0!</v>
      </c>
      <c r="H44" s="88">
        <v>0.01</v>
      </c>
      <c r="I44" s="89" t="e">
        <f t="shared" ref="I44:I58" si="7">_xlfn.PERCENTILE.INC(D:D,H44)</f>
        <v>#DIV/0!</v>
      </c>
      <c r="J44" s="90">
        <v>0.2</v>
      </c>
      <c r="K44" s="89" t="e">
        <f t="shared" ref="K44:K56" si="8">_xlfn.PERCENTILE.INC(D:D,J44)</f>
        <v>#DIV/0!</v>
      </c>
      <c r="L44" s="90">
        <v>0.85</v>
      </c>
      <c r="M44" s="91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2">
        <v>0.02</v>
      </c>
      <c r="I45" s="93" t="e">
        <f t="shared" si="7"/>
        <v>#DIV/0!</v>
      </c>
      <c r="J45" s="94">
        <v>0.25</v>
      </c>
      <c r="K45" s="93" t="e">
        <f t="shared" si="8"/>
        <v>#DIV/0!</v>
      </c>
      <c r="L45" s="94">
        <v>0.86</v>
      </c>
      <c r="M45" s="95" t="e">
        <f t="shared" si="9"/>
        <v>#DIV/0!</v>
      </c>
    </row>
    <row r="46" spans="4:13" x14ac:dyDescent="0.25">
      <c r="D46" t="e">
        <f t="shared" si="0"/>
        <v>#DIV/0!</v>
      </c>
      <c r="H46" s="92">
        <v>0.03</v>
      </c>
      <c r="I46" s="93" t="e">
        <f t="shared" si="7"/>
        <v>#DIV/0!</v>
      </c>
      <c r="J46" s="94">
        <v>0.3</v>
      </c>
      <c r="K46" s="93" t="e">
        <f t="shared" si="8"/>
        <v>#DIV/0!</v>
      </c>
      <c r="L46" s="94">
        <v>0.87</v>
      </c>
      <c r="M46" s="95" t="e">
        <f t="shared" si="9"/>
        <v>#DIV/0!</v>
      </c>
    </row>
    <row r="47" spans="4:13" x14ac:dyDescent="0.25">
      <c r="D47" t="e">
        <f t="shared" si="0"/>
        <v>#DIV/0!</v>
      </c>
      <c r="H47" s="92">
        <v>0.04</v>
      </c>
      <c r="I47" s="93" t="e">
        <f t="shared" si="7"/>
        <v>#DIV/0!</v>
      </c>
      <c r="J47" s="94">
        <v>0.35</v>
      </c>
      <c r="K47" s="93" t="e">
        <f t="shared" si="8"/>
        <v>#DIV/0!</v>
      </c>
      <c r="L47" s="94">
        <v>0.88</v>
      </c>
      <c r="M47" s="95" t="e">
        <f t="shared" si="9"/>
        <v>#DIV/0!</v>
      </c>
    </row>
    <row r="48" spans="4:13" x14ac:dyDescent="0.25">
      <c r="D48" t="e">
        <f t="shared" si="0"/>
        <v>#DIV/0!</v>
      </c>
      <c r="H48" s="92">
        <v>0.05</v>
      </c>
      <c r="I48" s="93" t="e">
        <f t="shared" si="7"/>
        <v>#DIV/0!</v>
      </c>
      <c r="J48" s="94">
        <v>0.4</v>
      </c>
      <c r="K48" s="93" t="e">
        <f t="shared" si="8"/>
        <v>#DIV/0!</v>
      </c>
      <c r="L48" s="94">
        <v>0.89</v>
      </c>
      <c r="M48" s="95" t="e">
        <f t="shared" si="9"/>
        <v>#DIV/0!</v>
      </c>
    </row>
    <row r="49" spans="4:13" x14ac:dyDescent="0.25">
      <c r="D49" t="e">
        <f t="shared" si="0"/>
        <v>#DIV/0!</v>
      </c>
      <c r="H49" s="92">
        <v>0.06</v>
      </c>
      <c r="I49" s="93" t="e">
        <f t="shared" si="7"/>
        <v>#DIV/0!</v>
      </c>
      <c r="J49" s="94">
        <v>0.45</v>
      </c>
      <c r="K49" s="93" t="e">
        <f t="shared" si="8"/>
        <v>#DIV/0!</v>
      </c>
      <c r="L49" s="94">
        <v>0.9</v>
      </c>
      <c r="M49" s="95" t="e">
        <f t="shared" si="9"/>
        <v>#DIV/0!</v>
      </c>
    </row>
    <row r="50" spans="4:13" x14ac:dyDescent="0.25">
      <c r="D50" t="e">
        <f t="shared" si="0"/>
        <v>#DIV/0!</v>
      </c>
      <c r="H50" s="92">
        <v>7.0000000000000007E-2</v>
      </c>
      <c r="I50" s="93" t="e">
        <f t="shared" si="7"/>
        <v>#DIV/0!</v>
      </c>
      <c r="J50" s="94">
        <v>0.5</v>
      </c>
      <c r="K50" s="93" t="e">
        <f t="shared" si="8"/>
        <v>#DIV/0!</v>
      </c>
      <c r="L50" s="94">
        <v>0.91</v>
      </c>
      <c r="M50" s="95" t="e">
        <f t="shared" si="9"/>
        <v>#DIV/0!</v>
      </c>
    </row>
    <row r="51" spans="4:13" x14ac:dyDescent="0.25">
      <c r="D51" t="e">
        <f t="shared" si="0"/>
        <v>#DIV/0!</v>
      </c>
      <c r="H51" s="92">
        <v>0.08</v>
      </c>
      <c r="I51" s="93" t="e">
        <f t="shared" si="7"/>
        <v>#DIV/0!</v>
      </c>
      <c r="J51" s="94">
        <v>0.55000000000000004</v>
      </c>
      <c r="K51" s="93" t="e">
        <f t="shared" si="8"/>
        <v>#DIV/0!</v>
      </c>
      <c r="L51" s="94">
        <v>0.92</v>
      </c>
      <c r="M51" s="95" t="e">
        <f t="shared" si="9"/>
        <v>#DIV/0!</v>
      </c>
    </row>
    <row r="52" spans="4:13" x14ac:dyDescent="0.25">
      <c r="D52" t="e">
        <f t="shared" si="0"/>
        <v>#DIV/0!</v>
      </c>
      <c r="H52" s="92">
        <v>0.09</v>
      </c>
      <c r="I52" s="93" t="e">
        <f t="shared" si="7"/>
        <v>#DIV/0!</v>
      </c>
      <c r="J52" s="94">
        <v>0.6</v>
      </c>
      <c r="K52" s="93" t="e">
        <f t="shared" si="8"/>
        <v>#DIV/0!</v>
      </c>
      <c r="L52" s="94">
        <v>0.93</v>
      </c>
      <c r="M52" s="95" t="e">
        <f t="shared" si="9"/>
        <v>#DIV/0!</v>
      </c>
    </row>
    <row r="53" spans="4:13" x14ac:dyDescent="0.25">
      <c r="D53" t="e">
        <f t="shared" si="0"/>
        <v>#DIV/0!</v>
      </c>
      <c r="H53" s="92">
        <v>0.1</v>
      </c>
      <c r="I53" s="93" t="e">
        <f t="shared" si="7"/>
        <v>#DIV/0!</v>
      </c>
      <c r="J53" s="94">
        <v>0.65</v>
      </c>
      <c r="K53" s="93" t="e">
        <f t="shared" si="8"/>
        <v>#DIV/0!</v>
      </c>
      <c r="L53" s="94">
        <v>0.94</v>
      </c>
      <c r="M53" s="95" t="e">
        <f t="shared" si="9"/>
        <v>#DIV/0!</v>
      </c>
    </row>
    <row r="54" spans="4:13" x14ac:dyDescent="0.25">
      <c r="D54" t="e">
        <f t="shared" si="0"/>
        <v>#DIV/0!</v>
      </c>
      <c r="H54" s="92">
        <v>0.11</v>
      </c>
      <c r="I54" s="93" t="e">
        <f t="shared" si="7"/>
        <v>#DIV/0!</v>
      </c>
      <c r="J54" s="94">
        <v>0.7</v>
      </c>
      <c r="K54" s="93" t="e">
        <f t="shared" si="8"/>
        <v>#DIV/0!</v>
      </c>
      <c r="L54" s="94">
        <v>0.95</v>
      </c>
      <c r="M54" s="95" t="e">
        <f t="shared" si="9"/>
        <v>#DIV/0!</v>
      </c>
    </row>
    <row r="55" spans="4:13" x14ac:dyDescent="0.25">
      <c r="D55" t="e">
        <f t="shared" si="0"/>
        <v>#DIV/0!</v>
      </c>
      <c r="H55" s="92">
        <v>0.12</v>
      </c>
      <c r="I55" s="93" t="e">
        <f t="shared" si="7"/>
        <v>#DIV/0!</v>
      </c>
      <c r="J55" s="94">
        <v>0.75</v>
      </c>
      <c r="K55" s="93" t="e">
        <f t="shared" si="8"/>
        <v>#DIV/0!</v>
      </c>
      <c r="L55" s="94">
        <v>0.96</v>
      </c>
      <c r="M55" s="95" t="e">
        <f t="shared" si="9"/>
        <v>#DIV/0!</v>
      </c>
    </row>
    <row r="56" spans="4:13" x14ac:dyDescent="0.25">
      <c r="D56" t="e">
        <f t="shared" si="0"/>
        <v>#DIV/0!</v>
      </c>
      <c r="H56" s="92">
        <v>0.13</v>
      </c>
      <c r="I56" s="93" t="e">
        <f t="shared" si="7"/>
        <v>#DIV/0!</v>
      </c>
      <c r="J56" s="94">
        <v>0.8</v>
      </c>
      <c r="K56" s="93" t="e">
        <f t="shared" si="8"/>
        <v>#DIV/0!</v>
      </c>
      <c r="L56" s="94">
        <v>0.97</v>
      </c>
      <c r="M56" s="95" t="e">
        <f t="shared" si="9"/>
        <v>#DIV/0!</v>
      </c>
    </row>
    <row r="57" spans="4:13" x14ac:dyDescent="0.25">
      <c r="D57" t="e">
        <f t="shared" si="0"/>
        <v>#DIV/0!</v>
      </c>
      <c r="H57" s="92">
        <v>0.14000000000000001</v>
      </c>
      <c r="I57" s="93" t="e">
        <f t="shared" si="7"/>
        <v>#DIV/0!</v>
      </c>
      <c r="J57" s="94"/>
      <c r="K57" s="93"/>
      <c r="L57" s="94">
        <v>0.98</v>
      </c>
      <c r="M57" s="95" t="e">
        <f t="shared" si="9"/>
        <v>#DIV/0!</v>
      </c>
    </row>
    <row r="58" spans="4:13" ht="15.75" thickBot="1" x14ac:dyDescent="0.3">
      <c r="D58" t="e">
        <f t="shared" si="0"/>
        <v>#DIV/0!</v>
      </c>
      <c r="H58" s="96">
        <v>0.15</v>
      </c>
      <c r="I58" s="97" t="e">
        <f t="shared" si="7"/>
        <v>#DIV/0!</v>
      </c>
      <c r="J58" s="98"/>
      <c r="K58" s="77"/>
      <c r="L58" s="99">
        <v>0.99</v>
      </c>
      <c r="M58" s="100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1" t="s">
        <v>117</v>
      </c>
      <c r="I60" s="102"/>
    </row>
    <row r="61" spans="4:13" ht="15.75" thickBot="1" x14ac:dyDescent="0.3">
      <c r="D61" t="e">
        <f t="shared" si="0"/>
        <v>#DIV/0!</v>
      </c>
      <c r="H61" s="103" t="s">
        <v>118</v>
      </c>
      <c r="I61" s="104"/>
    </row>
    <row r="62" spans="4:13" ht="15.75" thickBot="1" x14ac:dyDescent="0.3">
      <c r="D62" t="e">
        <f t="shared" si="0"/>
        <v>#DIV/0!</v>
      </c>
      <c r="H62" s="105"/>
    </row>
    <row r="63" spans="4:13" x14ac:dyDescent="0.25">
      <c r="D63" t="e">
        <f t="shared" si="0"/>
        <v>#DIV/0!</v>
      </c>
      <c r="H63" s="101" t="s">
        <v>119</v>
      </c>
      <c r="I63" s="106"/>
    </row>
    <row r="64" spans="4:13" x14ac:dyDescent="0.25">
      <c r="D64" t="e">
        <f t="shared" si="0"/>
        <v>#DIV/0!</v>
      </c>
      <c r="H64" s="107" t="s">
        <v>120</v>
      </c>
      <c r="I64" s="108">
        <f>I63*(1-I60)</f>
        <v>0</v>
      </c>
    </row>
    <row r="65" spans="4:9" ht="15.75" thickBot="1" x14ac:dyDescent="0.3">
      <c r="D65" t="e">
        <f t="shared" si="0"/>
        <v>#DIV/0!</v>
      </c>
      <c r="H65" s="103" t="s">
        <v>121</v>
      </c>
      <c r="I65" s="109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Analysts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2026-03-27T18:11:33Z</dcterms:modified>
</cp:coreProperties>
</file>