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mon\Documents\models\Computer and Technology - Sattelite Communication\"/>
    </mc:Choice>
  </mc:AlternateContent>
  <xr:revisionPtr revIDLastSave="0" documentId="13_ncr:1_{730057BA-BC96-4B3B-BC11-3A88D2BFFA88}" xr6:coauthVersionLast="47" xr6:coauthVersionMax="47" xr10:uidLastSave="{00000000-0000-0000-0000-000000000000}"/>
  <bookViews>
    <workbookView xWindow="-120" yWindow="-120" windowWidth="29040" windowHeight="15720" activeTab="1" xr2:uid="{00000000-000D-0000-FFFF-FFFF00000000}"/>
  </bookViews>
  <sheets>
    <sheet name="Main" sheetId="1" r:id="rId1"/>
    <sheet name="Model" sheetId="2" r:id="rId2"/>
    <sheet name="Analysts" sheetId="7" r:id="rId3"/>
    <sheet name="Model-graph" sheetId="3" r:id="rId4"/>
    <sheet name="KPIs" sheetId="6" r:id="rId5"/>
    <sheet name="Catalysts" sheetId="4" r:id="rId6"/>
    <sheet name="DoR" sheetId="5" r:id="rId7"/>
  </sheets>
  <definedNames>
    <definedName name="_xlchart.v1.0" hidden="1">Model!$B$12</definedName>
    <definedName name="_xlchart.v1.1" hidden="1">Model!$B$13</definedName>
    <definedName name="_xlchart.v1.2" hidden="1">Model!$K$12:$X$12</definedName>
    <definedName name="_xlchart.v1.3" hidden="1">Model!$K$13:$X$13</definedName>
    <definedName name="_xlchart.v1.4" hidden="1">Model!$K$2:$T$2</definedName>
    <definedName name="_xlchart.v1.5" hidden="1">Model!$B$29</definedName>
    <definedName name="_xlchart.v1.6" hidden="1">Model!$B$30</definedName>
    <definedName name="_xlchart.v1.7" hidden="1">Model!$K$29:$X$29</definedName>
    <definedName name="_xlchart.v1.8" hidden="1">Model!$K$2:$T$2</definedName>
    <definedName name="_xlchart.v1.9" hidden="1">Model!$K$30:$X$30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5" l="1"/>
  <c r="D3" i="5"/>
  <c r="D2" i="5"/>
  <c r="D256"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7" i="5"/>
  <c r="D258" i="5"/>
  <c r="D259" i="5"/>
  <c r="D260" i="5"/>
  <c r="D261" i="5"/>
  <c r="D262" i="5"/>
  <c r="C21" i="1"/>
  <c r="C20" i="1"/>
  <c r="C17" i="1"/>
  <c r="C16" i="1"/>
  <c r="C15" i="1"/>
  <c r="C14" i="1"/>
  <c r="C13" i="1"/>
  <c r="C10" i="1"/>
  <c r="C9" i="1"/>
  <c r="F14" i="1"/>
  <c r="F13" i="1"/>
  <c r="F12" i="1"/>
  <c r="F11" i="1"/>
  <c r="F10" i="1"/>
  <c r="F9" i="1"/>
  <c r="F8" i="1"/>
  <c r="F7" i="1"/>
  <c r="F6" i="1"/>
  <c r="F5" i="1"/>
  <c r="F4" i="1"/>
  <c r="F3" i="1"/>
  <c r="C7" i="1"/>
  <c r="V76" i="2"/>
  <c r="V29" i="2"/>
  <c r="V41" i="2"/>
  <c r="R28" i="2"/>
  <c r="R26" i="2"/>
  <c r="R24" i="2"/>
  <c r="R23" i="2"/>
  <c r="R22" i="2"/>
  <c r="R20" i="2"/>
  <c r="S36" i="2" s="1"/>
  <c r="R19" i="2"/>
  <c r="R18" i="2"/>
  <c r="R14" i="2"/>
  <c r="R11" i="2"/>
  <c r="R12" i="2" s="1"/>
  <c r="R34" i="2" s="1"/>
  <c r="R10" i="2"/>
  <c r="R9" i="2"/>
  <c r="R6" i="2"/>
  <c r="R5" i="2"/>
  <c r="R38" i="2" s="1"/>
  <c r="R4" i="2"/>
  <c r="V37" i="2" s="1"/>
  <c r="R3" i="2"/>
  <c r="V26" i="2"/>
  <c r="V24" i="2"/>
  <c r="V23" i="2"/>
  <c r="V22" i="2"/>
  <c r="V20" i="2"/>
  <c r="V36" i="2" s="1"/>
  <c r="V19" i="2"/>
  <c r="V18" i="2"/>
  <c r="V21" i="2"/>
  <c r="V14" i="2"/>
  <c r="V17" i="2" s="1"/>
  <c r="V11" i="2"/>
  <c r="V10" i="2"/>
  <c r="V12" i="2" s="1"/>
  <c r="V9" i="2"/>
  <c r="V6" i="2"/>
  <c r="V5" i="2"/>
  <c r="V38" i="2" s="1"/>
  <c r="V4" i="2"/>
  <c r="V3" i="2"/>
  <c r="T40" i="2"/>
  <c r="S40" i="2"/>
  <c r="R40" i="2"/>
  <c r="Q40" i="2"/>
  <c r="T39" i="2"/>
  <c r="S39" i="2"/>
  <c r="R39" i="2"/>
  <c r="Q39" i="2"/>
  <c r="T38" i="2"/>
  <c r="S38" i="2"/>
  <c r="Q38" i="2"/>
  <c r="T37" i="2"/>
  <c r="S37" i="2"/>
  <c r="Q37" i="2"/>
  <c r="T36" i="2"/>
  <c r="Q36" i="2"/>
  <c r="X36" i="2"/>
  <c r="W37" i="2"/>
  <c r="X37" i="2"/>
  <c r="W38" i="2"/>
  <c r="X38" i="2"/>
  <c r="V39" i="2"/>
  <c r="W39" i="2"/>
  <c r="X39" i="2"/>
  <c r="V40" i="2"/>
  <c r="W40" i="2"/>
  <c r="X40" i="2"/>
  <c r="U40" i="2"/>
  <c r="U39" i="2"/>
  <c r="U38" i="2"/>
  <c r="U37" i="2"/>
  <c r="U34" i="2"/>
  <c r="U36" i="2"/>
  <c r="U35" i="2"/>
  <c r="F45" i="2"/>
  <c r="G45" i="2"/>
  <c r="E45" i="2"/>
  <c r="D45" i="2"/>
  <c r="C45" i="2"/>
  <c r="T45" i="2"/>
  <c r="S45" i="2"/>
  <c r="R45" i="2"/>
  <c r="Q45" i="2"/>
  <c r="P45" i="2"/>
  <c r="O45" i="2"/>
  <c r="N45" i="2"/>
  <c r="M45" i="2"/>
  <c r="L45" i="2"/>
  <c r="K45" i="2"/>
  <c r="V45" i="2"/>
  <c r="U45" i="2"/>
  <c r="P22" i="2"/>
  <c r="T22" i="2"/>
  <c r="Q22" i="2"/>
  <c r="U22" i="2"/>
  <c r="D36" i="2"/>
  <c r="D39" i="2"/>
  <c r="D38" i="2"/>
  <c r="D37" i="2"/>
  <c r="F38" i="2"/>
  <c r="F37" i="2"/>
  <c r="E38" i="2"/>
  <c r="E37" i="2"/>
  <c r="E36" i="2"/>
  <c r="F36" i="2"/>
  <c r="F40" i="2"/>
  <c r="F39" i="2"/>
  <c r="E22" i="2"/>
  <c r="F22" i="2"/>
  <c r="D12" i="2"/>
  <c r="E12" i="2"/>
  <c r="E35" i="2" s="1"/>
  <c r="F12" i="2"/>
  <c r="F35" i="2" s="1"/>
  <c r="E74" i="2"/>
  <c r="E73" i="2"/>
  <c r="E72" i="2"/>
  <c r="E71" i="2"/>
  <c r="E70" i="2"/>
  <c r="E69" i="2"/>
  <c r="E68" i="2"/>
  <c r="E66" i="2"/>
  <c r="E65" i="2"/>
  <c r="E64" i="2"/>
  <c r="E63" i="2"/>
  <c r="E62" i="2"/>
  <c r="E61" i="2"/>
  <c r="E59" i="2"/>
  <c r="E58" i="2"/>
  <c r="E57" i="2"/>
  <c r="E56" i="2"/>
  <c r="E55" i="2"/>
  <c r="E54" i="2"/>
  <c r="E53" i="2"/>
  <c r="E51" i="2"/>
  <c r="E50" i="2"/>
  <c r="E49" i="2"/>
  <c r="E48" i="2"/>
  <c r="E47" i="2"/>
  <c r="E46" i="2"/>
  <c r="X45" i="2"/>
  <c r="W45" i="2"/>
  <c r="T52" i="2"/>
  <c r="T60" i="2" s="1"/>
  <c r="S52" i="2"/>
  <c r="S60" i="2" s="1"/>
  <c r="N52" i="2"/>
  <c r="N60" i="2" s="1"/>
  <c r="F74" i="2"/>
  <c r="F73" i="2"/>
  <c r="F72" i="2"/>
  <c r="F71" i="2"/>
  <c r="F70" i="2"/>
  <c r="F69" i="2"/>
  <c r="F68" i="2"/>
  <c r="F66" i="2"/>
  <c r="F65" i="2"/>
  <c r="F64" i="2"/>
  <c r="F63" i="2"/>
  <c r="F62" i="2"/>
  <c r="F61" i="2"/>
  <c r="F59" i="2"/>
  <c r="F58" i="2"/>
  <c r="F57" i="2"/>
  <c r="F56" i="2"/>
  <c r="F55" i="2"/>
  <c r="F54" i="2"/>
  <c r="F53" i="2"/>
  <c r="F51" i="2"/>
  <c r="F50" i="2"/>
  <c r="F49" i="2"/>
  <c r="F48" i="2"/>
  <c r="F47" i="2"/>
  <c r="F46" i="2"/>
  <c r="U12" i="2"/>
  <c r="W12" i="2"/>
  <c r="W35" i="2" s="1"/>
  <c r="X12" i="2"/>
  <c r="X35" i="2" s="1"/>
  <c r="U17" i="2"/>
  <c r="W17" i="2"/>
  <c r="X17" i="2"/>
  <c r="U52" i="2"/>
  <c r="U60" i="2" s="1"/>
  <c r="V52" i="2"/>
  <c r="V60" i="2" s="1"/>
  <c r="W52" i="2"/>
  <c r="W60" i="2" s="1"/>
  <c r="X52" i="2"/>
  <c r="X60" i="2" s="1"/>
  <c r="U67" i="2"/>
  <c r="U75" i="2" s="1"/>
  <c r="V67" i="2"/>
  <c r="V75" i="2" s="1"/>
  <c r="W67" i="2"/>
  <c r="W75" i="2" s="1"/>
  <c r="X67" i="2"/>
  <c r="X75" i="2" s="1"/>
  <c r="S12" i="2"/>
  <c r="T12" i="2"/>
  <c r="R17" i="2"/>
  <c r="S17" i="2"/>
  <c r="T17" i="2"/>
  <c r="R52" i="2"/>
  <c r="R60" i="2" s="1"/>
  <c r="R67" i="2"/>
  <c r="R75" i="2" s="1"/>
  <c r="S67" i="2"/>
  <c r="S75" i="2" s="1"/>
  <c r="T67" i="2"/>
  <c r="T75" i="2" s="1"/>
  <c r="G52" i="2"/>
  <c r="G60" i="2" s="1"/>
  <c r="G67" i="2"/>
  <c r="G75" i="2" s="1"/>
  <c r="E39" i="2"/>
  <c r="G39" i="2"/>
  <c r="E40" i="2"/>
  <c r="G40" i="2"/>
  <c r="G12" i="2"/>
  <c r="G17" i="2"/>
  <c r="Q67" i="2"/>
  <c r="Q75" i="2" s="1"/>
  <c r="P67" i="2"/>
  <c r="P75" i="2" s="1"/>
  <c r="O67" i="2"/>
  <c r="O75" i="2" s="1"/>
  <c r="N67" i="2"/>
  <c r="N75" i="2" s="1"/>
  <c r="Q52" i="2"/>
  <c r="Q60" i="2" s="1"/>
  <c r="P52" i="2"/>
  <c r="P60" i="2" s="1"/>
  <c r="O52" i="2"/>
  <c r="O60" i="2" s="1"/>
  <c r="Q17" i="2"/>
  <c r="P17" i="2"/>
  <c r="O17" i="2"/>
  <c r="N17" i="2"/>
  <c r="Q12" i="2"/>
  <c r="Q35" i="2" s="1"/>
  <c r="P12" i="2"/>
  <c r="P35" i="2" s="1"/>
  <c r="O12" i="2"/>
  <c r="O34" i="2" s="1"/>
  <c r="N12" i="2"/>
  <c r="N34" i="2" s="1"/>
  <c r="K12" i="2"/>
  <c r="K35" i="2" s="1"/>
  <c r="L12" i="2"/>
  <c r="M12" i="2"/>
  <c r="M35" i="2" s="1"/>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K17" i="2"/>
  <c r="L17" i="2"/>
  <c r="M17" i="2"/>
  <c r="C17" i="2"/>
  <c r="D17" i="2"/>
  <c r="E17" i="2"/>
  <c r="F17" i="2"/>
  <c r="I20" i="5" l="1"/>
  <c r="I19" i="5"/>
  <c r="R36" i="2"/>
  <c r="R37" i="2"/>
  <c r="W36" i="2"/>
  <c r="V35" i="2"/>
  <c r="V34" i="2"/>
  <c r="E52" i="2"/>
  <c r="E60" i="2" s="1"/>
  <c r="E67" i="2"/>
  <c r="E75" i="2" s="1"/>
  <c r="W21" i="2"/>
  <c r="W25" i="2" s="1"/>
  <c r="W27" i="2" s="1"/>
  <c r="W32" i="2" s="1"/>
  <c r="F67" i="2"/>
  <c r="F75" i="2" s="1"/>
  <c r="F52" i="2"/>
  <c r="F60" i="2" s="1"/>
  <c r="X21" i="2"/>
  <c r="X25" i="2" s="1"/>
  <c r="X27" i="2" s="1"/>
  <c r="X32" i="2" s="1"/>
  <c r="U21" i="2"/>
  <c r="U25" i="2" s="1"/>
  <c r="U27" i="2" s="1"/>
  <c r="U29" i="2" s="1"/>
  <c r="V25" i="2"/>
  <c r="V27" i="2" s="1"/>
  <c r="X34" i="2"/>
  <c r="W34" i="2"/>
  <c r="R31" i="2"/>
  <c r="E31" i="2"/>
  <c r="V33" i="2"/>
  <c r="T34" i="2"/>
  <c r="W76" i="2"/>
  <c r="U33" i="2"/>
  <c r="T76" i="2"/>
  <c r="X76" i="2"/>
  <c r="X31" i="2"/>
  <c r="F21" i="2"/>
  <c r="F25" i="2" s="1"/>
  <c r="F27" i="2" s="1"/>
  <c r="F29" i="2" s="1"/>
  <c r="F34" i="2"/>
  <c r="V31" i="2"/>
  <c r="G34" i="2"/>
  <c r="E34" i="2"/>
  <c r="T21" i="2"/>
  <c r="T25" i="2" s="1"/>
  <c r="T27" i="2" s="1"/>
  <c r="T29" i="2" s="1"/>
  <c r="U31" i="2"/>
  <c r="S31" i="2"/>
  <c r="U76" i="2"/>
  <c r="F31" i="2"/>
  <c r="G21" i="2"/>
  <c r="G25" i="2" s="1"/>
  <c r="G27" i="2" s="1"/>
  <c r="X33" i="2"/>
  <c r="W33" i="2"/>
  <c r="W31" i="2"/>
  <c r="L21" i="2"/>
  <c r="L25" i="2" s="1"/>
  <c r="L27" i="2" s="1"/>
  <c r="L29" i="2" s="1"/>
  <c r="E21" i="2"/>
  <c r="G31" i="2"/>
  <c r="Q31" i="2"/>
  <c r="G33" i="2"/>
  <c r="F33" i="2"/>
  <c r="T35" i="2"/>
  <c r="G35" i="2"/>
  <c r="S76" i="2"/>
  <c r="T33" i="2"/>
  <c r="G76" i="2"/>
  <c r="S33" i="2"/>
  <c r="R76" i="2"/>
  <c r="S35" i="2"/>
  <c r="S21" i="2"/>
  <c r="S25" i="2" s="1"/>
  <c r="S27" i="2" s="1"/>
  <c r="R35" i="2"/>
  <c r="R21" i="2"/>
  <c r="R25" i="2" s="1"/>
  <c r="R27" i="2" s="1"/>
  <c r="S34" i="2"/>
  <c r="T31" i="2"/>
  <c r="N76" i="2"/>
  <c r="Q76" i="2"/>
  <c r="K21" i="2"/>
  <c r="K25" i="2" s="1"/>
  <c r="K27" i="2" s="1"/>
  <c r="K29" i="2" s="1"/>
  <c r="N31" i="2"/>
  <c r="L35" i="2"/>
  <c r="P31" i="2"/>
  <c r="P34" i="2"/>
  <c r="P76" i="2"/>
  <c r="O76" i="2"/>
  <c r="Q34" i="2"/>
  <c r="N21" i="2"/>
  <c r="N25" i="2" s="1"/>
  <c r="N27" i="2" s="1"/>
  <c r="N35" i="2"/>
  <c r="O21" i="2"/>
  <c r="O25" i="2" s="1"/>
  <c r="O27" i="2" s="1"/>
  <c r="O35" i="2"/>
  <c r="P21" i="2"/>
  <c r="P25" i="2" s="1"/>
  <c r="P27" i="2" s="1"/>
  <c r="Q21" i="2"/>
  <c r="Q25" i="2" s="1"/>
  <c r="Q27" i="2" s="1"/>
  <c r="O31" i="2"/>
  <c r="M21" i="2"/>
  <c r="M25" i="2" s="1"/>
  <c r="M27" i="2" s="1"/>
  <c r="M29" i="2" s="1"/>
  <c r="C31" i="1"/>
  <c r="C22" i="1"/>
  <c r="C28" i="1" s="1"/>
  <c r="C35" i="1"/>
  <c r="C29" i="1"/>
  <c r="C27" i="1"/>
  <c r="C25" i="1"/>
  <c r="C24" i="1"/>
  <c r="C23" i="1"/>
  <c r="C8" i="1"/>
  <c r="I31" i="5"/>
  <c r="I30" i="5"/>
  <c r="I29" i="5"/>
  <c r="I28" i="5"/>
  <c r="I26" i="5"/>
  <c r="I25" i="5"/>
  <c r="I24" i="5"/>
  <c r="I23" i="5"/>
  <c r="I22" i="5"/>
  <c r="I21" i="5"/>
  <c r="I65" i="5"/>
  <c r="I64" i="5"/>
  <c r="X29" i="2" l="1"/>
  <c r="W29" i="2"/>
  <c r="F76" i="2"/>
  <c r="E76" i="2"/>
  <c r="W41" i="2"/>
  <c r="U32" i="2"/>
  <c r="U41" i="2"/>
  <c r="V32" i="2"/>
  <c r="F32" i="2"/>
  <c r="X41" i="2"/>
  <c r="T32" i="2"/>
  <c r="T41" i="2"/>
  <c r="E25" i="2"/>
  <c r="E27" i="2" s="1"/>
  <c r="G29" i="2"/>
  <c r="G41" i="2" s="1"/>
  <c r="G32" i="2"/>
  <c r="R32" i="2"/>
  <c r="R41" i="2"/>
  <c r="R29" i="2"/>
  <c r="S29" i="2"/>
  <c r="S41" i="2"/>
  <c r="S32" i="2"/>
  <c r="P41" i="2"/>
  <c r="P32" i="2"/>
  <c r="P29" i="2"/>
  <c r="N29" i="2"/>
  <c r="N32" i="2"/>
  <c r="Q32" i="2"/>
  <c r="Q29" i="2"/>
  <c r="Q41" i="2"/>
  <c r="O41" i="2"/>
  <c r="O32" i="2"/>
  <c r="O29" i="2"/>
  <c r="I27" i="5"/>
  <c r="C33" i="1"/>
  <c r="C34" i="1"/>
  <c r="C32" i="1"/>
  <c r="H6" i="5"/>
  <c r="H4" i="5"/>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21" i="2"/>
  <c r="C25" i="2" s="1"/>
  <c r="C27" i="2" s="1"/>
  <c r="K31" i="2"/>
  <c r="L31" i="2"/>
  <c r="M31" i="2"/>
  <c r="K34" i="2"/>
  <c r="L34" i="2"/>
  <c r="M34" i="2"/>
  <c r="K52" i="2"/>
  <c r="K60" i="2" s="1"/>
  <c r="L52" i="2"/>
  <c r="L60" i="2" s="1"/>
  <c r="M52" i="2"/>
  <c r="M60" i="2" s="1"/>
  <c r="K67" i="2"/>
  <c r="K75" i="2" s="1"/>
  <c r="L67" i="2"/>
  <c r="L75" i="2" s="1"/>
  <c r="M67" i="2"/>
  <c r="M75" i="2" s="1"/>
  <c r="D40" i="2"/>
  <c r="I4" i="5" l="1"/>
  <c r="J4" i="5"/>
  <c r="L4" i="5" s="1"/>
  <c r="M4" i="5" s="1"/>
  <c r="E29" i="2"/>
  <c r="E32" i="2"/>
  <c r="D21" i="2"/>
  <c r="D25" i="2" s="1"/>
  <c r="D27" i="2" s="1"/>
  <c r="E33" i="2"/>
  <c r="K76" i="2"/>
  <c r="M76" i="2"/>
  <c r="L76" i="2"/>
  <c r="K11" i="5"/>
  <c r="D34" i="2"/>
  <c r="D35" i="2"/>
  <c r="C35" i="2"/>
  <c r="K7" i="5"/>
  <c r="K9" i="5"/>
  <c r="K4" i="5"/>
  <c r="K13" i="5"/>
  <c r="K5" i="5"/>
  <c r="I6" i="5"/>
  <c r="I10" i="5"/>
  <c r="I14" i="5"/>
  <c r="K39" i="5"/>
  <c r="L39" i="5" s="1"/>
  <c r="I34" i="5"/>
  <c r="J6" i="5"/>
  <c r="L6" i="5" s="1"/>
  <c r="J7" i="5"/>
  <c r="L7" i="5" s="1"/>
  <c r="J10" i="5"/>
  <c r="L10" i="5" s="1"/>
  <c r="J11" i="5"/>
  <c r="L11" i="5" s="1"/>
  <c r="K40" i="5"/>
  <c r="L40"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K32" i="2"/>
  <c r="M32" i="2"/>
  <c r="L32" i="2"/>
  <c r="C30" i="1"/>
  <c r="C31" i="2"/>
  <c r="C34" i="2"/>
  <c r="D31" i="2"/>
  <c r="D33" i="2"/>
  <c r="D67" i="2"/>
  <c r="D75" i="2" s="1"/>
  <c r="D52" i="2"/>
  <c r="D60" i="2" s="1"/>
  <c r="C52" i="2"/>
  <c r="C60" i="2" s="1"/>
  <c r="F41" i="2" l="1"/>
  <c r="D76" i="2"/>
  <c r="C19" i="1"/>
  <c r="M5" i="5"/>
  <c r="M6" i="5" s="1"/>
  <c r="M7" i="5" s="1"/>
  <c r="M8" i="5" s="1"/>
  <c r="M9" i="5" s="1"/>
  <c r="M10" i="5" s="1"/>
  <c r="M11" i="5" s="1"/>
  <c r="M12" i="5" s="1"/>
  <c r="M13" i="5" s="1"/>
  <c r="M14" i="5" s="1"/>
  <c r="M15" i="5" s="1"/>
  <c r="C67" i="2"/>
  <c r="C75" i="2" s="1"/>
  <c r="C76" i="2" s="1"/>
  <c r="C18" i="1" l="1"/>
  <c r="D29" i="2"/>
  <c r="E41" i="2" s="1"/>
  <c r="D32" i="2"/>
  <c r="C29" i="2" l="1"/>
  <c r="C41" i="2" s="1"/>
  <c r="C32" i="2"/>
  <c r="C11" i="1" s="1"/>
  <c r="D41" i="2" l="1"/>
  <c r="C12" i="1"/>
  <c r="C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sharedStrings.xml><?xml version="1.0" encoding="utf-8"?>
<sst xmlns="http://schemas.openxmlformats.org/spreadsheetml/2006/main" count="499" uniqueCount="479">
  <si>
    <t>Price</t>
  </si>
  <si>
    <t>Shares</t>
  </si>
  <si>
    <t>MC</t>
  </si>
  <si>
    <t>CASH</t>
  </si>
  <si>
    <t>DEBT</t>
  </si>
  <si>
    <t>EV</t>
  </si>
  <si>
    <t>Q123</t>
  </si>
  <si>
    <t>FY22</t>
  </si>
  <si>
    <t>FY23</t>
  </si>
  <si>
    <t>Revenue</t>
  </si>
  <si>
    <t>EBITDA</t>
  </si>
  <si>
    <t>Income Tax</t>
  </si>
  <si>
    <t>Net Income</t>
  </si>
  <si>
    <t>EPS</t>
  </si>
  <si>
    <t>Operational Income</t>
  </si>
  <si>
    <t>Cash</t>
  </si>
  <si>
    <t>AR</t>
  </si>
  <si>
    <t>Other</t>
  </si>
  <si>
    <t>Goodwill</t>
  </si>
  <si>
    <t>Total Assets</t>
  </si>
  <si>
    <t>Total Liablities</t>
  </si>
  <si>
    <t>AP</t>
  </si>
  <si>
    <t>Gross Margin</t>
  </si>
  <si>
    <t>Net Margin</t>
  </si>
  <si>
    <t>FY24</t>
  </si>
  <si>
    <t>Q223</t>
  </si>
  <si>
    <t>Net CASH</t>
  </si>
  <si>
    <t>Main</t>
  </si>
  <si>
    <t>Net Cash</t>
  </si>
  <si>
    <t>Q323</t>
  </si>
  <si>
    <t>Q423</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</si>
  <si>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</si>
  <si>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</si>
  <si>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</si>
  <si>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</si>
  <si>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</si>
  <si>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</si>
  <si>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</si>
  <si>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</si>
  <si>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</si>
  <si>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</si>
  <si>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</si>
  <si>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</si>
  <si>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</si>
  <si>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</si>
  <si>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</si>
  <si>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</si>
  <si>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</si>
  <si>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</si>
  <si>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</si>
  <si>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</si>
  <si>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</si>
  <si>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Gains on Equity</t>
  </si>
  <si>
    <t>Q124</t>
  </si>
  <si>
    <t>EPS exp.</t>
  </si>
  <si>
    <t>Rev. Exp.</t>
  </si>
  <si>
    <t>Q224</t>
  </si>
  <si>
    <t>Interest Collect (exp)</t>
  </si>
  <si>
    <t>FY25</t>
  </si>
  <si>
    <t>PEG1</t>
  </si>
  <si>
    <t>PEG2</t>
  </si>
  <si>
    <t>EBIT</t>
  </si>
  <si>
    <t>EV/EBITDA</t>
  </si>
  <si>
    <t>R&amp;D</t>
  </si>
  <si>
    <t>Notes</t>
  </si>
  <si>
    <t>Restricted Cash</t>
  </si>
  <si>
    <t>Prepaid Expense</t>
  </si>
  <si>
    <t>PP&amp;E</t>
  </si>
  <si>
    <t>Intangible Asset</t>
  </si>
  <si>
    <t>Equity</t>
  </si>
  <si>
    <t>Interest Rate debt</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</si>
  <si>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</si>
  <si>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</si>
  <si>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</si>
  <si>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</si>
  <si>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</si>
  <si>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</si>
  <si>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</si>
  <si>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</si>
  <si>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</si>
  <si>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</si>
  <si>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</si>
  <si>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</si>
  <si>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</si>
  <si>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</si>
  <si>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</si>
  <si>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</si>
  <si>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</si>
  <si>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</si>
  <si>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</si>
  <si>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</si>
  <si>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</si>
  <si>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</si>
  <si>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</si>
  <si>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</si>
  <si>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</si>
  <si>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</si>
  <si>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</si>
  <si>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</si>
  <si>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</si>
  <si>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</si>
  <si>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</si>
  <si>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</si>
  <si>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</si>
  <si>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</si>
  <si>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</si>
  <si>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</si>
  <si>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</si>
  <si>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</si>
  <si>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</si>
  <si>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</si>
  <si>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</si>
  <si>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</si>
  <si>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</si>
  <si>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</si>
  <si>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</si>
  <si>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</si>
  <si>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</si>
  <si>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</si>
  <si>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</si>
  <si>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</si>
  <si>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</si>
  <si>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</si>
  <si>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COGS Prod1</t>
  </si>
  <si>
    <t>COGS Prod3</t>
  </si>
  <si>
    <t>COGS Prod2</t>
  </si>
  <si>
    <t>R&amp;D / REV</t>
  </si>
  <si>
    <t>G&amp;A / REV</t>
  </si>
  <si>
    <t>G&amp;A</t>
  </si>
  <si>
    <t>Net Income before Tax</t>
  </si>
  <si>
    <t>Q324</t>
  </si>
  <si>
    <t>Q424</t>
  </si>
  <si>
    <t>EPS Growth</t>
  </si>
  <si>
    <t>Revenue Growth</t>
  </si>
  <si>
    <t>Sell</t>
  </si>
  <si>
    <t>Hold</t>
  </si>
  <si>
    <t>Buy</t>
  </si>
  <si>
    <t>Strong buy</t>
  </si>
  <si>
    <t>Price Targets</t>
  </si>
  <si>
    <t>FY26</t>
  </si>
  <si>
    <t>Q125</t>
  </si>
  <si>
    <t>Q225</t>
  </si>
  <si>
    <t>Q325</t>
  </si>
  <si>
    <t>Q425</t>
  </si>
  <si>
    <t>Q126</t>
  </si>
  <si>
    <t>Q226</t>
  </si>
  <si>
    <t>PL</t>
  </si>
  <si>
    <t>Short-term investments</t>
  </si>
  <si>
    <t>Inventorys</t>
  </si>
  <si>
    <t>Capitalized internal use-software</t>
  </si>
  <si>
    <t>operating lease</t>
  </si>
  <si>
    <t>other</t>
  </si>
  <si>
    <t>Accrued and other current</t>
  </si>
  <si>
    <t>Deferred revenue</t>
  </si>
  <si>
    <t>Liab from stock options</t>
  </si>
  <si>
    <t>warrant liab</t>
  </si>
  <si>
    <t>deferred hosting costs</t>
  </si>
  <si>
    <t>contingent considerations</t>
  </si>
  <si>
    <t>convertible notes</t>
  </si>
  <si>
    <t>Government Revenue flat</t>
  </si>
  <si>
    <t>Germany and Sweden ocntracts</t>
  </si>
  <si>
    <t>Civil Government</t>
  </si>
  <si>
    <t>Commercial</t>
  </si>
  <si>
    <t>Defense &amp; Intelligence</t>
  </si>
  <si>
    <t>North America</t>
  </si>
  <si>
    <t>Asia Pacific &amp; Japan</t>
  </si>
  <si>
    <t>Europe, Middle East &amp; Afrika</t>
  </si>
  <si>
    <t>Latin America</t>
  </si>
  <si>
    <t>S&amp;M</t>
  </si>
  <si>
    <t>S&amp;M / REV</t>
  </si>
  <si>
    <t>Civil Government Revenue y/y</t>
  </si>
  <si>
    <t>Defense Revenue y/y</t>
  </si>
  <si>
    <t>Asia Rev y/y</t>
  </si>
  <si>
    <t>Europe Rev y/y</t>
  </si>
  <si>
    <t>9 Figure Satellite Services Deal</t>
  </si>
  <si>
    <t>Share Price</t>
  </si>
  <si>
    <t>Consensus</t>
  </si>
  <si>
    <t>FY27</t>
  </si>
  <si>
    <t>Alphabet</t>
  </si>
  <si>
    <t>Blackrock</t>
  </si>
  <si>
    <t>Vanguard</t>
  </si>
  <si>
    <t>DE Shaw</t>
  </si>
  <si>
    <t>Driehaus Capital</t>
  </si>
  <si>
    <t>Canda Pension plan</t>
  </si>
  <si>
    <t>Jane Street</t>
  </si>
  <si>
    <t>Van Eck Associates</t>
  </si>
  <si>
    <t>Capricorn Investment</t>
  </si>
  <si>
    <t>State Street</t>
  </si>
  <si>
    <t>Geode Capital</t>
  </si>
  <si>
    <t>Toronto Dominion</t>
  </si>
  <si>
    <t>Planet Labs PBC designs, constructs, and launches constellations of satellites with the intent of providing high cadence geospatial data delivered to customers through an online platform worldwide. The company offers Open Geospatial Consortium, a cloud-native proprietary technology that performs critical processing and overall harmonizing of images for time series and data fusion and analysis; and space-based hardware and related software systems. It serves agriculture, mapping, forestry, and finance and insurance, as well as federal, state, and local government bodies. The company was incorporated in 2010 and is headquartered in San Francisco, California.</t>
  </si>
  <si>
    <t>1.84%	% of Shares Held by All Insider</t>
  </si>
  <si>
    <t>Dr. William Spencer Marshall</t>
  </si>
  <si>
    <t>Co-Founder &amp; CEO</t>
  </si>
  <si>
    <t>Ms. Ashley Whitfield Fieglein Johnson</t>
  </si>
  <si>
    <t>President &amp; CFO</t>
  </si>
  <si>
    <t>Mr. Robert Henry Schingler Jr.</t>
  </si>
  <si>
    <t>Co-Founnder &amp; C Strategy Officer</t>
  </si>
  <si>
    <t>Kevin Kirn</t>
  </si>
  <si>
    <t>CTO</t>
  </si>
  <si>
    <t>Christopher Geualdi</t>
  </si>
  <si>
    <t>IR</t>
  </si>
  <si>
    <t>Thomas Murphy</t>
  </si>
  <si>
    <t>Counsel</t>
  </si>
  <si>
    <t>Trevor Hammond</t>
  </si>
  <si>
    <t>CCO</t>
  </si>
  <si>
    <t>Katie Penn</t>
  </si>
  <si>
    <t>Senior Vice President of Marketing</t>
  </si>
  <si>
    <t>Scientist, NASA Background, PHD in Physics</t>
  </si>
  <si>
    <t>9y NASA, Eng.Physics</t>
  </si>
  <si>
    <t>2021-04-26</t>
  </si>
  <si>
    <t>2021-05-03</t>
  </si>
  <si>
    <t>2021-05-10</t>
  </si>
  <si>
    <t>2021-05-17</t>
  </si>
  <si>
    <t>2021-05-24</t>
  </si>
  <si>
    <t>2021-06-01</t>
  </si>
  <si>
    <t>2021-06-07</t>
  </si>
  <si>
    <t>2021-06-14</t>
  </si>
  <si>
    <t>2021-06-21</t>
  </si>
  <si>
    <t>2021-06-28</t>
  </si>
  <si>
    <t>2021-07-06</t>
  </si>
  <si>
    <t>2021-07-12</t>
  </si>
  <si>
    <t>2021-07-19</t>
  </si>
  <si>
    <t>2021-07-26</t>
  </si>
  <si>
    <t>2021-08-02</t>
  </si>
  <si>
    <t>2021-08-09</t>
  </si>
  <si>
    <t>2021-08-16</t>
  </si>
  <si>
    <t>2021-08-23</t>
  </si>
  <si>
    <t>2021-08-30</t>
  </si>
  <si>
    <t>2021-09-07</t>
  </si>
  <si>
    <t>2021-09-13</t>
  </si>
  <si>
    <t>2021-09-20</t>
  </si>
  <si>
    <t>2021-09-27</t>
  </si>
  <si>
    <t>2021-10-04</t>
  </si>
  <si>
    <t>2021-10-11</t>
  </si>
  <si>
    <t>2021-10-18</t>
  </si>
  <si>
    <t>2021-10-25</t>
  </si>
  <si>
    <t>2021-11-01</t>
  </si>
  <si>
    <t>2021-11-08</t>
  </si>
  <si>
    <t>2021-11-15</t>
  </si>
  <si>
    <t>2021-11-22</t>
  </si>
  <si>
    <t>2021-11-29</t>
  </si>
  <si>
    <t>2021-12-06</t>
  </si>
  <si>
    <t>2021-12-13</t>
  </si>
  <si>
    <t>2021-12-20</t>
  </si>
  <si>
    <t>2021-12-27</t>
  </si>
  <si>
    <t>2022-01-03</t>
  </si>
  <si>
    <t>2022-01-10</t>
  </si>
  <si>
    <t>2022-01-18</t>
  </si>
  <si>
    <t>2022-01-24</t>
  </si>
  <si>
    <t>2022-01-31</t>
  </si>
  <si>
    <t>2022-02-07</t>
  </si>
  <si>
    <t>2022-02-14</t>
  </si>
  <si>
    <t>2022-02-22</t>
  </si>
  <si>
    <t>2022-02-28</t>
  </si>
  <si>
    <t>2022-03-07</t>
  </si>
  <si>
    <t>2022-03-14</t>
  </si>
  <si>
    <t>2022-03-21</t>
  </si>
  <si>
    <t>2022-03-28</t>
  </si>
  <si>
    <t>2022-04-04</t>
  </si>
  <si>
    <t>2022-04-11</t>
  </si>
  <si>
    <t>2022-04-18</t>
  </si>
  <si>
    <t>2022-04-25</t>
  </si>
  <si>
    <t>2022-05-02</t>
  </si>
  <si>
    <t>2022-05-09</t>
  </si>
  <si>
    <t>2022-05-16</t>
  </si>
  <si>
    <t>2022-05-23</t>
  </si>
  <si>
    <t>2022-05-31</t>
  </si>
  <si>
    <t>2022-06-06</t>
  </si>
  <si>
    <t>2022-06-13</t>
  </si>
  <si>
    <t>2022-06-21</t>
  </si>
  <si>
    <t>2022-06-27</t>
  </si>
  <si>
    <t>2022-07-05</t>
  </si>
  <si>
    <t>2022-07-11</t>
  </si>
  <si>
    <t>2022-07-18</t>
  </si>
  <si>
    <t>2022-07-25</t>
  </si>
  <si>
    <t>2022-08-01</t>
  </si>
  <si>
    <t>2022-08-08</t>
  </si>
  <si>
    <t>2022-08-15</t>
  </si>
  <si>
    <t>2022-08-22</t>
  </si>
  <si>
    <t>2022-08-29</t>
  </si>
  <si>
    <t>2022-09-06</t>
  </si>
  <si>
    <t>2022-09-12</t>
  </si>
  <si>
    <t>2022-09-19</t>
  </si>
  <si>
    <t>2022-09-26</t>
  </si>
  <si>
    <t>2022-10-03</t>
  </si>
  <si>
    <t>2022-10-10</t>
  </si>
  <si>
    <t>2022-10-17</t>
  </si>
  <si>
    <t>2022-10-24</t>
  </si>
  <si>
    <t>2022-10-31</t>
  </si>
  <si>
    <t>2022-11-07</t>
  </si>
  <si>
    <t>2022-11-14</t>
  </si>
  <si>
    <t>2022-11-21</t>
  </si>
  <si>
    <t>2022-11-28</t>
  </si>
  <si>
    <t>2022-12-05</t>
  </si>
  <si>
    <t>2022-12-12</t>
  </si>
  <si>
    <t>2022-12-19</t>
  </si>
  <si>
    <t>2022-12-27</t>
  </si>
  <si>
    <t>2023-01-03</t>
  </si>
  <si>
    <t>2023-01-09</t>
  </si>
  <si>
    <t>2023-01-17</t>
  </si>
  <si>
    <t>2023-01-23</t>
  </si>
  <si>
    <t>2023-01-30</t>
  </si>
  <si>
    <t>2023-02-06</t>
  </si>
  <si>
    <t>2023-02-13</t>
  </si>
  <si>
    <t>2023-02-21</t>
  </si>
  <si>
    <t>2023-02-27</t>
  </si>
  <si>
    <t>2023-03-06</t>
  </si>
  <si>
    <t>2023-03-13</t>
  </si>
  <si>
    <t>2023-03-20</t>
  </si>
  <si>
    <t>2023-03-27</t>
  </si>
  <si>
    <t>2023-04-03</t>
  </si>
  <si>
    <t>2023-04-10</t>
  </si>
  <si>
    <t>2023-04-17</t>
  </si>
  <si>
    <t>2023-04-24</t>
  </si>
  <si>
    <t>2023-05-01</t>
  </si>
  <si>
    <t>2023-05-08</t>
  </si>
  <si>
    <t>2023-05-15</t>
  </si>
  <si>
    <t>2023-05-22</t>
  </si>
  <si>
    <t>2023-05-30</t>
  </si>
  <si>
    <t>2023-06-05</t>
  </si>
  <si>
    <t>2023-06-12</t>
  </si>
  <si>
    <t>2023-06-20</t>
  </si>
  <si>
    <t>2023-06-26</t>
  </si>
  <si>
    <t>2023-07-03</t>
  </si>
  <si>
    <t>2023-07-10</t>
  </si>
  <si>
    <t>2023-07-17</t>
  </si>
  <si>
    <t>2023-07-24</t>
  </si>
  <si>
    <t>2023-07-31</t>
  </si>
  <si>
    <t>2023-08-07</t>
  </si>
  <si>
    <t>2023-08-14</t>
  </si>
  <si>
    <t>2023-08-21</t>
  </si>
  <si>
    <t>2023-08-28</t>
  </si>
  <si>
    <t>2023-09-05</t>
  </si>
  <si>
    <t>2023-09-11</t>
  </si>
  <si>
    <t>2023-09-18</t>
  </si>
  <si>
    <t>2023-09-25</t>
  </si>
  <si>
    <t>2023-10-02</t>
  </si>
  <si>
    <t>2023-10-09</t>
  </si>
  <si>
    <t>2023-10-16</t>
  </si>
  <si>
    <t>2023-10-23</t>
  </si>
  <si>
    <t>2023-10-30</t>
  </si>
  <si>
    <t>2023-11-06</t>
  </si>
  <si>
    <t>2023-11-13</t>
  </si>
  <si>
    <t>2023-11-20</t>
  </si>
  <si>
    <t>2023-11-27</t>
  </si>
  <si>
    <t>2023-12-04</t>
  </si>
  <si>
    <t>2023-12-11</t>
  </si>
  <si>
    <t>2023-12-18</t>
  </si>
  <si>
    <t>2023-12-26</t>
  </si>
  <si>
    <t>2024-01-02</t>
  </si>
  <si>
    <t>2024-01-08</t>
  </si>
  <si>
    <t>2024-01-16</t>
  </si>
  <si>
    <t>2024-01-22</t>
  </si>
  <si>
    <t>2024-01-29</t>
  </si>
  <si>
    <t>2024-02-05</t>
  </si>
  <si>
    <t>2024-02-12</t>
  </si>
  <si>
    <t>2024-02-20</t>
  </si>
  <si>
    <t>2024-02-26</t>
  </si>
  <si>
    <t>2024-03-04</t>
  </si>
  <si>
    <t>2024-03-11</t>
  </si>
  <si>
    <t>2024-03-18</t>
  </si>
  <si>
    <t>2024-03-25</t>
  </si>
  <si>
    <t>2024-04-01</t>
  </si>
  <si>
    <t>2024-04-08</t>
  </si>
  <si>
    <t>2024-04-15</t>
  </si>
  <si>
    <t>2024-04-22</t>
  </si>
  <si>
    <t>2024-04-29</t>
  </si>
  <si>
    <t>2024-05-06</t>
  </si>
  <si>
    <t>2024-05-13</t>
  </si>
  <si>
    <t>2024-05-20</t>
  </si>
  <si>
    <t>2024-05-28</t>
  </si>
  <si>
    <t>2024-06-03</t>
  </si>
  <si>
    <t>2024-06-10</t>
  </si>
  <si>
    <t>2024-06-17</t>
  </si>
  <si>
    <t>2024-06-24</t>
  </si>
  <si>
    <t>2024-07-01</t>
  </si>
  <si>
    <t>2024-07-08</t>
  </si>
  <si>
    <t>2024-07-15</t>
  </si>
  <si>
    <t>2024-07-22</t>
  </si>
  <si>
    <t>2024-07-29</t>
  </si>
  <si>
    <t>2024-08-05</t>
  </si>
  <si>
    <t>2024-08-12</t>
  </si>
  <si>
    <t>2024-08-19</t>
  </si>
  <si>
    <t>2024-08-26</t>
  </si>
  <si>
    <t>2024-09-03</t>
  </si>
  <si>
    <t>2024-09-09</t>
  </si>
  <si>
    <t>2024-09-16</t>
  </si>
  <si>
    <t>2024-09-23</t>
  </si>
  <si>
    <t>2024-09-30</t>
  </si>
  <si>
    <t>2024-10-07</t>
  </si>
  <si>
    <t>2024-10-14</t>
  </si>
  <si>
    <t>2024-10-21</t>
  </si>
  <si>
    <t>2024-10-28</t>
  </si>
  <si>
    <t>2024-11-04</t>
  </si>
  <si>
    <t>2024-11-11</t>
  </si>
  <si>
    <t>2024-11-18</t>
  </si>
  <si>
    <t>2024-11-25</t>
  </si>
  <si>
    <t>2024-12-02</t>
  </si>
  <si>
    <t>2024-12-09</t>
  </si>
  <si>
    <t>2024-12-16</t>
  </si>
  <si>
    <t>2024-12-23</t>
  </si>
  <si>
    <t>2024-12-30</t>
  </si>
  <si>
    <t>2025-01-06</t>
  </si>
  <si>
    <t>2025-01-13</t>
  </si>
  <si>
    <t>2025-01-21</t>
  </si>
  <si>
    <t>2025-01-27</t>
  </si>
  <si>
    <t>2025-02-03</t>
  </si>
  <si>
    <t>2025-02-10</t>
  </si>
  <si>
    <t>2025-02-18</t>
  </si>
  <si>
    <t>2025-02-24</t>
  </si>
  <si>
    <t>2025-03-03</t>
  </si>
  <si>
    <t>2025-03-10</t>
  </si>
  <si>
    <t>2025-03-17</t>
  </si>
  <si>
    <t>2025-03-24</t>
  </si>
  <si>
    <t>2025-03-31</t>
  </si>
  <si>
    <t>2025-04-07</t>
  </si>
  <si>
    <t>2025-04-14</t>
  </si>
  <si>
    <t>2025-04-21</t>
  </si>
  <si>
    <t>2025-04-28</t>
  </si>
  <si>
    <t>2025-05-05</t>
  </si>
  <si>
    <t>2025-05-12</t>
  </si>
  <si>
    <t>2025-05-19</t>
  </si>
  <si>
    <t>2025-05-27</t>
  </si>
  <si>
    <t>2025-06-02</t>
  </si>
  <si>
    <t>2025-06-09</t>
  </si>
  <si>
    <t>2025-06-16</t>
  </si>
  <si>
    <t>2025-06-23</t>
  </si>
  <si>
    <t>2025-06-30</t>
  </si>
  <si>
    <t>2025-07-07</t>
  </si>
  <si>
    <t>2025-07-14</t>
  </si>
  <si>
    <t>2025-07-21</t>
  </si>
  <si>
    <t>2025-07-28</t>
  </si>
  <si>
    <t>2025-08-04</t>
  </si>
  <si>
    <t>2025-08-11</t>
  </si>
  <si>
    <t>2025-08-18</t>
  </si>
  <si>
    <t>2025-08-25</t>
  </si>
  <si>
    <t>2025-09-02</t>
  </si>
  <si>
    <t>2025-09-08</t>
  </si>
  <si>
    <t>2025-09-15</t>
  </si>
  <si>
    <t>2025-09-22</t>
  </si>
  <si>
    <t>2025-09-29</t>
  </si>
  <si>
    <t>2025-10-06</t>
  </si>
  <si>
    <t>2025-10-13</t>
  </si>
  <si>
    <t>2025-10-20</t>
  </si>
  <si>
    <t>2025-10-27</t>
  </si>
  <si>
    <t>2025-11-03</t>
  </si>
  <si>
    <t>2025-11-10</t>
  </si>
  <si>
    <t>2025-11-17</t>
  </si>
  <si>
    <t>2025-11-24</t>
  </si>
  <si>
    <t>2025-12-01</t>
  </si>
  <si>
    <t>2025-12-08</t>
  </si>
  <si>
    <t>2025-12-15</t>
  </si>
  <si>
    <t>2025-12-22</t>
  </si>
  <si>
    <t>2025-12-29</t>
  </si>
  <si>
    <t>2026-01-05</t>
  </si>
  <si>
    <t>2026-01-12</t>
  </si>
  <si>
    <t>2026-01-20</t>
  </si>
  <si>
    <t>2026-01-26</t>
  </si>
  <si>
    <t>2026-02-02</t>
  </si>
  <si>
    <t>2026-02-09</t>
  </si>
  <si>
    <t>2026-02-17</t>
  </si>
  <si>
    <t>2026-02-23</t>
  </si>
  <si>
    <t>2026-03-02</t>
  </si>
  <si>
    <t>2026-03-09</t>
  </si>
  <si>
    <t>2026-03-16</t>
  </si>
  <si>
    <t>2026-03-23</t>
  </si>
  <si>
    <t>2026-03-30</t>
  </si>
  <si>
    <t>2026-04-06</t>
  </si>
  <si>
    <t>2026-04-13</t>
  </si>
  <si>
    <t>2026-04-20</t>
  </si>
  <si>
    <t>2026-04-27</t>
  </si>
  <si>
    <t>Backlog</t>
  </si>
  <si>
    <t>fy23</t>
  </si>
  <si>
    <t>fy24</t>
  </si>
  <si>
    <t>fy25</t>
  </si>
  <si>
    <t>fy26</t>
  </si>
  <si>
    <t>Moving into profitability 2026</t>
  </si>
  <si>
    <t>Moving into positive free cash flow 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</si>
</sst>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407]mmm/\ 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10"/>
      <color rgb="FF232A31"/>
      <name val="Arial"/>
      <family val="2"/>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0" fillId="8" borderId="9" applyNumberFormat="0" applyAlignment="0" applyProtection="0"/>
  </cellStyleXfs>
  <cellXfs count="145">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2" fontId="2" fillId="0" borderId="2" xfId="0" applyNumberFormat="1" applyFont="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2" fontId="5" fillId="0" borderId="0" xfId="0" applyNumberFormat="1" applyFont="1"/>
    <xf numFmtId="0" fontId="0" fillId="7" borderId="0" xfId="0" applyFill="1"/>
    <xf numFmtId="2" fontId="0" fillId="0" borderId="2" xfId="0" applyNumberFormat="1" applyBorder="1"/>
    <xf numFmtId="10" fontId="2" fillId="0" borderId="0" xfId="1" applyNumberFormat="1" applyFont="1"/>
    <xf numFmtId="0" fontId="7" fillId="0" borderId="0" xfId="0" applyFont="1" applyAlignment="1">
      <alignment horizontal="left" vertical="center" wrapText="1"/>
    </xf>
    <xf numFmtId="0" fontId="7" fillId="0" borderId="0" xfId="0" applyFont="1" applyAlignment="1">
      <alignment horizontal="left" vertical="center" indent="1"/>
    </xf>
    <xf numFmtId="0" fontId="7" fillId="0" borderId="0" xfId="0" applyFont="1" applyAlignment="1">
      <alignment horizontal="right" vertical="center" indent="1"/>
    </xf>
    <xf numFmtId="0" fontId="7" fillId="0" borderId="0" xfId="0" applyFont="1" applyAlignment="1">
      <alignment horizontal="right" vertical="center" wrapText="1"/>
    </xf>
    <xf numFmtId="0" fontId="0" fillId="3" borderId="7" xfId="0" applyFill="1" applyBorder="1" applyAlignment="1">
      <alignment horizontal="right"/>
    </xf>
    <xf numFmtId="0" fontId="12" fillId="10" borderId="13" xfId="0" applyFont="1" applyFill="1" applyBorder="1"/>
    <xf numFmtId="0" fontId="12" fillId="10" borderId="14" xfId="0" applyFont="1" applyFill="1" applyBorder="1"/>
    <xf numFmtId="0" fontId="12" fillId="10" borderId="15" xfId="0" applyFont="1" applyFill="1" applyBorder="1"/>
    <xf numFmtId="0" fontId="12" fillId="10" borderId="16" xfId="0" applyFont="1" applyFill="1" applyBorder="1"/>
    <xf numFmtId="0" fontId="13" fillId="10" borderId="17" xfId="0" applyFont="1" applyFill="1" applyBorder="1" applyAlignment="1">
      <alignment horizontal="center"/>
    </xf>
    <xf numFmtId="0" fontId="13" fillId="10" borderId="18" xfId="0" applyFont="1" applyFill="1" applyBorder="1" applyAlignment="1">
      <alignment horizontal="center"/>
    </xf>
    <xf numFmtId="0" fontId="12" fillId="10" borderId="19" xfId="0" applyFont="1" applyFill="1" applyBorder="1"/>
    <xf numFmtId="0" fontId="12" fillId="10" borderId="20" xfId="0" applyFont="1" applyFill="1" applyBorder="1"/>
    <xf numFmtId="166" fontId="12" fillId="10" borderId="21" xfId="0" applyNumberFormat="1" applyFont="1" applyFill="1" applyBorder="1"/>
    <xf numFmtId="166" fontId="12" fillId="10" borderId="22" xfId="0" applyNumberFormat="1" applyFont="1" applyFill="1" applyBorder="1"/>
    <xf numFmtId="0" fontId="12" fillId="10" borderId="22" xfId="0" applyFont="1" applyFill="1" applyBorder="1"/>
    <xf numFmtId="10" fontId="12" fillId="10" borderId="22" xfId="0" applyNumberFormat="1" applyFont="1" applyFill="1" applyBorder="1"/>
    <xf numFmtId="10" fontId="12" fillId="10" borderId="23" xfId="0" applyNumberFormat="1" applyFont="1" applyFill="1" applyBorder="1"/>
    <xf numFmtId="166" fontId="12" fillId="10" borderId="24" xfId="0" applyNumberFormat="1" applyFont="1" applyFill="1" applyBorder="1"/>
    <xf numFmtId="166" fontId="12" fillId="10" borderId="25" xfId="0" applyNumberFormat="1" applyFont="1" applyFill="1" applyBorder="1"/>
    <xf numFmtId="0" fontId="12" fillId="10" borderId="25" xfId="0" applyFont="1" applyFill="1" applyBorder="1"/>
    <xf numFmtId="0" fontId="12" fillId="10" borderId="25" xfId="0" quotePrefix="1" applyFont="1" applyFill="1" applyBorder="1"/>
    <xf numFmtId="10" fontId="12" fillId="10" borderId="25" xfId="0" applyNumberFormat="1" applyFont="1" applyFill="1" applyBorder="1"/>
    <xf numFmtId="10" fontId="12" fillId="10" borderId="26" xfId="0" applyNumberFormat="1" applyFont="1" applyFill="1" applyBorder="1"/>
    <xf numFmtId="0" fontId="12" fillId="10" borderId="27" xfId="0" applyFont="1" applyFill="1" applyBorder="1"/>
    <xf numFmtId="0" fontId="12" fillId="10" borderId="28" xfId="0" applyFont="1" applyFill="1" applyBorder="1"/>
    <xf numFmtId="10" fontId="12" fillId="10" borderId="29" xfId="0" applyNumberFormat="1" applyFont="1" applyFill="1" applyBorder="1"/>
    <xf numFmtId="166" fontId="12" fillId="10" borderId="30" xfId="0" applyNumberFormat="1" applyFont="1" applyFill="1" applyBorder="1"/>
    <xf numFmtId="0" fontId="12" fillId="10" borderId="31" xfId="0" applyFont="1" applyFill="1" applyBorder="1"/>
    <xf numFmtId="166" fontId="12" fillId="10" borderId="34" xfId="0" applyNumberFormat="1" applyFont="1" applyFill="1" applyBorder="1"/>
    <xf numFmtId="166" fontId="12" fillId="10" borderId="13" xfId="0" applyNumberFormat="1" applyFont="1" applyFill="1" applyBorder="1"/>
    <xf numFmtId="0" fontId="0" fillId="10" borderId="35" xfId="0" applyFill="1" applyBorder="1"/>
    <xf numFmtId="166" fontId="12" fillId="10" borderId="36" xfId="0" applyNumberFormat="1" applyFont="1" applyFill="1" applyBorder="1"/>
    <xf numFmtId="166" fontId="12" fillId="10" borderId="37" xfId="0" applyNumberFormat="1" applyFont="1" applyFill="1" applyBorder="1"/>
    <xf numFmtId="0" fontId="14" fillId="10" borderId="22" xfId="0" applyFont="1" applyFill="1" applyBorder="1"/>
    <xf numFmtId="0" fontId="14" fillId="10" borderId="23" xfId="0" applyFont="1" applyFill="1" applyBorder="1"/>
    <xf numFmtId="166" fontId="14" fillId="10" borderId="24" xfId="0" applyNumberFormat="1" applyFont="1" applyFill="1" applyBorder="1"/>
    <xf numFmtId="166" fontId="14" fillId="10" borderId="30" xfId="0" applyNumberFormat="1" applyFont="1" applyFill="1" applyBorder="1"/>
    <xf numFmtId="10" fontId="12" fillId="10" borderId="28" xfId="0" applyNumberFormat="1" applyFont="1" applyFill="1" applyBorder="1"/>
    <xf numFmtId="0" fontId="12" fillId="10" borderId="0" xfId="0" applyFont="1" applyFill="1"/>
    <xf numFmtId="1" fontId="12" fillId="10" borderId="24" xfId="0" applyNumberFormat="1" applyFont="1" applyFill="1" applyBorder="1"/>
    <xf numFmtId="10" fontId="12" fillId="10" borderId="38" xfId="0" applyNumberFormat="1" applyFont="1" applyFill="1" applyBorder="1"/>
    <xf numFmtId="9" fontId="14" fillId="10" borderId="39" xfId="0" applyNumberFormat="1" applyFont="1" applyFill="1" applyBorder="1"/>
    <xf numFmtId="10" fontId="0" fillId="10" borderId="41" xfId="0" applyNumberFormat="1" applyFill="1" applyBorder="1" applyAlignment="1">
      <alignment horizontal="centerContinuous"/>
    </xf>
    <xf numFmtId="9" fontId="14" fillId="10" borderId="42" xfId="0" applyNumberFormat="1" applyFont="1" applyFill="1" applyBorder="1"/>
    <xf numFmtId="10" fontId="0" fillId="10" borderId="40" xfId="0" applyNumberFormat="1" applyFill="1" applyBorder="1" applyAlignment="1">
      <alignment horizontal="centerContinuous"/>
    </xf>
    <xf numFmtId="9" fontId="14" fillId="10" borderId="34" xfId="0" applyNumberFormat="1" applyFont="1" applyFill="1" applyBorder="1"/>
    <xf numFmtId="10" fontId="0" fillId="10" borderId="2" xfId="0" applyNumberFormat="1" applyFill="1" applyBorder="1" applyAlignment="1">
      <alignment horizontal="centerContinuous"/>
    </xf>
    <xf numFmtId="9" fontId="14" fillId="10" borderId="1" xfId="0" applyNumberFormat="1" applyFont="1" applyFill="1" applyBorder="1"/>
    <xf numFmtId="10" fontId="0" fillId="10" borderId="31" xfId="0" applyNumberFormat="1" applyFill="1" applyBorder="1" applyAlignment="1">
      <alignment horizontal="centerContinuous"/>
    </xf>
    <xf numFmtId="9" fontId="14" fillId="10" borderId="13" xfId="0" applyNumberFormat="1" applyFont="1" applyFill="1" applyBorder="1"/>
    <xf numFmtId="10" fontId="0" fillId="10" borderId="35" xfId="0" applyNumberFormat="1" applyFill="1" applyBorder="1" applyAlignment="1">
      <alignment horizontal="centerContinuous"/>
    </xf>
    <xf numFmtId="0" fontId="12" fillId="10" borderId="43" xfId="0" applyFont="1" applyFill="1" applyBorder="1"/>
    <xf numFmtId="9" fontId="14" fillId="10" borderId="43" xfId="0" applyNumberFormat="1" applyFont="1" applyFill="1" applyBorder="1"/>
    <xf numFmtId="10" fontId="0" fillId="10" borderId="15" xfId="0" applyNumberFormat="1" applyFill="1" applyBorder="1" applyAlignment="1">
      <alignment horizontal="centerContinuous"/>
    </xf>
    <xf numFmtId="0" fontId="14" fillId="0" borderId="21" xfId="0" applyFont="1" applyBorder="1"/>
    <xf numFmtId="9" fontId="10" fillId="8" borderId="23" xfId="3" applyNumberFormat="1" applyBorder="1"/>
    <xf numFmtId="0" fontId="14" fillId="0" borderId="27" xfId="0" applyFont="1" applyBorder="1"/>
    <xf numFmtId="9" fontId="10" fillId="8" borderId="29" xfId="3" applyNumberFormat="1" applyBorder="1"/>
    <xf numFmtId="0" fontId="12" fillId="0" borderId="0" xfId="0" applyFont="1"/>
    <xf numFmtId="2" fontId="10" fillId="8" borderId="23" xfId="3" applyNumberFormat="1" applyBorder="1"/>
    <xf numFmtId="0" fontId="14"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2" fillId="10" borderId="31" xfId="0" applyNumberFormat="1" applyFont="1" applyFill="1" applyBorder="1"/>
    <xf numFmtId="2" fontId="12" fillId="10" borderId="31" xfId="0" applyNumberFormat="1" applyFont="1" applyFill="1" applyBorder="1"/>
    <xf numFmtId="3" fontId="5" fillId="0" borderId="2" xfId="0" applyNumberFormat="1" applyFont="1" applyBorder="1"/>
    <xf numFmtId="2" fontId="5" fillId="0" borderId="2" xfId="0" applyNumberFormat="1" applyFont="1" applyBorder="1"/>
    <xf numFmtId="167" fontId="0" fillId="0" borderId="0" xfId="0" applyNumberFormat="1"/>
    <xf numFmtId="2" fontId="2" fillId="3" borderId="0" xfId="0" applyNumberFormat="1" applyFont="1" applyFill="1"/>
    <xf numFmtId="10" fontId="2" fillId="0" borderId="0" xfId="1" applyNumberFormat="1" applyFont="1" applyBorder="1"/>
    <xf numFmtId="0" fontId="0" fillId="6" borderId="0" xfId="0" applyFill="1"/>
    <xf numFmtId="2" fontId="6" fillId="0" borderId="0" xfId="0" applyNumberFormat="1" applyFont="1"/>
    <xf numFmtId="3" fontId="0" fillId="7" borderId="0" xfId="0" applyNumberFormat="1" applyFill="1"/>
    <xf numFmtId="0" fontId="2" fillId="6" borderId="0" xfId="0" applyFont="1" applyFill="1"/>
    <xf numFmtId="0" fontId="6" fillId="0" borderId="2" xfId="0" applyFont="1" applyBorder="1"/>
    <xf numFmtId="10" fontId="0" fillId="0" borderId="0" xfId="1" applyNumberFormat="1" applyFont="1" applyAlignment="1">
      <alignment horizontal="right"/>
    </xf>
    <xf numFmtId="10" fontId="0" fillId="0" borderId="8" xfId="1" applyNumberFormat="1" applyFont="1" applyBorder="1" applyAlignment="1">
      <alignment horizontal="right"/>
    </xf>
    <xf numFmtId="0" fontId="0" fillId="7" borderId="3" xfId="0" applyFill="1" applyBorder="1" applyAlignment="1">
      <alignment horizontal="center" vertical="center" wrapText="1"/>
    </xf>
    <xf numFmtId="0" fontId="0" fillId="7" borderId="7" xfId="0" applyFill="1"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xf>
    <xf numFmtId="0" fontId="0" fillId="7" borderId="0" xfId="0" applyFill="1" applyAlignment="1">
      <alignment horizontal="center" vertical="center"/>
    </xf>
    <xf numFmtId="0" fontId="0" fillId="7" borderId="2" xfId="0" applyFill="1" applyBorder="1" applyAlignment="1">
      <alignment horizontal="center" vertical="center"/>
    </xf>
    <xf numFmtId="0" fontId="0" fillId="7" borderId="5" xfId="0" applyFill="1" applyBorder="1" applyAlignment="1">
      <alignment horizontal="center" vertical="center"/>
    </xf>
    <xf numFmtId="0" fontId="0" fillId="7" borderId="8" xfId="0" applyFill="1" applyBorder="1" applyAlignment="1">
      <alignment horizontal="center" vertical="center"/>
    </xf>
    <xf numFmtId="0" fontId="0" fillId="7" borderId="6" xfId="0" applyFill="1" applyBorder="1" applyAlignment="1">
      <alignment horizontal="center" vertical="center"/>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2" xfId="0" applyFont="1" applyFill="1" applyBorder="1" applyAlignment="1">
      <alignment horizontal="center"/>
    </xf>
    <xf numFmtId="166" fontId="12" fillId="10" borderId="32" xfId="0" applyNumberFormat="1" applyFont="1" applyFill="1" applyBorder="1" applyAlignment="1">
      <alignment horizontal="center"/>
    </xf>
    <xf numFmtId="166" fontId="12" fillId="10" borderId="44" xfId="0" applyNumberFormat="1" applyFont="1" applyFill="1" applyBorder="1" applyAlignment="1">
      <alignment horizontal="center"/>
    </xf>
    <xf numFmtId="166" fontId="12" fillId="10" borderId="33" xfId="0" applyNumberFormat="1" applyFont="1" applyFill="1" applyBorder="1" applyAlignment="1">
      <alignment horizontal="center"/>
    </xf>
    <xf numFmtId="166" fontId="12" fillId="10"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3" fontId="5" fillId="0" borderId="0" xfId="0" applyNumberFormat="1" applyFont="1" applyFill="1" applyBorder="1"/>
    <xf numFmtId="10" fontId="0" fillId="0" borderId="0" xfId="1" applyNumberFormat="1" applyFont="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0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de-DE">
                <a:solidFill>
                  <a:schemeClr val="tx1"/>
                </a:solidFill>
              </a:rPr>
              <a:t>Analystenratings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Analysts!$A$2</c:f>
              <c:strCache>
                <c:ptCount val="1"/>
                <c:pt idx="0">
                  <c:v>Sell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Analysts!$B$1:$X$1</c:f>
              <c:numCache>
                <c:formatCode>[$-407]mmm/\ yy;@</c:formatCode>
                <c:ptCount val="23"/>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pt idx="20">
                  <c:v>46023</c:v>
                </c:pt>
                <c:pt idx="21">
                  <c:v>46054</c:v>
                </c:pt>
                <c:pt idx="22">
                  <c:v>46082</c:v>
                </c:pt>
              </c:numCache>
            </c:numRef>
          </c:cat>
          <c:val>
            <c:numRef>
              <c:f>Analysts!$B$2:$X$2</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2</c:v>
                </c:pt>
                <c:pt idx="21">
                  <c:v>2</c:v>
                </c:pt>
                <c:pt idx="22">
                  <c:v>1</c:v>
                </c:pt>
              </c:numCache>
            </c:numRef>
          </c:val>
          <c:extLst>
            <c:ext xmlns:c16="http://schemas.microsoft.com/office/drawing/2014/chart" uri="{C3380CC4-5D6E-409C-BE32-E72D297353CC}">
              <c16:uniqueId val="{00000000-579C-4350-B83D-5F2E75DDA864}"/>
            </c:ext>
          </c:extLst>
        </c:ser>
        <c:ser>
          <c:idx val="2"/>
          <c:order val="1"/>
          <c:tx>
            <c:strRef>
              <c:f>Analysts!$A$3</c:f>
              <c:strCache>
                <c:ptCount val="1"/>
                <c:pt idx="0">
                  <c:v>Hold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Analysts!$B$1:$X$1</c:f>
              <c:numCache>
                <c:formatCode>[$-407]mmm/\ yy;@</c:formatCode>
                <c:ptCount val="23"/>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pt idx="20">
                  <c:v>46023</c:v>
                </c:pt>
                <c:pt idx="21">
                  <c:v>46054</c:v>
                </c:pt>
                <c:pt idx="22">
                  <c:v>46082</c:v>
                </c:pt>
              </c:numCache>
            </c:numRef>
          </c:cat>
          <c:val>
            <c:numRef>
              <c:f>Analysts!$B$3:$X$3</c:f>
              <c:numCache>
                <c:formatCode>General</c:formatCode>
                <c:ptCount val="23"/>
                <c:pt idx="0">
                  <c:v>1</c:v>
                </c:pt>
                <c:pt idx="1">
                  <c:v>1</c:v>
                </c:pt>
                <c:pt idx="2">
                  <c:v>1</c:v>
                </c:pt>
                <c:pt idx="3">
                  <c:v>1</c:v>
                </c:pt>
                <c:pt idx="4">
                  <c:v>1</c:v>
                </c:pt>
                <c:pt idx="5">
                  <c:v>1</c:v>
                </c:pt>
                <c:pt idx="6">
                  <c:v>1</c:v>
                </c:pt>
                <c:pt idx="7">
                  <c:v>1</c:v>
                </c:pt>
                <c:pt idx="8">
                  <c:v>1</c:v>
                </c:pt>
                <c:pt idx="9">
                  <c:v>0</c:v>
                </c:pt>
                <c:pt idx="10">
                  <c:v>1</c:v>
                </c:pt>
                <c:pt idx="11">
                  <c:v>1</c:v>
                </c:pt>
                <c:pt idx="12">
                  <c:v>1</c:v>
                </c:pt>
                <c:pt idx="13">
                  <c:v>1</c:v>
                </c:pt>
                <c:pt idx="14">
                  <c:v>1</c:v>
                </c:pt>
                <c:pt idx="15">
                  <c:v>1</c:v>
                </c:pt>
                <c:pt idx="16">
                  <c:v>1</c:v>
                </c:pt>
                <c:pt idx="17">
                  <c:v>1</c:v>
                </c:pt>
                <c:pt idx="18">
                  <c:v>2</c:v>
                </c:pt>
                <c:pt idx="19">
                  <c:v>2</c:v>
                </c:pt>
                <c:pt idx="20">
                  <c:v>3</c:v>
                </c:pt>
                <c:pt idx="21">
                  <c:v>3</c:v>
                </c:pt>
                <c:pt idx="22">
                  <c:v>4</c:v>
                </c:pt>
              </c:numCache>
            </c:numRef>
          </c:val>
          <c:extLst>
            <c:ext xmlns:c16="http://schemas.microsoft.com/office/drawing/2014/chart" uri="{C3380CC4-5D6E-409C-BE32-E72D297353CC}">
              <c16:uniqueId val="{00000002-579C-4350-B83D-5F2E75DDA864}"/>
            </c:ext>
          </c:extLst>
        </c:ser>
        <c:ser>
          <c:idx val="3"/>
          <c:order val="2"/>
          <c:tx>
            <c:strRef>
              <c:f>Analysts!$A$4</c:f>
              <c:strCache>
                <c:ptCount val="1"/>
                <c:pt idx="0">
                  <c:v>Buy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Analysts!$B$1:$X$1</c:f>
              <c:numCache>
                <c:formatCode>[$-407]mmm/\ yy;@</c:formatCode>
                <c:ptCount val="23"/>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pt idx="20">
                  <c:v>46023</c:v>
                </c:pt>
                <c:pt idx="21">
                  <c:v>46054</c:v>
                </c:pt>
                <c:pt idx="22">
                  <c:v>46082</c:v>
                </c:pt>
              </c:numCache>
            </c:numRef>
          </c:cat>
          <c:val>
            <c:numRef>
              <c:f>Analysts!$B$4:$X$4</c:f>
              <c:numCache>
                <c:formatCode>General</c:formatCode>
                <c:ptCount val="23"/>
                <c:pt idx="0">
                  <c:v>6</c:v>
                </c:pt>
                <c:pt idx="1">
                  <c:v>6</c:v>
                </c:pt>
                <c:pt idx="2">
                  <c:v>6</c:v>
                </c:pt>
                <c:pt idx="3">
                  <c:v>6</c:v>
                </c:pt>
                <c:pt idx="4">
                  <c:v>7</c:v>
                </c:pt>
                <c:pt idx="5">
                  <c:v>6</c:v>
                </c:pt>
                <c:pt idx="6">
                  <c:v>6</c:v>
                </c:pt>
                <c:pt idx="7">
                  <c:v>6</c:v>
                </c:pt>
                <c:pt idx="8">
                  <c:v>7</c:v>
                </c:pt>
                <c:pt idx="9">
                  <c:v>10</c:v>
                </c:pt>
                <c:pt idx="10">
                  <c:v>10</c:v>
                </c:pt>
                <c:pt idx="11">
                  <c:v>10</c:v>
                </c:pt>
                <c:pt idx="12">
                  <c:v>9</c:v>
                </c:pt>
                <c:pt idx="13">
                  <c:v>9</c:v>
                </c:pt>
                <c:pt idx="14">
                  <c:v>9</c:v>
                </c:pt>
                <c:pt idx="15">
                  <c:v>9</c:v>
                </c:pt>
                <c:pt idx="16">
                  <c:v>9</c:v>
                </c:pt>
                <c:pt idx="17">
                  <c:v>9</c:v>
                </c:pt>
                <c:pt idx="18">
                  <c:v>8</c:v>
                </c:pt>
                <c:pt idx="19">
                  <c:v>8</c:v>
                </c:pt>
                <c:pt idx="20">
                  <c:v>7</c:v>
                </c:pt>
                <c:pt idx="21">
                  <c:v>7</c:v>
                </c:pt>
                <c:pt idx="22">
                  <c:v>6</c:v>
                </c:pt>
              </c:numCache>
            </c:numRef>
          </c:val>
          <c:extLst>
            <c:ext xmlns:c16="http://schemas.microsoft.com/office/drawing/2014/chart" uri="{C3380CC4-5D6E-409C-BE32-E72D297353CC}">
              <c16:uniqueId val="{00000003-579C-4350-B83D-5F2E75DDA864}"/>
            </c:ext>
          </c:extLst>
        </c:ser>
        <c:ser>
          <c:idx val="4"/>
          <c:order val="3"/>
          <c:tx>
            <c:strRef>
              <c:f>Analysts!$A$5</c:f>
              <c:strCache>
                <c:ptCount val="1"/>
                <c:pt idx="0">
                  <c:v>Strong buy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Analysts!$B$1:$X$1</c:f>
              <c:numCache>
                <c:formatCode>[$-407]mmm/\ yy;@</c:formatCode>
                <c:ptCount val="23"/>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pt idx="20">
                  <c:v>46023</c:v>
                </c:pt>
                <c:pt idx="21">
                  <c:v>46054</c:v>
                </c:pt>
                <c:pt idx="22">
                  <c:v>46082</c:v>
                </c:pt>
              </c:numCache>
            </c:numRef>
          </c:cat>
          <c:val>
            <c:numRef>
              <c:f>Analysts!$B$5:$X$5</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4-579C-4350-B83D-5F2E75DDA864}"/>
            </c:ext>
          </c:extLst>
        </c:ser>
        <c:dLbls>
          <c:dLblPos val="ctr"/>
          <c:showLegendKey val="0"/>
          <c:showVal val="1"/>
          <c:showCatName val="0"/>
          <c:showSerName val="0"/>
          <c:showPercent val="0"/>
          <c:showBubbleSize val="0"/>
        </c:dLbls>
        <c:gapWidth val="150"/>
        <c:overlap val="100"/>
        <c:axId val="562824575"/>
        <c:axId val="562812095"/>
      </c:barChart>
      <c:dateAx>
        <c:axId val="562824575"/>
        <c:scaling>
          <c:orientation val="minMax"/>
        </c:scaling>
        <c:delete val="0"/>
        <c:axPos val="b"/>
        <c:numFmt formatCode="[$-407]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de-DE"/>
          </a:p>
        </c:txPr>
        <c:crossAx val="562812095"/>
        <c:crosses val="autoZero"/>
        <c:auto val="1"/>
        <c:lblOffset val="100"/>
        <c:baseTimeUnit val="months"/>
      </c:dateAx>
      <c:valAx>
        <c:axId val="5628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56282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de-DE" b="1">
                <a:solidFill>
                  <a:schemeClr val="bg1"/>
                </a:solidFill>
              </a:rPr>
              <a:t>Price Targets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de-DE"/>
        </a:p>
      </c:txPr>
    </c:title>
    <c:autoTitleDeleted val="0"/>
    <c:plotArea>
      <c:layout/>
      <c:lineChart>
        <c:grouping val="standard"/>
        <c:varyColors val="0"/>
        <c:ser>
          <c:idx val="0"/>
          <c:order val="0"/>
          <c:tx>
            <c:strRef>
              <c:f>Analysts!$A$9</c:f>
              <c:strCache>
                <c:ptCount val="1"/>
                <c:pt idx="0">
                  <c:v>Share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Analysts!$B$1:$X$1</c:f>
              <c:numCache>
                <c:formatCode>[$-407]mmm/\ yy;@</c:formatCode>
                <c:ptCount val="23"/>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pt idx="20">
                  <c:v>46023</c:v>
                </c:pt>
                <c:pt idx="21">
                  <c:v>46054</c:v>
                </c:pt>
                <c:pt idx="22">
                  <c:v>46082</c:v>
                </c:pt>
              </c:numCache>
            </c:numRef>
          </c:cat>
          <c:val>
            <c:numRef>
              <c:f>Analysts!$B$9:$X$9</c:f>
              <c:numCache>
                <c:formatCode>General</c:formatCode>
                <c:ptCount val="23"/>
                <c:pt idx="0">
                  <c:v>1.85</c:v>
                </c:pt>
                <c:pt idx="1">
                  <c:v>1.91</c:v>
                </c:pt>
                <c:pt idx="2">
                  <c:v>1.9</c:v>
                </c:pt>
                <c:pt idx="3">
                  <c:v>2.2400000000000002</c:v>
                </c:pt>
                <c:pt idx="4">
                  <c:v>2.41</c:v>
                </c:pt>
                <c:pt idx="5">
                  <c:v>2.19</c:v>
                </c:pt>
                <c:pt idx="6">
                  <c:v>2.44</c:v>
                </c:pt>
                <c:pt idx="7">
                  <c:v>3.8</c:v>
                </c:pt>
                <c:pt idx="8">
                  <c:v>4.04</c:v>
                </c:pt>
                <c:pt idx="9">
                  <c:v>5.54</c:v>
                </c:pt>
                <c:pt idx="10">
                  <c:v>4.68</c:v>
                </c:pt>
                <c:pt idx="11">
                  <c:v>3.53</c:v>
                </c:pt>
                <c:pt idx="12">
                  <c:v>3.44</c:v>
                </c:pt>
                <c:pt idx="13">
                  <c:v>4.5199999999999996</c:v>
                </c:pt>
                <c:pt idx="14">
                  <c:v>6.02</c:v>
                </c:pt>
                <c:pt idx="15">
                  <c:v>6.54</c:v>
                </c:pt>
                <c:pt idx="16">
                  <c:v>7.59</c:v>
                </c:pt>
                <c:pt idx="17">
                  <c:v>13.31</c:v>
                </c:pt>
                <c:pt idx="18">
                  <c:v>12.84</c:v>
                </c:pt>
                <c:pt idx="19">
                  <c:v>13.13</c:v>
                </c:pt>
                <c:pt idx="20">
                  <c:v>21.38</c:v>
                </c:pt>
                <c:pt idx="21">
                  <c:v>24.7</c:v>
                </c:pt>
                <c:pt idx="22">
                  <c:v>24.5</c:v>
                </c:pt>
              </c:numCache>
            </c:numRef>
          </c:val>
          <c:smooth val="0"/>
          <c:extLst>
            <c:ext xmlns:c16="http://schemas.microsoft.com/office/drawing/2014/chart" uri="{C3380CC4-5D6E-409C-BE32-E72D297353CC}">
              <c16:uniqueId val="{00000000-056B-4CCB-ADAE-0606DD7B1945}"/>
            </c:ext>
          </c:extLst>
        </c:ser>
        <c:ser>
          <c:idx val="1"/>
          <c:order val="1"/>
          <c:tx>
            <c:strRef>
              <c:f>Analysts!$A$10</c:f>
              <c:strCache>
                <c:ptCount val="1"/>
                <c:pt idx="0">
                  <c:v>Consensus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Analysts!$B$1:$X$1</c:f>
              <c:numCache>
                <c:formatCode>[$-407]mmm/\ yy;@</c:formatCode>
                <c:ptCount val="23"/>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pt idx="20">
                  <c:v>46023</c:v>
                </c:pt>
                <c:pt idx="21">
                  <c:v>46054</c:v>
                </c:pt>
                <c:pt idx="22">
                  <c:v>46082</c:v>
                </c:pt>
              </c:numCache>
            </c:numRef>
          </c:cat>
          <c:val>
            <c:numRef>
              <c:f>Analysts!$B$10:$X$10</c:f>
              <c:numCache>
                <c:formatCode>General</c:formatCode>
                <c:ptCount val="23"/>
                <c:pt idx="0">
                  <c:v>4.68</c:v>
                </c:pt>
                <c:pt idx="1">
                  <c:v>4.68</c:v>
                </c:pt>
                <c:pt idx="2">
                  <c:v>4.3</c:v>
                </c:pt>
                <c:pt idx="3">
                  <c:v>4.3</c:v>
                </c:pt>
                <c:pt idx="4">
                  <c:v>4.3899999999999997</c:v>
                </c:pt>
                <c:pt idx="5">
                  <c:v>3.93</c:v>
                </c:pt>
                <c:pt idx="6">
                  <c:v>3.93</c:v>
                </c:pt>
                <c:pt idx="7">
                  <c:v>3.93</c:v>
                </c:pt>
                <c:pt idx="8">
                  <c:v>4.33</c:v>
                </c:pt>
                <c:pt idx="9">
                  <c:v>5.64</c:v>
                </c:pt>
                <c:pt idx="10">
                  <c:v>6.27</c:v>
                </c:pt>
                <c:pt idx="11">
                  <c:v>6.27</c:v>
                </c:pt>
                <c:pt idx="12">
                  <c:v>5.98</c:v>
                </c:pt>
                <c:pt idx="13">
                  <c:v>5.98</c:v>
                </c:pt>
                <c:pt idx="14">
                  <c:v>6.71</c:v>
                </c:pt>
                <c:pt idx="15">
                  <c:v>6.86</c:v>
                </c:pt>
                <c:pt idx="16">
                  <c:v>6.86</c:v>
                </c:pt>
                <c:pt idx="17">
                  <c:v>7.56</c:v>
                </c:pt>
                <c:pt idx="18">
                  <c:v>11.26</c:v>
                </c:pt>
                <c:pt idx="19">
                  <c:v>11.26</c:v>
                </c:pt>
                <c:pt idx="20">
                  <c:v>14.74</c:v>
                </c:pt>
                <c:pt idx="21">
                  <c:v>20.64</c:v>
                </c:pt>
                <c:pt idx="22">
                  <c:v>21.88</c:v>
                </c:pt>
              </c:numCache>
            </c:numRef>
          </c:val>
          <c:smooth val="0"/>
          <c:extLst>
            <c:ext xmlns:c16="http://schemas.microsoft.com/office/drawing/2014/chart" uri="{C3380CC4-5D6E-409C-BE32-E72D297353CC}">
              <c16:uniqueId val="{00000001-056B-4CCB-ADAE-0606DD7B1945}"/>
            </c:ext>
          </c:extLst>
        </c:ser>
        <c:dLbls>
          <c:showLegendKey val="0"/>
          <c:showVal val="0"/>
          <c:showCatName val="0"/>
          <c:showSerName val="0"/>
          <c:showPercent val="0"/>
          <c:showBubbleSize val="0"/>
        </c:dLbls>
        <c:marker val="1"/>
        <c:smooth val="0"/>
        <c:axId val="616931375"/>
        <c:axId val="616948175"/>
      </c:lineChart>
      <c:dateAx>
        <c:axId val="616931375"/>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de-DE"/>
          </a:p>
        </c:txPr>
        <c:crossAx val="616948175"/>
        <c:crosses val="autoZero"/>
        <c:auto val="1"/>
        <c:lblOffset val="100"/>
        <c:baseTimeUnit val="months"/>
      </c:dateAx>
      <c:valAx>
        <c:axId val="616948175"/>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crossAx val="61693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Model!$B$12</c:f>
              <c:strCache>
                <c:ptCount val="1"/>
                <c:pt idx="0">
                  <c:v>Revenue</c:v>
                </c:pt>
              </c:strCache>
            </c:strRef>
          </c:tx>
          <c:spPr>
            <a:solidFill>
              <a:schemeClr val="accent2"/>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1-E309-400E-9279-09DE67BBD1C5}"/>
              </c:ext>
            </c:extLst>
          </c:dPt>
          <c:dPt>
            <c:idx val="12"/>
            <c:invertIfNegative val="0"/>
            <c:bubble3D val="0"/>
            <c:spPr>
              <a:solidFill>
                <a:schemeClr val="bg2">
                  <a:lumMod val="90000"/>
                </a:schemeClr>
              </a:solidFill>
              <a:ln>
                <a:noFill/>
              </a:ln>
              <a:effectLst/>
            </c:spPr>
            <c:extLst>
              <c:ext xmlns:c16="http://schemas.microsoft.com/office/drawing/2014/chart" uri="{C3380CC4-5D6E-409C-BE32-E72D297353CC}">
                <c16:uniqueId val="{00000003-E309-400E-9279-09DE67BBD1C5}"/>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Model!$K$2:$X$2</c:f>
              <c:strCache>
                <c:ptCount val="14"/>
                <c:pt idx="0">
                  <c:v>Q123</c:v>
                </c:pt>
                <c:pt idx="1">
                  <c:v>Q223</c:v>
                </c:pt>
                <c:pt idx="2">
                  <c:v>Q323</c:v>
                </c:pt>
                <c:pt idx="3">
                  <c:v>Q423</c:v>
                </c:pt>
                <c:pt idx="4">
                  <c:v>Q124</c:v>
                </c:pt>
                <c:pt idx="5">
                  <c:v>Q224</c:v>
                </c:pt>
                <c:pt idx="6">
                  <c:v>Q324</c:v>
                </c:pt>
                <c:pt idx="7">
                  <c:v>Q424</c:v>
                </c:pt>
                <c:pt idx="8">
                  <c:v>Q125</c:v>
                </c:pt>
                <c:pt idx="9">
                  <c:v>Q225</c:v>
                </c:pt>
                <c:pt idx="10">
                  <c:v>Q325</c:v>
                </c:pt>
                <c:pt idx="11">
                  <c:v>Q425</c:v>
                </c:pt>
                <c:pt idx="12">
                  <c:v>Q126</c:v>
                </c:pt>
                <c:pt idx="13">
                  <c:v>Q226</c:v>
                </c:pt>
              </c:strCache>
            </c:strRef>
          </c:cat>
          <c:val>
            <c:numRef>
              <c:f>Model!$K$12:$X$12</c:f>
              <c:numCache>
                <c:formatCode>#,##0</c:formatCode>
                <c:ptCount val="14"/>
                <c:pt idx="0">
                  <c:v>0</c:v>
                </c:pt>
                <c:pt idx="1">
                  <c:v>0</c:v>
                </c:pt>
                <c:pt idx="2">
                  <c:v>0</c:v>
                </c:pt>
                <c:pt idx="3">
                  <c:v>0</c:v>
                </c:pt>
                <c:pt idx="4">
                  <c:v>60.44</c:v>
                </c:pt>
                <c:pt idx="5">
                  <c:v>61.091999999999999</c:v>
                </c:pt>
                <c:pt idx="6">
                  <c:v>61.266000000000005</c:v>
                </c:pt>
                <c:pt idx="7">
                  <c:v>61.554000000000016</c:v>
                </c:pt>
                <c:pt idx="8">
                  <c:v>66.265000000000001</c:v>
                </c:pt>
                <c:pt idx="9">
                  <c:v>73.385999999999996</c:v>
                </c:pt>
                <c:pt idx="10">
                  <c:v>81.254000000000005</c:v>
                </c:pt>
                <c:pt idx="11">
                  <c:v>86.821999999999989</c:v>
                </c:pt>
                <c:pt idx="12">
                  <c:v>0</c:v>
                </c:pt>
                <c:pt idx="13">
                  <c:v>0</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Model!$B$33</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Model!$K$33:$X$33</c:f>
              <c:numCache>
                <c:formatCode>0%</c:formatCode>
                <c:ptCount val="14"/>
                <c:pt idx="8">
                  <c:v>9.6376571806750633E-2</c:v>
                </c:pt>
                <c:pt idx="9">
                  <c:v>0.20123747790218016</c:v>
                </c:pt>
                <c:pt idx="10">
                  <c:v>0.32624946952632783</c:v>
                </c:pt>
                <c:pt idx="11">
                  <c:v>0.41050134840952612</c:v>
                </c:pt>
                <c:pt idx="12">
                  <c:v>-1</c:v>
                </c:pt>
                <c:pt idx="13">
                  <c:v>-1</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Model!$B$12</c:f>
              <c:strCache>
                <c:ptCount val="1"/>
                <c:pt idx="0">
                  <c:v>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FF0-459B-A546-819F3C5FC9BE}"/>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3-9FF0-459B-A546-819F3C5FC9B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Model!$C$12:$G$12</c:f>
              <c:numCache>
                <c:formatCode>#,##0</c:formatCode>
                <c:ptCount val="5"/>
                <c:pt idx="1">
                  <c:v>220.696</c:v>
                </c:pt>
                <c:pt idx="2">
                  <c:v>244.352</c:v>
                </c:pt>
                <c:pt idx="3">
                  <c:v>307.72699999999998</c:v>
                </c:pt>
                <c:pt idx="4">
                  <c:v>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Model!$B$33</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Model!$C$33:$G$33</c:f>
              <c:numCache>
                <c:formatCode>0%</c:formatCode>
                <c:ptCount val="5"/>
                <c:pt idx="1">
                  <c:v>0</c:v>
                </c:pt>
                <c:pt idx="2">
                  <c:v>0.10718816834016032</c:v>
                </c:pt>
                <c:pt idx="3">
                  <c:v>0.25935944866422189</c:v>
                </c:pt>
                <c:pt idx="4">
                  <c:v>-1</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Model!$B$29</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Model!$K$2:$T$2</c:f>
              <c:strCache>
                <c:ptCount val="10"/>
                <c:pt idx="0">
                  <c:v>Q123</c:v>
                </c:pt>
                <c:pt idx="1">
                  <c:v>Q223</c:v>
                </c:pt>
                <c:pt idx="2">
                  <c:v>Q323</c:v>
                </c:pt>
                <c:pt idx="3">
                  <c:v>Q423</c:v>
                </c:pt>
                <c:pt idx="4">
                  <c:v>Q124</c:v>
                </c:pt>
                <c:pt idx="5">
                  <c:v>Q224</c:v>
                </c:pt>
                <c:pt idx="6">
                  <c:v>Q324</c:v>
                </c:pt>
                <c:pt idx="7">
                  <c:v>Q424</c:v>
                </c:pt>
                <c:pt idx="8">
                  <c:v>Q125</c:v>
                </c:pt>
                <c:pt idx="9">
                  <c:v>Q225</c:v>
                </c:pt>
              </c:strCache>
            </c:strRef>
          </c:cat>
          <c:val>
            <c:numRef>
              <c:f>Model!$K$29:$X$29</c:f>
              <c:numCache>
                <c:formatCode>0.00</c:formatCode>
                <c:ptCount val="14"/>
                <c:pt idx="0">
                  <c:v>0</c:v>
                </c:pt>
                <c:pt idx="1">
                  <c:v>0</c:v>
                </c:pt>
                <c:pt idx="2">
                  <c:v>0</c:v>
                </c:pt>
                <c:pt idx="3">
                  <c:v>0</c:v>
                </c:pt>
                <c:pt idx="4">
                  <c:v>-0.10161699196233981</c:v>
                </c:pt>
                <c:pt idx="5">
                  <c:v>-0.1331706324426177</c:v>
                </c:pt>
                <c:pt idx="6">
                  <c:v>-6.8457023218770494E-2</c:v>
                </c:pt>
                <c:pt idx="7">
                  <c:v>-0.12033918808894936</c:v>
                </c:pt>
                <c:pt idx="8">
                  <c:v>-4.2055770240841471E-2</c:v>
                </c:pt>
                <c:pt idx="9">
                  <c:v>-7.428421770373618E-2</c:v>
                </c:pt>
                <c:pt idx="10">
                  <c:v>-0.19138346158515165</c:v>
                </c:pt>
                <c:pt idx="11">
                  <c:v>-0.4953063200014306</c:v>
                </c:pt>
                <c:pt idx="12">
                  <c:v>0</c:v>
                </c:pt>
                <c:pt idx="13">
                  <c:v>0</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Model!$B$41</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Model!$K$41:$X$41</c:f>
              <c:numCache>
                <c:formatCode>0%</c:formatCode>
                <c:ptCount val="14"/>
                <c:pt idx="4">
                  <c:v>0</c:v>
                </c:pt>
                <c:pt idx="5">
                  <c:v>0</c:v>
                </c:pt>
                <c:pt idx="6">
                  <c:v>0</c:v>
                </c:pt>
                <c:pt idx="7">
                  <c:v>0</c:v>
                </c:pt>
                <c:pt idx="8">
                  <c:v>-0.56890724746526422</c:v>
                </c:pt>
                <c:pt idx="9">
                  <c:v>-0.41574428467983882</c:v>
                </c:pt>
                <c:pt idx="10">
                  <c:v>1.9473133808077279</c:v>
                </c:pt>
                <c:pt idx="11">
                  <c:v>3.3367753313989903</c:v>
                </c:pt>
                <c:pt idx="12">
                  <c:v>-1</c:v>
                </c:pt>
                <c:pt idx="13">
                  <c:v>-1</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Model!$B$29</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Model!$C$29:$G$29</c:f>
              <c:numCache>
                <c:formatCode>0.00</c:formatCode>
                <c:ptCount val="5"/>
                <c:pt idx="0">
                  <c:v>0</c:v>
                </c:pt>
                <c:pt idx="1">
                  <c:v>-0.50256147222523528</c:v>
                </c:pt>
                <c:pt idx="2">
                  <c:v>-0.42172460077960439</c:v>
                </c:pt>
                <c:pt idx="3">
                  <c:v>-0.80201579584502403</c:v>
                </c:pt>
                <c:pt idx="4">
                  <c:v>0</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Model!$B$41</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Model!$C$41:$G$41</c:f>
              <c:numCache>
                <c:formatCode>0%</c:formatCode>
                <c:ptCount val="5"/>
                <c:pt idx="0">
                  <c:v>0</c:v>
                </c:pt>
                <c:pt idx="1">
                  <c:v>0</c:v>
                </c:pt>
                <c:pt idx="2">
                  <c:v>-0.16084971871739873</c:v>
                </c:pt>
                <c:pt idx="3">
                  <c:v>0.90175245732027354</c:v>
                </c:pt>
                <c:pt idx="4">
                  <c:v>0</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Model!$B$34</c:f>
              <c:strCache>
                <c:ptCount val="1"/>
                <c:pt idx="0">
                  <c:v>R&amp;D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Model!$K$2:$T$2</c:f>
              <c:strCache>
                <c:ptCount val="10"/>
                <c:pt idx="0">
                  <c:v>Q123</c:v>
                </c:pt>
                <c:pt idx="1">
                  <c:v>Q223</c:v>
                </c:pt>
                <c:pt idx="2">
                  <c:v>Q323</c:v>
                </c:pt>
                <c:pt idx="3">
                  <c:v>Q423</c:v>
                </c:pt>
                <c:pt idx="4">
                  <c:v>Q124</c:v>
                </c:pt>
                <c:pt idx="5">
                  <c:v>Q224</c:v>
                </c:pt>
                <c:pt idx="6">
                  <c:v>Q324</c:v>
                </c:pt>
                <c:pt idx="7">
                  <c:v>Q424</c:v>
                </c:pt>
                <c:pt idx="8">
                  <c:v>Q125</c:v>
                </c:pt>
                <c:pt idx="9">
                  <c:v>Q225</c:v>
                </c:pt>
              </c:strCache>
            </c:strRef>
          </c:cat>
          <c:val>
            <c:numRef>
              <c:f>Model!$K$34:$X$34</c:f>
              <c:numCache>
                <c:formatCode>0%</c:formatCode>
                <c:ptCount val="14"/>
                <c:pt idx="0">
                  <c:v>0</c:v>
                </c:pt>
                <c:pt idx="1">
                  <c:v>0</c:v>
                </c:pt>
                <c:pt idx="2">
                  <c:v>0</c:v>
                </c:pt>
                <c:pt idx="3">
                  <c:v>0</c:v>
                </c:pt>
                <c:pt idx="4">
                  <c:v>0.42337855724685636</c:v>
                </c:pt>
                <c:pt idx="5">
                  <c:v>0.44604858246578932</c:v>
                </c:pt>
                <c:pt idx="6">
                  <c:v>0.41158228054712237</c:v>
                </c:pt>
                <c:pt idx="7">
                  <c:v>0.37285960295025483</c:v>
                </c:pt>
                <c:pt idx="8">
                  <c:v>0.34820795291632084</c:v>
                </c:pt>
                <c:pt idx="9">
                  <c:v>0.3291499741095032</c:v>
                </c:pt>
                <c:pt idx="10">
                  <c:v>0.33631575060920077</c:v>
                </c:pt>
                <c:pt idx="11">
                  <c:v>0.37079311695192463</c:v>
                </c:pt>
                <c:pt idx="12">
                  <c:v>0</c:v>
                </c:pt>
                <c:pt idx="13">
                  <c:v>0</c:v>
                </c:pt>
              </c:numCache>
            </c:numRef>
          </c:val>
          <c:smooth val="0"/>
          <c:extLst>
            <c:ext xmlns:c16="http://schemas.microsoft.com/office/drawing/2014/chart" uri="{C3380CC4-5D6E-409C-BE32-E72D297353CC}">
              <c16:uniqueId val="{00000001-35FE-4BEB-944F-3D772460C6A2}"/>
            </c:ext>
          </c:extLst>
        </c:ser>
        <c:ser>
          <c:idx val="0"/>
          <c:order val="1"/>
          <c:tx>
            <c:strRef>
              <c:f>Model!$B$35</c:f>
              <c:strCache>
                <c:ptCount val="1"/>
                <c:pt idx="0">
                  <c:v>S&amp;M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Model!$K$2:$T$2</c:f>
              <c:strCache>
                <c:ptCount val="10"/>
                <c:pt idx="0">
                  <c:v>Q123</c:v>
                </c:pt>
                <c:pt idx="1">
                  <c:v>Q223</c:v>
                </c:pt>
                <c:pt idx="2">
                  <c:v>Q323</c:v>
                </c:pt>
                <c:pt idx="3">
                  <c:v>Q423</c:v>
                </c:pt>
                <c:pt idx="4">
                  <c:v>Q124</c:v>
                </c:pt>
                <c:pt idx="5">
                  <c:v>Q224</c:v>
                </c:pt>
                <c:pt idx="6">
                  <c:v>Q324</c:v>
                </c:pt>
                <c:pt idx="7">
                  <c:v>Q424</c:v>
                </c:pt>
                <c:pt idx="8">
                  <c:v>Q125</c:v>
                </c:pt>
                <c:pt idx="9">
                  <c:v>Q225</c:v>
                </c:pt>
              </c:strCache>
            </c:strRef>
          </c:cat>
          <c:val>
            <c:numRef>
              <c:f>Model!$K$35:$X$35</c:f>
              <c:numCache>
                <c:formatCode>0%</c:formatCode>
                <c:ptCount val="14"/>
                <c:pt idx="0">
                  <c:v>0</c:v>
                </c:pt>
                <c:pt idx="1">
                  <c:v>0</c:v>
                </c:pt>
                <c:pt idx="2">
                  <c:v>0</c:v>
                </c:pt>
                <c:pt idx="3">
                  <c:v>0</c:v>
                </c:pt>
                <c:pt idx="4">
                  <c:v>0.35547650562541366</c:v>
                </c:pt>
                <c:pt idx="5">
                  <c:v>0.38847967000589279</c:v>
                </c:pt>
                <c:pt idx="6">
                  <c:v>0.27413247151764436</c:v>
                </c:pt>
                <c:pt idx="7">
                  <c:v>0.25475192513890232</c:v>
                </c:pt>
                <c:pt idx="8">
                  <c:v>0.24619331472119521</c:v>
                </c:pt>
                <c:pt idx="9">
                  <c:v>0.23947346905404304</c:v>
                </c:pt>
                <c:pt idx="10">
                  <c:v>0.33631575060920077</c:v>
                </c:pt>
                <c:pt idx="11">
                  <c:v>0.37079311695192463</c:v>
                </c:pt>
                <c:pt idx="12">
                  <c:v>0</c:v>
                </c:pt>
                <c:pt idx="13">
                  <c:v>0</c:v>
                </c:pt>
              </c:numCache>
            </c:numRef>
          </c:val>
          <c:smooth val="0"/>
          <c:extLst>
            <c:ext xmlns:c16="http://schemas.microsoft.com/office/drawing/2014/chart" uri="{C3380CC4-5D6E-409C-BE32-E72D297353CC}">
              <c16:uniqueId val="{00000000-1CAA-4791-8C2B-1B9112E1C867}"/>
            </c:ext>
          </c:extLst>
        </c:ser>
        <c:ser>
          <c:idx val="2"/>
          <c:order val="2"/>
          <c:tx>
            <c:strRef>
              <c:f>Model!$B$36</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Model!$K$2:$T$2</c:f>
              <c:strCache>
                <c:ptCount val="10"/>
                <c:pt idx="0">
                  <c:v>Q123</c:v>
                </c:pt>
                <c:pt idx="1">
                  <c:v>Q223</c:v>
                </c:pt>
                <c:pt idx="2">
                  <c:v>Q323</c:v>
                </c:pt>
                <c:pt idx="3">
                  <c:v>Q423</c:v>
                </c:pt>
                <c:pt idx="4">
                  <c:v>Q124</c:v>
                </c:pt>
                <c:pt idx="5">
                  <c:v>Q224</c:v>
                </c:pt>
                <c:pt idx="6">
                  <c:v>Q324</c:v>
                </c:pt>
                <c:pt idx="7">
                  <c:v>Q424</c:v>
                </c:pt>
                <c:pt idx="8">
                  <c:v>Q125</c:v>
                </c:pt>
                <c:pt idx="9">
                  <c:v>Q225</c:v>
                </c:pt>
              </c:strCache>
            </c:strRef>
          </c:cat>
          <c:val>
            <c:numRef>
              <c:f>Model!$K$36:$X$36</c:f>
              <c:numCache>
                <c:formatCode>0%</c:formatCode>
                <c:ptCount val="14"/>
                <c:pt idx="6">
                  <c:v>-0.13346727898966704</c:v>
                </c:pt>
                <c:pt idx="7">
                  <c:v>4.609694159213884E-2</c:v>
                </c:pt>
                <c:pt idx="8">
                  <c:v>5.4725843052403578E-2</c:v>
                </c:pt>
                <c:pt idx="9">
                  <c:v>-7.4402081457019986E-2</c:v>
                </c:pt>
                <c:pt idx="10">
                  <c:v>1.7027947456619286E-2</c:v>
                </c:pt>
                <c:pt idx="11">
                  <c:v>0.63888593600510224</c:v>
                </c:pt>
                <c:pt idx="12">
                  <c:v>-1</c:v>
                </c:pt>
                <c:pt idx="13">
                  <c:v>0</c:v>
                </c:pt>
              </c:numCache>
            </c:numRef>
          </c:val>
          <c:smooth val="0"/>
          <c:extLst>
            <c:ext xmlns:c16="http://schemas.microsoft.com/office/drawing/2014/chart" uri="{C3380CC4-5D6E-409C-BE32-E72D297353CC}">
              <c16:uniqueId val="{00000001-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Model!$B$34</c:f>
              <c:strCache>
                <c:ptCount val="1"/>
                <c:pt idx="0">
                  <c:v>R&amp;D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Model!$C$34:$G$34</c:f>
              <c:numCache>
                <c:formatCode>0%</c:formatCode>
                <c:ptCount val="5"/>
                <c:pt idx="0">
                  <c:v>0</c:v>
                </c:pt>
                <c:pt idx="1">
                  <c:v>0.5271459383042737</c:v>
                </c:pt>
                <c:pt idx="2">
                  <c:v>0.41336268988999475</c:v>
                </c:pt>
                <c:pt idx="3">
                  <c:v>0.34689513757323864</c:v>
                </c:pt>
                <c:pt idx="4">
                  <c:v>0</c:v>
                </c:pt>
              </c:numCache>
            </c:numRef>
          </c:val>
          <c:smooth val="0"/>
          <c:extLst>
            <c:ext xmlns:c16="http://schemas.microsoft.com/office/drawing/2014/chart" uri="{C3380CC4-5D6E-409C-BE32-E72D297353CC}">
              <c16:uniqueId val="{00000000-E79C-46D7-BBD0-0EABFCB1E143}"/>
            </c:ext>
          </c:extLst>
        </c:ser>
        <c:ser>
          <c:idx val="0"/>
          <c:order val="1"/>
          <c:tx>
            <c:strRef>
              <c:f>Model!$B$35</c:f>
              <c:strCache>
                <c:ptCount val="1"/>
                <c:pt idx="0">
                  <c:v>S&amp;M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Model!$C$35:$F$35</c:f>
              <c:numCache>
                <c:formatCode>0%</c:formatCode>
                <c:ptCount val="4"/>
                <c:pt idx="0">
                  <c:v>0</c:v>
                </c:pt>
                <c:pt idx="1">
                  <c:v>0.39105375720448038</c:v>
                </c:pt>
                <c:pt idx="2">
                  <c:v>0.41336268988999475</c:v>
                </c:pt>
                <c:pt idx="3">
                  <c:v>0.23617037179058065</c:v>
                </c:pt>
              </c:numCache>
            </c:numRef>
          </c:val>
          <c:smooth val="0"/>
          <c:extLst>
            <c:ext xmlns:c16="http://schemas.microsoft.com/office/drawing/2014/chart" uri="{C3380CC4-5D6E-409C-BE32-E72D297353CC}">
              <c16:uniqueId val="{00000001-E79C-46D7-BBD0-0EABFCB1E143}"/>
            </c:ext>
          </c:extLst>
        </c:ser>
        <c:ser>
          <c:idx val="2"/>
          <c:order val="2"/>
          <c:tx>
            <c:strRef>
              <c:f>Model!$B$36</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Model!$C$36:$F$36</c:f>
              <c:numCache>
                <c:formatCode>0%</c:formatCode>
                <c:ptCount val="4"/>
                <c:pt idx="1">
                  <c:v>0</c:v>
                </c:pt>
                <c:pt idx="2">
                  <c:v>-3.6325026544250849E-2</c:v>
                </c:pt>
                <c:pt idx="3">
                  <c:v>0.14240346351769984</c:v>
                </c:pt>
              </c:numCache>
            </c:numRef>
          </c:val>
          <c:smooth val="0"/>
          <c:extLst>
            <c:ext xmlns:c16="http://schemas.microsoft.com/office/drawing/2014/chart" uri="{C3380CC4-5D6E-409C-BE32-E72D297353CC}">
              <c16:uniqueId val="{00000002-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numCache>
            </c:numRef>
          </c:cat>
          <c:val>
            <c:numRef>
              <c:f>Catalysts!$C$2:$C$10000</c:f>
              <c:numCache>
                <c:formatCode>0.00</c:formatCode>
                <c:ptCount val="9999"/>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catAx>
        <c:axId val="693983327"/>
        <c:scaling>
          <c:orientation val="minMax"/>
          <c:min val="7148"/>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Algn val="ctr"/>
        <c:lblOffset val="100"/>
        <c:noMultiLvlLbl val="1"/>
      </c:cat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strRef>
              <c:f>DoR!$K$4:$K$15</c:f>
              <c:strCache>
                <c:ptCount val="12"/>
                <c:pt idx="0">
                  <c:v>Less than -30,93%</c:v>
                </c:pt>
                <c:pt idx="1">
                  <c:v>-30,93% to -24,53%</c:v>
                </c:pt>
                <c:pt idx="2">
                  <c:v>-24,53% to -18,14%</c:v>
                </c:pt>
                <c:pt idx="3">
                  <c:v>-18,14% to -11,75%</c:v>
                </c:pt>
                <c:pt idx="4">
                  <c:v>-11,75% to -5,35%</c:v>
                </c:pt>
                <c:pt idx="5">
                  <c:v>-5,35% to 1,04%</c:v>
                </c:pt>
                <c:pt idx="6">
                  <c:v>1,04% to 7,43%</c:v>
                </c:pt>
                <c:pt idx="7">
                  <c:v>7,43% to 13,83%</c:v>
                </c:pt>
                <c:pt idx="8">
                  <c:v>13,83% to 20,22%</c:v>
                </c:pt>
                <c:pt idx="9">
                  <c:v>20,22% to 26,61%</c:v>
                </c:pt>
                <c:pt idx="10">
                  <c:v>26,61% to 33,00%</c:v>
                </c:pt>
                <c:pt idx="11">
                  <c:v>Greater than 33,00%</c:v>
                </c:pt>
              </c:strCache>
            </c:strRef>
          </c:cat>
          <c:val>
            <c:numRef>
              <c:f>DoR!$J$4:$J$15</c:f>
              <c:numCache>
                <c:formatCode>General</c:formatCode>
                <c:ptCount val="12"/>
                <c:pt idx="0">
                  <c:v>2</c:v>
                </c:pt>
                <c:pt idx="1">
                  <c:v>1</c:v>
                </c:pt>
                <c:pt idx="2">
                  <c:v>0</c:v>
                </c:pt>
                <c:pt idx="3">
                  <c:v>18</c:v>
                </c:pt>
                <c:pt idx="4">
                  <c:v>38</c:v>
                </c:pt>
                <c:pt idx="5">
                  <c:v>95</c:v>
                </c:pt>
                <c:pt idx="6">
                  <c:v>57</c:v>
                </c:pt>
                <c:pt idx="7">
                  <c:v>33</c:v>
                </c:pt>
                <c:pt idx="8">
                  <c:v>6</c:v>
                </c:pt>
                <c:pt idx="9">
                  <c:v>4</c:v>
                </c:pt>
                <c:pt idx="10">
                  <c:v>2</c:v>
                </c:pt>
                <c:pt idx="11">
                  <c:v>5</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_xlchart.v1.8</cx:f>
      </cx:strDim>
      <cx:numDim type="val">
        <cx:f dir="row">_xlchart.v1.9</cx:f>
      </cx:numDim>
    </cx:data>
    <cx:data id="1">
      <cx:strDim type="cat">
        <cx:f dir="row">_xlchart.v1.8</cx:f>
      </cx:strDim>
      <cx:numDim type="val">
        <cx:f dir="row">_xlchart.v1.7</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_xlchart.v1.6</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_xlchart.v1.5</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_xlchart.v1.3</cx:f>
      </cx:numDim>
    </cx:data>
    <cx:data id="1">
      <cx:strDim type="cat">
        <cx:f dir="row">_xlchart.v1.4</cx:f>
      </cx:strDim>
      <cx:numDim type="val">
        <cx:f dir="row">_xlchart.v1.2</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_xlchart.v1.1</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_xlchart.v1.0</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200024</xdr:colOff>
      <xdr:row>12</xdr:row>
      <xdr:rowOff>123825</xdr:rowOff>
    </xdr:from>
    <xdr:to>
      <xdr:col>7</xdr:col>
      <xdr:colOff>609599</xdr:colOff>
      <xdr:row>29</xdr:row>
      <xdr:rowOff>19050</xdr:rowOff>
    </xdr:to>
    <xdr:graphicFrame macro="">
      <xdr:nvGraphicFramePr>
        <xdr:cNvPr id="2" name="Chart 1">
          <a:extLst>
            <a:ext uri="{FF2B5EF4-FFF2-40B4-BE49-F238E27FC236}">
              <a16:creationId xmlns:a16="http://schemas.microsoft.com/office/drawing/2014/main" id="{0A02B15D-726B-473F-90BD-9DE5AEBE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12</xdr:row>
      <xdr:rowOff>109536</xdr:rowOff>
    </xdr:from>
    <xdr:to>
      <xdr:col>16</xdr:col>
      <xdr:colOff>123825</xdr:colOff>
      <xdr:row>29</xdr:row>
      <xdr:rowOff>0</xdr:rowOff>
    </xdr:to>
    <xdr:graphicFrame macro="">
      <xdr:nvGraphicFramePr>
        <xdr:cNvPr id="3" name="Chart 2">
          <a:extLst>
            <a:ext uri="{FF2B5EF4-FFF2-40B4-BE49-F238E27FC236}">
              <a16:creationId xmlns:a16="http://schemas.microsoft.com/office/drawing/2014/main" id="{C18602F0-0E7E-4D3A-B594-2B15361E1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409574</xdr:colOff>
      <xdr:row>15</xdr:row>
      <xdr:rowOff>66675</xdr:rowOff>
    </xdr:from>
    <xdr:to>
      <xdr:col>27</xdr:col>
      <xdr:colOff>57149</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54"/>
  <sheetViews>
    <sheetView topLeftCell="A9" workbookViewId="0">
      <selection activeCell="E33" sqref="E33"/>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33.5703125" customWidth="1"/>
    <col min="14" max="14" width="38.7109375" customWidth="1"/>
  </cols>
  <sheetData>
    <row r="2" spans="2:14" x14ac:dyDescent="0.25">
      <c r="B2" s="33" t="s">
        <v>146</v>
      </c>
      <c r="C2" s="19"/>
      <c r="E2" s="24" t="s">
        <v>38</v>
      </c>
      <c r="F2" s="49" t="s">
        <v>39</v>
      </c>
      <c r="G2" s="25"/>
      <c r="H2" s="26" t="s">
        <v>46</v>
      </c>
      <c r="I2" s="26" t="s">
        <v>1</v>
      </c>
      <c r="J2" s="27" t="s">
        <v>39</v>
      </c>
      <c r="L2" s="29" t="s">
        <v>32</v>
      </c>
      <c r="M2" s="30" t="s">
        <v>48</v>
      </c>
      <c r="N2" s="31" t="s">
        <v>47</v>
      </c>
    </row>
    <row r="3" spans="2:14" ht="30" x14ac:dyDescent="0.25">
      <c r="B3" s="5" t="s">
        <v>31</v>
      </c>
      <c r="C3" s="20">
        <v>45971</v>
      </c>
      <c r="E3" s="5" t="s">
        <v>178</v>
      </c>
      <c r="F3" s="122">
        <f>31.942641/$C$7</f>
        <v>0.10377745541200233</v>
      </c>
      <c r="H3" t="s">
        <v>191</v>
      </c>
      <c r="I3" s="10"/>
      <c r="J3" s="37"/>
      <c r="L3" s="5" t="s">
        <v>192</v>
      </c>
      <c r="M3" t="s">
        <v>193</v>
      </c>
      <c r="N3" s="36" t="s">
        <v>208</v>
      </c>
    </row>
    <row r="4" spans="2:14" x14ac:dyDescent="0.25">
      <c r="B4" s="5"/>
      <c r="C4" s="21">
        <v>0.60555555555555551</v>
      </c>
      <c r="E4" s="5" t="s">
        <v>179</v>
      </c>
      <c r="F4" s="122">
        <f>20.231246/$C$7</f>
        <v>6.5728667510436919E-2</v>
      </c>
      <c r="I4" s="10"/>
      <c r="J4" s="37"/>
      <c r="L4" s="5" t="s">
        <v>194</v>
      </c>
      <c r="M4" t="s">
        <v>195</v>
      </c>
    </row>
    <row r="5" spans="2:14" x14ac:dyDescent="0.25">
      <c r="B5" s="5"/>
      <c r="C5" s="13"/>
      <c r="E5" s="5" t="s">
        <v>180</v>
      </c>
      <c r="F5" s="122">
        <f>19.358515/$C$7</f>
        <v>6.2893278838624472E-2</v>
      </c>
      <c r="I5" s="10"/>
      <c r="J5" s="37"/>
      <c r="L5" s="5" t="s">
        <v>196</v>
      </c>
      <c r="M5" t="s">
        <v>197</v>
      </c>
      <c r="N5" s="13" t="s">
        <v>209</v>
      </c>
    </row>
    <row r="6" spans="2:14" x14ac:dyDescent="0.25">
      <c r="B6" s="5" t="s">
        <v>0</v>
      </c>
      <c r="C6" s="13">
        <v>36.9</v>
      </c>
      <c r="E6" s="5" t="s">
        <v>181</v>
      </c>
      <c r="F6" s="122">
        <f>10.204/$C$7</f>
        <v>3.315145904886424E-2</v>
      </c>
      <c r="I6" s="10"/>
      <c r="J6" s="37"/>
      <c r="L6" s="5" t="s">
        <v>198</v>
      </c>
      <c r="M6" t="s">
        <v>199</v>
      </c>
      <c r="N6" s="13"/>
    </row>
    <row r="7" spans="2:14" x14ac:dyDescent="0.25">
      <c r="B7" s="5" t="s">
        <v>1</v>
      </c>
      <c r="C7" s="15">
        <f>Model!V28</f>
        <v>307.79942399999999</v>
      </c>
      <c r="E7" s="5" t="s">
        <v>182</v>
      </c>
      <c r="F7" s="122">
        <f>8.511/$C$7</f>
        <v>2.765112386954954E-2</v>
      </c>
      <c r="I7" s="10"/>
      <c r="J7" s="37"/>
      <c r="L7" s="5" t="s">
        <v>200</v>
      </c>
      <c r="M7" t="s">
        <v>201</v>
      </c>
      <c r="N7" s="13"/>
    </row>
    <row r="8" spans="2:14" x14ac:dyDescent="0.25">
      <c r="B8" s="5" t="s">
        <v>2</v>
      </c>
      <c r="C8" s="15">
        <f>C6*C7</f>
        <v>11357.798745599999</v>
      </c>
      <c r="E8" s="5" t="s">
        <v>183</v>
      </c>
      <c r="F8" s="122">
        <f>7.905/$C$7</f>
        <v>2.5682309269038792E-2</v>
      </c>
      <c r="I8" s="10"/>
      <c r="J8" s="37"/>
      <c r="L8" s="5" t="s">
        <v>202</v>
      </c>
      <c r="M8" t="s">
        <v>203</v>
      </c>
      <c r="N8" s="13"/>
    </row>
    <row r="9" spans="2:14" x14ac:dyDescent="0.25">
      <c r="B9" s="5" t="s">
        <v>3</v>
      </c>
      <c r="C9" s="15">
        <f>Model!V46+Model!V48</f>
        <v>640.09</v>
      </c>
      <c r="E9" s="5" t="s">
        <v>184</v>
      </c>
      <c r="F9" s="122">
        <f>7.83/$C$7</f>
        <v>2.543864409570825E-2</v>
      </c>
      <c r="I9" s="10"/>
      <c r="J9" s="37"/>
      <c r="L9" s="5" t="s">
        <v>204</v>
      </c>
      <c r="M9" t="s">
        <v>205</v>
      </c>
      <c r="N9" s="13"/>
    </row>
    <row r="10" spans="2:14" x14ac:dyDescent="0.25">
      <c r="B10" s="5" t="s">
        <v>4</v>
      </c>
      <c r="C10" s="15">
        <f>Model!V73</f>
        <v>446.88400000000001</v>
      </c>
      <c r="E10" s="5" t="s">
        <v>185</v>
      </c>
      <c r="F10" s="122">
        <f>7.6/$C$7</f>
        <v>2.469140423082793E-2</v>
      </c>
      <c r="I10" s="10"/>
      <c r="J10" s="37"/>
      <c r="L10" s="5" t="s">
        <v>206</v>
      </c>
      <c r="M10" t="s">
        <v>207</v>
      </c>
      <c r="N10" s="13"/>
    </row>
    <row r="11" spans="2:14" x14ac:dyDescent="0.25">
      <c r="B11" s="5" t="s">
        <v>26</v>
      </c>
      <c r="C11" s="15">
        <f>C9-C10</f>
        <v>193.20600000000002</v>
      </c>
      <c r="E11" s="5" t="s">
        <v>186</v>
      </c>
      <c r="F11" s="122">
        <f>7.141/$C$7</f>
        <v>2.3200173370045034E-2</v>
      </c>
      <c r="I11" s="10"/>
      <c r="J11" s="37"/>
      <c r="L11" s="5"/>
      <c r="N11" s="13"/>
    </row>
    <row r="12" spans="2:14" x14ac:dyDescent="0.25">
      <c r="B12" s="5" t="s">
        <v>5</v>
      </c>
      <c r="C12" s="15">
        <f>C8-C9+C10</f>
        <v>11164.592745599999</v>
      </c>
      <c r="E12" s="5" t="s">
        <v>187</v>
      </c>
      <c r="F12" s="122">
        <f>5.99/$C$7</f>
        <v>1.9460725176665698E-2</v>
      </c>
      <c r="J12" s="13"/>
      <c r="L12" s="5"/>
      <c r="N12" s="13"/>
    </row>
    <row r="13" spans="2:14" x14ac:dyDescent="0.25">
      <c r="B13" s="5" t="s">
        <v>37</v>
      </c>
      <c r="C13" s="35">
        <f>Main!C6/Model!F29</f>
        <v>-46.009068887628615</v>
      </c>
      <c r="E13" s="5" t="s">
        <v>188</v>
      </c>
      <c r="F13" s="122">
        <f>5.702/$C$7</f>
        <v>1.8525050911076431E-2</v>
      </c>
      <c r="J13" s="13"/>
      <c r="L13" s="5"/>
      <c r="N13" s="13"/>
    </row>
    <row r="14" spans="2:14" x14ac:dyDescent="0.25">
      <c r="B14" s="5" t="s">
        <v>35</v>
      </c>
      <c r="C14" s="35">
        <f>Main!C6/Model!G30</f>
        <v>-335.45454545454544</v>
      </c>
      <c r="E14" s="22" t="s">
        <v>189</v>
      </c>
      <c r="F14" s="123">
        <f>5.354/$C$7</f>
        <v>1.7394444506822728E-2</v>
      </c>
      <c r="G14" s="28"/>
      <c r="H14" s="28"/>
      <c r="I14" s="28"/>
      <c r="J14" s="23"/>
      <c r="L14" s="22"/>
      <c r="M14" s="28"/>
      <c r="N14" s="23"/>
    </row>
    <row r="15" spans="2:14" x14ac:dyDescent="0.25">
      <c r="B15" s="5" t="s">
        <v>36</v>
      </c>
      <c r="C15" s="35">
        <f>C6/Model!H30</f>
        <v>-1845</v>
      </c>
    </row>
    <row r="16" spans="2:14" x14ac:dyDescent="0.25">
      <c r="B16" s="5" t="s">
        <v>33</v>
      </c>
      <c r="C16" s="6">
        <f>Model!G30/Model!F29-1</f>
        <v>-0.86284559410192008</v>
      </c>
    </row>
    <row r="17" spans="2:14" x14ac:dyDescent="0.25">
      <c r="B17" s="5" t="s">
        <v>34</v>
      </c>
      <c r="C17" s="6">
        <f>1</f>
        <v>1</v>
      </c>
      <c r="E17" s="32" t="s">
        <v>44</v>
      </c>
      <c r="L17" s="124" t="s">
        <v>190</v>
      </c>
      <c r="M17" s="125"/>
      <c r="N17" s="126"/>
    </row>
    <row r="18" spans="2:14" x14ac:dyDescent="0.25">
      <c r="B18" s="5" t="s">
        <v>59</v>
      </c>
      <c r="C18" s="43">
        <f>C14/(C16*100)</f>
        <v>3.8877702771803371</v>
      </c>
      <c r="L18" s="127"/>
      <c r="M18" s="128"/>
      <c r="N18" s="129"/>
    </row>
    <row r="19" spans="2:14" x14ac:dyDescent="0.25">
      <c r="B19" s="5" t="s">
        <v>60</v>
      </c>
      <c r="C19" s="43">
        <f>C15/(C17*100)</f>
        <v>-18.45</v>
      </c>
      <c r="L19" s="127"/>
      <c r="M19" s="128"/>
      <c r="N19" s="129"/>
    </row>
    <row r="20" spans="2:14" x14ac:dyDescent="0.25">
      <c r="B20" s="5" t="s">
        <v>71</v>
      </c>
      <c r="C20" s="6">
        <f>Model!G13/Model!F12-1</f>
        <v>0.35019026604750336</v>
      </c>
      <c r="L20" s="127"/>
      <c r="M20" s="128"/>
      <c r="N20" s="129"/>
    </row>
    <row r="21" spans="2:14" x14ac:dyDescent="0.25">
      <c r="B21" s="5" t="s">
        <v>72</v>
      </c>
      <c r="C21" s="6">
        <f>Model!H13/Model!G13-1</f>
        <v>0.33216202556018182</v>
      </c>
      <c r="L21" s="127"/>
      <c r="M21" s="128"/>
      <c r="N21" s="129"/>
    </row>
    <row r="22" spans="2:14" x14ac:dyDescent="0.25">
      <c r="B22" s="5" t="s">
        <v>61</v>
      </c>
      <c r="C22" s="15">
        <f>Model!C18+Model!C16</f>
        <v>0</v>
      </c>
      <c r="L22" s="127"/>
      <c r="M22" s="128"/>
      <c r="N22" s="129"/>
    </row>
    <row r="23" spans="2:14" x14ac:dyDescent="0.25">
      <c r="B23" s="5" t="s">
        <v>10</v>
      </c>
      <c r="C23" s="15">
        <f>Model!C18</f>
        <v>0</v>
      </c>
      <c r="L23" s="127"/>
      <c r="M23" s="128"/>
      <c r="N23" s="129"/>
    </row>
    <row r="24" spans="2:14" x14ac:dyDescent="0.25">
      <c r="B24" s="5" t="s">
        <v>22</v>
      </c>
      <c r="C24" s="7">
        <f>Model!C22</f>
        <v>0</v>
      </c>
      <c r="L24" s="127"/>
      <c r="M24" s="128"/>
      <c r="N24" s="129"/>
    </row>
    <row r="25" spans="2:14" x14ac:dyDescent="0.25">
      <c r="B25" s="5" t="s">
        <v>23</v>
      </c>
      <c r="C25" s="7">
        <f>Model!C23</f>
        <v>0</v>
      </c>
      <c r="L25" s="127"/>
      <c r="M25" s="128"/>
      <c r="N25" s="129"/>
    </row>
    <row r="26" spans="2:14" x14ac:dyDescent="0.25">
      <c r="B26" s="5" t="s">
        <v>62</v>
      </c>
      <c r="C26" s="35" t="e">
        <f>C12/C23</f>
        <v>#DIV/0!</v>
      </c>
      <c r="L26" s="127"/>
      <c r="M26" s="128"/>
      <c r="N26" s="129"/>
    </row>
    <row r="27" spans="2:14" x14ac:dyDescent="0.25">
      <c r="B27" s="5" t="s">
        <v>73</v>
      </c>
      <c r="C27" s="109" t="e">
        <f>Model!#REF!/Model!#REF!</f>
        <v>#REF!</v>
      </c>
      <c r="E27" t="s">
        <v>64</v>
      </c>
      <c r="L27" s="127"/>
      <c r="M27" s="128"/>
      <c r="N27" s="129"/>
    </row>
    <row r="28" spans="2:14" x14ac:dyDescent="0.25">
      <c r="B28" s="5" t="s">
        <v>74</v>
      </c>
      <c r="C28" s="35" t="e">
        <f>C22/-Model!C16</f>
        <v>#DIV/0!</v>
      </c>
      <c r="E28" t="s">
        <v>159</v>
      </c>
      <c r="L28" s="130"/>
      <c r="M28" s="131"/>
      <c r="N28" s="132"/>
    </row>
    <row r="29" spans="2:14" x14ac:dyDescent="0.25">
      <c r="B29" s="5" t="s">
        <v>75</v>
      </c>
      <c r="C29" s="35" t="e">
        <f>Model!#REF!/Model!#REF!</f>
        <v>#REF!</v>
      </c>
      <c r="E29" t="s">
        <v>160</v>
      </c>
    </row>
    <row r="30" spans="2:14" x14ac:dyDescent="0.25">
      <c r="B30" s="5" t="s">
        <v>76</v>
      </c>
      <c r="C30" s="35" t="e">
        <f>(Model!#REF!+Model!#REF!)/Model!#REF!</f>
        <v>#REF!</v>
      </c>
      <c r="E30" t="s">
        <v>174</v>
      </c>
    </row>
    <row r="31" spans="2:14" x14ac:dyDescent="0.25">
      <c r="B31" s="5" t="s">
        <v>77</v>
      </c>
      <c r="C31" s="6" t="e">
        <f>(Model!#REF!-Model!#REF!)/Model!#REF!</f>
        <v>#REF!</v>
      </c>
      <c r="E31" t="s">
        <v>477</v>
      </c>
    </row>
    <row r="32" spans="2:14" x14ac:dyDescent="0.25">
      <c r="B32" s="5" t="s">
        <v>78</v>
      </c>
      <c r="C32" s="35" t="e">
        <f>(Model!#REF!-Model!#REF!)/Main!C7</f>
        <v>#REF!</v>
      </c>
      <c r="E32" t="s">
        <v>478</v>
      </c>
    </row>
    <row r="33" spans="2:9" x14ac:dyDescent="0.25">
      <c r="B33" s="5" t="s">
        <v>79</v>
      </c>
      <c r="C33" s="35" t="e">
        <f>Model!#REF!/Model!#REF!</f>
        <v>#REF!</v>
      </c>
    </row>
    <row r="34" spans="2:9" x14ac:dyDescent="0.25">
      <c r="B34" s="5" t="s">
        <v>80</v>
      </c>
      <c r="C34" s="37" t="e">
        <f>Model!#REF!/Model!#REF!</f>
        <v>#REF!</v>
      </c>
    </row>
    <row r="35" spans="2:9" x14ac:dyDescent="0.25">
      <c r="B35" s="5" t="s">
        <v>81</v>
      </c>
      <c r="C35" s="37" t="e">
        <f>Model!#REF!/Model!#REF!</f>
        <v>#REF!</v>
      </c>
    </row>
    <row r="36" spans="2:9" x14ac:dyDescent="0.25">
      <c r="B36" s="22" t="s">
        <v>82</v>
      </c>
      <c r="C36" s="23"/>
    </row>
    <row r="41" spans="2:9" x14ac:dyDescent="0.25">
      <c r="E41" s="45"/>
      <c r="F41" s="45"/>
      <c r="G41" s="48"/>
      <c r="H41" s="48"/>
      <c r="I41" s="48"/>
    </row>
    <row r="42" spans="2:9" x14ac:dyDescent="0.25">
      <c r="E42" s="45"/>
      <c r="F42" s="45"/>
      <c r="G42" s="48"/>
      <c r="H42" s="48"/>
      <c r="I42" s="48"/>
    </row>
    <row r="43" spans="2:9" x14ac:dyDescent="0.25">
      <c r="E43" s="45"/>
      <c r="F43" s="45"/>
      <c r="G43" s="48"/>
      <c r="H43" s="48"/>
      <c r="I43" s="48"/>
    </row>
    <row r="44" spans="2:9" x14ac:dyDescent="0.25">
      <c r="E44" s="45"/>
      <c r="F44" s="45"/>
      <c r="G44" s="48"/>
      <c r="H44" s="48"/>
      <c r="I44" s="48"/>
    </row>
    <row r="45" spans="2:9" x14ac:dyDescent="0.25">
      <c r="E45" s="45"/>
      <c r="F45" s="45"/>
      <c r="G45" s="48"/>
      <c r="H45" s="48"/>
      <c r="I45" s="48"/>
    </row>
    <row r="46" spans="2:9" x14ac:dyDescent="0.25">
      <c r="E46" s="45"/>
      <c r="F46" s="45"/>
      <c r="G46" s="48"/>
      <c r="H46" s="48"/>
      <c r="I46" s="48"/>
    </row>
    <row r="47" spans="2:9" x14ac:dyDescent="0.25">
      <c r="E47" s="45"/>
      <c r="F47" s="45"/>
      <c r="G47" s="48"/>
      <c r="H47" s="48"/>
      <c r="I47" s="48"/>
    </row>
    <row r="48" spans="2:9" x14ac:dyDescent="0.25">
      <c r="E48" s="45"/>
      <c r="F48" s="45"/>
      <c r="G48" s="48"/>
      <c r="H48" s="48"/>
      <c r="I48" s="48"/>
    </row>
    <row r="49" spans="5:9" x14ac:dyDescent="0.25">
      <c r="E49" s="45"/>
      <c r="F49" s="45"/>
      <c r="G49" s="48"/>
      <c r="H49" s="48"/>
      <c r="I49" s="48"/>
    </row>
    <row r="50" spans="5:9" x14ac:dyDescent="0.25">
      <c r="E50" s="45"/>
      <c r="F50" s="45"/>
      <c r="G50" s="48"/>
      <c r="H50" s="48"/>
      <c r="I50" s="48"/>
    </row>
    <row r="51" spans="5:9" x14ac:dyDescent="0.25">
      <c r="E51" s="45"/>
      <c r="F51" s="45"/>
      <c r="G51" s="48"/>
      <c r="H51" s="48"/>
      <c r="I51" s="48"/>
    </row>
    <row r="52" spans="5:9" x14ac:dyDescent="0.25">
      <c r="E52" s="46"/>
      <c r="F52" s="47"/>
      <c r="G52" s="47"/>
    </row>
    <row r="53" spans="5:9" x14ac:dyDescent="0.25">
      <c r="E53" s="46"/>
      <c r="F53" s="47"/>
      <c r="G53" s="47"/>
    </row>
    <row r="54" spans="5:9" x14ac:dyDescent="0.25">
      <c r="E54" s="46"/>
      <c r="F54" s="47"/>
      <c r="G54" s="47"/>
    </row>
  </sheetData>
  <mergeCells count="1">
    <mergeCell ref="L17:N2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Z97"/>
  <sheetViews>
    <sheetView tabSelected="1" zoomScaleNormal="100" workbookViewId="0">
      <pane xSplit="2" ySplit="2" topLeftCell="C3" activePane="bottomRight" state="frozen"/>
      <selection pane="topRight" activeCell="B1" sqref="B1"/>
      <selection pane="bottomLeft" activeCell="A3" sqref="A3"/>
      <selection pane="bottomRight" activeCell="G13" sqref="G13"/>
    </sheetView>
  </sheetViews>
  <sheetFormatPr defaultColWidth="11.42578125" defaultRowHeight="15" x14ac:dyDescent="0.25"/>
  <cols>
    <col min="1" max="1" width="4.7109375" customWidth="1"/>
    <col min="2" max="2" width="27.28515625" customWidth="1"/>
    <col min="6" max="6" width="11.42578125" style="13"/>
    <col min="22" max="22" width="11.42578125" style="13"/>
  </cols>
  <sheetData>
    <row r="1" spans="1:26" x14ac:dyDescent="0.25">
      <c r="A1" s="8" t="s">
        <v>27</v>
      </c>
    </row>
    <row r="2" spans="1:26" x14ac:dyDescent="0.25">
      <c r="C2" t="s">
        <v>7</v>
      </c>
      <c r="D2" t="s">
        <v>8</v>
      </c>
      <c r="E2" t="s">
        <v>24</v>
      </c>
      <c r="F2" s="13" t="s">
        <v>58</v>
      </c>
      <c r="G2" t="s">
        <v>139</v>
      </c>
      <c r="H2" t="s">
        <v>177</v>
      </c>
      <c r="K2" t="s">
        <v>6</v>
      </c>
      <c r="L2" t="s">
        <v>25</v>
      </c>
      <c r="M2" t="s">
        <v>29</v>
      </c>
      <c r="N2" t="s">
        <v>30</v>
      </c>
      <c r="O2" t="s">
        <v>53</v>
      </c>
      <c r="P2" t="s">
        <v>56</v>
      </c>
      <c r="Q2" t="s">
        <v>130</v>
      </c>
      <c r="R2" t="s">
        <v>131</v>
      </c>
      <c r="S2" t="s">
        <v>140</v>
      </c>
      <c r="T2" t="s">
        <v>141</v>
      </c>
      <c r="U2" t="s">
        <v>142</v>
      </c>
      <c r="V2" s="13" t="s">
        <v>143</v>
      </c>
      <c r="W2" t="s">
        <v>144</v>
      </c>
      <c r="X2" t="s">
        <v>145</v>
      </c>
    </row>
    <row r="3" spans="1:26" x14ac:dyDescent="0.25">
      <c r="B3" t="s">
        <v>164</v>
      </c>
      <c r="D3" s="10">
        <v>113.526</v>
      </c>
      <c r="E3" s="10">
        <v>119.35</v>
      </c>
      <c r="F3" s="15">
        <v>132.01</v>
      </c>
      <c r="O3" s="10">
        <v>32.713000000000001</v>
      </c>
      <c r="P3" s="10">
        <v>30.797000000000001</v>
      </c>
      <c r="Q3" s="10">
        <v>27.038</v>
      </c>
      <c r="R3" s="10">
        <f>E3-Q3-P3-O3</f>
        <v>28.802</v>
      </c>
      <c r="S3" s="10">
        <v>29.533000000000001</v>
      </c>
      <c r="T3" s="10">
        <v>31.093</v>
      </c>
      <c r="U3" s="10">
        <v>35.148000000000003</v>
      </c>
      <c r="V3" s="15">
        <f>F3-U3-T3-S3</f>
        <v>36.23599999999999</v>
      </c>
    </row>
    <row r="4" spans="1:26" x14ac:dyDescent="0.25">
      <c r="B4" t="s">
        <v>165</v>
      </c>
      <c r="D4" s="10">
        <v>37.433999999999997</v>
      </c>
      <c r="E4" s="10">
        <v>42.401000000000003</v>
      </c>
      <c r="F4" s="15">
        <v>59.813000000000002</v>
      </c>
      <c r="O4" s="10">
        <v>11.141999999999999</v>
      </c>
      <c r="P4" s="10">
        <v>10.298</v>
      </c>
      <c r="Q4" s="10">
        <v>10.334</v>
      </c>
      <c r="R4" s="10">
        <f t="shared" ref="R4:R11" si="0">E4-Q4-P4-O4</f>
        <v>10.627000000000006</v>
      </c>
      <c r="S4" s="10">
        <v>15.307</v>
      </c>
      <c r="T4" s="10">
        <v>16.149999999999999</v>
      </c>
      <c r="U4" s="10">
        <v>14.324</v>
      </c>
      <c r="V4" s="15">
        <f t="shared" ref="V4:V11" si="1">F4-U4-T4-S4</f>
        <v>14.032000000000005</v>
      </c>
    </row>
    <row r="5" spans="1:26" x14ac:dyDescent="0.25">
      <c r="B5" t="s">
        <v>166</v>
      </c>
      <c r="D5" s="10">
        <v>60.176000000000002</v>
      </c>
      <c r="E5" s="10">
        <v>70.084999999999994</v>
      </c>
      <c r="F5" s="15">
        <v>103.67400000000001</v>
      </c>
      <c r="O5" s="10">
        <v>13.694000000000001</v>
      </c>
      <c r="P5" s="10">
        <v>17.225999999999999</v>
      </c>
      <c r="Q5" s="10">
        <v>20.010999999999999</v>
      </c>
      <c r="R5" s="10">
        <f t="shared" si="0"/>
        <v>19.153999999999996</v>
      </c>
      <c r="S5" s="10">
        <v>18.849</v>
      </c>
      <c r="T5" s="10">
        <v>23.466999999999999</v>
      </c>
      <c r="U5" s="10">
        <v>27.613</v>
      </c>
      <c r="V5" s="15">
        <f t="shared" si="1"/>
        <v>33.745000000000005</v>
      </c>
    </row>
    <row r="6" spans="1:26" x14ac:dyDescent="0.25">
      <c r="B6" t="s">
        <v>167</v>
      </c>
      <c r="D6" s="10">
        <v>9.56</v>
      </c>
      <c r="E6" s="10">
        <v>12.516</v>
      </c>
      <c r="F6" s="15">
        <v>12.23</v>
      </c>
      <c r="O6" s="10">
        <v>2.891</v>
      </c>
      <c r="P6" s="10">
        <v>2.7709999999999999</v>
      </c>
      <c r="Q6" s="10">
        <v>3.883</v>
      </c>
      <c r="R6" s="10">
        <f t="shared" si="0"/>
        <v>2.9709999999999992</v>
      </c>
      <c r="S6" s="10">
        <v>2.5760000000000001</v>
      </c>
      <c r="T6" s="10">
        <v>2.6760000000000002</v>
      </c>
      <c r="U6" s="10">
        <v>4.1689999999999996</v>
      </c>
      <c r="V6" s="15">
        <f t="shared" si="1"/>
        <v>2.8089999999999997</v>
      </c>
    </row>
    <row r="7" spans="1:26" x14ac:dyDescent="0.25">
      <c r="D7" s="10"/>
      <c r="E7" s="10"/>
      <c r="F7" s="15"/>
      <c r="O7" s="10"/>
      <c r="P7" s="10"/>
      <c r="R7" s="10"/>
      <c r="S7" s="10"/>
      <c r="T7" s="10"/>
      <c r="U7" s="10"/>
      <c r="V7" s="15"/>
    </row>
    <row r="8" spans="1:26" x14ac:dyDescent="0.25">
      <c r="D8" s="10"/>
      <c r="E8" s="10"/>
      <c r="F8" s="15"/>
      <c r="O8" s="10"/>
      <c r="P8" s="10"/>
      <c r="R8" s="10"/>
      <c r="S8" s="10"/>
      <c r="T8" s="10"/>
      <c r="U8" s="10"/>
      <c r="V8" s="15"/>
    </row>
    <row r="9" spans="1:26" x14ac:dyDescent="0.25">
      <c r="B9" s="9" t="s">
        <v>161</v>
      </c>
      <c r="D9" s="10">
        <v>60.6</v>
      </c>
      <c r="E9" s="10">
        <v>71.887</v>
      </c>
      <c r="F9" s="15">
        <v>71.91</v>
      </c>
      <c r="O9" s="10">
        <v>18.048999999999999</v>
      </c>
      <c r="P9" s="10">
        <v>17.178999999999998</v>
      </c>
      <c r="Q9" s="10">
        <v>18.552</v>
      </c>
      <c r="R9" s="10">
        <f t="shared" si="0"/>
        <v>18.107000000000006</v>
      </c>
      <c r="S9" s="10">
        <v>16.28</v>
      </c>
      <c r="T9" s="10">
        <v>16.425999999999998</v>
      </c>
      <c r="U9" s="10">
        <v>18.827999999999999</v>
      </c>
      <c r="V9" s="15">
        <f t="shared" si="1"/>
        <v>20.375999999999991</v>
      </c>
    </row>
    <row r="10" spans="1:26" x14ac:dyDescent="0.25">
      <c r="B10" s="9" t="s">
        <v>162</v>
      </c>
      <c r="D10" s="10">
        <v>65.540999999999997</v>
      </c>
      <c r="E10" s="10">
        <v>56.183999999999997</v>
      </c>
      <c r="F10" s="15">
        <v>55.585000000000001</v>
      </c>
      <c r="O10" s="10">
        <v>12.776999999999999</v>
      </c>
      <c r="P10" s="10">
        <v>14.231999999999999</v>
      </c>
      <c r="Q10" s="10">
        <v>14.173</v>
      </c>
      <c r="R10" s="10">
        <f t="shared" si="0"/>
        <v>15.001999999999997</v>
      </c>
      <c r="S10" s="10">
        <v>13.337999999999999</v>
      </c>
      <c r="T10" s="10">
        <v>15.051</v>
      </c>
      <c r="U10" s="10">
        <v>13.061</v>
      </c>
      <c r="V10" s="15">
        <f t="shared" si="1"/>
        <v>14.135</v>
      </c>
    </row>
    <row r="11" spans="1:26" x14ac:dyDescent="0.25">
      <c r="B11" s="9" t="s">
        <v>163</v>
      </c>
      <c r="C11" s="42"/>
      <c r="D11" s="119">
        <v>94.555000000000007</v>
      </c>
      <c r="E11" s="119">
        <v>116.28100000000001</v>
      </c>
      <c r="F11" s="15">
        <v>180.232</v>
      </c>
      <c r="O11" s="10">
        <v>29.614000000000001</v>
      </c>
      <c r="P11" s="10">
        <v>29.681000000000001</v>
      </c>
      <c r="Q11" s="10">
        <v>28.541</v>
      </c>
      <c r="R11" s="10">
        <f t="shared" si="0"/>
        <v>28.445000000000011</v>
      </c>
      <c r="S11" s="10">
        <v>36.646999999999998</v>
      </c>
      <c r="T11" s="10">
        <v>41.908999999999999</v>
      </c>
      <c r="U11" s="10">
        <v>49.365000000000002</v>
      </c>
      <c r="V11" s="15">
        <f t="shared" si="1"/>
        <v>52.311</v>
      </c>
    </row>
    <row r="12" spans="1:26" s="1" customFormat="1" x14ac:dyDescent="0.25">
      <c r="B12" s="1" t="s">
        <v>9</v>
      </c>
      <c r="C12" s="11"/>
      <c r="D12" s="11">
        <f>SUM(D9:D11)</f>
        <v>220.696</v>
      </c>
      <c r="E12" s="11">
        <f>SUM(E9:E11)</f>
        <v>244.352</v>
      </c>
      <c r="F12" s="14">
        <f t="shared" ref="F12" si="2">SUM(F9:F11)</f>
        <v>307.72699999999998</v>
      </c>
      <c r="G12" s="11">
        <f t="shared" ref="G12" si="3">SUM(G9:G11)</f>
        <v>0</v>
      </c>
      <c r="K12" s="11">
        <f t="shared" ref="K12:M12" si="4">SUM(K9:K11)</f>
        <v>0</v>
      </c>
      <c r="L12" s="11">
        <f t="shared" si="4"/>
        <v>0</v>
      </c>
      <c r="M12" s="11">
        <f t="shared" si="4"/>
        <v>0</v>
      </c>
      <c r="N12" s="11">
        <f t="shared" ref="N12:Q12" si="5">SUM(N9:N11)</f>
        <v>0</v>
      </c>
      <c r="O12" s="11">
        <f t="shared" si="5"/>
        <v>60.44</v>
      </c>
      <c r="P12" s="11">
        <f t="shared" si="5"/>
        <v>61.091999999999999</v>
      </c>
      <c r="Q12" s="11">
        <f t="shared" si="5"/>
        <v>61.266000000000005</v>
      </c>
      <c r="R12" s="11">
        <f t="shared" ref="R12:T12" si="6">SUM(R9:R11)</f>
        <v>61.554000000000016</v>
      </c>
      <c r="S12" s="11">
        <f t="shared" si="6"/>
        <v>66.265000000000001</v>
      </c>
      <c r="T12" s="11">
        <f t="shared" si="6"/>
        <v>73.385999999999996</v>
      </c>
      <c r="U12" s="11">
        <f t="shared" ref="U12:X12" si="7">SUM(U9:U11)</f>
        <v>81.254000000000005</v>
      </c>
      <c r="V12" s="14">
        <f t="shared" si="7"/>
        <v>86.821999999999989</v>
      </c>
      <c r="W12" s="11">
        <f t="shared" si="7"/>
        <v>0</v>
      </c>
      <c r="X12" s="11">
        <f t="shared" si="7"/>
        <v>0</v>
      </c>
    </row>
    <row r="13" spans="1:26" x14ac:dyDescent="0.25">
      <c r="B13" s="9" t="s">
        <v>55</v>
      </c>
      <c r="C13" s="10"/>
      <c r="D13" s="10"/>
      <c r="E13" s="39"/>
      <c r="F13" s="112"/>
      <c r="G13" s="117">
        <v>415.49</v>
      </c>
      <c r="H13" s="117">
        <v>553.5</v>
      </c>
      <c r="K13" s="39"/>
      <c r="L13" s="39"/>
      <c r="M13" s="39"/>
      <c r="N13" s="39"/>
      <c r="O13" s="39"/>
      <c r="P13" s="39"/>
      <c r="Q13" s="39"/>
      <c r="R13" s="39"/>
      <c r="S13" s="39"/>
      <c r="T13" s="39"/>
      <c r="U13" s="39"/>
      <c r="V13" s="112"/>
      <c r="W13" s="39">
        <v>90.1</v>
      </c>
      <c r="X13" s="39">
        <v>101.34</v>
      </c>
      <c r="Y13">
        <v>114</v>
      </c>
      <c r="Z13" s="143">
        <v>126</v>
      </c>
    </row>
    <row r="14" spans="1:26" x14ac:dyDescent="0.25">
      <c r="B14" s="9" t="s">
        <v>123</v>
      </c>
      <c r="C14" s="10"/>
      <c r="D14" s="10">
        <v>107.746</v>
      </c>
      <c r="E14" s="10">
        <v>104.627</v>
      </c>
      <c r="F14" s="112">
        <v>135.24199999999999</v>
      </c>
      <c r="K14" s="39"/>
      <c r="L14" s="39"/>
      <c r="M14" s="39"/>
      <c r="N14" s="39"/>
      <c r="O14" s="39">
        <v>28.757000000000001</v>
      </c>
      <c r="P14" s="39">
        <v>28.782</v>
      </c>
      <c r="Q14" s="39">
        <v>23.748999999999999</v>
      </c>
      <c r="R14" s="10">
        <f t="shared" ref="R14" si="8">E14-Q14-P14-O14</f>
        <v>23.339000000000002</v>
      </c>
      <c r="S14" s="39">
        <v>29.661999999999999</v>
      </c>
      <c r="T14" s="39">
        <v>31.117999999999999</v>
      </c>
      <c r="U14" s="39">
        <v>34.67</v>
      </c>
      <c r="V14" s="15">
        <f t="shared" ref="V14" si="9">F14-U14-T14-S14</f>
        <v>39.791999999999994</v>
      </c>
      <c r="W14" s="39"/>
      <c r="X14" s="39"/>
    </row>
    <row r="15" spans="1:26" x14ac:dyDescent="0.25">
      <c r="B15" s="9" t="s">
        <v>125</v>
      </c>
      <c r="C15" s="10"/>
      <c r="D15" s="10"/>
      <c r="E15" s="39"/>
      <c r="F15" s="112"/>
      <c r="K15" s="39"/>
      <c r="L15" s="39"/>
      <c r="M15" s="39"/>
      <c r="N15" s="39"/>
      <c r="O15" s="39"/>
      <c r="P15" s="39"/>
      <c r="Q15" s="39"/>
      <c r="R15" s="39"/>
      <c r="S15" s="39"/>
      <c r="T15" s="39"/>
      <c r="U15" s="39"/>
      <c r="V15" s="112"/>
      <c r="W15" s="39"/>
      <c r="X15" s="39"/>
    </row>
    <row r="16" spans="1:26" x14ac:dyDescent="0.25">
      <c r="B16" s="9" t="s">
        <v>124</v>
      </c>
      <c r="C16" s="10"/>
      <c r="D16" s="10"/>
      <c r="E16" s="39"/>
      <c r="F16" s="112"/>
      <c r="K16" s="39"/>
      <c r="L16" s="39"/>
      <c r="M16" s="39"/>
      <c r="N16" s="39"/>
      <c r="O16" s="39"/>
      <c r="P16" s="39"/>
      <c r="Q16" s="39"/>
      <c r="R16" s="39"/>
      <c r="S16" s="39"/>
      <c r="T16" s="39"/>
      <c r="U16" s="39"/>
      <c r="V16" s="112"/>
      <c r="W16" s="39"/>
      <c r="X16" s="39"/>
    </row>
    <row r="17" spans="2:26" s="1" customFormat="1" x14ac:dyDescent="0.25">
      <c r="B17" s="1" t="s">
        <v>49</v>
      </c>
      <c r="C17" s="11">
        <f t="shared" ref="C17:G17" si="10">SUM(C14:C16)</f>
        <v>0</v>
      </c>
      <c r="D17" s="11">
        <f t="shared" si="10"/>
        <v>107.746</v>
      </c>
      <c r="E17" s="11">
        <f t="shared" si="10"/>
        <v>104.627</v>
      </c>
      <c r="F17" s="14">
        <f t="shared" si="10"/>
        <v>135.24199999999999</v>
      </c>
      <c r="G17" s="11">
        <f t="shared" si="10"/>
        <v>0</v>
      </c>
      <c r="K17" s="11">
        <f t="shared" ref="K17" si="11">SUM(K14:K16)</f>
        <v>0</v>
      </c>
      <c r="L17" s="11">
        <f t="shared" ref="L17" si="12">SUM(L14:L16)</f>
        <v>0</v>
      </c>
      <c r="M17" s="11">
        <f t="shared" ref="M17:Q17" si="13">SUM(M14:M16)</f>
        <v>0</v>
      </c>
      <c r="N17" s="11">
        <f t="shared" si="13"/>
        <v>0</v>
      </c>
      <c r="O17" s="11">
        <f t="shared" si="13"/>
        <v>28.757000000000001</v>
      </c>
      <c r="P17" s="11">
        <f t="shared" si="13"/>
        <v>28.782</v>
      </c>
      <c r="Q17" s="11">
        <f t="shared" si="13"/>
        <v>23.748999999999999</v>
      </c>
      <c r="R17" s="11">
        <f t="shared" ref="R17:T17" si="14">SUM(R14:R16)</f>
        <v>23.339000000000002</v>
      </c>
      <c r="S17" s="11">
        <f t="shared" si="14"/>
        <v>29.661999999999999</v>
      </c>
      <c r="T17" s="11">
        <f t="shared" si="14"/>
        <v>31.117999999999999</v>
      </c>
      <c r="U17" s="11">
        <f t="shared" ref="U17:X17" si="15">SUM(U14:U16)</f>
        <v>34.67</v>
      </c>
      <c r="V17" s="14">
        <f t="shared" si="15"/>
        <v>39.791999999999994</v>
      </c>
      <c r="W17" s="11">
        <f t="shared" si="15"/>
        <v>0</v>
      </c>
      <c r="X17" s="11">
        <f t="shared" si="15"/>
        <v>0</v>
      </c>
    </row>
    <row r="18" spans="2:26" x14ac:dyDescent="0.25">
      <c r="B18" t="s">
        <v>63</v>
      </c>
      <c r="C18" s="10"/>
      <c r="D18" s="10">
        <v>116.339</v>
      </c>
      <c r="E18" s="10">
        <v>101.006</v>
      </c>
      <c r="F18" s="112">
        <v>106.749</v>
      </c>
      <c r="K18" s="10"/>
      <c r="L18" s="10"/>
      <c r="M18" s="10"/>
      <c r="N18" s="10"/>
      <c r="O18" s="10">
        <v>25.588999999999999</v>
      </c>
      <c r="P18" s="10">
        <v>27.25</v>
      </c>
      <c r="Q18" s="10">
        <v>25.216000000000001</v>
      </c>
      <c r="R18" s="10">
        <f t="shared" ref="R18:R20" si="16">E18-Q18-P18-O18</f>
        <v>22.950999999999993</v>
      </c>
      <c r="S18" s="10">
        <v>23.074000000000002</v>
      </c>
      <c r="T18" s="10">
        <v>24.155000000000001</v>
      </c>
      <c r="U18" s="10">
        <v>27.327000000000002</v>
      </c>
      <c r="V18" s="15">
        <f t="shared" ref="V18:V20" si="17">F18-U18-T18-S18</f>
        <v>32.192999999999998</v>
      </c>
      <c r="W18" s="10"/>
      <c r="X18" s="10"/>
    </row>
    <row r="19" spans="2:26" x14ac:dyDescent="0.25">
      <c r="B19" t="s">
        <v>168</v>
      </c>
      <c r="C19" s="10"/>
      <c r="D19" s="10">
        <v>86.304000000000002</v>
      </c>
      <c r="E19" s="10">
        <v>77.694000000000003</v>
      </c>
      <c r="F19" s="112">
        <v>72.676000000000002</v>
      </c>
      <c r="K19" s="10"/>
      <c r="L19" s="10"/>
      <c r="M19" s="10"/>
      <c r="N19" s="10"/>
      <c r="O19" s="10">
        <v>21.484999999999999</v>
      </c>
      <c r="P19" s="10">
        <v>23.733000000000001</v>
      </c>
      <c r="Q19" s="10">
        <v>16.795000000000002</v>
      </c>
      <c r="R19" s="10">
        <f t="shared" si="16"/>
        <v>15.680999999999997</v>
      </c>
      <c r="S19" s="10">
        <v>16.314</v>
      </c>
      <c r="T19" s="10">
        <v>17.574000000000002</v>
      </c>
      <c r="U19" s="10">
        <v>18.783000000000001</v>
      </c>
      <c r="V19" s="15">
        <f t="shared" si="17"/>
        <v>20.005000000000003</v>
      </c>
      <c r="W19" s="10"/>
      <c r="X19" s="10"/>
    </row>
    <row r="20" spans="2:26" x14ac:dyDescent="0.25">
      <c r="B20" t="s">
        <v>128</v>
      </c>
      <c r="C20" s="10"/>
      <c r="D20" s="10">
        <v>80.055000000000007</v>
      </c>
      <c r="E20" s="10">
        <v>77.147000000000006</v>
      </c>
      <c r="F20" s="15">
        <v>88.132999999999996</v>
      </c>
      <c r="K20" s="10"/>
      <c r="L20" s="10"/>
      <c r="M20" s="10"/>
      <c r="N20" s="10"/>
      <c r="O20" s="10">
        <v>19.18</v>
      </c>
      <c r="P20" s="10">
        <v>20.904</v>
      </c>
      <c r="Q20" s="10">
        <v>18.114000000000001</v>
      </c>
      <c r="R20" s="10">
        <f t="shared" si="16"/>
        <v>18.949000000000005</v>
      </c>
      <c r="S20" s="10">
        <v>19.986000000000001</v>
      </c>
      <c r="T20" s="10">
        <v>18.498999999999999</v>
      </c>
      <c r="U20" s="10">
        <v>18.814</v>
      </c>
      <c r="V20" s="15">
        <f t="shared" si="17"/>
        <v>30.833999999999993</v>
      </c>
      <c r="W20" s="10"/>
      <c r="X20" s="10"/>
    </row>
    <row r="21" spans="2:26" s="1" customFormat="1" x14ac:dyDescent="0.25">
      <c r="B21" s="1" t="s">
        <v>14</v>
      </c>
      <c r="C21" s="11">
        <f>C12-SUM(C17:C20)</f>
        <v>0</v>
      </c>
      <c r="D21" s="11">
        <f>D12-SUM(D17:D20)</f>
        <v>-169.74800000000002</v>
      </c>
      <c r="E21" s="11">
        <f>E12-SUM(E17:E20)</f>
        <v>-116.12199999999999</v>
      </c>
      <c r="F21" s="14">
        <f>F12-SUM(F17:F20)</f>
        <v>-95.072999999999979</v>
      </c>
      <c r="G21" s="11">
        <f>G12-SUM(G17:G20)</f>
        <v>0</v>
      </c>
      <c r="H21" s="11"/>
      <c r="I21" s="11"/>
      <c r="J21" s="11"/>
      <c r="K21" s="11">
        <f t="shared" ref="K21:X21" si="18">K12-SUM(K17:K20)</f>
        <v>0</v>
      </c>
      <c r="L21" s="11">
        <f t="shared" si="18"/>
        <v>0</v>
      </c>
      <c r="M21" s="11">
        <f t="shared" si="18"/>
        <v>0</v>
      </c>
      <c r="N21" s="11">
        <f t="shared" si="18"/>
        <v>0</v>
      </c>
      <c r="O21" s="11">
        <f t="shared" si="18"/>
        <v>-34.570999999999998</v>
      </c>
      <c r="P21" s="11">
        <f t="shared" si="18"/>
        <v>-39.576999999999998</v>
      </c>
      <c r="Q21" s="11">
        <f t="shared" si="18"/>
        <v>-22.608000000000004</v>
      </c>
      <c r="R21" s="11">
        <f t="shared" si="18"/>
        <v>-19.365999999999971</v>
      </c>
      <c r="S21" s="11">
        <f t="shared" si="18"/>
        <v>-22.771000000000015</v>
      </c>
      <c r="T21" s="11">
        <f t="shared" si="18"/>
        <v>-17.959999999999994</v>
      </c>
      <c r="U21" s="11">
        <f t="shared" si="18"/>
        <v>-18.339999999999989</v>
      </c>
      <c r="V21" s="14">
        <f t="shared" si="18"/>
        <v>-36.001999999999981</v>
      </c>
      <c r="W21" s="11">
        <f t="shared" si="18"/>
        <v>0</v>
      </c>
      <c r="X21" s="11">
        <f t="shared" si="18"/>
        <v>0</v>
      </c>
    </row>
    <row r="22" spans="2:26" x14ac:dyDescent="0.25">
      <c r="B22" t="s">
        <v>57</v>
      </c>
      <c r="C22" s="10"/>
      <c r="D22" s="10">
        <v>15.414</v>
      </c>
      <c r="E22" s="10">
        <f>10.257-0.832</f>
        <v>9.4249999999999989</v>
      </c>
      <c r="F22" s="15">
        <f>14.329-3.436</f>
        <v>10.893000000000001</v>
      </c>
      <c r="G22" s="10"/>
      <c r="K22" s="10"/>
      <c r="L22" s="10"/>
      <c r="M22" s="10"/>
      <c r="N22" s="10"/>
      <c r="O22" s="10">
        <v>3.1070000000000002</v>
      </c>
      <c r="P22" s="10">
        <f>2.771-0.602</f>
        <v>2.169</v>
      </c>
      <c r="Q22" s="10">
        <f>2.414-0.277</f>
        <v>2.137</v>
      </c>
      <c r="R22" s="10">
        <f t="shared" ref="R22:R24" si="19">E22-Q22-P22-O22</f>
        <v>2.0119999999999978</v>
      </c>
      <c r="S22" s="10">
        <v>1.8839999999999999</v>
      </c>
      <c r="T22" s="10">
        <f>2.172-5.679</f>
        <v>-3.5070000000000001</v>
      </c>
      <c r="U22" s="10">
        <f>4.414-1.02</f>
        <v>3.3939999999999997</v>
      </c>
      <c r="V22" s="15">
        <f t="shared" ref="V22:V24" si="20">F22-U22-T22-S22</f>
        <v>9.1219999999999999</v>
      </c>
      <c r="W22" s="10"/>
      <c r="X22" s="10"/>
    </row>
    <row r="23" spans="2:26" x14ac:dyDescent="0.25">
      <c r="B23" t="s">
        <v>52</v>
      </c>
      <c r="C23" s="10"/>
      <c r="D23" s="10">
        <v>13.709</v>
      </c>
      <c r="E23" s="10">
        <v>-15.116</v>
      </c>
      <c r="F23" s="15">
        <v>-161.4</v>
      </c>
      <c r="G23" s="10"/>
      <c r="K23" s="10"/>
      <c r="L23" s="10"/>
      <c r="M23" s="10"/>
      <c r="N23" s="10"/>
      <c r="O23" s="10">
        <v>1.53</v>
      </c>
      <c r="P23" s="10"/>
      <c r="Q23" s="10">
        <v>0.19800000000000001</v>
      </c>
      <c r="R23" s="10">
        <f t="shared" si="19"/>
        <v>-16.844000000000001</v>
      </c>
      <c r="S23" s="10">
        <v>10.387</v>
      </c>
      <c r="T23" s="10"/>
      <c r="U23" s="10">
        <v>-43.472999999999999</v>
      </c>
      <c r="V23" s="15">
        <f t="shared" si="20"/>
        <v>-128.31400000000002</v>
      </c>
      <c r="W23" s="10"/>
      <c r="X23" s="10"/>
    </row>
    <row r="24" spans="2:26" x14ac:dyDescent="0.25">
      <c r="B24" t="s">
        <v>17</v>
      </c>
      <c r="C24" s="10"/>
      <c r="D24" s="10">
        <v>0.93100000000000005</v>
      </c>
      <c r="E24" s="10">
        <v>1.077</v>
      </c>
      <c r="F24" s="15">
        <v>3.375</v>
      </c>
      <c r="G24" s="10"/>
      <c r="K24" s="10"/>
      <c r="L24" s="10"/>
      <c r="M24" s="10"/>
      <c r="N24" s="10"/>
      <c r="O24" s="10">
        <v>1.083</v>
      </c>
      <c r="P24" s="10">
        <v>-0.36299999999999999</v>
      </c>
      <c r="Q24" s="10">
        <v>0.217</v>
      </c>
      <c r="R24" s="10">
        <f t="shared" si="19"/>
        <v>0.1399999999999999</v>
      </c>
      <c r="S24" s="10">
        <v>-1.2</v>
      </c>
      <c r="T24" s="10">
        <v>-0.628</v>
      </c>
      <c r="U24" s="10">
        <v>1.7999999999999999E-2</v>
      </c>
      <c r="V24" s="15">
        <f t="shared" si="20"/>
        <v>5.1850000000000005</v>
      </c>
      <c r="W24" s="10"/>
      <c r="X24" s="10"/>
    </row>
    <row r="25" spans="2:26" s="1" customFormat="1" x14ac:dyDescent="0.25">
      <c r="B25" s="1" t="s">
        <v>129</v>
      </c>
      <c r="C25" s="11">
        <f t="shared" ref="C25:D25" si="21">C21+SUM(C22:C24)</f>
        <v>0</v>
      </c>
      <c r="D25" s="11">
        <f t="shared" si="21"/>
        <v>-139.69400000000002</v>
      </c>
      <c r="E25" s="11">
        <f t="shared" ref="E25:G25" si="22">E21+SUM(E22:E24)</f>
        <v>-120.73599999999999</v>
      </c>
      <c r="F25" s="14">
        <f t="shared" si="22"/>
        <v>-242.20499999999998</v>
      </c>
      <c r="G25" s="11">
        <f t="shared" si="22"/>
        <v>0</v>
      </c>
      <c r="K25" s="11">
        <f t="shared" ref="K25" si="23">K21+SUM(K22:K24)</f>
        <v>0</v>
      </c>
      <c r="L25" s="11">
        <f t="shared" ref="L25" si="24">L21+SUM(L22:L24)</f>
        <v>0</v>
      </c>
      <c r="M25" s="11">
        <f t="shared" ref="M25:Q25" si="25">M21+SUM(M22:M24)</f>
        <v>0</v>
      </c>
      <c r="N25" s="11">
        <f t="shared" si="25"/>
        <v>0</v>
      </c>
      <c r="O25" s="11">
        <f t="shared" si="25"/>
        <v>-28.850999999999999</v>
      </c>
      <c r="P25" s="11">
        <f t="shared" si="25"/>
        <v>-37.771000000000001</v>
      </c>
      <c r="Q25" s="11">
        <f t="shared" si="25"/>
        <v>-20.056000000000004</v>
      </c>
      <c r="R25" s="11">
        <f t="shared" ref="R25:T25" si="26">R21+SUM(R22:R24)</f>
        <v>-34.057999999999979</v>
      </c>
      <c r="S25" s="11">
        <f t="shared" si="26"/>
        <v>-11.700000000000014</v>
      </c>
      <c r="T25" s="11">
        <f t="shared" si="26"/>
        <v>-22.094999999999992</v>
      </c>
      <c r="U25" s="11">
        <f t="shared" ref="U25:X25" si="27">U21+SUM(U22:U24)</f>
        <v>-58.400999999999989</v>
      </c>
      <c r="V25" s="14">
        <f t="shared" si="27"/>
        <v>-150.00900000000001</v>
      </c>
      <c r="W25" s="11">
        <f t="shared" si="27"/>
        <v>0</v>
      </c>
      <c r="X25" s="11">
        <f t="shared" si="27"/>
        <v>0</v>
      </c>
    </row>
    <row r="26" spans="2:26" x14ac:dyDescent="0.25">
      <c r="B26" t="s">
        <v>11</v>
      </c>
      <c r="C26" s="10"/>
      <c r="D26" s="10">
        <v>0.81499999999999995</v>
      </c>
      <c r="E26" s="10">
        <v>2.46</v>
      </c>
      <c r="F26" s="15">
        <v>4.6550000000000002</v>
      </c>
      <c r="G26" s="10"/>
      <c r="K26" s="10"/>
      <c r="L26" s="10"/>
      <c r="M26" s="10"/>
      <c r="N26" s="10"/>
      <c r="O26" s="10">
        <v>0.442</v>
      </c>
      <c r="P26" s="10">
        <v>0.89700000000000002</v>
      </c>
      <c r="Q26" s="10">
        <v>2.5000000000000001E-2</v>
      </c>
      <c r="R26" s="10">
        <f t="shared" ref="R26" si="28">E26-Q26-P26-O26</f>
        <v>1.0960000000000001</v>
      </c>
      <c r="S26" s="10">
        <v>0.92800000000000005</v>
      </c>
      <c r="T26" s="10">
        <v>0.497</v>
      </c>
      <c r="U26" s="10">
        <v>0.78400000000000003</v>
      </c>
      <c r="V26" s="15">
        <f t="shared" ref="V26" si="29">F26-U26-T26-S26</f>
        <v>2.4460000000000006</v>
      </c>
      <c r="W26" s="10"/>
      <c r="X26" s="10"/>
    </row>
    <row r="27" spans="2:26" s="1" customFormat="1" x14ac:dyDescent="0.25">
      <c r="B27" s="1" t="s">
        <v>12</v>
      </c>
      <c r="C27" s="11">
        <f>C25-SUM(C26:C26)</f>
        <v>0</v>
      </c>
      <c r="D27" s="11">
        <f>D25-SUM(D26:D26)</f>
        <v>-140.50900000000001</v>
      </c>
      <c r="E27" s="11">
        <f>E25-SUM(E26:E26)</f>
        <v>-123.19599999999998</v>
      </c>
      <c r="F27" s="14">
        <f>F25-SUM(F26:F26)</f>
        <v>-246.85999999999999</v>
      </c>
      <c r="G27" s="11">
        <f>G25-SUM(G26:G26)</f>
        <v>0</v>
      </c>
      <c r="K27" s="11">
        <f t="shared" ref="K27:X27" si="30">K25-SUM(K26:K26)</f>
        <v>0</v>
      </c>
      <c r="L27" s="11">
        <f t="shared" si="30"/>
        <v>0</v>
      </c>
      <c r="M27" s="11">
        <f t="shared" si="30"/>
        <v>0</v>
      </c>
      <c r="N27" s="11">
        <f t="shared" si="30"/>
        <v>0</v>
      </c>
      <c r="O27" s="11">
        <f t="shared" si="30"/>
        <v>-29.292999999999999</v>
      </c>
      <c r="P27" s="11">
        <f t="shared" si="30"/>
        <v>-38.667999999999999</v>
      </c>
      <c r="Q27" s="11">
        <f t="shared" si="30"/>
        <v>-20.081000000000003</v>
      </c>
      <c r="R27" s="11">
        <f t="shared" si="30"/>
        <v>-35.153999999999982</v>
      </c>
      <c r="S27" s="11">
        <f t="shared" si="30"/>
        <v>-12.628000000000014</v>
      </c>
      <c r="T27" s="11">
        <f t="shared" si="30"/>
        <v>-22.591999999999992</v>
      </c>
      <c r="U27" s="11">
        <f t="shared" si="30"/>
        <v>-59.184999999999988</v>
      </c>
      <c r="V27" s="14">
        <f t="shared" si="30"/>
        <v>-152.45500000000001</v>
      </c>
      <c r="W27" s="11">
        <f t="shared" si="30"/>
        <v>0</v>
      </c>
      <c r="X27" s="11">
        <f t="shared" si="30"/>
        <v>0</v>
      </c>
    </row>
    <row r="28" spans="2:26" x14ac:dyDescent="0.25">
      <c r="B28" t="s">
        <v>1</v>
      </c>
      <c r="C28" s="10"/>
      <c r="D28" s="10">
        <v>279.58569799999998</v>
      </c>
      <c r="E28" s="10">
        <v>292.12429100000003</v>
      </c>
      <c r="F28" s="15">
        <v>307.79942399999999</v>
      </c>
      <c r="G28" s="10"/>
      <c r="K28" s="10"/>
      <c r="L28" s="10"/>
      <c r="M28" s="10"/>
      <c r="N28" s="10"/>
      <c r="O28" s="10">
        <v>288.26871799999998</v>
      </c>
      <c r="P28" s="10">
        <v>290.36431900000002</v>
      </c>
      <c r="Q28" s="10">
        <v>293.33732400000002</v>
      </c>
      <c r="R28" s="10">
        <f>E28</f>
        <v>292.12429100000003</v>
      </c>
      <c r="S28" s="10">
        <v>300.26795199999998</v>
      </c>
      <c r="T28" s="10">
        <v>304.12920400000002</v>
      </c>
      <c r="U28" s="10">
        <v>309.24824699999999</v>
      </c>
      <c r="V28" s="15">
        <v>307.79942399999999</v>
      </c>
      <c r="W28" s="10"/>
      <c r="X28" s="10"/>
    </row>
    <row r="29" spans="2:26" s="1" customFormat="1" x14ac:dyDescent="0.25">
      <c r="B29" s="1" t="s">
        <v>13</v>
      </c>
      <c r="C29" s="2" t="e">
        <f>C27/C28</f>
        <v>#DIV/0!</v>
      </c>
      <c r="D29" s="115">
        <f>D27/D28</f>
        <v>-0.50256147222523528</v>
      </c>
      <c r="E29" s="2">
        <f t="shared" ref="E29:G29" si="31">E27/E28</f>
        <v>-0.42172460077960439</v>
      </c>
      <c r="F29" s="34">
        <f t="shared" si="31"/>
        <v>-0.80201579584502403</v>
      </c>
      <c r="G29" s="2" t="e">
        <f t="shared" si="31"/>
        <v>#DIV/0!</v>
      </c>
      <c r="K29" s="2" t="e">
        <f t="shared" ref="K29:M29" si="32">K27/K28</f>
        <v>#DIV/0!</v>
      </c>
      <c r="L29" s="2" t="e">
        <f t="shared" si="32"/>
        <v>#DIV/0!</v>
      </c>
      <c r="M29" s="2" t="e">
        <f t="shared" si="32"/>
        <v>#DIV/0!</v>
      </c>
      <c r="N29" s="2" t="e">
        <f t="shared" ref="N29:Q29" si="33">N27/N28</f>
        <v>#DIV/0!</v>
      </c>
      <c r="O29" s="2">
        <f t="shared" si="33"/>
        <v>-0.10161699196233981</v>
      </c>
      <c r="P29" s="2">
        <f t="shared" si="33"/>
        <v>-0.1331706324426177</v>
      </c>
      <c r="Q29" s="2">
        <f t="shared" si="33"/>
        <v>-6.8457023218770494E-2</v>
      </c>
      <c r="R29" s="2">
        <f t="shared" ref="R29:T29" si="34">R27/R28</f>
        <v>-0.12033918808894936</v>
      </c>
      <c r="S29" s="2">
        <f t="shared" si="34"/>
        <v>-4.2055770240841471E-2</v>
      </c>
      <c r="T29" s="2">
        <f t="shared" si="34"/>
        <v>-7.428421770373618E-2</v>
      </c>
      <c r="U29" s="2">
        <f t="shared" ref="U29:X29" si="35">U27/U28</f>
        <v>-0.19138346158515165</v>
      </c>
      <c r="V29" s="34">
        <f>V27/V28</f>
        <v>-0.4953063200014306</v>
      </c>
      <c r="W29" s="2" t="e">
        <f t="shared" si="35"/>
        <v>#DIV/0!</v>
      </c>
      <c r="X29" s="2" t="e">
        <f t="shared" si="35"/>
        <v>#DIV/0!</v>
      </c>
    </row>
    <row r="30" spans="2:26" s="1" customFormat="1" x14ac:dyDescent="0.25">
      <c r="B30" s="9" t="s">
        <v>54</v>
      </c>
      <c r="C30" s="2"/>
      <c r="D30" s="2"/>
      <c r="E30" s="118"/>
      <c r="F30" s="121"/>
      <c r="G30" s="120">
        <v>-0.11</v>
      </c>
      <c r="H30" s="120">
        <v>-0.02</v>
      </c>
      <c r="K30" s="41"/>
      <c r="L30" s="41"/>
      <c r="M30" s="41"/>
      <c r="N30" s="41"/>
      <c r="O30" s="41"/>
      <c r="P30" s="41"/>
      <c r="Q30" s="41"/>
      <c r="R30" s="41"/>
      <c r="S30" s="41"/>
      <c r="T30" s="41"/>
      <c r="U30" s="41"/>
      <c r="V30" s="113"/>
      <c r="W30" s="41">
        <v>-0.04</v>
      </c>
      <c r="X30" s="41">
        <v>-0.03</v>
      </c>
      <c r="Y30" s="1">
        <v>-0.02</v>
      </c>
      <c r="Z30" s="1">
        <v>-0.01</v>
      </c>
    </row>
    <row r="31" spans="2:26" s="1" customFormat="1" x14ac:dyDescent="0.25">
      <c r="B31" t="s">
        <v>22</v>
      </c>
      <c r="C31" s="3" t="e">
        <f>1-C17/C12</f>
        <v>#DIV/0!</v>
      </c>
      <c r="D31" s="38">
        <f>1-D17/D12</f>
        <v>0.51178997353826072</v>
      </c>
      <c r="E31" s="38">
        <f>1-E17/E12</f>
        <v>0.57181852409638556</v>
      </c>
      <c r="F31" s="6">
        <f>1-F17/F12</f>
        <v>0.56051305215336966</v>
      </c>
      <c r="G31" s="38" t="e">
        <f>1-G17/G12</f>
        <v>#DIV/0!</v>
      </c>
      <c r="K31" s="3" t="e">
        <f t="shared" ref="K31:X31" si="36">1-K17/K12</f>
        <v>#DIV/0!</v>
      </c>
      <c r="L31" s="3" t="e">
        <f t="shared" si="36"/>
        <v>#DIV/0!</v>
      </c>
      <c r="M31" s="3" t="e">
        <f t="shared" si="36"/>
        <v>#DIV/0!</v>
      </c>
      <c r="N31" s="3" t="e">
        <f t="shared" si="36"/>
        <v>#DIV/0!</v>
      </c>
      <c r="O31" s="3">
        <f t="shared" si="36"/>
        <v>0.52420582395764392</v>
      </c>
      <c r="P31" s="38">
        <f t="shared" si="36"/>
        <v>0.52887448438420748</v>
      </c>
      <c r="Q31" s="3">
        <f t="shared" si="36"/>
        <v>0.61236248490190315</v>
      </c>
      <c r="R31" s="38">
        <f t="shared" si="36"/>
        <v>0.6208369886603633</v>
      </c>
      <c r="S31" s="3">
        <f t="shared" si="36"/>
        <v>0.55237304761186146</v>
      </c>
      <c r="T31" s="3">
        <f t="shared" si="36"/>
        <v>0.57596816831548248</v>
      </c>
      <c r="U31" s="38">
        <f t="shared" si="36"/>
        <v>0.57331331380608952</v>
      </c>
      <c r="V31" s="6">
        <f t="shared" si="36"/>
        <v>0.54168298357559141</v>
      </c>
      <c r="W31" s="3" t="e">
        <f t="shared" si="36"/>
        <v>#DIV/0!</v>
      </c>
      <c r="X31" s="3" t="e">
        <f t="shared" si="36"/>
        <v>#DIV/0!</v>
      </c>
    </row>
    <row r="32" spans="2:26" x14ac:dyDescent="0.25">
      <c r="B32" t="s">
        <v>23</v>
      </c>
      <c r="C32" s="4" t="e">
        <f>C27/C12</f>
        <v>#DIV/0!</v>
      </c>
      <c r="D32" s="4">
        <f>D27/D12</f>
        <v>-0.63666310218581224</v>
      </c>
      <c r="E32" s="4">
        <f>E27/E12</f>
        <v>-0.50417430591932944</v>
      </c>
      <c r="F32" s="7">
        <f>F27/F12</f>
        <v>-0.80220455143682556</v>
      </c>
      <c r="G32" s="4" t="e">
        <f>G27/G12</f>
        <v>#DIV/0!</v>
      </c>
      <c r="K32" s="4" t="e">
        <f t="shared" ref="K32:X32" si="37">K27/K12</f>
        <v>#DIV/0!</v>
      </c>
      <c r="L32" s="4" t="e">
        <f t="shared" si="37"/>
        <v>#DIV/0!</v>
      </c>
      <c r="M32" s="4" t="e">
        <f t="shared" si="37"/>
        <v>#DIV/0!</v>
      </c>
      <c r="N32" s="4" t="e">
        <f t="shared" si="37"/>
        <v>#DIV/0!</v>
      </c>
      <c r="O32" s="4">
        <f t="shared" si="37"/>
        <v>-0.48466247518199868</v>
      </c>
      <c r="P32" s="4">
        <f t="shared" si="37"/>
        <v>-0.63294703070778502</v>
      </c>
      <c r="Q32" s="4">
        <f t="shared" si="37"/>
        <v>-0.32776744034211475</v>
      </c>
      <c r="R32" s="4">
        <f t="shared" si="37"/>
        <v>-0.57110829515547279</v>
      </c>
      <c r="S32" s="4">
        <f t="shared" si="37"/>
        <v>-0.19056817324379408</v>
      </c>
      <c r="T32" s="4">
        <f t="shared" si="37"/>
        <v>-0.30785163382661535</v>
      </c>
      <c r="U32" s="4">
        <f t="shared" si="37"/>
        <v>-0.7283949097890563</v>
      </c>
      <c r="V32" s="7">
        <f t="shared" si="37"/>
        <v>-1.7559489530303383</v>
      </c>
      <c r="W32" s="4" t="e">
        <f t="shared" si="37"/>
        <v>#DIV/0!</v>
      </c>
      <c r="X32" s="4" t="e">
        <f t="shared" si="37"/>
        <v>#DIV/0!</v>
      </c>
    </row>
    <row r="33" spans="2:24" x14ac:dyDescent="0.25">
      <c r="B33" t="s">
        <v>133</v>
      </c>
      <c r="C33" s="38"/>
      <c r="D33" s="38" t="e">
        <f>D12/C12-1</f>
        <v>#DIV/0!</v>
      </c>
      <c r="E33" s="38">
        <f>E12/D12-1</f>
        <v>0.10718816834016032</v>
      </c>
      <c r="F33" s="6">
        <f>F12/E12-1</f>
        <v>0.25935944866422189</v>
      </c>
      <c r="G33" s="38">
        <f>G12/F12-1</f>
        <v>-1</v>
      </c>
      <c r="K33" s="4"/>
      <c r="L33" s="4"/>
      <c r="M33" s="4"/>
      <c r="N33" s="4"/>
      <c r="O33" s="4"/>
      <c r="P33" s="4"/>
      <c r="Q33" s="4"/>
      <c r="R33" s="4"/>
      <c r="S33" s="4">
        <f t="shared" ref="S33:X33" si="38">S12/O12-1</f>
        <v>9.6376571806750633E-2</v>
      </c>
      <c r="T33" s="4">
        <f t="shared" si="38"/>
        <v>0.20123747790218016</v>
      </c>
      <c r="U33" s="4">
        <f t="shared" si="38"/>
        <v>0.32624946952632783</v>
      </c>
      <c r="V33" s="7">
        <f t="shared" si="38"/>
        <v>0.41050134840952612</v>
      </c>
      <c r="W33" s="4">
        <f t="shared" si="38"/>
        <v>-1</v>
      </c>
      <c r="X33" s="4">
        <f t="shared" si="38"/>
        <v>-1</v>
      </c>
    </row>
    <row r="34" spans="2:24" x14ac:dyDescent="0.25">
      <c r="B34" t="s">
        <v>126</v>
      </c>
      <c r="C34" s="4" t="e">
        <f>C18/C12</f>
        <v>#DIV/0!</v>
      </c>
      <c r="D34" s="4">
        <f>D18/D12</f>
        <v>0.5271459383042737</v>
      </c>
      <c r="E34" s="4">
        <f>E18/E12</f>
        <v>0.41336268988999475</v>
      </c>
      <c r="F34" s="7">
        <f>F18/F12</f>
        <v>0.34689513757323864</v>
      </c>
      <c r="G34" s="4" t="e">
        <f>G18/G12</f>
        <v>#DIV/0!</v>
      </c>
      <c r="K34" s="4" t="e">
        <f t="shared" ref="K34:X34" si="39">K18/K12</f>
        <v>#DIV/0!</v>
      </c>
      <c r="L34" s="4" t="e">
        <f t="shared" si="39"/>
        <v>#DIV/0!</v>
      </c>
      <c r="M34" s="4" t="e">
        <f t="shared" si="39"/>
        <v>#DIV/0!</v>
      </c>
      <c r="N34" s="4" t="e">
        <f t="shared" si="39"/>
        <v>#DIV/0!</v>
      </c>
      <c r="O34" s="4">
        <f t="shared" si="39"/>
        <v>0.42337855724685636</v>
      </c>
      <c r="P34" s="4">
        <f t="shared" si="39"/>
        <v>0.44604858246578932</v>
      </c>
      <c r="Q34" s="4">
        <f t="shared" si="39"/>
        <v>0.41158228054712237</v>
      </c>
      <c r="R34" s="4">
        <f t="shared" si="39"/>
        <v>0.37285960295025483</v>
      </c>
      <c r="S34" s="4">
        <f t="shared" si="39"/>
        <v>0.34820795291632084</v>
      </c>
      <c r="T34" s="4">
        <f t="shared" si="39"/>
        <v>0.3291499741095032</v>
      </c>
      <c r="U34" s="4">
        <f>U18/U12</f>
        <v>0.33631575060920077</v>
      </c>
      <c r="V34" s="7">
        <f>V18/V12</f>
        <v>0.37079311695192463</v>
      </c>
      <c r="W34" s="4" t="e">
        <f t="shared" si="39"/>
        <v>#DIV/0!</v>
      </c>
      <c r="X34" s="4" t="e">
        <f t="shared" si="39"/>
        <v>#DIV/0!</v>
      </c>
    </row>
    <row r="35" spans="2:24" x14ac:dyDescent="0.25">
      <c r="B35" t="s">
        <v>169</v>
      </c>
      <c r="C35" s="4" t="e">
        <f>C19/C12</f>
        <v>#DIV/0!</v>
      </c>
      <c r="D35" s="4">
        <f>D19/D12</f>
        <v>0.39105375720448038</v>
      </c>
      <c r="E35" s="4">
        <f>E18/E12</f>
        <v>0.41336268988999475</v>
      </c>
      <c r="F35" s="7">
        <f>F19/F12</f>
        <v>0.23617037179058065</v>
      </c>
      <c r="G35" s="4" t="e">
        <f>G19/G12</f>
        <v>#DIV/0!</v>
      </c>
      <c r="K35" s="4" t="e">
        <f t="shared" ref="K35:X35" si="40">K19/K12</f>
        <v>#DIV/0!</v>
      </c>
      <c r="L35" s="4" t="e">
        <f t="shared" si="40"/>
        <v>#DIV/0!</v>
      </c>
      <c r="M35" s="4" t="e">
        <f t="shared" si="40"/>
        <v>#DIV/0!</v>
      </c>
      <c r="N35" s="4" t="e">
        <f t="shared" si="40"/>
        <v>#DIV/0!</v>
      </c>
      <c r="O35" s="4">
        <f t="shared" si="40"/>
        <v>0.35547650562541366</v>
      </c>
      <c r="P35" s="4">
        <f t="shared" si="40"/>
        <v>0.38847967000589279</v>
      </c>
      <c r="Q35" s="4">
        <f t="shared" si="40"/>
        <v>0.27413247151764436</v>
      </c>
      <c r="R35" s="4">
        <f t="shared" si="40"/>
        <v>0.25475192513890232</v>
      </c>
      <c r="S35" s="4">
        <f t="shared" si="40"/>
        <v>0.24619331472119521</v>
      </c>
      <c r="T35" s="4">
        <f t="shared" si="40"/>
        <v>0.23947346905404304</v>
      </c>
      <c r="U35" s="4">
        <f>U18/U12</f>
        <v>0.33631575060920077</v>
      </c>
      <c r="V35" s="7">
        <f>V18/V12</f>
        <v>0.37079311695192463</v>
      </c>
      <c r="W35" s="4" t="e">
        <f t="shared" si="40"/>
        <v>#DIV/0!</v>
      </c>
      <c r="X35" s="4" t="e">
        <f t="shared" si="40"/>
        <v>#DIV/0!</v>
      </c>
    </row>
    <row r="36" spans="2:24" x14ac:dyDescent="0.25">
      <c r="B36" t="s">
        <v>127</v>
      </c>
      <c r="C36" s="4"/>
      <c r="D36" s="4" t="e">
        <f>D20/C20-1</f>
        <v>#DIV/0!</v>
      </c>
      <c r="E36" s="4">
        <f t="shared" ref="E36" si="41">E20/D20-1</f>
        <v>-3.6325026544250849E-2</v>
      </c>
      <c r="F36" s="7">
        <f>F20/E20-1</f>
        <v>0.14240346351769984</v>
      </c>
      <c r="G36" s="4"/>
      <c r="K36" s="4"/>
      <c r="L36" s="4"/>
      <c r="M36" s="4"/>
      <c r="N36" s="4"/>
      <c r="O36" s="4"/>
      <c r="P36" s="4"/>
      <c r="Q36" s="4">
        <f t="shared" ref="Q36" si="42">Q20/P20-1</f>
        <v>-0.13346727898966704</v>
      </c>
      <c r="R36" s="4">
        <f t="shared" ref="R36" si="43">R20/Q20-1</f>
        <v>4.609694159213884E-2</v>
      </c>
      <c r="S36" s="4">
        <f t="shared" ref="S36" si="44">S20/R20-1</f>
        <v>5.4725843052403578E-2</v>
      </c>
      <c r="T36" s="4">
        <f t="shared" ref="T36" si="45">T20/S20-1</f>
        <v>-7.4402081457019986E-2</v>
      </c>
      <c r="U36" s="4">
        <f t="shared" ref="U36" si="46">U20/T20-1</f>
        <v>1.7027947456619286E-2</v>
      </c>
      <c r="V36" s="7">
        <f t="shared" ref="V36" si="47">V20/U20-1</f>
        <v>0.63888593600510224</v>
      </c>
      <c r="W36" s="4">
        <f t="shared" ref="W36" si="48">W20/V20-1</f>
        <v>-1</v>
      </c>
      <c r="X36" s="4" t="e">
        <f t="shared" ref="X36" si="49">X20/W20-1</f>
        <v>#DIV/0!</v>
      </c>
    </row>
    <row r="37" spans="2:24" x14ac:dyDescent="0.25">
      <c r="B37" t="s">
        <v>172</v>
      </c>
      <c r="C37" s="4"/>
      <c r="D37" s="4" t="e">
        <f t="shared" ref="D37:F38" si="50">D4/C4-1</f>
        <v>#DIV/0!</v>
      </c>
      <c r="E37" s="4">
        <f t="shared" si="50"/>
        <v>0.1326868622108246</v>
      </c>
      <c r="F37" s="7">
        <f t="shared" si="50"/>
        <v>0.41065069220065564</v>
      </c>
      <c r="G37" s="4"/>
      <c r="K37" s="4"/>
      <c r="L37" s="4"/>
      <c r="M37" s="4"/>
      <c r="N37" s="4"/>
      <c r="O37" s="4"/>
      <c r="P37" s="4"/>
      <c r="Q37" s="4" t="e">
        <f t="shared" ref="Q37:T37" si="51">Q4/M4-1</f>
        <v>#DIV/0!</v>
      </c>
      <c r="R37" s="4" t="e">
        <f t="shared" si="51"/>
        <v>#DIV/0!</v>
      </c>
      <c r="S37" s="4">
        <f t="shared" si="51"/>
        <v>0.37381080595943295</v>
      </c>
      <c r="T37" s="4">
        <f t="shared" si="51"/>
        <v>0.56826568265682642</v>
      </c>
      <c r="U37" s="4">
        <f>U4/Q4-1</f>
        <v>0.38610412231468949</v>
      </c>
      <c r="V37" s="7">
        <f t="shared" ref="V37:X37" si="52">V4/R4-1</f>
        <v>0.32041027571280667</v>
      </c>
      <c r="W37" s="4">
        <f t="shared" si="52"/>
        <v>-1</v>
      </c>
      <c r="X37" s="4">
        <f t="shared" si="52"/>
        <v>-1</v>
      </c>
    </row>
    <row r="38" spans="2:24" x14ac:dyDescent="0.25">
      <c r="B38" t="s">
        <v>173</v>
      </c>
      <c r="C38" s="4"/>
      <c r="D38" s="4" t="e">
        <f t="shared" si="50"/>
        <v>#DIV/0!</v>
      </c>
      <c r="E38" s="4">
        <f t="shared" si="50"/>
        <v>0.16466697686785414</v>
      </c>
      <c r="F38" s="7">
        <f t="shared" si="50"/>
        <v>0.4792608974816297</v>
      </c>
      <c r="G38" s="4"/>
      <c r="K38" s="4"/>
      <c r="L38" s="4"/>
      <c r="M38" s="4"/>
      <c r="N38" s="4"/>
      <c r="O38" s="4"/>
      <c r="P38" s="4"/>
      <c r="Q38" s="4" t="e">
        <f t="shared" ref="Q38:T38" si="53">Q5/M5-1</f>
        <v>#DIV/0!</v>
      </c>
      <c r="R38" s="4" t="e">
        <f t="shared" si="53"/>
        <v>#DIV/0!</v>
      </c>
      <c r="S38" s="4">
        <f t="shared" si="53"/>
        <v>0.37644223747626682</v>
      </c>
      <c r="T38" s="4">
        <f t="shared" si="53"/>
        <v>0.36230117264600015</v>
      </c>
      <c r="U38" s="4">
        <f>U5/Q5-1</f>
        <v>0.37989105991704575</v>
      </c>
      <c r="V38" s="7">
        <f t="shared" ref="V38:X38" si="54">V5/R5-1</f>
        <v>0.76177299780724717</v>
      </c>
      <c r="W38" s="4">
        <f t="shared" si="54"/>
        <v>-1</v>
      </c>
      <c r="X38" s="4">
        <f t="shared" si="54"/>
        <v>-1</v>
      </c>
    </row>
    <row r="39" spans="2:24" x14ac:dyDescent="0.25">
      <c r="B39" t="s">
        <v>170</v>
      </c>
      <c r="C39" s="4"/>
      <c r="D39" s="4" t="e">
        <f>D9/C9-1</f>
        <v>#DIV/0!</v>
      </c>
      <c r="E39" s="4">
        <f>E9/D9-1</f>
        <v>0.18625412541254116</v>
      </c>
      <c r="F39" s="7">
        <f>F9/E9-1</f>
        <v>3.1994658283140964E-4</v>
      </c>
      <c r="G39" s="4">
        <f>G9/F9-1</f>
        <v>-1</v>
      </c>
      <c r="K39" s="4"/>
      <c r="L39" s="4"/>
      <c r="M39" s="4"/>
      <c r="N39" s="4"/>
      <c r="O39" s="4"/>
      <c r="P39" s="4"/>
      <c r="Q39" s="4" t="e">
        <f t="shared" ref="Q39:T39" si="55">Q9/M9-1</f>
        <v>#DIV/0!</v>
      </c>
      <c r="R39" s="4" t="e">
        <f t="shared" si="55"/>
        <v>#DIV/0!</v>
      </c>
      <c r="S39" s="4">
        <f t="shared" si="55"/>
        <v>-9.8010970136849562E-2</v>
      </c>
      <c r="T39" s="4">
        <f t="shared" si="55"/>
        <v>-4.3832586297223419E-2</v>
      </c>
      <c r="U39" s="4">
        <f>U9/Q9-1</f>
        <v>1.487710219922378E-2</v>
      </c>
      <c r="V39" s="7">
        <f t="shared" ref="V39:X39" si="56">V9/R9-1</f>
        <v>0.1253106533384869</v>
      </c>
      <c r="W39" s="4">
        <f t="shared" si="56"/>
        <v>-1</v>
      </c>
      <c r="X39" s="4">
        <f t="shared" si="56"/>
        <v>-1</v>
      </c>
    </row>
    <row r="40" spans="2:24" x14ac:dyDescent="0.25">
      <c r="B40" t="s">
        <v>171</v>
      </c>
      <c r="C40" s="4"/>
      <c r="D40" s="4" t="e">
        <f>D10/C10-1</f>
        <v>#DIV/0!</v>
      </c>
      <c r="E40" s="4">
        <f>E10/D10-1</f>
        <v>-0.14276559710715431</v>
      </c>
      <c r="F40" s="7">
        <f>F11/E11-1</f>
        <v>0.54996947050678946</v>
      </c>
      <c r="G40" s="4">
        <f>G10/F10-1</f>
        <v>-1</v>
      </c>
      <c r="K40" s="4"/>
      <c r="L40" s="4"/>
      <c r="M40" s="4"/>
      <c r="N40" s="4"/>
      <c r="O40" s="4"/>
      <c r="P40" s="4"/>
      <c r="Q40" s="4" t="e">
        <f t="shared" ref="Q40:T40" si="57">Q10/M10-1</f>
        <v>#DIV/0!</v>
      </c>
      <c r="R40" s="4" t="e">
        <f t="shared" si="57"/>
        <v>#DIV/0!</v>
      </c>
      <c r="S40" s="4">
        <f t="shared" si="57"/>
        <v>4.3907020427330412E-2</v>
      </c>
      <c r="T40" s="4">
        <f t="shared" si="57"/>
        <v>5.7546374367622333E-2</v>
      </c>
      <c r="U40" s="4">
        <f>U10/Q10-1</f>
        <v>-7.8459041840118537E-2</v>
      </c>
      <c r="V40" s="7">
        <f t="shared" ref="V40:X40" si="58">V10/R10-1</f>
        <v>-5.7792294360751728E-2</v>
      </c>
      <c r="W40" s="4">
        <f t="shared" si="58"/>
        <v>-1</v>
      </c>
      <c r="X40" s="4">
        <f t="shared" si="58"/>
        <v>-1</v>
      </c>
    </row>
    <row r="41" spans="2:24" x14ac:dyDescent="0.25">
      <c r="B41" t="s">
        <v>132</v>
      </c>
      <c r="C41" s="38" t="e">
        <f>C29/#REF!-1</f>
        <v>#DIV/0!</v>
      </c>
      <c r="D41" s="38" t="e">
        <f>D29/C29-1</f>
        <v>#DIV/0!</v>
      </c>
      <c r="E41" s="38">
        <f t="shared" ref="E41:G41" si="59">E29/D29-1</f>
        <v>-0.16084971871739873</v>
      </c>
      <c r="F41" s="6">
        <f t="shared" si="59"/>
        <v>0.90175245732027354</v>
      </c>
      <c r="G41" s="38" t="e">
        <f t="shared" si="59"/>
        <v>#DIV/0!</v>
      </c>
      <c r="K41" s="4"/>
      <c r="L41" s="4"/>
      <c r="M41" s="4"/>
      <c r="N41" s="4"/>
      <c r="O41" s="4" t="e">
        <f t="shared" ref="O41" si="60">O27/K27-1</f>
        <v>#DIV/0!</v>
      </c>
      <c r="P41" s="4" t="e">
        <f t="shared" ref="P41" si="61">P27/L27-1</f>
        <v>#DIV/0!</v>
      </c>
      <c r="Q41" s="4" t="e">
        <f t="shared" ref="Q41" si="62">Q27/M27-1</f>
        <v>#DIV/0!</v>
      </c>
      <c r="R41" s="4" t="e">
        <f t="shared" ref="R41" si="63">R27/N27-1</f>
        <v>#DIV/0!</v>
      </c>
      <c r="S41" s="4">
        <f t="shared" ref="S41" si="64">S27/O27-1</f>
        <v>-0.56890724746526422</v>
      </c>
      <c r="T41" s="4">
        <f t="shared" ref="T41" si="65">T27/P27-1</f>
        <v>-0.41574428467983882</v>
      </c>
      <c r="U41" s="4">
        <f t="shared" ref="U41" si="66">U27/Q27-1</f>
        <v>1.9473133808077279</v>
      </c>
      <c r="V41" s="7">
        <f>V27/R27-1</f>
        <v>3.3367753313989903</v>
      </c>
      <c r="W41" s="4">
        <f t="shared" ref="W41" si="67">W27/S27-1</f>
        <v>-1</v>
      </c>
      <c r="X41" s="4">
        <f t="shared" ref="X41" si="68">X27/T27-1</f>
        <v>-1</v>
      </c>
    </row>
    <row r="42" spans="2:24" x14ac:dyDescent="0.25">
      <c r="C42" s="38"/>
      <c r="D42" s="38"/>
      <c r="E42" s="38"/>
      <c r="F42" s="6"/>
      <c r="G42" s="38"/>
      <c r="K42" s="4"/>
      <c r="L42" s="4"/>
      <c r="M42" s="4"/>
      <c r="N42" s="4"/>
      <c r="O42" s="4"/>
      <c r="P42" s="4"/>
      <c r="Q42" s="4"/>
      <c r="R42" s="4"/>
      <c r="S42" s="4"/>
      <c r="T42" s="4"/>
      <c r="U42" s="4"/>
      <c r="V42" s="7"/>
      <c r="W42" s="4"/>
      <c r="X42" s="4"/>
    </row>
    <row r="45" spans="2:24" s="1" customFormat="1" x14ac:dyDescent="0.25">
      <c r="B45" s="1" t="s">
        <v>28</v>
      </c>
      <c r="C45" s="11">
        <f t="shared" ref="C45:G45" si="69">C46+C48-C73</f>
        <v>0</v>
      </c>
      <c r="D45" s="11">
        <f t="shared" si="69"/>
        <v>0</v>
      </c>
      <c r="E45" s="11">
        <f t="shared" si="69"/>
        <v>222.07499999999999</v>
      </c>
      <c r="F45" s="11">
        <f>F46+F48-F73</f>
        <v>193.20600000000002</v>
      </c>
      <c r="G45" s="11">
        <f t="shared" si="69"/>
        <v>0</v>
      </c>
      <c r="K45" s="11">
        <f t="shared" ref="K45:T45" si="70">K46+K48-K73</f>
        <v>0</v>
      </c>
      <c r="L45" s="11">
        <f t="shared" si="70"/>
        <v>0</v>
      </c>
      <c r="M45" s="11">
        <f t="shared" si="70"/>
        <v>0</v>
      </c>
      <c r="N45" s="11">
        <f t="shared" si="70"/>
        <v>0</v>
      </c>
      <c r="O45" s="11">
        <f t="shared" si="70"/>
        <v>0</v>
      </c>
      <c r="P45" s="11">
        <f t="shared" si="70"/>
        <v>0</v>
      </c>
      <c r="Q45" s="11">
        <f t="shared" si="70"/>
        <v>0</v>
      </c>
      <c r="R45" s="11">
        <f t="shared" si="70"/>
        <v>222.07499999999999</v>
      </c>
      <c r="S45" s="11">
        <f t="shared" si="70"/>
        <v>226.095</v>
      </c>
      <c r="T45" s="11">
        <f t="shared" si="70"/>
        <v>271.53699999999998</v>
      </c>
      <c r="U45" s="11">
        <f>U46+U48-U73</f>
        <v>231.12299999999993</v>
      </c>
      <c r="V45" s="11">
        <f>V46+V48-V73</f>
        <v>193.20600000000002</v>
      </c>
      <c r="W45" s="14">
        <f t="shared" ref="W45:X45" si="71">W46+W47-W61</f>
        <v>0</v>
      </c>
      <c r="X45" s="14">
        <f t="shared" si="71"/>
        <v>0</v>
      </c>
    </row>
    <row r="46" spans="2:24" x14ac:dyDescent="0.25">
      <c r="B46" t="s">
        <v>15</v>
      </c>
      <c r="C46" s="10"/>
      <c r="D46" s="10"/>
      <c r="E46" s="10">
        <f>R46</f>
        <v>118.048</v>
      </c>
      <c r="F46" s="15">
        <f>V46</f>
        <v>229.441</v>
      </c>
      <c r="K46" s="10"/>
      <c r="L46" s="10"/>
      <c r="M46" s="10"/>
      <c r="N46" s="10"/>
      <c r="O46" s="10"/>
      <c r="P46" s="10"/>
      <c r="Q46" s="10"/>
      <c r="R46" s="10">
        <v>118.048</v>
      </c>
      <c r="S46" s="10">
        <v>133.471</v>
      </c>
      <c r="T46" s="10">
        <v>181.08699999999999</v>
      </c>
      <c r="U46" s="10">
        <v>443.34899999999999</v>
      </c>
      <c r="V46" s="15">
        <v>229.441</v>
      </c>
      <c r="W46" s="10"/>
      <c r="X46" s="10"/>
    </row>
    <row r="47" spans="2:24" x14ac:dyDescent="0.25">
      <c r="B47" t="s">
        <v>65</v>
      </c>
      <c r="C47" s="10"/>
      <c r="D47" s="10"/>
      <c r="E47" s="10">
        <f t="shared" ref="E47:E51" si="72">R47</f>
        <v>6.5979999999999999</v>
      </c>
      <c r="F47" s="15">
        <f t="shared" ref="F47:F51" si="73">V47</f>
        <v>0.64200000000000002</v>
      </c>
      <c r="K47" s="10"/>
      <c r="L47" s="10"/>
      <c r="M47" s="10"/>
      <c r="N47" s="10"/>
      <c r="O47" s="10"/>
      <c r="P47" s="10"/>
      <c r="Q47" s="10"/>
      <c r="R47" s="10">
        <v>6.5979999999999999</v>
      </c>
      <c r="S47" s="10">
        <v>6.6070000000000002</v>
      </c>
      <c r="T47" s="10">
        <v>6.3159999999999998</v>
      </c>
      <c r="U47" s="10">
        <v>0.90600000000000003</v>
      </c>
      <c r="V47" s="15">
        <v>0.64200000000000002</v>
      </c>
      <c r="W47" s="10"/>
      <c r="X47" s="10"/>
    </row>
    <row r="48" spans="2:24" x14ac:dyDescent="0.25">
      <c r="B48" t="s">
        <v>147</v>
      </c>
      <c r="C48" s="10"/>
      <c r="D48" s="10"/>
      <c r="E48" s="10">
        <f t="shared" si="72"/>
        <v>104.027</v>
      </c>
      <c r="F48" s="15">
        <f t="shared" si="73"/>
        <v>410.649</v>
      </c>
      <c r="K48" s="10"/>
      <c r="L48" s="10"/>
      <c r="M48" s="10"/>
      <c r="N48" s="10"/>
      <c r="O48" s="10"/>
      <c r="P48" s="10"/>
      <c r="Q48" s="10"/>
      <c r="R48" s="10">
        <v>104.027</v>
      </c>
      <c r="S48" s="10">
        <v>92.623999999999995</v>
      </c>
      <c r="T48" s="10">
        <v>90.45</v>
      </c>
      <c r="U48" s="10">
        <v>233.97499999999999</v>
      </c>
      <c r="V48" s="15">
        <v>410.649</v>
      </c>
      <c r="W48" s="10"/>
      <c r="X48" s="10"/>
    </row>
    <row r="49" spans="2:24" x14ac:dyDescent="0.25">
      <c r="B49" t="s">
        <v>16</v>
      </c>
      <c r="C49" s="10"/>
      <c r="D49" s="10"/>
      <c r="E49" s="10">
        <f t="shared" si="72"/>
        <v>55.832999999999998</v>
      </c>
      <c r="F49" s="15">
        <f t="shared" si="73"/>
        <v>83.528000000000006</v>
      </c>
      <c r="K49" s="10"/>
      <c r="L49" s="10"/>
      <c r="M49" s="10"/>
      <c r="N49" s="10"/>
      <c r="O49" s="10"/>
      <c r="P49" s="10"/>
      <c r="Q49" s="10"/>
      <c r="R49" s="10">
        <v>55.832999999999998</v>
      </c>
      <c r="S49" s="10">
        <v>74.662999999999997</v>
      </c>
      <c r="T49" s="10">
        <v>51.662999999999997</v>
      </c>
      <c r="U49" s="10">
        <v>46.332000000000001</v>
      </c>
      <c r="V49" s="15">
        <v>83.528000000000006</v>
      </c>
      <c r="W49" s="10"/>
      <c r="X49" s="10"/>
    </row>
    <row r="50" spans="2:24" x14ac:dyDescent="0.25">
      <c r="B50" t="s">
        <v>148</v>
      </c>
      <c r="C50" s="10"/>
      <c r="D50" s="10"/>
      <c r="E50" s="10">
        <f t="shared" si="72"/>
        <v>0</v>
      </c>
      <c r="F50" s="15">
        <f t="shared" si="73"/>
        <v>6.1180000000000003</v>
      </c>
      <c r="K50" s="10"/>
      <c r="L50" s="10"/>
      <c r="M50" s="10"/>
      <c r="N50" s="10"/>
      <c r="O50" s="10"/>
      <c r="P50" s="10"/>
      <c r="Q50" s="10"/>
      <c r="R50" s="10">
        <v>0</v>
      </c>
      <c r="S50" s="10">
        <v>0</v>
      </c>
      <c r="T50" s="10"/>
      <c r="U50" s="10"/>
      <c r="V50" s="15">
        <v>6.1180000000000003</v>
      </c>
      <c r="W50" s="10"/>
      <c r="X50" s="10"/>
    </row>
    <row r="51" spans="2:24" x14ac:dyDescent="0.25">
      <c r="B51" t="s">
        <v>66</v>
      </c>
      <c r="C51" s="10"/>
      <c r="D51" s="10"/>
      <c r="E51" s="10">
        <f t="shared" si="72"/>
        <v>17.719000000000001</v>
      </c>
      <c r="F51" s="15">
        <f t="shared" si="73"/>
        <v>44.984000000000002</v>
      </c>
      <c r="K51" s="10"/>
      <c r="L51" s="10"/>
      <c r="M51" s="10"/>
      <c r="N51" s="10"/>
      <c r="O51" s="10"/>
      <c r="P51" s="10"/>
      <c r="Q51" s="10"/>
      <c r="R51" s="10">
        <v>17.719000000000001</v>
      </c>
      <c r="S51" s="10">
        <v>17.446999999999999</v>
      </c>
      <c r="T51" s="10">
        <v>25.997</v>
      </c>
      <c r="U51" s="10">
        <v>29.581</v>
      </c>
      <c r="V51" s="15">
        <v>44.984000000000002</v>
      </c>
      <c r="W51" s="10"/>
      <c r="X51" s="10"/>
    </row>
    <row r="52" spans="2:24" s="1" customFormat="1" x14ac:dyDescent="0.25">
      <c r="B52" s="1" t="s">
        <v>50</v>
      </c>
      <c r="C52" s="11">
        <f t="shared" ref="C52:D52" si="74">SUM(C46:C51)</f>
        <v>0</v>
      </c>
      <c r="D52" s="11">
        <f t="shared" si="74"/>
        <v>0</v>
      </c>
      <c r="E52" s="11">
        <f t="shared" ref="E52:G52" si="75">SUM(E46:E51)</f>
        <v>302.22499999999997</v>
      </c>
      <c r="F52" s="14">
        <f t="shared" si="75"/>
        <v>775.36200000000008</v>
      </c>
      <c r="G52" s="11">
        <f t="shared" si="75"/>
        <v>0</v>
      </c>
      <c r="K52" s="11">
        <f t="shared" ref="K52:U52" si="76">SUM(K46:K51)</f>
        <v>0</v>
      </c>
      <c r="L52" s="11">
        <f t="shared" si="76"/>
        <v>0</v>
      </c>
      <c r="M52" s="11">
        <f t="shared" si="76"/>
        <v>0</v>
      </c>
      <c r="N52" s="11">
        <f t="shared" si="76"/>
        <v>0</v>
      </c>
      <c r="O52" s="11">
        <f t="shared" si="76"/>
        <v>0</v>
      </c>
      <c r="P52" s="11">
        <f t="shared" si="76"/>
        <v>0</v>
      </c>
      <c r="Q52" s="11">
        <f t="shared" si="76"/>
        <v>0</v>
      </c>
      <c r="R52" s="11">
        <f t="shared" si="76"/>
        <v>302.22499999999997</v>
      </c>
      <c r="S52" s="11">
        <f t="shared" si="76"/>
        <v>324.81200000000001</v>
      </c>
      <c r="T52" s="11">
        <f t="shared" si="76"/>
        <v>355.51300000000003</v>
      </c>
      <c r="U52" s="11">
        <f t="shared" si="76"/>
        <v>754.14300000000003</v>
      </c>
      <c r="V52" s="14">
        <f t="shared" ref="V52:X52" si="77">SUM(V46:V51)</f>
        <v>775.36200000000008</v>
      </c>
      <c r="W52" s="11">
        <f t="shared" si="77"/>
        <v>0</v>
      </c>
      <c r="X52" s="11">
        <f t="shared" si="77"/>
        <v>0</v>
      </c>
    </row>
    <row r="53" spans="2:24" x14ac:dyDescent="0.25">
      <c r="B53" t="s">
        <v>67</v>
      </c>
      <c r="C53" s="10"/>
      <c r="D53" s="10"/>
      <c r="E53" s="10">
        <f t="shared" ref="E53:E59" si="78">R53</f>
        <v>121.749</v>
      </c>
      <c r="F53" s="15">
        <f t="shared" ref="F53:F59" si="79">V53</f>
        <v>150.57300000000001</v>
      </c>
      <c r="G53" s="10"/>
      <c r="K53" s="10"/>
      <c r="L53" s="10"/>
      <c r="M53" s="10"/>
      <c r="N53" s="10"/>
      <c r="O53" s="10"/>
      <c r="P53" s="10"/>
      <c r="Q53" s="10"/>
      <c r="R53" s="10">
        <v>121.749</v>
      </c>
      <c r="S53" s="10">
        <v>122.473</v>
      </c>
      <c r="T53" s="10">
        <v>131.28800000000001</v>
      </c>
      <c r="U53" s="10">
        <v>145.084</v>
      </c>
      <c r="V53" s="15">
        <v>150.57300000000001</v>
      </c>
      <c r="W53" s="10"/>
      <c r="X53" s="10"/>
    </row>
    <row r="54" spans="2:24" x14ac:dyDescent="0.25">
      <c r="B54" t="s">
        <v>149</v>
      </c>
      <c r="C54" s="10"/>
      <c r="D54" s="10"/>
      <c r="E54" s="10">
        <f t="shared" si="78"/>
        <v>18.974</v>
      </c>
      <c r="F54" s="15">
        <f t="shared" si="79"/>
        <v>21.475000000000001</v>
      </c>
      <c r="G54" s="10"/>
      <c r="K54" s="10"/>
      <c r="L54" s="10"/>
      <c r="M54" s="10"/>
      <c r="N54" s="10"/>
      <c r="O54" s="10"/>
      <c r="P54" s="10"/>
      <c r="Q54" s="10"/>
      <c r="R54" s="10">
        <v>18.974</v>
      </c>
      <c r="S54" s="10">
        <v>19.783000000000001</v>
      </c>
      <c r="T54" s="10">
        <v>20.567</v>
      </c>
      <c r="U54" s="10">
        <v>21.062000000000001</v>
      </c>
      <c r="V54" s="15">
        <v>21.475000000000001</v>
      </c>
      <c r="W54" s="10"/>
      <c r="X54" s="10"/>
    </row>
    <row r="55" spans="2:24" x14ac:dyDescent="0.25">
      <c r="B55" t="s">
        <v>18</v>
      </c>
      <c r="C55" s="10"/>
      <c r="D55" s="10"/>
      <c r="E55" s="10">
        <f t="shared" si="78"/>
        <v>136.34899999999999</v>
      </c>
      <c r="F55" s="15">
        <f t="shared" si="79"/>
        <v>143.452</v>
      </c>
      <c r="G55" s="10"/>
      <c r="K55" s="10"/>
      <c r="L55" s="10"/>
      <c r="M55" s="10"/>
      <c r="N55" s="10"/>
      <c r="O55" s="10"/>
      <c r="P55" s="10"/>
      <c r="Q55" s="10"/>
      <c r="R55" s="10">
        <v>136.34899999999999</v>
      </c>
      <c r="S55" s="10">
        <v>138.49</v>
      </c>
      <c r="T55" s="10">
        <v>138.64400000000001</v>
      </c>
      <c r="U55" s="10">
        <v>138.95400000000001</v>
      </c>
      <c r="V55" s="15">
        <v>143.452</v>
      </c>
      <c r="W55" s="10"/>
      <c r="X55" s="10"/>
    </row>
    <row r="56" spans="2:24" x14ac:dyDescent="0.25">
      <c r="B56" t="s">
        <v>68</v>
      </c>
      <c r="C56" s="10"/>
      <c r="D56" s="10"/>
      <c r="E56" s="10">
        <f t="shared" si="78"/>
        <v>27.452000000000002</v>
      </c>
      <c r="F56" s="15">
        <f t="shared" si="79"/>
        <v>26.632999999999999</v>
      </c>
      <c r="G56" s="10"/>
      <c r="K56" s="10"/>
      <c r="L56" s="10"/>
      <c r="M56" s="10"/>
      <c r="N56" s="10"/>
      <c r="O56" s="10"/>
      <c r="P56" s="10"/>
      <c r="Q56" s="10"/>
      <c r="R56" s="10">
        <v>27.452000000000002</v>
      </c>
      <c r="S56" s="10">
        <v>27.763999999999999</v>
      </c>
      <c r="T56" s="10">
        <v>26.623999999999999</v>
      </c>
      <c r="U56" s="10">
        <v>25.536999999999999</v>
      </c>
      <c r="V56" s="15">
        <v>26.632999999999999</v>
      </c>
      <c r="W56" s="10"/>
      <c r="X56" s="10"/>
    </row>
    <row r="57" spans="2:24" s="1" customFormat="1" x14ac:dyDescent="0.25">
      <c r="B57" t="s">
        <v>65</v>
      </c>
      <c r="C57" s="10"/>
      <c r="D57" s="10"/>
      <c r="E57" s="10">
        <f t="shared" si="78"/>
        <v>5.3479999999999999</v>
      </c>
      <c r="F57" s="15">
        <f t="shared" si="79"/>
        <v>5.4710000000000001</v>
      </c>
      <c r="G57" s="10"/>
      <c r="K57" s="10"/>
      <c r="L57" s="10"/>
      <c r="M57" s="10"/>
      <c r="N57" s="10"/>
      <c r="O57" s="10"/>
      <c r="P57" s="10"/>
      <c r="Q57" s="10"/>
      <c r="R57" s="10">
        <v>5.3479999999999999</v>
      </c>
      <c r="S57" s="10">
        <v>5.5259999999999998</v>
      </c>
      <c r="T57" s="10">
        <v>5.5270000000000001</v>
      </c>
      <c r="U57" s="10">
        <v>5.367</v>
      </c>
      <c r="V57" s="15">
        <v>5.4710000000000001</v>
      </c>
      <c r="W57" s="10"/>
      <c r="X57" s="10"/>
    </row>
    <row r="58" spans="2:24" s="1" customFormat="1" x14ac:dyDescent="0.25">
      <c r="B58" t="s">
        <v>150</v>
      </c>
      <c r="C58" s="10"/>
      <c r="D58" s="10"/>
      <c r="E58" s="10">
        <f t="shared" si="78"/>
        <v>19.751999999999999</v>
      </c>
      <c r="F58" s="15">
        <f t="shared" si="79"/>
        <v>14.587999999999999</v>
      </c>
      <c r="G58" s="10"/>
      <c r="K58" s="10"/>
      <c r="L58" s="10"/>
      <c r="M58" s="10"/>
      <c r="N58" s="10"/>
      <c r="O58" s="10"/>
      <c r="P58" s="10"/>
      <c r="Q58" s="10"/>
      <c r="R58" s="10">
        <v>19.751999999999999</v>
      </c>
      <c r="S58" s="10">
        <v>17.927</v>
      </c>
      <c r="T58" s="10">
        <v>16.099</v>
      </c>
      <c r="U58" s="10">
        <v>13.95</v>
      </c>
      <c r="V58" s="15">
        <v>14.587999999999999</v>
      </c>
      <c r="W58" s="10"/>
      <c r="X58" s="10"/>
    </row>
    <row r="59" spans="2:24" s="1" customFormat="1" x14ac:dyDescent="0.25">
      <c r="B59" t="s">
        <v>151</v>
      </c>
      <c r="C59" s="10"/>
      <c r="D59" s="10"/>
      <c r="E59" s="10">
        <f t="shared" si="78"/>
        <v>1.9470000000000001</v>
      </c>
      <c r="F59" s="15">
        <f t="shared" si="79"/>
        <v>8.1319999999999997</v>
      </c>
      <c r="G59" s="10"/>
      <c r="K59" s="10"/>
      <c r="L59" s="10"/>
      <c r="M59" s="10"/>
      <c r="N59" s="10"/>
      <c r="O59" s="10"/>
      <c r="P59" s="10"/>
      <c r="Q59" s="10"/>
      <c r="R59" s="10">
        <v>1.9470000000000001</v>
      </c>
      <c r="S59" s="10">
        <v>1.615</v>
      </c>
      <c r="T59" s="10">
        <v>2.2130000000000001</v>
      </c>
      <c r="U59" s="10">
        <v>1.9630000000000001</v>
      </c>
      <c r="V59" s="15">
        <v>8.1319999999999997</v>
      </c>
      <c r="W59" s="10"/>
      <c r="X59" s="10"/>
    </row>
    <row r="60" spans="2:24" x14ac:dyDescent="0.25">
      <c r="B60" s="1" t="s">
        <v>19</v>
      </c>
      <c r="C60" s="11">
        <f>SUM(C52:C59)</f>
        <v>0</v>
      </c>
      <c r="D60" s="11">
        <f>SUM(D52:D59)</f>
        <v>0</v>
      </c>
      <c r="E60" s="11">
        <f>SUM(E52:E59)</f>
        <v>633.79599999999982</v>
      </c>
      <c r="F60" s="14">
        <f>SUM(F52:F59)</f>
        <v>1145.6860000000001</v>
      </c>
      <c r="G60" s="11">
        <f>SUM(G52:G59)</f>
        <v>0</v>
      </c>
      <c r="K60" s="11">
        <f t="shared" ref="K60:X60" si="80">SUM(K52:K59)</f>
        <v>0</v>
      </c>
      <c r="L60" s="11">
        <f t="shared" si="80"/>
        <v>0</v>
      </c>
      <c r="M60" s="11">
        <f t="shared" si="80"/>
        <v>0</v>
      </c>
      <c r="N60" s="11">
        <f t="shared" si="80"/>
        <v>0</v>
      </c>
      <c r="O60" s="11">
        <f t="shared" si="80"/>
        <v>0</v>
      </c>
      <c r="P60" s="11">
        <f t="shared" si="80"/>
        <v>0</v>
      </c>
      <c r="Q60" s="11">
        <f t="shared" si="80"/>
        <v>0</v>
      </c>
      <c r="R60" s="11">
        <f t="shared" si="80"/>
        <v>633.79599999999982</v>
      </c>
      <c r="S60" s="11">
        <f t="shared" si="80"/>
        <v>658.39</v>
      </c>
      <c r="T60" s="11">
        <f t="shared" si="80"/>
        <v>696.47500000000014</v>
      </c>
      <c r="U60" s="11">
        <f t="shared" si="80"/>
        <v>1106.0600000000002</v>
      </c>
      <c r="V60" s="14">
        <f t="shared" si="80"/>
        <v>1145.6860000000001</v>
      </c>
      <c r="W60" s="11">
        <f t="shared" si="80"/>
        <v>0</v>
      </c>
      <c r="X60" s="11">
        <f t="shared" si="80"/>
        <v>0</v>
      </c>
    </row>
    <row r="61" spans="2:24" x14ac:dyDescent="0.25">
      <c r="B61" t="s">
        <v>21</v>
      </c>
      <c r="C61" s="10"/>
      <c r="D61" s="10"/>
      <c r="E61" s="10">
        <f t="shared" ref="E61:E66" si="81">R61</f>
        <v>2.6040000000000001</v>
      </c>
      <c r="F61" s="15">
        <f t="shared" ref="F61:F66" si="82">V61</f>
        <v>10.612</v>
      </c>
      <c r="G61" s="10"/>
      <c r="K61" s="10"/>
      <c r="L61" s="10"/>
      <c r="M61" s="10"/>
      <c r="N61" s="10"/>
      <c r="O61" s="10"/>
      <c r="P61" s="10"/>
      <c r="Q61" s="10"/>
      <c r="R61" s="10">
        <v>2.6040000000000001</v>
      </c>
      <c r="S61" s="10">
        <v>4.0970000000000004</v>
      </c>
      <c r="T61" s="10">
        <v>11.053000000000001</v>
      </c>
      <c r="U61" s="10">
        <v>3.448</v>
      </c>
      <c r="V61" s="15">
        <v>10.612</v>
      </c>
      <c r="W61" s="10"/>
      <c r="X61" s="10"/>
    </row>
    <row r="62" spans="2:24" x14ac:dyDescent="0.25">
      <c r="B62" t="s">
        <v>152</v>
      </c>
      <c r="C62" s="10"/>
      <c r="D62" s="10"/>
      <c r="E62" s="10">
        <f t="shared" si="81"/>
        <v>42.6</v>
      </c>
      <c r="F62" s="15">
        <f t="shared" si="82"/>
        <v>55.874000000000002</v>
      </c>
      <c r="G62" s="10"/>
      <c r="K62" s="10"/>
      <c r="L62" s="10"/>
      <c r="M62" s="10"/>
      <c r="N62" s="10"/>
      <c r="O62" s="10"/>
      <c r="P62" s="10"/>
      <c r="Q62" s="10"/>
      <c r="R62" s="10">
        <v>42.6</v>
      </c>
      <c r="S62" s="10">
        <v>28.823</v>
      </c>
      <c r="T62" s="10">
        <v>32.442999999999998</v>
      </c>
      <c r="U62" s="10">
        <v>28.652000000000001</v>
      </c>
      <c r="V62" s="15">
        <v>55.874000000000002</v>
      </c>
      <c r="W62" s="10"/>
      <c r="X62" s="10"/>
    </row>
    <row r="63" spans="2:24" x14ac:dyDescent="0.25">
      <c r="B63" t="s">
        <v>153</v>
      </c>
      <c r="C63" s="10"/>
      <c r="D63" s="10"/>
      <c r="E63" s="10">
        <f t="shared" si="81"/>
        <v>82.275000000000006</v>
      </c>
      <c r="F63" s="15">
        <f t="shared" si="82"/>
        <v>220.572</v>
      </c>
      <c r="G63" s="10"/>
      <c r="K63" s="10"/>
      <c r="L63" s="10"/>
      <c r="M63" s="10"/>
      <c r="N63" s="10"/>
      <c r="O63" s="10"/>
      <c r="P63" s="10"/>
      <c r="Q63" s="10"/>
      <c r="R63" s="10">
        <v>82.275000000000006</v>
      </c>
      <c r="S63" s="10">
        <v>108.336</v>
      </c>
      <c r="T63" s="10">
        <v>148.006</v>
      </c>
      <c r="U63" s="10">
        <v>145.857</v>
      </c>
      <c r="V63" s="15">
        <v>220.572</v>
      </c>
      <c r="W63" s="10"/>
      <c r="X63" s="10"/>
    </row>
    <row r="64" spans="2:24" x14ac:dyDescent="0.25">
      <c r="B64" t="s">
        <v>154</v>
      </c>
      <c r="C64" s="10"/>
      <c r="D64" s="10"/>
      <c r="E64" s="10">
        <f t="shared" si="81"/>
        <v>5.3780000000000001</v>
      </c>
      <c r="F64" s="15">
        <f t="shared" si="82"/>
        <v>1.7929999999999999</v>
      </c>
      <c r="G64" s="10"/>
      <c r="K64" s="10"/>
      <c r="L64" s="10"/>
      <c r="M64" s="10"/>
      <c r="N64" s="10"/>
      <c r="O64" s="10"/>
      <c r="P64" s="10"/>
      <c r="Q64" s="10"/>
      <c r="R64" s="10">
        <v>5.3780000000000001</v>
      </c>
      <c r="S64" s="10">
        <v>4.4820000000000002</v>
      </c>
      <c r="T64" s="10">
        <v>3.5859999999999999</v>
      </c>
      <c r="U64" s="10">
        <v>2.6890000000000001</v>
      </c>
      <c r="V64" s="15">
        <v>1.7929999999999999</v>
      </c>
      <c r="W64" s="10"/>
      <c r="X64" s="10"/>
    </row>
    <row r="65" spans="2:24" x14ac:dyDescent="0.25">
      <c r="B65" t="s">
        <v>150</v>
      </c>
      <c r="C65" s="10"/>
      <c r="D65" s="10"/>
      <c r="E65" s="10">
        <f t="shared" si="81"/>
        <v>9.2210000000000001</v>
      </c>
      <c r="F65" s="15">
        <f t="shared" si="82"/>
        <v>7.2960000000000003</v>
      </c>
      <c r="G65" s="10"/>
      <c r="K65" s="10"/>
      <c r="L65" s="10"/>
      <c r="M65" s="10"/>
      <c r="N65" s="10"/>
      <c r="O65" s="10"/>
      <c r="P65" s="10"/>
      <c r="Q65" s="10"/>
      <c r="R65" s="10">
        <v>9.2210000000000001</v>
      </c>
      <c r="S65" s="10">
        <v>8.8160000000000007</v>
      </c>
      <c r="T65" s="10">
        <v>8.4030000000000005</v>
      </c>
      <c r="U65" s="10">
        <v>7.9429999999999996</v>
      </c>
      <c r="V65" s="15">
        <v>7.2960000000000003</v>
      </c>
      <c r="W65" s="10"/>
      <c r="X65" s="10"/>
    </row>
    <row r="66" spans="2:24" x14ac:dyDescent="0.25">
      <c r="B66" t="s">
        <v>155</v>
      </c>
      <c r="C66" s="10"/>
      <c r="D66" s="10"/>
      <c r="E66" s="10">
        <f t="shared" si="81"/>
        <v>0</v>
      </c>
      <c r="F66" s="15">
        <f t="shared" si="82"/>
        <v>173.30799999999999</v>
      </c>
      <c r="G66" s="10"/>
      <c r="K66" s="10"/>
      <c r="L66" s="10"/>
      <c r="M66" s="10"/>
      <c r="N66" s="10"/>
      <c r="O66" s="10"/>
      <c r="P66" s="10"/>
      <c r="Q66" s="10"/>
      <c r="R66" s="10">
        <v>0</v>
      </c>
      <c r="S66" s="10"/>
      <c r="T66" s="10"/>
      <c r="U66" s="10"/>
      <c r="V66" s="15">
        <v>173.30799999999999</v>
      </c>
      <c r="W66" s="10"/>
      <c r="X66" s="10"/>
    </row>
    <row r="67" spans="2:24" s="1" customFormat="1" x14ac:dyDescent="0.25">
      <c r="B67" s="1" t="s">
        <v>51</v>
      </c>
      <c r="C67" s="11">
        <f>SUM(C61:C66)</f>
        <v>0</v>
      </c>
      <c r="D67" s="11">
        <f>SUM(D61:D66)</f>
        <v>0</v>
      </c>
      <c r="E67" s="11">
        <f>SUM(E61:E66)</f>
        <v>142.07800000000003</v>
      </c>
      <c r="F67" s="14">
        <f>SUM(F61:F66)</f>
        <v>469.45499999999998</v>
      </c>
      <c r="G67" s="11">
        <f>SUM(G61:G66)</f>
        <v>0</v>
      </c>
      <c r="K67" s="11">
        <f t="shared" ref="K67:X67" si="83">SUM(K61:K66)</f>
        <v>0</v>
      </c>
      <c r="L67" s="11">
        <f t="shared" si="83"/>
        <v>0</v>
      </c>
      <c r="M67" s="11">
        <f t="shared" si="83"/>
        <v>0</v>
      </c>
      <c r="N67" s="11">
        <f t="shared" si="83"/>
        <v>0</v>
      </c>
      <c r="O67" s="11">
        <f t="shared" si="83"/>
        <v>0</v>
      </c>
      <c r="P67" s="11">
        <f t="shared" si="83"/>
        <v>0</v>
      </c>
      <c r="Q67" s="11">
        <f t="shared" si="83"/>
        <v>0</v>
      </c>
      <c r="R67" s="11">
        <f t="shared" si="83"/>
        <v>142.07800000000003</v>
      </c>
      <c r="S67" s="11">
        <f t="shared" si="83"/>
        <v>154.554</v>
      </c>
      <c r="T67" s="11">
        <f t="shared" si="83"/>
        <v>203.49100000000001</v>
      </c>
      <c r="U67" s="11">
        <f t="shared" si="83"/>
        <v>188.589</v>
      </c>
      <c r="V67" s="14">
        <f t="shared" si="83"/>
        <v>469.45499999999998</v>
      </c>
      <c r="W67" s="11">
        <f t="shared" si="83"/>
        <v>0</v>
      </c>
      <c r="X67" s="11">
        <f t="shared" si="83"/>
        <v>0</v>
      </c>
    </row>
    <row r="68" spans="2:24" x14ac:dyDescent="0.25">
      <c r="B68" t="s">
        <v>153</v>
      </c>
      <c r="C68" s="10"/>
      <c r="D68" s="10"/>
      <c r="E68" s="10">
        <f t="shared" ref="E68:E74" si="84">R68</f>
        <v>11.182</v>
      </c>
      <c r="F68" s="15">
        <f t="shared" ref="F68:F74" si="85">V68</f>
        <v>27.521999999999998</v>
      </c>
      <c r="G68" s="10"/>
      <c r="K68" s="10"/>
      <c r="L68" s="10"/>
      <c r="M68" s="10"/>
      <c r="N68" s="10"/>
      <c r="O68" s="10"/>
      <c r="P68" s="10"/>
      <c r="Q68" s="10"/>
      <c r="R68" s="10">
        <v>11.182</v>
      </c>
      <c r="S68" s="10">
        <v>29.675999999999998</v>
      </c>
      <c r="T68" s="10">
        <v>25.013000000000002</v>
      </c>
      <c r="U68" s="10">
        <v>48.332000000000001</v>
      </c>
      <c r="V68" s="15">
        <v>27.521999999999998</v>
      </c>
      <c r="W68" s="10"/>
      <c r="X68" s="10"/>
    </row>
    <row r="69" spans="2:24" x14ac:dyDescent="0.25">
      <c r="B69" t="s">
        <v>156</v>
      </c>
      <c r="C69" s="10"/>
      <c r="D69" s="10"/>
      <c r="E69" s="10">
        <f t="shared" si="84"/>
        <v>5.3680000000000003</v>
      </c>
      <c r="F69" s="15">
        <f t="shared" si="85"/>
        <v>4.0339999999999998</v>
      </c>
      <c r="G69" s="10"/>
      <c r="K69" s="10"/>
      <c r="L69" s="10"/>
      <c r="M69" s="10"/>
      <c r="N69" s="10"/>
      <c r="O69" s="10"/>
      <c r="P69" s="10"/>
      <c r="Q69" s="10"/>
      <c r="R69" s="10">
        <v>5.3680000000000003</v>
      </c>
      <c r="S69" s="10">
        <v>7.75</v>
      </c>
      <c r="T69" s="10">
        <v>6.5119999999999996</v>
      </c>
      <c r="U69" s="10">
        <v>5.2729999999999997</v>
      </c>
      <c r="V69" s="15">
        <v>4.0339999999999998</v>
      </c>
      <c r="W69" s="10"/>
      <c r="X69" s="10"/>
    </row>
    <row r="70" spans="2:24" x14ac:dyDescent="0.25">
      <c r="B70" t="s">
        <v>155</v>
      </c>
      <c r="C70" s="10"/>
      <c r="D70" s="10"/>
      <c r="E70" s="10">
        <f t="shared" si="84"/>
        <v>18.077000000000002</v>
      </c>
      <c r="F70" s="15">
        <f t="shared" si="85"/>
        <v>0</v>
      </c>
      <c r="G70" s="10"/>
      <c r="K70" s="10"/>
      <c r="L70" s="10"/>
      <c r="M70" s="10"/>
      <c r="N70" s="10"/>
      <c r="O70" s="10"/>
      <c r="P70" s="10"/>
      <c r="Q70" s="10"/>
      <c r="R70" s="10">
        <v>18.077000000000002</v>
      </c>
      <c r="S70" s="10">
        <v>7.69</v>
      </c>
      <c r="T70" s="10">
        <v>13.369</v>
      </c>
      <c r="U70" s="10">
        <v>56.82</v>
      </c>
      <c r="V70" s="15">
        <v>0</v>
      </c>
      <c r="W70" s="10"/>
      <c r="X70" s="10"/>
    </row>
    <row r="71" spans="2:24" x14ac:dyDescent="0.25">
      <c r="B71" t="s">
        <v>150</v>
      </c>
      <c r="C71" s="10"/>
      <c r="D71" s="10"/>
      <c r="E71" s="10">
        <f t="shared" si="84"/>
        <v>12.391999999999999</v>
      </c>
      <c r="F71" s="15">
        <f t="shared" si="85"/>
        <v>8.3000000000000007</v>
      </c>
      <c r="G71" s="10"/>
      <c r="K71" s="10"/>
      <c r="L71" s="10"/>
      <c r="M71" s="10"/>
      <c r="N71" s="10"/>
      <c r="O71" s="10"/>
      <c r="P71" s="10"/>
      <c r="Q71" s="10"/>
      <c r="R71" s="10">
        <v>12.391999999999999</v>
      </c>
      <c r="S71" s="10">
        <v>10.805999999999999</v>
      </c>
      <c r="T71" s="10">
        <v>9.1389999999999993</v>
      </c>
      <c r="U71" s="10">
        <v>7.2089999999999996</v>
      </c>
      <c r="V71" s="15">
        <v>8.3000000000000007</v>
      </c>
      <c r="W71" s="10"/>
      <c r="X71" s="10"/>
    </row>
    <row r="72" spans="2:24" x14ac:dyDescent="0.25">
      <c r="B72" t="s">
        <v>157</v>
      </c>
      <c r="C72" s="10"/>
      <c r="D72" s="10"/>
      <c r="E72" s="10">
        <f t="shared" si="84"/>
        <v>2.883</v>
      </c>
      <c r="F72" s="15">
        <f t="shared" si="85"/>
        <v>0</v>
      </c>
      <c r="G72" s="10"/>
      <c r="K72" s="10"/>
      <c r="L72" s="10"/>
      <c r="M72" s="10"/>
      <c r="N72" s="10"/>
      <c r="O72" s="10"/>
      <c r="P72" s="10"/>
      <c r="Q72" s="10"/>
      <c r="R72" s="10">
        <v>2.883</v>
      </c>
      <c r="S72" s="10">
        <v>2.6970000000000001</v>
      </c>
      <c r="T72" s="10">
        <v>2.774</v>
      </c>
      <c r="U72" s="10">
        <v>3.601</v>
      </c>
      <c r="V72" s="15">
        <v>0</v>
      </c>
      <c r="W72" s="10"/>
      <c r="X72" s="10"/>
    </row>
    <row r="73" spans="2:24" x14ac:dyDescent="0.25">
      <c r="B73" t="s">
        <v>158</v>
      </c>
      <c r="C73" s="10"/>
      <c r="D73" s="10"/>
      <c r="E73" s="10">
        <f t="shared" si="84"/>
        <v>0</v>
      </c>
      <c r="F73" s="15">
        <f t="shared" si="85"/>
        <v>446.88400000000001</v>
      </c>
      <c r="G73" s="10"/>
      <c r="K73" s="10"/>
      <c r="L73" s="10"/>
      <c r="M73" s="10"/>
      <c r="N73" s="10"/>
      <c r="O73" s="10"/>
      <c r="P73" s="10"/>
      <c r="Q73" s="10"/>
      <c r="R73" s="10"/>
      <c r="S73" s="10"/>
      <c r="T73" s="10"/>
      <c r="U73" s="10">
        <v>446.20100000000002</v>
      </c>
      <c r="V73" s="15">
        <v>446.88400000000001</v>
      </c>
      <c r="W73" s="10"/>
      <c r="X73" s="10"/>
    </row>
    <row r="74" spans="2:24" x14ac:dyDescent="0.25">
      <c r="B74" t="s">
        <v>151</v>
      </c>
      <c r="C74" s="10"/>
      <c r="D74" s="10"/>
      <c r="E74" s="10">
        <f t="shared" si="84"/>
        <v>0.53</v>
      </c>
      <c r="F74" s="15">
        <f t="shared" si="85"/>
        <v>1.06</v>
      </c>
      <c r="G74" s="10"/>
      <c r="K74" s="10"/>
      <c r="L74" s="10"/>
      <c r="M74" s="10"/>
      <c r="N74" s="10"/>
      <c r="O74" s="10"/>
      <c r="P74" s="10"/>
      <c r="Q74" s="10"/>
      <c r="R74" s="10">
        <v>0.53</v>
      </c>
      <c r="S74" s="10">
        <v>0.41499999999999998</v>
      </c>
      <c r="T74" s="10">
        <v>0.438</v>
      </c>
      <c r="U74" s="10">
        <v>0.47699999999999998</v>
      </c>
      <c r="V74" s="15">
        <v>1.06</v>
      </c>
      <c r="W74" s="10"/>
      <c r="X74" s="10"/>
    </row>
    <row r="75" spans="2:24" x14ac:dyDescent="0.25">
      <c r="B75" s="1" t="s">
        <v>20</v>
      </c>
      <c r="C75" s="11">
        <f>SUM(C67:C74)</f>
        <v>0</v>
      </c>
      <c r="D75" s="11">
        <f>SUM(D67:D74)</f>
        <v>0</v>
      </c>
      <c r="E75" s="11">
        <f>SUM(E67:E74)</f>
        <v>192.51000000000002</v>
      </c>
      <c r="F75" s="14">
        <f>SUM(F67:F74)</f>
        <v>957.25499999999988</v>
      </c>
      <c r="G75" s="11">
        <f>SUM(G67:G74)</f>
        <v>0</v>
      </c>
      <c r="K75" s="11">
        <f t="shared" ref="K75:X75" si="86">SUM(K67:K74)</f>
        <v>0</v>
      </c>
      <c r="L75" s="11">
        <f t="shared" si="86"/>
        <v>0</v>
      </c>
      <c r="M75" s="11">
        <f t="shared" si="86"/>
        <v>0</v>
      </c>
      <c r="N75" s="11">
        <f t="shared" si="86"/>
        <v>0</v>
      </c>
      <c r="O75" s="11">
        <f t="shared" si="86"/>
        <v>0</v>
      </c>
      <c r="P75" s="11">
        <f t="shared" si="86"/>
        <v>0</v>
      </c>
      <c r="Q75" s="11">
        <f t="shared" si="86"/>
        <v>0</v>
      </c>
      <c r="R75" s="11">
        <f t="shared" si="86"/>
        <v>192.51000000000002</v>
      </c>
      <c r="S75" s="11">
        <f t="shared" si="86"/>
        <v>213.58799999999999</v>
      </c>
      <c r="T75" s="11">
        <f t="shared" si="86"/>
        <v>260.73599999999999</v>
      </c>
      <c r="U75" s="11">
        <f t="shared" si="86"/>
        <v>756.50200000000007</v>
      </c>
      <c r="V75" s="14">
        <f t="shared" si="86"/>
        <v>957.25499999999988</v>
      </c>
      <c r="W75" s="11">
        <f t="shared" si="86"/>
        <v>0</v>
      </c>
      <c r="X75" s="11">
        <f t="shared" si="86"/>
        <v>0</v>
      </c>
    </row>
    <row r="76" spans="2:24" x14ac:dyDescent="0.25">
      <c r="B76" t="s">
        <v>69</v>
      </c>
      <c r="C76" s="10">
        <f>C60-C75</f>
        <v>0</v>
      </c>
      <c r="D76" s="10">
        <f>D60-D75</f>
        <v>0</v>
      </c>
      <c r="E76" s="10">
        <f>E60-E75</f>
        <v>441.28599999999983</v>
      </c>
      <c r="F76" s="15">
        <f>F60-F75</f>
        <v>188.43100000000027</v>
      </c>
      <c r="G76" s="10">
        <f>G60-G75</f>
        <v>0</v>
      </c>
      <c r="K76" s="10">
        <f t="shared" ref="K76:X76" si="87">K60-K75</f>
        <v>0</v>
      </c>
      <c r="L76" s="10">
        <f t="shared" si="87"/>
        <v>0</v>
      </c>
      <c r="M76" s="10">
        <f t="shared" si="87"/>
        <v>0</v>
      </c>
      <c r="N76" s="10">
        <f t="shared" si="87"/>
        <v>0</v>
      </c>
      <c r="O76" s="10">
        <f t="shared" si="87"/>
        <v>0</v>
      </c>
      <c r="P76" s="10">
        <f t="shared" si="87"/>
        <v>0</v>
      </c>
      <c r="Q76" s="10">
        <f t="shared" si="87"/>
        <v>0</v>
      </c>
      <c r="R76" s="10">
        <f t="shared" si="87"/>
        <v>441.28599999999983</v>
      </c>
      <c r="S76" s="10">
        <f t="shared" si="87"/>
        <v>444.80200000000002</v>
      </c>
      <c r="T76" s="10">
        <f t="shared" si="87"/>
        <v>435.73900000000015</v>
      </c>
      <c r="U76" s="10">
        <f t="shared" si="87"/>
        <v>349.55800000000011</v>
      </c>
      <c r="V76" s="15">
        <f>V60-V75</f>
        <v>188.43100000000027</v>
      </c>
      <c r="W76" s="10">
        <f t="shared" si="87"/>
        <v>0</v>
      </c>
      <c r="X76" s="10">
        <f t="shared" si="87"/>
        <v>0</v>
      </c>
    </row>
    <row r="78" spans="2:24" s="1" customFormat="1" x14ac:dyDescent="0.25">
      <c r="B78" s="1" t="s">
        <v>70</v>
      </c>
      <c r="C78" s="44"/>
      <c r="D78" s="116"/>
      <c r="F78" s="16"/>
      <c r="V78" s="16"/>
    </row>
    <row r="96" spans="6:22" s="9" customFormat="1" x14ac:dyDescent="0.25">
      <c r="F96" s="40"/>
      <c r="V96" s="40"/>
    </row>
    <row r="97" spans="6:22" s="1" customFormat="1" x14ac:dyDescent="0.25">
      <c r="F97" s="16"/>
      <c r="V97" s="16"/>
    </row>
  </sheetData>
  <phoneticPr fontId="3" type="noConversion"/>
  <conditionalFormatting sqref="S33:V33">
    <cfRule type="colorScale" priority="1">
      <colorScale>
        <cfvo type="min"/>
        <cfvo type="percentile" val="50"/>
        <cfvo type="max"/>
        <color rgb="FFF8696B"/>
        <color rgb="FFFFEB84"/>
        <color rgb="FF63BE7B"/>
      </colorScale>
    </cfRule>
  </conditionalFormatting>
  <hyperlinks>
    <hyperlink ref="A1" location="Main!A1" display="Main" xr:uid="{A5C06EBA-D952-421E-93A2-3BF49E6344BF}"/>
  </hyperlink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0AE-D1F2-4470-937E-18BA568AD24E}">
  <dimension ref="A1:Y10"/>
  <sheetViews>
    <sheetView workbookViewId="0">
      <selection activeCell="P12" sqref="P12"/>
    </sheetView>
  </sheetViews>
  <sheetFormatPr defaultRowHeight="15" x14ac:dyDescent="0.25"/>
  <cols>
    <col min="1" max="1" width="14.85546875" customWidth="1"/>
    <col min="23" max="25" width="10.140625" bestFit="1" customWidth="1"/>
  </cols>
  <sheetData>
    <row r="1" spans="1:25" x14ac:dyDescent="0.25">
      <c r="B1" s="114">
        <v>45413</v>
      </c>
      <c r="C1" s="114">
        <v>45444</v>
      </c>
      <c r="D1" s="114">
        <v>45474</v>
      </c>
      <c r="E1" s="114">
        <v>45505</v>
      </c>
      <c r="F1" s="114">
        <v>45536</v>
      </c>
      <c r="G1" s="114">
        <v>45566</v>
      </c>
      <c r="H1" s="114">
        <v>45597</v>
      </c>
      <c r="I1" s="114">
        <v>45627</v>
      </c>
      <c r="J1" s="114">
        <v>45658</v>
      </c>
      <c r="K1" s="114">
        <v>45689</v>
      </c>
      <c r="L1" s="114">
        <v>45717</v>
      </c>
      <c r="M1" s="114">
        <v>45748</v>
      </c>
      <c r="N1" s="114">
        <v>45778</v>
      </c>
      <c r="O1" s="114">
        <v>45809</v>
      </c>
      <c r="P1" s="114">
        <v>45839</v>
      </c>
      <c r="Q1" s="114">
        <v>45870</v>
      </c>
      <c r="R1" s="114">
        <v>45901</v>
      </c>
      <c r="S1" s="114">
        <v>45931</v>
      </c>
      <c r="T1" s="114">
        <v>45962</v>
      </c>
      <c r="U1" s="114">
        <v>45992</v>
      </c>
      <c r="V1" s="114">
        <v>46023</v>
      </c>
      <c r="W1" s="114">
        <v>46054</v>
      </c>
      <c r="X1" s="114">
        <v>46082</v>
      </c>
      <c r="Y1" s="114">
        <v>46113</v>
      </c>
    </row>
    <row r="2" spans="1:25" x14ac:dyDescent="0.25">
      <c r="A2" t="s">
        <v>134</v>
      </c>
      <c r="B2">
        <v>0</v>
      </c>
      <c r="C2">
        <v>0</v>
      </c>
      <c r="D2">
        <v>0</v>
      </c>
      <c r="E2">
        <v>0</v>
      </c>
      <c r="F2">
        <v>0</v>
      </c>
      <c r="G2">
        <v>0</v>
      </c>
      <c r="H2">
        <v>0</v>
      </c>
      <c r="I2">
        <v>0</v>
      </c>
      <c r="J2">
        <v>0</v>
      </c>
      <c r="K2">
        <v>0</v>
      </c>
      <c r="L2">
        <v>0</v>
      </c>
      <c r="M2">
        <v>0</v>
      </c>
      <c r="N2">
        <v>0</v>
      </c>
      <c r="O2">
        <v>0</v>
      </c>
      <c r="P2">
        <v>0</v>
      </c>
      <c r="Q2">
        <v>0</v>
      </c>
      <c r="R2">
        <v>0</v>
      </c>
      <c r="S2">
        <v>0</v>
      </c>
      <c r="T2">
        <v>0</v>
      </c>
      <c r="U2">
        <v>0</v>
      </c>
      <c r="V2">
        <v>2</v>
      </c>
      <c r="W2">
        <v>2</v>
      </c>
      <c r="X2">
        <v>1</v>
      </c>
    </row>
    <row r="3" spans="1:25" x14ac:dyDescent="0.25">
      <c r="A3" t="s">
        <v>135</v>
      </c>
      <c r="B3">
        <v>1</v>
      </c>
      <c r="C3">
        <v>1</v>
      </c>
      <c r="D3">
        <v>1</v>
      </c>
      <c r="E3">
        <v>1</v>
      </c>
      <c r="F3">
        <v>1</v>
      </c>
      <c r="G3">
        <v>1</v>
      </c>
      <c r="H3">
        <v>1</v>
      </c>
      <c r="I3">
        <v>1</v>
      </c>
      <c r="J3">
        <v>1</v>
      </c>
      <c r="K3">
        <v>0</v>
      </c>
      <c r="L3">
        <v>1</v>
      </c>
      <c r="M3">
        <v>1</v>
      </c>
      <c r="N3">
        <v>1</v>
      </c>
      <c r="O3">
        <v>1</v>
      </c>
      <c r="P3">
        <v>1</v>
      </c>
      <c r="Q3">
        <v>1</v>
      </c>
      <c r="R3">
        <v>1</v>
      </c>
      <c r="S3">
        <v>1</v>
      </c>
      <c r="T3">
        <v>2</v>
      </c>
      <c r="U3">
        <v>2</v>
      </c>
      <c r="V3">
        <v>3</v>
      </c>
      <c r="W3">
        <v>3</v>
      </c>
      <c r="X3">
        <v>4</v>
      </c>
    </row>
    <row r="4" spans="1:25" x14ac:dyDescent="0.25">
      <c r="A4" t="s">
        <v>136</v>
      </c>
      <c r="B4">
        <v>6</v>
      </c>
      <c r="C4">
        <v>6</v>
      </c>
      <c r="D4">
        <v>6</v>
      </c>
      <c r="E4">
        <v>6</v>
      </c>
      <c r="F4">
        <v>7</v>
      </c>
      <c r="G4">
        <v>6</v>
      </c>
      <c r="H4">
        <v>6</v>
      </c>
      <c r="I4">
        <v>6</v>
      </c>
      <c r="J4">
        <v>7</v>
      </c>
      <c r="K4">
        <v>10</v>
      </c>
      <c r="L4">
        <v>10</v>
      </c>
      <c r="M4">
        <v>10</v>
      </c>
      <c r="N4">
        <v>9</v>
      </c>
      <c r="O4">
        <v>9</v>
      </c>
      <c r="P4">
        <v>9</v>
      </c>
      <c r="Q4">
        <v>9</v>
      </c>
      <c r="R4">
        <v>9</v>
      </c>
      <c r="S4">
        <v>9</v>
      </c>
      <c r="T4">
        <v>8</v>
      </c>
      <c r="U4">
        <v>8</v>
      </c>
      <c r="V4">
        <v>7</v>
      </c>
      <c r="W4">
        <v>7</v>
      </c>
      <c r="X4">
        <v>6</v>
      </c>
    </row>
    <row r="5" spans="1:25" x14ac:dyDescent="0.25">
      <c r="A5" t="s">
        <v>137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row>
    <row r="8" spans="1:25" x14ac:dyDescent="0.25">
      <c r="A8" s="1" t="s">
        <v>138</v>
      </c>
    </row>
    <row r="9" spans="1:25" x14ac:dyDescent="0.25">
      <c r="A9" t="s">
        <v>175</v>
      </c>
      <c r="B9">
        <v>1.85</v>
      </c>
      <c r="C9">
        <v>1.91</v>
      </c>
      <c r="D9">
        <v>1.9</v>
      </c>
      <c r="E9">
        <v>2.2400000000000002</v>
      </c>
      <c r="F9">
        <v>2.41</v>
      </c>
      <c r="G9">
        <v>2.19</v>
      </c>
      <c r="H9">
        <v>2.44</v>
      </c>
      <c r="I9">
        <v>3.8</v>
      </c>
      <c r="J9">
        <v>4.04</v>
      </c>
      <c r="K9">
        <v>5.54</v>
      </c>
      <c r="L9">
        <v>4.68</v>
      </c>
      <c r="M9">
        <v>3.53</v>
      </c>
      <c r="N9">
        <v>3.44</v>
      </c>
      <c r="O9">
        <v>4.5199999999999996</v>
      </c>
      <c r="P9">
        <v>6.02</v>
      </c>
      <c r="Q9">
        <v>6.54</v>
      </c>
      <c r="R9">
        <v>7.59</v>
      </c>
      <c r="S9">
        <v>13.31</v>
      </c>
      <c r="T9">
        <v>12.84</v>
      </c>
      <c r="U9">
        <v>13.13</v>
      </c>
      <c r="V9">
        <v>21.38</v>
      </c>
      <c r="W9">
        <v>24.7</v>
      </c>
      <c r="X9">
        <v>24.5</v>
      </c>
    </row>
    <row r="10" spans="1:25" x14ac:dyDescent="0.25">
      <c r="A10" t="s">
        <v>176</v>
      </c>
      <c r="B10">
        <v>4.68</v>
      </c>
      <c r="C10">
        <v>4.68</v>
      </c>
      <c r="D10">
        <v>4.3</v>
      </c>
      <c r="E10">
        <v>4.3</v>
      </c>
      <c r="F10">
        <v>4.3899999999999997</v>
      </c>
      <c r="G10">
        <v>3.93</v>
      </c>
      <c r="H10">
        <v>3.93</v>
      </c>
      <c r="I10">
        <v>3.93</v>
      </c>
      <c r="J10">
        <v>4.33</v>
      </c>
      <c r="K10">
        <v>5.64</v>
      </c>
      <c r="L10">
        <v>6.27</v>
      </c>
      <c r="M10">
        <v>6.27</v>
      </c>
      <c r="N10">
        <v>5.98</v>
      </c>
      <c r="O10">
        <v>5.98</v>
      </c>
      <c r="P10">
        <v>6.71</v>
      </c>
      <c r="Q10">
        <v>6.86</v>
      </c>
      <c r="R10">
        <v>6.86</v>
      </c>
      <c r="S10">
        <v>7.56</v>
      </c>
      <c r="T10">
        <v>11.26</v>
      </c>
      <c r="U10">
        <v>11.26</v>
      </c>
      <c r="V10">
        <v>14.74</v>
      </c>
      <c r="W10">
        <v>20.64</v>
      </c>
      <c r="X10">
        <v>21.88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topLeftCell="A34" workbookViewId="0">
      <selection activeCell="X58" sqref="X58"/>
    </sheetView>
  </sheetViews>
  <sheetFormatPr defaultRowHeight="15" x14ac:dyDescent="0.25"/>
  <sheetData>
    <row r="1" spans="1:1" x14ac:dyDescent="0.25">
      <c r="A1" s="8" t="s">
        <v>27</v>
      </c>
    </row>
  </sheetData>
  <hyperlinks>
    <hyperlink ref="A1" location="Main!A1" display="Main" xr:uid="{58C3B527-2D5B-414E-8D16-78915C434B11}"/>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E2"/>
  <sheetViews>
    <sheetView workbookViewId="0">
      <selection activeCell="B2" sqref="B2"/>
    </sheetView>
  </sheetViews>
  <sheetFormatPr defaultRowHeight="15" x14ac:dyDescent="0.25"/>
  <sheetData>
    <row r="1" spans="1:5" x14ac:dyDescent="0.25">
      <c r="B1" t="s">
        <v>473</v>
      </c>
      <c r="C1" t="s">
        <v>474</v>
      </c>
      <c r="D1" t="s">
        <v>475</v>
      </c>
      <c r="E1" t="s">
        <v>476</v>
      </c>
    </row>
    <row r="2" spans="1:5" x14ac:dyDescent="0.25">
      <c r="A2" t="s">
        <v>472</v>
      </c>
      <c r="B2">
        <v>280</v>
      </c>
      <c r="C2">
        <v>242</v>
      </c>
      <c r="D2">
        <v>504</v>
      </c>
      <c r="E2">
        <v>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workbookViewId="0">
      <selection activeCell="F13" sqref="F13"/>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27</v>
      </c>
      <c r="B1" t="s">
        <v>40</v>
      </c>
      <c r="C1" s="17" t="s">
        <v>41</v>
      </c>
    </row>
    <row r="2" spans="1:13" x14ac:dyDescent="0.25">
      <c r="B2" s="12"/>
      <c r="C2" s="18"/>
      <c r="E2" t="s">
        <v>40</v>
      </c>
      <c r="F2" t="s">
        <v>42</v>
      </c>
      <c r="M2" t="s">
        <v>43</v>
      </c>
    </row>
    <row r="3" spans="1:13" x14ac:dyDescent="0.25">
      <c r="B3" s="12"/>
      <c r="C3" s="18"/>
      <c r="E3" s="12">
        <v>45328</v>
      </c>
      <c r="F3" t="s">
        <v>45</v>
      </c>
      <c r="M3" s="12"/>
    </row>
    <row r="4" spans="1:13" x14ac:dyDescent="0.25">
      <c r="B4" s="12"/>
      <c r="C4" s="18"/>
      <c r="E4" s="12">
        <v>45302</v>
      </c>
      <c r="F4" t="s">
        <v>45</v>
      </c>
      <c r="M4" s="12"/>
    </row>
    <row r="5" spans="1:13" x14ac:dyDescent="0.25">
      <c r="B5" s="12"/>
      <c r="C5" s="18"/>
      <c r="M5" s="12"/>
    </row>
    <row r="6" spans="1:13" x14ac:dyDescent="0.25">
      <c r="B6" s="12"/>
      <c r="C6" s="18"/>
      <c r="M6" s="12"/>
    </row>
    <row r="7" spans="1:13" x14ac:dyDescent="0.25">
      <c r="B7" s="12"/>
      <c r="C7" s="18"/>
      <c r="M7" s="12"/>
    </row>
    <row r="8" spans="1:13" x14ac:dyDescent="0.25">
      <c r="B8" s="12"/>
      <c r="C8" s="18"/>
      <c r="M8" s="12"/>
    </row>
    <row r="9" spans="1:13" x14ac:dyDescent="0.25">
      <c r="B9" s="12"/>
      <c r="C9" s="18"/>
      <c r="M9" s="12"/>
    </row>
    <row r="10" spans="1:13" x14ac:dyDescent="0.25">
      <c r="B10" s="12"/>
      <c r="C10" s="18"/>
      <c r="M10" s="12"/>
    </row>
    <row r="11" spans="1:13" x14ac:dyDescent="0.25">
      <c r="B11" s="12"/>
      <c r="C11" s="18"/>
      <c r="M11" s="12"/>
    </row>
    <row r="12" spans="1:13" x14ac:dyDescent="0.25">
      <c r="B12" s="12"/>
      <c r="C12" s="18"/>
      <c r="M12" s="12"/>
    </row>
    <row r="13" spans="1:13" x14ac:dyDescent="0.25">
      <c r="B13" s="12"/>
      <c r="C13" s="18"/>
    </row>
    <row r="14" spans="1:13" x14ac:dyDescent="0.25">
      <c r="B14" s="12"/>
      <c r="C14" s="18"/>
    </row>
    <row r="15" spans="1:13" x14ac:dyDescent="0.25">
      <c r="B15" s="12"/>
      <c r="C15" s="18"/>
    </row>
    <row r="16" spans="1:13" x14ac:dyDescent="0.25">
      <c r="B16" s="12"/>
      <c r="C16" s="18"/>
    </row>
    <row r="17" spans="2:3" x14ac:dyDescent="0.25">
      <c r="B17" s="12"/>
      <c r="C17" s="18"/>
    </row>
    <row r="18" spans="2:3" x14ac:dyDescent="0.25">
      <c r="B18" s="12"/>
      <c r="C18" s="18"/>
    </row>
    <row r="19" spans="2:3" x14ac:dyDescent="0.25">
      <c r="B19" s="12"/>
      <c r="C19" s="18"/>
    </row>
    <row r="20" spans="2:3" x14ac:dyDescent="0.25">
      <c r="B20" s="12"/>
      <c r="C20" s="18"/>
    </row>
    <row r="21" spans="2:3" x14ac:dyDescent="0.25">
      <c r="B21" s="12"/>
      <c r="C21" s="18"/>
    </row>
    <row r="22" spans="2:3" x14ac:dyDescent="0.25">
      <c r="B22" s="12"/>
      <c r="C22" s="18"/>
    </row>
    <row r="23" spans="2:3" x14ac:dyDescent="0.25">
      <c r="B23" s="12"/>
      <c r="C23" s="18"/>
    </row>
    <row r="24" spans="2:3" x14ac:dyDescent="0.25">
      <c r="B24" s="12"/>
      <c r="C24" s="18"/>
    </row>
    <row r="25" spans="2:3" x14ac:dyDescent="0.25">
      <c r="B25" s="12"/>
      <c r="C25" s="18"/>
    </row>
    <row r="26" spans="2:3" x14ac:dyDescent="0.25">
      <c r="B26" s="12"/>
      <c r="C26" s="18"/>
    </row>
    <row r="27" spans="2:3" x14ac:dyDescent="0.25">
      <c r="B27" s="12"/>
      <c r="C27" s="18"/>
    </row>
    <row r="28" spans="2:3" x14ac:dyDescent="0.25">
      <c r="B28" s="12"/>
      <c r="C28" s="18"/>
    </row>
    <row r="29" spans="2:3" x14ac:dyDescent="0.25">
      <c r="B29" s="12"/>
      <c r="C29" s="18"/>
    </row>
    <row r="30" spans="2:3" x14ac:dyDescent="0.25">
      <c r="B30" s="12"/>
      <c r="C30" s="18"/>
    </row>
    <row r="31" spans="2:3" x14ac:dyDescent="0.25">
      <c r="B31" s="12"/>
      <c r="C31" s="18"/>
    </row>
    <row r="32" spans="2:3" x14ac:dyDescent="0.25">
      <c r="B32" s="12"/>
      <c r="C32" s="18"/>
    </row>
    <row r="33" spans="2:3" x14ac:dyDescent="0.25">
      <c r="B33" s="12"/>
      <c r="C33" s="18"/>
    </row>
    <row r="34" spans="2:3" x14ac:dyDescent="0.25">
      <c r="B34" s="12"/>
      <c r="C34" s="18"/>
    </row>
    <row r="35" spans="2:3" x14ac:dyDescent="0.25">
      <c r="B35" s="12"/>
      <c r="C35" s="18"/>
    </row>
    <row r="36" spans="2:3" x14ac:dyDescent="0.25">
      <c r="B36" s="12"/>
      <c r="C36" s="18"/>
    </row>
    <row r="37" spans="2:3" x14ac:dyDescent="0.25">
      <c r="B37" s="12"/>
      <c r="C37" s="18"/>
    </row>
    <row r="38" spans="2:3" x14ac:dyDescent="0.25">
      <c r="B38" s="12"/>
      <c r="C38" s="18"/>
    </row>
    <row r="39" spans="2:3" x14ac:dyDescent="0.25">
      <c r="B39" s="12"/>
      <c r="C39" s="18"/>
    </row>
    <row r="40" spans="2:3" x14ac:dyDescent="0.25">
      <c r="B40" s="12"/>
      <c r="C40" s="18"/>
    </row>
    <row r="41" spans="2:3" x14ac:dyDescent="0.25">
      <c r="B41" s="12"/>
      <c r="C41" s="18"/>
    </row>
    <row r="42" spans="2:3" x14ac:dyDescent="0.25">
      <c r="B42" s="12"/>
      <c r="C42" s="18"/>
    </row>
    <row r="43" spans="2:3" x14ac:dyDescent="0.25">
      <c r="B43" s="12"/>
      <c r="C43" s="18"/>
    </row>
    <row r="44" spans="2:3" x14ac:dyDescent="0.25">
      <c r="B44" s="12"/>
      <c r="C44" s="18"/>
    </row>
    <row r="45" spans="2:3" x14ac:dyDescent="0.25">
      <c r="B45" s="12"/>
      <c r="C45" s="18"/>
    </row>
    <row r="46" spans="2:3" x14ac:dyDescent="0.25">
      <c r="B46" s="12"/>
      <c r="C46" s="18"/>
    </row>
    <row r="47" spans="2:3" x14ac:dyDescent="0.25">
      <c r="B47" s="12"/>
      <c r="C47" s="18"/>
    </row>
    <row r="48" spans="2:3" x14ac:dyDescent="0.25">
      <c r="B48" s="12"/>
      <c r="C48" s="18"/>
    </row>
    <row r="49" spans="2:3" x14ac:dyDescent="0.25">
      <c r="B49" s="12"/>
      <c r="C49" s="18"/>
    </row>
    <row r="50" spans="2:3" x14ac:dyDescent="0.25">
      <c r="B50" s="12"/>
      <c r="C50" s="18"/>
    </row>
    <row r="51" spans="2:3" x14ac:dyDescent="0.25">
      <c r="B51" s="12"/>
      <c r="C51" s="18"/>
    </row>
    <row r="52" spans="2:3" x14ac:dyDescent="0.25">
      <c r="B52" s="12"/>
      <c r="C52" s="18"/>
    </row>
    <row r="53" spans="2:3" x14ac:dyDescent="0.25">
      <c r="B53" s="12"/>
      <c r="C53" s="18"/>
    </row>
    <row r="54" spans="2:3" x14ac:dyDescent="0.25">
      <c r="B54" s="12"/>
      <c r="C54" s="18"/>
    </row>
    <row r="55" spans="2:3" x14ac:dyDescent="0.25">
      <c r="B55" s="12"/>
      <c r="C55" s="18"/>
    </row>
    <row r="56" spans="2:3" x14ac:dyDescent="0.25">
      <c r="B56" s="12"/>
      <c r="C56" s="18"/>
    </row>
    <row r="57" spans="2:3" x14ac:dyDescent="0.25">
      <c r="B57" s="12"/>
      <c r="C57" s="18"/>
    </row>
    <row r="58" spans="2:3" x14ac:dyDescent="0.25">
      <c r="B58" s="12"/>
      <c r="C58" s="18"/>
    </row>
    <row r="59" spans="2:3" x14ac:dyDescent="0.25">
      <c r="B59" s="12"/>
      <c r="C59" s="18"/>
    </row>
    <row r="60" spans="2:3" x14ac:dyDescent="0.25">
      <c r="B60" s="12"/>
      <c r="C60" s="18"/>
    </row>
    <row r="61" spans="2:3" x14ac:dyDescent="0.25">
      <c r="B61" s="12"/>
      <c r="C61" s="18"/>
    </row>
    <row r="62" spans="2:3" x14ac:dyDescent="0.25">
      <c r="B62" s="12"/>
      <c r="C62" s="18"/>
    </row>
    <row r="63" spans="2:3" x14ac:dyDescent="0.25">
      <c r="B63" s="12"/>
      <c r="C63" s="18"/>
    </row>
    <row r="64" spans="2:3" x14ac:dyDescent="0.25">
      <c r="B64" s="12"/>
      <c r="C64" s="18"/>
    </row>
    <row r="65" spans="2:3" x14ac:dyDescent="0.25">
      <c r="B65" s="12"/>
      <c r="C65" s="18"/>
    </row>
    <row r="66" spans="2:3" x14ac:dyDescent="0.25">
      <c r="B66" s="12"/>
      <c r="C66" s="18"/>
    </row>
    <row r="67" spans="2:3" x14ac:dyDescent="0.25">
      <c r="B67" s="12"/>
      <c r="C67" s="18"/>
    </row>
    <row r="68" spans="2:3" x14ac:dyDescent="0.25">
      <c r="B68" s="12"/>
      <c r="C68" s="18"/>
    </row>
    <row r="69" spans="2:3" x14ac:dyDescent="0.25">
      <c r="B69" s="12"/>
      <c r="C69" s="18"/>
    </row>
    <row r="70" spans="2:3" x14ac:dyDescent="0.25">
      <c r="B70" s="12"/>
      <c r="C70" s="18"/>
    </row>
    <row r="71" spans="2:3" x14ac:dyDescent="0.25">
      <c r="B71" s="12"/>
      <c r="C71" s="18"/>
    </row>
    <row r="72" spans="2:3" x14ac:dyDescent="0.25">
      <c r="B72" s="12"/>
      <c r="C72" s="18"/>
    </row>
    <row r="73" spans="2:3" x14ac:dyDescent="0.25">
      <c r="B73" s="12"/>
      <c r="C73" s="18"/>
    </row>
    <row r="74" spans="2:3" x14ac:dyDescent="0.25">
      <c r="B74" s="12"/>
      <c r="C74" s="18"/>
    </row>
    <row r="75" spans="2:3" x14ac:dyDescent="0.25">
      <c r="B75" s="12"/>
      <c r="C75" s="18"/>
    </row>
    <row r="76" spans="2:3" x14ac:dyDescent="0.25">
      <c r="B76" s="12"/>
      <c r="C76" s="18"/>
    </row>
    <row r="77" spans="2:3" x14ac:dyDescent="0.25">
      <c r="B77" s="12"/>
      <c r="C77" s="18"/>
    </row>
    <row r="78" spans="2:3" x14ac:dyDescent="0.25">
      <c r="B78" s="12"/>
      <c r="C78" s="18"/>
    </row>
    <row r="79" spans="2:3" x14ac:dyDescent="0.25">
      <c r="B79" s="12"/>
      <c r="C79" s="18"/>
    </row>
    <row r="80" spans="2:3" x14ac:dyDescent="0.25">
      <c r="B80" s="12"/>
      <c r="C80" s="18"/>
    </row>
    <row r="81" spans="2:3" x14ac:dyDescent="0.25">
      <c r="B81" s="12"/>
      <c r="C81" s="18"/>
    </row>
    <row r="82" spans="2:3" x14ac:dyDescent="0.25">
      <c r="B82" s="12"/>
      <c r="C82" s="18"/>
    </row>
    <row r="83" spans="2:3" x14ac:dyDescent="0.25">
      <c r="B83" s="12"/>
      <c r="C83" s="18"/>
    </row>
    <row r="84" spans="2:3" x14ac:dyDescent="0.25">
      <c r="B84" s="12"/>
      <c r="C84" s="18"/>
    </row>
    <row r="85" spans="2:3" x14ac:dyDescent="0.25">
      <c r="B85" s="12"/>
      <c r="C85" s="18"/>
    </row>
    <row r="86" spans="2:3" x14ac:dyDescent="0.25">
      <c r="B86" s="12"/>
      <c r="C86" s="18"/>
    </row>
    <row r="87" spans="2:3" x14ac:dyDescent="0.25">
      <c r="B87" s="12"/>
      <c r="C87" s="18"/>
    </row>
    <row r="88" spans="2:3" x14ac:dyDescent="0.25">
      <c r="B88" s="12"/>
      <c r="C88" s="18"/>
    </row>
    <row r="89" spans="2:3" x14ac:dyDescent="0.25">
      <c r="B89" s="12"/>
      <c r="C89" s="18"/>
    </row>
    <row r="90" spans="2:3" x14ac:dyDescent="0.25">
      <c r="B90" s="12"/>
      <c r="C90" s="18"/>
    </row>
    <row r="91" spans="2:3" x14ac:dyDescent="0.25">
      <c r="B91" s="12"/>
      <c r="C91" s="18"/>
    </row>
    <row r="92" spans="2:3" x14ac:dyDescent="0.25">
      <c r="B92" s="12"/>
      <c r="C92" s="18"/>
    </row>
    <row r="93" spans="2:3" x14ac:dyDescent="0.25">
      <c r="B93" s="12"/>
      <c r="C93" s="18"/>
    </row>
    <row r="94" spans="2:3" x14ac:dyDescent="0.25">
      <c r="B94" s="12"/>
      <c r="C94" s="18"/>
    </row>
    <row r="95" spans="2:3" x14ac:dyDescent="0.25">
      <c r="B95" s="12"/>
      <c r="C95" s="18"/>
    </row>
    <row r="96" spans="2:3" x14ac:dyDescent="0.25">
      <c r="B96" s="12"/>
      <c r="C96" s="18"/>
    </row>
    <row r="97" spans="2:3" x14ac:dyDescent="0.25">
      <c r="B97" s="12"/>
      <c r="C97" s="18"/>
    </row>
    <row r="98" spans="2:3" x14ac:dyDescent="0.25">
      <c r="B98" s="12"/>
      <c r="C98" s="18"/>
    </row>
    <row r="99" spans="2:3" x14ac:dyDescent="0.25">
      <c r="B99" s="12"/>
      <c r="C99" s="18"/>
    </row>
    <row r="100" spans="2:3" x14ac:dyDescent="0.25">
      <c r="B100" s="12"/>
      <c r="C100" s="18"/>
    </row>
    <row r="101" spans="2:3" x14ac:dyDescent="0.25">
      <c r="B101" s="12"/>
      <c r="C101" s="18"/>
    </row>
    <row r="102" spans="2:3" x14ac:dyDescent="0.25">
      <c r="B102" s="12"/>
      <c r="C102" s="18"/>
    </row>
    <row r="103" spans="2:3" x14ac:dyDescent="0.25">
      <c r="B103" s="12"/>
      <c r="C103" s="18"/>
    </row>
    <row r="104" spans="2:3" x14ac:dyDescent="0.25">
      <c r="B104" s="12"/>
      <c r="C104" s="18"/>
    </row>
    <row r="105" spans="2:3" x14ac:dyDescent="0.25">
      <c r="B105" s="12"/>
      <c r="C105" s="18"/>
    </row>
    <row r="106" spans="2:3" x14ac:dyDescent="0.25">
      <c r="B106" s="12"/>
      <c r="C106" s="18"/>
    </row>
    <row r="107" spans="2:3" x14ac:dyDescent="0.25">
      <c r="B107" s="12"/>
      <c r="C107" s="18"/>
    </row>
    <row r="108" spans="2:3" x14ac:dyDescent="0.25">
      <c r="B108" s="12"/>
      <c r="C108" s="18"/>
    </row>
    <row r="109" spans="2:3" x14ac:dyDescent="0.25">
      <c r="B109" s="12"/>
      <c r="C109" s="18"/>
    </row>
    <row r="110" spans="2:3" x14ac:dyDescent="0.25">
      <c r="B110" s="12"/>
      <c r="C110" s="18"/>
    </row>
    <row r="111" spans="2:3" x14ac:dyDescent="0.25">
      <c r="B111" s="12"/>
      <c r="C111" s="18"/>
    </row>
    <row r="112" spans="2:3" x14ac:dyDescent="0.25">
      <c r="B112" s="12"/>
      <c r="C112" s="18"/>
    </row>
    <row r="113" spans="2:3" x14ac:dyDescent="0.25">
      <c r="B113" s="12"/>
      <c r="C113" s="18"/>
    </row>
    <row r="114" spans="2:3" x14ac:dyDescent="0.25">
      <c r="B114" s="12"/>
      <c r="C114" s="18"/>
    </row>
    <row r="115" spans="2:3" x14ac:dyDescent="0.25">
      <c r="B115" s="12"/>
      <c r="C115" s="18"/>
    </row>
    <row r="116" spans="2:3" x14ac:dyDescent="0.25">
      <c r="B116" s="12"/>
      <c r="C116" s="18"/>
    </row>
    <row r="117" spans="2:3" x14ac:dyDescent="0.25">
      <c r="B117" s="12"/>
      <c r="C117" s="18"/>
    </row>
    <row r="118" spans="2:3" x14ac:dyDescent="0.25">
      <c r="B118" s="12"/>
      <c r="C118" s="18"/>
    </row>
    <row r="119" spans="2:3" x14ac:dyDescent="0.25">
      <c r="B119" s="12"/>
      <c r="C119" s="18"/>
    </row>
    <row r="120" spans="2:3" x14ac:dyDescent="0.25">
      <c r="B120" s="12"/>
      <c r="C120" s="18"/>
    </row>
    <row r="121" spans="2:3" x14ac:dyDescent="0.25">
      <c r="B121" s="12"/>
      <c r="C121" s="18"/>
    </row>
    <row r="122" spans="2:3" x14ac:dyDescent="0.25">
      <c r="B122" s="12"/>
      <c r="C122" s="18"/>
    </row>
    <row r="123" spans="2:3" x14ac:dyDescent="0.25">
      <c r="B123" s="12"/>
      <c r="C123" s="18"/>
    </row>
    <row r="124" spans="2:3" x14ac:dyDescent="0.25">
      <c r="B124" s="12"/>
      <c r="C124" s="18"/>
    </row>
    <row r="125" spans="2:3" x14ac:dyDescent="0.25">
      <c r="B125" s="12"/>
      <c r="C125" s="18"/>
    </row>
    <row r="126" spans="2:3" x14ac:dyDescent="0.25">
      <c r="B126" s="12"/>
      <c r="C126" s="18"/>
    </row>
    <row r="127" spans="2:3" x14ac:dyDescent="0.25">
      <c r="B127" s="12"/>
      <c r="C127" s="18"/>
    </row>
    <row r="128" spans="2:3" x14ac:dyDescent="0.25">
      <c r="B128" s="12"/>
      <c r="C128" s="18"/>
    </row>
    <row r="129" spans="2:3" x14ac:dyDescent="0.25">
      <c r="B129" s="12"/>
      <c r="C129" s="18"/>
    </row>
    <row r="130" spans="2:3" x14ac:dyDescent="0.25">
      <c r="B130" s="12"/>
      <c r="C130" s="18"/>
    </row>
    <row r="131" spans="2:3" x14ac:dyDescent="0.25">
      <c r="B131" s="12"/>
      <c r="C131" s="18"/>
    </row>
    <row r="132" spans="2:3" x14ac:dyDescent="0.25">
      <c r="B132" s="12"/>
      <c r="C132" s="18"/>
    </row>
    <row r="133" spans="2:3" x14ac:dyDescent="0.25">
      <c r="B133" s="12"/>
      <c r="C133" s="18"/>
    </row>
    <row r="134" spans="2:3" x14ac:dyDescent="0.25">
      <c r="B134" s="12"/>
      <c r="C134" s="18"/>
    </row>
    <row r="135" spans="2:3" x14ac:dyDescent="0.25">
      <c r="B135" s="12"/>
      <c r="C135" s="18"/>
    </row>
    <row r="136" spans="2:3" x14ac:dyDescent="0.25">
      <c r="B136" s="12"/>
      <c r="C136" s="18"/>
    </row>
    <row r="137" spans="2:3" x14ac:dyDescent="0.25">
      <c r="B137" s="12"/>
      <c r="C137" s="18"/>
    </row>
    <row r="138" spans="2:3" x14ac:dyDescent="0.25">
      <c r="B138" s="12"/>
      <c r="C138" s="18"/>
    </row>
    <row r="139" spans="2:3" x14ac:dyDescent="0.25">
      <c r="B139" s="12"/>
      <c r="C139" s="18"/>
    </row>
    <row r="140" spans="2:3" x14ac:dyDescent="0.25">
      <c r="B140" s="12"/>
      <c r="C140" s="18"/>
    </row>
    <row r="141" spans="2:3" x14ac:dyDescent="0.25">
      <c r="B141" s="12"/>
      <c r="C141" s="18"/>
    </row>
    <row r="142" spans="2:3" x14ac:dyDescent="0.25">
      <c r="B142" s="12"/>
      <c r="C142" s="18"/>
    </row>
    <row r="143" spans="2:3" x14ac:dyDescent="0.25">
      <c r="B143" s="12"/>
      <c r="C143" s="18"/>
    </row>
    <row r="144" spans="2:3" x14ac:dyDescent="0.25">
      <c r="B144" s="12"/>
      <c r="C144" s="18"/>
    </row>
    <row r="145" spans="2:3" x14ac:dyDescent="0.25">
      <c r="B145" s="12"/>
      <c r="C145" s="18"/>
    </row>
    <row r="146" spans="2:3" x14ac:dyDescent="0.25">
      <c r="B146" s="12"/>
      <c r="C146" s="18"/>
    </row>
    <row r="147" spans="2:3" x14ac:dyDescent="0.25">
      <c r="B147" s="12"/>
      <c r="C147" s="18"/>
    </row>
    <row r="148" spans="2:3" x14ac:dyDescent="0.25">
      <c r="B148" s="12"/>
      <c r="C148" s="18"/>
    </row>
    <row r="149" spans="2:3" x14ac:dyDescent="0.25">
      <c r="B149" s="12"/>
      <c r="C149" s="18"/>
    </row>
    <row r="150" spans="2:3" x14ac:dyDescent="0.25">
      <c r="B150" s="12"/>
      <c r="C150" s="18"/>
    </row>
    <row r="151" spans="2:3" x14ac:dyDescent="0.25">
      <c r="B151" s="12"/>
      <c r="C151" s="18"/>
    </row>
    <row r="152" spans="2:3" x14ac:dyDescent="0.25">
      <c r="B152" s="12"/>
      <c r="C152" s="18"/>
    </row>
    <row r="153" spans="2:3" x14ac:dyDescent="0.25">
      <c r="B153" s="12"/>
      <c r="C153" s="18"/>
    </row>
    <row r="154" spans="2:3" x14ac:dyDescent="0.25">
      <c r="B154" s="12"/>
      <c r="C154" s="18"/>
    </row>
    <row r="155" spans="2:3" x14ac:dyDescent="0.25">
      <c r="B155" s="12"/>
      <c r="C155" s="18"/>
    </row>
    <row r="156" spans="2:3" x14ac:dyDescent="0.25">
      <c r="B156" s="12"/>
      <c r="C156" s="18"/>
    </row>
    <row r="157" spans="2:3" x14ac:dyDescent="0.25">
      <c r="B157" s="12"/>
      <c r="C157" s="18"/>
    </row>
    <row r="158" spans="2:3" x14ac:dyDescent="0.25">
      <c r="B158" s="12"/>
      <c r="C158" s="18"/>
    </row>
    <row r="159" spans="2:3" x14ac:dyDescent="0.25">
      <c r="B159" s="12"/>
      <c r="C159" s="18"/>
    </row>
    <row r="160" spans="2:3" x14ac:dyDescent="0.25">
      <c r="B160" s="12"/>
      <c r="C160" s="18"/>
    </row>
    <row r="161" spans="2:3" x14ac:dyDescent="0.25">
      <c r="B161" s="12"/>
      <c r="C161" s="18"/>
    </row>
    <row r="162" spans="2:3" x14ac:dyDescent="0.25">
      <c r="B162" s="12"/>
      <c r="C162" s="18"/>
    </row>
    <row r="163" spans="2:3" x14ac:dyDescent="0.25">
      <c r="B163" s="12"/>
      <c r="C163" s="18"/>
    </row>
    <row r="164" spans="2:3" x14ac:dyDescent="0.25">
      <c r="B164" s="12"/>
      <c r="C164" s="18"/>
    </row>
    <row r="165" spans="2:3" x14ac:dyDescent="0.25">
      <c r="B165" s="12"/>
      <c r="C165" s="18"/>
    </row>
    <row r="166" spans="2:3" x14ac:dyDescent="0.25">
      <c r="B166" s="12"/>
      <c r="C166" s="18"/>
    </row>
    <row r="167" spans="2:3" x14ac:dyDescent="0.25">
      <c r="B167" s="12"/>
      <c r="C167" s="18"/>
    </row>
    <row r="168" spans="2:3" x14ac:dyDescent="0.25">
      <c r="B168" s="12"/>
      <c r="C168" s="18"/>
    </row>
    <row r="169" spans="2:3" x14ac:dyDescent="0.25">
      <c r="B169" s="12"/>
      <c r="C169" s="18"/>
    </row>
    <row r="170" spans="2:3" x14ac:dyDescent="0.25">
      <c r="B170" s="12"/>
      <c r="C170" s="18"/>
    </row>
    <row r="171" spans="2:3" x14ac:dyDescent="0.25">
      <c r="B171" s="12"/>
      <c r="C171" s="18"/>
    </row>
    <row r="172" spans="2:3" x14ac:dyDescent="0.25">
      <c r="B172" s="12"/>
      <c r="C172" s="18"/>
    </row>
    <row r="173" spans="2:3" x14ac:dyDescent="0.25">
      <c r="B173" s="12"/>
      <c r="C173" s="18"/>
    </row>
    <row r="174" spans="2:3" x14ac:dyDescent="0.25">
      <c r="B174" s="12"/>
      <c r="C174" s="18"/>
    </row>
    <row r="175" spans="2:3" x14ac:dyDescent="0.25">
      <c r="B175" s="12"/>
      <c r="C175" s="18"/>
    </row>
    <row r="176" spans="2:3" x14ac:dyDescent="0.25">
      <c r="B176" s="12"/>
      <c r="C176" s="18"/>
    </row>
    <row r="177" spans="2:3" x14ac:dyDescent="0.25">
      <c r="B177" s="12"/>
      <c r="C177" s="18"/>
    </row>
    <row r="178" spans="2:3" x14ac:dyDescent="0.25">
      <c r="B178" s="12"/>
      <c r="C178" s="18"/>
    </row>
    <row r="179" spans="2:3" x14ac:dyDescent="0.25">
      <c r="B179" s="12"/>
      <c r="C179" s="18"/>
    </row>
    <row r="180" spans="2:3" x14ac:dyDescent="0.25">
      <c r="B180" s="12"/>
      <c r="C180" s="18"/>
    </row>
    <row r="181" spans="2:3" x14ac:dyDescent="0.25">
      <c r="B181" s="12"/>
      <c r="C181" s="18"/>
    </row>
    <row r="182" spans="2:3" x14ac:dyDescent="0.25">
      <c r="B182" s="12"/>
      <c r="C182" s="18"/>
    </row>
    <row r="183" spans="2:3" x14ac:dyDescent="0.25">
      <c r="B183" s="12"/>
      <c r="C183" s="18"/>
    </row>
    <row r="184" spans="2:3" x14ac:dyDescent="0.25">
      <c r="B184" s="12"/>
      <c r="C184" s="18"/>
    </row>
    <row r="185" spans="2:3" x14ac:dyDescent="0.25">
      <c r="B185" s="12"/>
      <c r="C185" s="18"/>
    </row>
    <row r="186" spans="2:3" x14ac:dyDescent="0.25">
      <c r="B186" s="12"/>
      <c r="C186" s="18"/>
    </row>
    <row r="187" spans="2:3" x14ac:dyDescent="0.25">
      <c r="B187" s="12"/>
      <c r="C187" s="18"/>
    </row>
    <row r="188" spans="2:3" x14ac:dyDescent="0.25">
      <c r="B188" s="12"/>
      <c r="C188" s="18"/>
    </row>
    <row r="189" spans="2:3" x14ac:dyDescent="0.25">
      <c r="B189" s="12"/>
      <c r="C189" s="18"/>
    </row>
    <row r="190" spans="2:3" x14ac:dyDescent="0.25">
      <c r="B190" s="12"/>
      <c r="C190" s="18"/>
    </row>
    <row r="191" spans="2:3" x14ac:dyDescent="0.25">
      <c r="B191" s="12"/>
      <c r="C191" s="18"/>
    </row>
    <row r="192" spans="2:3" x14ac:dyDescent="0.25">
      <c r="B192" s="12"/>
      <c r="C192" s="18"/>
    </row>
    <row r="193" spans="2:3" x14ac:dyDescent="0.25">
      <c r="B193" s="12"/>
      <c r="C193" s="18"/>
    </row>
    <row r="194" spans="2:3" x14ac:dyDescent="0.25">
      <c r="B194" s="12"/>
      <c r="C194" s="18"/>
    </row>
    <row r="195" spans="2:3" x14ac:dyDescent="0.25">
      <c r="B195" s="12"/>
      <c r="C195" s="18"/>
    </row>
    <row r="196" spans="2:3" x14ac:dyDescent="0.25">
      <c r="B196" s="12"/>
      <c r="C196" s="18"/>
    </row>
    <row r="197" spans="2:3" x14ac:dyDescent="0.25">
      <c r="B197" s="12"/>
      <c r="C197" s="18"/>
    </row>
    <row r="198" spans="2:3" x14ac:dyDescent="0.25">
      <c r="B198" s="12"/>
      <c r="C198" s="18"/>
    </row>
    <row r="199" spans="2:3" x14ac:dyDescent="0.25">
      <c r="B199" s="12"/>
      <c r="C199" s="18"/>
    </row>
    <row r="200" spans="2:3" x14ac:dyDescent="0.25">
      <c r="B200" s="12"/>
      <c r="C200" s="18"/>
    </row>
    <row r="201" spans="2:3" x14ac:dyDescent="0.25">
      <c r="B201" s="12"/>
      <c r="C201" s="18"/>
    </row>
    <row r="202" spans="2:3" x14ac:dyDescent="0.25">
      <c r="B202" s="12"/>
      <c r="C202" s="18"/>
    </row>
    <row r="203" spans="2:3" x14ac:dyDescent="0.25">
      <c r="B203" s="12"/>
      <c r="C203" s="18"/>
    </row>
    <row r="204" spans="2:3" x14ac:dyDescent="0.25">
      <c r="B204" s="12"/>
      <c r="C204" s="18"/>
    </row>
    <row r="205" spans="2:3" x14ac:dyDescent="0.25">
      <c r="B205" s="12"/>
      <c r="C205" s="18"/>
    </row>
    <row r="206" spans="2:3" x14ac:dyDescent="0.25">
      <c r="B206" s="12"/>
      <c r="C206" s="18"/>
    </row>
    <row r="207" spans="2:3" x14ac:dyDescent="0.25">
      <c r="B207" s="12"/>
      <c r="C207" s="18"/>
    </row>
    <row r="208" spans="2:3" x14ac:dyDescent="0.25">
      <c r="B208" s="12"/>
      <c r="C208" s="18"/>
    </row>
    <row r="209" spans="2:3" x14ac:dyDescent="0.25">
      <c r="B209" s="12"/>
      <c r="C209" s="18"/>
    </row>
    <row r="210" spans="2:3" x14ac:dyDescent="0.25">
      <c r="B210" s="12"/>
      <c r="C210" s="18"/>
    </row>
    <row r="211" spans="2:3" x14ac:dyDescent="0.25">
      <c r="B211" s="12"/>
      <c r="C211" s="18"/>
    </row>
    <row r="212" spans="2:3" x14ac:dyDescent="0.25">
      <c r="B212" s="12"/>
      <c r="C212" s="18"/>
    </row>
    <row r="213" spans="2:3" x14ac:dyDescent="0.25">
      <c r="B213" s="12"/>
      <c r="C213" s="18"/>
    </row>
    <row r="214" spans="2:3" x14ac:dyDescent="0.25">
      <c r="B214" s="12"/>
      <c r="C214" s="18"/>
    </row>
    <row r="215" spans="2:3" x14ac:dyDescent="0.25">
      <c r="B215" s="12"/>
      <c r="C215" s="18"/>
    </row>
    <row r="216" spans="2:3" x14ac:dyDescent="0.25">
      <c r="B216" s="12"/>
      <c r="C216" s="18"/>
    </row>
    <row r="217" spans="2:3" x14ac:dyDescent="0.25">
      <c r="B217" s="12"/>
      <c r="C217" s="18"/>
    </row>
    <row r="218" spans="2:3" x14ac:dyDescent="0.25">
      <c r="B218" s="12"/>
      <c r="C218" s="18"/>
    </row>
    <row r="219" spans="2:3" x14ac:dyDescent="0.25">
      <c r="B219" s="12"/>
      <c r="C219" s="18"/>
    </row>
    <row r="220" spans="2:3" x14ac:dyDescent="0.25">
      <c r="B220" s="12"/>
      <c r="C220" s="18"/>
    </row>
    <row r="221" spans="2:3" x14ac:dyDescent="0.25">
      <c r="B221" s="12"/>
      <c r="C221" s="18"/>
    </row>
    <row r="222" spans="2:3" x14ac:dyDescent="0.25">
      <c r="B222" s="12"/>
      <c r="C222" s="18"/>
    </row>
    <row r="223" spans="2:3" x14ac:dyDescent="0.25">
      <c r="B223" s="12"/>
      <c r="C223" s="18"/>
    </row>
    <row r="224" spans="2:3" x14ac:dyDescent="0.25">
      <c r="B224" s="12"/>
      <c r="C224" s="18"/>
    </row>
    <row r="225" spans="2:3" x14ac:dyDescent="0.25">
      <c r="B225" s="12"/>
      <c r="C225" s="18"/>
    </row>
    <row r="226" spans="2:3" x14ac:dyDescent="0.25">
      <c r="B226" s="12"/>
      <c r="C226" s="18"/>
    </row>
    <row r="227" spans="2:3" x14ac:dyDescent="0.25">
      <c r="B227" s="12"/>
      <c r="C227" s="18"/>
    </row>
    <row r="228" spans="2:3" x14ac:dyDescent="0.25">
      <c r="B228" s="12"/>
      <c r="C228" s="18"/>
    </row>
    <row r="229" spans="2:3" x14ac:dyDescent="0.25">
      <c r="B229" s="12"/>
      <c r="C229" s="18"/>
    </row>
    <row r="230" spans="2:3" x14ac:dyDescent="0.25">
      <c r="B230" s="12"/>
      <c r="C230" s="18"/>
    </row>
    <row r="231" spans="2:3" x14ac:dyDescent="0.25">
      <c r="B231" s="12"/>
      <c r="C231" s="18"/>
    </row>
    <row r="232" spans="2:3" x14ac:dyDescent="0.25">
      <c r="B232" s="12"/>
      <c r="C232" s="18"/>
    </row>
    <row r="233" spans="2:3" x14ac:dyDescent="0.25">
      <c r="B233" s="12"/>
      <c r="C233" s="18"/>
    </row>
    <row r="234" spans="2:3" x14ac:dyDescent="0.25">
      <c r="B234" s="12"/>
      <c r="C234" s="18"/>
    </row>
    <row r="235" spans="2:3" x14ac:dyDescent="0.25">
      <c r="B235" s="12"/>
      <c r="C235" s="18"/>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263"/>
  <sheetViews>
    <sheetView workbookViewId="0">
      <selection activeCell="I62" sqref="I62"/>
    </sheetView>
  </sheetViews>
  <sheetFormatPr defaultRowHeight="15" x14ac:dyDescent="0.25"/>
  <cols>
    <col min="1" max="1" width="5.5703125" customWidth="1"/>
    <col min="2" max="2" width="12.85546875"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27</v>
      </c>
      <c r="B1" s="1" t="s">
        <v>40</v>
      </c>
      <c r="C1" s="1" t="s">
        <v>0</v>
      </c>
      <c r="D1" s="1" t="s">
        <v>83</v>
      </c>
      <c r="H1" s="133" t="s">
        <v>84</v>
      </c>
      <c r="I1" s="134"/>
      <c r="J1" s="134"/>
      <c r="K1" s="134"/>
      <c r="L1" s="134"/>
      <c r="M1" s="135"/>
    </row>
    <row r="2" spans="1:13" ht="15.75" thickBot="1" x14ac:dyDescent="0.3">
      <c r="B2" s="17" t="s">
        <v>471</v>
      </c>
      <c r="C2" s="18">
        <v>36.9</v>
      </c>
      <c r="D2" s="144">
        <f>C2/C3-1</f>
        <v>4.1196388261851125E-2</v>
      </c>
      <c r="H2" s="50"/>
      <c r="I2" s="51"/>
      <c r="J2" s="51"/>
      <c r="K2" s="51"/>
      <c r="L2" s="51"/>
      <c r="M2" s="52"/>
    </row>
    <row r="3" spans="1:13" ht="15.75" thickBot="1" x14ac:dyDescent="0.3">
      <c r="B3" s="17" t="s">
        <v>470</v>
      </c>
      <c r="C3" s="18">
        <v>35.44</v>
      </c>
      <c r="D3" s="144">
        <f>C3/C4-1</f>
        <v>-7.9002079002079006E-2</v>
      </c>
      <c r="H3" s="53" t="s">
        <v>85</v>
      </c>
      <c r="I3" s="54" t="s">
        <v>86</v>
      </c>
      <c r="J3" s="55" t="s">
        <v>87</v>
      </c>
      <c r="K3" s="56" t="s">
        <v>88</v>
      </c>
      <c r="L3" s="56" t="s">
        <v>89</v>
      </c>
      <c r="M3" s="57" t="s">
        <v>90</v>
      </c>
    </row>
    <row r="4" spans="1:13" x14ac:dyDescent="0.25">
      <c r="B4" s="17" t="s">
        <v>469</v>
      </c>
      <c r="C4" s="18">
        <v>38.479999999999997</v>
      </c>
      <c r="D4" s="144">
        <f>C4/C5-1</f>
        <v>0.10989327949235639</v>
      </c>
      <c r="H4" s="58">
        <f>$I$19-3*$I$23</f>
        <v>-0.30926341434942872</v>
      </c>
      <c r="I4" s="59">
        <f>H4</f>
        <v>-0.30926341434942872</v>
      </c>
      <c r="J4" s="60">
        <f>COUNTIF(D:D,"&lt;="&amp;H4)</f>
        <v>2</v>
      </c>
      <c r="K4" s="60" t="str">
        <f>"Less than "&amp;TEXT(H4,"0,00%")</f>
        <v>Less than -30,93%</v>
      </c>
      <c r="L4" s="61">
        <f>J4/$I$31</f>
        <v>7.6628352490421452E-3</v>
      </c>
      <c r="M4" s="62">
        <f>L4</f>
        <v>7.6628352490421452E-3</v>
      </c>
    </row>
    <row r="5" spans="1:13" x14ac:dyDescent="0.25">
      <c r="B5" s="17" t="s">
        <v>468</v>
      </c>
      <c r="C5" s="18">
        <v>34.67</v>
      </c>
      <c r="D5" s="144">
        <f t="shared" ref="D3:D66" si="0">C5/C6-1</f>
        <v>-3.3723522853957633E-2</v>
      </c>
      <c r="H5" s="63">
        <f>$I$19-2.4*$I$23</f>
        <v>-0.24533276689371156</v>
      </c>
      <c r="I5" s="64">
        <f>H5</f>
        <v>-0.24533276689371156</v>
      </c>
      <c r="J5" s="65">
        <f>COUNTIFS(D:D,"&lt;="&amp;H5,D:D,"&gt;"&amp;H4)</f>
        <v>1</v>
      </c>
      <c r="K5" s="66" t="str">
        <f t="shared" ref="K5:K14" si="1">TEXT(H4,"0,00%")&amp;" to "&amp;TEXT(H5,"0,00%")</f>
        <v>-30,93% to -24,53%</v>
      </c>
      <c r="L5" s="67">
        <f>J5/$I$31</f>
        <v>3.8314176245210726E-3</v>
      </c>
      <c r="M5" s="68">
        <f>M4+L5</f>
        <v>1.1494252873563218E-2</v>
      </c>
    </row>
    <row r="6" spans="1:13" x14ac:dyDescent="0.25">
      <c r="B6" s="17" t="s">
        <v>467</v>
      </c>
      <c r="C6" s="18">
        <v>35.880000000000003</v>
      </c>
      <c r="D6" s="144">
        <f t="shared" si="0"/>
        <v>0.16267012313674667</v>
      </c>
      <c r="H6" s="63">
        <f>$I$19-1.8*$I$23</f>
        <v>-0.18140211943799439</v>
      </c>
      <c r="I6" s="64">
        <f t="shared" ref="I6:I14" si="2">H6</f>
        <v>-0.18140211943799439</v>
      </c>
      <c r="J6" s="65">
        <f t="shared" ref="J6:J14" si="3">COUNTIFS(D:D,"&lt;="&amp;H6,D:D,"&gt;"&amp;H5)</f>
        <v>0</v>
      </c>
      <c r="K6" s="66" t="str">
        <f t="shared" si="1"/>
        <v>-24,53% to -18,14%</v>
      </c>
      <c r="L6" s="67">
        <f t="shared" ref="L6:L15" si="4">J6/$I$31</f>
        <v>0</v>
      </c>
      <c r="M6" s="68">
        <f t="shared" ref="M6:M15" si="5">M5+L6</f>
        <v>1.1494252873563218E-2</v>
      </c>
    </row>
    <row r="7" spans="1:13" x14ac:dyDescent="0.25">
      <c r="B7" s="17" t="s">
        <v>466</v>
      </c>
      <c r="C7" s="18">
        <v>30.86</v>
      </c>
      <c r="D7" s="144">
        <f t="shared" si="0"/>
        <v>-8.7791900679869861E-2</v>
      </c>
      <c r="H7" s="63">
        <f>$I$19-1.2*$I$23</f>
        <v>-0.11747147198227721</v>
      </c>
      <c r="I7" s="64">
        <f t="shared" si="2"/>
        <v>-0.11747147198227721</v>
      </c>
      <c r="J7" s="65">
        <f t="shared" si="3"/>
        <v>18</v>
      </c>
      <c r="K7" s="66" t="str">
        <f t="shared" si="1"/>
        <v>-18,14% to -11,75%</v>
      </c>
      <c r="L7" s="67">
        <f t="shared" si="4"/>
        <v>6.8965517241379309E-2</v>
      </c>
      <c r="M7" s="68">
        <f t="shared" si="5"/>
        <v>8.0459770114942528E-2</v>
      </c>
    </row>
    <row r="8" spans="1:13" x14ac:dyDescent="0.25">
      <c r="B8" s="17" t="s">
        <v>465</v>
      </c>
      <c r="C8" s="18">
        <v>33.83</v>
      </c>
      <c r="D8" s="144">
        <f t="shared" si="0"/>
        <v>0.36466317063331988</v>
      </c>
      <c r="H8" s="63">
        <f>$I$19-0.6*$I$23</f>
        <v>-5.3540824526560046E-2</v>
      </c>
      <c r="I8" s="64">
        <f t="shared" si="2"/>
        <v>-5.3540824526560046E-2</v>
      </c>
      <c r="J8" s="65">
        <f t="shared" si="3"/>
        <v>38</v>
      </c>
      <c r="K8" s="66" t="str">
        <f t="shared" si="1"/>
        <v>-11,75% to -5,35%</v>
      </c>
      <c r="L8" s="67">
        <f t="shared" si="4"/>
        <v>0.14559386973180077</v>
      </c>
      <c r="M8" s="68">
        <f t="shared" si="5"/>
        <v>0.22605363984674332</v>
      </c>
    </row>
    <row r="9" spans="1:13" x14ac:dyDescent="0.25">
      <c r="B9" s="17" t="s">
        <v>464</v>
      </c>
      <c r="C9" s="18">
        <v>24.79</v>
      </c>
      <c r="D9" s="144">
        <f t="shared" si="0"/>
        <v>-1.9382911392405111E-2</v>
      </c>
      <c r="H9" s="63">
        <f>$I$19</f>
        <v>1.0389822929157116E-2</v>
      </c>
      <c r="I9" s="64">
        <f t="shared" si="2"/>
        <v>1.0389822929157116E-2</v>
      </c>
      <c r="J9" s="65">
        <f t="shared" si="3"/>
        <v>95</v>
      </c>
      <c r="K9" s="66" t="str">
        <f t="shared" si="1"/>
        <v>-5,35% to 1,04%</v>
      </c>
      <c r="L9" s="67">
        <f t="shared" si="4"/>
        <v>0.36398467432950193</v>
      </c>
      <c r="M9" s="68">
        <f t="shared" si="5"/>
        <v>0.5900383141762453</v>
      </c>
    </row>
    <row r="10" spans="1:13" x14ac:dyDescent="0.25">
      <c r="B10" s="17" t="s">
        <v>463</v>
      </c>
      <c r="C10" s="18">
        <v>25.28</v>
      </c>
      <c r="D10" s="144">
        <f t="shared" si="0"/>
        <v>4.7224523612261926E-2</v>
      </c>
      <c r="H10" s="63">
        <f>$I$19+0.6*$I$23</f>
        <v>7.4320470384874285E-2</v>
      </c>
      <c r="I10" s="64">
        <f t="shared" si="2"/>
        <v>7.4320470384874285E-2</v>
      </c>
      <c r="J10" s="65">
        <f t="shared" si="3"/>
        <v>57</v>
      </c>
      <c r="K10" s="66" t="str">
        <f t="shared" si="1"/>
        <v>1,04% to 7,43%</v>
      </c>
      <c r="L10" s="67">
        <f t="shared" si="4"/>
        <v>0.21839080459770116</v>
      </c>
      <c r="M10" s="68">
        <f t="shared" si="5"/>
        <v>0.80842911877394652</v>
      </c>
    </row>
    <row r="11" spans="1:13" x14ac:dyDescent="0.25">
      <c r="B11" s="17" t="s">
        <v>462</v>
      </c>
      <c r="C11" s="18">
        <v>24.14</v>
      </c>
      <c r="D11" s="144">
        <f t="shared" si="0"/>
        <v>1.004184100418426E-2</v>
      </c>
      <c r="H11" s="63">
        <f>$I$19+1.2*$I$23</f>
        <v>0.13825111784059144</v>
      </c>
      <c r="I11" s="64">
        <f t="shared" si="2"/>
        <v>0.13825111784059144</v>
      </c>
      <c r="J11" s="65">
        <f t="shared" si="3"/>
        <v>33</v>
      </c>
      <c r="K11" s="66" t="str">
        <f t="shared" si="1"/>
        <v>7,43% to 13,83%</v>
      </c>
      <c r="L11" s="67">
        <f t="shared" si="4"/>
        <v>0.12643678160919541</v>
      </c>
      <c r="M11" s="68">
        <f t="shared" si="5"/>
        <v>0.93486590038314188</v>
      </c>
    </row>
    <row r="12" spans="1:13" x14ac:dyDescent="0.25">
      <c r="B12" s="17" t="s">
        <v>461</v>
      </c>
      <c r="C12" s="18">
        <v>23.9</v>
      </c>
      <c r="D12" s="144">
        <f t="shared" si="0"/>
        <v>6.6012488849241713E-2</v>
      </c>
      <c r="H12" s="63">
        <f>$I$19+1.8*$I$23</f>
        <v>0.2021817652963086</v>
      </c>
      <c r="I12" s="64">
        <f t="shared" si="2"/>
        <v>0.2021817652963086</v>
      </c>
      <c r="J12" s="65">
        <f t="shared" si="3"/>
        <v>6</v>
      </c>
      <c r="K12" s="66" t="str">
        <f t="shared" si="1"/>
        <v>13,83% to 20,22%</v>
      </c>
      <c r="L12" s="67">
        <f t="shared" si="4"/>
        <v>2.2988505747126436E-2</v>
      </c>
      <c r="M12" s="68">
        <f t="shared" si="5"/>
        <v>0.95785440613026829</v>
      </c>
    </row>
    <row r="13" spans="1:13" x14ac:dyDescent="0.25">
      <c r="B13" s="17" t="s">
        <v>460</v>
      </c>
      <c r="C13" s="18">
        <v>22.42</v>
      </c>
      <c r="D13" s="144">
        <f t="shared" si="0"/>
        <v>7.1877807726863363E-3</v>
      </c>
      <c r="H13" s="63">
        <f>$I$19+2.4*$I$23</f>
        <v>0.2661124127520258</v>
      </c>
      <c r="I13" s="64">
        <f t="shared" si="2"/>
        <v>0.2661124127520258</v>
      </c>
      <c r="J13" s="65">
        <f t="shared" si="3"/>
        <v>4</v>
      </c>
      <c r="K13" s="66" t="str">
        <f t="shared" si="1"/>
        <v>20,22% to 26,61%</v>
      </c>
      <c r="L13" s="67">
        <f t="shared" si="4"/>
        <v>1.532567049808429E-2</v>
      </c>
      <c r="M13" s="68">
        <f t="shared" si="5"/>
        <v>0.9731800766283526</v>
      </c>
    </row>
    <row r="14" spans="1:13" x14ac:dyDescent="0.25">
      <c r="B14" s="17" t="s">
        <v>459</v>
      </c>
      <c r="C14" s="18">
        <v>22.26</v>
      </c>
      <c r="D14" s="144">
        <f t="shared" si="0"/>
        <v>-0.10853023628354019</v>
      </c>
      <c r="H14" s="63">
        <f>$I$19+3*$I$23</f>
        <v>0.33004306020774299</v>
      </c>
      <c r="I14" s="64">
        <f t="shared" si="2"/>
        <v>0.33004306020774299</v>
      </c>
      <c r="J14" s="65">
        <f t="shared" si="3"/>
        <v>2</v>
      </c>
      <c r="K14" s="66" t="str">
        <f t="shared" si="1"/>
        <v>26,61% to 33,00%</v>
      </c>
      <c r="L14" s="67">
        <f t="shared" si="4"/>
        <v>7.6628352490421452E-3</v>
      </c>
      <c r="M14" s="68">
        <f t="shared" si="5"/>
        <v>0.9808429118773947</v>
      </c>
    </row>
    <row r="15" spans="1:13" ht="15.75" thickBot="1" x14ac:dyDescent="0.3">
      <c r="B15" s="17" t="s">
        <v>458</v>
      </c>
      <c r="C15" s="18">
        <v>24.97</v>
      </c>
      <c r="D15" s="144">
        <f t="shared" si="0"/>
        <v>-7.3125463994060946E-2</v>
      </c>
      <c r="H15" s="69"/>
      <c r="I15" s="70" t="s">
        <v>91</v>
      </c>
      <c r="J15" s="70">
        <f>COUNTIF(D:D,"&gt;"&amp;H14)</f>
        <v>5</v>
      </c>
      <c r="K15" s="70" t="str">
        <f>"Greater than "&amp;TEXT(H14,"0,00%")</f>
        <v>Greater than 33,00%</v>
      </c>
      <c r="L15" s="71">
        <f t="shared" si="4"/>
        <v>1.9157088122605363E-2</v>
      </c>
      <c r="M15" s="71">
        <f t="shared" si="5"/>
        <v>1</v>
      </c>
    </row>
    <row r="16" spans="1:13" ht="15.75" thickBot="1" x14ac:dyDescent="0.3">
      <c r="B16" s="17" t="s">
        <v>457</v>
      </c>
      <c r="C16" s="18">
        <v>26.94</v>
      </c>
      <c r="D16" s="144">
        <f t="shared" si="0"/>
        <v>-6.3933287004864447E-2</v>
      </c>
      <c r="H16" s="72"/>
      <c r="M16" s="73"/>
    </row>
    <row r="17" spans="2:13" x14ac:dyDescent="0.25">
      <c r="B17" s="17" t="s">
        <v>456</v>
      </c>
      <c r="C17" s="18">
        <v>28.78</v>
      </c>
      <c r="D17" s="144">
        <f t="shared" si="0"/>
        <v>0.26728313518273894</v>
      </c>
      <c r="H17" s="136" t="s">
        <v>122</v>
      </c>
      <c r="I17" s="137"/>
      <c r="M17" s="73"/>
    </row>
    <row r="18" spans="2:13" x14ac:dyDescent="0.25">
      <c r="B18" s="17" t="s">
        <v>455</v>
      </c>
      <c r="C18" s="18">
        <v>22.71</v>
      </c>
      <c r="D18" s="144">
        <f t="shared" si="0"/>
        <v>0.11268985791278796</v>
      </c>
      <c r="H18" s="138"/>
      <c r="I18" s="139"/>
      <c r="M18" s="73"/>
    </row>
    <row r="19" spans="2:13" x14ac:dyDescent="0.25">
      <c r="B19" s="17" t="s">
        <v>454</v>
      </c>
      <c r="C19" s="18">
        <v>20.41</v>
      </c>
      <c r="D19" s="144">
        <f t="shared" si="0"/>
        <v>5.4235537190082672E-2</v>
      </c>
      <c r="H19" s="74" t="s">
        <v>92</v>
      </c>
      <c r="I19" s="110">
        <f>AVERAGE(D:D)</f>
        <v>1.0389822929157116E-2</v>
      </c>
      <c r="M19" s="73"/>
    </row>
    <row r="20" spans="2:13" x14ac:dyDescent="0.25">
      <c r="B20" s="17" t="s">
        <v>453</v>
      </c>
      <c r="C20" s="18">
        <v>19.36</v>
      </c>
      <c r="D20" s="144">
        <f t="shared" si="0"/>
        <v>9.3847758081333499E-3</v>
      </c>
      <c r="H20" s="74" t="s">
        <v>93</v>
      </c>
      <c r="I20" s="110">
        <f>_xlfn.STDEV.S(D:D)/SQRT(COUNT(D:D))</f>
        <v>6.5953462217596005E-3</v>
      </c>
      <c r="M20" s="73"/>
    </row>
    <row r="21" spans="2:13" x14ac:dyDescent="0.25">
      <c r="B21" s="17" t="s">
        <v>452</v>
      </c>
      <c r="C21" s="18">
        <v>19.18</v>
      </c>
      <c r="D21" s="144">
        <f t="shared" si="0"/>
        <v>5.1535087719298378E-2</v>
      </c>
      <c r="H21" s="74" t="s">
        <v>94</v>
      </c>
      <c r="I21" s="110">
        <f>MEDIAN(D:D)</f>
        <v>1.5151515151514694E-3</v>
      </c>
      <c r="M21" s="73"/>
    </row>
    <row r="22" spans="2:13" x14ac:dyDescent="0.25">
      <c r="B22" s="17" t="s">
        <v>451</v>
      </c>
      <c r="C22" s="18">
        <v>18.239999999999998</v>
      </c>
      <c r="D22" s="144">
        <f t="shared" si="0"/>
        <v>0.42834768989819882</v>
      </c>
      <c r="H22" s="74" t="s">
        <v>95</v>
      </c>
      <c r="I22" s="110">
        <f>MODE(D:D)</f>
        <v>0</v>
      </c>
      <c r="M22" s="73"/>
    </row>
    <row r="23" spans="2:13" x14ac:dyDescent="0.25">
      <c r="B23" s="17" t="s">
        <v>450</v>
      </c>
      <c r="C23" s="18">
        <v>12.77</v>
      </c>
      <c r="D23" s="144">
        <f t="shared" si="0"/>
        <v>7.3109243697478954E-2</v>
      </c>
      <c r="H23" s="74" t="s">
        <v>96</v>
      </c>
      <c r="I23" s="110">
        <f>_xlfn.STDEV.S(D:D)</f>
        <v>0.10655107909286195</v>
      </c>
      <c r="M23" s="73"/>
    </row>
    <row r="24" spans="2:13" x14ac:dyDescent="0.25">
      <c r="B24" s="17" t="s">
        <v>449</v>
      </c>
      <c r="C24" s="18">
        <v>11.9</v>
      </c>
      <c r="D24" s="144">
        <f t="shared" si="0"/>
        <v>6.6308243727598581E-2</v>
      </c>
      <c r="H24" s="74" t="s">
        <v>97</v>
      </c>
      <c r="I24" s="110">
        <f>_xlfn.VAR.S(D:D)</f>
        <v>1.1353132455853322E-2</v>
      </c>
      <c r="M24" s="73"/>
    </row>
    <row r="25" spans="2:13" x14ac:dyDescent="0.25">
      <c r="B25" s="17" t="s">
        <v>448</v>
      </c>
      <c r="C25" s="18">
        <v>11.16</v>
      </c>
      <c r="D25" s="144">
        <f t="shared" si="0"/>
        <v>-2.1052631578947434E-2</v>
      </c>
      <c r="H25" s="74" t="s">
        <v>98</v>
      </c>
      <c r="I25" s="111">
        <f>KURT(D:D)</f>
        <v>5.3654858706674737</v>
      </c>
      <c r="M25" s="73"/>
    </row>
    <row r="26" spans="2:13" x14ac:dyDescent="0.25">
      <c r="B26" s="17" t="s">
        <v>447</v>
      </c>
      <c r="C26" s="18">
        <v>11.4</v>
      </c>
      <c r="D26" s="144">
        <f t="shared" si="0"/>
        <v>-0.11007025761124123</v>
      </c>
      <c r="H26" s="74" t="s">
        <v>99</v>
      </c>
      <c r="I26" s="111">
        <f>SKEW(D:D)</f>
        <v>1.1659371271170942</v>
      </c>
      <c r="M26" s="73"/>
    </row>
    <row r="27" spans="2:13" x14ac:dyDescent="0.25">
      <c r="B27" s="17" t="s">
        <v>446</v>
      </c>
      <c r="C27" s="18">
        <v>12.81</v>
      </c>
      <c r="D27" s="144">
        <f t="shared" si="0"/>
        <v>-4.7583643122676489E-2</v>
      </c>
      <c r="H27" s="74" t="s">
        <v>88</v>
      </c>
      <c r="I27" s="110">
        <f>I29-I28</f>
        <v>0.85912329615861205</v>
      </c>
      <c r="M27" s="73"/>
    </row>
    <row r="28" spans="2:13" x14ac:dyDescent="0.25">
      <c r="B28" s="17" t="s">
        <v>445</v>
      </c>
      <c r="C28" s="18">
        <v>13.45</v>
      </c>
      <c r="D28" s="144">
        <f t="shared" si="0"/>
        <v>-1.1756061719324085E-2</v>
      </c>
      <c r="H28" s="74" t="s">
        <v>100</v>
      </c>
      <c r="I28" s="110">
        <f>MIN(D:D)</f>
        <v>-0.33828996282527879</v>
      </c>
      <c r="M28" s="73"/>
    </row>
    <row r="29" spans="2:13" x14ac:dyDescent="0.25">
      <c r="B29" s="17" t="s">
        <v>444</v>
      </c>
      <c r="C29" s="18">
        <v>13.61</v>
      </c>
      <c r="D29" s="144">
        <f t="shared" si="0"/>
        <v>3.8138825324180115E-2</v>
      </c>
      <c r="H29" s="74" t="s">
        <v>101</v>
      </c>
      <c r="I29" s="110">
        <f>MAX(D:D)</f>
        <v>0.52083333333333326</v>
      </c>
      <c r="M29" s="73"/>
    </row>
    <row r="30" spans="2:13" x14ac:dyDescent="0.25">
      <c r="B30" s="17" t="s">
        <v>443</v>
      </c>
      <c r="C30" s="18">
        <v>13.11</v>
      </c>
      <c r="D30" s="144">
        <f t="shared" si="0"/>
        <v>-0.10816326530612241</v>
      </c>
      <c r="H30" s="74" t="s">
        <v>102</v>
      </c>
      <c r="I30" s="111">
        <f>SUM(D:D)</f>
        <v>2.7117437845100074</v>
      </c>
      <c r="M30" s="73"/>
    </row>
    <row r="31" spans="2:13" ht="15.75" thickBot="1" x14ac:dyDescent="0.3">
      <c r="B31" s="17" t="s">
        <v>442</v>
      </c>
      <c r="C31" s="18">
        <v>14.7</v>
      </c>
      <c r="D31" s="144">
        <f t="shared" si="0"/>
        <v>-3.9843239712606171E-2</v>
      </c>
      <c r="H31" s="75" t="s">
        <v>103</v>
      </c>
      <c r="I31" s="52">
        <f>COUNT(D:D)</f>
        <v>261</v>
      </c>
      <c r="M31" s="73"/>
    </row>
    <row r="32" spans="2:13" ht="15.75" thickBot="1" x14ac:dyDescent="0.3">
      <c r="B32" s="17" t="s">
        <v>441</v>
      </c>
      <c r="C32" s="18">
        <v>15.31</v>
      </c>
      <c r="D32" s="144">
        <f t="shared" si="0"/>
        <v>0.25491803278688541</v>
      </c>
      <c r="H32" s="77"/>
      <c r="M32" s="73"/>
    </row>
    <row r="33" spans="2:13" x14ac:dyDescent="0.25">
      <c r="B33" s="17" t="s">
        <v>440</v>
      </c>
      <c r="C33" s="18">
        <v>12.2</v>
      </c>
      <c r="D33" s="144">
        <f t="shared" si="0"/>
        <v>9.8109810981098056E-2</v>
      </c>
      <c r="H33" s="78"/>
      <c r="I33" s="79" t="s">
        <v>104</v>
      </c>
      <c r="J33" s="79" t="s">
        <v>103</v>
      </c>
      <c r="K33" s="79" t="s">
        <v>105</v>
      </c>
      <c r="L33" s="80" t="s">
        <v>106</v>
      </c>
      <c r="M33" s="73"/>
    </row>
    <row r="34" spans="2:13" x14ac:dyDescent="0.25">
      <c r="B34" s="17" t="s">
        <v>439</v>
      </c>
      <c r="C34" s="18">
        <v>11.11</v>
      </c>
      <c r="D34" s="144">
        <f t="shared" si="0"/>
        <v>0.13599182004089982</v>
      </c>
      <c r="H34" s="81" t="s">
        <v>107</v>
      </c>
      <c r="I34" s="67">
        <f>AVERAGEIF(D:D,"&gt;0")</f>
        <v>7.8784177238053019E-2</v>
      </c>
      <c r="J34" s="65">
        <f>COUNTIF(D:D,"&gt;0")</f>
        <v>135</v>
      </c>
      <c r="K34" s="67">
        <f>J34/$I$31</f>
        <v>0.51724137931034486</v>
      </c>
      <c r="L34" s="68">
        <f>K34*I34</f>
        <v>4.0750436502441222E-2</v>
      </c>
      <c r="M34" s="73"/>
    </row>
    <row r="35" spans="2:13" x14ac:dyDescent="0.25">
      <c r="B35" s="17" t="s">
        <v>438</v>
      </c>
      <c r="C35" s="18">
        <v>9.7799999999999994</v>
      </c>
      <c r="D35" s="144">
        <f t="shared" si="0"/>
        <v>0.49770290964777941</v>
      </c>
      <c r="H35" s="81" t="s">
        <v>108</v>
      </c>
      <c r="I35" s="67">
        <f>AVERAGEIF(D:D,"&lt;0")</f>
        <v>-6.4951804447763536E-2</v>
      </c>
      <c r="J35" s="65">
        <f>COUNTIF(D:D,"&lt;0")</f>
        <v>122</v>
      </c>
      <c r="K35" s="67">
        <f>J35/$I$31</f>
        <v>0.46743295019157088</v>
      </c>
      <c r="L35" s="68">
        <f t="shared" ref="L35:L36" si="6">K35*I35</f>
        <v>-3.0360613573284106E-2</v>
      </c>
      <c r="M35" s="73"/>
    </row>
    <row r="36" spans="2:13" ht="15.75" thickBot="1" x14ac:dyDescent="0.3">
      <c r="B36" s="17" t="s">
        <v>437</v>
      </c>
      <c r="C36" s="18">
        <v>6.53</v>
      </c>
      <c r="D36" s="144">
        <f t="shared" si="0"/>
        <v>-7.8984485190409015E-2</v>
      </c>
      <c r="H36" s="82" t="s">
        <v>109</v>
      </c>
      <c r="I36" s="70">
        <v>0</v>
      </c>
      <c r="J36" s="70">
        <f>COUNTIF(D:D,"0")</f>
        <v>4</v>
      </c>
      <c r="K36" s="83">
        <f>J36/$I$31</f>
        <v>1.532567049808429E-2</v>
      </c>
      <c r="L36" s="71">
        <f t="shared" si="6"/>
        <v>0</v>
      </c>
      <c r="M36" s="73"/>
    </row>
    <row r="37" spans="2:13" ht="15.75" thickBot="1" x14ac:dyDescent="0.3">
      <c r="B37" s="17" t="s">
        <v>436</v>
      </c>
      <c r="C37" s="18">
        <v>7.09</v>
      </c>
      <c r="D37" s="144">
        <f t="shared" si="0"/>
        <v>4.2647058823529482E-2</v>
      </c>
      <c r="H37" s="77"/>
      <c r="I37" s="84"/>
      <c r="J37" s="84"/>
      <c r="K37" s="84"/>
      <c r="L37" s="84"/>
      <c r="M37" s="73"/>
    </row>
    <row r="38" spans="2:13" x14ac:dyDescent="0.25">
      <c r="B38" s="17" t="s">
        <v>435</v>
      </c>
      <c r="C38" s="18">
        <v>6.8</v>
      </c>
      <c r="D38" s="144">
        <f t="shared" si="0"/>
        <v>2.9498525073745618E-3</v>
      </c>
      <c r="H38" s="58" t="s">
        <v>110</v>
      </c>
      <c r="I38" s="79" t="s">
        <v>111</v>
      </c>
      <c r="J38" s="79" t="s">
        <v>112</v>
      </c>
      <c r="K38" s="79" t="s">
        <v>113</v>
      </c>
      <c r="L38" s="79" t="s">
        <v>114</v>
      </c>
      <c r="M38" s="80" t="s">
        <v>115</v>
      </c>
    </row>
    <row r="39" spans="2:13" x14ac:dyDescent="0.25">
      <c r="B39" s="17" t="s">
        <v>434</v>
      </c>
      <c r="C39" s="18">
        <v>6.78</v>
      </c>
      <c r="D39" s="144">
        <f t="shared" si="0"/>
        <v>5.9374999999999956E-2</v>
      </c>
      <c r="H39" s="85">
        <v>1</v>
      </c>
      <c r="I39" s="67">
        <f>$I$19+($H39*$I$23)</f>
        <v>0.11694090202201907</v>
      </c>
      <c r="J39" s="67">
        <f>$I$19-($H39*$I$23)</f>
        <v>-9.6161256163704828E-2</v>
      </c>
      <c r="K39" s="65">
        <f>COUNTIFS(D:D,"&lt;"&amp;I39,D:D,"&gt;"&amp;J39)</f>
        <v>211</v>
      </c>
      <c r="L39" s="67">
        <f>K39/$I$31</f>
        <v>0.80842911877394641</v>
      </c>
      <c r="M39" s="68">
        <v>0.68269999999999997</v>
      </c>
    </row>
    <row r="40" spans="2:13" x14ac:dyDescent="0.25">
      <c r="B40" s="17" t="s">
        <v>433</v>
      </c>
      <c r="C40" s="18">
        <v>6.4</v>
      </c>
      <c r="D40" s="144">
        <f t="shared" si="0"/>
        <v>3.5598705501618255E-2</v>
      </c>
      <c r="H40" s="85">
        <v>2</v>
      </c>
      <c r="I40" s="67">
        <f>$I$19+($H40*$I$23)</f>
        <v>0.223491981114881</v>
      </c>
      <c r="J40" s="67">
        <f>$I$19-($H40*$I$23)</f>
        <v>-0.20271233525656679</v>
      </c>
      <c r="K40" s="65">
        <f>COUNTIFS(D:D,"&lt;"&amp;I40,D:D,"&gt;"&amp;J40)</f>
        <v>250</v>
      </c>
      <c r="L40" s="67">
        <f>K40/$I$31</f>
        <v>0.95785440613026818</v>
      </c>
      <c r="M40" s="68">
        <v>0.95450000000000002</v>
      </c>
    </row>
    <row r="41" spans="2:13" x14ac:dyDescent="0.25">
      <c r="B41" s="17" t="s">
        <v>432</v>
      </c>
      <c r="C41" s="18">
        <v>6.18</v>
      </c>
      <c r="D41" s="144">
        <f t="shared" si="0"/>
        <v>-7.0676691729323449E-2</v>
      </c>
      <c r="H41" s="85">
        <v>3</v>
      </c>
      <c r="I41" s="67">
        <f>$I$19+($H41*$I$23)</f>
        <v>0.33004306020774299</v>
      </c>
      <c r="J41" s="67">
        <f>$I$19-($H41*$I$23)</f>
        <v>-0.30926341434942872</v>
      </c>
      <c r="K41" s="65">
        <f>COUNTIFS(D:D,"&lt;"&amp;I41,D:D,"&gt;"&amp;J41)</f>
        <v>254</v>
      </c>
      <c r="L41" s="67">
        <f>K41/$I$31</f>
        <v>0.97318007662835249</v>
      </c>
      <c r="M41" s="86">
        <v>0.99729999999999996</v>
      </c>
    </row>
    <row r="42" spans="2:13" ht="15.75" thickBot="1" x14ac:dyDescent="0.3">
      <c r="B42" s="17" t="s">
        <v>431</v>
      </c>
      <c r="C42" s="18">
        <v>6.65</v>
      </c>
      <c r="D42" s="144">
        <f t="shared" si="0"/>
        <v>-2.0618556701030855E-2</v>
      </c>
      <c r="H42" s="63"/>
      <c r="M42" s="86"/>
    </row>
    <row r="43" spans="2:13" ht="15.75" thickBot="1" x14ac:dyDescent="0.3">
      <c r="B43" s="17" t="s">
        <v>430</v>
      </c>
      <c r="C43" s="18">
        <v>6.79</v>
      </c>
      <c r="D43" s="144">
        <f t="shared" si="0"/>
        <v>0.10586319218241047</v>
      </c>
      <c r="H43" s="140" t="s">
        <v>116</v>
      </c>
      <c r="I43" s="141"/>
      <c r="J43" s="141"/>
      <c r="K43" s="141"/>
      <c r="L43" s="141"/>
      <c r="M43" s="142"/>
    </row>
    <row r="44" spans="2:13" x14ac:dyDescent="0.25">
      <c r="B44" s="17" t="s">
        <v>429</v>
      </c>
      <c r="C44" s="18">
        <v>6.14</v>
      </c>
      <c r="D44" s="144">
        <f t="shared" si="0"/>
        <v>-0.10364963503649638</v>
      </c>
      <c r="H44" s="87">
        <v>0.01</v>
      </c>
      <c r="I44" s="88">
        <f t="shared" ref="I44:I58" si="7">_xlfn.PERCENTILE.INC(D:D,H44)</f>
        <v>-0.21646780062621643</v>
      </c>
      <c r="J44" s="89">
        <v>0.2</v>
      </c>
      <c r="K44" s="88">
        <f t="shared" ref="K44:K56" si="8">_xlfn.PERCENTILE.INC(D:D,J44)</f>
        <v>-6.331471135940403E-2</v>
      </c>
      <c r="L44" s="89">
        <v>0.85</v>
      </c>
      <c r="M44" s="90">
        <f t="shared" ref="M44:M58" si="9">_xlfn.PERCENTILE.INC(D:D,L44)</f>
        <v>8.7378640776699212E-2</v>
      </c>
    </row>
    <row r="45" spans="2:13" x14ac:dyDescent="0.25">
      <c r="B45" s="17" t="s">
        <v>428</v>
      </c>
      <c r="C45" s="18">
        <v>6.85</v>
      </c>
      <c r="D45" s="144">
        <f t="shared" si="0"/>
        <v>0.1285008237232288</v>
      </c>
      <c r="H45" s="91">
        <v>0.02</v>
      </c>
      <c r="I45" s="92">
        <f t="shared" si="7"/>
        <v>-0.17619330560507024</v>
      </c>
      <c r="J45" s="93">
        <v>0.25</v>
      </c>
      <c r="K45" s="92">
        <f t="shared" si="8"/>
        <v>-4.4117647058823595E-2</v>
      </c>
      <c r="L45" s="93">
        <v>0.86</v>
      </c>
      <c r="M45" s="94">
        <f t="shared" si="9"/>
        <v>9.2300053875326138E-2</v>
      </c>
    </row>
    <row r="46" spans="2:13" x14ac:dyDescent="0.25">
      <c r="B46" s="17" t="s">
        <v>427</v>
      </c>
      <c r="C46" s="18">
        <v>6.07</v>
      </c>
      <c r="D46" s="144">
        <f t="shared" si="0"/>
        <v>0.20675944333996021</v>
      </c>
      <c r="H46" s="91">
        <v>0.03</v>
      </c>
      <c r="I46" s="92">
        <f t="shared" si="7"/>
        <v>-0.1527882482510432</v>
      </c>
      <c r="J46" s="93">
        <v>0.3</v>
      </c>
      <c r="K46" s="92">
        <f t="shared" si="8"/>
        <v>-3.3723522853957633E-2</v>
      </c>
      <c r="L46" s="93">
        <v>0.87</v>
      </c>
      <c r="M46" s="94">
        <f t="shared" si="9"/>
        <v>9.7882831761436986E-2</v>
      </c>
    </row>
    <row r="47" spans="2:13" x14ac:dyDescent="0.25">
      <c r="B47" s="17" t="s">
        <v>426</v>
      </c>
      <c r="C47" s="18">
        <v>5.03</v>
      </c>
      <c r="D47" s="144">
        <f t="shared" si="0"/>
        <v>-6.331471135940403E-2</v>
      </c>
      <c r="H47" s="91">
        <v>0.04</v>
      </c>
      <c r="I47" s="92">
        <f t="shared" si="7"/>
        <v>-0.13712532193544852</v>
      </c>
      <c r="J47" s="93">
        <v>0.35</v>
      </c>
      <c r="K47" s="92">
        <f t="shared" si="8"/>
        <v>-1.9855595667870096E-2</v>
      </c>
      <c r="L47" s="93">
        <v>0.88</v>
      </c>
      <c r="M47" s="94">
        <f t="shared" si="9"/>
        <v>0.10229441088111982</v>
      </c>
    </row>
    <row r="48" spans="2:13" x14ac:dyDescent="0.25">
      <c r="B48" s="17" t="s">
        <v>425</v>
      </c>
      <c r="C48" s="18">
        <v>5.37</v>
      </c>
      <c r="D48" s="144">
        <f t="shared" si="0"/>
        <v>-8.0479452054794454E-2</v>
      </c>
      <c r="H48" s="91">
        <v>0.05</v>
      </c>
      <c r="I48" s="92">
        <f t="shared" si="7"/>
        <v>-0.12682926829268293</v>
      </c>
      <c r="J48" s="93">
        <v>0.4</v>
      </c>
      <c r="K48" s="92">
        <f t="shared" si="8"/>
        <v>-1.0752688172043001E-2</v>
      </c>
      <c r="L48" s="93">
        <v>0.89</v>
      </c>
      <c r="M48" s="94">
        <f t="shared" si="9"/>
        <v>0.1046502994604762</v>
      </c>
    </row>
    <row r="49" spans="2:13" x14ac:dyDescent="0.25">
      <c r="B49" s="17" t="s">
        <v>424</v>
      </c>
      <c r="C49" s="18">
        <v>5.84</v>
      </c>
      <c r="D49" s="144">
        <f t="shared" si="0"/>
        <v>0.52083333333333326</v>
      </c>
      <c r="H49" s="91">
        <v>0.06</v>
      </c>
      <c r="I49" s="92">
        <f t="shared" si="7"/>
        <v>-0.12040827133363344</v>
      </c>
      <c r="J49" s="93">
        <v>0.45</v>
      </c>
      <c r="K49" s="92">
        <f t="shared" si="8"/>
        <v>-3.0333670374116384E-3</v>
      </c>
      <c r="L49" s="93">
        <v>0.9</v>
      </c>
      <c r="M49" s="94">
        <f t="shared" si="9"/>
        <v>0.10989327949235639</v>
      </c>
    </row>
    <row r="50" spans="2:13" x14ac:dyDescent="0.25">
      <c r="B50" s="17" t="s">
        <v>423</v>
      </c>
      <c r="C50" s="18">
        <v>3.84</v>
      </c>
      <c r="D50" s="144">
        <f t="shared" si="0"/>
        <v>4.3478260869565188E-2</v>
      </c>
      <c r="H50" s="91">
        <v>7.0000000000000007E-2</v>
      </c>
      <c r="I50" s="92">
        <f t="shared" si="7"/>
        <v>-0.11977407094594598</v>
      </c>
      <c r="J50" s="93">
        <v>0.5</v>
      </c>
      <c r="K50" s="92">
        <f t="shared" si="8"/>
        <v>1.5151515151514694E-3</v>
      </c>
      <c r="L50" s="93">
        <v>0.91</v>
      </c>
      <c r="M50" s="94">
        <f t="shared" si="9"/>
        <v>0.11496230680147879</v>
      </c>
    </row>
    <row r="51" spans="2:13" x14ac:dyDescent="0.25">
      <c r="B51" s="17" t="s">
        <v>422</v>
      </c>
      <c r="C51" s="18">
        <v>3.68</v>
      </c>
      <c r="D51" s="144">
        <f t="shared" si="0"/>
        <v>-6.3613231552162808E-2</v>
      </c>
      <c r="H51" s="91">
        <v>0.08</v>
      </c>
      <c r="I51" s="92">
        <f t="shared" si="7"/>
        <v>-0.1118143054410448</v>
      </c>
      <c r="J51" s="93">
        <v>0.55000000000000004</v>
      </c>
      <c r="K51" s="92">
        <f t="shared" si="8"/>
        <v>7.5642965204236745E-3</v>
      </c>
      <c r="L51" s="93">
        <v>0.92</v>
      </c>
      <c r="M51" s="94">
        <f t="shared" si="9"/>
        <v>0.11999120160884867</v>
      </c>
    </row>
    <row r="52" spans="2:13" x14ac:dyDescent="0.25">
      <c r="B52" s="17" t="s">
        <v>421</v>
      </c>
      <c r="C52" s="18">
        <v>3.93</v>
      </c>
      <c r="D52" s="144">
        <f t="shared" si="0"/>
        <v>0.10393258426966301</v>
      </c>
      <c r="H52" s="91">
        <v>0.09</v>
      </c>
      <c r="I52" s="92">
        <f t="shared" si="7"/>
        <v>-0.10635781319827201</v>
      </c>
      <c r="J52" s="93">
        <v>0.6</v>
      </c>
      <c r="K52" s="92">
        <f t="shared" si="8"/>
        <v>1.343570057581589E-2</v>
      </c>
      <c r="L52" s="93">
        <v>0.93</v>
      </c>
      <c r="M52" s="94">
        <f t="shared" si="9"/>
        <v>0.12999269256658541</v>
      </c>
    </row>
    <row r="53" spans="2:13" x14ac:dyDescent="0.25">
      <c r="B53" s="17" t="s">
        <v>420</v>
      </c>
      <c r="C53" s="18">
        <v>3.56</v>
      </c>
      <c r="D53" s="144">
        <f t="shared" si="0"/>
        <v>1.4245014245014342E-2</v>
      </c>
      <c r="H53" s="91">
        <v>0.1</v>
      </c>
      <c r="I53" s="92">
        <f t="shared" si="7"/>
        <v>-0.10227272727272729</v>
      </c>
      <c r="J53" s="93">
        <v>0.65</v>
      </c>
      <c r="K53" s="92">
        <f t="shared" si="8"/>
        <v>2.6548672566371723E-2</v>
      </c>
      <c r="L53" s="93">
        <v>0.94</v>
      </c>
      <c r="M53" s="94">
        <f t="shared" si="9"/>
        <v>0.15759141374067984</v>
      </c>
    </row>
    <row r="54" spans="2:13" x14ac:dyDescent="0.25">
      <c r="B54" s="17" t="s">
        <v>419</v>
      </c>
      <c r="C54" s="18">
        <v>3.51</v>
      </c>
      <c r="D54" s="144">
        <f t="shared" si="0"/>
        <v>3.5398230088495408E-2</v>
      </c>
      <c r="H54" s="91">
        <v>0.11</v>
      </c>
      <c r="I54" s="92">
        <f t="shared" si="7"/>
        <v>-8.9289391523847517E-2</v>
      </c>
      <c r="J54" s="93">
        <v>0.7</v>
      </c>
      <c r="K54" s="92">
        <f t="shared" si="8"/>
        <v>4.2647058823529482E-2</v>
      </c>
      <c r="L54" s="93">
        <v>0.95</v>
      </c>
      <c r="M54" s="94">
        <f t="shared" si="9"/>
        <v>0.18309859154929575</v>
      </c>
    </row>
    <row r="55" spans="2:13" x14ac:dyDescent="0.25">
      <c r="B55" s="17" t="s">
        <v>418</v>
      </c>
      <c r="C55" s="18">
        <v>3.39</v>
      </c>
      <c r="D55" s="144">
        <f t="shared" si="0"/>
        <v>4.9535603715170407E-2</v>
      </c>
      <c r="H55" s="91">
        <v>0.12</v>
      </c>
      <c r="I55" s="92">
        <f t="shared" si="7"/>
        <v>-8.6918896846337482E-2</v>
      </c>
      <c r="J55" s="93">
        <v>0.75</v>
      </c>
      <c r="K55" s="92">
        <f t="shared" si="8"/>
        <v>5.8524173027989734E-2</v>
      </c>
      <c r="L55" s="93">
        <v>0.96</v>
      </c>
      <c r="M55" s="94">
        <f t="shared" si="9"/>
        <v>0.20323655337598967</v>
      </c>
    </row>
    <row r="56" spans="2:13" x14ac:dyDescent="0.25">
      <c r="B56" s="17" t="s">
        <v>417</v>
      </c>
      <c r="C56" s="18">
        <v>3.23</v>
      </c>
      <c r="D56" s="144">
        <f t="shared" si="0"/>
        <v>1.8927444794952786E-2</v>
      </c>
      <c r="H56" s="91">
        <v>0.13</v>
      </c>
      <c r="I56" s="92">
        <f t="shared" si="7"/>
        <v>-8.5099527665317254E-2</v>
      </c>
      <c r="J56" s="93">
        <v>0.8</v>
      </c>
      <c r="K56" s="92">
        <f t="shared" si="8"/>
        <v>7.182320441988943E-2</v>
      </c>
      <c r="L56" s="93">
        <v>0.97</v>
      </c>
      <c r="M56" s="94">
        <f t="shared" si="9"/>
        <v>0.21964032297528702</v>
      </c>
    </row>
    <row r="57" spans="2:13" x14ac:dyDescent="0.25">
      <c r="B57" s="17" t="s">
        <v>416</v>
      </c>
      <c r="C57" s="18">
        <v>3.17</v>
      </c>
      <c r="D57" s="144">
        <f t="shared" si="0"/>
        <v>0</v>
      </c>
      <c r="H57" s="91">
        <v>0.14000000000000001</v>
      </c>
      <c r="I57" s="92">
        <f t="shared" si="7"/>
        <v>-8.248079816295821E-2</v>
      </c>
      <c r="J57" s="93"/>
      <c r="K57" s="92"/>
      <c r="L57" s="93">
        <v>0.98</v>
      </c>
      <c r="M57" s="94">
        <f t="shared" si="9"/>
        <v>0.28315959733357721</v>
      </c>
    </row>
    <row r="58" spans="2:13" ht="15.75" thickBot="1" x14ac:dyDescent="0.3">
      <c r="B58" s="17" t="s">
        <v>415</v>
      </c>
      <c r="C58" s="18">
        <v>3.17</v>
      </c>
      <c r="D58" s="144">
        <f t="shared" si="0"/>
        <v>-8.381502890173409E-2</v>
      </c>
      <c r="H58" s="95">
        <v>0.15</v>
      </c>
      <c r="I58" s="96">
        <f t="shared" si="7"/>
        <v>-7.8984485190409015E-2</v>
      </c>
      <c r="J58" s="97"/>
      <c r="K58" s="76"/>
      <c r="L58" s="98">
        <v>0.99</v>
      </c>
      <c r="M58" s="99">
        <f t="shared" si="9"/>
        <v>0.42578933773938427</v>
      </c>
    </row>
    <row r="59" spans="2:13" ht="15.75" thickBot="1" x14ac:dyDescent="0.3">
      <c r="B59" s="17" t="s">
        <v>414</v>
      </c>
      <c r="C59" s="18">
        <v>3.46</v>
      </c>
      <c r="D59" s="144">
        <f t="shared" si="0"/>
        <v>-8.7071240105540904E-2</v>
      </c>
    </row>
    <row r="60" spans="2:13" x14ac:dyDescent="0.25">
      <c r="B60" s="17" t="s">
        <v>413</v>
      </c>
      <c r="C60" s="18">
        <v>3.79</v>
      </c>
      <c r="D60" s="144">
        <f t="shared" si="0"/>
        <v>-8.8942307692307709E-2</v>
      </c>
      <c r="H60" s="100" t="s">
        <v>117</v>
      </c>
      <c r="I60" s="101">
        <v>0.1</v>
      </c>
    </row>
    <row r="61" spans="2:13" ht="15.75" thickBot="1" x14ac:dyDescent="0.3">
      <c r="B61" s="17" t="s">
        <v>412</v>
      </c>
      <c r="C61" s="18">
        <v>4.16</v>
      </c>
      <c r="D61" s="144">
        <f t="shared" si="0"/>
        <v>4.5226130653266416E-2</v>
      </c>
      <c r="H61" s="102" t="s">
        <v>118</v>
      </c>
      <c r="I61" s="103">
        <v>0.3</v>
      </c>
    </row>
    <row r="62" spans="2:13" ht="15.75" thickBot="1" x14ac:dyDescent="0.3">
      <c r="B62" s="17" t="s">
        <v>411</v>
      </c>
      <c r="C62" s="18">
        <v>3.98</v>
      </c>
      <c r="D62" s="144">
        <f t="shared" si="0"/>
        <v>-0.1385281385281385</v>
      </c>
      <c r="H62" s="104"/>
    </row>
    <row r="63" spans="2:13" x14ac:dyDescent="0.25">
      <c r="B63" s="17" t="s">
        <v>410</v>
      </c>
      <c r="C63" s="18">
        <v>4.62</v>
      </c>
      <c r="D63" s="144">
        <f t="shared" si="0"/>
        <v>-7.0422535211267512E-2</v>
      </c>
      <c r="H63" s="100" t="s">
        <v>119</v>
      </c>
      <c r="I63" s="105">
        <v>33.5</v>
      </c>
    </row>
    <row r="64" spans="2:13" x14ac:dyDescent="0.25">
      <c r="B64" s="17" t="s">
        <v>409</v>
      </c>
      <c r="C64" s="18">
        <v>4.97</v>
      </c>
      <c r="D64" s="144">
        <f t="shared" si="0"/>
        <v>-0.17986798679867988</v>
      </c>
      <c r="H64" s="106" t="s">
        <v>120</v>
      </c>
      <c r="I64" s="107">
        <f>I63*(1-I60)</f>
        <v>30.150000000000002</v>
      </c>
    </row>
    <row r="65" spans="2:9" ht="15.75" thickBot="1" x14ac:dyDescent="0.3">
      <c r="B65" s="17" t="s">
        <v>408</v>
      </c>
      <c r="C65" s="18">
        <v>6.06</v>
      </c>
      <c r="D65" s="144">
        <f t="shared" si="0"/>
        <v>1.0000000000000009E-2</v>
      </c>
      <c r="H65" s="102" t="s">
        <v>121</v>
      </c>
      <c r="I65" s="108">
        <f>I63*(1+I61)</f>
        <v>43.550000000000004</v>
      </c>
    </row>
    <row r="66" spans="2:9" x14ac:dyDescent="0.25">
      <c r="B66" s="17" t="s">
        <v>407</v>
      </c>
      <c r="C66" s="18">
        <v>6</v>
      </c>
      <c r="D66" s="144">
        <f t="shared" si="0"/>
        <v>-1.6393442622950727E-2</v>
      </c>
    </row>
    <row r="67" spans="2:9" x14ac:dyDescent="0.25">
      <c r="B67" s="17" t="s">
        <v>406</v>
      </c>
      <c r="C67" s="18">
        <v>6.1</v>
      </c>
      <c r="D67" s="144">
        <f t="shared" ref="D67:D130" si="10">C67/C68-1</f>
        <v>0.1213235294117645</v>
      </c>
    </row>
    <row r="68" spans="2:9" x14ac:dyDescent="0.25">
      <c r="B68" s="17" t="s">
        <v>405</v>
      </c>
      <c r="C68" s="18">
        <v>5.44</v>
      </c>
      <c r="D68" s="144">
        <f t="shared" si="10"/>
        <v>0.42408376963350802</v>
      </c>
    </row>
    <row r="69" spans="2:9" x14ac:dyDescent="0.25">
      <c r="B69" s="17" t="s">
        <v>404</v>
      </c>
      <c r="C69" s="18">
        <v>3.82</v>
      </c>
      <c r="D69" s="144">
        <f t="shared" si="10"/>
        <v>2.9649595687331498E-2</v>
      </c>
    </row>
    <row r="70" spans="2:9" x14ac:dyDescent="0.25">
      <c r="B70" s="17" t="s">
        <v>403</v>
      </c>
      <c r="C70" s="18">
        <v>3.71</v>
      </c>
      <c r="D70" s="144">
        <f t="shared" si="10"/>
        <v>-0.12085308056872035</v>
      </c>
    </row>
    <row r="71" spans="2:9" x14ac:dyDescent="0.25">
      <c r="B71" s="17" t="s">
        <v>402</v>
      </c>
      <c r="C71" s="18">
        <v>4.22</v>
      </c>
      <c r="D71" s="144">
        <f t="shared" si="10"/>
        <v>-3.6529680365296802E-2</v>
      </c>
    </row>
    <row r="72" spans="2:9" x14ac:dyDescent="0.25">
      <c r="B72" s="17" t="s">
        <v>401</v>
      </c>
      <c r="C72" s="18">
        <v>4.38</v>
      </c>
      <c r="D72" s="144">
        <f t="shared" si="10"/>
        <v>8.4158415841584233E-2</v>
      </c>
    </row>
    <row r="73" spans="2:9" x14ac:dyDescent="0.25">
      <c r="B73" s="17" t="s">
        <v>400</v>
      </c>
      <c r="C73" s="18">
        <v>4.04</v>
      </c>
      <c r="D73" s="144">
        <f t="shared" si="10"/>
        <v>7.4812967581048273E-3</v>
      </c>
    </row>
    <row r="74" spans="2:9" x14ac:dyDescent="0.25">
      <c r="B74" s="17" t="s">
        <v>399</v>
      </c>
      <c r="C74" s="18">
        <v>4.01</v>
      </c>
      <c r="D74" s="144">
        <f t="shared" si="10"/>
        <v>-3.6057692307692402E-2</v>
      </c>
    </row>
    <row r="75" spans="2:9" x14ac:dyDescent="0.25">
      <c r="B75" s="17" t="s">
        <v>398</v>
      </c>
      <c r="C75" s="18">
        <v>4.16</v>
      </c>
      <c r="D75" s="144">
        <f t="shared" si="10"/>
        <v>5.8524173027989734E-2</v>
      </c>
    </row>
    <row r="76" spans="2:9" x14ac:dyDescent="0.25">
      <c r="B76" s="17" t="s">
        <v>397</v>
      </c>
      <c r="C76" s="18">
        <v>3.93</v>
      </c>
      <c r="D76" s="144">
        <f t="shared" si="10"/>
        <v>0.11965811965811968</v>
      </c>
    </row>
    <row r="77" spans="2:9" x14ac:dyDescent="0.25">
      <c r="B77" s="17" t="s">
        <v>396</v>
      </c>
      <c r="C77" s="18">
        <v>3.51</v>
      </c>
      <c r="D77" s="144">
        <f t="shared" si="10"/>
        <v>0.19795221843003397</v>
      </c>
    </row>
    <row r="78" spans="2:9" x14ac:dyDescent="0.25">
      <c r="B78" s="17" t="s">
        <v>395</v>
      </c>
      <c r="C78" s="18">
        <v>2.93</v>
      </c>
      <c r="D78" s="144">
        <f t="shared" si="10"/>
        <v>0.16733067729083673</v>
      </c>
    </row>
    <row r="79" spans="2:9" x14ac:dyDescent="0.25">
      <c r="B79" s="17" t="s">
        <v>394</v>
      </c>
      <c r="C79" s="18">
        <v>2.5099999999999998</v>
      </c>
      <c r="D79" s="144">
        <f t="shared" si="10"/>
        <v>0.10572687224669597</v>
      </c>
    </row>
    <row r="80" spans="2:9" x14ac:dyDescent="0.25">
      <c r="B80" s="17" t="s">
        <v>393</v>
      </c>
      <c r="C80" s="18">
        <v>2.27</v>
      </c>
      <c r="D80" s="144">
        <f t="shared" si="10"/>
        <v>-1.304347826086949E-2</v>
      </c>
    </row>
    <row r="81" spans="2:4" x14ac:dyDescent="0.25">
      <c r="B81" s="17" t="s">
        <v>392</v>
      </c>
      <c r="C81" s="18">
        <v>2.2999999999999998</v>
      </c>
      <c r="D81" s="144">
        <f t="shared" si="10"/>
        <v>-8.6206896551723755E-3</v>
      </c>
    </row>
    <row r="82" spans="2:4" x14ac:dyDescent="0.25">
      <c r="B82" s="17" t="s">
        <v>391</v>
      </c>
      <c r="C82" s="18">
        <v>2.3199999999999998</v>
      </c>
      <c r="D82" s="144">
        <f t="shared" si="10"/>
        <v>2.6548672566371723E-2</v>
      </c>
    </row>
    <row r="83" spans="2:4" x14ac:dyDescent="0.25">
      <c r="B83" s="17" t="s">
        <v>390</v>
      </c>
      <c r="C83" s="18">
        <v>2.2599999999999998</v>
      </c>
      <c r="D83" s="144">
        <f t="shared" si="10"/>
        <v>8.9285714285711748E-3</v>
      </c>
    </row>
    <row r="84" spans="2:4" x14ac:dyDescent="0.25">
      <c r="B84" s="17" t="s">
        <v>389</v>
      </c>
      <c r="C84" s="18">
        <v>2.2400000000000002</v>
      </c>
      <c r="D84" s="144">
        <f t="shared" si="10"/>
        <v>0</v>
      </c>
    </row>
    <row r="85" spans="2:4" x14ac:dyDescent="0.25">
      <c r="B85" s="17" t="s">
        <v>388</v>
      </c>
      <c r="C85" s="18">
        <v>2.2400000000000002</v>
      </c>
      <c r="D85" s="144">
        <f t="shared" si="10"/>
        <v>8.7378640776699212E-2</v>
      </c>
    </row>
    <row r="86" spans="2:4" x14ac:dyDescent="0.25">
      <c r="B86" s="17" t="s">
        <v>387</v>
      </c>
      <c r="C86" s="18">
        <v>2.06</v>
      </c>
      <c r="D86" s="144">
        <f t="shared" si="10"/>
        <v>-4.1860465116279055E-2</v>
      </c>
    </row>
    <row r="87" spans="2:4" x14ac:dyDescent="0.25">
      <c r="B87" s="17" t="s">
        <v>386</v>
      </c>
      <c r="C87" s="18">
        <v>2.15</v>
      </c>
      <c r="D87" s="144">
        <f t="shared" si="10"/>
        <v>0.2078651685393258</v>
      </c>
    </row>
    <row r="88" spans="2:4" x14ac:dyDescent="0.25">
      <c r="B88" s="17" t="s">
        <v>385</v>
      </c>
      <c r="C88" s="18">
        <v>1.78</v>
      </c>
      <c r="D88" s="144">
        <f t="shared" si="10"/>
        <v>-0.33828996282527879</v>
      </c>
    </row>
    <row r="89" spans="2:4" x14ac:dyDescent="0.25">
      <c r="B89" s="17" t="s">
        <v>384</v>
      </c>
      <c r="C89" s="18">
        <v>2.69</v>
      </c>
      <c r="D89" s="144">
        <f t="shared" si="10"/>
        <v>-1.8248175182481896E-2</v>
      </c>
    </row>
    <row r="90" spans="2:4" x14ac:dyDescent="0.25">
      <c r="B90" s="17" t="s">
        <v>383</v>
      </c>
      <c r="C90" s="18">
        <v>2.74</v>
      </c>
      <c r="D90" s="144">
        <f t="shared" si="10"/>
        <v>8.7301587301587436E-2</v>
      </c>
    </row>
    <row r="91" spans="2:4" x14ac:dyDescent="0.25">
      <c r="B91" s="17" t="s">
        <v>382</v>
      </c>
      <c r="C91" s="18">
        <v>2.52</v>
      </c>
      <c r="D91" s="144">
        <f t="shared" si="10"/>
        <v>0.18309859154929575</v>
      </c>
    </row>
    <row r="92" spans="2:4" x14ac:dyDescent="0.25">
      <c r="B92" s="17" t="s">
        <v>381</v>
      </c>
      <c r="C92" s="18">
        <v>2.13</v>
      </c>
      <c r="D92" s="144">
        <f t="shared" si="10"/>
        <v>1.4285714285714235E-2</v>
      </c>
    </row>
    <row r="93" spans="2:4" x14ac:dyDescent="0.25">
      <c r="B93" s="17" t="s">
        <v>380</v>
      </c>
      <c r="C93" s="18">
        <v>2.1</v>
      </c>
      <c r="D93" s="144">
        <f t="shared" si="10"/>
        <v>-0.14979757085020251</v>
      </c>
    </row>
    <row r="94" spans="2:4" x14ac:dyDescent="0.25">
      <c r="B94" s="17" t="s">
        <v>379</v>
      </c>
      <c r="C94" s="18">
        <v>2.4700000000000002</v>
      </c>
      <c r="D94" s="144">
        <f t="shared" si="10"/>
        <v>0.15420560747663559</v>
      </c>
    </row>
    <row r="95" spans="2:4" x14ac:dyDescent="0.25">
      <c r="B95" s="17" t="s">
        <v>378</v>
      </c>
      <c r="C95" s="18">
        <v>2.14</v>
      </c>
      <c r="D95" s="144">
        <f t="shared" si="10"/>
        <v>5.9405940594059459E-2</v>
      </c>
    </row>
    <row r="96" spans="2:4" x14ac:dyDescent="0.25">
      <c r="B96" s="17" t="s">
        <v>377</v>
      </c>
      <c r="C96" s="18">
        <v>2.02</v>
      </c>
      <c r="D96" s="144">
        <f t="shared" si="10"/>
        <v>9.7826086956521729E-2</v>
      </c>
    </row>
    <row r="97" spans="2:4" x14ac:dyDescent="0.25">
      <c r="B97" s="17" t="s">
        <v>376</v>
      </c>
      <c r="C97" s="18">
        <v>1.84</v>
      </c>
      <c r="D97" s="144">
        <f t="shared" si="10"/>
        <v>-1.0752688172043001E-2</v>
      </c>
    </row>
    <row r="98" spans="2:4" x14ac:dyDescent="0.25">
      <c r="B98" s="17" t="s">
        <v>375</v>
      </c>
      <c r="C98" s="18">
        <v>1.86</v>
      </c>
      <c r="D98" s="144">
        <f t="shared" si="10"/>
        <v>-6.0606060606060552E-2</v>
      </c>
    </row>
    <row r="99" spans="2:4" x14ac:dyDescent="0.25">
      <c r="B99" s="17" t="s">
        <v>374</v>
      </c>
      <c r="C99" s="18">
        <v>1.98</v>
      </c>
      <c r="D99" s="144">
        <f t="shared" si="10"/>
        <v>7.0270270270270219E-2</v>
      </c>
    </row>
    <row r="100" spans="2:4" x14ac:dyDescent="0.25">
      <c r="B100" s="17" t="s">
        <v>373</v>
      </c>
      <c r="C100" s="18">
        <v>1.85</v>
      </c>
      <c r="D100" s="144">
        <f t="shared" si="10"/>
        <v>-8.4158415841584122E-2</v>
      </c>
    </row>
    <row r="101" spans="2:4" x14ac:dyDescent="0.25">
      <c r="B101" s="17" t="s">
        <v>372</v>
      </c>
      <c r="C101" s="18">
        <v>2.02</v>
      </c>
      <c r="D101" s="144">
        <f t="shared" si="10"/>
        <v>8.602150537634401E-2</v>
      </c>
    </row>
    <row r="102" spans="2:4" x14ac:dyDescent="0.25">
      <c r="B102" s="17" t="s">
        <v>371</v>
      </c>
      <c r="C102" s="18">
        <v>1.86</v>
      </c>
      <c r="D102" s="144">
        <f t="shared" si="10"/>
        <v>-2.1052631578947323E-2</v>
      </c>
    </row>
    <row r="103" spans="2:4" x14ac:dyDescent="0.25">
      <c r="B103" s="17" t="s">
        <v>370</v>
      </c>
      <c r="C103" s="18">
        <v>1.9</v>
      </c>
      <c r="D103" s="144">
        <f t="shared" si="10"/>
        <v>-3.0612244897959218E-2</v>
      </c>
    </row>
    <row r="104" spans="2:4" x14ac:dyDescent="0.25">
      <c r="B104" s="17" t="s">
        <v>369</v>
      </c>
      <c r="C104" s="18">
        <v>1.96</v>
      </c>
      <c r="D104" s="144">
        <f t="shared" si="10"/>
        <v>1.0309278350515427E-2</v>
      </c>
    </row>
    <row r="105" spans="2:4" x14ac:dyDescent="0.25">
      <c r="B105" s="17" t="s">
        <v>368</v>
      </c>
      <c r="C105" s="18">
        <v>1.94</v>
      </c>
      <c r="D105" s="144">
        <f t="shared" si="10"/>
        <v>7.182320441988943E-2</v>
      </c>
    </row>
    <row r="106" spans="2:4" x14ac:dyDescent="0.25">
      <c r="B106" s="17" t="s">
        <v>367</v>
      </c>
      <c r="C106" s="18">
        <v>1.81</v>
      </c>
      <c r="D106" s="144">
        <f t="shared" si="10"/>
        <v>2.2598870056497189E-2</v>
      </c>
    </row>
    <row r="107" spans="2:4" x14ac:dyDescent="0.25">
      <c r="B107" s="17" t="s">
        <v>366</v>
      </c>
      <c r="C107" s="18">
        <v>1.77</v>
      </c>
      <c r="D107" s="144">
        <f t="shared" si="10"/>
        <v>1.1428571428571344E-2</v>
      </c>
    </row>
    <row r="108" spans="2:4" x14ac:dyDescent="0.25">
      <c r="B108" s="17" t="s">
        <v>365</v>
      </c>
      <c r="C108" s="18">
        <v>1.75</v>
      </c>
      <c r="D108" s="144">
        <f t="shared" si="10"/>
        <v>-0.12935323383084563</v>
      </c>
    </row>
    <row r="109" spans="2:4" x14ac:dyDescent="0.25">
      <c r="B109" s="17" t="s">
        <v>364</v>
      </c>
      <c r="C109" s="18">
        <v>2.0099999999999998</v>
      </c>
      <c r="D109" s="144">
        <f t="shared" si="10"/>
        <v>-4.2857142857143038E-2</v>
      </c>
    </row>
    <row r="110" spans="2:4" x14ac:dyDescent="0.25">
      <c r="B110" s="17" t="s">
        <v>363</v>
      </c>
      <c r="C110" s="18">
        <v>2.1</v>
      </c>
      <c r="D110" s="144">
        <f t="shared" si="10"/>
        <v>-0.17647058823529405</v>
      </c>
    </row>
    <row r="111" spans="2:4" x14ac:dyDescent="0.25">
      <c r="B111" s="17" t="s">
        <v>362</v>
      </c>
      <c r="C111" s="18">
        <v>2.5499999999999998</v>
      </c>
      <c r="D111" s="144">
        <f t="shared" si="10"/>
        <v>6.6945606694560622E-2</v>
      </c>
    </row>
    <row r="112" spans="2:4" x14ac:dyDescent="0.25">
      <c r="B112" s="17" t="s">
        <v>361</v>
      </c>
      <c r="C112" s="18">
        <v>2.39</v>
      </c>
      <c r="D112" s="144">
        <f t="shared" si="10"/>
        <v>8.1447963800905132E-2</v>
      </c>
    </row>
    <row r="113" spans="2:4" x14ac:dyDescent="0.25">
      <c r="B113" s="17" t="s">
        <v>360</v>
      </c>
      <c r="C113" s="18">
        <v>2.21</v>
      </c>
      <c r="D113" s="144">
        <f t="shared" si="10"/>
        <v>-1.3392857142857206E-2</v>
      </c>
    </row>
    <row r="114" spans="2:4" x14ac:dyDescent="0.25">
      <c r="B114" s="17" t="s">
        <v>359</v>
      </c>
      <c r="C114" s="18">
        <v>2.2400000000000002</v>
      </c>
      <c r="D114" s="144">
        <f t="shared" si="10"/>
        <v>-4.444444444444362E-3</v>
      </c>
    </row>
    <row r="115" spans="2:4" x14ac:dyDescent="0.25">
      <c r="B115" s="17" t="s">
        <v>358</v>
      </c>
      <c r="C115" s="18">
        <v>2.25</v>
      </c>
      <c r="D115" s="144">
        <f t="shared" si="10"/>
        <v>4.1666666666666519E-2</v>
      </c>
    </row>
    <row r="116" spans="2:4" x14ac:dyDescent="0.25">
      <c r="B116" s="17" t="s">
        <v>357</v>
      </c>
      <c r="C116" s="18">
        <v>2.16</v>
      </c>
      <c r="D116" s="144">
        <f t="shared" si="10"/>
        <v>-4.4247787610619316E-2</v>
      </c>
    </row>
    <row r="117" spans="2:4" x14ac:dyDescent="0.25">
      <c r="B117" s="17" t="s">
        <v>356</v>
      </c>
      <c r="C117" s="18">
        <v>2.2599999999999998</v>
      </c>
      <c r="D117" s="144">
        <f t="shared" si="10"/>
        <v>-2.5862068965517238E-2</v>
      </c>
    </row>
    <row r="118" spans="2:4" x14ac:dyDescent="0.25">
      <c r="B118" s="17" t="s">
        <v>355</v>
      </c>
      <c r="C118" s="18">
        <v>2.3199999999999998</v>
      </c>
      <c r="D118" s="144">
        <f t="shared" si="10"/>
        <v>3.1111111111111089E-2</v>
      </c>
    </row>
    <row r="119" spans="2:4" x14ac:dyDescent="0.25">
      <c r="B119" s="17" t="s">
        <v>354</v>
      </c>
      <c r="C119" s="18">
        <v>2.25</v>
      </c>
      <c r="D119" s="144">
        <f t="shared" si="10"/>
        <v>-1.7467248908296984E-2</v>
      </c>
    </row>
    <row r="120" spans="2:4" x14ac:dyDescent="0.25">
      <c r="B120" s="17" t="s">
        <v>353</v>
      </c>
      <c r="C120" s="18">
        <v>2.29</v>
      </c>
      <c r="D120" s="144">
        <f t="shared" si="10"/>
        <v>8.5308056872037907E-2</v>
      </c>
    </row>
    <row r="121" spans="2:4" x14ac:dyDescent="0.25">
      <c r="B121" s="17" t="s">
        <v>352</v>
      </c>
      <c r="C121" s="18">
        <v>2.11</v>
      </c>
      <c r="D121" s="144">
        <f t="shared" si="10"/>
        <v>-4.0909090909091006E-2</v>
      </c>
    </row>
    <row r="122" spans="2:4" x14ac:dyDescent="0.25">
      <c r="B122" s="17" t="s">
        <v>351</v>
      </c>
      <c r="C122" s="18">
        <v>2.2000000000000002</v>
      </c>
      <c r="D122" s="144">
        <f t="shared" si="10"/>
        <v>-2.6548672566371501E-2</v>
      </c>
    </row>
    <row r="123" spans="2:4" x14ac:dyDescent="0.25">
      <c r="B123" s="17" t="s">
        <v>350</v>
      </c>
      <c r="C123" s="18">
        <v>2.2599999999999998</v>
      </c>
      <c r="D123" s="144">
        <f t="shared" si="10"/>
        <v>-8.5020242914979893E-2</v>
      </c>
    </row>
    <row r="124" spans="2:4" x14ac:dyDescent="0.25">
      <c r="B124" s="17" t="s">
        <v>349</v>
      </c>
      <c r="C124" s="18">
        <v>2.4700000000000002</v>
      </c>
      <c r="D124" s="144">
        <f t="shared" si="10"/>
        <v>5.1063829787234116E-2</v>
      </c>
    </row>
    <row r="125" spans="2:4" x14ac:dyDescent="0.25">
      <c r="B125" s="17" t="s">
        <v>348</v>
      </c>
      <c r="C125" s="18">
        <v>2.35</v>
      </c>
      <c r="D125" s="144">
        <f t="shared" si="10"/>
        <v>-4.081632653061229E-2</v>
      </c>
    </row>
    <row r="126" spans="2:4" x14ac:dyDescent="0.25">
      <c r="B126" s="17" t="s">
        <v>347</v>
      </c>
      <c r="C126" s="18">
        <v>2.4500000000000002</v>
      </c>
      <c r="D126" s="144">
        <f t="shared" si="10"/>
        <v>8.2304526748970819E-3</v>
      </c>
    </row>
    <row r="127" spans="2:4" x14ac:dyDescent="0.25">
      <c r="B127" s="17" t="s">
        <v>346</v>
      </c>
      <c r="C127" s="18">
        <v>2.4300000000000002</v>
      </c>
      <c r="D127" s="144">
        <f t="shared" si="10"/>
        <v>-3.9525691699604626E-2</v>
      </c>
    </row>
    <row r="128" spans="2:4" x14ac:dyDescent="0.25">
      <c r="B128" s="17" t="s">
        <v>345</v>
      </c>
      <c r="C128" s="18">
        <v>2.5299999999999998</v>
      </c>
      <c r="D128" s="144">
        <f t="shared" si="10"/>
        <v>2.4291497975708287E-2</v>
      </c>
    </row>
    <row r="129" spans="2:4" x14ac:dyDescent="0.25">
      <c r="B129" s="17" t="s">
        <v>344</v>
      </c>
      <c r="C129" s="18">
        <v>2.4700000000000002</v>
      </c>
      <c r="D129" s="144">
        <f t="shared" si="10"/>
        <v>5.1063829787234116E-2</v>
      </c>
    </row>
    <row r="130" spans="2:4" x14ac:dyDescent="0.25">
      <c r="B130" s="17" t="s">
        <v>343</v>
      </c>
      <c r="C130" s="18">
        <v>2.35</v>
      </c>
      <c r="D130" s="144">
        <f t="shared" si="10"/>
        <v>8.2949308755760454E-2</v>
      </c>
    </row>
    <row r="131" spans="2:4" x14ac:dyDescent="0.25">
      <c r="B131" s="17" t="s">
        <v>342</v>
      </c>
      <c r="C131" s="18">
        <v>2.17</v>
      </c>
      <c r="D131" s="144">
        <f t="shared" ref="D131:D194" si="11">C131/C132-1</f>
        <v>-4.8245614035087647E-2</v>
      </c>
    </row>
    <row r="132" spans="2:4" x14ac:dyDescent="0.25">
      <c r="B132" s="17" t="s">
        <v>341</v>
      </c>
      <c r="C132" s="18">
        <v>2.2799999999999998</v>
      </c>
      <c r="D132" s="144">
        <f t="shared" si="11"/>
        <v>0.10144927536231885</v>
      </c>
    </row>
    <row r="133" spans="2:4" x14ac:dyDescent="0.25">
      <c r="B133" s="17" t="s">
        <v>340</v>
      </c>
      <c r="C133" s="18">
        <v>2.0699999999999998</v>
      </c>
      <c r="D133" s="144">
        <f t="shared" si="11"/>
        <v>-3.2710280373831946E-2</v>
      </c>
    </row>
    <row r="134" spans="2:4" x14ac:dyDescent="0.25">
      <c r="B134" s="17" t="s">
        <v>339</v>
      </c>
      <c r="C134" s="18">
        <v>2.14</v>
      </c>
      <c r="D134" s="144">
        <f t="shared" si="11"/>
        <v>-1.834862385321101E-2</v>
      </c>
    </row>
    <row r="135" spans="2:4" x14ac:dyDescent="0.25">
      <c r="B135" s="17" t="s">
        <v>338</v>
      </c>
      <c r="C135" s="18">
        <v>2.1800000000000002</v>
      </c>
      <c r="D135" s="144">
        <f t="shared" si="11"/>
        <v>-0.16475095785440608</v>
      </c>
    </row>
    <row r="136" spans="2:4" x14ac:dyDescent="0.25">
      <c r="B136" s="17" t="s">
        <v>337</v>
      </c>
      <c r="C136" s="18">
        <v>2.61</v>
      </c>
      <c r="D136" s="144">
        <f t="shared" si="11"/>
        <v>3.8461538461538325E-3</v>
      </c>
    </row>
    <row r="137" spans="2:4" x14ac:dyDescent="0.25">
      <c r="B137" s="17" t="s">
        <v>336</v>
      </c>
      <c r="C137" s="18">
        <v>2.6</v>
      </c>
      <c r="D137" s="144">
        <f t="shared" si="11"/>
        <v>7.7519379844961378E-3</v>
      </c>
    </row>
    <row r="138" spans="2:4" x14ac:dyDescent="0.25">
      <c r="B138" s="17" t="s">
        <v>335</v>
      </c>
      <c r="C138" s="18">
        <v>2.58</v>
      </c>
      <c r="D138" s="144">
        <f t="shared" si="11"/>
        <v>-7.8571428571428514E-2</v>
      </c>
    </row>
    <row r="139" spans="2:4" x14ac:dyDescent="0.25">
      <c r="B139" s="17" t="s">
        <v>334</v>
      </c>
      <c r="C139" s="18">
        <v>2.8</v>
      </c>
      <c r="D139" s="144">
        <f t="shared" si="11"/>
        <v>2.1897810218977964E-2</v>
      </c>
    </row>
    <row r="140" spans="2:4" x14ac:dyDescent="0.25">
      <c r="B140" s="17" t="s">
        <v>333</v>
      </c>
      <c r="C140" s="18">
        <v>2.74</v>
      </c>
      <c r="D140" s="144">
        <f t="shared" si="11"/>
        <v>-0.17717717717717718</v>
      </c>
    </row>
    <row r="141" spans="2:4" x14ac:dyDescent="0.25">
      <c r="B141" s="17" t="s">
        <v>332</v>
      </c>
      <c r="C141" s="18">
        <v>3.33</v>
      </c>
      <c r="D141" s="144">
        <f t="shared" si="11"/>
        <v>6.7307692307692291E-2</v>
      </c>
    </row>
    <row r="142" spans="2:4" x14ac:dyDescent="0.25">
      <c r="B142" s="17" t="s">
        <v>331</v>
      </c>
      <c r="C142" s="18">
        <v>3.12</v>
      </c>
      <c r="D142" s="144">
        <f t="shared" si="11"/>
        <v>-4.587155963302747E-2</v>
      </c>
    </row>
    <row r="143" spans="2:4" x14ac:dyDescent="0.25">
      <c r="B143" s="17" t="s">
        <v>330</v>
      </c>
      <c r="C143" s="18">
        <v>3.27</v>
      </c>
      <c r="D143" s="144">
        <f t="shared" si="11"/>
        <v>-6.5714285714285725E-2</v>
      </c>
    </row>
    <row r="144" spans="2:4" x14ac:dyDescent="0.25">
      <c r="B144" s="17" t="s">
        <v>329</v>
      </c>
      <c r="C144" s="18">
        <v>3.5</v>
      </c>
      <c r="D144" s="144">
        <f t="shared" si="11"/>
        <v>2.6392961876832821E-2</v>
      </c>
    </row>
    <row r="145" spans="2:4" x14ac:dyDescent="0.25">
      <c r="B145" s="17" t="s">
        <v>328</v>
      </c>
      <c r="C145" s="18">
        <v>3.41</v>
      </c>
      <c r="D145" s="144">
        <f t="shared" si="11"/>
        <v>-1.1594202898550732E-2</v>
      </c>
    </row>
    <row r="146" spans="2:4" x14ac:dyDescent="0.25">
      <c r="B146" s="17" t="s">
        <v>327</v>
      </c>
      <c r="C146" s="18">
        <v>3.45</v>
      </c>
      <c r="D146" s="144">
        <f t="shared" si="11"/>
        <v>3.2934131736527039E-2</v>
      </c>
    </row>
    <row r="147" spans="2:4" x14ac:dyDescent="0.25">
      <c r="B147" s="17" t="s">
        <v>326</v>
      </c>
      <c r="C147" s="18">
        <v>3.34</v>
      </c>
      <c r="D147" s="144">
        <f t="shared" si="11"/>
        <v>1.8292682926829285E-2</v>
      </c>
    </row>
    <row r="148" spans="2:4" x14ac:dyDescent="0.25">
      <c r="B148" s="17" t="s">
        <v>325</v>
      </c>
      <c r="C148" s="18">
        <v>3.28</v>
      </c>
      <c r="D148" s="144">
        <f t="shared" si="11"/>
        <v>1.2345679012345512E-2</v>
      </c>
    </row>
    <row r="149" spans="2:4" x14ac:dyDescent="0.25">
      <c r="B149" s="17" t="s">
        <v>324</v>
      </c>
      <c r="C149" s="18">
        <v>3.24</v>
      </c>
      <c r="D149" s="144">
        <f t="shared" si="11"/>
        <v>6.2111801242235032E-3</v>
      </c>
    </row>
    <row r="150" spans="2:4" x14ac:dyDescent="0.25">
      <c r="B150" s="17" t="s">
        <v>323</v>
      </c>
      <c r="C150" s="18">
        <v>3.22</v>
      </c>
      <c r="D150" s="144">
        <f t="shared" si="11"/>
        <v>4.8859934853420217E-2</v>
      </c>
    </row>
    <row r="151" spans="2:4" x14ac:dyDescent="0.25">
      <c r="B151" s="17" t="s">
        <v>322</v>
      </c>
      <c r="C151" s="18">
        <v>3.07</v>
      </c>
      <c r="D151" s="144">
        <f t="shared" si="11"/>
        <v>-8.6309523809523836E-2</v>
      </c>
    </row>
    <row r="152" spans="2:4" x14ac:dyDescent="0.25">
      <c r="B152" s="17" t="s">
        <v>321</v>
      </c>
      <c r="C152" s="18">
        <v>3.36</v>
      </c>
      <c r="D152" s="144">
        <f t="shared" si="11"/>
        <v>-1.4662756598240567E-2</v>
      </c>
    </row>
    <row r="153" spans="2:4" x14ac:dyDescent="0.25">
      <c r="B153" s="17" t="s">
        <v>320</v>
      </c>
      <c r="C153" s="18">
        <v>3.41</v>
      </c>
      <c r="D153" s="144">
        <f t="shared" si="11"/>
        <v>-0.27136752136752129</v>
      </c>
    </row>
    <row r="154" spans="2:4" x14ac:dyDescent="0.25">
      <c r="B154" s="17" t="s">
        <v>319</v>
      </c>
      <c r="C154" s="18">
        <v>4.68</v>
      </c>
      <c r="D154" s="144">
        <f t="shared" si="11"/>
        <v>8.3333333333333259E-2</v>
      </c>
    </row>
    <row r="155" spans="2:4" x14ac:dyDescent="0.25">
      <c r="B155" s="17" t="s">
        <v>318</v>
      </c>
      <c r="C155" s="18">
        <v>4.32</v>
      </c>
      <c r="D155" s="144">
        <f t="shared" si="11"/>
        <v>3.1026252983293423E-2</v>
      </c>
    </row>
    <row r="156" spans="2:4" x14ac:dyDescent="0.25">
      <c r="B156" s="17" t="s">
        <v>317</v>
      </c>
      <c r="C156" s="18">
        <v>4.1900000000000004</v>
      </c>
      <c r="D156" s="144">
        <f t="shared" si="11"/>
        <v>9.6385542168675453E-3</v>
      </c>
    </row>
    <row r="157" spans="2:4" x14ac:dyDescent="0.25">
      <c r="B157" s="17" t="s">
        <v>316</v>
      </c>
      <c r="C157" s="18">
        <v>4.1500000000000004</v>
      </c>
      <c r="D157" s="144">
        <f t="shared" si="11"/>
        <v>6.4102564102564319E-2</v>
      </c>
    </row>
    <row r="158" spans="2:4" x14ac:dyDescent="0.25">
      <c r="B158" s="17" t="s">
        <v>315</v>
      </c>
      <c r="C158" s="18">
        <v>3.9</v>
      </c>
      <c r="D158" s="144">
        <f t="shared" si="11"/>
        <v>-4.4117647058823595E-2</v>
      </c>
    </row>
    <row r="159" spans="2:4" x14ac:dyDescent="0.25">
      <c r="B159" s="17" t="s">
        <v>314</v>
      </c>
      <c r="C159" s="18">
        <v>4.08</v>
      </c>
      <c r="D159" s="144">
        <f t="shared" si="11"/>
        <v>-4.8780487804876982E-3</v>
      </c>
    </row>
    <row r="160" spans="2:4" x14ac:dyDescent="0.25">
      <c r="B160" s="17" t="s">
        <v>313</v>
      </c>
      <c r="C160" s="18">
        <v>4.0999999999999996</v>
      </c>
      <c r="D160" s="144">
        <f t="shared" si="11"/>
        <v>-3.7558685446009377E-2</v>
      </c>
    </row>
    <row r="161" spans="2:4" x14ac:dyDescent="0.25">
      <c r="B161" s="17" t="s">
        <v>312</v>
      </c>
      <c r="C161" s="18">
        <v>4.26</v>
      </c>
      <c r="D161" s="144">
        <f t="shared" si="11"/>
        <v>2.6506024096385472E-2</v>
      </c>
    </row>
    <row r="162" spans="2:4" x14ac:dyDescent="0.25">
      <c r="B162" s="17" t="s">
        <v>311</v>
      </c>
      <c r="C162" s="18">
        <v>4.1500000000000004</v>
      </c>
      <c r="D162" s="144">
        <f t="shared" si="11"/>
        <v>5.5979643765903253E-2</v>
      </c>
    </row>
    <row r="163" spans="2:4" x14ac:dyDescent="0.25">
      <c r="B163" s="17" t="s">
        <v>310</v>
      </c>
      <c r="C163" s="18">
        <v>3.93</v>
      </c>
      <c r="D163" s="144">
        <f t="shared" si="11"/>
        <v>0.11647727272727271</v>
      </c>
    </row>
    <row r="164" spans="2:4" x14ac:dyDescent="0.25">
      <c r="B164" s="17" t="s">
        <v>309</v>
      </c>
      <c r="C164" s="18">
        <v>3.52</v>
      </c>
      <c r="D164" s="144">
        <f t="shared" si="11"/>
        <v>-9.0439276485788089E-2</v>
      </c>
    </row>
    <row r="165" spans="2:4" x14ac:dyDescent="0.25">
      <c r="B165" s="17" t="s">
        <v>308</v>
      </c>
      <c r="C165" s="18">
        <v>3.87</v>
      </c>
      <c r="D165" s="144">
        <f t="shared" si="11"/>
        <v>-5.1470588235294157E-2</v>
      </c>
    </row>
    <row r="166" spans="2:4" x14ac:dyDescent="0.25">
      <c r="B166" s="17" t="s">
        <v>307</v>
      </c>
      <c r="C166" s="18">
        <v>4.08</v>
      </c>
      <c r="D166" s="144">
        <f t="shared" si="11"/>
        <v>-0.1187904967602591</v>
      </c>
    </row>
    <row r="167" spans="2:4" x14ac:dyDescent="0.25">
      <c r="B167" s="17" t="s">
        <v>306</v>
      </c>
      <c r="C167" s="18">
        <v>4.63</v>
      </c>
      <c r="D167" s="144">
        <f t="shared" si="11"/>
        <v>-2.1551724137930384E-3</v>
      </c>
    </row>
    <row r="168" spans="2:4" x14ac:dyDescent="0.25">
      <c r="B168" s="17" t="s">
        <v>305</v>
      </c>
      <c r="C168" s="18">
        <v>4.6399999999999997</v>
      </c>
      <c r="D168" s="144">
        <f t="shared" si="11"/>
        <v>-1.276595744680864E-2</v>
      </c>
    </row>
    <row r="169" spans="2:4" x14ac:dyDescent="0.25">
      <c r="B169" s="17" t="s">
        <v>304</v>
      </c>
      <c r="C169" s="18">
        <v>4.7</v>
      </c>
      <c r="D169" s="144">
        <f t="shared" si="11"/>
        <v>2.6200873362445476E-2</v>
      </c>
    </row>
    <row r="170" spans="2:4" x14ac:dyDescent="0.25">
      <c r="B170" s="17" t="s">
        <v>303</v>
      </c>
      <c r="C170" s="18">
        <v>4.58</v>
      </c>
      <c r="D170" s="144">
        <f t="shared" si="11"/>
        <v>-7.6612903225806384E-2</v>
      </c>
    </row>
    <row r="171" spans="2:4" x14ac:dyDescent="0.25">
      <c r="B171" s="17" t="s">
        <v>302</v>
      </c>
      <c r="C171" s="18">
        <v>4.96</v>
      </c>
      <c r="D171" s="144">
        <f t="shared" si="11"/>
        <v>2.6915113871635699E-2</v>
      </c>
    </row>
    <row r="172" spans="2:4" x14ac:dyDescent="0.25">
      <c r="B172" s="17" t="s">
        <v>301</v>
      </c>
      <c r="C172" s="18">
        <v>4.83</v>
      </c>
      <c r="D172" s="144">
        <f t="shared" si="11"/>
        <v>-2.0283975659229125E-2</v>
      </c>
    </row>
    <row r="173" spans="2:4" x14ac:dyDescent="0.25">
      <c r="B173" s="17" t="s">
        <v>300</v>
      </c>
      <c r="C173" s="18">
        <v>4.93</v>
      </c>
      <c r="D173" s="144">
        <f t="shared" si="11"/>
        <v>-3.522504892367917E-2</v>
      </c>
    </row>
    <row r="174" spans="2:4" x14ac:dyDescent="0.25">
      <c r="B174" s="17" t="s">
        <v>299</v>
      </c>
      <c r="C174" s="18">
        <v>5.1100000000000003</v>
      </c>
      <c r="D174" s="144">
        <f t="shared" si="11"/>
        <v>5.7971014492753659E-2</v>
      </c>
    </row>
    <row r="175" spans="2:4" x14ac:dyDescent="0.25">
      <c r="B175" s="17" t="s">
        <v>298</v>
      </c>
      <c r="C175" s="18">
        <v>4.83</v>
      </c>
      <c r="D175" s="144">
        <f t="shared" si="11"/>
        <v>0.1103448275862069</v>
      </c>
    </row>
    <row r="176" spans="2:4" x14ac:dyDescent="0.25">
      <c r="B176" s="17" t="s">
        <v>297</v>
      </c>
      <c r="C176" s="18">
        <v>4.3499999999999996</v>
      </c>
      <c r="D176" s="144">
        <f t="shared" si="11"/>
        <v>-3.5476718403547713E-2</v>
      </c>
    </row>
    <row r="177" spans="2:4" x14ac:dyDescent="0.25">
      <c r="B177" s="17" t="s">
        <v>296</v>
      </c>
      <c r="C177" s="18">
        <v>4.51</v>
      </c>
      <c r="D177" s="144">
        <f t="shared" si="11"/>
        <v>-0.11914062500000011</v>
      </c>
    </row>
    <row r="178" spans="2:4" x14ac:dyDescent="0.25">
      <c r="B178" s="17" t="s">
        <v>295</v>
      </c>
      <c r="C178" s="18">
        <v>5.12</v>
      </c>
      <c r="D178" s="144">
        <f t="shared" si="11"/>
        <v>-2.8462998102466663E-2</v>
      </c>
    </row>
    <row r="179" spans="2:4" x14ac:dyDescent="0.25">
      <c r="B179" s="17" t="s">
        <v>294</v>
      </c>
      <c r="C179" s="18">
        <v>5.27</v>
      </c>
      <c r="D179" s="144">
        <f t="shared" si="11"/>
        <v>-8.9810017271157228E-2</v>
      </c>
    </row>
    <row r="180" spans="2:4" x14ac:dyDescent="0.25">
      <c r="B180" s="17" t="s">
        <v>293</v>
      </c>
      <c r="C180" s="18">
        <v>5.79</v>
      </c>
      <c r="D180" s="144">
        <f t="shared" si="11"/>
        <v>8.6303939962476539E-2</v>
      </c>
    </row>
    <row r="181" spans="2:4" x14ac:dyDescent="0.25">
      <c r="B181" s="17" t="s">
        <v>292</v>
      </c>
      <c r="C181" s="18">
        <v>5.33</v>
      </c>
      <c r="D181" s="144">
        <f t="shared" si="11"/>
        <v>4.5098039215686336E-2</v>
      </c>
    </row>
    <row r="182" spans="2:4" x14ac:dyDescent="0.25">
      <c r="B182" s="17" t="s">
        <v>291</v>
      </c>
      <c r="C182" s="18">
        <v>5.0999999999999996</v>
      </c>
      <c r="D182" s="144">
        <f t="shared" si="11"/>
        <v>-6.7641681901279727E-2</v>
      </c>
    </row>
    <row r="183" spans="2:4" x14ac:dyDescent="0.25">
      <c r="B183" s="17" t="s">
        <v>290</v>
      </c>
      <c r="C183" s="18">
        <v>5.47</v>
      </c>
      <c r="D183" s="144">
        <f t="shared" si="11"/>
        <v>3.0131826741996326E-2</v>
      </c>
    </row>
    <row r="184" spans="2:4" x14ac:dyDescent="0.25">
      <c r="B184" s="17" t="s">
        <v>289</v>
      </c>
      <c r="C184" s="18">
        <v>5.31</v>
      </c>
      <c r="D184" s="144">
        <f t="shared" si="11"/>
        <v>3.7109375E-2</v>
      </c>
    </row>
    <row r="185" spans="2:4" x14ac:dyDescent="0.25">
      <c r="B185" s="17" t="s">
        <v>288</v>
      </c>
      <c r="C185" s="18">
        <v>5.12</v>
      </c>
      <c r="D185" s="144">
        <f t="shared" si="11"/>
        <v>7.3375262054507395E-2</v>
      </c>
    </row>
    <row r="186" spans="2:4" x14ac:dyDescent="0.25">
      <c r="B186" s="17" t="s">
        <v>287</v>
      </c>
      <c r="C186" s="18">
        <v>4.7699999999999996</v>
      </c>
      <c r="D186" s="144">
        <f t="shared" si="11"/>
        <v>-2.6530612244898166E-2</v>
      </c>
    </row>
    <row r="187" spans="2:4" x14ac:dyDescent="0.25">
      <c r="B187" s="17" t="s">
        <v>286</v>
      </c>
      <c r="C187" s="18">
        <v>4.9000000000000004</v>
      </c>
      <c r="D187" s="144">
        <f t="shared" si="11"/>
        <v>-0.17508417508417506</v>
      </c>
    </row>
    <row r="188" spans="2:4" x14ac:dyDescent="0.25">
      <c r="B188" s="17" t="s">
        <v>285</v>
      </c>
      <c r="C188" s="18">
        <v>5.94</v>
      </c>
      <c r="D188" s="144">
        <f t="shared" si="11"/>
        <v>9.3922651933701751E-2</v>
      </c>
    </row>
    <row r="189" spans="2:4" x14ac:dyDescent="0.25">
      <c r="B189" s="17" t="s">
        <v>284</v>
      </c>
      <c r="C189" s="18">
        <v>5.43</v>
      </c>
      <c r="D189" s="144">
        <f t="shared" si="11"/>
        <v>-1.9855595667870096E-2</v>
      </c>
    </row>
    <row r="190" spans="2:4" x14ac:dyDescent="0.25">
      <c r="B190" s="17" t="s">
        <v>283</v>
      </c>
      <c r="C190" s="18">
        <v>5.54</v>
      </c>
      <c r="D190" s="144">
        <f t="shared" si="11"/>
        <v>-0.14637904468412943</v>
      </c>
    </row>
    <row r="191" spans="2:4" x14ac:dyDescent="0.25">
      <c r="B191" s="17" t="s">
        <v>282</v>
      </c>
      <c r="C191" s="18">
        <v>6.49</v>
      </c>
      <c r="D191" s="144">
        <f t="shared" si="11"/>
        <v>0.21082089552238803</v>
      </c>
    </row>
    <row r="192" spans="2:4" x14ac:dyDescent="0.25">
      <c r="B192" s="17" t="s">
        <v>281</v>
      </c>
      <c r="C192" s="18">
        <v>5.36</v>
      </c>
      <c r="D192" s="144">
        <f t="shared" si="11"/>
        <v>6.9860279441117834E-2</v>
      </c>
    </row>
    <row r="193" spans="2:4" x14ac:dyDescent="0.25">
      <c r="B193" s="17" t="s">
        <v>280</v>
      </c>
      <c r="C193" s="18">
        <v>5.01</v>
      </c>
      <c r="D193" s="144">
        <f t="shared" si="11"/>
        <v>-0.12412587412587417</v>
      </c>
    </row>
    <row r="194" spans="2:4" x14ac:dyDescent="0.25">
      <c r="B194" s="17" t="s">
        <v>279</v>
      </c>
      <c r="C194" s="18">
        <v>5.72</v>
      </c>
      <c r="D194" s="144">
        <f t="shared" si="11"/>
        <v>-2.0547945205479423E-2</v>
      </c>
    </row>
    <row r="195" spans="2:4" x14ac:dyDescent="0.25">
      <c r="B195" s="17" t="s">
        <v>278</v>
      </c>
      <c r="C195" s="18">
        <v>5.84</v>
      </c>
      <c r="D195" s="144">
        <f t="shared" ref="D195:D258" si="12">C195/C196-1</f>
        <v>-6.2600321027287409E-2</v>
      </c>
    </row>
    <row r="196" spans="2:4" x14ac:dyDescent="0.25">
      <c r="B196" s="17" t="s">
        <v>277</v>
      </c>
      <c r="C196" s="18">
        <v>6.23</v>
      </c>
      <c r="D196" s="144">
        <f t="shared" si="12"/>
        <v>5.9523809523809534E-2</v>
      </c>
    </row>
    <row r="197" spans="2:4" x14ac:dyDescent="0.25">
      <c r="B197" s="17" t="s">
        <v>276</v>
      </c>
      <c r="C197" s="18">
        <v>5.88</v>
      </c>
      <c r="D197" s="144">
        <f t="shared" si="12"/>
        <v>0.1031894934333959</v>
      </c>
    </row>
    <row r="198" spans="2:4" x14ac:dyDescent="0.25">
      <c r="B198" s="17" t="s">
        <v>275</v>
      </c>
      <c r="C198" s="18">
        <v>5.33</v>
      </c>
      <c r="D198" s="144">
        <f t="shared" si="12"/>
        <v>7.6767676767676818E-2</v>
      </c>
    </row>
    <row r="199" spans="2:4" x14ac:dyDescent="0.25">
      <c r="B199" s="17" t="s">
        <v>274</v>
      </c>
      <c r="C199" s="18">
        <v>4.95</v>
      </c>
      <c r="D199" s="144">
        <f t="shared" si="12"/>
        <v>6.9114470842332576E-2</v>
      </c>
    </row>
    <row r="200" spans="2:4" x14ac:dyDescent="0.25">
      <c r="B200" s="17" t="s">
        <v>273</v>
      </c>
      <c r="C200" s="18">
        <v>4.63</v>
      </c>
      <c r="D200" s="144">
        <f t="shared" si="12"/>
        <v>-4.3388429752066138E-2</v>
      </c>
    </row>
    <row r="201" spans="2:4" x14ac:dyDescent="0.25">
      <c r="B201" s="17" t="s">
        <v>272</v>
      </c>
      <c r="C201" s="18">
        <v>4.84</v>
      </c>
      <c r="D201" s="144">
        <f t="shared" si="12"/>
        <v>0.10250569476082005</v>
      </c>
    </row>
    <row r="202" spans="2:4" x14ac:dyDescent="0.25">
      <c r="B202" s="17" t="s">
        <v>271</v>
      </c>
      <c r="C202" s="18">
        <v>4.3899999999999997</v>
      </c>
      <c r="D202" s="144">
        <f t="shared" si="12"/>
        <v>-8.5416666666666696E-2</v>
      </c>
    </row>
    <row r="203" spans="2:4" x14ac:dyDescent="0.25">
      <c r="B203" s="17" t="s">
        <v>270</v>
      </c>
      <c r="C203" s="18">
        <v>4.8</v>
      </c>
      <c r="D203" s="144">
        <f t="shared" si="12"/>
        <v>-5.8823529411764719E-2</v>
      </c>
    </row>
    <row r="204" spans="2:4" x14ac:dyDescent="0.25">
      <c r="B204" s="17" t="s">
        <v>269</v>
      </c>
      <c r="C204" s="18">
        <v>5.0999999999999996</v>
      </c>
      <c r="D204" s="144">
        <f t="shared" si="12"/>
        <v>-5.8479532163743242E-3</v>
      </c>
    </row>
    <row r="205" spans="2:4" x14ac:dyDescent="0.25">
      <c r="B205" s="17" t="s">
        <v>268</v>
      </c>
      <c r="C205" s="18">
        <v>5.13</v>
      </c>
      <c r="D205" s="144">
        <f t="shared" si="12"/>
        <v>-0.12006861063464835</v>
      </c>
    </row>
    <row r="206" spans="2:4" x14ac:dyDescent="0.25">
      <c r="B206" s="17" t="s">
        <v>267</v>
      </c>
      <c r="C206" s="18">
        <v>5.83</v>
      </c>
      <c r="D206" s="144">
        <f t="shared" si="12"/>
        <v>-0.10307692307692307</v>
      </c>
    </row>
    <row r="207" spans="2:4" x14ac:dyDescent="0.25">
      <c r="B207" s="17" t="s">
        <v>266</v>
      </c>
      <c r="C207" s="18">
        <v>6.5</v>
      </c>
      <c r="D207" s="144">
        <f t="shared" si="12"/>
        <v>0.28712871287128716</v>
      </c>
    </row>
    <row r="208" spans="2:4" x14ac:dyDescent="0.25">
      <c r="B208" s="17" t="s">
        <v>265</v>
      </c>
      <c r="C208" s="18">
        <v>5.05</v>
      </c>
      <c r="D208" s="144">
        <f t="shared" si="12"/>
        <v>9.5444685466377299E-2</v>
      </c>
    </row>
    <row r="209" spans="2:4" x14ac:dyDescent="0.25">
      <c r="B209" s="17" t="s">
        <v>264</v>
      </c>
      <c r="C209" s="18">
        <v>4.6100000000000003</v>
      </c>
      <c r="D209" s="144">
        <f t="shared" si="12"/>
        <v>-2.123142250530774E-2</v>
      </c>
    </row>
    <row r="210" spans="2:4" x14ac:dyDescent="0.25">
      <c r="B210" s="17" t="s">
        <v>263</v>
      </c>
      <c r="C210" s="18">
        <v>4.71</v>
      </c>
      <c r="D210" s="144">
        <f t="shared" si="12"/>
        <v>-6.3618290258449339E-2</v>
      </c>
    </row>
    <row r="211" spans="2:4" x14ac:dyDescent="0.25">
      <c r="B211" s="17" t="s">
        <v>262</v>
      </c>
      <c r="C211" s="18">
        <v>5.03</v>
      </c>
      <c r="D211" s="144">
        <f t="shared" si="12"/>
        <v>-4.554079696394675E-2</v>
      </c>
    </row>
    <row r="212" spans="2:4" x14ac:dyDescent="0.25">
      <c r="B212" s="17" t="s">
        <v>261</v>
      </c>
      <c r="C212" s="18">
        <v>5.27</v>
      </c>
      <c r="D212" s="144">
        <f t="shared" si="12"/>
        <v>-7.8671328671328755E-2</v>
      </c>
    </row>
    <row r="213" spans="2:4" x14ac:dyDescent="0.25">
      <c r="B213" s="17" t="s">
        <v>260</v>
      </c>
      <c r="C213" s="18">
        <v>5.72</v>
      </c>
      <c r="D213" s="144">
        <f t="shared" si="12"/>
        <v>8.9523809523809561E-2</v>
      </c>
    </row>
    <row r="214" spans="2:4" x14ac:dyDescent="0.25">
      <c r="B214" s="17" t="s">
        <v>259</v>
      </c>
      <c r="C214" s="18">
        <v>5.25</v>
      </c>
      <c r="D214" s="144">
        <f t="shared" si="12"/>
        <v>-6.2499999999999889E-2</v>
      </c>
    </row>
    <row r="215" spans="2:4" x14ac:dyDescent="0.25">
      <c r="B215" s="17" t="s">
        <v>258</v>
      </c>
      <c r="C215" s="18">
        <v>5.6</v>
      </c>
      <c r="D215" s="144">
        <f t="shared" si="12"/>
        <v>8.5271317829457294E-2</v>
      </c>
    </row>
    <row r="216" spans="2:4" x14ac:dyDescent="0.25">
      <c r="B216" s="17" t="s">
        <v>257</v>
      </c>
      <c r="C216" s="18">
        <v>5.16</v>
      </c>
      <c r="D216" s="144">
        <f t="shared" si="12"/>
        <v>-1.9011406844106404E-2</v>
      </c>
    </row>
    <row r="217" spans="2:4" x14ac:dyDescent="0.25">
      <c r="B217" s="17" t="s">
        <v>256</v>
      </c>
      <c r="C217" s="18">
        <v>5.26</v>
      </c>
      <c r="D217" s="144">
        <f t="shared" si="12"/>
        <v>0.11914893617021272</v>
      </c>
    </row>
    <row r="218" spans="2:4" x14ac:dyDescent="0.25">
      <c r="B218" s="17" t="s">
        <v>255</v>
      </c>
      <c r="C218" s="18">
        <v>4.7</v>
      </c>
      <c r="D218" s="144">
        <f t="shared" si="12"/>
        <v>-8.4388185654008518E-3</v>
      </c>
    </row>
    <row r="219" spans="2:4" x14ac:dyDescent="0.25">
      <c r="B219" s="17" t="s">
        <v>254</v>
      </c>
      <c r="C219" s="18">
        <v>4.74</v>
      </c>
      <c r="D219" s="144">
        <f t="shared" si="12"/>
        <v>-0.10227272727272729</v>
      </c>
    </row>
    <row r="220" spans="2:4" x14ac:dyDescent="0.25">
      <c r="B220" s="17" t="s">
        <v>253</v>
      </c>
      <c r="C220" s="18">
        <v>5.28</v>
      </c>
      <c r="D220" s="144">
        <f t="shared" si="12"/>
        <v>1.343570057581589E-2</v>
      </c>
    </row>
    <row r="221" spans="2:4" x14ac:dyDescent="0.25">
      <c r="B221" s="17" t="s">
        <v>252</v>
      </c>
      <c r="C221" s="18">
        <v>5.21</v>
      </c>
      <c r="D221" s="144">
        <f t="shared" si="12"/>
        <v>-0.11993243243243246</v>
      </c>
    </row>
    <row r="222" spans="2:4" x14ac:dyDescent="0.25">
      <c r="B222" s="17" t="s">
        <v>251</v>
      </c>
      <c r="C222" s="18">
        <v>5.92</v>
      </c>
      <c r="D222" s="144">
        <f t="shared" si="12"/>
        <v>-1.6863406408094139E-3</v>
      </c>
    </row>
    <row r="223" spans="2:4" x14ac:dyDescent="0.25">
      <c r="B223" s="17" t="s">
        <v>250</v>
      </c>
      <c r="C223" s="18">
        <v>5.93</v>
      </c>
      <c r="D223" s="144">
        <f t="shared" si="12"/>
        <v>6.8468468468468435E-2</v>
      </c>
    </row>
    <row r="224" spans="2:4" x14ac:dyDescent="0.25">
      <c r="B224" s="17" t="s">
        <v>249</v>
      </c>
      <c r="C224" s="18">
        <v>5.55</v>
      </c>
      <c r="D224" s="144">
        <f t="shared" si="12"/>
        <v>-7.6539101497504203E-2</v>
      </c>
    </row>
    <row r="225" spans="2:4" x14ac:dyDescent="0.25">
      <c r="B225" s="17" t="s">
        <v>248</v>
      </c>
      <c r="C225" s="18">
        <v>6.01</v>
      </c>
      <c r="D225" s="144">
        <f t="shared" si="12"/>
        <v>-5.5031446540880546E-2</v>
      </c>
    </row>
    <row r="226" spans="2:4" x14ac:dyDescent="0.25">
      <c r="B226" s="17" t="s">
        <v>247</v>
      </c>
      <c r="C226" s="18">
        <v>6.36</v>
      </c>
      <c r="D226" s="144">
        <f t="shared" si="12"/>
        <v>0.18435754189944142</v>
      </c>
    </row>
    <row r="227" spans="2:4" x14ac:dyDescent="0.25">
      <c r="B227" s="17" t="s">
        <v>246</v>
      </c>
      <c r="C227" s="18">
        <v>5.37</v>
      </c>
      <c r="D227" s="144">
        <f t="shared" si="12"/>
        <v>-0.12682926829268293</v>
      </c>
    </row>
    <row r="228" spans="2:4" x14ac:dyDescent="0.25">
      <c r="B228" s="17" t="s">
        <v>245</v>
      </c>
      <c r="C228" s="18">
        <v>6.15</v>
      </c>
      <c r="D228" s="144">
        <f t="shared" si="12"/>
        <v>-0.13502109704641352</v>
      </c>
    </row>
    <row r="229" spans="2:4" x14ac:dyDescent="0.25">
      <c r="B229" s="17" t="s">
        <v>244</v>
      </c>
      <c r="C229" s="18">
        <v>7.11</v>
      </c>
      <c r="D229" s="144">
        <f t="shared" si="12"/>
        <v>0.13036565977742454</v>
      </c>
    </row>
    <row r="230" spans="2:4" x14ac:dyDescent="0.25">
      <c r="B230" s="17" t="s">
        <v>243</v>
      </c>
      <c r="C230" s="18">
        <v>6.29</v>
      </c>
      <c r="D230" s="144">
        <f t="shared" si="12"/>
        <v>-0.33579725448785647</v>
      </c>
    </row>
    <row r="231" spans="2:4" x14ac:dyDescent="0.25">
      <c r="B231" s="17" t="s">
        <v>242</v>
      </c>
      <c r="C231" s="18">
        <v>9.4700000000000006</v>
      </c>
      <c r="D231" s="144">
        <f t="shared" si="12"/>
        <v>2.1164021164021829E-3</v>
      </c>
    </row>
    <row r="232" spans="2:4" x14ac:dyDescent="0.25">
      <c r="B232" s="17" t="s">
        <v>241</v>
      </c>
      <c r="C232" s="18">
        <v>9.4499999999999993</v>
      </c>
      <c r="D232" s="144">
        <f t="shared" si="12"/>
        <v>-0.12011173184357549</v>
      </c>
    </row>
    <row r="233" spans="2:4" x14ac:dyDescent="0.25">
      <c r="B233" s="17" t="s">
        <v>240</v>
      </c>
      <c r="C233" s="18">
        <v>10.74</v>
      </c>
      <c r="D233" s="144">
        <f t="shared" si="12"/>
        <v>-5.7894736842105221E-2</v>
      </c>
    </row>
    <row r="234" spans="2:4" x14ac:dyDescent="0.25">
      <c r="B234" s="17" t="s">
        <v>239</v>
      </c>
      <c r="C234" s="18">
        <v>11.4</v>
      </c>
      <c r="D234" s="144">
        <f t="shared" si="12"/>
        <v>8.9866156787762774E-2</v>
      </c>
    </row>
    <row r="235" spans="2:4" x14ac:dyDescent="0.25">
      <c r="B235" s="17" t="s">
        <v>238</v>
      </c>
      <c r="C235" s="18">
        <v>10.46</v>
      </c>
      <c r="D235" s="144">
        <f t="shared" si="12"/>
        <v>2.2482893450635366E-2</v>
      </c>
    </row>
    <row r="236" spans="2:4" x14ac:dyDescent="0.25">
      <c r="B236" s="17" t="s">
        <v>237</v>
      </c>
      <c r="C236" s="18">
        <v>10.23</v>
      </c>
      <c r="D236" s="144">
        <f t="shared" si="12"/>
        <v>9.8716683119446369E-3</v>
      </c>
    </row>
    <row r="237" spans="2:4" x14ac:dyDescent="0.25">
      <c r="B237" s="17" t="s">
        <v>236</v>
      </c>
      <c r="C237" s="18">
        <v>10.130000000000001</v>
      </c>
      <c r="D237" s="144">
        <f t="shared" si="12"/>
        <v>1.4014014014014142E-2</v>
      </c>
    </row>
    <row r="238" spans="2:4" x14ac:dyDescent="0.25">
      <c r="B238" s="17" t="s">
        <v>235</v>
      </c>
      <c r="C238" s="18">
        <v>9.99</v>
      </c>
      <c r="D238" s="144">
        <f t="shared" si="12"/>
        <v>4.020100502512669E-3</v>
      </c>
    </row>
    <row r="239" spans="2:4" x14ac:dyDescent="0.25">
      <c r="B239" s="17" t="s">
        <v>234</v>
      </c>
      <c r="C239" s="18">
        <v>9.9499999999999993</v>
      </c>
      <c r="D239" s="144">
        <f t="shared" si="12"/>
        <v>1.006036217303885E-3</v>
      </c>
    </row>
    <row r="240" spans="2:4" x14ac:dyDescent="0.25">
      <c r="B240" s="17" t="s">
        <v>233</v>
      </c>
      <c r="C240" s="18">
        <v>9.94</v>
      </c>
      <c r="D240" s="144">
        <f t="shared" si="12"/>
        <v>-1.0050251256281673E-3</v>
      </c>
    </row>
    <row r="241" spans="2:4" x14ac:dyDescent="0.25">
      <c r="B241" s="17" t="s">
        <v>232</v>
      </c>
      <c r="C241" s="18">
        <v>9.9499999999999993</v>
      </c>
      <c r="D241" s="144">
        <f t="shared" si="12"/>
        <v>0</v>
      </c>
    </row>
    <row r="242" spans="2:4" x14ac:dyDescent="0.25">
      <c r="B242" s="17" t="s">
        <v>231</v>
      </c>
      <c r="C242" s="18">
        <v>9.9499999999999993</v>
      </c>
      <c r="D242" s="144">
        <f t="shared" si="12"/>
        <v>-4.0040040040041358E-3</v>
      </c>
    </row>
    <row r="243" spans="2:4" x14ac:dyDescent="0.25">
      <c r="B243" s="17" t="s">
        <v>230</v>
      </c>
      <c r="C243" s="18">
        <v>9.99</v>
      </c>
      <c r="D243" s="144">
        <f t="shared" si="12"/>
        <v>7.5642965204236745E-3</v>
      </c>
    </row>
    <row r="244" spans="2:4" x14ac:dyDescent="0.25">
      <c r="B244" s="17" t="s">
        <v>229</v>
      </c>
      <c r="C244" s="18">
        <v>9.9149999999999991</v>
      </c>
      <c r="D244" s="144">
        <f t="shared" si="12"/>
        <v>1.5151515151514694E-3</v>
      </c>
    </row>
    <row r="245" spans="2:4" x14ac:dyDescent="0.25">
      <c r="B245" s="17" t="s">
        <v>228</v>
      </c>
      <c r="C245" s="18">
        <v>9.9</v>
      </c>
      <c r="D245" s="144">
        <f t="shared" si="12"/>
        <v>1.0212438952870162E-3</v>
      </c>
    </row>
    <row r="246" spans="2:4" x14ac:dyDescent="0.25">
      <c r="B246" s="17" t="s">
        <v>227</v>
      </c>
      <c r="C246" s="18">
        <v>9.8899000000000008</v>
      </c>
      <c r="D246" s="144">
        <f t="shared" si="12"/>
        <v>1.0020242914978716E-3</v>
      </c>
    </row>
    <row r="247" spans="2:4" x14ac:dyDescent="0.25">
      <c r="B247" s="17" t="s">
        <v>226</v>
      </c>
      <c r="C247" s="18">
        <v>9.8800000000000008</v>
      </c>
      <c r="D247" s="144">
        <f t="shared" si="12"/>
        <v>5.0632911392423097E-4</v>
      </c>
    </row>
    <row r="248" spans="2:4" x14ac:dyDescent="0.25">
      <c r="B248" s="17" t="s">
        <v>225</v>
      </c>
      <c r="C248" s="18">
        <v>9.875</v>
      </c>
      <c r="D248" s="144">
        <f t="shared" si="12"/>
        <v>-4.5362903225806273E-3</v>
      </c>
    </row>
    <row r="249" spans="2:4" x14ac:dyDescent="0.25">
      <c r="B249" s="17" t="s">
        <v>224</v>
      </c>
      <c r="C249" s="18">
        <v>9.92</v>
      </c>
      <c r="D249" s="144">
        <f t="shared" si="12"/>
        <v>6.0851926977687487E-3</v>
      </c>
    </row>
    <row r="250" spans="2:4" x14ac:dyDescent="0.25">
      <c r="B250" s="17" t="s">
        <v>223</v>
      </c>
      <c r="C250" s="18">
        <v>9.86</v>
      </c>
      <c r="D250" s="144">
        <f t="shared" si="12"/>
        <v>-3.0333670374116384E-3</v>
      </c>
    </row>
    <row r="251" spans="2:4" x14ac:dyDescent="0.25">
      <c r="B251" s="17" t="s">
        <v>222</v>
      </c>
      <c r="C251" s="18">
        <v>9.89</v>
      </c>
      <c r="D251" s="144">
        <f t="shared" si="12"/>
        <v>-1.0101010101010166E-3</v>
      </c>
    </row>
    <row r="252" spans="2:4" x14ac:dyDescent="0.25">
      <c r="B252" s="17" t="s">
        <v>221</v>
      </c>
      <c r="C252" s="18">
        <v>9.9</v>
      </c>
      <c r="D252" s="144">
        <f t="shared" si="12"/>
        <v>0</v>
      </c>
    </row>
    <row r="253" spans="2:4" x14ac:dyDescent="0.25">
      <c r="B253" s="17" t="s">
        <v>220</v>
      </c>
      <c r="C253" s="18">
        <v>9.9</v>
      </c>
      <c r="D253" s="144">
        <f t="shared" si="12"/>
        <v>1.0204081632652962E-2</v>
      </c>
    </row>
    <row r="254" spans="2:4" x14ac:dyDescent="0.25">
      <c r="B254" s="17" t="s">
        <v>219</v>
      </c>
      <c r="C254" s="18">
        <v>9.8000000000000007</v>
      </c>
      <c r="D254" s="144">
        <f t="shared" si="12"/>
        <v>-4.3180086360171677E-3</v>
      </c>
    </row>
    <row r="255" spans="2:4" x14ac:dyDescent="0.25">
      <c r="B255" s="17" t="s">
        <v>218</v>
      </c>
      <c r="C255" s="18">
        <v>9.8424999999999994</v>
      </c>
      <c r="D255" s="144">
        <f t="shared" si="12"/>
        <v>-3.7955465587046211E-3</v>
      </c>
    </row>
    <row r="256" spans="2:4" x14ac:dyDescent="0.25">
      <c r="B256" s="17" t="s">
        <v>217</v>
      </c>
      <c r="C256" s="18">
        <v>9.8800000000000008</v>
      </c>
      <c r="D256" s="144">
        <f>C256/C257-1</f>
        <v>-7.4940228638015194E-3</v>
      </c>
    </row>
    <row r="257" spans="2:4" x14ac:dyDescent="0.25">
      <c r="B257" s="17" t="s">
        <v>216</v>
      </c>
      <c r="C257" s="18">
        <v>9.9545999999999992</v>
      </c>
      <c r="D257" s="144">
        <f t="shared" si="12"/>
        <v>5.5151515151514729E-3</v>
      </c>
    </row>
    <row r="258" spans="2:4" x14ac:dyDescent="0.25">
      <c r="B258" s="17" t="s">
        <v>215</v>
      </c>
      <c r="C258" s="18">
        <v>9.9</v>
      </c>
      <c r="D258" s="144">
        <f t="shared" si="12"/>
        <v>5.0761421319798217E-3</v>
      </c>
    </row>
    <row r="259" spans="2:4" x14ac:dyDescent="0.25">
      <c r="B259" s="17" t="s">
        <v>214</v>
      </c>
      <c r="C259" s="18">
        <v>9.85</v>
      </c>
      <c r="D259" s="144">
        <f t="shared" ref="D259:D263" si="13">C259/C260-1</f>
        <v>6.1287027579162157E-3</v>
      </c>
    </row>
    <row r="260" spans="2:4" x14ac:dyDescent="0.25">
      <c r="B260" s="17" t="s">
        <v>213</v>
      </c>
      <c r="C260" s="18">
        <v>9.7899999999999991</v>
      </c>
      <c r="D260" s="144">
        <f t="shared" si="13"/>
        <v>-5.0813008130081716E-3</v>
      </c>
    </row>
    <row r="261" spans="2:4" x14ac:dyDescent="0.25">
      <c r="B261" s="17" t="s">
        <v>212</v>
      </c>
      <c r="C261" s="18">
        <v>9.84</v>
      </c>
      <c r="D261" s="144">
        <f t="shared" si="13"/>
        <v>2.0366598778003286E-3</v>
      </c>
    </row>
    <row r="262" spans="2:4" x14ac:dyDescent="0.25">
      <c r="B262" s="17" t="s">
        <v>211</v>
      </c>
      <c r="C262" s="18">
        <v>9.82</v>
      </c>
      <c r="D262" s="144">
        <f t="shared" si="13"/>
        <v>-1.0080645161290258E-2</v>
      </c>
    </row>
    <row r="263" spans="2:4" x14ac:dyDescent="0.25">
      <c r="B263" s="17" t="s">
        <v>210</v>
      </c>
      <c r="C263" s="18">
        <v>9.92</v>
      </c>
      <c r="D263" s="144"/>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Analysts</vt:lpstr>
      <vt:lpstr>Model-graph</vt:lpstr>
      <vt:lpstr>KPIs</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2026-05-04T13:15:25Z</dcterms:modified>
</cp:coreProperties>
</file>